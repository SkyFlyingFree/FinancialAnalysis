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85EA687B-58FA-47C6-90E3-CE948DF68144}" xr6:coauthVersionLast="40" xr6:coauthVersionMax="40" xr10:uidLastSave="{00000000-0000-0000-0000-000000000000}"/>
  <bookViews>
    <workbookView xWindow="480" yWindow="48" windowWidth="24792" windowHeight="11676" tabRatio="898" firstSheet="3"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E28" i="12" l="1"/>
  <c r="I28" i="12"/>
  <c r="M28" i="12"/>
  <c r="Q28" i="12"/>
  <c r="F27" i="12"/>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B2" i="13" l="1"/>
  <c r="L37" i="12" l="1"/>
  <c r="T37" i="12"/>
  <c r="AB37" i="12"/>
  <c r="AJ37" i="12"/>
  <c r="AR37" i="12"/>
  <c r="AZ37" i="12"/>
  <c r="BH37" i="12"/>
  <c r="BP37" i="12"/>
  <c r="F37" i="12"/>
  <c r="G37" i="12"/>
  <c r="H37" i="12"/>
  <c r="I37" i="12"/>
  <c r="J37" i="12"/>
  <c r="K37" i="12"/>
  <c r="K38" i="12" s="1"/>
  <c r="M37" i="12"/>
  <c r="M38" i="12" s="1"/>
  <c r="N37" i="12"/>
  <c r="O37" i="12"/>
  <c r="P37" i="12"/>
  <c r="Q37" i="12"/>
  <c r="R37" i="12"/>
  <c r="S37" i="12"/>
  <c r="U37" i="12"/>
  <c r="U38" i="12" s="1"/>
  <c r="V37" i="12"/>
  <c r="W37" i="12"/>
  <c r="X37" i="12"/>
  <c r="Y37" i="12"/>
  <c r="Y38" i="12" s="1"/>
  <c r="Z37" i="12"/>
  <c r="AA37" i="12"/>
  <c r="AC37" i="12"/>
  <c r="AD37" i="12"/>
  <c r="AE37" i="12"/>
  <c r="AF37" i="12"/>
  <c r="AG37" i="12"/>
  <c r="AH37" i="12"/>
  <c r="AI37" i="12"/>
  <c r="AK37" i="12"/>
  <c r="AL37" i="12"/>
  <c r="AM37" i="12"/>
  <c r="AN37" i="12"/>
  <c r="AO37" i="12"/>
  <c r="AP37" i="12"/>
  <c r="AQ37" i="12"/>
  <c r="AS37" i="12"/>
  <c r="AT37" i="12"/>
  <c r="AU37" i="12"/>
  <c r="AV37" i="12"/>
  <c r="AW37" i="12"/>
  <c r="AX37" i="12"/>
  <c r="AY37" i="12"/>
  <c r="BA37" i="12"/>
  <c r="BB37" i="12"/>
  <c r="BC37" i="12"/>
  <c r="BD37" i="12"/>
  <c r="BE37" i="12"/>
  <c r="BF37" i="12"/>
  <c r="BG37" i="12"/>
  <c r="BI37" i="12"/>
  <c r="BJ37" i="12"/>
  <c r="BK37" i="12"/>
  <c r="BL37" i="12"/>
  <c r="BM37" i="12"/>
  <c r="BN37" i="12"/>
  <c r="BO37" i="12"/>
  <c r="BQ37" i="12"/>
  <c r="BR37" i="12"/>
  <c r="BS37" i="12"/>
  <c r="BT37" i="12"/>
  <c r="BU37" i="12"/>
  <c r="BV37" i="12"/>
  <c r="BW37" i="12"/>
  <c r="E37" i="12"/>
  <c r="U36" i="12"/>
  <c r="Q36" i="12"/>
  <c r="M36" i="12"/>
  <c r="I36" i="12"/>
  <c r="F36" i="12"/>
  <c r="G36" i="12"/>
  <c r="H36" i="12"/>
  <c r="J36" i="12"/>
  <c r="K36" i="12"/>
  <c r="L36" i="12"/>
  <c r="N36" i="12"/>
  <c r="O36" i="12"/>
  <c r="P36" i="12"/>
  <c r="R36" i="12"/>
  <c r="S36" i="12"/>
  <c r="T36" i="12"/>
  <c r="V36" i="12"/>
  <c r="W36" i="12"/>
  <c r="X36" i="12"/>
  <c r="Y36" i="12"/>
  <c r="E36" i="12"/>
  <c r="F35" i="12"/>
  <c r="G35" i="12"/>
  <c r="H35" i="12"/>
  <c r="I35" i="12"/>
  <c r="J35" i="12"/>
  <c r="K35" i="12"/>
  <c r="L35" i="12"/>
  <c r="M35" i="12"/>
  <c r="N35" i="12"/>
  <c r="O35" i="12"/>
  <c r="P35" i="12"/>
  <c r="Q35" i="12"/>
  <c r="R35" i="12"/>
  <c r="S35" i="12"/>
  <c r="T35" i="12"/>
  <c r="U35" i="12"/>
  <c r="V35" i="12"/>
  <c r="W35" i="12"/>
  <c r="X35" i="12"/>
  <c r="Y35" i="12"/>
  <c r="Z35" i="12"/>
  <c r="AA35" i="12"/>
  <c r="AB35" i="12"/>
  <c r="AC35" i="12"/>
  <c r="AD35" i="12"/>
  <c r="AE35" i="12"/>
  <c r="AF35" i="12"/>
  <c r="AG35" i="12"/>
  <c r="AH35" i="12"/>
  <c r="AI35" i="12"/>
  <c r="AJ35" i="12"/>
  <c r="AK35" i="12"/>
  <c r="AL35" i="12"/>
  <c r="AM35" i="12"/>
  <c r="AN35" i="12"/>
  <c r="AO35" i="12"/>
  <c r="AP35" i="12"/>
  <c r="AQ35" i="12"/>
  <c r="AR35" i="12"/>
  <c r="AS35" i="12"/>
  <c r="AT35" i="12"/>
  <c r="AU35" i="12"/>
  <c r="AV35" i="12"/>
  <c r="AW35" i="12"/>
  <c r="AX35" i="12"/>
  <c r="AY35" i="12"/>
  <c r="AZ35" i="12"/>
  <c r="BA35" i="12"/>
  <c r="BB35" i="12"/>
  <c r="BC35" i="12"/>
  <c r="BD35" i="12"/>
  <c r="BE35" i="12"/>
  <c r="BF35" i="12"/>
  <c r="BG35" i="12"/>
  <c r="BH35" i="12"/>
  <c r="BI35" i="12"/>
  <c r="BJ35" i="12"/>
  <c r="BK35" i="12"/>
  <c r="BL35" i="12"/>
  <c r="BM35" i="12"/>
  <c r="BN35" i="12"/>
  <c r="BO35" i="12"/>
  <c r="BP35" i="12"/>
  <c r="BQ35" i="12"/>
  <c r="BR35" i="12"/>
  <c r="BS35" i="12"/>
  <c r="BT35" i="12"/>
  <c r="BU35" i="12"/>
  <c r="BV35" i="12"/>
  <c r="BW35" i="12"/>
  <c r="E35" i="12"/>
  <c r="F34" i="12"/>
  <c r="G34" i="12"/>
  <c r="H34" i="12"/>
  <c r="I34" i="12"/>
  <c r="J34" i="12"/>
  <c r="K34" i="12"/>
  <c r="L34" i="12"/>
  <c r="M34" i="12"/>
  <c r="N34" i="12"/>
  <c r="O34" i="12"/>
  <c r="P34" i="12"/>
  <c r="Q34" i="12"/>
  <c r="R34" i="12"/>
  <c r="S34" i="12"/>
  <c r="T34" i="12"/>
  <c r="U34" i="12"/>
  <c r="V34" i="12"/>
  <c r="W34" i="12"/>
  <c r="X34" i="12"/>
  <c r="Y34" i="12"/>
  <c r="Z34" i="12"/>
  <c r="AA34" i="12"/>
  <c r="AB34" i="12"/>
  <c r="AC34" i="12"/>
  <c r="AD34" i="12"/>
  <c r="AE34" i="12"/>
  <c r="AF34" i="12"/>
  <c r="AG34" i="12"/>
  <c r="AH34" i="12"/>
  <c r="AI34" i="12"/>
  <c r="AJ34" i="12"/>
  <c r="AK34" i="12"/>
  <c r="AL34" i="12"/>
  <c r="AM34" i="12"/>
  <c r="AN34" i="12"/>
  <c r="AO34" i="12"/>
  <c r="AP34" i="12"/>
  <c r="AQ34" i="12"/>
  <c r="AR34" i="12"/>
  <c r="AS34" i="12"/>
  <c r="AT34" i="12"/>
  <c r="AU34" i="12"/>
  <c r="AV34" i="12"/>
  <c r="AW34" i="12"/>
  <c r="AX34" i="12"/>
  <c r="AY34" i="12"/>
  <c r="AZ34" i="12"/>
  <c r="BA34" i="12"/>
  <c r="BB34" i="12"/>
  <c r="BC34" i="12"/>
  <c r="BD34" i="12"/>
  <c r="BE34" i="12"/>
  <c r="BF34" i="12"/>
  <c r="BG34" i="12"/>
  <c r="BH34" i="12"/>
  <c r="BI34" i="12"/>
  <c r="BJ34" i="12"/>
  <c r="BK34" i="12"/>
  <c r="BL34" i="12"/>
  <c r="BM34" i="12"/>
  <c r="BN34" i="12"/>
  <c r="BO34" i="12"/>
  <c r="BP34" i="12"/>
  <c r="BQ34" i="12"/>
  <c r="BR34" i="12"/>
  <c r="BS34" i="12"/>
  <c r="BT34" i="12"/>
  <c r="BU34" i="12"/>
  <c r="BV34" i="12"/>
  <c r="BW34" i="12"/>
  <c r="E34" i="12"/>
  <c r="BF33" i="12"/>
  <c r="BG33" i="12"/>
  <c r="BH33" i="12"/>
  <c r="BI33" i="12"/>
  <c r="BJ33" i="12"/>
  <c r="BK33" i="12"/>
  <c r="BL33" i="12"/>
  <c r="BM33" i="12"/>
  <c r="BN33" i="12"/>
  <c r="BO33" i="12"/>
  <c r="BP33" i="12"/>
  <c r="BQ33" i="12"/>
  <c r="BR33" i="12"/>
  <c r="BS33" i="12"/>
  <c r="BT33" i="12"/>
  <c r="BU33" i="12"/>
  <c r="BV33" i="12"/>
  <c r="BW33" i="12"/>
  <c r="F33" i="12"/>
  <c r="G33" i="12"/>
  <c r="H33" i="12"/>
  <c r="I33" i="12"/>
  <c r="J33" i="12"/>
  <c r="K33" i="12"/>
  <c r="L33" i="12"/>
  <c r="M33" i="12"/>
  <c r="N33" i="12"/>
  <c r="O33" i="12"/>
  <c r="P33" i="12"/>
  <c r="Q33" i="12"/>
  <c r="R33" i="12"/>
  <c r="S33" i="12"/>
  <c r="T33" i="12"/>
  <c r="U33" i="12"/>
  <c r="V33" i="12"/>
  <c r="W33" i="12"/>
  <c r="X33" i="12"/>
  <c r="Y33" i="12"/>
  <c r="Z33" i="12"/>
  <c r="AA33" i="12"/>
  <c r="AB33" i="12"/>
  <c r="AC33" i="12"/>
  <c r="AD33" i="12"/>
  <c r="AE33" i="12"/>
  <c r="AF33" i="12"/>
  <c r="AG33" i="12"/>
  <c r="AH33" i="12"/>
  <c r="AI33" i="12"/>
  <c r="AJ33" i="12"/>
  <c r="AK33" i="12"/>
  <c r="AL33" i="12"/>
  <c r="AM33" i="12"/>
  <c r="AN33" i="12"/>
  <c r="AO33" i="12"/>
  <c r="AP33" i="12"/>
  <c r="AQ33" i="12"/>
  <c r="AR33" i="12"/>
  <c r="AS33" i="12"/>
  <c r="AT33" i="12"/>
  <c r="AU33" i="12"/>
  <c r="AV33" i="12"/>
  <c r="AW33" i="12"/>
  <c r="AX33" i="12"/>
  <c r="AY33" i="12"/>
  <c r="AZ33" i="12"/>
  <c r="BA33" i="12"/>
  <c r="BB33" i="12"/>
  <c r="BC33" i="12"/>
  <c r="BD33" i="12"/>
  <c r="BE33" i="12"/>
  <c r="E33" i="12"/>
  <c r="R38" i="12" l="1"/>
  <c r="S38" i="12"/>
  <c r="J38" i="12"/>
  <c r="Q38" i="12"/>
  <c r="H38" i="12"/>
  <c r="T38" i="12"/>
  <c r="I38" i="12"/>
  <c r="W38" i="12"/>
  <c r="N38" i="12"/>
  <c r="P38" i="12"/>
  <c r="G38" i="12"/>
  <c r="L38" i="12"/>
  <c r="X38" i="12"/>
  <c r="O38" i="12"/>
  <c r="F38" i="12"/>
  <c r="V38" i="12"/>
  <c r="E38" i="12"/>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E87" i="11"/>
  <c r="BU87" i="11"/>
  <c r="BM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B24" i="6" s="1"/>
  <c r="CA67" i="6"/>
  <c r="CA24" i="6" s="1"/>
  <c r="BZ67" i="6"/>
  <c r="BZ24" i="6" s="1"/>
  <c r="BY67" i="6"/>
  <c r="BY24" i="6" s="1"/>
  <c r="BX67" i="6"/>
  <c r="BX24" i="6" s="1"/>
  <c r="BW67" i="6"/>
  <c r="BW24" i="6" s="1"/>
  <c r="BV67" i="6"/>
  <c r="BU67" i="6"/>
  <c r="BU24" i="6" s="1"/>
  <c r="BT67" i="6"/>
  <c r="BT24" i="6" s="1"/>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D24" i="6" s="1"/>
  <c r="BC67" i="6"/>
  <c r="BC24" i="6" s="1"/>
  <c r="BB67" i="6"/>
  <c r="BB24" i="6" s="1"/>
  <c r="BA67" i="6"/>
  <c r="BA24" i="6" s="1"/>
  <c r="AZ67" i="6"/>
  <c r="AZ24" i="6" s="1"/>
  <c r="AY67" i="6"/>
  <c r="AY24" i="6" s="1"/>
  <c r="AX67" i="6"/>
  <c r="AW67" i="6"/>
  <c r="AW24" i="6" s="1"/>
  <c r="AV67" i="6"/>
  <c r="AV24" i="6" s="1"/>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BV24" i="6"/>
  <c r="BL24" i="6"/>
  <c r="AX24" i="6"/>
  <c r="AN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J3" i="10" l="1"/>
  <c r="BR3" i="10"/>
  <c r="BZ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8" i="10" s="1"/>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A26" i="12" s="1"/>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C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53" i="11" s="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53" i="11" s="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13" i="12"/>
  <c r="BA13" i="12"/>
  <c r="CK18" i="12"/>
  <c r="AE13" i="12"/>
  <c r="X13" i="12"/>
  <c r="BL13" i="12"/>
  <c r="CJ13" i="12"/>
  <c r="Y26" i="12"/>
  <c r="CC26" i="12"/>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Z31" i="6" l="1"/>
  <c r="BZ32" i="6" s="1"/>
  <c r="CC9" i="10"/>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CE28" i="12"/>
  <c r="S28" i="12"/>
  <c r="AH28" i="12"/>
  <c r="BY28" i="12"/>
  <c r="X28" i="12"/>
  <c r="BW28" i="12"/>
  <c r="K28" i="12"/>
  <c r="Z28" i="12"/>
  <c r="BQ28" i="12"/>
  <c r="E31"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R5" i="11" l="1"/>
  <c r="BJ50" i="10"/>
  <c r="V33" i="6"/>
  <c r="V34" i="6" s="1"/>
  <c r="BY49" i="10"/>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B4" i="13" s="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<sst xmlns="http://schemas.openxmlformats.org/spreadsheetml/2006/main" count="1034" uniqueCount="757">
  <si>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</si>
  <si>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</si>
  <si>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</si>
  <si>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</si>
  <si>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</si>
  <si>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</si>
  <si>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</si>
  <si>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</si>
  <si>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</si>
  <si>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</si>
  <si>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</si>
  <si>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</si>
  <si>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</si>
  <si>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</si>
  <si>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</si>
  <si>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</si>
  <si>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</si>
  <si>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</si>
  <si>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</si>
  <si>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</si>
  <si>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</si>
  <si>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</si>
  <si>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</si>
  <si>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</si>
  <si>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</si>
  <si>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</si>
  <si>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</si>
  <si>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</si>
  <si>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</si>
  <si>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</si>
  <si>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</si>
  <si>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</si>
  <si>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</si>
  <si>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</si>
  <si>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</si>
  <si>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</si>
  <si>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</si>
  <si>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</si>
  <si>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</si>
  <si>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</si>
  <si>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</si>
  <si>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</si>
  <si>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</si>
  <si>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</si>
  <si>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</si>
  <si>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</si>
  <si>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</si>
  <si>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</si>
  <si>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</si>
  <si>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</si>
  <si>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</si>
  <si>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</si>
  <si>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</si>
  <si>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</si>
  <si>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</si>
  <si>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</si>
  <si>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</si>
  <si>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</si>
  <si>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</si>
  <si>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</si>
  <si>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</si>
  <si>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</si>
  <si>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</si>
  <si>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</si>
  <si>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</si>
  <si>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</si>
  <si>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</si>
  <si>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</si>
  <si>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</si>
  <si>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</si>
  <si>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</si>
  <si>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</si>
  <si>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</si>
  <si>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</si>
  <si>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</si>
  <si>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</si>
  <si>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</si>
  <si>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</si>
  <si>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</si>
  <si>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</si>
  <si>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</si>
  <si>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</si>
  <si>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</si>
  <si>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</si>
  <si>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</si>
  <si>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</si>
  <si>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</si>
  <si>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</si>
  <si>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</si>
  <si>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</si>
  <si>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</si>
  <si>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</si>
  <si>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</si>
  <si>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</si>
  <si>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</si>
  <si>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</si>
  <si>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</si>
  <si>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</si>
  <si>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</si>
  <si>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</si>
  <si>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</si>
  <si>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</si>
  <si>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</si>
  <si>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</si>
  <si>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</si>
  <si>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</si>
  <si>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</si>
  <si>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</si>
  <si>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</si>
  <si>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</si>
  <si>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</si>
  <si>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</si>
  <si>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</si>
  <si>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</si>
  <si>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</si>
  <si>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</si>
  <si>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</si>
  <si>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</si>
  <si>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</si>
  <si>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</si>
  <si>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</si>
  <si>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</si>
  <si>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</si>
  <si>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</si>
  <si>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</si>
  <si>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</si>
  <si>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</si>
  <si>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</si>
  <si>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</si>
  <si>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</si>
  <si>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</si>
  <si>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</si>
  <si>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</si>
  <si>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</si>
  <si>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</si>
  <si>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</si>
  <si>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</si>
  <si>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</si>
  <si>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</si>
  <si>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</si>
  <si>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</si>
  <si>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</si>
  <si>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</si>
  <si>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</si>
  <si>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</si>
  <si>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</si>
  <si>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</si>
  <si>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</si>
  <si>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</si>
  <si>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</si>
  <si>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</si>
  <si>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</si>
  <si>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</si>
  <si>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</si>
  <si>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</si>
  <si>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</si>
  <si>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</si>
  <si>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</si>
  <si>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</si>
  <si>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</si>
  <si>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</si>
  <si>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</si>
  <si>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</si>
  <si>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</si>
  <si>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</si>
  <si>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</si>
  <si>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</si>
  <si>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</si>
  <si>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</si>
  <si>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</si>
  <si>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</si>
  <si>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</si>
  <si>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</si>
  <si>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</si>
  <si>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</si>
  <si>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</si>
  <si>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</si>
  <si>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</si>
  <si>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</si>
  <si>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</si>
  <si>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</si>
  <si>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</si>
  <si>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</si>
  <si>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</si>
  <si>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</si>
  <si>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</si>
  <si>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</si>
  <si>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</si>
  <si>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</si>
  <si>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</si>
  <si>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</si>
  <si>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</si>
  <si>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</si>
  <si>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</si>
  <si>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</si>
  <si>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</si>
  <si>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</si>
  <si>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</si>
  <si>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</si>
  <si>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</si>
  <si>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</si>
  <si>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</si>
  <si>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</si>
  <si>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</si>
  <si>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</si>
  <si>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</si>
  <si>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</si>
  <si>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</si>
  <si>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</si>
  <si>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</si>
  <si>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</si>
  <si>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</si>
  <si>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</si>
  <si>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</si>
  <si>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</si>
  <si>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</si>
  <si>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</si>
  <si>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</si>
  <si>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</si>
  <si>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</si>
  <si>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</si>
  <si>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</si>
  <si>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</si>
  <si>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</si>
  <si>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</si>
  <si>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</si>
  <si>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</si>
  <si>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</si>
  <si>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</si>
  <si>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</si>
  <si>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</si>
  <si>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</si>
  <si>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</si>
  <si>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</si>
  <si>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</si>
  <si>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</si>
  <si>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</si>
  <si>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</si>
  <si>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</si>
  <si>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</si>
  <si>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</si>
  <si>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</si>
  <si>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</si>
  <si>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</si>
  <si>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</si>
  <si>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</si>
  <si>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</si>
  <si>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</si>
  <si>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</si>
  <si>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</si>
  <si>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</si>
  <si>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</si>
  <si>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</si>
  <si>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</si>
  <si>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</si>
  <si>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</si>
  <si>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</si>
  <si>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</si>
  <si>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</si>
  <si>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</si>
  <si>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</si>
  <si>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</si>
  <si>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</si>
  <si>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</si>
  <si>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</si>
  <si>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</si>
  <si>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</si>
  <si>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</si>
  <si>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</si>
  <si>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</si>
  <si>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</si>
  <si>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</si>
  <si>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</si>
  <si>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</si>
  <si>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</si>
  <si>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</si>
  <si>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</si>
  <si>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</si>
  <si>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</si>
  <si>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</si>
  <si>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</si>
  <si>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</si>
  <si>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</si>
  <si>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</si>
  <si>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</si>
  <si>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</si>
  <si>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</si>
  <si>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</si>
  <si>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</si>
  <si>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</si>
  <si>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</si>
  <si>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</si>
  <si>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</si>
  <si>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</si>
  <si>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</si>
  <si>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</si>
  <si>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</si>
  <si>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</si>
  <si>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</si>
  <si>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</si>
  <si>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</si>
  <si>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</si>
  <si>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</si>
  <si>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</si>
  <si>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</si>
  <si>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</si>
  <si>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</si>
  <si>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</si>
  <si>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</si>
  <si>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</si>
  <si>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</si>
  <si>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</si>
  <si>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</si>
  <si>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</si>
  <si>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</si>
  <si>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</si>
  <si>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</si>
  <si>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</si>
  <si>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</si>
  <si>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</si>
  <si>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</si>
  <si>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</si>
  <si>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</si>
  <si>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</si>
  <si>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</si>
  <si>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</si>
  <si>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</si>
  <si>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</si>
  <si>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</si>
  <si>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</si>
  <si>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</si>
  <si>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</si>
  <si>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</si>
  <si>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</si>
  <si>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</si>
  <si>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</si>
  <si>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</si>
  <si>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</si>
  <si>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</si>
  <si>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</si>
  <si>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</si>
  <si>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</si>
  <si>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</si>
  <si>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</si>
  <si>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</si>
  <si>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</si>
  <si>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</si>
  <si>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</si>
  <si>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</si>
  <si>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</si>
  <si>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</si>
  <si>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</si>
  <si>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</si>
  <si>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</si>
  <si>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</si>
  <si>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</si>
  <si>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</si>
  <si>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</si>
  <si>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</si>
  <si>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</si>
  <si>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</si>
  <si>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</si>
  <si>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</si>
  <si>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</si>
  <si>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</si>
  <si>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</si>
  <si>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</si>
  <si>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</si>
  <si>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</si>
  <si>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</si>
  <si>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</si>
  <si>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</si>
  <si>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</si>
  <si>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</si>
  <si>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</si>
  <si>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</si>
  <si>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</si>
  <si>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</si>
  <si>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</si>
  <si>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</si>
  <si>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</si>
  <si>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</si>
  <si>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</si>
  <si>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</si>
  <si>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</si>
  <si>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</si>
  <si>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</si>
  <si>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</si>
  <si>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</si>
  <si>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</si>
  <si>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</si>
  <si>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</si>
  <si>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</si>
  <si>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</si>
  <si>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</si>
  <si>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</si>
  <si>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</si>
  <si>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</si>
  <si>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</si>
  <si>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</si>
  <si>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</si>
  <si>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</si>
  <si>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</si>
  <si>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</si>
  <si>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</si>
  <si>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</si>
  <si>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</si>
  <si>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</si>
  <si>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</si>
  <si>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</si>
  <si>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</si>
  <si>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</si>
  <si>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</si>
  <si>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</si>
  <si>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</si>
  <si>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</si>
  <si>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</si>
  <si>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</si>
  <si>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</si>
  <si>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</si>
  <si>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</si>
  <si>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</si>
  <si>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</si>
  <si>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</si>
  <si>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</si>
  <si>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</si>
  <si>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</si>
  <si>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</si>
  <si>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</si>
  <si>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</si>
  <si>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</si>
  <si>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</si>
  <si>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</si>
  <si>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</si>
  <si>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</si>
  <si>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</si>
  <si>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</si>
  <si>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</si>
  <si>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</si>
  <si>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</si>
  <si>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</si>
  <si>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</si>
  <si>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</si>
  <si>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</si>
  <si>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</si>
  <si>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</si>
  <si>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</si>
  <si>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</si>
  <si>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</si>
  <si>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</si>
  <si>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</si>
  <si>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</si>
  <si>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</si>
  <si>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</si>
  <si>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</si>
  <si>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</si>
  <si>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</si>
  <si>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</si>
  <si>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</si>
  <si>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</si>
  <si>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</si>
  <si>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</si>
  <si>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</si>
  <si>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</si>
  <si>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</si>
  <si>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</si>
  <si>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</si>
  <si>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</si>
  <si>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</si>
  <si>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</si>
  <si>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</si>
  <si>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</si>
  <si>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</si>
  <si>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</si>
  <si>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</si>
  <si>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</si>
  <si>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</si>
  <si>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</si>
  <si>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</si>
  <si>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</si>
  <si>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</si>
  <si>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</si>
  <si>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</si>
  <si>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</si>
  <si>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</si>
  <si>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</si>
  <si>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</si>
  <si>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</si>
  <si>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</si>
  <si>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</si>
  <si>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</si>
  <si>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</si>
  <si>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</si>
  <si>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</si>
  <si>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</si>
  <si>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</si>
  <si>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</si>
  <si>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</si>
  <si>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</si>
  <si>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</si>
  <si>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</si>
  <si>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</si>
  <si>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</si>
  <si>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</si>
  <si>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</si>
  <si>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</si>
  <si>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</si>
  <si>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</si>
  <si>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</si>
  <si>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</si>
  <si>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</si>
  <si>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</si>
  <si>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</si>
  <si>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</si>
  <si>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</si>
  <si>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</si>
  <si>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</si>
  <si>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</si>
  <si>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</si>
  <si>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</si>
  <si>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</si>
  <si>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</si>
  <si>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</si>
  <si>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</si>
  <si>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</si>
  <si>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</si>
  <si>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</si>
  <si>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</si>
  <si>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</si>
  <si>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</si>
  <si>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</si>
  <si>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</si>
  <si>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</si>
  <si>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</si>
  <si>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</si>
  <si>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</si>
  <si>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</si>
  <si>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</si>
  <si>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</si>
  <si>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</si>
  <si>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</si>
  <si>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</si>
  <si>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</si>
  <si>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</si>
  <si>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</si>
  <si>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</si>
  <si>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</si>
  <si>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</si>
  <si>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</si>
  <si>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</si>
  <si>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</si>
  <si>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</si>
  <si>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</si>
  <si>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</si>
  <si>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</si>
  <si>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</si>
  <si>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</si>
  <si>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</si>
  <si>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</si>
  <si>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</si>
  <si>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</si>
  <si>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</si>
  <si>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</si>
  <si>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</si>
  <si>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</si>
  <si>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</si>
  <si>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</si>
  <si>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</si>
  <si>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</si>
  <si>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</si>
  <si>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</si>
  <si>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</si>
  <si>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</si>
  <si>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</si>
  <si>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</si>
  <si>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</si>
  <si>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</si>
  <si>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</si>
  <si>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</si>
  <si>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</si>
  <si>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</si>
  <si>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</si>
  <si>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</si>
  <si>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</si>
  <si>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</si>
  <si>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</si>
  <si>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</si>
  <si>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</si>
  <si>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</si>
  <si>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</si>
  <si>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</si>
  <si>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</si>
  <si>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</si>
  <si>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</si>
  <si>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</si>
  <si>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</si>
  <si>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</si>
  <si>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</si>
  <si>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</si>
  <si>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</si>
  <si>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</si>
  <si>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</si>
  <si>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</si>
  <si>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</si>
  <si>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</si>
  <si>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</si>
  <si>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</si>
  <si>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</si>
  <si>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</si>
  <si>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</si>
  <si>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</si>
  <si>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</si>
  <si>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</si>
  <si>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</si>
  <si>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</si>
  <si>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</si>
  <si>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</si>
  <si>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</si>
  <si>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</si>
  <si>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</si>
  <si>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</si>
  <si>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</si>
  <si>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</si>
  <si>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</si>
  <si>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</si>
  <si>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</si>
  <si>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</si>
  <si>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</si>
  <si>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</si>
  <si>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</si>
  <si>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</si>
  <si>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</si>
  <si>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</si>
  <si>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</si>
  <si>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</si>
  <si>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</si>
  <si>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</si>
  <si>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</si>
  <si>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</si>
  <si>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</si>
  <si>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</si>
  <si>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</si>
  <si>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</si>
  <si>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</si>
  <si>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</si>
  <si>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</si>
  <si>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</si>
  <si>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</si>
  <si>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</si>
  <si>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</si>
  <si>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</si>
  <si>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</si>
  <si>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</si>
  <si>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</si>
  <si>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</si>
  <si>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</si>
  <si>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</si>
  <si>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</si>
  <si>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</si>
  <si>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</si>
  <si>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</si>
  <si>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</si>
  <si>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</si>
  <si>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</si>
  <si>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</si>
  <si>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</si>
  <si>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</si>
  <si>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</si>
  <si>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</si>
  <si>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</si>
  <si>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</si>
  <si>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</si>
  <si>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</si>
  <si>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</si>
  <si>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</si>
  <si>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</si>
  <si>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</si>
  <si>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</si>
  <si>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</si>
  <si>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</si>
  <si>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</si>
  <si>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</si>
  <si>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</si>
  <si>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</si>
  <si>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</si>
  <si>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</si>
  <si>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</si>
  <si>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</si>
  <si>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</si>
  <si>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</si>
  <si>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</si>
  <si>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</si>
  <si>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</si>
  <si>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</si>
  <si>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</si>
  <si>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</si>
  <si>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</si>
  <si>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</si>
  <si>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</si>
  <si>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</si>
  <si>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</si>
  <si>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</si>
  <si>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</si>
  <si>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</si>
  <si>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</si>
  <si>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</si>
  <si>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</si>
  <si>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</si>
  <si>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</si>
  <si>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</si>
  <si>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</si>
  <si>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</si>
  <si>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</si>
  <si>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</si>
  <si>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</si>
  <si>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</si>
  <si>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</si>
  <si>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</si>
  <si>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</si>
  <si>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</si>
  <si>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</si>
  <si>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</si>
  <si>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</si>
  <si>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</si>
  <si>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</si>
  <si>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</si>
  <si>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</si>
  <si>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</si>
  <si>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</si>
  <si>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</si>
  <si>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</si>
  <si>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</si>
  <si>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</si>
  <si>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</si>
  <si>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</si>
  <si>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</si>
  <si>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</si>
  <si>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</si>
  <si>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</si>
  <si>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</si>
  <si>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</si>
  <si>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</si>
  <si>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</si>
  <si>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</si>
  <si>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</si>
  <si>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</si>
  <si>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</si>
  <si>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</si>
  <si>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</si>
  <si>
    <t>经营活动产生的现金流量净额</t>
    <phoneticPr fontId="1" type="noConversion"/>
  </si>
  <si>
    <t>环比增长</t>
    <phoneticPr fontId="1" type="noConversion"/>
  </si>
  <si>
    <t>复合增长 = POWER(现有价值/基础价值， 1/年数） -1 
（2012年开始为正）因此，以2012为基数</t>
    <phoneticPr fontId="1" type="noConversion"/>
  </si>
  <si>
    <t>自由现金流</t>
    <phoneticPr fontId="1" type="noConversion"/>
  </si>
  <si>
    <t>复合增长 = POWER(现有价值/基础价值， 1/年数） -1 
（2013年开始为正）因此，以2013为基数</t>
    <phoneticPr fontId="1" type="noConversion"/>
  </si>
  <si>
    <t>自由现金流复合增长率</t>
    <phoneticPr fontId="1" type="noConversion"/>
  </si>
  <si>
    <t>(13)息前税后经营利润=11-12  NOPAT</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</si>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</sst>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6"/>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23">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0" borderId="0" xfId="0" applyNumberFormat="1" applyFont="1">
      <alignment vertical="center"/>
    </xf>
    <xf numFmtId="179" fontId="26" fillId="0" borderId="0" xfId="0" applyNumberFormat="1" applyFont="1">
      <alignment vertical="center"/>
    </xf>
    <xf numFmtId="0" fontId="0" fillId="0" borderId="0" xfId="0" applyNumberFormat="1">
      <alignment vertical="center"/>
    </xf>
    <xf numFmtId="49" fontId="0" fillId="46" borderId="16" xfId="0" applyNumberFormat="1" applyFill="1" applyBorder="1">
      <alignment vertical="center"/>
    </xf>
    <xf numFmtId="0" fontId="0" fillId="46" borderId="16" xfId="0" applyFill="1" applyBorder="1">
      <alignment vertical="center"/>
    </xf>
    <xf numFmtId="14" fontId="0" fillId="46" borderId="16" xfId="0" applyNumberFormat="1" applyFill="1" applyBorder="1">
      <alignment vertical="center"/>
    </xf>
    <xf numFmtId="10" fontId="26" fillId="0" borderId="16" xfId="0" applyNumberFormat="1" applyFont="1" applyBorder="1" applyAlignment="1">
      <alignment vertical="center" wrapText="1"/>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0.25072368314978871</c:v>
                </c:pt>
                <c:pt idx="1">
                  <c:v>0.17867545005427687</c:v>
                </c:pt>
                <c:pt idx="2">
                  <c:v>0.20295936113412025</c:v>
                </c:pt>
                <c:pt idx="3">
                  <c:v>0.22575414102785843</c:v>
                </c:pt>
                <c:pt idx="4">
                  <c:v>0.2389528613218378</c:v>
                </c:pt>
                <c:pt idx="5">
                  <c:v>0.11567977327382674</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8.9978248244058479E-2</c:v>
                </c:pt>
                <c:pt idx="1">
                  <c:v>4.8843572436137656E-2</c:v>
                </c:pt>
                <c:pt idx="2">
                  <c:v>4.6060818262537565E-2</c:v>
                </c:pt>
                <c:pt idx="3">
                  <c:v>6.8930398529755285E-2</c:v>
                </c:pt>
                <c:pt idx="4">
                  <c:v>9.8738933520184272E-2</c:v>
                </c:pt>
                <c:pt idx="5">
                  <c:v>1.8015393193996053E-2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0.12294514815395338</c:v>
                </c:pt>
                <c:pt idx="1">
                  <c:v>6.6291529564334178E-2</c:v>
                </c:pt>
                <c:pt idx="2">
                  <c:v>7.0219464604064682E-2</c:v>
                </c:pt>
                <c:pt idx="3">
                  <c:v>0.10989592051280628</c:v>
                </c:pt>
                <c:pt idx="4">
                  <c:v>0.11935091839849254</c:v>
                </c:pt>
                <c:pt idx="5">
                  <c:v>3.7556132562882649E-2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9.7121715096451483E-2</c:v>
                </c:pt>
                <c:pt idx="1">
                  <c:v>4.8503042455233965E-2</c:v>
                </c:pt>
                <c:pt idx="2">
                  <c:v>4.8484035594579318E-2</c:v>
                </c:pt>
                <c:pt idx="3">
                  <c:v>9.4917746339484077E-2</c:v>
                </c:pt>
                <c:pt idx="4">
                  <c:v>0.11750394015154994</c:v>
                </c:pt>
                <c:pt idx="5">
                  <c:v>3.7401531636809482E-2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9.5087068186040721E-2</c:v>
                </c:pt>
                <c:pt idx="1">
                  <c:v>2.5179245399650392E-2</c:v>
                </c:pt>
                <c:pt idx="2">
                  <c:v>2.4528871073635241E-2</c:v>
                </c:pt>
                <c:pt idx="3">
                  <c:v>9.0805697088631815E-2</c:v>
                </c:pt>
                <c:pt idx="4">
                  <c:v>9.70054278826816E-2</c:v>
                </c:pt>
                <c:pt idx="5">
                  <c:v>1.5129518437420235E-2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7.503749066000974E-2</c:v>
                </c:pt>
                <c:pt idx="1">
                  <c:v>1.8397565348503449E-2</c:v>
                </c:pt>
                <c:pt idx="2">
                  <c:v>1.6813848652219441E-2</c:v>
                </c:pt>
                <c:pt idx="3">
                  <c:v>7.8311421818018909E-2</c:v>
                </c:pt>
                <c:pt idx="4">
                  <c:v>9.5516595977670898E-2</c:v>
                </c:pt>
                <c:pt idx="5">
                  <c:v>1.5064761259911824E-2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9741071539</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2512399075</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2013243117</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3175907165</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3022413425</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186051963</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-1304188443.6400003</c:v>
                </c:pt>
                <c:pt idx="1">
                  <c:v>-6093772024.8000002</c:v>
                </c:pt>
                <c:pt idx="2">
                  <c:v>-5450514309.5200005</c:v>
                </c:pt>
                <c:pt idx="3">
                  <c:v>-3273614392.5200005</c:v>
                </c:pt>
                <c:pt idx="4">
                  <c:v>173663721.67999983</c:v>
                </c:pt>
                <c:pt idx="5">
                  <c:v>-2432942405.1599998</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104284262833</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92016055160</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78350829819</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76959406219</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38154263404</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35264814452</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113,272,716,373.00 </c:v>
                </c:pt>
                <c:pt idx="5">
                  <c:v>99,365,789,449.00 </c:v>
                </c:pt>
                <c:pt idx="6">
                  <c:v>91,096,748,246.00 </c:v>
                </c:pt>
                <c:pt idx="7">
                  <c:v>89,856,421,225.00 </c:v>
                </c:pt>
                <c:pt idx="8">
                  <c:v>88,183,685,845.00 </c:v>
                </c:pt>
                <c:pt idx="9">
                  <c:v>86,293,405,825.00 </c:v>
                </c:pt>
                <c:pt idx="10">
                  <c:v>82,090,040,774.00 </c:v>
                </c:pt>
                <c:pt idx="11">
                  <c:v>79,513,526,764.00 </c:v>
                </c:pt>
                <c:pt idx="12">
                  <c:v>77,179,516,789.00 </c:v>
                </c:pt>
                <c:pt idx="13">
                  <c:v>71,698,941,300.00 </c:v>
                </c:pt>
                <c:pt idx="14">
                  <c:v>70,146,470,356.00 </c:v>
                </c:pt>
                <c:pt idx="15">
                  <c:v>63,508,040,775.00 </c:v>
                </c:pt>
                <c:pt idx="16">
                  <c:v>60,586,342,465.00 </c:v>
                </c:pt>
                <c:pt idx="17">
                  <c:v>55,854,867,957.00 </c:v>
                </c:pt>
                <c:pt idx="18">
                  <c:v>48,832,766,333.00 </c:v>
                </c:pt>
                <c:pt idx="19">
                  <c:v>40,778,094,297.00 </c:v>
                </c:pt>
                <c:pt idx="20">
                  <c:v>41,106,111,370.00 </c:v>
                </c:pt>
              </c:strCache>
            </c:strRef>
          </c:tx>
          <c:invertIfNegative val="0"/>
          <c:cat>
            <c:numRef>
              <c:f>投资和筹资活动现金流表!$E$12</c:f>
              <c:numCache>
                <c:formatCode>#,##0.00_ </c:formatCode>
                <c:ptCount val="1"/>
                <c:pt idx="0">
                  <c:v>113272716373</c:v>
                </c:pt>
              </c:numCache>
            </c:numRef>
          </c:cat>
          <c:val>
            <c:numRef>
              <c:f>投资和筹资活动现金流表!$E$12:$U$12</c:f>
              <c:numCache>
                <c:formatCode>#,##0.00_ </c:formatCode>
                <c:ptCount val="5"/>
                <c:pt idx="0">
                  <c:v>113272716373</c:v>
                </c:pt>
                <c:pt idx="1">
                  <c:v>88183685845</c:v>
                </c:pt>
                <c:pt idx="2">
                  <c:v>77179516789</c:v>
                </c:pt>
                <c:pt idx="3">
                  <c:v>60586342465</c:v>
                </c:pt>
                <c:pt idx="4">
                  <c:v>41106111370</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0.31519108172910526</c:v>
                </c:pt>
                <c:pt idx="1">
                  <c:v>0.22750350139892137</c:v>
                </c:pt>
                <c:pt idx="2">
                  <c:v>0.13575797611748378</c:v>
                </c:pt>
                <c:pt idx="3">
                  <c:v>0.25566616243501272</c:v>
                </c:pt>
                <c:pt idx="4">
                  <c:v>0.33060527279450125</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0.55026687638241545</c:v>
                </c:pt>
                <c:pt idx="1">
                  <c:v>0.35866679553664105</c:v>
                </c:pt>
                <c:pt idx="2">
                  <c:v>0.5526844875221093</c:v>
                </c:pt>
                <c:pt idx="3">
                  <c:v>0.36681502762219387</c:v>
                </c:pt>
                <c:pt idx="4">
                  <c:v>0.47922358644206881</c:v>
                </c:pt>
                <c:pt idx="5">
                  <c:v>1.1156026046167278</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47734993950</c:v>
                </c:pt>
                <c:pt idx="1">
                  <c:v>30488477382</c:v>
                </c:pt>
                <c:pt idx="2">
                  <c:v>18581368681</c:v>
                </c:pt>
                <c:pt idx="3">
                  <c:v>21261182588</c:v>
                </c:pt>
                <c:pt idx="4">
                  <c:v>18311854242</c:v>
                </c:pt>
                <c:pt idx="5">
                  <c:v>4168695548</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-2403114462</c:v>
                </c:pt>
                <c:pt idx="2">
                  <c:v>404844397</c:v>
                </c:pt>
                <c:pt idx="3">
                  <c:v>809412435</c:v>
                </c:pt>
                <c:pt idx="4">
                  <c:v>377624956</c:v>
                </c:pt>
                <c:pt idx="5">
                  <c:v>-1399900000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26266986015</c:v>
                </c:pt>
                <c:pt idx="1">
                  <c:v>10073287120</c:v>
                </c:pt>
                <c:pt idx="2">
                  <c:v>10493385445</c:v>
                </c:pt>
                <c:pt idx="3">
                  <c:v>8095825923</c:v>
                </c:pt>
                <c:pt idx="4">
                  <c:v>8956439250</c:v>
                </c:pt>
                <c:pt idx="5">
                  <c:v>3088875525</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32925372189</c:v>
                </c:pt>
                <c:pt idx="1">
                  <c:v>26141092801</c:v>
                </c:pt>
                <c:pt idx="2">
                  <c:v>8128927400</c:v>
                </c:pt>
                <c:pt idx="3">
                  <c:v>35641391214</c:v>
                </c:pt>
                <c:pt idx="4">
                  <c:v>12263701432</c:v>
                </c:pt>
                <c:pt idx="5">
                  <c:v>-297875942</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8111330061.8500004</c:v>
                </c:pt>
                <c:pt idx="1">
                  <c:v>3453421724.0100002</c:v>
                </c:pt>
                <c:pt idx="2">
                  <c:v>-703061354.86000001</c:v>
                </c:pt>
                <c:pt idx="3">
                  <c:v>30752700690</c:v>
                </c:pt>
                <c:pt idx="4">
                  <c:v>14351281</c:v>
                </c:pt>
                <c:pt idx="5">
                  <c:v>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30777491210</c:v>
                </c:pt>
                <c:pt idx="1">
                  <c:v>19792298440</c:v>
                </c:pt>
                <c:pt idx="2">
                  <c:v>4643080456</c:v>
                </c:pt>
                <c:pt idx="3">
                  <c:v>5453643299</c:v>
                </c:pt>
                <c:pt idx="4">
                  <c:v>12003940704</c:v>
                </c:pt>
                <c:pt idx="5">
                  <c:v>-4803497285</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53106623454</c:v>
                </c:pt>
                <c:pt idx="1">
                  <c:v>38124199131</c:v>
                </c:pt>
                <c:pt idx="2">
                  <c:v>18383259217</c:v>
                </c:pt>
                <c:pt idx="3">
                  <c:v>23952128073</c:v>
                </c:pt>
                <c:pt idx="4">
                  <c:v>20385558597</c:v>
                </c:pt>
                <c:pt idx="5">
                  <c:v>12544256450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15357373985</c:v>
                </c:pt>
                <c:pt idx="1">
                  <c:v>-2689536414</c:v>
                </c:pt>
                <c:pt idx="2">
                  <c:v>1824727658</c:v>
                </c:pt>
                <c:pt idx="3">
                  <c:v>2945886286</c:v>
                </c:pt>
                <c:pt idx="4">
                  <c:v>205421275</c:v>
                </c:pt>
                <c:pt idx="5">
                  <c:v>24835944</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3143654626</c:v>
                </c:pt>
                <c:pt idx="1">
                  <c:v>2349432222</c:v>
                </c:pt>
                <c:pt idx="2">
                  <c:v>1885066434</c:v>
                </c:pt>
                <c:pt idx="3">
                  <c:v>1676726384</c:v>
                </c:pt>
                <c:pt idx="4">
                  <c:v>1585229243</c:v>
                </c:pt>
                <c:pt idx="5">
                  <c:v>1048405621</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112453996110</c:v>
                </c:pt>
                <c:pt idx="1">
                  <c:v>77997565997</c:v>
                </c:pt>
                <c:pt idx="2">
                  <c:v>50235725597</c:v>
                </c:pt>
                <c:pt idx="3">
                  <c:v>39891067296</c:v>
                </c:pt>
                <c:pt idx="4">
                  <c:v>40539360285</c:v>
                </c:pt>
                <c:pt idx="5">
                  <c:v>21390215329</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104284262833</c:v>
                </c:pt>
                <c:pt idx="1">
                  <c:v>92016055160</c:v>
                </c:pt>
                <c:pt idx="2">
                  <c:v>78350829819</c:v>
                </c:pt>
                <c:pt idx="3">
                  <c:v>76959406219</c:v>
                </c:pt>
                <c:pt idx="4">
                  <c:v>38154263404</c:v>
                </c:pt>
                <c:pt idx="5">
                  <c:v>35264814452</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216764367123</c:v>
                </c:pt>
                <c:pt idx="1">
                  <c:v>170039729337</c:v>
                </c:pt>
                <c:pt idx="2">
                  <c:v>128612663596</c:v>
                </c:pt>
                <c:pt idx="3">
                  <c:v>116874981695</c:v>
                </c:pt>
                <c:pt idx="4">
                  <c:v>78718131869</c:v>
                </c:pt>
                <c:pt idx="5">
                  <c:v>56679617756</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5.2002854980527209E-2</c:v>
                </c:pt>
                <c:pt idx="1">
                  <c:v>5.5572744698295186E-2</c:v>
                </c:pt>
                <c:pt idx="2">
                  <c:v>5.9936080447639699E-2</c:v>
                </c:pt>
                <c:pt idx="3">
                  <c:v>6.4950742620193971E-2</c:v>
                </c:pt>
                <c:pt idx="4">
                  <c:v>6.4735828715898697E-2</c:v>
                </c:pt>
                <c:pt idx="5">
                  <c:v>6.6892494822711146E-2</c:v>
                </c:pt>
                <c:pt idx="6">
                  <c:v>6.3667582989687013E-2</c:v>
                </c:pt>
                <c:pt idx="7">
                  <c:v>6.5254477618951479E-2</c:v>
                </c:pt>
                <c:pt idx="8">
                  <c:v>7.3445827964742236E-2</c:v>
                </c:pt>
                <c:pt idx="9">
                  <c:v>6.8937636924717022E-2</c:v>
                </c:pt>
                <c:pt idx="10">
                  <c:v>3.9398053472517368E-2</c:v>
                </c:pt>
                <c:pt idx="11">
                  <c:v>2.4539615965754678E-2</c:v>
                </c:pt>
                <c:pt idx="12">
                  <c:v>1.5835246364888908E-2</c:v>
                </c:pt>
                <c:pt idx="13">
                  <c:v>2.9589490285939154E-2</c:v>
                </c:pt>
                <c:pt idx="14">
                  <c:v>2.4778872325323071E-2</c:v>
                </c:pt>
                <c:pt idx="15">
                  <c:v>3.9268742381137145E-2</c:v>
                </c:pt>
                <c:pt idx="16">
                  <c:v>5.2271977416138954E-2</c:v>
                </c:pt>
                <c:pt idx="17">
                  <c:v>5.505185848300724E-2</c:v>
                </c:pt>
                <c:pt idx="18">
                  <c:v>5.2865857205866132E-2</c:v>
                </c:pt>
                <c:pt idx="19">
                  <c:v>4.9281913054879965E-2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-1.1957130413280229E-2</c:v>
                </c:pt>
                <c:pt idx="1">
                  <c:v>0.47495324208673112</c:v>
                </c:pt>
                <c:pt idx="2">
                  <c:v>-3.0484162944868606E-2</c:v>
                </c:pt>
                <c:pt idx="3">
                  <c:v>0.90044500584935872</c:v>
                </c:pt>
                <c:pt idx="4">
                  <c:v>0.32657640796812831</c:v>
                </c:pt>
                <c:pt idx="5">
                  <c:v>-0.2369978039631864</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4.1093549103316844</c:v>
                </c:pt>
                <c:pt idx="1">
                  <c:v>7.6020162704386704E-2</c:v>
                </c:pt>
                <c:pt idx="2">
                  <c:v>0.97286258048802166</c:v>
                </c:pt>
                <c:pt idx="3">
                  <c:v>-0.35462881024744075</c:v>
                </c:pt>
                <c:pt idx="4">
                  <c:v>1.8980930191769184E-2</c:v>
                </c:pt>
                <c:pt idx="5">
                  <c:v>1.3067981800689901E-2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-3.0081604312226875</c:v>
                </c:pt>
                <c:pt idx="1">
                  <c:v>-2.6351899623642994</c:v>
                </c:pt>
                <c:pt idx="2">
                  <c:v>-2.4763693876219581</c:v>
                </c:pt>
                <c:pt idx="3">
                  <c:v>-0.67034070773416554</c:v>
                </c:pt>
                <c:pt idx="4">
                  <c:v>-5.2886603118256632</c:v>
                </c:pt>
                <c:pt idx="5">
                  <c:v>-1.4925392370418087</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0.29905321611728841</c:v>
                </c:pt>
                <c:pt idx="1">
                  <c:v>0.32669973659623969</c:v>
                </c:pt>
                <c:pt idx="2">
                  <c:v>0.35412372565828282</c:v>
                </c:pt>
                <c:pt idx="3">
                  <c:v>0.64709438482006088</c:v>
                </c:pt>
                <c:pt idx="4">
                  <c:v>4.5715571497184249E-2</c:v>
                </c:pt>
                <c:pt idx="5">
                  <c:v>0.40902533177489864</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0.1193308551138561</c:v>
                </c:pt>
                <c:pt idx="1">
                  <c:v>0.47154861877490017</c:v>
                </c:pt>
                <c:pt idx="2">
                  <c:v>0.23804569972478773</c:v>
                </c:pt>
                <c:pt idx="3">
                  <c:v>0.41516356852149522</c:v>
                </c:pt>
                <c:pt idx="4">
                  <c:v>0.3388986480721114</c:v>
                </c:pt>
                <c:pt idx="5">
                  <c:v>0.16237964608324246</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0.32774261933603771</c:v>
                </c:pt>
                <c:pt idx="1">
                  <c:v>0.29271146503307721</c:v>
                </c:pt>
                <c:pt idx="2">
                  <c:v>0.13955991931623393</c:v>
                </c:pt>
                <c:pt idx="3">
                  <c:v>0.29338473398770992</c:v>
                </c:pt>
                <c:pt idx="4">
                  <c:v>0.50649473900365782</c:v>
                </c:pt>
                <c:pt idx="5">
                  <c:v>1.1907004190109746E-2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0.42358534279847743</c:v>
                </c:pt>
                <c:pt idx="1">
                  <c:v>0.20118345595782516</c:v>
                </c:pt>
                <c:pt idx="2">
                  <c:v>2.227080671951696</c:v>
                </c:pt>
                <c:pt idx="3">
                  <c:v>-0.81221491690996284</c:v>
                </c:pt>
                <c:pt idx="4">
                  <c:v>4.3783368792746886</c:v>
                </c:pt>
                <c:pt idx="5">
                  <c:v>-0.71499876164806864</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0.44421695344367151</c:v>
                </c:pt>
                <c:pt idx="1">
                  <c:v>0.61648328071877234</c:v>
                </c:pt>
                <c:pt idx="2">
                  <c:v>0.13372486810816236</c:v>
                </c:pt>
                <c:pt idx="3">
                  <c:v>0.34913032953118839</c:v>
                </c:pt>
                <c:pt idx="4">
                  <c:v>0.46126716796344441</c:v>
                </c:pt>
                <c:pt idx="5">
                  <c:v>0.16524054299241875</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0.27391425299301403</c:v>
                </c:pt>
                <c:pt idx="1">
                  <c:v>0.35340796225864085</c:v>
                </c:pt>
                <c:pt idx="2">
                  <c:v>0.3167851022429734</c:v>
                </c:pt>
                <c:pt idx="3">
                  <c:v>0.35956053547598377</c:v>
                </c:pt>
                <c:pt idx="4">
                  <c:v>0.28090759967219364</c:v>
                </c:pt>
                <c:pt idx="5">
                  <c:v>0.29408920643674358</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3.1964914284405038E-2</c:v>
                </c:pt>
                <c:pt idx="1">
                  <c:v>7.9752620183976934E-3</c:v>
                </c:pt>
                <c:pt idx="2">
                  <c:v>9.799213574791377E-3</c:v>
                </c:pt>
                <c:pt idx="3">
                  <c:v>5.4658355940288388E-3</c:v>
                </c:pt>
                <c:pt idx="4">
                  <c:v>1.2574588084067735E-2</c:v>
                </c:pt>
                <c:pt idx="5">
                  <c:v>1.7138609247186892E-2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0.67667821312517007</c:v>
                </c:pt>
                <c:pt idx="1">
                  <c:v>0.64968940580383228</c:v>
                </c:pt>
                <c:pt idx="2">
                  <c:v>0.66446308273688415</c:v>
                </c:pt>
                <c:pt idx="3">
                  <c:v>0.64164655627242961</c:v>
                </c:pt>
                <c:pt idx="4">
                  <c:v>0.73657150561564222</c:v>
                </c:pt>
                <c:pt idx="5">
                  <c:v>0.67903969202272474</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0.11744713913128364</c:v>
                </c:pt>
                <c:pt idx="1">
                  <c:v>0.11894680393432842</c:v>
                </c:pt>
                <c:pt idx="2">
                  <c:v>0.15374882516798458</c:v>
                </c:pt>
                <c:pt idx="3">
                  <c:v>5.9998308549643477E-2</c:v>
                </c:pt>
                <c:pt idx="4">
                  <c:v>0.31439576067301528</c:v>
                </c:pt>
                <c:pt idx="5">
                  <c:v>0.11078741132573663</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0.88255286086871632</c:v>
                </c:pt>
                <c:pt idx="1">
                  <c:v>0.88105319606567156</c:v>
                </c:pt>
                <c:pt idx="2">
                  <c:v>0.8462511748320154</c:v>
                </c:pt>
                <c:pt idx="3">
                  <c:v>0.9400016914503565</c:v>
                </c:pt>
                <c:pt idx="4">
                  <c:v>0.68560423932698478</c:v>
                </c:pt>
                <c:pt idx="5">
                  <c:v>0.88921258867426334</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13.210579678690655</c:v>
                </c:pt>
                <c:pt idx="1">
                  <c:v>-25.989687343404686</c:v>
                </c:pt>
                <c:pt idx="2">
                  <c:v>29.676722394900231</c:v>
                </c:pt>
                <c:pt idx="3">
                  <c:v>-49.814620854757877</c:v>
                </c:pt>
                <c:pt idx="4">
                  <c:v>-2.9594365015436717</c:v>
                </c:pt>
                <c:pt idx="5">
                  <c:v>26.921351295455</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59374849696</c:v>
                </c:pt>
                <c:pt idx="1">
                  <c:v>60093394248</c:v>
                </c:pt>
                <c:pt idx="2">
                  <c:v>40742575787</c:v>
                </c:pt>
                <c:pt idx="3">
                  <c:v>42023631002</c:v>
                </c:pt>
                <c:pt idx="4">
                  <c:v>22112521474</c:v>
                </c:pt>
                <c:pt idx="5">
                  <c:v>16668863807</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6928854415</c:v>
                </c:pt>
                <c:pt idx="1">
                  <c:v>1356111395</c:v>
                </c:pt>
                <c:pt idx="2">
                  <c:v>1260302959</c:v>
                </c:pt>
                <c:pt idx="3">
                  <c:v>638819435</c:v>
                </c:pt>
                <c:pt idx="4">
                  <c:v>989848083</c:v>
                </c:pt>
                <c:pt idx="5">
                  <c:v>971409821</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146679724614</c:v>
                </c:pt>
                <c:pt idx="1">
                  <c:v>110473010716</c:v>
                </c:pt>
                <c:pt idx="2">
                  <c:v>85458366932</c:v>
                </c:pt>
                <c:pt idx="3">
                  <c:v>74992429519</c:v>
                </c:pt>
                <c:pt idx="4">
                  <c:v>57981532910</c:v>
                </c:pt>
                <c:pt idx="5">
                  <c:v>38487710185</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216764367123</c:v>
                </c:pt>
                <c:pt idx="1">
                  <c:v>170039729337</c:v>
                </c:pt>
                <c:pt idx="2">
                  <c:v>128612663596</c:v>
                </c:pt>
                <c:pt idx="3">
                  <c:v>116874981695</c:v>
                </c:pt>
                <c:pt idx="4">
                  <c:v>78718131869</c:v>
                </c:pt>
                <c:pt idx="5">
                  <c:v>56679617756</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13207400127</c:v>
                </c:pt>
                <c:pt idx="1">
                  <c:v>9277561190</c:v>
                </c:pt>
                <c:pt idx="2">
                  <c:v>7723683792</c:v>
                </c:pt>
                <c:pt idx="3">
                  <c:v>2393396564</c:v>
                </c:pt>
                <c:pt idx="4">
                  <c:v>12745403014</c:v>
                </c:pt>
                <c:pt idx="5">
                  <c:v>2369766584</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99246595983</c:v>
                </c:pt>
                <c:pt idx="1">
                  <c:v>68720004807</c:v>
                </c:pt>
                <c:pt idx="2">
                  <c:v>42512041805</c:v>
                </c:pt>
                <c:pt idx="3">
                  <c:v>37497670732</c:v>
                </c:pt>
                <c:pt idx="4">
                  <c:v>27793957271</c:v>
                </c:pt>
                <c:pt idx="5">
                  <c:v>19020448745</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46167449569</c:v>
                </c:pt>
                <c:pt idx="1">
                  <c:v>50815833058</c:v>
                </c:pt>
                <c:pt idx="2">
                  <c:v>33018891995</c:v>
                </c:pt>
                <c:pt idx="3">
                  <c:v>39630234438</c:v>
                </c:pt>
                <c:pt idx="4">
                  <c:v>9367118460</c:v>
                </c:pt>
                <c:pt idx="5">
                  <c:v>14299097223</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-46167449569</c:v>
                </c:pt>
                <c:pt idx="1">
                  <c:v>-50815833058</c:v>
                </c:pt>
                <c:pt idx="2">
                  <c:v>-33018891995</c:v>
                </c:pt>
                <c:pt idx="3">
                  <c:v>-39630234438</c:v>
                </c:pt>
                <c:pt idx="4">
                  <c:v>-9367118460</c:v>
                </c:pt>
                <c:pt idx="5">
                  <c:v>-14299097223</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0.74927631685021134</c:v>
                </c:pt>
                <c:pt idx="1">
                  <c:v>0.82132454994572313</c:v>
                </c:pt>
                <c:pt idx="2">
                  <c:v>0.79704063886587972</c:v>
                </c:pt>
                <c:pt idx="3">
                  <c:v>0.7742458589721416</c:v>
                </c:pt>
                <c:pt idx="4">
                  <c:v>0.7610471386781622</c:v>
                </c:pt>
                <c:pt idx="5">
                  <c:v>0.88432022672617328</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0.25072368314978871</c:v>
                </c:pt>
                <c:pt idx="1">
                  <c:v>0.17867545005427687</c:v>
                </c:pt>
                <c:pt idx="2">
                  <c:v>0.20295936113412025</c:v>
                </c:pt>
                <c:pt idx="3">
                  <c:v>0.22575414102785843</c:v>
                </c:pt>
                <c:pt idx="4">
                  <c:v>0.2389528613218378</c:v>
                </c:pt>
                <c:pt idx="5">
                  <c:v>0.11567977327382674</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7.5520033045494289E-3</c:v>
                </c:pt>
                <c:pt idx="1">
                  <c:v>6.6660794005416937E-3</c:v>
                </c:pt>
                <c:pt idx="2">
                  <c:v>5.6720947341167977E-3</c:v>
                </c:pt>
                <c:pt idx="3">
                  <c:v>3.2074741490090283E-3</c:v>
                </c:pt>
                <c:pt idx="4">
                  <c:v>5.4327117696708815E-3</c:v>
                </c:pt>
                <c:pt idx="5">
                  <c:v>3.639650524963674E-3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2.7632330023165969E-2</c:v>
                </c:pt>
                <c:pt idx="1">
                  <c:v>2.88024231260447E-2</c:v>
                </c:pt>
                <c:pt idx="2">
                  <c:v>2.6531050264144932E-2</c:v>
                </c:pt>
                <c:pt idx="3">
                  <c:v>2.7110653811022213E-2</c:v>
                </c:pt>
                <c:pt idx="4">
                  <c:v>3.0931347112827547E-2</c:v>
                </c:pt>
                <c:pt idx="5">
                  <c:v>2.5271526054305278E-2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7.7254864800745893E-2</c:v>
                </c:pt>
                <c:pt idx="1">
                  <c:v>8.1550038660887933E-2</c:v>
                </c:pt>
                <c:pt idx="2">
                  <c:v>9.6162469984766075E-2</c:v>
                </c:pt>
                <c:pt idx="3">
                  <c:v>0.10529670447796645</c:v>
                </c:pt>
                <c:pt idx="4">
                  <c:v>9.7006489755622552E-2</c:v>
                </c:pt>
                <c:pt idx="5">
                  <c:v>8.6303237355926113E-2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2.3768798418286417E-2</c:v>
                </c:pt>
                <c:pt idx="1">
                  <c:v>2.3143527139443003E-2</c:v>
                </c:pt>
                <c:pt idx="2">
                  <c:v>2.806243139141441E-2</c:v>
                </c:pt>
                <c:pt idx="3">
                  <c:v>3.2913991632137818E-2</c:v>
                </c:pt>
                <c:pt idx="4">
                  <c:v>2.7056012709825602E-2</c:v>
                </c:pt>
                <c:pt idx="5">
                  <c:v>1.7026483605131176E-2</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1.2136662088800395E-3</c:v>
                </c:pt>
                <c:pt idx="1">
                  <c:v>7.9769818341551585E-4</c:v>
                </c:pt>
                <c:pt idx="2">
                  <c:v>1.1260842678357495E-3</c:v>
                </c:pt>
                <c:pt idx="3">
                  <c:v>8.8149570435317056E-4</c:v>
                </c:pt>
                <c:pt idx="4">
                  <c:v>8.859241713252261E-4</c:v>
                </c:pt>
                <c:pt idx="5">
                  <c:v>6.6505257916402356E-4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7.178881980512492E-4</c:v>
                </c:pt>
                <c:pt idx="1">
                  <c:v>2.9132525622229746E-2</c:v>
                </c:pt>
                <c:pt idx="2">
                  <c:v>2.1790561267517369E-2</c:v>
                </c:pt>
                <c:pt idx="3">
                  <c:v>2.3584147665864127E-2</c:v>
                </c:pt>
                <c:pt idx="4">
                  <c:v>2.2637616694614782E-2</c:v>
                </c:pt>
                <c:pt idx="5">
                  <c:v>3.5319010763400209E-2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0.13813955095367897</c:v>
                </c:pt>
                <c:pt idx="1">
                  <c:v>0.17009229213256261</c:v>
                </c:pt>
                <c:pt idx="2">
                  <c:v>0.1793446919097953</c:v>
                </c:pt>
                <c:pt idx="3">
                  <c:v>0.19299446744035281</c:v>
                </c:pt>
                <c:pt idx="4">
                  <c:v>0.18395010221388658</c:v>
                </c:pt>
                <c:pt idx="5">
                  <c:v>0.16822496088289049</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8.9978248244058479E-2</c:v>
                </c:pt>
                <c:pt idx="1">
                  <c:v>4.8843572436137656E-2</c:v>
                </c:pt>
                <c:pt idx="2">
                  <c:v>4.6060818262537565E-2</c:v>
                </c:pt>
                <c:pt idx="3">
                  <c:v>6.8930398529755285E-2</c:v>
                </c:pt>
                <c:pt idx="4">
                  <c:v>9.8738933520184272E-2</c:v>
                </c:pt>
                <c:pt idx="5">
                  <c:v>1.8015393193996053E-2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0.92740470286338672</c:v>
                </c:pt>
                <c:pt idx="1">
                  <c:v>1.008397446936254</c:v>
                </c:pt>
                <c:pt idx="2">
                  <c:v>0.95693967674413194</c:v>
                </c:pt>
                <c:pt idx="3">
                  <c:v>0.72730605964504202</c:v>
                </c:pt>
                <c:pt idx="4">
                  <c:v>0.8401945610704854</c:v>
                </c:pt>
                <c:pt idx="5">
                  <c:v>0.48175444815684065</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1.465742284907267E-5</c:v>
                </c:pt>
                <c:pt idx="1">
                  <c:v>-3.3108582046243499E-3</c:v>
                </c:pt>
                <c:pt idx="2">
                  <c:v>1.3908250205688084E-3</c:v>
                </c:pt>
                <c:pt idx="3">
                  <c:v>8.8235557030405087E-4</c:v>
                </c:pt>
                <c:pt idx="4">
                  <c:v>2.1619492137087732E-5</c:v>
                </c:pt>
                <c:pt idx="5">
                  <c:v>-6.1561100875911186E-3</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7.2580639713764203E-2</c:v>
                </c:pt>
                <c:pt idx="1">
                  <c:v>-5.0865887316295698E-3</c:v>
                </c:pt>
                <c:pt idx="2">
                  <c:v>4.1669498235299259E-2</c:v>
                </c:pt>
                <c:pt idx="3">
                  <c:v>0.27181158478465389</c:v>
                </c:pt>
                <c:pt idx="4">
                  <c:v>0.15978381943737752</c:v>
                </c:pt>
                <c:pt idx="5">
                  <c:v>0.52440166193075044</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7.503749066000974E-2</c:v>
                </c:pt>
                <c:pt idx="1">
                  <c:v>1.8397565348503449E-2</c:v>
                </c:pt>
                <c:pt idx="2">
                  <c:v>1.6813848652219441E-2</c:v>
                </c:pt>
                <c:pt idx="3">
                  <c:v>7.8311421818018909E-2</c:v>
                </c:pt>
                <c:pt idx="4">
                  <c:v>9.5516595977670898E-2</c:v>
                </c:pt>
                <c:pt idx="5">
                  <c:v>1.5064761259911824E-2</c:v>
                </c:pt>
                <c:pt idx="6">
                  <c:v>6.9024206044368569E-2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0.92740470286338672</c:v>
                </c:pt>
                <c:pt idx="1">
                  <c:v>1.008397446936254</c:v>
                </c:pt>
                <c:pt idx="2">
                  <c:v>0.95693967674413194</c:v>
                </c:pt>
                <c:pt idx="3">
                  <c:v>0.72730605964504202</c:v>
                </c:pt>
                <c:pt idx="4">
                  <c:v>0.8401945610704854</c:v>
                </c:pt>
                <c:pt idx="5">
                  <c:v>0.48175444815684065</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1.465742284907267E-5</c:v>
                </c:pt>
                <c:pt idx="1">
                  <c:v>-3.3108582046243499E-3</c:v>
                </c:pt>
                <c:pt idx="2">
                  <c:v>1.3908250205688084E-3</c:v>
                </c:pt>
                <c:pt idx="3">
                  <c:v>8.8235557030405087E-4</c:v>
                </c:pt>
                <c:pt idx="4">
                  <c:v>2.1619492137087732E-5</c:v>
                </c:pt>
                <c:pt idx="5">
                  <c:v>-6.1561100875911186E-3</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7.2580639713764203E-2</c:v>
                </c:pt>
                <c:pt idx="1">
                  <c:v>-5.0865887316295698E-3</c:v>
                </c:pt>
                <c:pt idx="2">
                  <c:v>4.1669498235299259E-2</c:v>
                </c:pt>
                <c:pt idx="3">
                  <c:v>0.27181158478465389</c:v>
                </c:pt>
                <c:pt idx="4">
                  <c:v>0.15978381943737752</c:v>
                </c:pt>
                <c:pt idx="5">
                  <c:v>0.52440166193075044</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0.22658950260508404</c:v>
                </c:pt>
                <c:pt idx="1">
                  <c:v>0.62017401672389239</c:v>
                </c:pt>
                <c:pt idx="2">
                  <c:v>0.65068273858335024</c:v>
                </c:pt>
                <c:pt idx="3">
                  <c:v>0.17371184785653493</c:v>
                </c:pt>
                <c:pt idx="4">
                  <c:v>0.18722512416036152</c:v>
                </c:pt>
                <c:pt idx="5">
                  <c:v>0.5971491896273422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93800479215</c:v>
                </c:pt>
                <c:pt idx="1">
                  <c:v>68895658963</c:v>
                </c:pt>
                <c:pt idx="2">
                  <c:v>48623732312</c:v>
                </c:pt>
                <c:pt idx="3">
                  <c:v>36816316676</c:v>
                </c:pt>
                <c:pt idx="4">
                  <c:v>33774285620</c:v>
                </c:pt>
                <c:pt idx="5">
                  <c:v>25771583386</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70282477585</c:v>
                </c:pt>
                <c:pt idx="1">
                  <c:v>56585696091</c:v>
                </c:pt>
                <c:pt idx="2">
                  <c:v>38755090666</c:v>
                </c:pt>
                <c:pt idx="3">
                  <c:v>28504880729</c:v>
                </c:pt>
                <c:pt idx="4">
                  <c:v>25703823432</c:v>
                </c:pt>
                <c:pt idx="5">
                  <c:v>22790332463</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23518001630</c:v>
                </c:pt>
                <c:pt idx="1">
                  <c:v>12309962872</c:v>
                </c:pt>
                <c:pt idx="2">
                  <c:v>9868641646</c:v>
                </c:pt>
                <c:pt idx="3">
                  <c:v>8311435947</c:v>
                </c:pt>
                <c:pt idx="4">
                  <c:v>8070462188</c:v>
                </c:pt>
                <c:pt idx="5">
                  <c:v>2981250923</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2.4395663391925949E-5</c:v>
                </c:pt>
                <c:pt idx="1">
                  <c:v>-1.1150519828793268E-2</c:v>
                </c:pt>
                <c:pt idx="2">
                  <c:v>3.7679345002632814E-3</c:v>
                </c:pt>
                <c:pt idx="3">
                  <c:v>5.5883991694773653E-3</c:v>
                </c:pt>
                <c:pt idx="4">
                  <c:v>8.8041792974811472E-5</c:v>
                </c:pt>
                <c:pt idx="5">
                  <c:v>-6.1337469224536489E-3</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1.127632654813299E-2</c:v>
                </c:pt>
                <c:pt idx="1">
                  <c:v>-1.3877882145581769E-4</c:v>
                </c:pt>
                <c:pt idx="2">
                  <c:v>2.7754045909654324E-3</c:v>
                </c:pt>
                <c:pt idx="3">
                  <c:v>2.2682201080791088E-2</c:v>
                </c:pt>
                <c:pt idx="4">
                  <c:v>2.8657407811860384E-2</c:v>
                </c:pt>
                <c:pt idx="5">
                  <c:v>3.0330193543197298E-2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24.808782725636991</c:v>
                </c:pt>
                <c:pt idx="1">
                  <c:v>-36.592380422197323</c:v>
                </c:pt>
                <c:pt idx="2">
                  <c:v>42.229438635503328</c:v>
                </c:pt>
                <c:pt idx="3">
                  <c:v>-47.206563364807913</c:v>
                </c:pt>
                <c:pt idx="4">
                  <c:v>-14.276230184174434</c:v>
                </c:pt>
                <c:pt idx="5">
                  <c:v>46.718632370307205</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0.63949178703357834</c:v>
                </c:pt>
                <c:pt idx="1">
                  <c:v>0.62364244910564137</c:v>
                </c:pt>
                <c:pt idx="2">
                  <c:v>0.56897567853935649</c:v>
                </c:pt>
                <c:pt idx="3">
                  <c:v>0.49093377707775498</c:v>
                </c:pt>
                <c:pt idx="4">
                  <c:v>0.5825007364400846</c:v>
                </c:pt>
                <c:pt idx="5">
                  <c:v>0.669605525039629</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1.5798015438398525</c:v>
                </c:pt>
                <c:pt idx="1">
                  <c:v>1.1464764110123959</c:v>
                </c:pt>
                <c:pt idx="2">
                  <c:v>1.1934378564134547</c:v>
                </c:pt>
                <c:pt idx="3">
                  <c:v>0.87608604487907837</c:v>
                </c:pt>
                <c:pt idx="4">
                  <c:v>1.5273828296656242</c:v>
                </c:pt>
                <c:pt idx="5">
                  <c:v>1.5460911844019845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13.537660570834783</c:v>
                </c:pt>
                <c:pt idx="1">
                  <c:v>50.803834564785141</c:v>
                </c:pt>
                <c:pt idx="2">
                  <c:v>38.580987186272246</c:v>
                </c:pt>
                <c:pt idx="3">
                  <c:v>57.631804323548799</c:v>
                </c:pt>
                <c:pt idx="4">
                  <c:v>34.120675889615278</c:v>
                </c:pt>
                <c:pt idx="5">
                  <c:v>26.530083213972365</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0.60410979941934873</c:v>
                </c:pt>
                <c:pt idx="1">
                  <c:v>0.60822818741391249</c:v>
                </c:pt>
                <c:pt idx="2">
                  <c:v>0.55139147163190338</c:v>
                </c:pt>
                <c:pt idx="3">
                  <c:v>0.47702186030331872</c:v>
                </c:pt>
                <c:pt idx="4">
                  <c:v>0.55745708101641878</c:v>
                </c:pt>
                <c:pt idx="5">
                  <c:v>1.7903064823513726</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1.0583939647384895</c:v>
                </c:pt>
                <c:pt idx="1">
                  <c:v>0.98496119666720916</c:v>
                </c:pt>
                <c:pt idx="2">
                  <c:v>0.76494385704013046</c:v>
                </c:pt>
                <c:pt idx="3">
                  <c:v>0.74529376490563537</c:v>
                </c:pt>
                <c:pt idx="4">
                  <c:v>1.0393474198244401</c:v>
                </c:pt>
                <c:pt idx="5">
                  <c:v>0.746264645178085</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1.8478756616081158</c:v>
                </c:pt>
                <c:pt idx="1">
                  <c:v>2.0872255158831097</c:v>
                </c:pt>
                <c:pt idx="2">
                  <c:v>2.6078052190502978</c:v>
                </c:pt>
                <c:pt idx="3">
                  <c:v>1.6835209980565591</c:v>
                </c:pt>
                <c:pt idx="4">
                  <c:v>1.5232202368237264</c:v>
                </c:pt>
                <c:pt idx="5">
                  <c:v>11.233087672721414</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31.448553886339663</c:v>
                </c:pt>
                <c:pt idx="1">
                  <c:v>21.963162188350065</c:v>
                </c:pt>
                <c:pt idx="2">
                  <c:v>18.14833528631619</c:v>
                </c:pt>
                <c:pt idx="3">
                  <c:v>17.056352703912424</c:v>
                </c:pt>
                <c:pt idx="4">
                  <c:v>16.670872777756998</c:v>
                </c:pt>
                <c:pt idx="5">
                  <c:v>17.214232535126996</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5.7584473803690672</c:v>
                </c:pt>
                <c:pt idx="1">
                  <c:v>5.4720973107583042</c:v>
                </c:pt>
                <c:pt idx="2">
                  <c:v>6.4960479535192608</c:v>
                </c:pt>
                <c:pt idx="3">
                  <c:v>6.1658727062633529</c:v>
                </c:pt>
                <c:pt idx="4">
                  <c:v>6.4034762771531906</c:v>
                </c:pt>
                <c:pt idx="5">
                  <c:v>6.3445461529863323</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8.3715171612029593</c:v>
                </c:pt>
                <c:pt idx="1">
                  <c:v>7.8359730963367982</c:v>
                </c:pt>
                <c:pt idx="2">
                  <c:v>7.195049294269718</c:v>
                </c:pt>
                <c:pt idx="3">
                  <c:v>7.9377469674404901</c:v>
                </c:pt>
                <c:pt idx="4">
                  <c:v>9.0383715316869822</c:v>
                </c:pt>
                <c:pt idx="5">
                  <c:v>9.5254904973404475</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4.6964839832528753</c:v>
                </c:pt>
                <c:pt idx="1">
                  <c:v>4.7682972318337464</c:v>
                </c:pt>
                <c:pt idx="2">
                  <c:v>4.6230557704965287</c:v>
                </c:pt>
                <c:pt idx="3">
                  <c:v>4.5751746734705616</c:v>
                </c:pt>
                <c:pt idx="4">
                  <c:v>4.653507457922025</c:v>
                </c:pt>
                <c:pt idx="5">
                  <c:v>5.0762356181721078</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7.1082513209097115E-2</c:v>
                </c:pt>
                <c:pt idx="1">
                  <c:v>4.2412210458080794E-2</c:v>
                </c:pt>
                <c:pt idx="2">
                  <c:v>3.7724492638547408E-2</c:v>
                </c:pt>
                <c:pt idx="3">
                  <c:v>3.9651705245976054E-2</c:v>
                </c:pt>
                <c:pt idx="4">
                  <c:v>6.0896720987122739E-2</c:v>
                </c:pt>
                <c:pt idx="5">
                  <c:v>1.1943873249283704E-2</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0.1140199085922122</c:v>
                </c:pt>
                <c:pt idx="1">
                  <c:v>6.6848209166173789E-2</c:v>
                </c:pt>
                <c:pt idx="2">
                  <c:v>6.7195791759359663E-2</c:v>
                </c:pt>
                <c:pt idx="3">
                  <c:v>7.9927968919233885E-2</c:v>
                </c:pt>
                <c:pt idx="4">
                  <c:v>0.10027799249718077</c:v>
                </c:pt>
                <c:pt idx="5">
                  <c:v>1.8092833917736684E-2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7038552583</c:v>
                </c:pt>
                <c:pt idx="1">
                  <c:v>1267512388</c:v>
                </c:pt>
                <c:pt idx="2">
                  <c:v>817552076</c:v>
                </c:pt>
                <c:pt idx="3">
                  <c:v>2883138105</c:v>
                </c:pt>
                <c:pt idx="4">
                  <c:v>3226004794</c:v>
                </c:pt>
                <c:pt idx="5">
                  <c:v>388242751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104284262833</c:v>
                </c:pt>
                <c:pt idx="1">
                  <c:v>92016055160</c:v>
                </c:pt>
                <c:pt idx="2">
                  <c:v>78350829819</c:v>
                </c:pt>
                <c:pt idx="3">
                  <c:v>76959406219</c:v>
                </c:pt>
                <c:pt idx="4">
                  <c:v>38154263404</c:v>
                </c:pt>
                <c:pt idx="5">
                  <c:v>35264814452</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93800479215</c:v>
                </c:pt>
                <c:pt idx="1">
                  <c:v>68895658963</c:v>
                </c:pt>
                <c:pt idx="2">
                  <c:v>48623732312</c:v>
                </c:pt>
                <c:pt idx="3">
                  <c:v>36816316676</c:v>
                </c:pt>
                <c:pt idx="4">
                  <c:v>33774285620</c:v>
                </c:pt>
                <c:pt idx="5">
                  <c:v>25771583386</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10695122066</c:v>
                </c:pt>
                <c:pt idx="1">
                  <c:v>4605551421</c:v>
                </c:pt>
                <c:pt idx="2">
                  <c:v>3267310191</c:v>
                </c:pt>
                <c:pt idx="3">
                  <c:v>2942653415</c:v>
                </c:pt>
                <c:pt idx="4">
                  <c:v>3386817560</c:v>
                </c:pt>
                <c:pt idx="5">
                  <c:v>466280978</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169034</c:v>
                </c:pt>
                <c:pt idx="1">
                  <c:v>-15121347</c:v>
                </c:pt>
                <c:pt idx="2">
                  <c:v>4748739</c:v>
                </c:pt>
                <c:pt idx="3">
                  <c:v>3569978</c:v>
                </c:pt>
                <c:pt idx="4">
                  <c:v>87148</c:v>
                </c:pt>
                <c:pt idx="5">
                  <c:v>-5958382</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6928854415</c:v>
                </c:pt>
                <c:pt idx="1">
                  <c:v>1356111395</c:v>
                </c:pt>
                <c:pt idx="2">
                  <c:v>1260302959</c:v>
                </c:pt>
                <c:pt idx="3">
                  <c:v>638819435</c:v>
                </c:pt>
                <c:pt idx="4">
                  <c:v>989848083</c:v>
                </c:pt>
                <c:pt idx="5">
                  <c:v>971409821</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7"/>
                <c:pt idx="1">
                  <c:v>0.93811009301458803</c:v>
                </c:pt>
                <c:pt idx="2">
                  <c:v>0.85417186295316982</c:v>
                </c:pt>
                <c:pt idx="3">
                  <c:v>0.88903986605055385</c:v>
                </c:pt>
                <c:pt idx="4">
                  <c:v>0.88414941550372572</c:v>
                </c:pt>
                <c:pt idx="5">
                  <c:v>0.94426867234743139</c:v>
                </c:pt>
                <c:pt idx="6">
                  <c:v>0.86116179867609799</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7"/>
                <c:pt idx="1">
                  <c:v>0.87372627006837311</c:v>
                </c:pt>
                <c:pt idx="2">
                  <c:v>0.83230839851134764</c:v>
                </c:pt>
                <c:pt idx="3">
                  <c:v>0.81195293562496385</c:v>
                </c:pt>
                <c:pt idx="4">
                  <c:v>0.78366950600848229</c:v>
                </c:pt>
                <c:pt idx="5">
                  <c:v>0.84494880122383165</c:v>
                </c:pt>
                <c:pt idx="6">
                  <c:v>0.78578522478255353</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7"/>
                <c:pt idx="1">
                  <c:v>3.1122011004391941</c:v>
                </c:pt>
                <c:pt idx="2">
                  <c:v>2.9934494840972348</c:v>
                </c:pt>
                <c:pt idx="3">
                  <c:v>4.6852814554076145</c:v>
                </c:pt>
                <c:pt idx="4">
                  <c:v>3.1901421480085674</c:v>
                </c:pt>
                <c:pt idx="5">
                  <c:v>2.6857202928844961</c:v>
                </c:pt>
                <c:pt idx="6">
                  <c:v>6.6529699250323935</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7"/>
                <c:pt idx="1">
                  <c:v>3.7318732374667265</c:v>
                </c:pt>
                <c:pt idx="2">
                  <c:v>7.9472888907181236</c:v>
                </c:pt>
                <c:pt idx="3">
                  <c:v>12.835127881199337</c:v>
                </c:pt>
                <c:pt idx="4">
                  <c:v>2.8079910251125484</c:v>
                </c:pt>
                <c:pt idx="5">
                  <c:v>2.7763254619639599</c:v>
                </c:pt>
                <c:pt idx="6">
                  <c:v>7.9560417214331967</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自由现金流复合增长率</c:v>
                </c:pt>
              </c:strCache>
            </c:strRef>
          </c:tx>
          <c:val>
            <c:numRef>
              <c:f>自由现金流分析表!$B$28:$Y$28</c:f>
              <c:numCache>
                <c:formatCode>0.00%</c:formatCode>
                <c:ptCount val="7"/>
                <c:pt idx="1">
                  <c:v>0.37890323040547536</c:v>
                </c:pt>
                <c:pt idx="2">
                  <c:v>-1.8370588694168579</c:v>
                </c:pt>
                <c:pt idx="3">
                  <c:v>-0.4443498817041267</c:v>
                </c:pt>
                <c:pt idx="4">
                  <c:v>-0.66490372300240119</c:v>
                </c:pt>
                <c:pt idx="5">
                  <c:v>0</c:v>
                </c:pt>
                <c:pt idx="6">
                  <c:v>0</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7"/>
                <c:pt idx="1">
                  <c:v>26266986015</c:v>
                </c:pt>
                <c:pt idx="2">
                  <c:v>10073287120</c:v>
                </c:pt>
                <c:pt idx="3">
                  <c:v>10493385445</c:v>
                </c:pt>
                <c:pt idx="4">
                  <c:v>8095825923</c:v>
                </c:pt>
                <c:pt idx="5">
                  <c:v>8956439250</c:v>
                </c:pt>
                <c:pt idx="6">
                  <c:v>3088875525</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7"/>
                <c:pt idx="1">
                  <c:v>8440002804.2189178</c:v>
                </c:pt>
                <c:pt idx="2">
                  <c:v>3365110109.094727</c:v>
                </c:pt>
                <c:pt idx="3">
                  <c:v>2239648897.2693076</c:v>
                </c:pt>
                <c:pt idx="4">
                  <c:v>2537763380.8743553</c:v>
                </c:pt>
                <c:pt idx="5">
                  <c:v>3334836942.5248957</c:v>
                </c:pt>
                <c:pt idx="6">
                  <c:v>464285207.93064612</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7"/>
                <c:pt idx="1">
                  <c:v>7038552583</c:v>
                </c:pt>
                <c:pt idx="2">
                  <c:v>1267512388</c:v>
                </c:pt>
                <c:pt idx="3">
                  <c:v>817552076</c:v>
                </c:pt>
                <c:pt idx="4">
                  <c:v>2883138105</c:v>
                </c:pt>
                <c:pt idx="5">
                  <c:v>3226004794</c:v>
                </c:pt>
                <c:pt idx="6">
                  <c:v>388242751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699135</xdr:colOff>
      <xdr:row>28</xdr:row>
      <xdr:rowOff>328612</xdr:rowOff>
    </xdr:from>
    <xdr:to>
      <xdr:col>40</xdr:col>
      <xdr:colOff>182880</xdr:colOff>
      <xdr:row>28</xdr:row>
      <xdr:rowOff>3388995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373380</xdr:colOff>
      <xdr:row>38</xdr:row>
      <xdr:rowOff>90487</xdr:rowOff>
    </xdr:from>
    <xdr:to>
      <xdr:col>28</xdr:col>
      <xdr:colOff>487680</xdr:colOff>
      <xdr:row>52</xdr:row>
      <xdr:rowOff>90487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D85"/>
  <sheetViews>
    <sheetView workbookViewId="0">
      <selection activeCell="Y25" sqref="Y25"/>
    </sheetView>
  </sheetViews>
  <sheetFormatPr defaultRowHeight="14.4" x14ac:dyDescent="0.25"/>
  <cols>
    <col min="1" max="1" width="35.88671875" style="188" bestFit="1" customWidth="1"/>
    <col min="2" max="4" width="12.77734375" style="188" hidden="1" customWidth="1"/>
    <col min="5" max="5" width="12.77734375" style="188" bestFit="1" customWidth="1"/>
    <col min="6" max="8" width="12.77734375" style="188" hidden="1" customWidth="1"/>
    <col min="9" max="9" width="12.77734375" style="188" bestFit="1" customWidth="1"/>
    <col min="10" max="12" width="12.77734375" style="188" hidden="1" customWidth="1"/>
    <col min="13" max="13" width="12.77734375" style="188" bestFit="1" customWidth="1"/>
    <col min="14" max="16" width="12.77734375" style="188" hidden="1" customWidth="1"/>
    <col min="17" max="17" width="12.77734375" style="188" bestFit="1" customWidth="1"/>
    <col min="18" max="20" width="12.77734375" style="188" hidden="1" customWidth="1"/>
    <col min="21" max="21" width="12.77734375" style="188" bestFit="1" customWidth="1"/>
    <col min="22" max="24" width="12.77734375" style="188" hidden="1" customWidth="1"/>
    <col min="25" max="25" width="12.77734375" style="188" bestFit="1" customWidth="1"/>
    <col min="26" max="28" width="12.777343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40" width="12.77734375" style="188" hidden="1" customWidth="1"/>
    <col min="41" max="41" width="12.77734375" style="188" bestFit="1" customWidth="1"/>
    <col min="42"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6" width="12.77734375" style="188" hidden="1" customWidth="1"/>
    <col min="57" max="57" width="12.77734375" style="188" bestFit="1" customWidth="1"/>
    <col min="58" max="59" width="13.88671875" style="188" hidden="1" customWidth="1"/>
    <col min="60" max="60" width="12.77734375" style="188" hidden="1" customWidth="1"/>
    <col min="61" max="61" width="12.77734375" style="188" bestFit="1" customWidth="1"/>
    <col min="62" max="64" width="12.77734375" style="188" hidden="1" customWidth="1"/>
    <col min="65" max="65" width="11.6640625" style="188" bestFit="1" customWidth="1"/>
    <col min="66" max="68" width="12.77734375" style="188" hidden="1" customWidth="1"/>
    <col min="69" max="69" width="11.6640625" style="188" bestFit="1" customWidth="1"/>
    <col min="70" max="70" width="12.77734375" style="188" hidden="1" customWidth="1"/>
    <col min="71" max="71" width="11.6640625" style="188" bestFit="1" customWidth="1"/>
    <col min="72" max="72" width="11.6640625" style="188" hidden="1" customWidth="1"/>
    <col min="73" max="73" width="11.6640625" style="188" bestFit="1" customWidth="1"/>
    <col min="74" max="74" width="12.77734375" style="188" hidden="1" customWidth="1"/>
    <col min="75" max="75" width="11.6640625" style="188" bestFit="1" customWidth="1"/>
    <col min="76" max="76" width="12.77734375" style="188" hidden="1" customWidth="1"/>
    <col min="77" max="77" width="11.6640625" style="188" bestFit="1" customWidth="1"/>
    <col min="78" max="78" width="11.6640625" style="188" hidden="1" customWidth="1"/>
    <col min="79" max="81" width="10.5546875" style="188" bestFit="1" customWidth="1"/>
    <col min="82" max="82" width="9.5546875" style="188" hidden="1" customWidth="1"/>
    <col min="83" max="16384" width="8.88671875" style="188"/>
  </cols>
  <sheetData>
    <row r="1" spans="1:82" x14ac:dyDescent="0.25">
      <c r="A1" s="188">
        <v>725</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20020930</v>
      </c>
      <c r="BO1" s="188">
        <v>20020630</v>
      </c>
      <c r="BP1" s="188">
        <v>20020331</v>
      </c>
      <c r="BQ1" s="188">
        <v>20011231</v>
      </c>
      <c r="BR1" s="188">
        <v>20010630</v>
      </c>
      <c r="BS1" s="188">
        <v>20001231</v>
      </c>
      <c r="BT1" s="188">
        <v>20000630</v>
      </c>
      <c r="BU1" s="188">
        <v>19991231</v>
      </c>
      <c r="BV1" s="188">
        <v>19990630</v>
      </c>
      <c r="BW1" s="188">
        <v>19981231</v>
      </c>
      <c r="BX1" s="188">
        <v>19980630</v>
      </c>
      <c r="BY1" s="188">
        <v>19971231</v>
      </c>
      <c r="BZ1" s="188">
        <v>19970630</v>
      </c>
      <c r="CA1" s="188">
        <v>19961231</v>
      </c>
      <c r="CB1" s="188">
        <v>19951231</v>
      </c>
      <c r="CC1" s="188">
        <v>19941231</v>
      </c>
      <c r="CD1" s="188">
        <v>19700101</v>
      </c>
    </row>
    <row r="2" spans="1:82"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c r="BR2" s="188" t="s">
        <v>106</v>
      </c>
      <c r="BS2" s="188" t="s">
        <v>106</v>
      </c>
      <c r="BT2" s="188" t="s">
        <v>106</v>
      </c>
      <c r="BU2" s="188" t="s">
        <v>106</v>
      </c>
      <c r="BV2" s="188" t="s">
        <v>106</v>
      </c>
      <c r="BW2" s="188" t="s">
        <v>106</v>
      </c>
      <c r="BX2" s="188" t="s">
        <v>106</v>
      </c>
      <c r="BY2" s="188" t="s">
        <v>106</v>
      </c>
      <c r="BZ2" s="188" t="s">
        <v>106</v>
      </c>
      <c r="CA2" s="188" t="s">
        <v>106</v>
      </c>
      <c r="CB2" s="188" t="s">
        <v>106</v>
      </c>
      <c r="CC2" s="188" t="s">
        <v>106</v>
      </c>
    </row>
    <row r="3" spans="1:82" x14ac:dyDescent="0.25">
      <c r="A3" s="188" t="s">
        <v>107</v>
      </c>
    </row>
    <row r="4" spans="1:82" x14ac:dyDescent="0.25">
      <c r="A4" s="188" t="s">
        <v>108</v>
      </c>
      <c r="B4" s="188">
        <v>53087082081</v>
      </c>
      <c r="C4" s="188">
        <v>50581910423</v>
      </c>
      <c r="D4" s="188">
        <v>54077391428</v>
      </c>
      <c r="E4" s="188">
        <v>57128659576</v>
      </c>
      <c r="F4" s="188">
        <v>53519407759</v>
      </c>
      <c r="G4" s="188">
        <v>50760400727</v>
      </c>
      <c r="H4" s="188">
        <v>51228997839</v>
      </c>
      <c r="I4" s="188">
        <v>58152817223</v>
      </c>
      <c r="J4" s="188">
        <v>41018466851</v>
      </c>
      <c r="K4" s="188">
        <v>44519079579</v>
      </c>
      <c r="L4" s="188">
        <v>47770767906</v>
      </c>
      <c r="M4" s="188">
        <v>38866861836</v>
      </c>
      <c r="N4" s="188">
        <v>34825388176</v>
      </c>
      <c r="O4" s="188">
        <v>35265302750</v>
      </c>
      <c r="P4" s="188">
        <v>36572785233</v>
      </c>
      <c r="Q4" s="188">
        <v>40172401999</v>
      </c>
      <c r="R4" s="188">
        <v>40661271821</v>
      </c>
      <c r="S4" s="188">
        <v>44591345895</v>
      </c>
      <c r="T4" s="188">
        <v>50531922101</v>
      </c>
      <c r="U4" s="188">
        <v>20464553422</v>
      </c>
      <c r="V4" s="188">
        <v>23365935107</v>
      </c>
      <c r="W4" s="188">
        <v>28542101405</v>
      </c>
      <c r="X4" s="188">
        <v>16540286439</v>
      </c>
      <c r="Y4" s="188">
        <v>15211851133</v>
      </c>
      <c r="Z4" s="188">
        <v>14039248421</v>
      </c>
      <c r="AA4" s="188">
        <v>15575508881</v>
      </c>
      <c r="AB4" s="188">
        <v>15956853365</v>
      </c>
      <c r="AC4" s="188">
        <v>20325469116</v>
      </c>
      <c r="AD4" s="188">
        <v>19684537758</v>
      </c>
      <c r="AE4" s="188">
        <v>22317926668</v>
      </c>
      <c r="AF4" s="188">
        <v>20830639175</v>
      </c>
      <c r="AG4" s="188">
        <v>23997831673</v>
      </c>
      <c r="AH4" s="188">
        <v>16503919807</v>
      </c>
      <c r="AI4" s="188">
        <v>17427462074</v>
      </c>
      <c r="AJ4" s="188">
        <v>16281329810</v>
      </c>
      <c r="AK4" s="188">
        <v>15836411922</v>
      </c>
      <c r="AL4" s="188">
        <v>13283122033</v>
      </c>
      <c r="AM4" s="188">
        <v>14078586689</v>
      </c>
      <c r="AN4" s="188">
        <v>4100971349</v>
      </c>
      <c r="AO4" s="188">
        <v>3903740704</v>
      </c>
      <c r="AP4" s="188">
        <v>2984353149</v>
      </c>
      <c r="AQ4" s="188">
        <v>1620166213</v>
      </c>
      <c r="AR4" s="188">
        <v>1633981977</v>
      </c>
      <c r="AS4" s="188">
        <v>1704436404</v>
      </c>
      <c r="AT4" s="188">
        <v>2119100548</v>
      </c>
      <c r="AU4" s="188">
        <v>1920791106</v>
      </c>
      <c r="AV4" s="188">
        <v>1887177195</v>
      </c>
      <c r="AW4" s="188">
        <v>1809217235</v>
      </c>
      <c r="AX4" s="188">
        <v>2395946480</v>
      </c>
      <c r="AY4" s="188">
        <v>1510409463</v>
      </c>
      <c r="AZ4" s="188">
        <v>1894571073</v>
      </c>
      <c r="BA4" s="188">
        <v>2080680420</v>
      </c>
      <c r="BB4" s="188">
        <v>3677332912</v>
      </c>
      <c r="BC4" s="188">
        <v>4793160032</v>
      </c>
      <c r="BD4" s="188">
        <v>1704577066</v>
      </c>
      <c r="BE4" s="188">
        <v>1834288334</v>
      </c>
      <c r="BF4" s="188">
        <v>3656404811.3099999</v>
      </c>
      <c r="BG4" s="188">
        <v>2790569226.0900002</v>
      </c>
      <c r="BH4" s="188">
        <v>3462370529.1199999</v>
      </c>
      <c r="BI4" s="188">
        <v>2251459425</v>
      </c>
      <c r="BJ4" s="188">
        <v>1747470380.95</v>
      </c>
      <c r="BK4" s="188">
        <v>1812508377.8900001</v>
      </c>
      <c r="BL4" s="188">
        <v>2079395236.02</v>
      </c>
      <c r="BM4" s="188">
        <v>2294225705</v>
      </c>
      <c r="BN4" s="188">
        <v>1161267124.49</v>
      </c>
      <c r="BO4" s="188">
        <v>1007925671.23</v>
      </c>
      <c r="BP4" s="188">
        <v>1214123990.8</v>
      </c>
      <c r="BQ4" s="188">
        <v>1182597735</v>
      </c>
      <c r="BR4" s="188">
        <v>1273594641.9100001</v>
      </c>
      <c r="BS4" s="188">
        <v>1405962761</v>
      </c>
      <c r="BT4" s="188">
        <v>461243462</v>
      </c>
      <c r="BU4" s="188">
        <v>329471420</v>
      </c>
      <c r="BV4" s="188">
        <v>365063684.08999997</v>
      </c>
      <c r="BW4" s="188">
        <v>333875000</v>
      </c>
      <c r="BX4" s="188">
        <v>324860877.75</v>
      </c>
      <c r="BY4" s="188">
        <v>412086000</v>
      </c>
      <c r="BZ4" s="188">
        <v>0</v>
      </c>
      <c r="CA4" s="188">
        <v>47734000</v>
      </c>
      <c r="CB4" s="188">
        <v>41349000</v>
      </c>
      <c r="CC4" s="188">
        <v>27882000</v>
      </c>
      <c r="CD4" s="188">
        <v>0</v>
      </c>
    </row>
    <row r="5" spans="1:82" x14ac:dyDescent="0.25">
      <c r="A5" s="188" t="s">
        <v>109</v>
      </c>
      <c r="B5" s="188">
        <v>0</v>
      </c>
      <c r="C5" s="188">
        <v>0</v>
      </c>
      <c r="D5" s="188">
        <v>0</v>
      </c>
      <c r="E5" s="188">
        <v>0</v>
      </c>
      <c r="F5" s="188">
        <v>0</v>
      </c>
      <c r="G5" s="188">
        <v>0</v>
      </c>
      <c r="H5" s="188">
        <v>0</v>
      </c>
      <c r="I5" s="188">
        <v>0</v>
      </c>
      <c r="J5" s="188">
        <v>0</v>
      </c>
      <c r="K5" s="188">
        <v>35872347</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67794013</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500000</v>
      </c>
      <c r="BC5" s="188">
        <v>0</v>
      </c>
      <c r="BD5" s="188">
        <v>0</v>
      </c>
      <c r="BE5" s="188">
        <v>0</v>
      </c>
      <c r="BF5" s="188">
        <v>0</v>
      </c>
      <c r="BG5" s="188">
        <v>0</v>
      </c>
      <c r="BH5" s="188">
        <v>0</v>
      </c>
      <c r="BI5" s="188">
        <v>0</v>
      </c>
      <c r="BJ5" s="188">
        <v>0</v>
      </c>
      <c r="BK5" s="188">
        <v>0</v>
      </c>
      <c r="BL5" s="188">
        <v>20425293.57</v>
      </c>
      <c r="BM5" s="188">
        <v>0</v>
      </c>
      <c r="BN5" s="188">
        <v>79861691.019999996</v>
      </c>
      <c r="BO5" s="188">
        <v>0</v>
      </c>
      <c r="BP5" s="188">
        <v>0</v>
      </c>
      <c r="BQ5" s="188">
        <v>0</v>
      </c>
      <c r="BR5" s="188">
        <v>0</v>
      </c>
      <c r="BS5" s="188">
        <v>0</v>
      </c>
      <c r="BT5" s="188">
        <v>0</v>
      </c>
      <c r="BU5" s="188">
        <v>5000000</v>
      </c>
      <c r="BV5" s="188">
        <v>0</v>
      </c>
      <c r="BW5" s="188">
        <v>0</v>
      </c>
      <c r="BX5" s="188">
        <v>0</v>
      </c>
      <c r="BY5" s="188">
        <v>0</v>
      </c>
      <c r="BZ5" s="188">
        <v>0</v>
      </c>
      <c r="CA5" s="188">
        <v>0</v>
      </c>
      <c r="CB5" s="188">
        <v>0</v>
      </c>
      <c r="CC5" s="188">
        <v>0</v>
      </c>
      <c r="CD5" s="188">
        <v>0</v>
      </c>
    </row>
    <row r="6" spans="1:82" x14ac:dyDescent="0.25">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v>0</v>
      </c>
      <c r="BM6" s="188">
        <v>0</v>
      </c>
      <c r="BN6" s="188">
        <v>0</v>
      </c>
      <c r="BO6" s="188">
        <v>0</v>
      </c>
      <c r="BP6" s="188">
        <v>0</v>
      </c>
      <c r="BQ6" s="188">
        <v>0</v>
      </c>
      <c r="BR6" s="188">
        <v>0</v>
      </c>
      <c r="BS6" s="188">
        <v>0</v>
      </c>
      <c r="BT6" s="188">
        <v>0</v>
      </c>
      <c r="BU6" s="188">
        <v>0</v>
      </c>
      <c r="BV6" s="188">
        <v>0</v>
      </c>
      <c r="BW6" s="188">
        <v>0</v>
      </c>
      <c r="BX6" s="188">
        <v>0</v>
      </c>
      <c r="BY6" s="188">
        <v>0</v>
      </c>
      <c r="BZ6" s="188">
        <v>0</v>
      </c>
      <c r="CA6" s="188">
        <v>0</v>
      </c>
      <c r="CB6" s="188">
        <v>0</v>
      </c>
      <c r="CC6" s="188">
        <v>0</v>
      </c>
      <c r="CD6" s="188">
        <v>0</v>
      </c>
    </row>
    <row r="7" spans="1:82" x14ac:dyDescent="0.25">
      <c r="A7" s="188" t="s">
        <v>111</v>
      </c>
      <c r="B7" s="188">
        <v>533324430</v>
      </c>
      <c r="C7" s="188">
        <v>540151648</v>
      </c>
      <c r="D7" s="188">
        <v>784406924</v>
      </c>
      <c r="E7" s="188">
        <v>833268127</v>
      </c>
      <c r="F7" s="188">
        <v>1266574627</v>
      </c>
      <c r="G7" s="188">
        <v>1263302564</v>
      </c>
      <c r="H7" s="188">
        <v>1084692803</v>
      </c>
      <c r="I7" s="188">
        <v>1369836650</v>
      </c>
      <c r="J7" s="188">
        <v>1219908043</v>
      </c>
      <c r="K7" s="188">
        <v>1065793439</v>
      </c>
      <c r="L7" s="188">
        <v>629524293</v>
      </c>
      <c r="M7" s="188">
        <v>362053092</v>
      </c>
      <c r="N7" s="188">
        <v>244458507</v>
      </c>
      <c r="O7" s="188">
        <v>218474506</v>
      </c>
      <c r="P7" s="188">
        <v>356189850</v>
      </c>
      <c r="Q7" s="188">
        <v>501172383</v>
      </c>
      <c r="R7" s="188">
        <v>529719139</v>
      </c>
      <c r="S7" s="188">
        <v>441895086</v>
      </c>
      <c r="T7" s="188">
        <v>530085147</v>
      </c>
      <c r="U7" s="188">
        <v>565423076</v>
      </c>
      <c r="V7" s="188">
        <v>760409630</v>
      </c>
      <c r="W7" s="188">
        <v>728155809</v>
      </c>
      <c r="X7" s="188">
        <v>899584110</v>
      </c>
      <c r="Y7" s="188">
        <v>860883384</v>
      </c>
      <c r="Z7" s="188">
        <v>620834911</v>
      </c>
      <c r="AA7" s="188">
        <v>551484685</v>
      </c>
      <c r="AB7" s="188">
        <v>558795142</v>
      </c>
      <c r="AC7" s="188">
        <v>340293997</v>
      </c>
      <c r="AD7" s="188">
        <v>468059649</v>
      </c>
      <c r="AE7" s="188">
        <v>353407224</v>
      </c>
      <c r="AF7" s="188">
        <v>428420157</v>
      </c>
      <c r="AG7" s="188">
        <v>378937778</v>
      </c>
      <c r="AH7" s="188">
        <v>332634775</v>
      </c>
      <c r="AI7" s="188">
        <v>330368454</v>
      </c>
      <c r="AJ7" s="188">
        <v>286939451</v>
      </c>
      <c r="AK7" s="188">
        <v>331898229</v>
      </c>
      <c r="AL7" s="188">
        <v>312526528</v>
      </c>
      <c r="AM7" s="188">
        <v>240688147</v>
      </c>
      <c r="AN7" s="188">
        <v>191595441</v>
      </c>
      <c r="AO7" s="188">
        <v>305340503</v>
      </c>
      <c r="AP7" s="188">
        <v>192781562</v>
      </c>
      <c r="AQ7" s="188">
        <v>140211664</v>
      </c>
      <c r="AR7" s="188">
        <v>182991495</v>
      </c>
      <c r="AS7" s="188">
        <v>175783058</v>
      </c>
      <c r="AT7" s="188">
        <v>341667556</v>
      </c>
      <c r="AU7" s="188">
        <v>112054545</v>
      </c>
      <c r="AV7" s="188">
        <v>100860667</v>
      </c>
      <c r="AW7" s="188">
        <v>57068391</v>
      </c>
      <c r="AX7" s="188">
        <v>168392735</v>
      </c>
      <c r="AY7" s="188">
        <v>135650187</v>
      </c>
      <c r="AZ7" s="188">
        <v>123163661</v>
      </c>
      <c r="BA7" s="188">
        <v>101237757</v>
      </c>
      <c r="BB7" s="188">
        <v>148119509</v>
      </c>
      <c r="BC7" s="188">
        <v>194903981</v>
      </c>
      <c r="BD7" s="188">
        <v>191014648</v>
      </c>
      <c r="BE7" s="188">
        <v>200318607</v>
      </c>
      <c r="BF7" s="188">
        <v>172552766.40000001</v>
      </c>
      <c r="BG7" s="188">
        <v>209846266.68000001</v>
      </c>
      <c r="BH7" s="188">
        <v>194742248.43000001</v>
      </c>
      <c r="BI7" s="188">
        <v>154184396</v>
      </c>
      <c r="BJ7" s="188">
        <v>153524748.94</v>
      </c>
      <c r="BK7" s="188">
        <v>147811200.53</v>
      </c>
      <c r="BL7" s="188">
        <v>128550634.76000001</v>
      </c>
      <c r="BM7" s="188">
        <v>83253450</v>
      </c>
      <c r="BN7" s="188">
        <v>0</v>
      </c>
      <c r="BO7" s="188">
        <v>159180368.99000001</v>
      </c>
      <c r="BP7" s="188">
        <v>127220357.20999999</v>
      </c>
      <c r="BQ7" s="188">
        <v>107294474</v>
      </c>
      <c r="BR7" s="188">
        <v>39032584</v>
      </c>
      <c r="BS7" s="188">
        <v>34396338</v>
      </c>
      <c r="BT7" s="188">
        <v>41740636</v>
      </c>
      <c r="BU7" s="188">
        <v>17245281</v>
      </c>
      <c r="BV7" s="188">
        <v>19712112.59</v>
      </c>
      <c r="BW7" s="188">
        <v>19828000</v>
      </c>
      <c r="BX7" s="188">
        <v>17709506.440000001</v>
      </c>
      <c r="BY7" s="188">
        <v>14533000</v>
      </c>
      <c r="BZ7" s="188">
        <v>0</v>
      </c>
      <c r="CA7" s="188">
        <v>9583000</v>
      </c>
      <c r="CB7" s="188">
        <v>884000</v>
      </c>
      <c r="CC7" s="188">
        <v>256000</v>
      </c>
      <c r="CD7" s="188">
        <v>0</v>
      </c>
    </row>
    <row r="8" spans="1:82" x14ac:dyDescent="0.25">
      <c r="A8" s="188" t="s">
        <v>112</v>
      </c>
      <c r="B8" s="188">
        <v>19161653053</v>
      </c>
      <c r="C8" s="188">
        <v>17356033029</v>
      </c>
      <c r="D8" s="188">
        <v>14069001897</v>
      </c>
      <c r="E8" s="188">
        <v>15513763252</v>
      </c>
      <c r="F8" s="188">
        <v>15052229887</v>
      </c>
      <c r="G8" s="188">
        <v>16863534739</v>
      </c>
      <c r="H8" s="188">
        <v>15250839378</v>
      </c>
      <c r="I8" s="188">
        <v>16191791617</v>
      </c>
      <c r="J8" s="188">
        <v>13672569024</v>
      </c>
      <c r="K8" s="188">
        <v>10729817649</v>
      </c>
      <c r="L8" s="188">
        <v>7626082142</v>
      </c>
      <c r="M8" s="188">
        <v>8192514361</v>
      </c>
      <c r="N8" s="188">
        <v>8417046247</v>
      </c>
      <c r="O8" s="188">
        <v>7394263585</v>
      </c>
      <c r="P8" s="188">
        <v>7596364487</v>
      </c>
      <c r="Q8" s="188">
        <v>6615762122</v>
      </c>
      <c r="R8" s="188">
        <v>6178352533</v>
      </c>
      <c r="S8" s="188">
        <v>5122439581</v>
      </c>
      <c r="T8" s="188">
        <v>4557280210</v>
      </c>
      <c r="U8" s="188">
        <v>4855938522</v>
      </c>
      <c r="V8" s="188">
        <v>5329676563</v>
      </c>
      <c r="W8" s="188">
        <v>5367401093</v>
      </c>
      <c r="X8" s="188">
        <v>5670483982</v>
      </c>
      <c r="Y8" s="188">
        <v>5196041164</v>
      </c>
      <c r="Z8" s="188">
        <v>5205471791</v>
      </c>
      <c r="AA8" s="188">
        <v>3386388813</v>
      </c>
      <c r="AB8" s="188">
        <v>2846814720</v>
      </c>
      <c r="AC8" s="188">
        <v>2560795545</v>
      </c>
      <c r="AD8" s="188">
        <v>2083599248</v>
      </c>
      <c r="AE8" s="188">
        <v>1800092683</v>
      </c>
      <c r="AF8" s="188">
        <v>1460472955</v>
      </c>
      <c r="AG8" s="188">
        <v>1263204267</v>
      </c>
      <c r="AH8" s="188">
        <v>1243364291</v>
      </c>
      <c r="AI8" s="188">
        <v>1414740896</v>
      </c>
      <c r="AJ8" s="188">
        <v>1293535466</v>
      </c>
      <c r="AK8" s="188">
        <v>1195729431</v>
      </c>
      <c r="AL8" s="188">
        <v>1024790621</v>
      </c>
      <c r="AM8" s="188">
        <v>909783165</v>
      </c>
      <c r="AN8" s="188">
        <v>534513350</v>
      </c>
      <c r="AO8" s="188">
        <v>485918608</v>
      </c>
      <c r="AP8" s="188">
        <v>1008582068</v>
      </c>
      <c r="AQ8" s="188">
        <v>1602580544</v>
      </c>
      <c r="AR8" s="188">
        <v>1640182824</v>
      </c>
      <c r="AS8" s="188">
        <v>1793612342</v>
      </c>
      <c r="AT8" s="188">
        <v>1550597946</v>
      </c>
      <c r="AU8" s="188">
        <v>1623382251</v>
      </c>
      <c r="AV8" s="188">
        <v>1254576404</v>
      </c>
      <c r="AW8" s="188">
        <v>1117873492</v>
      </c>
      <c r="AX8" s="188">
        <v>1074601933</v>
      </c>
      <c r="AY8" s="188">
        <v>1268056626</v>
      </c>
      <c r="AZ8" s="188">
        <v>1367317953</v>
      </c>
      <c r="BA8" s="188">
        <v>1775056323</v>
      </c>
      <c r="BB8" s="188">
        <v>3087139691</v>
      </c>
      <c r="BC8" s="188">
        <v>2135585996</v>
      </c>
      <c r="BD8" s="188">
        <v>1683989481</v>
      </c>
      <c r="BE8" s="188">
        <v>1842106801</v>
      </c>
      <c r="BF8" s="188">
        <v>2590511829.4499998</v>
      </c>
      <c r="BG8" s="188">
        <v>2217458947.0999999</v>
      </c>
      <c r="BH8" s="188">
        <v>2460940774.0300002</v>
      </c>
      <c r="BI8" s="188">
        <v>1867071902</v>
      </c>
      <c r="BJ8" s="188">
        <v>1842354752.51</v>
      </c>
      <c r="BK8" s="188">
        <v>1576389486.51</v>
      </c>
      <c r="BL8" s="188">
        <v>1511875874.6600001</v>
      </c>
      <c r="BM8" s="188">
        <v>1058741716</v>
      </c>
      <c r="BN8" s="188">
        <v>1148305949.54</v>
      </c>
      <c r="BO8" s="188">
        <v>869599204.12</v>
      </c>
      <c r="BP8" s="188">
        <v>811629222.86000001</v>
      </c>
      <c r="BQ8" s="188">
        <v>466255952</v>
      </c>
      <c r="BR8" s="188">
        <v>513320715.93000001</v>
      </c>
      <c r="BS8" s="188">
        <v>561781193</v>
      </c>
      <c r="BT8" s="188">
        <v>526750197</v>
      </c>
      <c r="BU8" s="188">
        <v>364144681</v>
      </c>
      <c r="BV8" s="188">
        <v>90514462.390000001</v>
      </c>
      <c r="BW8" s="188">
        <v>90562000</v>
      </c>
      <c r="BX8" s="188">
        <v>51812208.340000004</v>
      </c>
      <c r="BY8" s="188">
        <v>46852000</v>
      </c>
      <c r="BZ8" s="188">
        <v>0</v>
      </c>
      <c r="CA8" s="188">
        <v>39596000</v>
      </c>
      <c r="CB8" s="188">
        <v>32657000</v>
      </c>
      <c r="CC8" s="188">
        <v>34882000</v>
      </c>
      <c r="CD8" s="188">
        <v>0</v>
      </c>
    </row>
    <row r="9" spans="1:82" x14ac:dyDescent="0.25">
      <c r="A9" s="188" t="s">
        <v>113</v>
      </c>
      <c r="B9" s="188">
        <v>987661510</v>
      </c>
      <c r="C9" s="188">
        <v>755433430</v>
      </c>
      <c r="D9" s="188">
        <v>593628727</v>
      </c>
      <c r="E9" s="188">
        <v>587126751</v>
      </c>
      <c r="F9" s="188">
        <v>827453107</v>
      </c>
      <c r="G9" s="188">
        <v>1041632450</v>
      </c>
      <c r="H9" s="188">
        <v>776634073</v>
      </c>
      <c r="I9" s="188">
        <v>708511473</v>
      </c>
      <c r="J9" s="188">
        <v>593145184</v>
      </c>
      <c r="K9" s="188">
        <v>603407804</v>
      </c>
      <c r="L9" s="188">
        <v>146418990</v>
      </c>
      <c r="M9" s="188">
        <v>226447504</v>
      </c>
      <c r="N9" s="188">
        <v>259672951</v>
      </c>
      <c r="O9" s="188">
        <v>324688294</v>
      </c>
      <c r="P9" s="188">
        <v>62745936</v>
      </c>
      <c r="Q9" s="188">
        <v>150734013</v>
      </c>
      <c r="R9" s="188">
        <v>170297086</v>
      </c>
      <c r="S9" s="188">
        <v>223122002</v>
      </c>
      <c r="T9" s="188">
        <v>169765539</v>
      </c>
      <c r="U9" s="188">
        <v>141404773</v>
      </c>
      <c r="V9" s="188">
        <v>249825413</v>
      </c>
      <c r="W9" s="188">
        <v>226323431</v>
      </c>
      <c r="X9" s="188">
        <v>99099583</v>
      </c>
      <c r="Y9" s="188">
        <v>118558011</v>
      </c>
      <c r="Z9" s="188">
        <v>219037618</v>
      </c>
      <c r="AA9" s="188">
        <v>154633989</v>
      </c>
      <c r="AB9" s="188">
        <v>81254356</v>
      </c>
      <c r="AC9" s="188">
        <v>64799585</v>
      </c>
      <c r="AD9" s="188">
        <v>102254523</v>
      </c>
      <c r="AE9" s="188">
        <v>114447865</v>
      </c>
      <c r="AF9" s="188">
        <v>87444793</v>
      </c>
      <c r="AG9" s="188">
        <v>40275676</v>
      </c>
      <c r="AH9" s="188">
        <v>63834391</v>
      </c>
      <c r="AI9" s="188">
        <v>54543695</v>
      </c>
      <c r="AJ9" s="188">
        <v>85710406</v>
      </c>
      <c r="AK9" s="188">
        <v>41375396</v>
      </c>
      <c r="AL9" s="188">
        <v>474525931</v>
      </c>
      <c r="AM9" s="188">
        <v>481668145</v>
      </c>
      <c r="AN9" s="188">
        <v>197155338</v>
      </c>
      <c r="AO9" s="188">
        <v>46467616</v>
      </c>
      <c r="AP9" s="188">
        <v>49642139</v>
      </c>
      <c r="AQ9" s="188">
        <v>135251957</v>
      </c>
      <c r="AR9" s="188">
        <v>129833562</v>
      </c>
      <c r="AS9" s="188">
        <v>112038696</v>
      </c>
      <c r="AT9" s="188">
        <v>100689353</v>
      </c>
      <c r="AU9" s="188">
        <v>87131618</v>
      </c>
      <c r="AV9" s="188">
        <v>61629466</v>
      </c>
      <c r="AW9" s="188">
        <v>51157753</v>
      </c>
      <c r="AX9" s="188">
        <v>78706583</v>
      </c>
      <c r="AY9" s="188">
        <v>100516561</v>
      </c>
      <c r="AZ9" s="188">
        <v>128503599</v>
      </c>
      <c r="BA9" s="188">
        <v>95975765</v>
      </c>
      <c r="BB9" s="188">
        <v>140898472</v>
      </c>
      <c r="BC9" s="188">
        <v>82668637</v>
      </c>
      <c r="BD9" s="188">
        <v>156526588</v>
      </c>
      <c r="BE9" s="188">
        <v>33146357</v>
      </c>
      <c r="BF9" s="188">
        <v>434291175.42000002</v>
      </c>
      <c r="BG9" s="188">
        <v>149544229.72999999</v>
      </c>
      <c r="BH9" s="188">
        <v>57543515.299999997</v>
      </c>
      <c r="BI9" s="188">
        <v>26977683</v>
      </c>
      <c r="BJ9" s="188">
        <v>101228184.31</v>
      </c>
      <c r="BK9" s="188">
        <v>85146317.170000002</v>
      </c>
      <c r="BL9" s="188">
        <v>64645357.609999999</v>
      </c>
      <c r="BM9" s="188">
        <v>28897741</v>
      </c>
      <c r="BN9" s="188">
        <v>40291049.460000001</v>
      </c>
      <c r="BO9" s="188">
        <v>31652121.460000001</v>
      </c>
      <c r="BP9" s="188">
        <v>45936458.600000001</v>
      </c>
      <c r="BQ9" s="188">
        <v>28531783</v>
      </c>
      <c r="BR9" s="188">
        <v>19660841.850000001</v>
      </c>
      <c r="BS9" s="188">
        <v>12540934</v>
      </c>
      <c r="BT9" s="188">
        <v>16192832</v>
      </c>
      <c r="BU9" s="188">
        <v>37079293</v>
      </c>
      <c r="BV9" s="188">
        <v>1789345</v>
      </c>
      <c r="BW9" s="188">
        <v>3899000</v>
      </c>
      <c r="BX9" s="188">
        <v>4025896.65</v>
      </c>
      <c r="BY9" s="188">
        <v>5001000</v>
      </c>
      <c r="BZ9" s="188">
        <v>0</v>
      </c>
      <c r="CA9" s="188">
        <v>2135000</v>
      </c>
      <c r="CB9" s="188">
        <v>4536000</v>
      </c>
      <c r="CC9" s="188">
        <v>1141000</v>
      </c>
      <c r="CD9" s="188">
        <v>0</v>
      </c>
    </row>
    <row r="10" spans="1:82" x14ac:dyDescent="0.25">
      <c r="A10" s="188" t="s">
        <v>114</v>
      </c>
      <c r="B10" s="188">
        <v>0</v>
      </c>
      <c r="C10" s="188">
        <v>127018762</v>
      </c>
      <c r="D10" s="188">
        <v>97251941</v>
      </c>
      <c r="E10" s="188">
        <v>89628559</v>
      </c>
      <c r="F10" s="188">
        <v>102086542</v>
      </c>
      <c r="G10" s="188">
        <v>89188241</v>
      </c>
      <c r="H10" s="188">
        <v>101354581</v>
      </c>
      <c r="I10" s="188">
        <v>125141573</v>
      </c>
      <c r="J10" s="188">
        <v>95871850</v>
      </c>
      <c r="K10" s="188">
        <v>107730119</v>
      </c>
      <c r="L10" s="188">
        <v>102873613</v>
      </c>
      <c r="M10" s="188">
        <v>194518278</v>
      </c>
      <c r="N10" s="188">
        <v>251422668</v>
      </c>
      <c r="O10" s="188">
        <v>241603019</v>
      </c>
      <c r="P10" s="188">
        <v>289509584</v>
      </c>
      <c r="Q10" s="188">
        <v>275877747</v>
      </c>
      <c r="R10" s="188">
        <v>304242276</v>
      </c>
      <c r="S10" s="188">
        <v>211529571</v>
      </c>
      <c r="T10" s="188">
        <v>78249771</v>
      </c>
      <c r="U10" s="188">
        <v>109045546</v>
      </c>
      <c r="V10" s="188">
        <v>96346279</v>
      </c>
      <c r="W10" s="188">
        <v>82336282</v>
      </c>
      <c r="X10" s="188">
        <v>39178603</v>
      </c>
      <c r="Y10" s="188">
        <v>30850933</v>
      </c>
      <c r="Z10" s="188">
        <v>37642050</v>
      </c>
      <c r="AA10" s="188">
        <v>46241459</v>
      </c>
      <c r="AB10" s="188">
        <v>67999851</v>
      </c>
      <c r="AC10" s="188">
        <v>105243519</v>
      </c>
      <c r="AD10" s="188">
        <v>86537208</v>
      </c>
      <c r="AE10" s="188">
        <v>80535776</v>
      </c>
      <c r="AF10" s="188">
        <v>57234109</v>
      </c>
      <c r="AG10" s="188">
        <v>57851997</v>
      </c>
      <c r="AH10" s="188">
        <v>50151702</v>
      </c>
      <c r="AI10" s="188">
        <v>30321304</v>
      </c>
      <c r="AJ10" s="188">
        <v>38198522</v>
      </c>
      <c r="AK10" s="188">
        <v>36303904</v>
      </c>
      <c r="AL10" s="188">
        <v>24206069</v>
      </c>
      <c r="AM10" s="188">
        <v>18713672</v>
      </c>
      <c r="AN10" s="188">
        <v>6192252</v>
      </c>
      <c r="AO10" s="188">
        <v>6561758</v>
      </c>
      <c r="AP10" s="188">
        <v>4758428</v>
      </c>
      <c r="AQ10" s="188">
        <v>1818092</v>
      </c>
      <c r="AR10" s="188">
        <v>467594</v>
      </c>
      <c r="AS10" s="188">
        <v>1516906</v>
      </c>
      <c r="AT10" s="188">
        <v>3315917</v>
      </c>
      <c r="AU10" s="188">
        <v>8856198</v>
      </c>
      <c r="AV10" s="188">
        <v>5514140</v>
      </c>
      <c r="AW10" s="188">
        <v>0</v>
      </c>
      <c r="AX10" s="188">
        <v>0</v>
      </c>
      <c r="AY10" s="188">
        <v>0</v>
      </c>
      <c r="AZ10" s="188">
        <v>0</v>
      </c>
      <c r="BA10" s="188">
        <v>0</v>
      </c>
      <c r="BB10" s="188">
        <v>6894406</v>
      </c>
      <c r="BC10" s="188">
        <v>5024157</v>
      </c>
      <c r="BD10" s="188">
        <v>9542814</v>
      </c>
      <c r="BE10" s="188">
        <v>4632591</v>
      </c>
      <c r="BF10" s="188">
        <v>3089731.38</v>
      </c>
      <c r="BG10" s="188">
        <v>2471914.25</v>
      </c>
      <c r="BH10" s="188">
        <v>7266074.0599999996</v>
      </c>
      <c r="BI10" s="188">
        <v>0</v>
      </c>
      <c r="BJ10" s="188">
        <v>1793702.38</v>
      </c>
      <c r="BK10" s="188">
        <v>5429884.2599999998</v>
      </c>
      <c r="BL10" s="188">
        <v>825550.82</v>
      </c>
      <c r="BM10" s="188">
        <v>0</v>
      </c>
      <c r="BN10" s="188">
        <v>0</v>
      </c>
      <c r="BO10" s="188">
        <v>0</v>
      </c>
      <c r="BP10" s="188">
        <v>0</v>
      </c>
      <c r="BQ10" s="188">
        <v>0</v>
      </c>
      <c r="BR10" s="188">
        <v>0</v>
      </c>
      <c r="BS10" s="188">
        <v>0</v>
      </c>
      <c r="BT10" s="188">
        <v>0</v>
      </c>
      <c r="BU10" s="188">
        <v>0</v>
      </c>
      <c r="BV10" s="188">
        <v>0</v>
      </c>
      <c r="BW10" s="188">
        <v>0</v>
      </c>
      <c r="BX10" s="188">
        <v>0</v>
      </c>
      <c r="BY10" s="188">
        <v>0</v>
      </c>
      <c r="BZ10" s="188">
        <v>0</v>
      </c>
      <c r="CA10" s="188">
        <v>0</v>
      </c>
      <c r="CB10" s="188">
        <v>0</v>
      </c>
      <c r="CC10" s="188">
        <v>0</v>
      </c>
      <c r="CD10" s="188">
        <v>0</v>
      </c>
    </row>
    <row r="11" spans="1:82" x14ac:dyDescent="0.25">
      <c r="A11" s="188" t="s">
        <v>115</v>
      </c>
      <c r="B11" s="188">
        <v>0</v>
      </c>
      <c r="C11" s="188">
        <v>5950240</v>
      </c>
      <c r="D11" s="188">
        <v>196070</v>
      </c>
      <c r="E11" s="188">
        <v>0</v>
      </c>
      <c r="F11" s="188">
        <v>0</v>
      </c>
      <c r="G11" s="188">
        <v>10250449</v>
      </c>
      <c r="H11" s="188">
        <v>0</v>
      </c>
      <c r="I11" s="188">
        <v>0</v>
      </c>
      <c r="J11" s="188">
        <v>0</v>
      </c>
      <c r="K11" s="188">
        <v>6651480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6698641</v>
      </c>
      <c r="AU11" s="188">
        <v>0</v>
      </c>
      <c r="AV11" s="188">
        <v>0</v>
      </c>
      <c r="AW11" s="188">
        <v>0</v>
      </c>
      <c r="AX11" s="188">
        <v>0</v>
      </c>
      <c r="AY11" s="188">
        <v>0</v>
      </c>
      <c r="AZ11" s="188">
        <v>0</v>
      </c>
      <c r="BA11" s="188">
        <v>0</v>
      </c>
      <c r="BB11" s="188">
        <v>20723612</v>
      </c>
      <c r="BC11" s="188">
        <v>0</v>
      </c>
      <c r="BD11" s="188">
        <v>0</v>
      </c>
      <c r="BE11" s="188">
        <v>0</v>
      </c>
      <c r="BF11" s="188">
        <v>0</v>
      </c>
      <c r="BG11" s="188">
        <v>0</v>
      </c>
      <c r="BH11" s="188">
        <v>0</v>
      </c>
      <c r="BI11" s="188">
        <v>0</v>
      </c>
      <c r="BJ11" s="188">
        <v>0</v>
      </c>
      <c r="BK11" s="188">
        <v>0</v>
      </c>
      <c r="BL11" s="188">
        <v>0</v>
      </c>
      <c r="BM11" s="188">
        <v>0</v>
      </c>
      <c r="BN11" s="188">
        <v>0</v>
      </c>
      <c r="BO11" s="188">
        <v>0</v>
      </c>
      <c r="BP11" s="188">
        <v>0</v>
      </c>
      <c r="BQ11" s="188">
        <v>0</v>
      </c>
      <c r="BR11" s="188">
        <v>0</v>
      </c>
      <c r="BS11" s="188">
        <v>0</v>
      </c>
      <c r="BT11" s="188">
        <v>0</v>
      </c>
      <c r="BU11" s="188">
        <v>0</v>
      </c>
      <c r="BV11" s="188">
        <v>0</v>
      </c>
      <c r="BW11" s="188">
        <v>0</v>
      </c>
      <c r="BX11" s="188">
        <v>0</v>
      </c>
      <c r="BY11" s="188">
        <v>0</v>
      </c>
      <c r="BZ11" s="188">
        <v>0</v>
      </c>
      <c r="CA11" s="188">
        <v>0</v>
      </c>
      <c r="CB11" s="188">
        <v>0</v>
      </c>
      <c r="CC11" s="188">
        <v>0</v>
      </c>
      <c r="CD11" s="188">
        <v>0</v>
      </c>
    </row>
    <row r="12" spans="1:82" x14ac:dyDescent="0.25">
      <c r="A12" s="188" t="s">
        <v>116</v>
      </c>
      <c r="B12" s="188">
        <v>724420493</v>
      </c>
      <c r="C12" s="188">
        <v>608318659</v>
      </c>
      <c r="D12" s="188">
        <v>722744609</v>
      </c>
      <c r="E12" s="188">
        <v>728395573</v>
      </c>
      <c r="F12" s="188">
        <v>819425747</v>
      </c>
      <c r="G12" s="188">
        <v>955540522</v>
      </c>
      <c r="H12" s="188">
        <v>870575850</v>
      </c>
      <c r="I12" s="188">
        <v>903069416</v>
      </c>
      <c r="J12" s="188">
        <v>677705782</v>
      </c>
      <c r="K12" s="188">
        <v>533059122</v>
      </c>
      <c r="L12" s="188">
        <v>908282661</v>
      </c>
      <c r="M12" s="188">
        <v>593329847</v>
      </c>
      <c r="N12" s="188">
        <v>535458917</v>
      </c>
      <c r="O12" s="188">
        <v>603411448</v>
      </c>
      <c r="P12" s="188">
        <v>596358914</v>
      </c>
      <c r="Q12" s="188">
        <v>720716550</v>
      </c>
      <c r="R12" s="188">
        <v>686015242</v>
      </c>
      <c r="S12" s="188">
        <v>573638739</v>
      </c>
      <c r="T12" s="188">
        <v>660638348</v>
      </c>
      <c r="U12" s="188">
        <v>618124736</v>
      </c>
      <c r="V12" s="188">
        <v>824029886</v>
      </c>
      <c r="W12" s="188">
        <v>743304125</v>
      </c>
      <c r="X12" s="188">
        <v>765923647</v>
      </c>
      <c r="Y12" s="188">
        <v>459082392</v>
      </c>
      <c r="Z12" s="188">
        <v>1857399676</v>
      </c>
      <c r="AA12" s="188">
        <v>1790351375</v>
      </c>
      <c r="AB12" s="188">
        <v>1750219654</v>
      </c>
      <c r="AC12" s="188">
        <v>1735824884</v>
      </c>
      <c r="AD12" s="188">
        <v>149443189</v>
      </c>
      <c r="AE12" s="188">
        <v>138113585</v>
      </c>
      <c r="AF12" s="188">
        <v>134171235</v>
      </c>
      <c r="AG12" s="188">
        <v>333128771</v>
      </c>
      <c r="AH12" s="188">
        <v>154920871</v>
      </c>
      <c r="AI12" s="188">
        <v>134790823</v>
      </c>
      <c r="AJ12" s="188">
        <v>123001025</v>
      </c>
      <c r="AK12" s="188">
        <v>106764069</v>
      </c>
      <c r="AL12" s="188">
        <v>45771391</v>
      </c>
      <c r="AM12" s="188">
        <v>66292696</v>
      </c>
      <c r="AN12" s="188">
        <v>57001921</v>
      </c>
      <c r="AO12" s="188">
        <v>91430944</v>
      </c>
      <c r="AP12" s="188">
        <v>155077730</v>
      </c>
      <c r="AQ12" s="188">
        <v>139422141</v>
      </c>
      <c r="AR12" s="188">
        <v>214610971</v>
      </c>
      <c r="AS12" s="188">
        <v>80595468</v>
      </c>
      <c r="AT12" s="188">
        <v>83555950</v>
      </c>
      <c r="AU12" s="188">
        <v>63436866</v>
      </c>
      <c r="AV12" s="188">
        <v>195141385</v>
      </c>
      <c r="AW12" s="188">
        <v>180356253</v>
      </c>
      <c r="AX12" s="188">
        <v>296233569</v>
      </c>
      <c r="AY12" s="188">
        <v>317487864</v>
      </c>
      <c r="AZ12" s="188">
        <v>418380393</v>
      </c>
      <c r="BA12" s="188">
        <v>330522944</v>
      </c>
      <c r="BB12" s="188">
        <v>185938174</v>
      </c>
      <c r="BC12" s="188">
        <v>243769247</v>
      </c>
      <c r="BD12" s="188">
        <v>263916120</v>
      </c>
      <c r="BE12" s="188">
        <v>244054338</v>
      </c>
      <c r="BF12" s="188">
        <v>296086218.06</v>
      </c>
      <c r="BG12" s="188">
        <v>198301644.02000001</v>
      </c>
      <c r="BH12" s="188">
        <v>200109644.13999999</v>
      </c>
      <c r="BI12" s="188">
        <v>267212776</v>
      </c>
      <c r="BJ12" s="188">
        <v>327996546.31</v>
      </c>
      <c r="BK12" s="188">
        <v>328122113.06999999</v>
      </c>
      <c r="BL12" s="188">
        <v>252051350.91999999</v>
      </c>
      <c r="BM12" s="188">
        <v>353722869</v>
      </c>
      <c r="BN12" s="188">
        <v>217518550.86000001</v>
      </c>
      <c r="BO12" s="188">
        <v>247111014.91</v>
      </c>
      <c r="BP12" s="188">
        <v>217516911.44</v>
      </c>
      <c r="BQ12" s="188">
        <v>149472471</v>
      </c>
      <c r="BR12" s="188">
        <v>233943303.03999999</v>
      </c>
      <c r="BS12" s="188">
        <v>205948581</v>
      </c>
      <c r="BT12" s="188">
        <v>234569945</v>
      </c>
      <c r="BU12" s="188">
        <v>135152905</v>
      </c>
      <c r="BV12" s="188">
        <v>99565715.359999999</v>
      </c>
      <c r="BW12" s="188">
        <v>106897000</v>
      </c>
      <c r="BX12" s="188">
        <v>94771065.489999995</v>
      </c>
      <c r="BY12" s="188">
        <v>54671000</v>
      </c>
      <c r="BZ12" s="188">
        <v>0</v>
      </c>
      <c r="CA12" s="188">
        <v>96322000</v>
      </c>
      <c r="CB12" s="188">
        <v>89699000</v>
      </c>
      <c r="CC12" s="188">
        <v>95938000</v>
      </c>
      <c r="CD12" s="188">
        <v>0</v>
      </c>
    </row>
    <row r="13" spans="1:82" x14ac:dyDescent="0.25">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c r="BL13" s="188">
        <v>0</v>
      </c>
      <c r="BM13" s="188">
        <v>0</v>
      </c>
      <c r="BN13" s="188">
        <v>0</v>
      </c>
      <c r="BO13" s="188">
        <v>0</v>
      </c>
      <c r="BP13" s="188">
        <v>0</v>
      </c>
      <c r="BQ13" s="188">
        <v>0</v>
      </c>
      <c r="BR13" s="188">
        <v>0</v>
      </c>
      <c r="BS13" s="188">
        <v>0</v>
      </c>
      <c r="BT13" s="188">
        <v>0</v>
      </c>
      <c r="BU13" s="188">
        <v>0</v>
      </c>
      <c r="BV13" s="188">
        <v>0</v>
      </c>
      <c r="BW13" s="188">
        <v>0</v>
      </c>
      <c r="BX13" s="188">
        <v>0</v>
      </c>
      <c r="BY13" s="188">
        <v>0</v>
      </c>
      <c r="BZ13" s="188">
        <v>0</v>
      </c>
      <c r="CA13" s="188">
        <v>0</v>
      </c>
      <c r="CB13" s="188">
        <v>0</v>
      </c>
      <c r="CC13" s="188">
        <v>0</v>
      </c>
      <c r="CD13" s="188">
        <v>0</v>
      </c>
    </row>
    <row r="14" spans="1:82" x14ac:dyDescent="0.25">
      <c r="A14" s="188" t="s">
        <v>118</v>
      </c>
      <c r="B14" s="188">
        <v>12178965256</v>
      </c>
      <c r="C14" s="188">
        <v>10933542222</v>
      </c>
      <c r="D14" s="188">
        <v>10661929415</v>
      </c>
      <c r="E14" s="188">
        <v>8957719381</v>
      </c>
      <c r="F14" s="188">
        <v>9363701031</v>
      </c>
      <c r="G14" s="188">
        <v>9759164036</v>
      </c>
      <c r="H14" s="188">
        <v>9262441237</v>
      </c>
      <c r="I14" s="188">
        <v>7833138532</v>
      </c>
      <c r="J14" s="188">
        <v>7833058021</v>
      </c>
      <c r="K14" s="188">
        <v>7200449513</v>
      </c>
      <c r="L14" s="188">
        <v>6388611021</v>
      </c>
      <c r="M14" s="188">
        <v>6609406228</v>
      </c>
      <c r="N14" s="188">
        <v>5969882176</v>
      </c>
      <c r="O14" s="188">
        <v>5713761409</v>
      </c>
      <c r="P14" s="188">
        <v>5036243739</v>
      </c>
      <c r="Q14" s="188">
        <v>4163304029</v>
      </c>
      <c r="R14" s="188">
        <v>4043797340</v>
      </c>
      <c r="S14" s="188">
        <v>3587133465</v>
      </c>
      <c r="T14" s="188">
        <v>3793976626</v>
      </c>
      <c r="U14" s="188">
        <v>3018804659</v>
      </c>
      <c r="V14" s="188">
        <v>2805826602</v>
      </c>
      <c r="W14" s="188">
        <v>2904438373</v>
      </c>
      <c r="X14" s="188">
        <v>2886258773</v>
      </c>
      <c r="Y14" s="188">
        <v>2668906527</v>
      </c>
      <c r="Z14" s="188">
        <v>2830217937</v>
      </c>
      <c r="AA14" s="188">
        <v>2573854565</v>
      </c>
      <c r="AB14" s="188">
        <v>2411386287</v>
      </c>
      <c r="AC14" s="188">
        <v>2116218705</v>
      </c>
      <c r="AD14" s="188">
        <v>1849196851</v>
      </c>
      <c r="AE14" s="188">
        <v>2187471001</v>
      </c>
      <c r="AF14" s="188">
        <v>1427181550</v>
      </c>
      <c r="AG14" s="188">
        <v>1300479825</v>
      </c>
      <c r="AH14" s="188">
        <v>947819726</v>
      </c>
      <c r="AI14" s="188">
        <v>919742228</v>
      </c>
      <c r="AJ14" s="188">
        <v>859949712</v>
      </c>
      <c r="AK14" s="188">
        <v>780639882</v>
      </c>
      <c r="AL14" s="188">
        <v>839318397</v>
      </c>
      <c r="AM14" s="188">
        <v>609923915</v>
      </c>
      <c r="AN14" s="188">
        <v>489215697</v>
      </c>
      <c r="AO14" s="188">
        <v>472233966</v>
      </c>
      <c r="AP14" s="188">
        <v>974151877</v>
      </c>
      <c r="AQ14" s="188">
        <v>919328872</v>
      </c>
      <c r="AR14" s="188">
        <v>827268881</v>
      </c>
      <c r="AS14" s="188">
        <v>791698020</v>
      </c>
      <c r="AT14" s="188">
        <v>931617285</v>
      </c>
      <c r="AU14" s="188">
        <v>967617644</v>
      </c>
      <c r="AV14" s="188">
        <v>963885952</v>
      </c>
      <c r="AW14" s="188">
        <v>1266043525</v>
      </c>
      <c r="AX14" s="188">
        <v>1052427181</v>
      </c>
      <c r="AY14" s="188">
        <v>1815636671</v>
      </c>
      <c r="AZ14" s="188">
        <v>2408432800</v>
      </c>
      <c r="BA14" s="188">
        <v>1919901660</v>
      </c>
      <c r="BB14" s="188">
        <v>1956847993</v>
      </c>
      <c r="BC14" s="188">
        <v>1389380724</v>
      </c>
      <c r="BD14" s="188">
        <v>939737902</v>
      </c>
      <c r="BE14" s="188">
        <v>1127066283</v>
      </c>
      <c r="BF14" s="188">
        <v>1578471503.8900001</v>
      </c>
      <c r="BG14" s="188">
        <v>1548957280.5799999</v>
      </c>
      <c r="BH14" s="188">
        <v>1416046150.55</v>
      </c>
      <c r="BI14" s="188">
        <v>1252507882</v>
      </c>
      <c r="BJ14" s="188">
        <v>1052000707.12</v>
      </c>
      <c r="BK14" s="188">
        <v>969198456.02999997</v>
      </c>
      <c r="BL14" s="188">
        <v>775120926.46000004</v>
      </c>
      <c r="BM14" s="188">
        <v>560401754</v>
      </c>
      <c r="BN14" s="188">
        <v>561776324.64999998</v>
      </c>
      <c r="BO14" s="188">
        <v>460693226.70999998</v>
      </c>
      <c r="BP14" s="188">
        <v>450022649.82999998</v>
      </c>
      <c r="BQ14" s="188">
        <v>262124348</v>
      </c>
      <c r="BR14" s="188">
        <v>354010197.49000001</v>
      </c>
      <c r="BS14" s="188">
        <v>324457794</v>
      </c>
      <c r="BT14" s="188">
        <v>225184310</v>
      </c>
      <c r="BU14" s="188">
        <v>174866383</v>
      </c>
      <c r="BV14" s="188">
        <v>112102824.89</v>
      </c>
      <c r="BW14" s="188">
        <v>96930000</v>
      </c>
      <c r="BX14" s="188">
        <v>92044991.5</v>
      </c>
      <c r="BY14" s="188">
        <v>89201000</v>
      </c>
      <c r="BZ14" s="188">
        <v>0</v>
      </c>
      <c r="CA14" s="188">
        <v>85649000</v>
      </c>
      <c r="CB14" s="188">
        <v>63375000</v>
      </c>
      <c r="CC14" s="188">
        <v>48549000</v>
      </c>
      <c r="CD14" s="188">
        <v>0</v>
      </c>
    </row>
    <row r="15" spans="1:82" x14ac:dyDescent="0.25">
      <c r="A15" s="188" t="s">
        <v>119</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c r="BW15" s="188">
        <v>0</v>
      </c>
      <c r="BX15" s="188">
        <v>0</v>
      </c>
      <c r="BY15" s="188">
        <v>0</v>
      </c>
      <c r="BZ15" s="188">
        <v>0</v>
      </c>
      <c r="CA15" s="188">
        <v>0</v>
      </c>
      <c r="CB15" s="188">
        <v>0</v>
      </c>
      <c r="CC15" s="188">
        <v>0</v>
      </c>
      <c r="CD15" s="188">
        <v>0</v>
      </c>
    </row>
    <row r="16" spans="1:82" x14ac:dyDescent="0.25">
      <c r="A16" s="188" t="s">
        <v>120</v>
      </c>
      <c r="B16" s="188">
        <v>0</v>
      </c>
      <c r="C16" s="188">
        <v>0</v>
      </c>
      <c r="D16" s="188">
        <v>25416682</v>
      </c>
      <c r="E16" s="188">
        <v>17303152</v>
      </c>
      <c r="F16" s="188">
        <v>29356094</v>
      </c>
      <c r="G16" s="188">
        <v>28941602</v>
      </c>
      <c r="H16" s="188">
        <v>40113951</v>
      </c>
      <c r="I16" s="188">
        <v>66321715</v>
      </c>
      <c r="J16" s="188">
        <v>63332886</v>
      </c>
      <c r="K16" s="188">
        <v>25062419</v>
      </c>
      <c r="L16" s="188">
        <v>0</v>
      </c>
      <c r="M16" s="188">
        <v>0</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17960005</v>
      </c>
      <c r="BC16" s="188">
        <v>17960005</v>
      </c>
      <c r="BD16" s="188">
        <v>17960946</v>
      </c>
      <c r="BE16" s="188">
        <v>44030980</v>
      </c>
      <c r="BF16" s="188">
        <v>0</v>
      </c>
      <c r="BG16" s="188">
        <v>0</v>
      </c>
      <c r="BH16" s="188">
        <v>7258647.3200000003</v>
      </c>
      <c r="BI16" s="188">
        <v>0</v>
      </c>
      <c r="BJ16" s="188">
        <v>0</v>
      </c>
      <c r="BK16" s="188">
        <v>0</v>
      </c>
      <c r="BL16" s="188">
        <v>0</v>
      </c>
      <c r="BM16" s="188">
        <v>0</v>
      </c>
      <c r="BN16" s="188">
        <v>0</v>
      </c>
      <c r="BO16" s="188">
        <v>0</v>
      </c>
      <c r="BP16" s="188">
        <v>0</v>
      </c>
      <c r="BQ16" s="188">
        <v>0</v>
      </c>
      <c r="BR16" s="188">
        <v>0</v>
      </c>
      <c r="BS16" s="188">
        <v>0</v>
      </c>
      <c r="BT16" s="188">
        <v>0</v>
      </c>
      <c r="BU16" s="188">
        <v>0</v>
      </c>
      <c r="BV16" s="188">
        <v>0</v>
      </c>
      <c r="BW16" s="188">
        <v>0</v>
      </c>
      <c r="BX16" s="188">
        <v>0</v>
      </c>
      <c r="BY16" s="188">
        <v>0</v>
      </c>
      <c r="BZ16" s="188">
        <v>0</v>
      </c>
      <c r="CA16" s="188">
        <v>0</v>
      </c>
      <c r="CB16" s="188">
        <v>0</v>
      </c>
      <c r="CC16" s="188">
        <v>0</v>
      </c>
      <c r="CD16" s="188">
        <v>0</v>
      </c>
    </row>
    <row r="17" spans="1:82" x14ac:dyDescent="0.25">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c r="AW17" s="188">
        <v>4611412</v>
      </c>
      <c r="AX17" s="188">
        <v>9205617</v>
      </c>
      <c r="AY17" s="188">
        <v>11840455</v>
      </c>
      <c r="AZ17" s="188">
        <v>17002721</v>
      </c>
      <c r="BA17" s="188">
        <v>11414807</v>
      </c>
      <c r="BB17" s="188">
        <v>37860134</v>
      </c>
      <c r="BC17" s="188">
        <v>33771625</v>
      </c>
      <c r="BD17" s="188">
        <v>13886272</v>
      </c>
      <c r="BE17" s="188">
        <v>12665274</v>
      </c>
      <c r="BF17" s="188">
        <v>19169922.670000002</v>
      </c>
      <c r="BG17" s="188">
        <v>4737751.5199999996</v>
      </c>
      <c r="BH17" s="188">
        <v>6008173.8300000001</v>
      </c>
      <c r="BI17" s="188">
        <v>11078380</v>
      </c>
      <c r="BJ17" s="188">
        <v>11177926.25</v>
      </c>
      <c r="BK17" s="188">
        <v>6866364.8899999997</v>
      </c>
      <c r="BL17" s="188">
        <v>8415970.7300000004</v>
      </c>
      <c r="BM17" s="188">
        <v>4732714</v>
      </c>
      <c r="BN17" s="188">
        <v>6999727.2000000002</v>
      </c>
      <c r="BO17" s="188">
        <v>5106577.24</v>
      </c>
      <c r="BP17" s="188">
        <v>5950579.3499999996</v>
      </c>
      <c r="BQ17" s="188">
        <v>3532879</v>
      </c>
      <c r="BR17" s="188">
        <v>1681975.33</v>
      </c>
      <c r="BS17" s="188">
        <v>2360602</v>
      </c>
      <c r="BT17" s="188">
        <v>2905613</v>
      </c>
      <c r="BU17" s="188">
        <v>867688</v>
      </c>
      <c r="BV17" s="188">
        <v>1458092.57</v>
      </c>
      <c r="BW17" s="188">
        <v>1773000</v>
      </c>
      <c r="BX17" s="188">
        <v>1791160.75</v>
      </c>
      <c r="BY17" s="188">
        <v>2167000</v>
      </c>
      <c r="BZ17" s="188">
        <v>0</v>
      </c>
      <c r="CA17" s="188">
        <v>3603000</v>
      </c>
      <c r="CB17" s="188">
        <v>4781000</v>
      </c>
      <c r="CC17" s="188">
        <v>6093000</v>
      </c>
      <c r="CD17" s="188">
        <v>0</v>
      </c>
    </row>
    <row r="18" spans="1:82" x14ac:dyDescent="0.25">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c r="BH18" s="188">
        <v>0</v>
      </c>
      <c r="BI18" s="188">
        <v>0</v>
      </c>
      <c r="BJ18" s="188">
        <v>0</v>
      </c>
      <c r="BK18" s="188">
        <v>0</v>
      </c>
      <c r="BL18" s="188">
        <v>0</v>
      </c>
      <c r="BM18" s="188">
        <v>0</v>
      </c>
      <c r="BN18" s="188">
        <v>0</v>
      </c>
      <c r="BO18" s="188">
        <v>0</v>
      </c>
      <c r="BP18" s="188">
        <v>0</v>
      </c>
      <c r="BQ18" s="188">
        <v>0</v>
      </c>
      <c r="BR18" s="188">
        <v>0</v>
      </c>
      <c r="BS18" s="188">
        <v>0</v>
      </c>
      <c r="BT18" s="188">
        <v>0</v>
      </c>
      <c r="BU18" s="188">
        <v>0</v>
      </c>
      <c r="BV18" s="188">
        <v>0</v>
      </c>
      <c r="BW18" s="188">
        <v>0</v>
      </c>
      <c r="BX18" s="188">
        <v>0</v>
      </c>
      <c r="BY18" s="188">
        <v>0</v>
      </c>
      <c r="BZ18" s="188">
        <v>0</v>
      </c>
      <c r="CA18" s="188">
        <v>0</v>
      </c>
      <c r="CB18" s="188">
        <v>0</v>
      </c>
      <c r="CC18" s="188">
        <v>0</v>
      </c>
      <c r="CD18" s="188">
        <v>0</v>
      </c>
    </row>
    <row r="19" spans="1:82" x14ac:dyDescent="0.25">
      <c r="A19" s="188" t="s">
        <v>123</v>
      </c>
      <c r="B19" s="188">
        <v>12465582300</v>
      </c>
      <c r="C19" s="188">
        <v>18930028377</v>
      </c>
      <c r="D19" s="188">
        <v>15183231091</v>
      </c>
      <c r="E19" s="188">
        <v>15924433978</v>
      </c>
      <c r="F19" s="188">
        <v>15032948154</v>
      </c>
      <c r="G19" s="188">
        <v>9773604550</v>
      </c>
      <c r="H19" s="188">
        <v>9849679016</v>
      </c>
      <c r="I19" s="188">
        <v>5691200226</v>
      </c>
      <c r="J19" s="188">
        <v>9932689501</v>
      </c>
      <c r="K19" s="188">
        <v>13707855848</v>
      </c>
      <c r="L19" s="188">
        <v>8766975957</v>
      </c>
      <c r="M19" s="188">
        <v>8712017517</v>
      </c>
      <c r="N19" s="188">
        <v>9449645244</v>
      </c>
      <c r="O19" s="188">
        <v>8561271404</v>
      </c>
      <c r="P19" s="188">
        <v>6187724760</v>
      </c>
      <c r="Q19" s="188">
        <v>6085764454</v>
      </c>
      <c r="R19" s="188">
        <v>4736392276</v>
      </c>
      <c r="S19" s="188">
        <v>2760053570</v>
      </c>
      <c r="T19" s="188">
        <v>2315123012</v>
      </c>
      <c r="U19" s="188">
        <v>1872804826</v>
      </c>
      <c r="V19" s="188">
        <v>1153245359</v>
      </c>
      <c r="W19" s="188">
        <v>769695315</v>
      </c>
      <c r="X19" s="188">
        <v>1103948491</v>
      </c>
      <c r="Y19" s="188">
        <v>1284972353</v>
      </c>
      <c r="Z19" s="188">
        <v>2410648484</v>
      </c>
      <c r="AA19" s="188">
        <v>2369304313</v>
      </c>
      <c r="AB19" s="188">
        <v>2320588059</v>
      </c>
      <c r="AC19" s="188">
        <v>696796503</v>
      </c>
      <c r="AD19" s="188">
        <v>1361432332</v>
      </c>
      <c r="AE19" s="188">
        <v>710791525</v>
      </c>
      <c r="AF19" s="188">
        <v>1445713410</v>
      </c>
      <c r="AG19" s="188">
        <v>352781119</v>
      </c>
      <c r="AH19" s="188">
        <v>690264441</v>
      </c>
      <c r="AI19" s="188">
        <v>493659166</v>
      </c>
      <c r="AJ19" s="188">
        <v>413694632</v>
      </c>
      <c r="AK19" s="188">
        <v>283806158</v>
      </c>
      <c r="AL19" s="188">
        <v>260017990</v>
      </c>
      <c r="AM19" s="188">
        <v>224731520</v>
      </c>
      <c r="AN19" s="188">
        <v>299349567</v>
      </c>
      <c r="AO19" s="188">
        <v>290049691</v>
      </c>
      <c r="AP19" s="188">
        <v>2673146</v>
      </c>
      <c r="AQ19" s="188">
        <v>2057470</v>
      </c>
      <c r="AR19" s="188">
        <v>5636488</v>
      </c>
      <c r="AS19" s="188">
        <v>4841501</v>
      </c>
      <c r="AT19" s="188">
        <v>6004169</v>
      </c>
      <c r="AU19" s="188">
        <v>8440573</v>
      </c>
      <c r="AV19" s="188">
        <v>8796292</v>
      </c>
      <c r="AW19" s="188">
        <v>0</v>
      </c>
      <c r="AX19" s="188">
        <v>0</v>
      </c>
      <c r="AY19" s="188">
        <v>0</v>
      </c>
      <c r="AZ19" s="188">
        <v>0</v>
      </c>
      <c r="BA19" s="188">
        <v>0</v>
      </c>
      <c r="BB19" s="188">
        <v>23466773</v>
      </c>
      <c r="BC19" s="188">
        <v>436251</v>
      </c>
      <c r="BD19" s="188">
        <v>6545259</v>
      </c>
      <c r="BE19" s="188">
        <v>5633402</v>
      </c>
      <c r="BF19" s="188">
        <v>17549716.539999999</v>
      </c>
      <c r="BG19" s="188">
        <v>11057641.52</v>
      </c>
      <c r="BH19" s="188">
        <v>0</v>
      </c>
      <c r="BI19" s="188">
        <v>8647295</v>
      </c>
      <c r="BJ19" s="188">
        <v>0</v>
      </c>
      <c r="BK19" s="188">
        <v>0</v>
      </c>
      <c r="BL19" s="188">
        <v>0</v>
      </c>
      <c r="BM19" s="188">
        <v>0</v>
      </c>
      <c r="BN19" s="188">
        <v>66240389.710000001</v>
      </c>
      <c r="BO19" s="188">
        <v>1102942.6200000001</v>
      </c>
      <c r="BP19" s="188">
        <v>38570595.289999999</v>
      </c>
      <c r="BQ19" s="188">
        <v>1100000</v>
      </c>
      <c r="BR19" s="188">
        <v>0</v>
      </c>
      <c r="BS19" s="188">
        <v>0</v>
      </c>
      <c r="BT19" s="188">
        <v>0</v>
      </c>
      <c r="BU19" s="188">
        <v>0</v>
      </c>
      <c r="BV19" s="188">
        <v>0</v>
      </c>
      <c r="BW19" s="188">
        <v>0</v>
      </c>
      <c r="BX19" s="188">
        <v>0</v>
      </c>
      <c r="BY19" s="188">
        <v>0</v>
      </c>
      <c r="BZ19" s="188">
        <v>0</v>
      </c>
      <c r="CA19" s="188">
        <v>0</v>
      </c>
      <c r="CB19" s="188">
        <v>0</v>
      </c>
      <c r="CC19" s="188">
        <v>0</v>
      </c>
      <c r="CD19" s="188">
        <v>0</v>
      </c>
    </row>
    <row r="20" spans="1:82" x14ac:dyDescent="0.25">
      <c r="A20" s="188" t="s">
        <v>124</v>
      </c>
      <c r="B20" s="188">
        <v>99138689123</v>
      </c>
      <c r="C20" s="188">
        <v>99838386790</v>
      </c>
      <c r="D20" s="188">
        <v>96215198784</v>
      </c>
      <c r="E20" s="188">
        <v>99780298349</v>
      </c>
      <c r="F20" s="188">
        <v>96013182948</v>
      </c>
      <c r="G20" s="188">
        <v>90545559880</v>
      </c>
      <c r="H20" s="188">
        <v>88465328728</v>
      </c>
      <c r="I20" s="188">
        <v>91041828425</v>
      </c>
      <c r="J20" s="188">
        <v>75106747142</v>
      </c>
      <c r="K20" s="188">
        <v>78534779319</v>
      </c>
      <c r="L20" s="188">
        <v>72339536583</v>
      </c>
      <c r="M20" s="188">
        <v>63757148663</v>
      </c>
      <c r="N20" s="188">
        <v>59952974886</v>
      </c>
      <c r="O20" s="188">
        <v>58322776415</v>
      </c>
      <c r="P20" s="188">
        <v>56697922503</v>
      </c>
      <c r="Q20" s="188">
        <v>58685733297</v>
      </c>
      <c r="R20" s="188">
        <v>57310087713</v>
      </c>
      <c r="S20" s="188">
        <v>57511157909</v>
      </c>
      <c r="T20" s="188">
        <v>62637040754</v>
      </c>
      <c r="U20" s="188">
        <v>31646099560</v>
      </c>
      <c r="V20" s="188">
        <v>34585294839</v>
      </c>
      <c r="W20" s="188">
        <v>39363755833</v>
      </c>
      <c r="X20" s="188">
        <v>28004763628</v>
      </c>
      <c r="Y20" s="188">
        <v>25831145897</v>
      </c>
      <c r="Z20" s="188">
        <v>27220500888</v>
      </c>
      <c r="AA20" s="188">
        <v>26447768080</v>
      </c>
      <c r="AB20" s="188">
        <v>25993911434</v>
      </c>
      <c r="AC20" s="188">
        <v>27945441854</v>
      </c>
      <c r="AD20" s="188">
        <v>25785060758</v>
      </c>
      <c r="AE20" s="188">
        <v>27702786327</v>
      </c>
      <c r="AF20" s="188">
        <v>25871277384</v>
      </c>
      <c r="AG20" s="188">
        <v>27792285119</v>
      </c>
      <c r="AH20" s="188">
        <v>19986910004</v>
      </c>
      <c r="AI20" s="188">
        <v>20805628640</v>
      </c>
      <c r="AJ20" s="188">
        <v>19382359024</v>
      </c>
      <c r="AK20" s="188">
        <v>18612928991</v>
      </c>
      <c r="AL20" s="188">
        <v>16264278960</v>
      </c>
      <c r="AM20" s="188">
        <v>16630387949</v>
      </c>
      <c r="AN20" s="188">
        <v>5875994915</v>
      </c>
      <c r="AO20" s="188">
        <v>5601743790</v>
      </c>
      <c r="AP20" s="188">
        <v>5372020099</v>
      </c>
      <c r="AQ20" s="188">
        <v>4560836953</v>
      </c>
      <c r="AR20" s="188">
        <v>4634973792</v>
      </c>
      <c r="AS20" s="188">
        <v>4664522395</v>
      </c>
      <c r="AT20" s="188">
        <v>5143247365</v>
      </c>
      <c r="AU20" s="188">
        <v>4791710801</v>
      </c>
      <c r="AV20" s="188">
        <v>4477581501</v>
      </c>
      <c r="AW20" s="188">
        <v>4486328061</v>
      </c>
      <c r="AX20" s="188">
        <v>5075514098</v>
      </c>
      <c r="AY20" s="188">
        <v>5180804051</v>
      </c>
      <c r="AZ20" s="188">
        <v>6357372200</v>
      </c>
      <c r="BA20" s="188">
        <v>6314789676</v>
      </c>
      <c r="BB20" s="188">
        <v>9303681681</v>
      </c>
      <c r="BC20" s="188">
        <v>8896660655</v>
      </c>
      <c r="BD20" s="188">
        <v>4987852710</v>
      </c>
      <c r="BE20" s="188">
        <v>5347942967</v>
      </c>
      <c r="BF20" s="188">
        <v>8768127675.1200008</v>
      </c>
      <c r="BG20" s="188">
        <v>7132944901.4899998</v>
      </c>
      <c r="BH20" s="188">
        <v>7812285756.7799997</v>
      </c>
      <c r="BI20" s="188">
        <v>5839139739</v>
      </c>
      <c r="BJ20" s="188">
        <v>5237546948.7700005</v>
      </c>
      <c r="BK20" s="188">
        <v>4931472200.3500004</v>
      </c>
      <c r="BL20" s="188">
        <v>4841306195.5500002</v>
      </c>
      <c r="BM20" s="188">
        <v>4383975949</v>
      </c>
      <c r="BN20" s="188">
        <v>3282260806.9299998</v>
      </c>
      <c r="BO20" s="188">
        <v>2782371127.2800002</v>
      </c>
      <c r="BP20" s="188">
        <v>2910970765.3800001</v>
      </c>
      <c r="BQ20" s="188">
        <v>2200909642</v>
      </c>
      <c r="BR20" s="188">
        <v>2435244259.5500002</v>
      </c>
      <c r="BS20" s="188">
        <v>2547448203</v>
      </c>
      <c r="BT20" s="188">
        <v>1497843921</v>
      </c>
      <c r="BU20" s="188">
        <v>1054299516</v>
      </c>
      <c r="BV20" s="188">
        <v>677017432.11000001</v>
      </c>
      <c r="BW20" s="188">
        <v>638392000</v>
      </c>
      <c r="BX20" s="188">
        <v>573422555.36000001</v>
      </c>
      <c r="BY20" s="188">
        <v>610891000</v>
      </c>
      <c r="BZ20" s="188">
        <v>590564000</v>
      </c>
      <c r="CA20" s="188">
        <v>271152000</v>
      </c>
      <c r="CB20" s="188">
        <v>223416000</v>
      </c>
      <c r="CC20" s="188">
        <v>200211000</v>
      </c>
      <c r="CD20" s="188">
        <v>0</v>
      </c>
    </row>
    <row r="21" spans="1:82" x14ac:dyDescent="0.25">
      <c r="A21" s="188" t="s">
        <v>125</v>
      </c>
    </row>
    <row r="22" spans="1:82" x14ac:dyDescent="0.25">
      <c r="A22" s="188" t="s">
        <v>126</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v>0</v>
      </c>
      <c r="BP22" s="188">
        <v>0</v>
      </c>
      <c r="BQ22" s="188">
        <v>0</v>
      </c>
      <c r="BR22" s="188">
        <v>0</v>
      </c>
      <c r="BS22" s="188">
        <v>0</v>
      </c>
      <c r="BT22" s="188">
        <v>0</v>
      </c>
      <c r="BU22" s="188">
        <v>0</v>
      </c>
      <c r="BV22" s="188">
        <v>0</v>
      </c>
      <c r="BW22" s="188">
        <v>0</v>
      </c>
      <c r="BX22" s="188">
        <v>0</v>
      </c>
      <c r="BY22" s="188">
        <v>0</v>
      </c>
      <c r="BZ22" s="188">
        <v>0</v>
      </c>
      <c r="CA22" s="188">
        <v>0</v>
      </c>
      <c r="CB22" s="188">
        <v>0</v>
      </c>
      <c r="CC22" s="188">
        <v>0</v>
      </c>
      <c r="CD22" s="188">
        <v>0</v>
      </c>
    </row>
    <row r="23" spans="1:82" x14ac:dyDescent="0.25">
      <c r="A23" s="188" t="s">
        <v>127</v>
      </c>
      <c r="B23" s="188">
        <v>766169370</v>
      </c>
      <c r="C23" s="188">
        <v>777023613</v>
      </c>
      <c r="D23" s="188">
        <v>831371804</v>
      </c>
      <c r="E23" s="188">
        <v>859899356</v>
      </c>
      <c r="F23" s="188">
        <v>850425725</v>
      </c>
      <c r="G23" s="188">
        <v>757249677</v>
      </c>
      <c r="H23" s="188">
        <v>787513973</v>
      </c>
      <c r="I23" s="188">
        <v>622502556</v>
      </c>
      <c r="J23" s="188">
        <v>504652648</v>
      </c>
      <c r="K23" s="188">
        <v>446293769</v>
      </c>
      <c r="L23" s="188">
        <v>413312323</v>
      </c>
      <c r="M23" s="188">
        <v>454096246</v>
      </c>
      <c r="N23" s="188">
        <v>285369654</v>
      </c>
      <c r="O23" s="188">
        <v>391669279</v>
      </c>
      <c r="P23" s="188">
        <v>386002813</v>
      </c>
      <c r="Q23" s="188">
        <v>323530493</v>
      </c>
      <c r="R23" s="188">
        <v>313534194</v>
      </c>
      <c r="S23" s="188">
        <v>226073866</v>
      </c>
      <c r="T23" s="188">
        <v>223345075</v>
      </c>
      <c r="U23" s="188">
        <v>254506569</v>
      </c>
      <c r="V23" s="188">
        <v>122916200</v>
      </c>
      <c r="W23" s="188">
        <v>126552470</v>
      </c>
      <c r="X23" s="188">
        <v>118693337</v>
      </c>
      <c r="Y23" s="188">
        <v>116600700</v>
      </c>
      <c r="Z23" s="188">
        <v>83295158</v>
      </c>
      <c r="AA23" s="188">
        <v>87726361</v>
      </c>
      <c r="AB23" s="188">
        <v>57211342</v>
      </c>
      <c r="AC23" s="188">
        <v>74718931</v>
      </c>
      <c r="AD23" s="188">
        <v>108291709</v>
      </c>
      <c r="AE23" s="188">
        <v>152598955</v>
      </c>
      <c r="AF23" s="188">
        <v>173174403</v>
      </c>
      <c r="AG23" s="188">
        <v>173899899</v>
      </c>
      <c r="AH23" s="188">
        <v>167459674</v>
      </c>
      <c r="AI23" s="188">
        <v>154745799</v>
      </c>
      <c r="AJ23" s="188">
        <v>196357738</v>
      </c>
      <c r="AK23" s="188">
        <v>183909549</v>
      </c>
      <c r="AL23" s="188">
        <v>103036069</v>
      </c>
      <c r="AM23" s="188">
        <v>74086125</v>
      </c>
      <c r="AN23" s="188">
        <v>50921082</v>
      </c>
      <c r="AO23" s="188">
        <v>53707522</v>
      </c>
      <c r="AP23" s="188">
        <v>50176512</v>
      </c>
      <c r="AQ23" s="188">
        <v>86954969</v>
      </c>
      <c r="AR23" s="188">
        <v>101064099</v>
      </c>
      <c r="AS23" s="188">
        <v>129109597</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c r="BJ23" s="188">
        <v>0</v>
      </c>
      <c r="BK23" s="188">
        <v>0</v>
      </c>
      <c r="BL23" s="188">
        <v>0</v>
      </c>
      <c r="BM23" s="188">
        <v>0</v>
      </c>
      <c r="BN23" s="188">
        <v>0</v>
      </c>
      <c r="BO23" s="188">
        <v>0</v>
      </c>
      <c r="BP23" s="188">
        <v>0</v>
      </c>
      <c r="BQ23" s="188">
        <v>0</v>
      </c>
      <c r="BR23" s="188">
        <v>0</v>
      </c>
      <c r="BS23" s="188">
        <v>0</v>
      </c>
      <c r="BT23" s="188">
        <v>0</v>
      </c>
      <c r="BU23" s="188">
        <v>0</v>
      </c>
      <c r="BV23" s="188">
        <v>0</v>
      </c>
      <c r="BW23" s="188">
        <v>0</v>
      </c>
      <c r="BX23" s="188">
        <v>0</v>
      </c>
      <c r="BY23" s="188">
        <v>0</v>
      </c>
      <c r="BZ23" s="188">
        <v>0</v>
      </c>
      <c r="CA23" s="188">
        <v>0</v>
      </c>
      <c r="CB23" s="188">
        <v>0</v>
      </c>
      <c r="CC23" s="188">
        <v>0</v>
      </c>
      <c r="CD23" s="188">
        <v>0</v>
      </c>
    </row>
    <row r="24" spans="1:82" x14ac:dyDescent="0.25">
      <c r="A24" s="188" t="s">
        <v>128</v>
      </c>
      <c r="B24" s="188">
        <v>0</v>
      </c>
      <c r="C24" s="188">
        <v>0</v>
      </c>
      <c r="D24" s="188">
        <v>0</v>
      </c>
      <c r="E24" s="188">
        <v>0</v>
      </c>
      <c r="F24" s="188">
        <v>0</v>
      </c>
      <c r="G24" s="188">
        <v>0</v>
      </c>
      <c r="H24" s="188">
        <v>0</v>
      </c>
      <c r="I24" s="188">
        <v>0</v>
      </c>
      <c r="J24" s="188">
        <v>0</v>
      </c>
      <c r="K24" s="188">
        <v>0</v>
      </c>
      <c r="L24" s="188">
        <v>0</v>
      </c>
      <c r="M24" s="188">
        <v>0</v>
      </c>
      <c r="N24" s="188">
        <v>0</v>
      </c>
      <c r="O24" s="188">
        <v>0</v>
      </c>
      <c r="P24" s="188">
        <v>0</v>
      </c>
      <c r="Q24" s="188">
        <v>0</v>
      </c>
      <c r="R24" s="188">
        <v>0</v>
      </c>
      <c r="S24" s="188">
        <v>0</v>
      </c>
      <c r="T24" s="188">
        <v>0</v>
      </c>
      <c r="U24" s="188">
        <v>0</v>
      </c>
      <c r="V24" s="188">
        <v>0</v>
      </c>
      <c r="W24" s="188">
        <v>0</v>
      </c>
      <c r="X24" s="188">
        <v>0</v>
      </c>
      <c r="Y24" s="188">
        <v>0</v>
      </c>
      <c r="Z24" s="188">
        <v>0</v>
      </c>
      <c r="AA24" s="188">
        <v>0</v>
      </c>
      <c r="AB24" s="188">
        <v>0</v>
      </c>
      <c r="AC24" s="188">
        <v>0</v>
      </c>
      <c r="AD24" s="188">
        <v>0</v>
      </c>
      <c r="AE24" s="188">
        <v>0</v>
      </c>
      <c r="AF24" s="188">
        <v>0</v>
      </c>
      <c r="AG24" s="188">
        <v>0</v>
      </c>
      <c r="AH24" s="188">
        <v>0</v>
      </c>
      <c r="AI24" s="188">
        <v>0</v>
      </c>
      <c r="AJ24" s="188">
        <v>0</v>
      </c>
      <c r="AK24" s="188">
        <v>0</v>
      </c>
      <c r="AL24" s="188">
        <v>0</v>
      </c>
      <c r="AM24" s="188">
        <v>0</v>
      </c>
      <c r="AN24" s="188">
        <v>0</v>
      </c>
      <c r="AO24" s="188">
        <v>0</v>
      </c>
      <c r="AP24" s="188">
        <v>0</v>
      </c>
      <c r="AQ24" s="188">
        <v>0</v>
      </c>
      <c r="AR24" s="188">
        <v>0</v>
      </c>
      <c r="AS24" s="188">
        <v>0</v>
      </c>
      <c r="AT24" s="188">
        <v>0</v>
      </c>
      <c r="AU24" s="188">
        <v>0</v>
      </c>
      <c r="AV24" s="188">
        <v>0</v>
      </c>
      <c r="AW24" s="188">
        <v>0</v>
      </c>
      <c r="AX24" s="188">
        <v>0</v>
      </c>
      <c r="AY24" s="188">
        <v>0</v>
      </c>
      <c r="AZ24" s="188">
        <v>164299</v>
      </c>
      <c r="BA24" s="188">
        <v>0</v>
      </c>
      <c r="BB24" s="188">
        <v>172050</v>
      </c>
      <c r="BC24" s="188">
        <v>172050</v>
      </c>
      <c r="BD24" s="188">
        <v>170288</v>
      </c>
      <c r="BE24" s="188">
        <v>170288</v>
      </c>
      <c r="BF24" s="188">
        <v>245281.31</v>
      </c>
      <c r="BG24" s="188">
        <v>177923.62</v>
      </c>
      <c r="BH24" s="188">
        <v>27748.2</v>
      </c>
      <c r="BI24" s="188">
        <v>172922</v>
      </c>
      <c r="BJ24" s="188">
        <v>23281473.420000002</v>
      </c>
      <c r="BK24" s="188">
        <v>11115399.279999999</v>
      </c>
      <c r="BL24" s="188">
        <v>23520645.530000001</v>
      </c>
      <c r="BM24" s="188">
        <v>22073</v>
      </c>
      <c r="BN24" s="188">
        <v>0</v>
      </c>
      <c r="BO24" s="188">
        <v>300000</v>
      </c>
      <c r="BP24" s="188">
        <v>300000</v>
      </c>
      <c r="BQ24" s="188">
        <v>34151294</v>
      </c>
      <c r="BR24" s="188">
        <v>0</v>
      </c>
      <c r="BS24" s="188">
        <v>600000</v>
      </c>
      <c r="BT24" s="188">
        <v>0</v>
      </c>
      <c r="BU24" s="188">
        <v>0</v>
      </c>
      <c r="BV24" s="188">
        <v>0</v>
      </c>
      <c r="BW24" s="188">
        <v>0</v>
      </c>
      <c r="BX24" s="188">
        <v>1760000</v>
      </c>
      <c r="BY24" s="188">
        <v>0</v>
      </c>
      <c r="BZ24" s="188">
        <v>0</v>
      </c>
      <c r="CA24" s="188">
        <v>0</v>
      </c>
      <c r="CB24" s="188">
        <v>0</v>
      </c>
      <c r="CC24" s="188">
        <v>0</v>
      </c>
      <c r="CD24" s="188">
        <v>0</v>
      </c>
    </row>
    <row r="25" spans="1:82" x14ac:dyDescent="0.25">
      <c r="A25" s="188" t="s">
        <v>129</v>
      </c>
      <c r="B25" s="188">
        <v>0</v>
      </c>
      <c r="C25" s="188">
        <v>0</v>
      </c>
      <c r="D25" s="188">
        <v>0</v>
      </c>
      <c r="E25" s="188">
        <v>0</v>
      </c>
      <c r="F25" s="188">
        <v>0</v>
      </c>
      <c r="G25" s="188">
        <v>0</v>
      </c>
      <c r="H25" s="188">
        <v>0</v>
      </c>
      <c r="I25" s="188">
        <v>0</v>
      </c>
      <c r="J25" s="188">
        <v>0</v>
      </c>
      <c r="K25" s="188">
        <v>0</v>
      </c>
      <c r="L25" s="188">
        <v>0</v>
      </c>
      <c r="M25" s="188">
        <v>0</v>
      </c>
      <c r="N25" s="188">
        <v>0</v>
      </c>
      <c r="O25" s="188">
        <v>0</v>
      </c>
      <c r="P25" s="188">
        <v>0</v>
      </c>
      <c r="Q25" s="188">
        <v>0</v>
      </c>
      <c r="R25" s="188">
        <v>0</v>
      </c>
      <c r="S25" s="188">
        <v>0</v>
      </c>
      <c r="T25" s="188">
        <v>0</v>
      </c>
      <c r="U25" s="188">
        <v>0</v>
      </c>
      <c r="V25" s="188">
        <v>0</v>
      </c>
      <c r="W25" s="188">
        <v>0</v>
      </c>
      <c r="X25" s="188">
        <v>0</v>
      </c>
      <c r="Y25" s="188">
        <v>0</v>
      </c>
      <c r="Z25" s="188">
        <v>0</v>
      </c>
      <c r="AA25" s="188">
        <v>0</v>
      </c>
      <c r="AB25" s="188">
        <v>0</v>
      </c>
      <c r="AC25" s="188">
        <v>0</v>
      </c>
      <c r="AD25" s="188">
        <v>0</v>
      </c>
      <c r="AE25" s="188">
        <v>0</v>
      </c>
      <c r="AF25" s="188">
        <v>0</v>
      </c>
      <c r="AG25" s="188">
        <v>0</v>
      </c>
      <c r="AH25" s="188">
        <v>0</v>
      </c>
      <c r="AI25" s="188">
        <v>0</v>
      </c>
      <c r="AJ25" s="188">
        <v>0</v>
      </c>
      <c r="AK25" s="188">
        <v>0</v>
      </c>
      <c r="AL25" s="188">
        <v>0</v>
      </c>
      <c r="AM25" s="188">
        <v>0</v>
      </c>
      <c r="AN25" s="188">
        <v>0</v>
      </c>
      <c r="AO25" s="188">
        <v>0</v>
      </c>
      <c r="AP25" s="188">
        <v>0</v>
      </c>
      <c r="AQ25" s="188">
        <v>0</v>
      </c>
      <c r="AR25" s="188">
        <v>0</v>
      </c>
      <c r="AS25" s="188">
        <v>0</v>
      </c>
      <c r="AT25" s="188">
        <v>0</v>
      </c>
      <c r="AU25" s="188">
        <v>0</v>
      </c>
      <c r="AV25" s="188">
        <v>0</v>
      </c>
      <c r="AW25" s="188">
        <v>0</v>
      </c>
      <c r="AX25" s="188">
        <v>0</v>
      </c>
      <c r="AY25" s="188">
        <v>0</v>
      </c>
      <c r="AZ25" s="188">
        <v>0</v>
      </c>
      <c r="BA25" s="188">
        <v>0</v>
      </c>
      <c r="BB25" s="188">
        <v>0</v>
      </c>
      <c r="BC25" s="188">
        <v>0</v>
      </c>
      <c r="BD25" s="188">
        <v>0</v>
      </c>
      <c r="BE25" s="188">
        <v>0</v>
      </c>
      <c r="BF25" s="188">
        <v>0</v>
      </c>
      <c r="BG25" s="188">
        <v>0</v>
      </c>
      <c r="BH25" s="188">
        <v>0</v>
      </c>
      <c r="BI25" s="188">
        <v>0</v>
      </c>
      <c r="BJ25" s="188">
        <v>0</v>
      </c>
      <c r="BK25" s="188">
        <v>0</v>
      </c>
      <c r="BL25" s="188">
        <v>0</v>
      </c>
      <c r="BM25" s="188">
        <v>0</v>
      </c>
      <c r="BN25" s="188">
        <v>0</v>
      </c>
      <c r="BO25" s="188">
        <v>0</v>
      </c>
      <c r="BP25" s="188">
        <v>0</v>
      </c>
      <c r="BQ25" s="188">
        <v>0</v>
      </c>
      <c r="BR25" s="188">
        <v>0</v>
      </c>
      <c r="BS25" s="188">
        <v>0</v>
      </c>
      <c r="BT25" s="188">
        <v>0</v>
      </c>
      <c r="BU25" s="188">
        <v>0</v>
      </c>
      <c r="BV25" s="188">
        <v>0</v>
      </c>
      <c r="BW25" s="188">
        <v>0</v>
      </c>
      <c r="BX25" s="188">
        <v>0</v>
      </c>
      <c r="BY25" s="188">
        <v>0</v>
      </c>
      <c r="BZ25" s="188">
        <v>0</v>
      </c>
      <c r="CA25" s="188">
        <v>0</v>
      </c>
      <c r="CB25" s="188">
        <v>0</v>
      </c>
      <c r="CC25" s="188">
        <v>0</v>
      </c>
      <c r="CD25" s="188">
        <v>0</v>
      </c>
    </row>
    <row r="26" spans="1:82" x14ac:dyDescent="0.25">
      <c r="A26" s="188" t="s">
        <v>130</v>
      </c>
      <c r="B26" s="188">
        <v>4036661192</v>
      </c>
      <c r="C26" s="188">
        <v>3443815633</v>
      </c>
      <c r="D26" s="188">
        <v>7644759426</v>
      </c>
      <c r="E26" s="188">
        <v>6928854415</v>
      </c>
      <c r="F26" s="188">
        <v>2353204156</v>
      </c>
      <c r="G26" s="188">
        <v>1981030454</v>
      </c>
      <c r="H26" s="188">
        <v>2002572698</v>
      </c>
      <c r="I26" s="188">
        <v>1356111395</v>
      </c>
      <c r="J26" s="188">
        <v>2002226109</v>
      </c>
      <c r="K26" s="188">
        <v>1700914108</v>
      </c>
      <c r="L26" s="188">
        <v>1693922362</v>
      </c>
      <c r="M26" s="188">
        <v>1260302959</v>
      </c>
      <c r="N26" s="188">
        <v>739896624</v>
      </c>
      <c r="O26" s="188">
        <v>658876472</v>
      </c>
      <c r="P26" s="188">
        <v>641755139</v>
      </c>
      <c r="Q26" s="188">
        <v>638819435</v>
      </c>
      <c r="R26" s="188">
        <v>977223524</v>
      </c>
      <c r="S26" s="188">
        <v>988203148</v>
      </c>
      <c r="T26" s="188">
        <v>991222703</v>
      </c>
      <c r="U26" s="188">
        <v>989848083</v>
      </c>
      <c r="V26" s="188">
        <v>992116907</v>
      </c>
      <c r="W26" s="188">
        <v>991715815</v>
      </c>
      <c r="X26" s="188">
        <v>971975116</v>
      </c>
      <c r="Y26" s="188">
        <v>971409821</v>
      </c>
      <c r="Z26" s="188">
        <v>959560829</v>
      </c>
      <c r="AA26" s="188">
        <v>946293066</v>
      </c>
      <c r="AB26" s="188">
        <v>957524281</v>
      </c>
      <c r="AC26" s="188">
        <v>958879205</v>
      </c>
      <c r="AD26" s="188">
        <v>59381694</v>
      </c>
      <c r="AE26" s="188">
        <v>60331623</v>
      </c>
      <c r="AF26" s="188">
        <v>61881116</v>
      </c>
      <c r="AG26" s="188">
        <v>63164307</v>
      </c>
      <c r="AH26" s="188">
        <v>65024243</v>
      </c>
      <c r="AI26" s="188">
        <v>67004833</v>
      </c>
      <c r="AJ26" s="188">
        <v>62274081</v>
      </c>
      <c r="AK26" s="188">
        <v>64230890</v>
      </c>
      <c r="AL26" s="188">
        <v>396453171</v>
      </c>
      <c r="AM26" s="188">
        <v>209838134</v>
      </c>
      <c r="AN26" s="188">
        <v>320045139</v>
      </c>
      <c r="AO26" s="188">
        <v>340783862</v>
      </c>
      <c r="AP26" s="188">
        <v>553320382</v>
      </c>
      <c r="AQ26" s="188">
        <v>612351087</v>
      </c>
      <c r="AR26" s="188">
        <v>625466906</v>
      </c>
      <c r="AS26" s="188">
        <v>641652657</v>
      </c>
      <c r="AT26" s="188">
        <v>1933155846</v>
      </c>
      <c r="AU26" s="188">
        <v>1899604979</v>
      </c>
      <c r="AV26" s="188">
        <v>1967960807</v>
      </c>
      <c r="AW26" s="188">
        <v>2817778818</v>
      </c>
      <c r="AX26" s="188">
        <v>2634553967</v>
      </c>
      <c r="AY26" s="188">
        <v>2580944786</v>
      </c>
      <c r="AZ26" s="188">
        <v>2624620305</v>
      </c>
      <c r="BA26" s="188">
        <v>2605606712</v>
      </c>
      <c r="BB26" s="188">
        <v>2270871525</v>
      </c>
      <c r="BC26" s="188">
        <v>2262816984</v>
      </c>
      <c r="BD26" s="188">
        <v>2250333852</v>
      </c>
      <c r="BE26" s="188">
        <v>2219799838</v>
      </c>
      <c r="BF26" s="188">
        <v>2143353650.98</v>
      </c>
      <c r="BG26" s="188">
        <v>2065685939.9000001</v>
      </c>
      <c r="BH26" s="188">
        <v>2074452135.79</v>
      </c>
      <c r="BI26" s="188">
        <v>1993438496</v>
      </c>
      <c r="BJ26" s="188">
        <v>903179170.05999994</v>
      </c>
      <c r="BK26" s="188">
        <v>845880901.57000005</v>
      </c>
      <c r="BL26" s="188">
        <v>908250874.90999997</v>
      </c>
      <c r="BM26" s="188">
        <v>885333370</v>
      </c>
      <c r="BN26" s="188">
        <v>876137245.87</v>
      </c>
      <c r="BO26" s="188">
        <v>855196372.86000001</v>
      </c>
      <c r="BP26" s="188">
        <v>789076874.54999995</v>
      </c>
      <c r="BQ26" s="188">
        <v>840789461</v>
      </c>
      <c r="BR26" s="188">
        <v>837779326.84000003</v>
      </c>
      <c r="BS26" s="188">
        <v>763187795</v>
      </c>
      <c r="BT26" s="188">
        <v>760202945</v>
      </c>
      <c r="BU26" s="188">
        <v>725872054</v>
      </c>
      <c r="BV26" s="188">
        <v>684704095.50999999</v>
      </c>
      <c r="BW26" s="188">
        <v>664774000</v>
      </c>
      <c r="BX26" s="188">
        <v>681086144.38</v>
      </c>
      <c r="BY26" s="188">
        <v>650061000</v>
      </c>
      <c r="BZ26" s="188">
        <v>524021000</v>
      </c>
      <c r="CA26" s="188">
        <v>499012000</v>
      </c>
      <c r="CB26" s="188">
        <v>408560000</v>
      </c>
      <c r="CC26" s="188">
        <v>319932000</v>
      </c>
      <c r="CD26" s="188">
        <v>0</v>
      </c>
    </row>
    <row r="27" spans="1:82" x14ac:dyDescent="0.25">
      <c r="A27" s="188" t="s">
        <v>131</v>
      </c>
      <c r="B27" s="188">
        <v>1268961384</v>
      </c>
      <c r="C27" s="188">
        <v>1278070770</v>
      </c>
      <c r="D27" s="188">
        <v>1295109525</v>
      </c>
      <c r="E27" s="188">
        <v>1296662205</v>
      </c>
      <c r="F27" s="188">
        <v>1270206652</v>
      </c>
      <c r="G27" s="188">
        <v>1271764715</v>
      </c>
      <c r="H27" s="188">
        <v>1190736947</v>
      </c>
      <c r="I27" s="188">
        <v>1192932896</v>
      </c>
      <c r="J27" s="188">
        <v>1200134259</v>
      </c>
      <c r="K27" s="188">
        <v>1210463063</v>
      </c>
      <c r="L27" s="188">
        <v>1227516773</v>
      </c>
      <c r="M27" s="188">
        <v>1227099427</v>
      </c>
      <c r="N27" s="188">
        <v>1237173997</v>
      </c>
      <c r="O27" s="188">
        <v>1240587632</v>
      </c>
      <c r="P27" s="188">
        <v>1247311859</v>
      </c>
      <c r="Q27" s="188">
        <v>1251820763</v>
      </c>
      <c r="R27" s="188">
        <v>1270182816</v>
      </c>
      <c r="S27" s="188">
        <v>1279438548</v>
      </c>
      <c r="T27" s="188">
        <v>1271968659</v>
      </c>
      <c r="U27" s="188">
        <v>1284415937</v>
      </c>
      <c r="V27" s="188">
        <v>1271685267</v>
      </c>
      <c r="W27" s="188">
        <v>1281379052</v>
      </c>
      <c r="X27" s="188">
        <v>1285808878</v>
      </c>
      <c r="Y27" s="188">
        <v>1309561041</v>
      </c>
      <c r="Z27" s="188">
        <v>1308912381</v>
      </c>
      <c r="AA27" s="188">
        <v>1318606167</v>
      </c>
      <c r="AB27" s="188">
        <v>1338208579</v>
      </c>
      <c r="AC27" s="188">
        <v>1340984989</v>
      </c>
      <c r="AD27" s="188">
        <v>1370259249</v>
      </c>
      <c r="AE27" s="188">
        <v>1380873321</v>
      </c>
      <c r="AF27" s="188">
        <v>1391985132</v>
      </c>
      <c r="AG27" s="188">
        <v>1407773542</v>
      </c>
      <c r="AH27" s="188">
        <v>1158103974</v>
      </c>
      <c r="AI27" s="188">
        <v>1166294465</v>
      </c>
      <c r="AJ27" s="188">
        <v>1196037855</v>
      </c>
      <c r="AK27" s="188">
        <v>1204384315</v>
      </c>
      <c r="AL27" s="188">
        <v>148896855</v>
      </c>
      <c r="AM27" s="188">
        <v>169523463</v>
      </c>
      <c r="AN27" s="188">
        <v>172104915</v>
      </c>
      <c r="AO27" s="188">
        <v>174553402</v>
      </c>
      <c r="AP27" s="188">
        <v>119716989</v>
      </c>
      <c r="AQ27" s="188">
        <v>166357723</v>
      </c>
      <c r="AR27" s="188">
        <v>124149439</v>
      </c>
      <c r="AS27" s="188">
        <v>126367406</v>
      </c>
      <c r="AT27" s="188">
        <v>163701581</v>
      </c>
      <c r="AU27" s="188">
        <v>166445493</v>
      </c>
      <c r="AV27" s="188">
        <v>183134748</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0</v>
      </c>
      <c r="BS27" s="188">
        <v>0</v>
      </c>
      <c r="BT27" s="188">
        <v>0</v>
      </c>
      <c r="BU27" s="188">
        <v>0</v>
      </c>
      <c r="BV27" s="188">
        <v>0</v>
      </c>
      <c r="BW27" s="188">
        <v>0</v>
      </c>
      <c r="BX27" s="188">
        <v>0</v>
      </c>
      <c r="BY27" s="188">
        <v>0</v>
      </c>
      <c r="BZ27" s="188">
        <v>0</v>
      </c>
      <c r="CA27" s="188">
        <v>0</v>
      </c>
      <c r="CB27" s="188">
        <v>0</v>
      </c>
      <c r="CC27" s="188">
        <v>0</v>
      </c>
      <c r="CD27" s="188">
        <v>0</v>
      </c>
    </row>
    <row r="28" spans="1:82" x14ac:dyDescent="0.25">
      <c r="A28" s="188" t="s">
        <v>132</v>
      </c>
      <c r="B28" s="188">
        <v>106323512619</v>
      </c>
      <c r="C28" s="188">
        <v>84979890697</v>
      </c>
      <c r="D28" s="188">
        <v>86129707485</v>
      </c>
      <c r="E28" s="188">
        <v>88625296761</v>
      </c>
      <c r="F28" s="188">
        <v>80589869844</v>
      </c>
      <c r="G28" s="188">
        <v>78898829994</v>
      </c>
      <c r="H28" s="188">
        <v>68410457513</v>
      </c>
      <c r="I28" s="188">
        <v>69947586967</v>
      </c>
      <c r="J28" s="188">
        <v>71552996994</v>
      </c>
      <c r="K28" s="188">
        <v>63258787740</v>
      </c>
      <c r="L28" s="188">
        <v>61832697539</v>
      </c>
      <c r="M28" s="188">
        <v>63565099405</v>
      </c>
      <c r="N28" s="188">
        <v>61154812722</v>
      </c>
      <c r="O28" s="188">
        <v>48184498059</v>
      </c>
      <c r="P28" s="188">
        <v>49698254777</v>
      </c>
      <c r="Q28" s="188">
        <v>49398396189</v>
      </c>
      <c r="R28" s="188">
        <v>47949017778</v>
      </c>
      <c r="S28" s="188">
        <v>32589747763</v>
      </c>
      <c r="T28" s="188">
        <v>33294194483</v>
      </c>
      <c r="U28" s="188">
        <v>32495665045</v>
      </c>
      <c r="V28" s="188">
        <v>32434471833</v>
      </c>
      <c r="W28" s="188">
        <v>33397707382</v>
      </c>
      <c r="X28" s="188">
        <v>33574636138</v>
      </c>
      <c r="Y28" s="188">
        <v>34534107374</v>
      </c>
      <c r="Z28" s="188">
        <v>34771666143</v>
      </c>
      <c r="AA28" s="188">
        <v>30775533119</v>
      </c>
      <c r="AB28" s="188">
        <v>27695890805</v>
      </c>
      <c r="AC28" s="188">
        <v>28388863004</v>
      </c>
      <c r="AD28" s="188">
        <v>18319247209</v>
      </c>
      <c r="AE28" s="188">
        <v>18392268456</v>
      </c>
      <c r="AF28" s="188">
        <v>14792334187</v>
      </c>
      <c r="AG28" s="188">
        <v>15287867884</v>
      </c>
      <c r="AH28" s="188">
        <v>7433555045</v>
      </c>
      <c r="AI28" s="188">
        <v>7486498055</v>
      </c>
      <c r="AJ28" s="188">
        <v>7613121910</v>
      </c>
      <c r="AK28" s="188">
        <v>7955058596</v>
      </c>
      <c r="AL28" s="188">
        <v>5874189971</v>
      </c>
      <c r="AM28" s="188">
        <v>6136442636</v>
      </c>
      <c r="AN28" s="188">
        <v>6259202013</v>
      </c>
      <c r="AO28" s="188">
        <v>6542076001</v>
      </c>
      <c r="AP28" s="188">
        <v>6117932811</v>
      </c>
      <c r="AQ28" s="188">
        <v>6400608743</v>
      </c>
      <c r="AR28" s="188">
        <v>6661926652</v>
      </c>
      <c r="AS28" s="188">
        <v>6897275352</v>
      </c>
      <c r="AT28" s="188">
        <v>7133851915</v>
      </c>
      <c r="AU28" s="188">
        <v>7380940759</v>
      </c>
      <c r="AV28" s="188">
        <v>7611440659</v>
      </c>
      <c r="AW28" s="188">
        <v>8092661676</v>
      </c>
      <c r="AX28" s="188">
        <v>8066324129</v>
      </c>
      <c r="AY28" s="188">
        <v>10886620701</v>
      </c>
      <c r="AZ28" s="188">
        <v>11256349115</v>
      </c>
      <c r="BA28" s="188">
        <v>11382680796</v>
      </c>
      <c r="BB28" s="188">
        <v>11825602444</v>
      </c>
      <c r="BC28" s="188">
        <v>10291207570</v>
      </c>
      <c r="BD28" s="188">
        <v>5102314445</v>
      </c>
      <c r="BE28" s="188">
        <v>5054986309</v>
      </c>
      <c r="BF28" s="188">
        <v>3714625893.5</v>
      </c>
      <c r="BG28" s="188">
        <v>3725975344.8800001</v>
      </c>
      <c r="BH28" s="188">
        <v>3928734089.6700001</v>
      </c>
      <c r="BI28" s="188">
        <v>3828255049</v>
      </c>
      <c r="BJ28" s="188">
        <v>4006817900.8200002</v>
      </c>
      <c r="BK28" s="188">
        <v>4071760994.7600002</v>
      </c>
      <c r="BL28" s="188">
        <v>3985302169.8299999</v>
      </c>
      <c r="BM28" s="188">
        <v>1206720821</v>
      </c>
      <c r="BN28" s="188">
        <v>989579023</v>
      </c>
      <c r="BO28" s="188">
        <v>867961039.58000004</v>
      </c>
      <c r="BP28" s="188">
        <v>880156984.98000002</v>
      </c>
      <c r="BQ28" s="188">
        <v>602654492</v>
      </c>
      <c r="BR28" s="188">
        <v>596557946.04999995</v>
      </c>
      <c r="BS28" s="188">
        <v>553507644</v>
      </c>
      <c r="BT28" s="188">
        <v>471094241</v>
      </c>
      <c r="BU28" s="188">
        <v>339036000</v>
      </c>
      <c r="BV28" s="188">
        <v>355638595.26999998</v>
      </c>
      <c r="BW28" s="188">
        <v>308514000</v>
      </c>
      <c r="BX28" s="188">
        <v>153502671.28</v>
      </c>
      <c r="BY28" s="188">
        <v>158021000</v>
      </c>
      <c r="BZ28" s="188">
        <v>155752000</v>
      </c>
      <c r="CA28" s="188">
        <v>151409000</v>
      </c>
      <c r="CB28" s="188">
        <v>138289000</v>
      </c>
      <c r="CC28" s="188">
        <v>131313000</v>
      </c>
      <c r="CD28" s="188">
        <v>0</v>
      </c>
    </row>
    <row r="29" spans="1:82" x14ac:dyDescent="0.25">
      <c r="A29" s="188" t="s">
        <v>133</v>
      </c>
      <c r="B29" s="188">
        <v>67442708371</v>
      </c>
      <c r="C29" s="188">
        <v>73903155311</v>
      </c>
      <c r="D29" s="188">
        <v>60573097541</v>
      </c>
      <c r="E29" s="188">
        <v>50761250426</v>
      </c>
      <c r="F29" s="188">
        <v>49719431282</v>
      </c>
      <c r="G29" s="188">
        <v>44127069216</v>
      </c>
      <c r="H29" s="188">
        <v>45237334136</v>
      </c>
      <c r="I29" s="188">
        <v>33008248720</v>
      </c>
      <c r="J29" s="188">
        <v>15578683089</v>
      </c>
      <c r="K29" s="188">
        <v>20213753534</v>
      </c>
      <c r="L29" s="188">
        <v>20384123931</v>
      </c>
      <c r="M29" s="188">
        <v>18645461692</v>
      </c>
      <c r="N29" s="188">
        <v>19479228048</v>
      </c>
      <c r="O29" s="188">
        <v>28736450388</v>
      </c>
      <c r="P29" s="188">
        <v>24007282897</v>
      </c>
      <c r="Q29" s="188">
        <v>21868641210</v>
      </c>
      <c r="R29" s="188">
        <v>18118852354</v>
      </c>
      <c r="S29" s="188">
        <v>31877217133</v>
      </c>
      <c r="T29" s="188">
        <v>24897642788</v>
      </c>
      <c r="U29" s="188">
        <v>22172949652</v>
      </c>
      <c r="V29" s="188">
        <v>18087835581</v>
      </c>
      <c r="W29" s="188">
        <v>9982117889</v>
      </c>
      <c r="X29" s="188">
        <v>2763092704</v>
      </c>
      <c r="Y29" s="188">
        <v>2294256409</v>
      </c>
      <c r="Z29" s="188">
        <v>1905649963</v>
      </c>
      <c r="AA29" s="188">
        <v>5752763007</v>
      </c>
      <c r="AB29" s="188">
        <v>8528247537</v>
      </c>
      <c r="AC29" s="188">
        <v>8412921608</v>
      </c>
      <c r="AD29" s="188">
        <v>17908031218</v>
      </c>
      <c r="AE29" s="188">
        <v>14543937667</v>
      </c>
      <c r="AF29" s="188">
        <v>13357178363</v>
      </c>
      <c r="AG29" s="188">
        <v>8098446109</v>
      </c>
      <c r="AH29" s="188">
        <v>10381574489</v>
      </c>
      <c r="AI29" s="188">
        <v>6116329802</v>
      </c>
      <c r="AJ29" s="188">
        <v>1744418299</v>
      </c>
      <c r="AK29" s="188">
        <v>1140779520</v>
      </c>
      <c r="AL29" s="188">
        <v>2499988288</v>
      </c>
      <c r="AM29" s="188">
        <v>2052959033</v>
      </c>
      <c r="AN29" s="188">
        <v>1057108117</v>
      </c>
      <c r="AO29" s="188">
        <v>445452403</v>
      </c>
      <c r="AP29" s="188">
        <v>924185518</v>
      </c>
      <c r="AQ29" s="188">
        <v>726306787</v>
      </c>
      <c r="AR29" s="188">
        <v>214175484</v>
      </c>
      <c r="AS29" s="188">
        <v>54745615</v>
      </c>
      <c r="AT29" s="188">
        <v>62583273</v>
      </c>
      <c r="AU29" s="188">
        <v>51016002</v>
      </c>
      <c r="AV29" s="188">
        <v>53944342</v>
      </c>
      <c r="AW29" s="188">
        <v>64403867</v>
      </c>
      <c r="AX29" s="188">
        <v>341473241</v>
      </c>
      <c r="AY29" s="188">
        <v>287661196</v>
      </c>
      <c r="AZ29" s="188">
        <v>189704387</v>
      </c>
      <c r="BA29" s="188">
        <v>285244019</v>
      </c>
      <c r="BB29" s="188">
        <v>257525817</v>
      </c>
      <c r="BC29" s="188">
        <v>2027078545</v>
      </c>
      <c r="BD29" s="188">
        <v>5561051404</v>
      </c>
      <c r="BE29" s="188">
        <v>5057734515</v>
      </c>
      <c r="BF29" s="188">
        <v>2225106397.5999999</v>
      </c>
      <c r="BG29" s="188">
        <v>616118117.03999996</v>
      </c>
      <c r="BH29" s="188">
        <v>540216777.25</v>
      </c>
      <c r="BI29" s="188">
        <v>324067497</v>
      </c>
      <c r="BJ29" s="188">
        <v>338313448.31</v>
      </c>
      <c r="BK29" s="188">
        <v>289519448.52999997</v>
      </c>
      <c r="BL29" s="188">
        <v>236475329.43000001</v>
      </c>
      <c r="BM29" s="188">
        <v>127031485</v>
      </c>
      <c r="BN29" s="188">
        <v>217655462.61000001</v>
      </c>
      <c r="BO29" s="188">
        <v>281496923.23000002</v>
      </c>
      <c r="BP29" s="188">
        <v>242991679.05000001</v>
      </c>
      <c r="BQ29" s="188">
        <v>196658022</v>
      </c>
      <c r="BR29" s="188">
        <v>73221999.810000002</v>
      </c>
      <c r="BS29" s="188">
        <v>24534488</v>
      </c>
      <c r="BT29" s="188">
        <v>52045627</v>
      </c>
      <c r="BU29" s="188">
        <v>96164485</v>
      </c>
      <c r="BV29" s="188">
        <v>63219289.270000003</v>
      </c>
      <c r="BW29" s="188">
        <v>63954000</v>
      </c>
      <c r="BX29" s="188">
        <v>22014175.07</v>
      </c>
      <c r="BY29" s="188">
        <v>16223000</v>
      </c>
      <c r="BZ29" s="188">
        <v>19661000</v>
      </c>
      <c r="CA29" s="188">
        <v>17021000</v>
      </c>
      <c r="CB29" s="188">
        <v>15021000</v>
      </c>
      <c r="CC29" s="188">
        <v>25633000</v>
      </c>
      <c r="CD29" s="188">
        <v>0</v>
      </c>
    </row>
    <row r="30" spans="1:82" x14ac:dyDescent="0.25">
      <c r="A30" s="188" t="s">
        <v>134</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c r="R30" s="188">
        <v>0</v>
      </c>
      <c r="S30" s="188">
        <v>0</v>
      </c>
      <c r="T30" s="188">
        <v>0</v>
      </c>
      <c r="U30" s="188">
        <v>0</v>
      </c>
      <c r="V30" s="188">
        <v>0</v>
      </c>
      <c r="W30" s="188">
        <v>0</v>
      </c>
      <c r="X30" s="188">
        <v>0</v>
      </c>
      <c r="Y30" s="188">
        <v>0</v>
      </c>
      <c r="Z30" s="188">
        <v>0</v>
      </c>
      <c r="AA30" s="188">
        <v>0</v>
      </c>
      <c r="AB30" s="188">
        <v>0</v>
      </c>
      <c r="AC30" s="188">
        <v>0</v>
      </c>
      <c r="AD30" s="188">
        <v>0</v>
      </c>
      <c r="AE30" s="188">
        <v>0</v>
      </c>
      <c r="AF30" s="188">
        <v>0</v>
      </c>
      <c r="AG30" s="188">
        <v>0</v>
      </c>
      <c r="AH30" s="188">
        <v>0</v>
      </c>
      <c r="AI30" s="188">
        <v>0</v>
      </c>
      <c r="AJ30" s="188">
        <v>0</v>
      </c>
      <c r="AK30" s="188">
        <v>0</v>
      </c>
      <c r="AL30" s="188">
        <v>0</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210508998</v>
      </c>
      <c r="BE30" s="188">
        <v>7614586</v>
      </c>
      <c r="BF30" s="188">
        <v>12198867</v>
      </c>
      <c r="BG30" s="188">
        <v>12198867</v>
      </c>
      <c r="BH30" s="188">
        <v>11901867</v>
      </c>
      <c r="BI30" s="188">
        <v>11901861</v>
      </c>
      <c r="BJ30" s="188">
        <v>0</v>
      </c>
      <c r="BK30" s="188">
        <v>0</v>
      </c>
      <c r="BL30" s="188">
        <v>0</v>
      </c>
      <c r="BM30" s="188">
        <v>11241197</v>
      </c>
      <c r="BN30" s="188">
        <v>0</v>
      </c>
      <c r="BO30" s="188">
        <v>0</v>
      </c>
      <c r="BP30" s="188">
        <v>0</v>
      </c>
      <c r="BQ30" s="188">
        <v>16878070</v>
      </c>
      <c r="BR30" s="188">
        <v>0</v>
      </c>
      <c r="BS30" s="188">
        <v>0</v>
      </c>
      <c r="BT30" s="188">
        <v>0</v>
      </c>
      <c r="BU30" s="188">
        <v>0</v>
      </c>
      <c r="BV30" s="188">
        <v>0</v>
      </c>
      <c r="BW30" s="188">
        <v>0</v>
      </c>
      <c r="BX30" s="188">
        <v>0</v>
      </c>
      <c r="BY30" s="188">
        <v>0</v>
      </c>
      <c r="BZ30" s="188">
        <v>0</v>
      </c>
      <c r="CA30" s="188">
        <v>0</v>
      </c>
      <c r="CB30" s="188">
        <v>0</v>
      </c>
      <c r="CC30" s="188">
        <v>0</v>
      </c>
      <c r="CD30" s="188">
        <v>0</v>
      </c>
    </row>
    <row r="31" spans="1:82" x14ac:dyDescent="0.25">
      <c r="A31" s="188" t="s">
        <v>135</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136957</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203667</v>
      </c>
      <c r="BO31" s="188">
        <v>310804.61</v>
      </c>
      <c r="BP31" s="188">
        <v>311667</v>
      </c>
      <c r="BQ31" s="188">
        <v>311667</v>
      </c>
      <c r="BR31" s="188">
        <v>314306.96000000002</v>
      </c>
      <c r="BS31" s="188">
        <v>168469</v>
      </c>
      <c r="BT31" s="188">
        <v>516616</v>
      </c>
      <c r="BU31" s="188">
        <v>0</v>
      </c>
      <c r="BV31" s="188">
        <v>0</v>
      </c>
      <c r="BW31" s="188">
        <v>0</v>
      </c>
      <c r="BX31" s="188">
        <v>0</v>
      </c>
      <c r="BY31" s="188">
        <v>0</v>
      </c>
      <c r="BZ31" s="188">
        <v>0</v>
      </c>
      <c r="CA31" s="188">
        <v>0</v>
      </c>
      <c r="CB31" s="188">
        <v>0</v>
      </c>
      <c r="CC31" s="188">
        <v>0</v>
      </c>
      <c r="CD31" s="188">
        <v>0</v>
      </c>
    </row>
    <row r="32" spans="1:82" x14ac:dyDescent="0.25">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c r="BR32" s="188">
        <v>0</v>
      </c>
      <c r="BS32" s="188">
        <v>0</v>
      </c>
      <c r="BT32" s="188">
        <v>0</v>
      </c>
      <c r="BU32" s="188">
        <v>0</v>
      </c>
      <c r="BV32" s="188">
        <v>0</v>
      </c>
      <c r="BW32" s="188">
        <v>0</v>
      </c>
      <c r="BX32" s="188">
        <v>0</v>
      </c>
      <c r="BY32" s="188">
        <v>0</v>
      </c>
      <c r="BZ32" s="188">
        <v>0</v>
      </c>
      <c r="CA32" s="188">
        <v>0</v>
      </c>
      <c r="CB32" s="188">
        <v>0</v>
      </c>
      <c r="CC32" s="188">
        <v>0</v>
      </c>
      <c r="CD32" s="188">
        <v>0</v>
      </c>
    </row>
    <row r="33" spans="1:82" x14ac:dyDescent="0.25">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c r="BL33" s="188">
        <v>0</v>
      </c>
      <c r="BM33" s="188">
        <v>0</v>
      </c>
      <c r="BN33" s="188">
        <v>0</v>
      </c>
      <c r="BO33" s="188">
        <v>0</v>
      </c>
      <c r="BP33" s="188">
        <v>0</v>
      </c>
      <c r="BQ33" s="188">
        <v>0</v>
      </c>
      <c r="BR33" s="188">
        <v>0</v>
      </c>
      <c r="BS33" s="188">
        <v>0</v>
      </c>
      <c r="BT33" s="188">
        <v>0</v>
      </c>
      <c r="BU33" s="188">
        <v>0</v>
      </c>
      <c r="BV33" s="188">
        <v>0</v>
      </c>
      <c r="BW33" s="188">
        <v>0</v>
      </c>
      <c r="BX33" s="188">
        <v>0</v>
      </c>
      <c r="BY33" s="188">
        <v>0</v>
      </c>
      <c r="BZ33" s="188">
        <v>0</v>
      </c>
      <c r="CA33" s="188">
        <v>0</v>
      </c>
      <c r="CB33" s="188">
        <v>0</v>
      </c>
      <c r="CC33" s="188">
        <v>0</v>
      </c>
      <c r="CD33" s="188">
        <v>0</v>
      </c>
    </row>
    <row r="34" spans="1:82" x14ac:dyDescent="0.25">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0</v>
      </c>
      <c r="BB34" s="188">
        <v>0</v>
      </c>
      <c r="BC34" s="188">
        <v>0</v>
      </c>
      <c r="BD34" s="188">
        <v>0</v>
      </c>
      <c r="BE34" s="188">
        <v>0</v>
      </c>
      <c r="BF34" s="188">
        <v>0</v>
      </c>
      <c r="BG34" s="188">
        <v>0</v>
      </c>
      <c r="BH34" s="188">
        <v>0</v>
      </c>
      <c r="BI34" s="188">
        <v>0</v>
      </c>
      <c r="BJ34" s="188">
        <v>0</v>
      </c>
      <c r="BK34" s="188">
        <v>0</v>
      </c>
      <c r="BL34" s="188">
        <v>0</v>
      </c>
      <c r="BM34" s="188">
        <v>0</v>
      </c>
      <c r="BN34" s="188">
        <v>0</v>
      </c>
      <c r="BO34" s="188">
        <v>0</v>
      </c>
      <c r="BP34" s="188">
        <v>0</v>
      </c>
      <c r="BQ34" s="188">
        <v>0</v>
      </c>
      <c r="BR34" s="188">
        <v>0</v>
      </c>
      <c r="BS34" s="188">
        <v>0</v>
      </c>
      <c r="BT34" s="188">
        <v>0</v>
      </c>
      <c r="BU34" s="188">
        <v>0</v>
      </c>
      <c r="BV34" s="188">
        <v>0</v>
      </c>
      <c r="BW34" s="188">
        <v>0</v>
      </c>
      <c r="BX34" s="188">
        <v>0</v>
      </c>
      <c r="BY34" s="188">
        <v>0</v>
      </c>
      <c r="BZ34" s="188">
        <v>0</v>
      </c>
      <c r="CA34" s="188">
        <v>0</v>
      </c>
      <c r="CB34" s="188">
        <v>0</v>
      </c>
      <c r="CC34" s="188">
        <v>0</v>
      </c>
      <c r="CD34" s="188">
        <v>0</v>
      </c>
    </row>
    <row r="35" spans="1:82" x14ac:dyDescent="0.25">
      <c r="A35" s="188" t="s">
        <v>139</v>
      </c>
      <c r="B35" s="188">
        <v>5383958273</v>
      </c>
      <c r="C35" s="188">
        <v>5490324217</v>
      </c>
      <c r="D35" s="188">
        <v>5056552295</v>
      </c>
      <c r="E35" s="188">
        <v>2982664308</v>
      </c>
      <c r="F35" s="188">
        <v>3285107422</v>
      </c>
      <c r="G35" s="188">
        <v>3046125155</v>
      </c>
      <c r="H35" s="188">
        <v>3086565460</v>
      </c>
      <c r="I35" s="188">
        <v>3136873387</v>
      </c>
      <c r="J35" s="188">
        <v>2864508290</v>
      </c>
      <c r="K35" s="188">
        <v>2605562535</v>
      </c>
      <c r="L35" s="188">
        <v>2633021936</v>
      </c>
      <c r="M35" s="188">
        <v>2679239255</v>
      </c>
      <c r="N35" s="188">
        <v>2690226279</v>
      </c>
      <c r="O35" s="188">
        <v>2065601239</v>
      </c>
      <c r="P35" s="188">
        <v>2101548672</v>
      </c>
      <c r="Q35" s="188">
        <v>2158510516</v>
      </c>
      <c r="R35" s="188">
        <v>2111798213</v>
      </c>
      <c r="S35" s="188">
        <v>2156864047</v>
      </c>
      <c r="T35" s="188">
        <v>1980602324</v>
      </c>
      <c r="U35" s="188">
        <v>2025945856</v>
      </c>
      <c r="V35" s="188">
        <v>1678201309</v>
      </c>
      <c r="W35" s="188">
        <v>1705658091</v>
      </c>
      <c r="X35" s="188">
        <v>1465302961</v>
      </c>
      <c r="Y35" s="188">
        <v>1497109054</v>
      </c>
      <c r="Z35" s="188">
        <v>1361313182</v>
      </c>
      <c r="AA35" s="188">
        <v>1404317912</v>
      </c>
      <c r="AB35" s="188">
        <v>1429158183</v>
      </c>
      <c r="AC35" s="188">
        <v>1454669394</v>
      </c>
      <c r="AD35" s="188">
        <v>1077242433</v>
      </c>
      <c r="AE35" s="188">
        <v>1087340300</v>
      </c>
      <c r="AF35" s="188">
        <v>1104039605</v>
      </c>
      <c r="AG35" s="188">
        <v>1112496157</v>
      </c>
      <c r="AH35" s="188">
        <v>1010904414</v>
      </c>
      <c r="AI35" s="188">
        <v>928991992</v>
      </c>
      <c r="AJ35" s="188">
        <v>775394191</v>
      </c>
      <c r="AK35" s="188">
        <v>774986122</v>
      </c>
      <c r="AL35" s="188">
        <v>682335892</v>
      </c>
      <c r="AM35" s="188">
        <v>699239960</v>
      </c>
      <c r="AN35" s="188">
        <v>703200546</v>
      </c>
      <c r="AO35" s="188">
        <v>715814320</v>
      </c>
      <c r="AP35" s="188">
        <v>729123591</v>
      </c>
      <c r="AQ35" s="188">
        <v>735809607</v>
      </c>
      <c r="AR35" s="188">
        <v>730808796</v>
      </c>
      <c r="AS35" s="188">
        <v>742637961</v>
      </c>
      <c r="AT35" s="188">
        <v>748075180</v>
      </c>
      <c r="AU35" s="188">
        <v>748040868</v>
      </c>
      <c r="AV35" s="188">
        <v>747312778</v>
      </c>
      <c r="AW35" s="188">
        <v>746989431</v>
      </c>
      <c r="AX35" s="188">
        <v>738499958</v>
      </c>
      <c r="AY35" s="188">
        <v>249082764</v>
      </c>
      <c r="AZ35" s="188">
        <v>246654422</v>
      </c>
      <c r="BA35" s="188">
        <v>261585751</v>
      </c>
      <c r="BB35" s="188">
        <v>242505056</v>
      </c>
      <c r="BC35" s="188">
        <v>253840059</v>
      </c>
      <c r="BD35" s="188">
        <v>192861612</v>
      </c>
      <c r="BE35" s="188">
        <v>159322273</v>
      </c>
      <c r="BF35" s="188">
        <v>167273762.19999999</v>
      </c>
      <c r="BG35" s="188">
        <v>180688803.97</v>
      </c>
      <c r="BH35" s="188">
        <v>67459140.769999996</v>
      </c>
      <c r="BI35" s="188">
        <v>160190232</v>
      </c>
      <c r="BJ35" s="188">
        <v>141917692.09</v>
      </c>
      <c r="BK35" s="188">
        <v>123261919.56999999</v>
      </c>
      <c r="BL35" s="188">
        <v>145324877.68000001</v>
      </c>
      <c r="BM35" s="188">
        <v>128946439</v>
      </c>
      <c r="BN35" s="188">
        <v>118040348.65000001</v>
      </c>
      <c r="BO35" s="188">
        <v>113676182.87</v>
      </c>
      <c r="BP35" s="188">
        <v>110724831.68000001</v>
      </c>
      <c r="BQ35" s="188">
        <v>107766428</v>
      </c>
      <c r="BR35" s="188">
        <v>42468330.640000001</v>
      </c>
      <c r="BS35" s="188">
        <v>39188824</v>
      </c>
      <c r="BT35" s="188">
        <v>38426429</v>
      </c>
      <c r="BU35" s="188">
        <v>35420004</v>
      </c>
      <c r="BV35" s="188">
        <v>35205677.229999997</v>
      </c>
      <c r="BW35" s="188">
        <v>34611000</v>
      </c>
      <c r="BX35" s="188">
        <v>0</v>
      </c>
      <c r="BY35" s="188">
        <v>0</v>
      </c>
      <c r="BZ35" s="188">
        <v>0</v>
      </c>
      <c r="CA35" s="188">
        <v>0</v>
      </c>
      <c r="CB35" s="188">
        <v>25384000</v>
      </c>
      <c r="CC35" s="188">
        <v>25384000</v>
      </c>
      <c r="CD35" s="188">
        <v>0</v>
      </c>
    </row>
    <row r="36" spans="1:82" x14ac:dyDescent="0.25">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4813466</v>
      </c>
      <c r="AU36" s="188">
        <v>7519008</v>
      </c>
      <c r="AV36" s="188">
        <v>0</v>
      </c>
      <c r="AW36" s="188">
        <v>0</v>
      </c>
      <c r="AX36" s="188">
        <v>0</v>
      </c>
      <c r="AY36" s="188">
        <v>0</v>
      </c>
      <c r="AZ36" s="188">
        <v>0</v>
      </c>
      <c r="BA36" s="188">
        <v>0</v>
      </c>
      <c r="BB36" s="188">
        <v>0</v>
      </c>
      <c r="BC36" s="188">
        <v>0</v>
      </c>
      <c r="BD36" s="188">
        <v>0</v>
      </c>
      <c r="BE36" s="188">
        <v>0</v>
      </c>
      <c r="BF36" s="188">
        <v>0</v>
      </c>
      <c r="BG36" s="188">
        <v>0</v>
      </c>
      <c r="BH36" s="188">
        <v>0</v>
      </c>
      <c r="BI36" s="188">
        <v>0</v>
      </c>
      <c r="BJ36" s="188">
        <v>0</v>
      </c>
      <c r="BK36" s="188">
        <v>0</v>
      </c>
      <c r="BL36" s="188">
        <v>0</v>
      </c>
      <c r="BM36" s="188">
        <v>0</v>
      </c>
      <c r="BN36" s="188">
        <v>0</v>
      </c>
      <c r="BO36" s="188">
        <v>0</v>
      </c>
      <c r="BP36" s="188">
        <v>0</v>
      </c>
      <c r="BQ36" s="188">
        <v>0</v>
      </c>
      <c r="BR36" s="188">
        <v>0</v>
      </c>
      <c r="BS36" s="188">
        <v>0</v>
      </c>
      <c r="BT36" s="188">
        <v>0</v>
      </c>
      <c r="BU36" s="188">
        <v>0</v>
      </c>
      <c r="BV36" s="188">
        <v>0</v>
      </c>
      <c r="BW36" s="188">
        <v>0</v>
      </c>
      <c r="BX36" s="188">
        <v>0</v>
      </c>
      <c r="BY36" s="188">
        <v>0</v>
      </c>
      <c r="BZ36" s="188">
        <v>0</v>
      </c>
      <c r="CA36" s="188">
        <v>0</v>
      </c>
      <c r="CB36" s="188">
        <v>0</v>
      </c>
      <c r="CC36" s="188">
        <v>0</v>
      </c>
      <c r="CD36" s="188">
        <v>0</v>
      </c>
    </row>
    <row r="37" spans="1:82" x14ac:dyDescent="0.25">
      <c r="A37" s="188" t="s">
        <v>141</v>
      </c>
      <c r="B37" s="188">
        <v>841479045</v>
      </c>
      <c r="C37" s="188">
        <v>841479045</v>
      </c>
      <c r="D37" s="188">
        <v>727692724</v>
      </c>
      <c r="E37" s="188">
        <v>197963688</v>
      </c>
      <c r="F37" s="188">
        <v>197963688</v>
      </c>
      <c r="G37" s="188">
        <v>197963688</v>
      </c>
      <c r="H37" s="188">
        <v>197963688</v>
      </c>
      <c r="I37" s="188">
        <v>197963688</v>
      </c>
      <c r="J37" s="188">
        <v>197963688</v>
      </c>
      <c r="K37" s="188">
        <v>197963688</v>
      </c>
      <c r="L37" s="188">
        <v>197963688</v>
      </c>
      <c r="M37" s="188">
        <v>197963688</v>
      </c>
      <c r="N37" s="188">
        <v>155756341</v>
      </c>
      <c r="O37" s="188">
        <v>51502898</v>
      </c>
      <c r="P37" s="188">
        <v>51502898</v>
      </c>
      <c r="Q37" s="188">
        <v>51502898</v>
      </c>
      <c r="R37" s="188">
        <v>51502898</v>
      </c>
      <c r="S37" s="188">
        <v>51502898</v>
      </c>
      <c r="T37" s="188">
        <v>51502898</v>
      </c>
      <c r="U37" s="188">
        <v>51502898</v>
      </c>
      <c r="V37" s="188">
        <v>51502898</v>
      </c>
      <c r="W37" s="188">
        <v>51502898</v>
      </c>
      <c r="X37" s="188">
        <v>51502898</v>
      </c>
      <c r="Y37" s="188">
        <v>51502898</v>
      </c>
      <c r="Z37" s="188">
        <v>51502898</v>
      </c>
      <c r="AA37" s="188">
        <v>51502898</v>
      </c>
      <c r="AB37" s="188">
        <v>51502898</v>
      </c>
      <c r="AC37" s="188">
        <v>51502898</v>
      </c>
      <c r="AD37" s="188">
        <v>55926774</v>
      </c>
      <c r="AE37" s="188">
        <v>55926774</v>
      </c>
      <c r="AF37" s="188">
        <v>55926774</v>
      </c>
      <c r="AG37" s="188">
        <v>55926774</v>
      </c>
      <c r="AH37" s="188">
        <v>73743389</v>
      </c>
      <c r="AI37" s="188">
        <v>47364310</v>
      </c>
      <c r="AJ37" s="188">
        <v>47364310</v>
      </c>
      <c r="AK37" s="188">
        <v>47364310</v>
      </c>
      <c r="AL37" s="188">
        <v>47364310</v>
      </c>
      <c r="AM37" s="188">
        <v>47364310</v>
      </c>
      <c r="AN37" s="188">
        <v>47364310</v>
      </c>
      <c r="AO37" s="188">
        <v>47364310</v>
      </c>
      <c r="AP37" s="188">
        <v>59317773</v>
      </c>
      <c r="AQ37" s="188">
        <v>59317773</v>
      </c>
      <c r="AR37" s="188">
        <v>47364310</v>
      </c>
      <c r="AS37" s="188">
        <v>47364310</v>
      </c>
      <c r="AT37" s="188">
        <v>49722765</v>
      </c>
      <c r="AU37" s="188">
        <v>49722765</v>
      </c>
      <c r="AV37" s="188">
        <v>49722765</v>
      </c>
      <c r="AW37" s="188">
        <v>0</v>
      </c>
      <c r="AX37" s="188">
        <v>0</v>
      </c>
      <c r="AY37" s="188">
        <v>0</v>
      </c>
      <c r="AZ37" s="188">
        <v>0</v>
      </c>
      <c r="BA37" s="188">
        <v>0</v>
      </c>
      <c r="BB37" s="188">
        <v>0</v>
      </c>
      <c r="BC37" s="188">
        <v>0</v>
      </c>
      <c r="BD37" s="188">
        <v>0</v>
      </c>
      <c r="BE37" s="188">
        <v>0</v>
      </c>
      <c r="BF37" s="188">
        <v>0</v>
      </c>
      <c r="BG37" s="188">
        <v>0</v>
      </c>
      <c r="BH37" s="188">
        <v>0</v>
      </c>
      <c r="BI37" s="188">
        <v>0</v>
      </c>
      <c r="BJ37" s="188">
        <v>0</v>
      </c>
      <c r="BK37" s="188">
        <v>0</v>
      </c>
      <c r="BL37" s="188">
        <v>0</v>
      </c>
      <c r="BM37" s="188">
        <v>0</v>
      </c>
      <c r="BN37" s="188">
        <v>0</v>
      </c>
      <c r="BO37" s="188">
        <v>0</v>
      </c>
      <c r="BP37" s="188">
        <v>0</v>
      </c>
      <c r="BQ37" s="188">
        <v>0</v>
      </c>
      <c r="BR37" s="188">
        <v>0</v>
      </c>
      <c r="BS37" s="188">
        <v>0</v>
      </c>
      <c r="BT37" s="188">
        <v>0</v>
      </c>
      <c r="BU37" s="188">
        <v>0</v>
      </c>
      <c r="BV37" s="188">
        <v>0</v>
      </c>
      <c r="BW37" s="188">
        <v>0</v>
      </c>
      <c r="BX37" s="188">
        <v>0</v>
      </c>
      <c r="BY37" s="188">
        <v>0</v>
      </c>
      <c r="BZ37" s="188">
        <v>0</v>
      </c>
      <c r="CA37" s="188">
        <v>0</v>
      </c>
      <c r="CB37" s="188">
        <v>0</v>
      </c>
      <c r="CC37" s="188">
        <v>0</v>
      </c>
      <c r="CD37" s="188">
        <v>0</v>
      </c>
    </row>
    <row r="38" spans="1:82" x14ac:dyDescent="0.25">
      <c r="A38" s="188" t="s">
        <v>142</v>
      </c>
      <c r="B38" s="188">
        <v>394830975</v>
      </c>
      <c r="C38" s="188">
        <v>383215107</v>
      </c>
      <c r="D38" s="188">
        <v>364417263</v>
      </c>
      <c r="E38" s="188">
        <v>379829430</v>
      </c>
      <c r="F38" s="188">
        <v>300117127</v>
      </c>
      <c r="G38" s="188">
        <v>314072978</v>
      </c>
      <c r="H38" s="188">
        <v>309106791</v>
      </c>
      <c r="I38" s="188">
        <v>344891227</v>
      </c>
      <c r="J38" s="188">
        <v>336456348</v>
      </c>
      <c r="K38" s="188">
        <v>348527169</v>
      </c>
      <c r="L38" s="188">
        <v>343499182</v>
      </c>
      <c r="M38" s="188">
        <v>341526213</v>
      </c>
      <c r="N38" s="188">
        <v>348997906</v>
      </c>
      <c r="O38" s="188">
        <v>310050863</v>
      </c>
      <c r="P38" s="188">
        <v>314890060</v>
      </c>
      <c r="Q38" s="188">
        <v>303984682</v>
      </c>
      <c r="R38" s="188">
        <v>275101329</v>
      </c>
      <c r="S38" s="188">
        <v>250145319</v>
      </c>
      <c r="T38" s="188">
        <v>253668661</v>
      </c>
      <c r="U38" s="188">
        <v>242814121</v>
      </c>
      <c r="V38" s="188">
        <v>221158073</v>
      </c>
      <c r="W38" s="188">
        <v>219906694</v>
      </c>
      <c r="X38" s="188">
        <v>220138506</v>
      </c>
      <c r="Y38" s="188">
        <v>222578163</v>
      </c>
      <c r="Z38" s="188">
        <v>228806627</v>
      </c>
      <c r="AA38" s="188">
        <v>233867070</v>
      </c>
      <c r="AB38" s="188">
        <v>26388701</v>
      </c>
      <c r="AC38" s="188">
        <v>22860526</v>
      </c>
      <c r="AD38" s="188">
        <v>12326220</v>
      </c>
      <c r="AE38" s="188">
        <v>10912331</v>
      </c>
      <c r="AF38" s="188">
        <v>12255401</v>
      </c>
      <c r="AG38" s="188">
        <v>13270680</v>
      </c>
      <c r="AH38" s="188">
        <v>20974854</v>
      </c>
      <c r="AI38" s="188">
        <v>17803314</v>
      </c>
      <c r="AJ38" s="188">
        <v>15095761</v>
      </c>
      <c r="AK38" s="188">
        <v>15747779</v>
      </c>
      <c r="AL38" s="188">
        <v>14781724</v>
      </c>
      <c r="AM38" s="188">
        <v>14834223</v>
      </c>
      <c r="AN38" s="188">
        <v>15603476</v>
      </c>
      <c r="AO38" s="188">
        <v>14611367</v>
      </c>
      <c r="AP38" s="188">
        <v>12325015</v>
      </c>
      <c r="AQ38" s="188">
        <v>12621628</v>
      </c>
      <c r="AR38" s="188">
        <v>375713</v>
      </c>
      <c r="AS38" s="188">
        <v>1266496</v>
      </c>
      <c r="AT38" s="188">
        <v>2366865</v>
      </c>
      <c r="AU38" s="188">
        <v>2944155</v>
      </c>
      <c r="AV38" s="188">
        <v>0</v>
      </c>
      <c r="AW38" s="188">
        <v>1066696</v>
      </c>
      <c r="AX38" s="188">
        <v>4729970</v>
      </c>
      <c r="AY38" s="188">
        <v>13494815</v>
      </c>
      <c r="AZ38" s="188">
        <v>12418852</v>
      </c>
      <c r="BA38" s="188">
        <v>14587546</v>
      </c>
      <c r="BB38" s="188">
        <v>10037875</v>
      </c>
      <c r="BC38" s="188">
        <v>10044228</v>
      </c>
      <c r="BD38" s="188">
        <v>1795838</v>
      </c>
      <c r="BE38" s="188">
        <v>7592707</v>
      </c>
      <c r="BF38" s="188">
        <v>99171.88</v>
      </c>
      <c r="BG38" s="188">
        <v>727728.64000000001</v>
      </c>
      <c r="BH38" s="188">
        <v>5436429.8300000001</v>
      </c>
      <c r="BI38" s="188">
        <v>613629</v>
      </c>
      <c r="BJ38" s="188">
        <v>28678024.039999999</v>
      </c>
      <c r="BK38" s="188">
        <v>29297882.5</v>
      </c>
      <c r="BL38" s="188">
        <v>29890675.510000002</v>
      </c>
      <c r="BM38" s="188">
        <v>32694722</v>
      </c>
      <c r="BN38" s="188">
        <v>33881794.590000004</v>
      </c>
      <c r="BO38" s="188">
        <v>31486857.84</v>
      </c>
      <c r="BP38" s="188">
        <v>33522056.809999999</v>
      </c>
      <c r="BQ38" s="188">
        <v>32698243</v>
      </c>
      <c r="BR38" s="188">
        <v>17229218.530000001</v>
      </c>
      <c r="BS38" s="188">
        <v>7748793</v>
      </c>
      <c r="BT38" s="188">
        <v>10430953</v>
      </c>
      <c r="BU38" s="188">
        <v>8089906</v>
      </c>
      <c r="BV38" s="188">
        <v>0</v>
      </c>
      <c r="BW38" s="188">
        <v>4830000</v>
      </c>
      <c r="BX38" s="188">
        <v>0</v>
      </c>
      <c r="BY38" s="188">
        <v>0</v>
      </c>
      <c r="BZ38" s="188">
        <v>0</v>
      </c>
      <c r="CA38" s="188">
        <v>0</v>
      </c>
      <c r="CB38" s="188">
        <v>0</v>
      </c>
      <c r="CC38" s="188">
        <v>0</v>
      </c>
      <c r="CD38" s="188">
        <v>0</v>
      </c>
    </row>
    <row r="39" spans="1:82" x14ac:dyDescent="0.25">
      <c r="A39" s="188" t="s">
        <v>143</v>
      </c>
      <c r="B39" s="188">
        <v>185662548</v>
      </c>
      <c r="C39" s="188">
        <v>176341669</v>
      </c>
      <c r="D39" s="188">
        <v>170520725</v>
      </c>
      <c r="E39" s="188">
        <v>106255657</v>
      </c>
      <c r="F39" s="188">
        <v>136474642</v>
      </c>
      <c r="G39" s="188">
        <v>149942508</v>
      </c>
      <c r="H39" s="188">
        <v>140527159</v>
      </c>
      <c r="I39" s="188">
        <v>146538565</v>
      </c>
      <c r="J39" s="188">
        <v>100673704</v>
      </c>
      <c r="K39" s="188">
        <v>101021236</v>
      </c>
      <c r="L39" s="188">
        <v>112619058</v>
      </c>
      <c r="M39" s="188">
        <v>117105220</v>
      </c>
      <c r="N39" s="188">
        <v>119070580</v>
      </c>
      <c r="O39" s="188">
        <v>125575848</v>
      </c>
      <c r="P39" s="188">
        <v>132124897</v>
      </c>
      <c r="Q39" s="188">
        <v>138779625</v>
      </c>
      <c r="R39" s="188">
        <v>147502064</v>
      </c>
      <c r="S39" s="188">
        <v>150708239</v>
      </c>
      <c r="T39" s="188">
        <v>155143278</v>
      </c>
      <c r="U39" s="188">
        <v>160480672</v>
      </c>
      <c r="V39" s="188">
        <v>48397086</v>
      </c>
      <c r="W39" s="188">
        <v>47515935</v>
      </c>
      <c r="X39" s="188">
        <v>47685049</v>
      </c>
      <c r="Y39" s="188">
        <v>47700956</v>
      </c>
      <c r="Z39" s="188">
        <v>47844057</v>
      </c>
      <c r="AA39" s="188">
        <v>49166758</v>
      </c>
      <c r="AB39" s="188">
        <v>49355084</v>
      </c>
      <c r="AC39" s="188">
        <v>47892088</v>
      </c>
      <c r="AD39" s="188">
        <v>49747912</v>
      </c>
      <c r="AE39" s="188">
        <v>50120901</v>
      </c>
      <c r="AF39" s="188">
        <v>50524175</v>
      </c>
      <c r="AG39" s="188">
        <v>51053166</v>
      </c>
      <c r="AH39" s="188">
        <v>51536438</v>
      </c>
      <c r="AI39" s="188">
        <v>52061569</v>
      </c>
      <c r="AJ39" s="188">
        <v>53178099</v>
      </c>
      <c r="AK39" s="188">
        <v>53396674</v>
      </c>
      <c r="AL39" s="188">
        <v>4131105</v>
      </c>
      <c r="AM39" s="188">
        <v>4265971</v>
      </c>
      <c r="AN39" s="188">
        <v>4938662</v>
      </c>
      <c r="AO39" s="188">
        <v>5013345</v>
      </c>
      <c r="AP39" s="188">
        <v>42841390</v>
      </c>
      <c r="AQ39" s="188">
        <v>44018775</v>
      </c>
      <c r="AR39" s="188">
        <v>46468932</v>
      </c>
      <c r="AS39" s="188">
        <v>76333072</v>
      </c>
      <c r="AT39" s="188">
        <v>4281589</v>
      </c>
      <c r="AU39" s="188">
        <v>4222402</v>
      </c>
      <c r="AV39" s="188">
        <v>4043999</v>
      </c>
      <c r="AW39" s="188">
        <v>1831754</v>
      </c>
      <c r="AX39" s="188">
        <v>0</v>
      </c>
      <c r="AY39" s="188">
        <v>0</v>
      </c>
      <c r="AZ39" s="188">
        <v>0</v>
      </c>
      <c r="BA39" s="188">
        <v>1940609</v>
      </c>
      <c r="BB39" s="188">
        <v>0</v>
      </c>
      <c r="BC39" s="188">
        <v>1150757</v>
      </c>
      <c r="BD39" s="188">
        <v>0</v>
      </c>
      <c r="BE39" s="188">
        <v>13220274</v>
      </c>
      <c r="BF39" s="188">
        <v>1496836.94</v>
      </c>
      <c r="BG39" s="188">
        <v>801316.3</v>
      </c>
      <c r="BH39" s="188">
        <v>0</v>
      </c>
      <c r="BI39" s="188">
        <v>10758910</v>
      </c>
      <c r="BJ39" s="188">
        <v>0</v>
      </c>
      <c r="BK39" s="188">
        <v>0</v>
      </c>
      <c r="BL39" s="188">
        <v>0</v>
      </c>
      <c r="BM39" s="188">
        <v>3752947</v>
      </c>
      <c r="BN39" s="188">
        <v>0</v>
      </c>
      <c r="BO39" s="188">
        <v>0</v>
      </c>
      <c r="BP39" s="188">
        <v>0</v>
      </c>
      <c r="BQ39" s="188">
        <v>0</v>
      </c>
      <c r="BR39" s="188">
        <v>0</v>
      </c>
      <c r="BS39" s="188">
        <v>0</v>
      </c>
      <c r="BT39" s="188">
        <v>0</v>
      </c>
      <c r="BU39" s="188">
        <v>0</v>
      </c>
      <c r="BV39" s="188">
        <v>0</v>
      </c>
      <c r="BW39" s="188">
        <v>0</v>
      </c>
      <c r="BX39" s="188">
        <v>0</v>
      </c>
      <c r="BY39" s="188">
        <v>0</v>
      </c>
      <c r="BZ39" s="188">
        <v>0</v>
      </c>
      <c r="CA39" s="188">
        <v>0</v>
      </c>
      <c r="CB39" s="188">
        <v>0</v>
      </c>
      <c r="CC39" s="188">
        <v>0</v>
      </c>
      <c r="CD39" s="188">
        <v>0</v>
      </c>
    </row>
    <row r="40" spans="1:82" x14ac:dyDescent="0.25">
      <c r="A40" s="188" t="s">
        <v>144</v>
      </c>
      <c r="B40" s="188">
        <v>3897426405</v>
      </c>
      <c r="C40" s="188">
        <v>5120544726</v>
      </c>
      <c r="D40" s="188">
        <v>3720989778</v>
      </c>
      <c r="E40" s="188">
        <v>4189767254</v>
      </c>
      <c r="F40" s="188">
        <v>4239648806</v>
      </c>
      <c r="G40" s="188">
        <v>4182875839</v>
      </c>
      <c r="H40" s="188">
        <v>3915640134</v>
      </c>
      <c r="I40" s="188">
        <v>4139533216</v>
      </c>
      <c r="J40" s="188">
        <v>5730110656</v>
      </c>
      <c r="K40" s="188">
        <v>1657718861</v>
      </c>
      <c r="L40" s="188">
        <v>1629020444</v>
      </c>
      <c r="M40" s="188">
        <v>347851674</v>
      </c>
      <c r="N40" s="188">
        <v>523999669</v>
      </c>
      <c r="O40" s="188">
        <v>768400273</v>
      </c>
      <c r="P40" s="188">
        <v>1370358463</v>
      </c>
      <c r="Q40" s="188">
        <v>1420564369</v>
      </c>
      <c r="R40" s="188">
        <v>849263222</v>
      </c>
      <c r="S40" s="188">
        <v>854146159</v>
      </c>
      <c r="T40" s="188">
        <v>663597879</v>
      </c>
      <c r="U40" s="188">
        <v>1214223099</v>
      </c>
      <c r="V40" s="188">
        <v>1121001901</v>
      </c>
      <c r="W40" s="188">
        <v>1206765475</v>
      </c>
      <c r="X40" s="188">
        <v>449317988</v>
      </c>
      <c r="Y40" s="188">
        <v>229388552</v>
      </c>
      <c r="Z40" s="188">
        <v>161914650</v>
      </c>
      <c r="AA40" s="188">
        <v>248702690</v>
      </c>
      <c r="AB40" s="188">
        <v>72568650</v>
      </c>
      <c r="AC40" s="188">
        <v>70681149</v>
      </c>
      <c r="AD40" s="188">
        <v>210638514</v>
      </c>
      <c r="AE40" s="188">
        <v>315650410</v>
      </c>
      <c r="AF40" s="188">
        <v>114284005</v>
      </c>
      <c r="AG40" s="188">
        <v>173769132</v>
      </c>
      <c r="AH40" s="188">
        <v>1714990388</v>
      </c>
      <c r="AI40" s="188">
        <v>1765624331</v>
      </c>
      <c r="AJ40" s="188">
        <v>1193433054</v>
      </c>
      <c r="AK40" s="188">
        <v>561193734</v>
      </c>
      <c r="AL40" s="188">
        <v>0</v>
      </c>
      <c r="AM40" s="188">
        <v>0</v>
      </c>
      <c r="AN40" s="188">
        <v>0</v>
      </c>
      <c r="AO40" s="188">
        <v>0</v>
      </c>
      <c r="AP40" s="188">
        <v>0</v>
      </c>
      <c r="AQ40" s="188">
        <v>0</v>
      </c>
      <c r="AR40" s="188">
        <v>0</v>
      </c>
      <c r="AS40" s="188">
        <v>0</v>
      </c>
      <c r="AT40" s="188">
        <v>1127000</v>
      </c>
      <c r="AU40" s="188">
        <v>1462198</v>
      </c>
      <c r="AV40" s="188">
        <v>1516122</v>
      </c>
      <c r="AW40" s="188">
        <v>1021848</v>
      </c>
      <c r="AX40" s="188">
        <v>0</v>
      </c>
      <c r="AY40" s="188">
        <v>37882652</v>
      </c>
      <c r="AZ40" s="188">
        <v>65156526</v>
      </c>
      <c r="BA40" s="188">
        <v>55917085</v>
      </c>
      <c r="BB40" s="188">
        <v>36461679</v>
      </c>
      <c r="BC40" s="188">
        <v>59311389</v>
      </c>
      <c r="BD40" s="188">
        <v>57908964</v>
      </c>
      <c r="BE40" s="188">
        <v>55645628</v>
      </c>
      <c r="BF40" s="188">
        <v>86078260.450000003</v>
      </c>
      <c r="BG40" s="188">
        <v>100041760.19</v>
      </c>
      <c r="BH40" s="188">
        <v>25413529.010000002</v>
      </c>
      <c r="BI40" s="188">
        <v>88772649</v>
      </c>
      <c r="BJ40" s="188">
        <v>0</v>
      </c>
      <c r="BK40" s="188">
        <v>0</v>
      </c>
      <c r="BL40" s="188">
        <v>0</v>
      </c>
      <c r="BM40" s="188">
        <v>2463050</v>
      </c>
      <c r="BN40" s="188">
        <v>0</v>
      </c>
      <c r="BO40" s="188">
        <v>0</v>
      </c>
      <c r="BP40" s="188">
        <v>0</v>
      </c>
      <c r="BQ40" s="188">
        <v>0</v>
      </c>
      <c r="BR40" s="188">
        <v>0</v>
      </c>
      <c r="BS40" s="188">
        <v>0</v>
      </c>
      <c r="BT40" s="188">
        <v>0</v>
      </c>
      <c r="BU40" s="188">
        <v>0</v>
      </c>
      <c r="BV40" s="188">
        <v>10129749.539999999</v>
      </c>
      <c r="BW40" s="188">
        <v>0</v>
      </c>
      <c r="BX40" s="188">
        <v>0</v>
      </c>
      <c r="BY40" s="188">
        <v>0</v>
      </c>
      <c r="BZ40" s="188">
        <v>0</v>
      </c>
      <c r="CA40" s="188">
        <v>0</v>
      </c>
      <c r="CB40" s="188">
        <v>0</v>
      </c>
      <c r="CC40" s="188">
        <v>0</v>
      </c>
      <c r="CD40" s="188">
        <v>0</v>
      </c>
    </row>
    <row r="41" spans="1:82" x14ac:dyDescent="0.25">
      <c r="A41" s="188" t="s">
        <v>145</v>
      </c>
      <c r="B41" s="188">
        <v>190541370182</v>
      </c>
      <c r="C41" s="188">
        <v>176393860788</v>
      </c>
      <c r="D41" s="188">
        <v>166514218566</v>
      </c>
      <c r="E41" s="188">
        <v>156328443500</v>
      </c>
      <c r="F41" s="188">
        <v>142942449344</v>
      </c>
      <c r="G41" s="188">
        <v>134926924224</v>
      </c>
      <c r="H41" s="188">
        <v>125278418499</v>
      </c>
      <c r="I41" s="188">
        <v>114093182617</v>
      </c>
      <c r="J41" s="188">
        <v>100068405785</v>
      </c>
      <c r="K41" s="188">
        <v>91741005703</v>
      </c>
      <c r="L41" s="188">
        <v>90467697236</v>
      </c>
      <c r="M41" s="188">
        <v>88835745779</v>
      </c>
      <c r="N41" s="188">
        <v>86734531820</v>
      </c>
      <c r="O41" s="188">
        <v>82533212951</v>
      </c>
      <c r="P41" s="188">
        <v>79951032475</v>
      </c>
      <c r="Q41" s="188">
        <v>77554550180</v>
      </c>
      <c r="R41" s="188">
        <v>72063978392</v>
      </c>
      <c r="S41" s="188">
        <v>70424047120</v>
      </c>
      <c r="T41" s="188">
        <v>63782888748</v>
      </c>
      <c r="U41" s="188">
        <v>60892351932</v>
      </c>
      <c r="V41" s="188">
        <v>56029287055</v>
      </c>
      <c r="W41" s="188">
        <v>49010821701</v>
      </c>
      <c r="X41" s="188">
        <v>40948290532</v>
      </c>
      <c r="Y41" s="188">
        <v>41274214968</v>
      </c>
      <c r="Z41" s="188">
        <v>40880465888</v>
      </c>
      <c r="AA41" s="188">
        <v>40868479048</v>
      </c>
      <c r="AB41" s="188">
        <v>40206056060</v>
      </c>
      <c r="AC41" s="188">
        <v>40823973792</v>
      </c>
      <c r="AD41" s="188">
        <v>39171092932</v>
      </c>
      <c r="AE41" s="188">
        <v>36049960738</v>
      </c>
      <c r="AF41" s="188">
        <v>31113583161</v>
      </c>
      <c r="AG41" s="188">
        <v>26437667650</v>
      </c>
      <c r="AH41" s="188">
        <v>22077866908</v>
      </c>
      <c r="AI41" s="188">
        <v>17802718470</v>
      </c>
      <c r="AJ41" s="188">
        <v>12896675298</v>
      </c>
      <c r="AK41" s="188">
        <v>12001051489</v>
      </c>
      <c r="AL41" s="188">
        <v>9771177385</v>
      </c>
      <c r="AM41" s="188">
        <v>9408553855</v>
      </c>
      <c r="AN41" s="188">
        <v>8630488260</v>
      </c>
      <c r="AO41" s="188">
        <v>8339376532</v>
      </c>
      <c r="AP41" s="188">
        <v>8608939981</v>
      </c>
      <c r="AQ41" s="188">
        <v>8844347092</v>
      </c>
      <c r="AR41" s="188">
        <v>8551800331</v>
      </c>
      <c r="AS41" s="188">
        <v>8716752466</v>
      </c>
      <c r="AT41" s="188">
        <v>10103679480</v>
      </c>
      <c r="AU41" s="188">
        <v>10311918629</v>
      </c>
      <c r="AV41" s="188">
        <v>10619076220</v>
      </c>
      <c r="AW41" s="188">
        <v>11725754090</v>
      </c>
      <c r="AX41" s="188">
        <v>11785581265</v>
      </c>
      <c r="AY41" s="188">
        <v>14055686914</v>
      </c>
      <c r="AZ41" s="188">
        <v>14395067906</v>
      </c>
      <c r="BA41" s="188">
        <v>14607732167</v>
      </c>
      <c r="BB41" s="188">
        <v>14643176446</v>
      </c>
      <c r="BC41" s="188">
        <v>14905621582</v>
      </c>
      <c r="BD41" s="188">
        <v>13376945399</v>
      </c>
      <c r="BE41" s="188">
        <v>12576086418</v>
      </c>
      <c r="BF41" s="188">
        <v>8384459595.5600004</v>
      </c>
      <c r="BG41" s="188">
        <v>6735689343.8299999</v>
      </c>
      <c r="BH41" s="188">
        <v>6653641717.5200005</v>
      </c>
      <c r="BI41" s="188">
        <v>6418171245</v>
      </c>
      <c r="BJ41" s="188">
        <v>5442187708.7399998</v>
      </c>
      <c r="BK41" s="188">
        <v>5370836546.21</v>
      </c>
      <c r="BL41" s="188">
        <v>5328764572.8900003</v>
      </c>
      <c r="BM41" s="188">
        <v>2398206104</v>
      </c>
      <c r="BN41" s="188">
        <v>2235497541.7199998</v>
      </c>
      <c r="BO41" s="188">
        <v>2150428180.9899998</v>
      </c>
      <c r="BP41" s="188">
        <v>2057084094.0699999</v>
      </c>
      <c r="BQ41" s="188">
        <v>1831907677</v>
      </c>
      <c r="BR41" s="188">
        <v>1567571128.8299999</v>
      </c>
      <c r="BS41" s="188">
        <v>1388404848</v>
      </c>
      <c r="BT41" s="188">
        <v>1334100190</v>
      </c>
      <c r="BU41" s="188">
        <v>1204582449</v>
      </c>
      <c r="BV41" s="188">
        <v>1148897406.8199999</v>
      </c>
      <c r="BW41" s="188">
        <v>1076683000</v>
      </c>
      <c r="BX41" s="188">
        <v>858362990.73000002</v>
      </c>
      <c r="BY41" s="188">
        <v>824305000</v>
      </c>
      <c r="BZ41" s="188">
        <v>699434000</v>
      </c>
      <c r="CA41" s="188">
        <v>667442000</v>
      </c>
      <c r="CB41" s="188">
        <v>587254000</v>
      </c>
      <c r="CC41" s="188">
        <v>502262000</v>
      </c>
      <c r="CD41" s="188">
        <v>0</v>
      </c>
    </row>
    <row r="42" spans="1:82" x14ac:dyDescent="0.25">
      <c r="A42" s="188" t="s">
        <v>146</v>
      </c>
      <c r="B42" s="188">
        <v>289680059305</v>
      </c>
      <c r="C42" s="188">
        <v>276232247578</v>
      </c>
      <c r="D42" s="188">
        <v>262729417350</v>
      </c>
      <c r="E42" s="188">
        <v>256108741849</v>
      </c>
      <c r="F42" s="188">
        <v>238955632292</v>
      </c>
      <c r="G42" s="188">
        <v>225472484104</v>
      </c>
      <c r="H42" s="188">
        <v>213743747227</v>
      </c>
      <c r="I42" s="188">
        <v>205135011042</v>
      </c>
      <c r="J42" s="188">
        <v>175175152927</v>
      </c>
      <c r="K42" s="188">
        <v>170275785022</v>
      </c>
      <c r="L42" s="188">
        <v>162807233819</v>
      </c>
      <c r="M42" s="188">
        <v>152592894442</v>
      </c>
      <c r="N42" s="188">
        <v>146687506706</v>
      </c>
      <c r="O42" s="188">
        <v>140855989366</v>
      </c>
      <c r="P42" s="188">
        <v>136648954978</v>
      </c>
      <c r="Q42" s="188">
        <v>136240283477</v>
      </c>
      <c r="R42" s="188">
        <v>129374066105</v>
      </c>
      <c r="S42" s="188">
        <v>127935205029</v>
      </c>
      <c r="T42" s="188">
        <v>126419929502</v>
      </c>
      <c r="U42" s="188">
        <v>92538451492</v>
      </c>
      <c r="V42" s="188">
        <v>90614581894</v>
      </c>
      <c r="W42" s="188">
        <v>88374577534</v>
      </c>
      <c r="X42" s="188">
        <v>68953054160</v>
      </c>
      <c r="Y42" s="188">
        <v>67105360865</v>
      </c>
      <c r="Z42" s="188">
        <v>68100966776</v>
      </c>
      <c r="AA42" s="188">
        <v>67316247128</v>
      </c>
      <c r="AB42" s="188">
        <v>66199967494</v>
      </c>
      <c r="AC42" s="188">
        <v>68769415646</v>
      </c>
      <c r="AD42" s="188">
        <v>64956153690</v>
      </c>
      <c r="AE42" s="188">
        <v>63752747065</v>
      </c>
      <c r="AF42" s="188">
        <v>56984860545</v>
      </c>
      <c r="AG42" s="188">
        <v>54229952769</v>
      </c>
      <c r="AH42" s="188">
        <v>42064776912</v>
      </c>
      <c r="AI42" s="188">
        <v>38608347110</v>
      </c>
      <c r="AJ42" s="188">
        <v>32279034322</v>
      </c>
      <c r="AK42" s="188">
        <v>30613980480</v>
      </c>
      <c r="AL42" s="188">
        <v>26035456345</v>
      </c>
      <c r="AM42" s="188">
        <v>26038941804</v>
      </c>
      <c r="AN42" s="188">
        <v>14506483175</v>
      </c>
      <c r="AO42" s="188">
        <v>13941120322</v>
      </c>
      <c r="AP42" s="188">
        <v>13980960080</v>
      </c>
      <c r="AQ42" s="188">
        <v>13405184045</v>
      </c>
      <c r="AR42" s="188">
        <v>13186774123</v>
      </c>
      <c r="AS42" s="188">
        <v>13381274861</v>
      </c>
      <c r="AT42" s="188">
        <v>15246926845</v>
      </c>
      <c r="AU42" s="188">
        <v>15103629430</v>
      </c>
      <c r="AV42" s="188">
        <v>15096657721</v>
      </c>
      <c r="AW42" s="188">
        <v>16212082151</v>
      </c>
      <c r="AX42" s="188">
        <v>16861095363</v>
      </c>
      <c r="AY42" s="188">
        <v>19236490965</v>
      </c>
      <c r="AZ42" s="188">
        <v>20752440106</v>
      </c>
      <c r="BA42" s="188">
        <v>20922521843</v>
      </c>
      <c r="BB42" s="188">
        <v>23946858127</v>
      </c>
      <c r="BC42" s="188">
        <v>23802282237</v>
      </c>
      <c r="BD42" s="188">
        <v>18364798109</v>
      </c>
      <c r="BE42" s="188">
        <v>17924029385</v>
      </c>
      <c r="BF42" s="188">
        <v>17152587270.68</v>
      </c>
      <c r="BG42" s="188">
        <v>13868634245.32</v>
      </c>
      <c r="BH42" s="188">
        <v>14465927474.299999</v>
      </c>
      <c r="BI42" s="188">
        <v>12257310984</v>
      </c>
      <c r="BJ42" s="188">
        <v>10679734657.51</v>
      </c>
      <c r="BK42" s="188">
        <v>10302308746.559999</v>
      </c>
      <c r="BL42" s="188">
        <v>10170070768.440001</v>
      </c>
      <c r="BM42" s="188">
        <v>6782182053</v>
      </c>
      <c r="BN42" s="188">
        <v>5517758348.6499996</v>
      </c>
      <c r="BO42" s="188">
        <v>4932799308.2700005</v>
      </c>
      <c r="BP42" s="188">
        <v>4968054859.4499998</v>
      </c>
      <c r="BQ42" s="188">
        <v>4032817319</v>
      </c>
      <c r="BR42" s="188">
        <v>4002815388.3800001</v>
      </c>
      <c r="BS42" s="188">
        <v>3935853051</v>
      </c>
      <c r="BT42" s="188">
        <v>2831944111</v>
      </c>
      <c r="BU42" s="188">
        <v>2258881965</v>
      </c>
      <c r="BV42" s="188">
        <v>1825914838.9300001</v>
      </c>
      <c r="BW42" s="188">
        <v>1715075000</v>
      </c>
      <c r="BX42" s="188">
        <v>1431785546.0899999</v>
      </c>
      <c r="BY42" s="188">
        <v>1435196000</v>
      </c>
      <c r="BZ42" s="188">
        <v>1289998000</v>
      </c>
      <c r="CA42" s="188">
        <v>938594000</v>
      </c>
      <c r="CB42" s="188">
        <v>810670000</v>
      </c>
      <c r="CC42" s="188">
        <v>702473000</v>
      </c>
      <c r="CD42" s="188">
        <v>0</v>
      </c>
    </row>
    <row r="43" spans="1:82" x14ac:dyDescent="0.25">
      <c r="A43" s="188" t="s">
        <v>147</v>
      </c>
    </row>
    <row r="44" spans="1:82" x14ac:dyDescent="0.25">
      <c r="A44" s="188" t="s">
        <v>148</v>
      </c>
      <c r="B44" s="188">
        <v>1563009194</v>
      </c>
      <c r="C44" s="188">
        <v>2213431454</v>
      </c>
      <c r="D44" s="188">
        <v>2270115119</v>
      </c>
      <c r="E44" s="188">
        <v>3249736430</v>
      </c>
      <c r="F44" s="188">
        <v>1678999556</v>
      </c>
      <c r="G44" s="188">
        <v>6088832994</v>
      </c>
      <c r="H44" s="188">
        <v>5084318876</v>
      </c>
      <c r="I44" s="188">
        <v>4916965507</v>
      </c>
      <c r="J44" s="188">
        <v>1508353191</v>
      </c>
      <c r="K44" s="188">
        <v>1675552145</v>
      </c>
      <c r="L44" s="188">
        <v>940198511</v>
      </c>
      <c r="M44" s="188">
        <v>5091974830</v>
      </c>
      <c r="N44" s="188">
        <v>1964934982</v>
      </c>
      <c r="O44" s="188">
        <v>1730844677</v>
      </c>
      <c r="P44" s="188">
        <v>1527493068</v>
      </c>
      <c r="Q44" s="188">
        <v>2158988600</v>
      </c>
      <c r="R44" s="188">
        <v>2484744030</v>
      </c>
      <c r="S44" s="188">
        <v>3275833980</v>
      </c>
      <c r="T44" s="188">
        <v>1701873299</v>
      </c>
      <c r="U44" s="188">
        <v>12122769840</v>
      </c>
      <c r="V44" s="188">
        <v>12402326012</v>
      </c>
      <c r="W44" s="188">
        <v>8864136518</v>
      </c>
      <c r="X44" s="188">
        <v>934233842</v>
      </c>
      <c r="Y44" s="188">
        <v>727267475</v>
      </c>
      <c r="Z44" s="188">
        <v>2293028459</v>
      </c>
      <c r="AA44" s="188">
        <v>2224836847</v>
      </c>
      <c r="AB44" s="188">
        <v>4896218228</v>
      </c>
      <c r="AC44" s="188">
        <v>6487193510</v>
      </c>
      <c r="AD44" s="188">
        <v>9134478561</v>
      </c>
      <c r="AE44" s="188">
        <v>7714268170</v>
      </c>
      <c r="AF44" s="188">
        <v>5740195094</v>
      </c>
      <c r="AG44" s="188">
        <v>4964412066</v>
      </c>
      <c r="AH44" s="188">
        <v>4158878078</v>
      </c>
      <c r="AI44" s="188">
        <v>3097795263</v>
      </c>
      <c r="AJ44" s="188">
        <v>1085689078</v>
      </c>
      <c r="AK44" s="188">
        <v>855912704</v>
      </c>
      <c r="AL44" s="188">
        <v>601327168</v>
      </c>
      <c r="AM44" s="188">
        <v>673534032</v>
      </c>
      <c r="AN44" s="188">
        <v>1127810634</v>
      </c>
      <c r="AO44" s="188">
        <v>509073028</v>
      </c>
      <c r="AP44" s="188">
        <v>500585480</v>
      </c>
      <c r="AQ44" s="188">
        <v>699470657</v>
      </c>
      <c r="AR44" s="188">
        <v>578115951</v>
      </c>
      <c r="AS44" s="188">
        <v>428011512</v>
      </c>
      <c r="AT44" s="188">
        <v>471092170</v>
      </c>
      <c r="AU44" s="188">
        <v>493199199</v>
      </c>
      <c r="AV44" s="188">
        <v>1435381588</v>
      </c>
      <c r="AW44" s="188">
        <v>2446176689</v>
      </c>
      <c r="AX44" s="188">
        <v>2771535118</v>
      </c>
      <c r="AY44" s="188">
        <v>3147203931</v>
      </c>
      <c r="AZ44" s="188">
        <v>3317919730</v>
      </c>
      <c r="BA44" s="188">
        <v>3268593622</v>
      </c>
      <c r="BB44" s="188">
        <v>3852467867</v>
      </c>
      <c r="BC44" s="188">
        <v>3909608657</v>
      </c>
      <c r="BD44" s="188">
        <v>5864337349</v>
      </c>
      <c r="BE44" s="188">
        <v>5221173140</v>
      </c>
      <c r="BF44" s="188">
        <v>4978202425.3900003</v>
      </c>
      <c r="BG44" s="188">
        <v>3014588261.8099999</v>
      </c>
      <c r="BH44" s="188">
        <v>3159999631.3299999</v>
      </c>
      <c r="BI44" s="188">
        <v>4129697516</v>
      </c>
      <c r="BJ44" s="188">
        <v>2832333226.2800002</v>
      </c>
      <c r="BK44" s="188">
        <v>2899434141.1700001</v>
      </c>
      <c r="BL44" s="188">
        <v>2910685326.8099999</v>
      </c>
      <c r="BM44" s="188">
        <v>2184494036</v>
      </c>
      <c r="BN44" s="188">
        <v>993986027.69000006</v>
      </c>
      <c r="BO44" s="188">
        <v>858859210.78999996</v>
      </c>
      <c r="BP44" s="188">
        <v>721719299.59000003</v>
      </c>
      <c r="BQ44" s="188">
        <v>649741490</v>
      </c>
      <c r="BR44" s="188">
        <v>535483430</v>
      </c>
      <c r="BS44" s="188">
        <v>739741715</v>
      </c>
      <c r="BT44" s="188">
        <v>505265600</v>
      </c>
      <c r="BU44" s="188">
        <v>344466575</v>
      </c>
      <c r="BV44" s="188">
        <v>266708950</v>
      </c>
      <c r="BW44" s="188">
        <v>164811000</v>
      </c>
      <c r="BX44" s="188">
        <v>132811608.23</v>
      </c>
      <c r="BY44" s="188">
        <v>130982000</v>
      </c>
      <c r="BZ44" s="188">
        <v>0</v>
      </c>
      <c r="CA44" s="188">
        <v>23515000</v>
      </c>
      <c r="CB44" s="188">
        <v>27371000</v>
      </c>
      <c r="CC44" s="188">
        <v>22522000</v>
      </c>
      <c r="CD44" s="188">
        <v>0</v>
      </c>
    </row>
    <row r="45" spans="1:82" x14ac:dyDescent="0.25">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0</v>
      </c>
      <c r="AW45" s="188">
        <v>0</v>
      </c>
      <c r="AX45" s="188">
        <v>0</v>
      </c>
      <c r="AY45" s="188">
        <v>0</v>
      </c>
      <c r="AZ45" s="188">
        <v>0</v>
      </c>
      <c r="BA45" s="188">
        <v>0</v>
      </c>
      <c r="BB45" s="188">
        <v>0</v>
      </c>
      <c r="BC45" s="188">
        <v>0</v>
      </c>
      <c r="BD45" s="188">
        <v>0</v>
      </c>
      <c r="BE45" s="188">
        <v>0</v>
      </c>
      <c r="BF45" s="188">
        <v>0</v>
      </c>
      <c r="BG45" s="188">
        <v>0</v>
      </c>
      <c r="BH45" s="188">
        <v>0</v>
      </c>
      <c r="BI45" s="188">
        <v>0</v>
      </c>
      <c r="BJ45" s="188">
        <v>0</v>
      </c>
      <c r="BK45" s="188">
        <v>0</v>
      </c>
      <c r="BL45" s="188">
        <v>0</v>
      </c>
      <c r="BM45" s="188">
        <v>0</v>
      </c>
      <c r="BN45" s="188">
        <v>0</v>
      </c>
      <c r="BO45" s="188">
        <v>0</v>
      </c>
      <c r="BP45" s="188">
        <v>0</v>
      </c>
      <c r="BQ45" s="188">
        <v>0</v>
      </c>
      <c r="BR45" s="188">
        <v>0</v>
      </c>
      <c r="BS45" s="188">
        <v>0</v>
      </c>
      <c r="BT45" s="188">
        <v>0</v>
      </c>
      <c r="BU45" s="188">
        <v>0</v>
      </c>
      <c r="BV45" s="188">
        <v>0</v>
      </c>
      <c r="BW45" s="188">
        <v>0</v>
      </c>
      <c r="BX45" s="188">
        <v>0</v>
      </c>
      <c r="BY45" s="188">
        <v>0</v>
      </c>
      <c r="BZ45" s="188">
        <v>0</v>
      </c>
      <c r="CA45" s="188">
        <v>0</v>
      </c>
      <c r="CB45" s="188">
        <v>0</v>
      </c>
      <c r="CC45" s="188">
        <v>0</v>
      </c>
      <c r="CD45" s="188">
        <v>0</v>
      </c>
    </row>
    <row r="46" spans="1:82" x14ac:dyDescent="0.25">
      <c r="A46" s="188" t="s">
        <v>150</v>
      </c>
      <c r="B46" s="188">
        <v>0</v>
      </c>
      <c r="C46" s="188">
        <v>838808117</v>
      </c>
      <c r="D46" s="188">
        <v>684344606</v>
      </c>
      <c r="E46" s="188">
        <v>543798835</v>
      </c>
      <c r="F46" s="188">
        <v>450879127</v>
      </c>
      <c r="G46" s="188">
        <v>526641067</v>
      </c>
      <c r="H46" s="188">
        <v>293675687</v>
      </c>
      <c r="I46" s="188">
        <v>640262461</v>
      </c>
      <c r="J46" s="188">
        <v>409821485</v>
      </c>
      <c r="K46" s="188">
        <v>491128454</v>
      </c>
      <c r="L46" s="188">
        <v>650128517</v>
      </c>
      <c r="M46" s="188">
        <v>343277037</v>
      </c>
      <c r="N46" s="188">
        <v>237523622</v>
      </c>
      <c r="O46" s="188">
        <v>374532677</v>
      </c>
      <c r="P46" s="188">
        <v>544726413</v>
      </c>
      <c r="Q46" s="188">
        <v>258737884</v>
      </c>
      <c r="R46" s="188">
        <v>596817946</v>
      </c>
      <c r="S46" s="188">
        <v>390854698</v>
      </c>
      <c r="T46" s="188">
        <v>166503600</v>
      </c>
      <c r="U46" s="188">
        <v>135654664</v>
      </c>
      <c r="V46" s="188">
        <v>143811260</v>
      </c>
      <c r="W46" s="188">
        <v>118417441</v>
      </c>
      <c r="X46" s="188">
        <v>59361988</v>
      </c>
      <c r="Y46" s="188">
        <v>51621956</v>
      </c>
      <c r="Z46" s="188">
        <v>47663713</v>
      </c>
      <c r="AA46" s="188">
        <v>30627813</v>
      </c>
      <c r="AB46" s="188">
        <v>25093824</v>
      </c>
      <c r="AC46" s="188">
        <v>27918268</v>
      </c>
      <c r="AD46" s="188">
        <v>64313453</v>
      </c>
      <c r="AE46" s="188">
        <v>28114908</v>
      </c>
      <c r="AF46" s="188">
        <v>62335921</v>
      </c>
      <c r="AG46" s="188">
        <v>37148093</v>
      </c>
      <c r="AH46" s="188">
        <v>23344263</v>
      </c>
      <c r="AI46" s="188">
        <v>30938386</v>
      </c>
      <c r="AJ46" s="188">
        <v>32238525</v>
      </c>
      <c r="AK46" s="188">
        <v>27025437</v>
      </c>
      <c r="AL46" s="188">
        <v>130399496</v>
      </c>
      <c r="AM46" s="188">
        <v>198524811</v>
      </c>
      <c r="AN46" s="188">
        <v>141594047</v>
      </c>
      <c r="AO46" s="188">
        <v>106000000</v>
      </c>
      <c r="AP46" s="188">
        <v>95800000</v>
      </c>
      <c r="AQ46" s="188">
        <v>85800000</v>
      </c>
      <c r="AR46" s="188">
        <v>62000000</v>
      </c>
      <c r="AS46" s="188">
        <v>55000000</v>
      </c>
      <c r="AT46" s="188">
        <v>97000000</v>
      </c>
      <c r="AU46" s="188">
        <v>120000000</v>
      </c>
      <c r="AV46" s="188">
        <v>78659159</v>
      </c>
      <c r="AW46" s="188">
        <v>74872077</v>
      </c>
      <c r="AX46" s="188">
        <v>58595196</v>
      </c>
      <c r="AY46" s="188">
        <v>54103119</v>
      </c>
      <c r="AZ46" s="188">
        <v>86235901</v>
      </c>
      <c r="BA46" s="188">
        <v>90323994</v>
      </c>
      <c r="BB46" s="188">
        <v>78113484</v>
      </c>
      <c r="BC46" s="188">
        <v>50523116</v>
      </c>
      <c r="BD46" s="188">
        <v>53138546</v>
      </c>
      <c r="BE46" s="188">
        <v>16995938</v>
      </c>
      <c r="BF46" s="188">
        <v>26344355.210000001</v>
      </c>
      <c r="BG46" s="188">
        <v>17035757.780000001</v>
      </c>
      <c r="BH46" s="188">
        <v>26340934.809999999</v>
      </c>
      <c r="BI46" s="188">
        <v>19550340</v>
      </c>
      <c r="BJ46" s="188">
        <v>169547969.50999999</v>
      </c>
      <c r="BK46" s="188">
        <v>166662039.72999999</v>
      </c>
      <c r="BL46" s="188">
        <v>173080689.63999999</v>
      </c>
      <c r="BM46" s="188">
        <v>20834820</v>
      </c>
      <c r="BN46" s="188">
        <v>0</v>
      </c>
      <c r="BO46" s="188">
        <v>0</v>
      </c>
      <c r="BP46" s="188">
        <v>0</v>
      </c>
      <c r="BQ46" s="188">
        <v>0</v>
      </c>
      <c r="BR46" s="188">
        <v>0</v>
      </c>
      <c r="BS46" s="188">
        <v>0</v>
      </c>
      <c r="BT46" s="188">
        <v>0</v>
      </c>
      <c r="BU46" s="188">
        <v>0</v>
      </c>
      <c r="BV46" s="188">
        <v>500000</v>
      </c>
      <c r="BW46" s="188">
        <v>0</v>
      </c>
      <c r="BX46" s="188">
        <v>0</v>
      </c>
      <c r="BY46" s="188">
        <v>0</v>
      </c>
      <c r="BZ46" s="188">
        <v>0</v>
      </c>
      <c r="CA46" s="188">
        <v>0</v>
      </c>
      <c r="CB46" s="188">
        <v>0</v>
      </c>
      <c r="CC46" s="188">
        <v>0</v>
      </c>
      <c r="CD46" s="188">
        <v>0</v>
      </c>
    </row>
    <row r="47" spans="1:82" x14ac:dyDescent="0.25">
      <c r="A47" s="188" t="s">
        <v>151</v>
      </c>
      <c r="B47" s="188">
        <v>0</v>
      </c>
      <c r="C47" s="188">
        <v>19003618742</v>
      </c>
      <c r="D47" s="188">
        <v>17314040948</v>
      </c>
      <c r="E47" s="188">
        <v>16205788698</v>
      </c>
      <c r="F47" s="188">
        <v>14362344001</v>
      </c>
      <c r="G47" s="188">
        <v>15215611240</v>
      </c>
      <c r="H47" s="188">
        <v>16167653756</v>
      </c>
      <c r="I47" s="188">
        <v>13835615665</v>
      </c>
      <c r="J47" s="188">
        <v>13616736221</v>
      </c>
      <c r="K47" s="188">
        <v>11123142770</v>
      </c>
      <c r="L47" s="188">
        <v>9878595496</v>
      </c>
      <c r="M47" s="188">
        <v>9849935031</v>
      </c>
      <c r="N47" s="188">
        <v>10532204776</v>
      </c>
      <c r="O47" s="188">
        <v>7635913251</v>
      </c>
      <c r="P47" s="188">
        <v>7432906582</v>
      </c>
      <c r="Q47" s="188">
        <v>6691237683</v>
      </c>
      <c r="R47" s="188">
        <v>5993743852</v>
      </c>
      <c r="S47" s="188">
        <v>5566571822</v>
      </c>
      <c r="T47" s="188">
        <v>4868052270</v>
      </c>
      <c r="U47" s="188">
        <v>5667182852</v>
      </c>
      <c r="V47" s="188">
        <v>5194895733</v>
      </c>
      <c r="W47" s="188">
        <v>5624581793</v>
      </c>
      <c r="X47" s="188">
        <v>5411299076</v>
      </c>
      <c r="Y47" s="188">
        <v>5452578519</v>
      </c>
      <c r="Z47" s="188">
        <v>5448867197</v>
      </c>
      <c r="AA47" s="188">
        <v>4495407684</v>
      </c>
      <c r="AB47" s="188">
        <v>4086851090</v>
      </c>
      <c r="AC47" s="188">
        <v>3630464475</v>
      </c>
      <c r="AD47" s="188">
        <v>3192772008</v>
      </c>
      <c r="AE47" s="188">
        <v>3313353942</v>
      </c>
      <c r="AF47" s="188">
        <v>2464814117</v>
      </c>
      <c r="AG47" s="188">
        <v>2267112387</v>
      </c>
      <c r="AH47" s="188">
        <v>2894426702</v>
      </c>
      <c r="AI47" s="188">
        <v>2547594161</v>
      </c>
      <c r="AJ47" s="188">
        <v>2084255445</v>
      </c>
      <c r="AK47" s="188">
        <v>2062612767</v>
      </c>
      <c r="AL47" s="188">
        <v>1815121632</v>
      </c>
      <c r="AM47" s="188">
        <v>1516344169</v>
      </c>
      <c r="AN47" s="188">
        <v>1066108387</v>
      </c>
      <c r="AO47" s="188">
        <v>1062249179</v>
      </c>
      <c r="AP47" s="188">
        <v>1458745421</v>
      </c>
      <c r="AQ47" s="188">
        <v>1496637477</v>
      </c>
      <c r="AR47" s="188">
        <v>1532156187</v>
      </c>
      <c r="AS47" s="188">
        <v>1498985231</v>
      </c>
      <c r="AT47" s="188">
        <v>1715415787</v>
      </c>
      <c r="AU47" s="188">
        <v>1734931148</v>
      </c>
      <c r="AV47" s="188">
        <v>1750227957</v>
      </c>
      <c r="AW47" s="188">
        <v>1856976749</v>
      </c>
      <c r="AX47" s="188">
        <v>1952708692</v>
      </c>
      <c r="AY47" s="188">
        <v>2117811837</v>
      </c>
      <c r="AZ47" s="188">
        <v>2221178938</v>
      </c>
      <c r="BA47" s="188">
        <v>2166669649</v>
      </c>
      <c r="BB47" s="188">
        <v>3498210090</v>
      </c>
      <c r="BC47" s="188">
        <v>2836574026</v>
      </c>
      <c r="BD47" s="188">
        <v>2444709732</v>
      </c>
      <c r="BE47" s="188">
        <v>2680947167</v>
      </c>
      <c r="BF47" s="188">
        <v>2183991217.9200001</v>
      </c>
      <c r="BG47" s="188">
        <v>1890992117.75</v>
      </c>
      <c r="BH47" s="188">
        <v>2449005130.5300002</v>
      </c>
      <c r="BI47" s="188">
        <v>1803653591</v>
      </c>
      <c r="BJ47" s="188">
        <v>1906967894.3699999</v>
      </c>
      <c r="BK47" s="188">
        <v>1495219765.3800001</v>
      </c>
      <c r="BL47" s="188">
        <v>1512593815.72</v>
      </c>
      <c r="BM47" s="188">
        <v>1099597808</v>
      </c>
      <c r="BN47" s="188">
        <v>1050468290.78</v>
      </c>
      <c r="BO47" s="188">
        <v>703263450.92999995</v>
      </c>
      <c r="BP47" s="188">
        <v>693547334.67999995</v>
      </c>
      <c r="BQ47" s="188">
        <v>458648816</v>
      </c>
      <c r="BR47" s="188">
        <v>520193088.11000001</v>
      </c>
      <c r="BS47" s="188">
        <v>378493150</v>
      </c>
      <c r="BT47" s="188">
        <v>514397891</v>
      </c>
      <c r="BU47" s="188">
        <v>322921675</v>
      </c>
      <c r="BV47" s="188">
        <v>60822599.119999997</v>
      </c>
      <c r="BW47" s="188">
        <v>31211000</v>
      </c>
      <c r="BX47" s="188">
        <v>22541214.84</v>
      </c>
      <c r="BY47" s="188">
        <v>22348000</v>
      </c>
      <c r="BZ47" s="188">
        <v>0</v>
      </c>
      <c r="CA47" s="188">
        <v>31026000</v>
      </c>
      <c r="CB47" s="188">
        <v>23386000</v>
      </c>
      <c r="CC47" s="188">
        <v>25345000</v>
      </c>
      <c r="CD47" s="188">
        <v>0</v>
      </c>
    </row>
    <row r="48" spans="1:82" x14ac:dyDescent="0.25">
      <c r="A48" s="188" t="s">
        <v>152</v>
      </c>
      <c r="B48" s="188">
        <v>789492542</v>
      </c>
      <c r="C48" s="188">
        <v>991348534</v>
      </c>
      <c r="D48" s="188">
        <v>849194477</v>
      </c>
      <c r="E48" s="188">
        <v>781324522</v>
      </c>
      <c r="F48" s="188">
        <v>592466995</v>
      </c>
      <c r="G48" s="188">
        <v>857046320</v>
      </c>
      <c r="H48" s="188">
        <v>285512350</v>
      </c>
      <c r="I48" s="188">
        <v>548942714</v>
      </c>
      <c r="J48" s="188">
        <v>629706242</v>
      </c>
      <c r="K48" s="188">
        <v>546562992</v>
      </c>
      <c r="L48" s="188">
        <v>521461313</v>
      </c>
      <c r="M48" s="188">
        <v>386538903</v>
      </c>
      <c r="N48" s="188">
        <v>458150377</v>
      </c>
      <c r="O48" s="188">
        <v>560166338</v>
      </c>
      <c r="P48" s="188">
        <v>759799232</v>
      </c>
      <c r="Q48" s="188">
        <v>314712632</v>
      </c>
      <c r="R48" s="188">
        <v>388694651</v>
      </c>
      <c r="S48" s="188">
        <v>273950001</v>
      </c>
      <c r="T48" s="188">
        <v>336458563</v>
      </c>
      <c r="U48" s="188">
        <v>281618909</v>
      </c>
      <c r="V48" s="188">
        <v>319847912</v>
      </c>
      <c r="W48" s="188">
        <v>318533488</v>
      </c>
      <c r="X48" s="188">
        <v>917111066</v>
      </c>
      <c r="Y48" s="188">
        <v>647932719</v>
      </c>
      <c r="Z48" s="188">
        <v>560774007</v>
      </c>
      <c r="AA48" s="188">
        <v>417560487</v>
      </c>
      <c r="AB48" s="188">
        <v>198423333</v>
      </c>
      <c r="AC48" s="188">
        <v>186069735</v>
      </c>
      <c r="AD48" s="188">
        <v>209622885</v>
      </c>
      <c r="AE48" s="188">
        <v>224777536</v>
      </c>
      <c r="AF48" s="188">
        <v>129381385</v>
      </c>
      <c r="AG48" s="188">
        <v>82635808</v>
      </c>
      <c r="AH48" s="188">
        <v>75963268</v>
      </c>
      <c r="AI48" s="188">
        <v>39684084</v>
      </c>
      <c r="AJ48" s="188">
        <v>53853577</v>
      </c>
      <c r="AK48" s="188">
        <v>59726146</v>
      </c>
      <c r="AL48" s="188">
        <v>91743185</v>
      </c>
      <c r="AM48" s="188">
        <v>134890718</v>
      </c>
      <c r="AN48" s="188">
        <v>196470531</v>
      </c>
      <c r="AO48" s="188">
        <v>225371127</v>
      </c>
      <c r="AP48" s="188">
        <v>238351079</v>
      </c>
      <c r="AQ48" s="188">
        <v>311802477</v>
      </c>
      <c r="AR48" s="188">
        <v>255456619</v>
      </c>
      <c r="AS48" s="188">
        <v>176435585</v>
      </c>
      <c r="AT48" s="188">
        <v>192697429</v>
      </c>
      <c r="AU48" s="188">
        <v>44773285</v>
      </c>
      <c r="AV48" s="188">
        <v>32451123</v>
      </c>
      <c r="AW48" s="188">
        <v>20696877</v>
      </c>
      <c r="AX48" s="188">
        <v>33595047</v>
      </c>
      <c r="AY48" s="188">
        <v>45465438</v>
      </c>
      <c r="AZ48" s="188">
        <v>59181959</v>
      </c>
      <c r="BA48" s="188">
        <v>25273330</v>
      </c>
      <c r="BB48" s="188">
        <v>27386065</v>
      </c>
      <c r="BC48" s="188">
        <v>30822874</v>
      </c>
      <c r="BD48" s="188">
        <v>19628868</v>
      </c>
      <c r="BE48" s="188">
        <v>26352985</v>
      </c>
      <c r="BF48" s="188">
        <v>46313508.119999997</v>
      </c>
      <c r="BG48" s="188">
        <v>125077068.2</v>
      </c>
      <c r="BH48" s="188">
        <v>133886525.55</v>
      </c>
      <c r="BI48" s="188">
        <v>25901298</v>
      </c>
      <c r="BJ48" s="188">
        <v>20755991.899999999</v>
      </c>
      <c r="BK48" s="188">
        <v>14822141.710000001</v>
      </c>
      <c r="BL48" s="188">
        <v>112049963.98999999</v>
      </c>
      <c r="BM48" s="188">
        <v>16790165</v>
      </c>
      <c r="BN48" s="188">
        <v>16399421.07</v>
      </c>
      <c r="BO48" s="188">
        <v>12073160.880000001</v>
      </c>
      <c r="BP48" s="188">
        <v>17437229.68</v>
      </c>
      <c r="BQ48" s="188">
        <v>10350637</v>
      </c>
      <c r="BR48" s="188">
        <v>10085182.970000001</v>
      </c>
      <c r="BS48" s="188">
        <v>11056670</v>
      </c>
      <c r="BT48" s="188">
        <v>9876783</v>
      </c>
      <c r="BU48" s="188">
        <v>9149979</v>
      </c>
      <c r="BV48" s="188">
        <v>8348165.5099999998</v>
      </c>
      <c r="BW48" s="188">
        <v>8346000</v>
      </c>
      <c r="BX48" s="188">
        <v>12361139.359999999</v>
      </c>
      <c r="BY48" s="188">
        <v>10564000</v>
      </c>
      <c r="BZ48" s="188">
        <v>0</v>
      </c>
      <c r="CA48" s="188">
        <v>6861000</v>
      </c>
      <c r="CB48" s="188">
        <v>10111000</v>
      </c>
      <c r="CC48" s="188">
        <v>6896000</v>
      </c>
      <c r="CD48" s="188">
        <v>0</v>
      </c>
    </row>
    <row r="49" spans="1:82" x14ac:dyDescent="0.25">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8">
        <v>0</v>
      </c>
      <c r="AJ49" s="188">
        <v>0</v>
      </c>
      <c r="AK49" s="188">
        <v>0</v>
      </c>
      <c r="AL49" s="188">
        <v>0</v>
      </c>
      <c r="AM49" s="188">
        <v>0</v>
      </c>
      <c r="AN49" s="188">
        <v>0</v>
      </c>
      <c r="AO49" s="188">
        <v>0</v>
      </c>
      <c r="AP49" s="188">
        <v>0</v>
      </c>
      <c r="AQ49" s="188">
        <v>0</v>
      </c>
      <c r="AR49" s="188">
        <v>0</v>
      </c>
      <c r="AS49" s="188">
        <v>0</v>
      </c>
      <c r="AT49" s="188">
        <v>0</v>
      </c>
      <c r="AU49" s="188">
        <v>0</v>
      </c>
      <c r="AV49" s="188">
        <v>0</v>
      </c>
      <c r="AW49" s="188">
        <v>0</v>
      </c>
      <c r="AX49" s="188">
        <v>0</v>
      </c>
      <c r="AY49" s="188">
        <v>0</v>
      </c>
      <c r="AZ49" s="188">
        <v>0</v>
      </c>
      <c r="BA49" s="188">
        <v>0</v>
      </c>
      <c r="BB49" s="188">
        <v>0</v>
      </c>
      <c r="BC49" s="188">
        <v>0</v>
      </c>
      <c r="BD49" s="188">
        <v>0</v>
      </c>
      <c r="BE49" s="188">
        <v>0</v>
      </c>
      <c r="BF49" s="188">
        <v>0</v>
      </c>
      <c r="BG49" s="188">
        <v>0</v>
      </c>
      <c r="BH49" s="188">
        <v>0</v>
      </c>
      <c r="BI49" s="188">
        <v>0</v>
      </c>
      <c r="BJ49" s="188">
        <v>0</v>
      </c>
      <c r="BK49" s="188">
        <v>0</v>
      </c>
      <c r="BL49" s="188">
        <v>0</v>
      </c>
      <c r="BM49" s="188">
        <v>0</v>
      </c>
      <c r="BN49" s="188">
        <v>0</v>
      </c>
      <c r="BO49" s="188">
        <v>0</v>
      </c>
      <c r="BP49" s="188">
        <v>0</v>
      </c>
      <c r="BQ49" s="188">
        <v>0</v>
      </c>
      <c r="BR49" s="188">
        <v>0</v>
      </c>
      <c r="BS49" s="188">
        <v>0</v>
      </c>
      <c r="BT49" s="188">
        <v>0</v>
      </c>
      <c r="BU49" s="188">
        <v>0</v>
      </c>
      <c r="BV49" s="188">
        <v>0</v>
      </c>
      <c r="BW49" s="188">
        <v>0</v>
      </c>
      <c r="BX49" s="188">
        <v>0</v>
      </c>
      <c r="BY49" s="188">
        <v>0</v>
      </c>
      <c r="BZ49" s="188">
        <v>0</v>
      </c>
      <c r="CA49" s="188">
        <v>0</v>
      </c>
      <c r="CB49" s="188">
        <v>0</v>
      </c>
      <c r="CC49" s="188">
        <v>0</v>
      </c>
      <c r="CD49" s="188">
        <v>0</v>
      </c>
    </row>
    <row r="50" spans="1:82" x14ac:dyDescent="0.25">
      <c r="A50" s="188" t="s">
        <v>154</v>
      </c>
      <c r="B50" s="188">
        <v>1787731588</v>
      </c>
      <c r="C50" s="188">
        <v>1220668515</v>
      </c>
      <c r="D50" s="188">
        <v>1271559983</v>
      </c>
      <c r="E50" s="188">
        <v>2217066944</v>
      </c>
      <c r="F50" s="188">
        <v>1839337835</v>
      </c>
      <c r="G50" s="188">
        <v>1386497057</v>
      </c>
      <c r="H50" s="188">
        <v>1138655358</v>
      </c>
      <c r="I50" s="188">
        <v>1542852266</v>
      </c>
      <c r="J50" s="188">
        <v>1107290241</v>
      </c>
      <c r="K50" s="188">
        <v>701777969</v>
      </c>
      <c r="L50" s="188">
        <v>716821667</v>
      </c>
      <c r="M50" s="188">
        <v>1092103138</v>
      </c>
      <c r="N50" s="188">
        <v>1238207534</v>
      </c>
      <c r="O50" s="188">
        <v>958619433</v>
      </c>
      <c r="P50" s="188">
        <v>814584439</v>
      </c>
      <c r="Q50" s="188">
        <v>1151622921</v>
      </c>
      <c r="R50" s="188">
        <v>947783430</v>
      </c>
      <c r="S50" s="188">
        <v>766545400</v>
      </c>
      <c r="T50" s="188">
        <v>538156852</v>
      </c>
      <c r="U50" s="188">
        <v>845898437</v>
      </c>
      <c r="V50" s="188">
        <v>594853504</v>
      </c>
      <c r="W50" s="188">
        <v>514558289</v>
      </c>
      <c r="X50" s="188">
        <v>425897127</v>
      </c>
      <c r="Y50" s="188">
        <v>539910148</v>
      </c>
      <c r="Z50" s="188">
        <v>389936877</v>
      </c>
      <c r="AA50" s="188">
        <v>319282739</v>
      </c>
      <c r="AB50" s="188">
        <v>276466213</v>
      </c>
      <c r="AC50" s="188">
        <v>368442775</v>
      </c>
      <c r="AD50" s="188">
        <v>231978772</v>
      </c>
      <c r="AE50" s="188">
        <v>196298944</v>
      </c>
      <c r="AF50" s="188">
        <v>165985911</v>
      </c>
      <c r="AG50" s="188">
        <v>256486006</v>
      </c>
      <c r="AH50" s="188">
        <v>165047717</v>
      </c>
      <c r="AI50" s="188">
        <v>144761934</v>
      </c>
      <c r="AJ50" s="188">
        <v>155864206</v>
      </c>
      <c r="AK50" s="188">
        <v>190728011</v>
      </c>
      <c r="AL50" s="188">
        <v>118081805</v>
      </c>
      <c r="AM50" s="188">
        <v>101279501</v>
      </c>
      <c r="AN50" s="188">
        <v>96621513</v>
      </c>
      <c r="AO50" s="188">
        <v>109085872</v>
      </c>
      <c r="AP50" s="188">
        <v>162722717</v>
      </c>
      <c r="AQ50" s="188">
        <v>142145565</v>
      </c>
      <c r="AR50" s="188">
        <v>114013728</v>
      </c>
      <c r="AS50" s="188">
        <v>153060763</v>
      </c>
      <c r="AT50" s="188">
        <v>152358189</v>
      </c>
      <c r="AU50" s="188">
        <v>77871292</v>
      </c>
      <c r="AV50" s="188">
        <v>64754593</v>
      </c>
      <c r="AW50" s="188">
        <v>66811176</v>
      </c>
      <c r="AX50" s="188">
        <v>53551110</v>
      </c>
      <c r="AY50" s="188">
        <v>51213276</v>
      </c>
      <c r="AZ50" s="188">
        <v>55148687</v>
      </c>
      <c r="BA50" s="188">
        <v>59109048</v>
      </c>
      <c r="BB50" s="188">
        <v>101754497</v>
      </c>
      <c r="BC50" s="188">
        <v>49576431</v>
      </c>
      <c r="BD50" s="188">
        <v>68261723</v>
      </c>
      <c r="BE50" s="188">
        <v>44880463</v>
      </c>
      <c r="BF50" s="188">
        <v>46093808.479999997</v>
      </c>
      <c r="BG50" s="188">
        <v>54188355.810000002</v>
      </c>
      <c r="BH50" s="188">
        <v>32175098.239999998</v>
      </c>
      <c r="BI50" s="188">
        <v>37063864</v>
      </c>
      <c r="BJ50" s="188">
        <v>45686147.68</v>
      </c>
      <c r="BK50" s="188">
        <v>53939248</v>
      </c>
      <c r="BL50" s="188">
        <v>42850408.700000003</v>
      </c>
      <c r="BM50" s="188">
        <v>25998483</v>
      </c>
      <c r="BN50" s="188">
        <v>20820987.859999999</v>
      </c>
      <c r="BO50" s="188">
        <v>22616358.960000001</v>
      </c>
      <c r="BP50" s="188">
        <v>18723344.559999999</v>
      </c>
      <c r="BQ50" s="188">
        <v>16197408</v>
      </c>
      <c r="BR50" s="188">
        <v>32428123.039999999</v>
      </c>
      <c r="BS50" s="188">
        <v>25034277</v>
      </c>
      <c r="BT50" s="188">
        <v>13468913</v>
      </c>
      <c r="BU50" s="188">
        <v>9986969</v>
      </c>
      <c r="BV50" s="188">
        <v>7514919.1100000003</v>
      </c>
      <c r="BW50" s="188">
        <v>5082000</v>
      </c>
      <c r="BX50" s="188">
        <v>7156190.71</v>
      </c>
      <c r="BY50" s="188">
        <v>2722000</v>
      </c>
      <c r="BZ50" s="188">
        <v>0</v>
      </c>
      <c r="CA50" s="188">
        <v>11941000</v>
      </c>
      <c r="CB50" s="188">
        <v>15456000</v>
      </c>
      <c r="CC50" s="188">
        <v>30623000</v>
      </c>
      <c r="CD50" s="188">
        <v>0</v>
      </c>
    </row>
    <row r="51" spans="1:82" x14ac:dyDescent="0.25">
      <c r="A51" s="188" t="s">
        <v>155</v>
      </c>
      <c r="B51" s="188">
        <v>673476286</v>
      </c>
      <c r="C51" s="188">
        <v>538406225</v>
      </c>
      <c r="D51" s="188">
        <v>889451222</v>
      </c>
      <c r="E51" s="188">
        <v>775621146</v>
      </c>
      <c r="F51" s="188">
        <v>666522029</v>
      </c>
      <c r="G51" s="188">
        <v>698302308</v>
      </c>
      <c r="H51" s="188">
        <v>824019313</v>
      </c>
      <c r="I51" s="188">
        <v>656351894</v>
      </c>
      <c r="J51" s="188">
        <v>251848076</v>
      </c>
      <c r="K51" s="188">
        <v>179704984</v>
      </c>
      <c r="L51" s="188">
        <v>191195124</v>
      </c>
      <c r="M51" s="188">
        <v>224415009</v>
      </c>
      <c r="N51" s="188">
        <v>231654304</v>
      </c>
      <c r="O51" s="188">
        <v>264262867</v>
      </c>
      <c r="P51" s="188">
        <v>306624738</v>
      </c>
      <c r="Q51" s="188">
        <v>318219650</v>
      </c>
      <c r="R51" s="188">
        <v>185807008</v>
      </c>
      <c r="S51" s="188">
        <v>163315283</v>
      </c>
      <c r="T51" s="188">
        <v>198423516</v>
      </c>
      <c r="U51" s="188">
        <v>190205223</v>
      </c>
      <c r="V51" s="188">
        <v>102814571</v>
      </c>
      <c r="W51" s="188">
        <v>51566869</v>
      </c>
      <c r="X51" s="188">
        <v>503412578</v>
      </c>
      <c r="Y51" s="188">
        <v>48857070</v>
      </c>
      <c r="Z51" s="188">
        <v>39431518</v>
      </c>
      <c r="AA51" s="188">
        <v>32327394</v>
      </c>
      <c r="AB51" s="188">
        <v>39215097</v>
      </c>
      <c r="AC51" s="188">
        <v>47338545</v>
      </c>
      <c r="AD51" s="188">
        <v>20338959</v>
      </c>
      <c r="AE51" s="188">
        <v>11869679</v>
      </c>
      <c r="AF51" s="188">
        <v>16720172</v>
      </c>
      <c r="AG51" s="188">
        <v>15603988</v>
      </c>
      <c r="AH51" s="188">
        <v>16866889</v>
      </c>
      <c r="AI51" s="188">
        <v>14044494</v>
      </c>
      <c r="AJ51" s="188">
        <v>38094466</v>
      </c>
      <c r="AK51" s="188">
        <v>37105067</v>
      </c>
      <c r="AL51" s="188">
        <v>9204547</v>
      </c>
      <c r="AM51" s="188">
        <v>10939267</v>
      </c>
      <c r="AN51" s="188">
        <v>9273152</v>
      </c>
      <c r="AO51" s="188">
        <v>15774385</v>
      </c>
      <c r="AP51" s="188">
        <v>-175510911</v>
      </c>
      <c r="AQ51" s="188">
        <v>-133380306</v>
      </c>
      <c r="AR51" s="188">
        <v>21215105</v>
      </c>
      <c r="AS51" s="188">
        <v>50273186</v>
      </c>
      <c r="AT51" s="188">
        <v>-73755851</v>
      </c>
      <c r="AU51" s="188">
        <v>977360</v>
      </c>
      <c r="AV51" s="188">
        <v>-63410075</v>
      </c>
      <c r="AW51" s="188">
        <v>-96466617</v>
      </c>
      <c r="AX51" s="188">
        <v>53575648</v>
      </c>
      <c r="AY51" s="188">
        <v>10016303</v>
      </c>
      <c r="AZ51" s="188">
        <v>-7951107</v>
      </c>
      <c r="BA51" s="188">
        <v>8653190</v>
      </c>
      <c r="BB51" s="188">
        <v>-12795282</v>
      </c>
      <c r="BC51" s="188">
        <v>-18365877</v>
      </c>
      <c r="BD51" s="188">
        <v>-17026022</v>
      </c>
      <c r="BE51" s="188">
        <v>8726505</v>
      </c>
      <c r="BF51" s="188">
        <v>-19102213.68</v>
      </c>
      <c r="BG51" s="188">
        <v>-33493531.48</v>
      </c>
      <c r="BH51" s="188">
        <v>-7086121.1399999997</v>
      </c>
      <c r="BI51" s="188">
        <v>35305933</v>
      </c>
      <c r="BJ51" s="188">
        <v>-21820.14</v>
      </c>
      <c r="BK51" s="188">
        <v>21553792.260000002</v>
      </c>
      <c r="BL51" s="188">
        <v>24430401.760000002</v>
      </c>
      <c r="BM51" s="188">
        <v>34588150</v>
      </c>
      <c r="BN51" s="188">
        <v>87010033.730000004</v>
      </c>
      <c r="BO51" s="188">
        <v>5741833.79</v>
      </c>
      <c r="BP51" s="188">
        <v>46659846.560000002</v>
      </c>
      <c r="BQ51" s="188">
        <v>10040929</v>
      </c>
      <c r="BR51" s="188">
        <v>8515943.8699999992</v>
      </c>
      <c r="BS51" s="188">
        <v>23806500</v>
      </c>
      <c r="BT51" s="188">
        <v>6369346</v>
      </c>
      <c r="BU51" s="188">
        <v>8058738</v>
      </c>
      <c r="BV51" s="188">
        <v>6901231.6299999999</v>
      </c>
      <c r="BW51" s="188">
        <v>7121000</v>
      </c>
      <c r="BX51" s="188">
        <v>6207881.9000000004</v>
      </c>
      <c r="BY51" s="188">
        <v>9347000</v>
      </c>
      <c r="BZ51" s="188">
        <v>0</v>
      </c>
      <c r="CA51" s="188">
        <v>1121000</v>
      </c>
      <c r="CB51" s="188">
        <v>-2499000</v>
      </c>
      <c r="CC51" s="188">
        <v>254000</v>
      </c>
      <c r="CD51" s="188">
        <v>0</v>
      </c>
    </row>
    <row r="52" spans="1:82" x14ac:dyDescent="0.25">
      <c r="A52" s="188" t="s">
        <v>156</v>
      </c>
      <c r="B52" s="188">
        <v>0</v>
      </c>
      <c r="C52" s="188">
        <v>822004488</v>
      </c>
      <c r="D52" s="188">
        <v>149746018</v>
      </c>
      <c r="E52" s="188">
        <v>847955186</v>
      </c>
      <c r="F52" s="188">
        <v>288651102</v>
      </c>
      <c r="G52" s="188">
        <v>551546168</v>
      </c>
      <c r="H52" s="188">
        <v>101756378</v>
      </c>
      <c r="I52" s="188">
        <v>676358748</v>
      </c>
      <c r="J52" s="188">
        <v>251667997</v>
      </c>
      <c r="K52" s="188">
        <v>464064882</v>
      </c>
      <c r="L52" s="188">
        <v>80519121</v>
      </c>
      <c r="M52" s="188">
        <v>348173849</v>
      </c>
      <c r="N52" s="188">
        <v>98100212</v>
      </c>
      <c r="O52" s="188">
        <v>275780996</v>
      </c>
      <c r="P52" s="188">
        <v>67141328</v>
      </c>
      <c r="Q52" s="188">
        <v>219407964</v>
      </c>
      <c r="R52" s="188">
        <v>68530309</v>
      </c>
      <c r="S52" s="188">
        <v>269081089</v>
      </c>
      <c r="T52" s="188">
        <v>367152858</v>
      </c>
      <c r="U52" s="188">
        <v>314004348</v>
      </c>
      <c r="V52" s="188">
        <v>185265015</v>
      </c>
      <c r="W52" s="188">
        <v>126052058</v>
      </c>
      <c r="X52" s="188">
        <v>55742687</v>
      </c>
      <c r="Y52" s="188">
        <v>98478461</v>
      </c>
      <c r="Z52" s="188">
        <v>91528737</v>
      </c>
      <c r="AA52" s="188">
        <v>120424129</v>
      </c>
      <c r="AB52" s="188">
        <v>81677753</v>
      </c>
      <c r="AC52" s="188">
        <v>110964115</v>
      </c>
      <c r="AD52" s="188">
        <v>90824059</v>
      </c>
      <c r="AE52" s="188">
        <v>105930306</v>
      </c>
      <c r="AF52" s="188">
        <v>67681243</v>
      </c>
      <c r="AG52" s="188">
        <v>55863170</v>
      </c>
      <c r="AH52" s="188">
        <v>38409495</v>
      </c>
      <c r="AI52" s="188">
        <v>14304636</v>
      </c>
      <c r="AJ52" s="188">
        <v>19244304</v>
      </c>
      <c r="AK52" s="188">
        <v>5999659</v>
      </c>
      <c r="AL52" s="188">
        <v>45446145</v>
      </c>
      <c r="AM52" s="188">
        <v>25492519</v>
      </c>
      <c r="AN52" s="188">
        <v>31854260</v>
      </c>
      <c r="AO52" s="188">
        <v>11781276</v>
      </c>
      <c r="AP52" s="188">
        <v>14452219</v>
      </c>
      <c r="AQ52" s="188">
        <v>13735972</v>
      </c>
      <c r="AR52" s="188">
        <v>23422775</v>
      </c>
      <c r="AS52" s="188">
        <v>21207784</v>
      </c>
      <c r="AT52" s="188">
        <v>16913487</v>
      </c>
      <c r="AU52" s="188">
        <v>17253593</v>
      </c>
      <c r="AV52" s="188">
        <v>20668839</v>
      </c>
      <c r="AW52" s="188">
        <v>0</v>
      </c>
      <c r="AX52" s="188">
        <v>0</v>
      </c>
      <c r="AY52" s="188">
        <v>0</v>
      </c>
      <c r="AZ52" s="188">
        <v>0</v>
      </c>
      <c r="BA52" s="188">
        <v>0</v>
      </c>
      <c r="BB52" s="188">
        <v>0</v>
      </c>
      <c r="BC52" s="188">
        <v>0</v>
      </c>
      <c r="BD52" s="188">
        <v>0</v>
      </c>
      <c r="BE52" s="188">
        <v>0</v>
      </c>
      <c r="BF52" s="188">
        <v>0</v>
      </c>
      <c r="BG52" s="188">
        <v>0</v>
      </c>
      <c r="BH52" s="188">
        <v>0</v>
      </c>
      <c r="BI52" s="188">
        <v>0</v>
      </c>
      <c r="BJ52" s="188">
        <v>0</v>
      </c>
      <c r="BK52" s="188">
        <v>0</v>
      </c>
      <c r="BL52" s="188">
        <v>0</v>
      </c>
      <c r="BM52" s="188">
        <v>0</v>
      </c>
      <c r="BN52" s="188">
        <v>0</v>
      </c>
      <c r="BO52" s="188">
        <v>0</v>
      </c>
      <c r="BP52" s="188">
        <v>0</v>
      </c>
      <c r="BQ52" s="188">
        <v>0</v>
      </c>
      <c r="BR52" s="188">
        <v>0</v>
      </c>
      <c r="BS52" s="188">
        <v>0</v>
      </c>
      <c r="BT52" s="188">
        <v>0</v>
      </c>
      <c r="BU52" s="188">
        <v>0</v>
      </c>
      <c r="BV52" s="188">
        <v>0</v>
      </c>
      <c r="BW52" s="188">
        <v>0</v>
      </c>
      <c r="BX52" s="188">
        <v>0</v>
      </c>
      <c r="BY52" s="188">
        <v>0</v>
      </c>
      <c r="BZ52" s="188">
        <v>0</v>
      </c>
      <c r="CA52" s="188">
        <v>0</v>
      </c>
      <c r="CB52" s="188">
        <v>0</v>
      </c>
      <c r="CC52" s="188">
        <v>0</v>
      </c>
      <c r="CD52" s="188">
        <v>0</v>
      </c>
    </row>
    <row r="53" spans="1:82" x14ac:dyDescent="0.25">
      <c r="A53" s="188" t="s">
        <v>157</v>
      </c>
      <c r="B53" s="188">
        <v>0</v>
      </c>
      <c r="C53" s="188">
        <v>12477033</v>
      </c>
      <c r="D53" s="188">
        <v>12286948</v>
      </c>
      <c r="E53" s="188">
        <v>9651170</v>
      </c>
      <c r="F53" s="188">
        <v>9651170</v>
      </c>
      <c r="G53" s="188">
        <v>1063292009</v>
      </c>
      <c r="H53" s="188">
        <v>17079422</v>
      </c>
      <c r="I53" s="188">
        <v>9651170</v>
      </c>
      <c r="J53" s="188">
        <v>9651170</v>
      </c>
      <c r="K53" s="188">
        <v>491253794</v>
      </c>
      <c r="L53" s="188">
        <v>9651170</v>
      </c>
      <c r="M53" s="188">
        <v>9651170</v>
      </c>
      <c r="N53" s="188">
        <v>9651170</v>
      </c>
      <c r="O53" s="188">
        <v>9651170</v>
      </c>
      <c r="P53" s="188">
        <v>9651170</v>
      </c>
      <c r="Q53" s="188">
        <v>8051170</v>
      </c>
      <c r="R53" s="188">
        <v>8051170</v>
      </c>
      <c r="S53" s="188">
        <v>8051170</v>
      </c>
      <c r="T53" s="188">
        <v>8051170</v>
      </c>
      <c r="U53" s="188">
        <v>8051170</v>
      </c>
      <c r="V53" s="188">
        <v>8051170</v>
      </c>
      <c r="W53" s="188">
        <v>8051170</v>
      </c>
      <c r="X53" s="188">
        <v>8051170</v>
      </c>
      <c r="Y53" s="188">
        <v>8051170</v>
      </c>
      <c r="Z53" s="188">
        <v>10270176</v>
      </c>
      <c r="AA53" s="188">
        <v>8051170</v>
      </c>
      <c r="AB53" s="188">
        <v>6451170</v>
      </c>
      <c r="AC53" s="188">
        <v>6451170</v>
      </c>
      <c r="AD53" s="188">
        <v>6451171</v>
      </c>
      <c r="AE53" s="188">
        <v>6453111</v>
      </c>
      <c r="AF53" s="188">
        <v>6453111</v>
      </c>
      <c r="AG53" s="188">
        <v>6453111</v>
      </c>
      <c r="AH53" s="188">
        <v>6453790</v>
      </c>
      <c r="AI53" s="188">
        <v>6667492</v>
      </c>
      <c r="AJ53" s="188">
        <v>6947101</v>
      </c>
      <c r="AK53" s="188">
        <v>6667492</v>
      </c>
      <c r="AL53" s="188">
        <v>7096544</v>
      </c>
      <c r="AM53" s="188">
        <v>7085412</v>
      </c>
      <c r="AN53" s="188">
        <v>7093998</v>
      </c>
      <c r="AO53" s="188">
        <v>8093845</v>
      </c>
      <c r="AP53" s="188">
        <v>7950585</v>
      </c>
      <c r="AQ53" s="188">
        <v>8888965</v>
      </c>
      <c r="AR53" s="188">
        <v>6668965</v>
      </c>
      <c r="AS53" s="188">
        <v>6668965</v>
      </c>
      <c r="AT53" s="188">
        <v>6668965</v>
      </c>
      <c r="AU53" s="188">
        <v>6668965</v>
      </c>
      <c r="AV53" s="188">
        <v>6668965</v>
      </c>
      <c r="AW53" s="188">
        <v>6668965</v>
      </c>
      <c r="AX53" s="188">
        <v>7748965</v>
      </c>
      <c r="AY53" s="188">
        <v>7748965</v>
      </c>
      <c r="AZ53" s="188">
        <v>7750411</v>
      </c>
      <c r="BA53" s="188">
        <v>6711906</v>
      </c>
      <c r="BB53" s="188">
        <v>7784658</v>
      </c>
      <c r="BC53" s="188">
        <v>19500102</v>
      </c>
      <c r="BD53" s="188">
        <v>8288206</v>
      </c>
      <c r="BE53" s="188">
        <v>7560958</v>
      </c>
      <c r="BF53" s="188">
        <v>6478661.6299999999</v>
      </c>
      <c r="BG53" s="188">
        <v>14756497.539999999</v>
      </c>
      <c r="BH53" s="188">
        <v>15583753.630000001</v>
      </c>
      <c r="BI53" s="188">
        <v>25869862</v>
      </c>
      <c r="BJ53" s="188">
        <v>15143753.630000001</v>
      </c>
      <c r="BK53" s="188">
        <v>21845021.809999999</v>
      </c>
      <c r="BL53" s="188">
        <v>27743753.629999999</v>
      </c>
      <c r="BM53" s="188">
        <v>30243004</v>
      </c>
      <c r="BN53" s="188">
        <v>31460546.940000001</v>
      </c>
      <c r="BO53" s="188">
        <v>53740006.329999998</v>
      </c>
      <c r="BP53" s="188">
        <v>43994974.899999999</v>
      </c>
      <c r="BQ53" s="188">
        <v>50100875</v>
      </c>
      <c r="BR53" s="188">
        <v>94315187.920000002</v>
      </c>
      <c r="BS53" s="188">
        <v>106015188</v>
      </c>
      <c r="BT53" s="188">
        <v>49447661</v>
      </c>
      <c r="BU53" s="188">
        <v>58288909</v>
      </c>
      <c r="BV53" s="188">
        <v>43582887.5</v>
      </c>
      <c r="BW53" s="188">
        <v>43583000</v>
      </c>
      <c r="BX53" s="188">
        <v>62466840</v>
      </c>
      <c r="BY53" s="188">
        <v>94205000</v>
      </c>
      <c r="BZ53" s="188">
        <v>0</v>
      </c>
      <c r="CA53" s="188">
        <v>29734000</v>
      </c>
      <c r="CB53" s="188">
        <v>27606000</v>
      </c>
      <c r="CC53" s="188">
        <v>347000</v>
      </c>
      <c r="CD53" s="188">
        <v>0</v>
      </c>
    </row>
    <row r="54" spans="1:82" x14ac:dyDescent="0.25">
      <c r="A54" s="188" t="s">
        <v>158</v>
      </c>
      <c r="B54" s="188">
        <v>19796895018</v>
      </c>
      <c r="C54" s="188">
        <v>15925444403</v>
      </c>
      <c r="D54" s="188">
        <v>14153985996</v>
      </c>
      <c r="E54" s="188">
        <v>15264806774</v>
      </c>
      <c r="F54" s="188">
        <v>15060458418</v>
      </c>
      <c r="G54" s="188">
        <v>15003435170</v>
      </c>
      <c r="H54" s="188">
        <v>13520415444</v>
      </c>
      <c r="I54" s="188">
        <v>14395525248</v>
      </c>
      <c r="J54" s="188">
        <v>11322493654</v>
      </c>
      <c r="K54" s="188">
        <v>8230251535</v>
      </c>
      <c r="L54" s="188">
        <v>8003809037</v>
      </c>
      <c r="M54" s="188">
        <v>8864929878</v>
      </c>
      <c r="N54" s="188">
        <v>6329285449</v>
      </c>
      <c r="O54" s="188">
        <v>6494069469</v>
      </c>
      <c r="P54" s="188">
        <v>6027105529</v>
      </c>
      <c r="Q54" s="188">
        <v>7550386025</v>
      </c>
      <c r="R54" s="188">
        <v>7004915097</v>
      </c>
      <c r="S54" s="188">
        <v>6824411233</v>
      </c>
      <c r="T54" s="188">
        <v>7469587639</v>
      </c>
      <c r="U54" s="188">
        <v>6062245439</v>
      </c>
      <c r="V54" s="188">
        <v>5227394119</v>
      </c>
      <c r="W54" s="188">
        <v>5896313151</v>
      </c>
      <c r="X54" s="188">
        <v>2681495073</v>
      </c>
      <c r="Y54" s="188">
        <v>3201279824</v>
      </c>
      <c r="Z54" s="188">
        <v>3330003649</v>
      </c>
      <c r="AA54" s="188">
        <v>3712075555</v>
      </c>
      <c r="AB54" s="188">
        <v>3454849187</v>
      </c>
      <c r="AC54" s="188">
        <v>4285822157</v>
      </c>
      <c r="AD54" s="188">
        <v>3633372125</v>
      </c>
      <c r="AE54" s="188">
        <v>3522114040</v>
      </c>
      <c r="AF54" s="188">
        <v>3513253830</v>
      </c>
      <c r="AG54" s="188">
        <v>3091332938</v>
      </c>
      <c r="AH54" s="188">
        <v>382415163</v>
      </c>
      <c r="AI54" s="188">
        <v>335463074</v>
      </c>
      <c r="AJ54" s="188">
        <v>245770112</v>
      </c>
      <c r="AK54" s="188">
        <v>228912302</v>
      </c>
      <c r="AL54" s="188">
        <v>146209921</v>
      </c>
      <c r="AM54" s="188">
        <v>180957488</v>
      </c>
      <c r="AN54" s="188">
        <v>138410843</v>
      </c>
      <c r="AO54" s="188">
        <v>129185287</v>
      </c>
      <c r="AP54" s="188">
        <v>108129407</v>
      </c>
      <c r="AQ54" s="188">
        <v>176435245</v>
      </c>
      <c r="AR54" s="188">
        <v>171893832</v>
      </c>
      <c r="AS54" s="188">
        <v>159051186</v>
      </c>
      <c r="AT54" s="188">
        <v>1460220227</v>
      </c>
      <c r="AU54" s="188">
        <v>1343011024</v>
      </c>
      <c r="AV54" s="188">
        <v>288697276</v>
      </c>
      <c r="AW54" s="188">
        <v>212403663</v>
      </c>
      <c r="AX54" s="188">
        <v>246750509</v>
      </c>
      <c r="AY54" s="188">
        <v>343579993</v>
      </c>
      <c r="AZ54" s="188">
        <v>241763780</v>
      </c>
      <c r="BA54" s="188">
        <v>261778187</v>
      </c>
      <c r="BB54" s="188">
        <v>313437530</v>
      </c>
      <c r="BC54" s="188">
        <v>254929949</v>
      </c>
      <c r="BD54" s="188">
        <v>288456837</v>
      </c>
      <c r="BE54" s="188">
        <v>270783267</v>
      </c>
      <c r="BF54" s="188">
        <v>691191658.90999997</v>
      </c>
      <c r="BG54" s="188">
        <v>424939718.44999999</v>
      </c>
      <c r="BH54" s="188">
        <v>441539342.44</v>
      </c>
      <c r="BI54" s="188">
        <v>340008362</v>
      </c>
      <c r="BJ54" s="188">
        <v>271302927.48000002</v>
      </c>
      <c r="BK54" s="188">
        <v>306331309.10000002</v>
      </c>
      <c r="BL54" s="188">
        <v>316059698.77999997</v>
      </c>
      <c r="BM54" s="188">
        <v>184208660</v>
      </c>
      <c r="BN54" s="188">
        <v>187499056.28999999</v>
      </c>
      <c r="BO54" s="188">
        <v>279183897.75</v>
      </c>
      <c r="BP54" s="188">
        <v>392077690.75999999</v>
      </c>
      <c r="BQ54" s="188">
        <v>138349778</v>
      </c>
      <c r="BR54" s="188">
        <v>132743883.33</v>
      </c>
      <c r="BS54" s="188">
        <v>122317057</v>
      </c>
      <c r="BT54" s="188">
        <v>129177524</v>
      </c>
      <c r="BU54" s="188">
        <v>117956720</v>
      </c>
      <c r="BV54" s="188">
        <v>176494192.75999999</v>
      </c>
      <c r="BW54" s="188">
        <v>228463000</v>
      </c>
      <c r="BX54" s="188">
        <v>155955204</v>
      </c>
      <c r="BY54" s="188">
        <v>165188000</v>
      </c>
      <c r="BZ54" s="188">
        <v>0</v>
      </c>
      <c r="CA54" s="188">
        <v>98553000</v>
      </c>
      <c r="CB54" s="188">
        <v>77073000</v>
      </c>
      <c r="CC54" s="188">
        <v>56775000</v>
      </c>
      <c r="CD54" s="188">
        <v>0</v>
      </c>
    </row>
    <row r="55" spans="1:82" x14ac:dyDescent="0.25">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33629835</v>
      </c>
      <c r="AX55" s="188">
        <v>78656411</v>
      </c>
      <c r="AY55" s="188">
        <v>115750055</v>
      </c>
      <c r="AZ55" s="188">
        <v>152360781</v>
      </c>
      <c r="BA55" s="188">
        <v>121064127</v>
      </c>
      <c r="BB55" s="188">
        <v>183299922</v>
      </c>
      <c r="BC55" s="188">
        <v>180998830</v>
      </c>
      <c r="BD55" s="188">
        <v>111820625</v>
      </c>
      <c r="BE55" s="188">
        <v>138779159</v>
      </c>
      <c r="BF55" s="188">
        <v>145676764.11000001</v>
      </c>
      <c r="BG55" s="188">
        <v>132862401.88</v>
      </c>
      <c r="BH55" s="188">
        <v>134240323.02000001</v>
      </c>
      <c r="BI55" s="188">
        <v>142653573</v>
      </c>
      <c r="BJ55" s="188">
        <v>123171960.88</v>
      </c>
      <c r="BK55" s="188">
        <v>125484678.59</v>
      </c>
      <c r="BL55" s="188">
        <v>189671877.37</v>
      </c>
      <c r="BM55" s="188">
        <v>83263963</v>
      </c>
      <c r="BN55" s="188">
        <v>116270696.37</v>
      </c>
      <c r="BO55" s="188">
        <v>110480837.70999999</v>
      </c>
      <c r="BP55" s="188">
        <v>99789407.450000003</v>
      </c>
      <c r="BQ55" s="188">
        <v>71979487</v>
      </c>
      <c r="BR55" s="188">
        <v>66239873.770000003</v>
      </c>
      <c r="BS55" s="188">
        <v>38354695</v>
      </c>
      <c r="BT55" s="188">
        <v>22524022</v>
      </c>
      <c r="BU55" s="188">
        <v>17926762</v>
      </c>
      <c r="BV55" s="188">
        <v>2847264.85</v>
      </c>
      <c r="BW55" s="188">
        <v>1992000</v>
      </c>
      <c r="BX55" s="188">
        <v>6004168.5800000001</v>
      </c>
      <c r="BY55" s="188">
        <v>2916000</v>
      </c>
      <c r="BZ55" s="188">
        <v>0</v>
      </c>
      <c r="CA55" s="188">
        <v>9214000</v>
      </c>
      <c r="CB55" s="188">
        <v>6362000</v>
      </c>
      <c r="CC55" s="188">
        <v>4744000</v>
      </c>
      <c r="CD55" s="188">
        <v>0</v>
      </c>
    </row>
    <row r="56" spans="1:82" x14ac:dyDescent="0.25">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c r="BS56" s="188">
        <v>0</v>
      </c>
      <c r="BT56" s="188">
        <v>0</v>
      </c>
      <c r="BU56" s="188">
        <v>0</v>
      </c>
      <c r="BV56" s="188">
        <v>0</v>
      </c>
      <c r="BW56" s="188">
        <v>0</v>
      </c>
      <c r="BX56" s="188">
        <v>0</v>
      </c>
      <c r="BY56" s="188">
        <v>0</v>
      </c>
      <c r="BZ56" s="188">
        <v>0</v>
      </c>
      <c r="CA56" s="188">
        <v>0</v>
      </c>
      <c r="CB56" s="188">
        <v>0</v>
      </c>
      <c r="CC56" s="188">
        <v>0</v>
      </c>
      <c r="CD56" s="188">
        <v>0</v>
      </c>
    </row>
    <row r="57" spans="1:82" x14ac:dyDescent="0.25">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c r="BS57" s="188">
        <v>0</v>
      </c>
      <c r="BT57" s="188">
        <v>0</v>
      </c>
      <c r="BU57" s="188">
        <v>0</v>
      </c>
      <c r="BV57" s="188">
        <v>0</v>
      </c>
      <c r="BW57" s="188">
        <v>0</v>
      </c>
      <c r="BX57" s="188">
        <v>0</v>
      </c>
      <c r="BY57" s="188">
        <v>0</v>
      </c>
      <c r="BZ57" s="188">
        <v>0</v>
      </c>
      <c r="CA57" s="188">
        <v>0</v>
      </c>
      <c r="CB57" s="188">
        <v>0</v>
      </c>
      <c r="CC57" s="188">
        <v>0</v>
      </c>
      <c r="CD57" s="188">
        <v>0</v>
      </c>
    </row>
    <row r="58" spans="1:82" x14ac:dyDescent="0.25">
      <c r="A58" s="188" t="s">
        <v>162</v>
      </c>
      <c r="B58" s="188">
        <v>6068813097</v>
      </c>
      <c r="C58" s="188">
        <v>6402772896</v>
      </c>
      <c r="D58" s="188">
        <v>10923746679</v>
      </c>
      <c r="E58" s="188">
        <v>9109708511</v>
      </c>
      <c r="F58" s="188">
        <v>11361177187</v>
      </c>
      <c r="G58" s="188">
        <v>9749188493</v>
      </c>
      <c r="H58" s="188">
        <v>3930347096</v>
      </c>
      <c r="I58" s="188">
        <v>3684236935</v>
      </c>
      <c r="J58" s="188">
        <v>3737502774</v>
      </c>
      <c r="K58" s="188">
        <v>2556088170</v>
      </c>
      <c r="L58" s="188">
        <v>2188250073</v>
      </c>
      <c r="M58" s="188">
        <v>2283535113</v>
      </c>
      <c r="N58" s="188">
        <v>800360276</v>
      </c>
      <c r="O58" s="188">
        <v>881030022</v>
      </c>
      <c r="P58" s="188">
        <v>770110708</v>
      </c>
      <c r="Q58" s="188">
        <v>15000000</v>
      </c>
      <c r="R58" s="188">
        <v>15000000</v>
      </c>
      <c r="S58" s="188">
        <v>75152800</v>
      </c>
      <c r="T58" s="188">
        <v>452574843</v>
      </c>
      <c r="U58" s="188">
        <v>308628826</v>
      </c>
      <c r="V58" s="188">
        <v>1094699785</v>
      </c>
      <c r="W58" s="188">
        <v>1913565396</v>
      </c>
      <c r="X58" s="188">
        <v>1480806819</v>
      </c>
      <c r="Y58" s="188">
        <v>1544020648</v>
      </c>
      <c r="Z58" s="188">
        <v>1174440272</v>
      </c>
      <c r="AA58" s="188">
        <v>1834719878</v>
      </c>
      <c r="AB58" s="188">
        <v>1322303938</v>
      </c>
      <c r="AC58" s="188">
        <v>1716776716</v>
      </c>
      <c r="AD58" s="188">
        <v>977732630</v>
      </c>
      <c r="AE58" s="188">
        <v>964954730</v>
      </c>
      <c r="AF58" s="188">
        <v>449188400</v>
      </c>
      <c r="AG58" s="188">
        <v>260068100</v>
      </c>
      <c r="AH58" s="188">
        <v>260467419</v>
      </c>
      <c r="AI58" s="188">
        <v>260572700</v>
      </c>
      <c r="AJ58" s="188">
        <v>260678900</v>
      </c>
      <c r="AK58" s="188">
        <v>245684600</v>
      </c>
      <c r="AL58" s="188">
        <v>442700000</v>
      </c>
      <c r="AM58" s="188">
        <v>520200000</v>
      </c>
      <c r="AN58" s="188">
        <v>2009290067</v>
      </c>
      <c r="AO58" s="188">
        <v>2009143046</v>
      </c>
      <c r="AP58" s="188">
        <v>1418616701</v>
      </c>
      <c r="AQ58" s="188">
        <v>2011766918</v>
      </c>
      <c r="AR58" s="188">
        <v>690549843</v>
      </c>
      <c r="AS58" s="188">
        <v>692700000</v>
      </c>
      <c r="AT58" s="188">
        <v>1235878851</v>
      </c>
      <c r="AU58" s="188">
        <v>1279014280</v>
      </c>
      <c r="AV58" s="188">
        <v>2093796571</v>
      </c>
      <c r="AW58" s="188">
        <v>2111027205</v>
      </c>
      <c r="AX58" s="188">
        <v>939875963</v>
      </c>
      <c r="AY58" s="188">
        <v>2229686382</v>
      </c>
      <c r="AZ58" s="188">
        <v>780566810</v>
      </c>
      <c r="BA58" s="188">
        <v>494362550</v>
      </c>
      <c r="BB58" s="188">
        <v>136210000</v>
      </c>
      <c r="BC58" s="188">
        <v>663204252</v>
      </c>
      <c r="BD58" s="188">
        <v>276285533</v>
      </c>
      <c r="BE58" s="188">
        <v>285085533</v>
      </c>
      <c r="BF58" s="188">
        <v>116950979.39</v>
      </c>
      <c r="BG58" s="188">
        <v>120614389.25</v>
      </c>
      <c r="BH58" s="188">
        <v>138845773.75999999</v>
      </c>
      <c r="BI58" s="188">
        <v>119785203</v>
      </c>
      <c r="BJ58" s="188">
        <v>107526935.39</v>
      </c>
      <c r="BK58" s="188">
        <v>105279823.28</v>
      </c>
      <c r="BL58" s="188">
        <v>87090416.530000001</v>
      </c>
      <c r="BM58" s="188">
        <v>92804905</v>
      </c>
      <c r="BN58" s="188">
        <v>23000000</v>
      </c>
      <c r="BO58" s="188">
        <v>14200000</v>
      </c>
      <c r="BP58" s="188">
        <v>23700000</v>
      </c>
      <c r="BQ58" s="188">
        <v>55920000</v>
      </c>
      <c r="BR58" s="188">
        <v>51960000</v>
      </c>
      <c r="BS58" s="188">
        <v>54000000</v>
      </c>
      <c r="BT58" s="188">
        <v>43300000</v>
      </c>
      <c r="BU58" s="188">
        <v>13200000</v>
      </c>
      <c r="BV58" s="188">
        <v>50800000</v>
      </c>
      <c r="BW58" s="188">
        <v>61240000</v>
      </c>
      <c r="BX58" s="188">
        <v>0</v>
      </c>
      <c r="BY58" s="188">
        <v>0</v>
      </c>
      <c r="BZ58" s="188">
        <v>0</v>
      </c>
      <c r="CA58" s="188">
        <v>9140000</v>
      </c>
      <c r="CB58" s="188">
        <v>11342000</v>
      </c>
      <c r="CC58" s="188">
        <v>2340000</v>
      </c>
      <c r="CD58" s="188">
        <v>0</v>
      </c>
    </row>
    <row r="59" spans="1:82" x14ac:dyDescent="0.25">
      <c r="A59" s="188" t="s">
        <v>163</v>
      </c>
      <c r="B59" s="188">
        <v>1102987556</v>
      </c>
      <c r="C59" s="188">
        <v>1029526302</v>
      </c>
      <c r="D59" s="188">
        <v>1045504719</v>
      </c>
      <c r="E59" s="188">
        <v>730709590</v>
      </c>
      <c r="F59" s="188">
        <v>1075012828</v>
      </c>
      <c r="G59" s="188">
        <v>936175310</v>
      </c>
      <c r="H59" s="188">
        <v>830836991</v>
      </c>
      <c r="I59" s="188">
        <v>532983474</v>
      </c>
      <c r="J59" s="188">
        <v>476469068</v>
      </c>
      <c r="K59" s="188">
        <v>459770397</v>
      </c>
      <c r="L59" s="188">
        <v>382218625</v>
      </c>
      <c r="M59" s="188">
        <v>376906959</v>
      </c>
      <c r="N59" s="188">
        <v>448664313</v>
      </c>
      <c r="O59" s="188">
        <v>373827226</v>
      </c>
      <c r="P59" s="188">
        <v>365940621</v>
      </c>
      <c r="Q59" s="188">
        <v>290588570</v>
      </c>
      <c r="R59" s="188">
        <v>372972200</v>
      </c>
      <c r="S59" s="188">
        <v>315921887</v>
      </c>
      <c r="T59" s="188">
        <v>312946213</v>
      </c>
      <c r="U59" s="188">
        <v>255465666</v>
      </c>
      <c r="V59" s="188">
        <v>261167794</v>
      </c>
      <c r="W59" s="188">
        <v>186851226</v>
      </c>
      <c r="X59" s="188">
        <v>214068912</v>
      </c>
      <c r="Y59" s="188">
        <v>94629652</v>
      </c>
      <c r="Z59" s="188">
        <v>56482641</v>
      </c>
      <c r="AA59" s="188">
        <v>52108874</v>
      </c>
      <c r="AB59" s="188">
        <v>52978964</v>
      </c>
      <c r="AC59" s="188">
        <v>88652956</v>
      </c>
      <c r="AD59" s="188">
        <v>44579490</v>
      </c>
      <c r="AE59" s="188">
        <v>50405279</v>
      </c>
      <c r="AF59" s="188">
        <v>33045797</v>
      </c>
      <c r="AG59" s="188">
        <v>23407481</v>
      </c>
      <c r="AH59" s="188">
        <v>49142319</v>
      </c>
      <c r="AI59" s="188">
        <v>47347916</v>
      </c>
      <c r="AJ59" s="188">
        <v>56397331</v>
      </c>
      <c r="AK59" s="188">
        <v>40987163</v>
      </c>
      <c r="AL59" s="188">
        <v>39495739</v>
      </c>
      <c r="AM59" s="188">
        <v>40519487</v>
      </c>
      <c r="AN59" s="188">
        <v>45688597</v>
      </c>
      <c r="AO59" s="188">
        <v>29974002</v>
      </c>
      <c r="AP59" s="188">
        <v>33488981</v>
      </c>
      <c r="AQ59" s="188">
        <v>33852785</v>
      </c>
      <c r="AR59" s="188">
        <v>45681451</v>
      </c>
      <c r="AS59" s="188">
        <v>57740852</v>
      </c>
      <c r="AT59" s="188">
        <v>46793987</v>
      </c>
      <c r="AU59" s="188">
        <v>69452130</v>
      </c>
      <c r="AV59" s="188">
        <v>0</v>
      </c>
      <c r="AW59" s="188">
        <v>0</v>
      </c>
      <c r="AX59" s="188">
        <v>0</v>
      </c>
      <c r="AY59" s="188">
        <v>0</v>
      </c>
      <c r="AZ59" s="188">
        <v>0</v>
      </c>
      <c r="BA59" s="188">
        <v>0</v>
      </c>
      <c r="BB59" s="188">
        <v>3355723</v>
      </c>
      <c r="BC59" s="188">
        <v>10023696</v>
      </c>
      <c r="BD59" s="188">
        <v>178494</v>
      </c>
      <c r="BE59" s="188">
        <v>0</v>
      </c>
      <c r="BF59" s="188">
        <v>12979260.130000001</v>
      </c>
      <c r="BG59" s="188">
        <v>13844598.48</v>
      </c>
      <c r="BH59" s="188">
        <v>13153890.140000001</v>
      </c>
      <c r="BI59" s="188">
        <v>16864971</v>
      </c>
      <c r="BJ59" s="188">
        <v>0</v>
      </c>
      <c r="BK59" s="188">
        <v>0</v>
      </c>
      <c r="BL59" s="188">
        <v>0</v>
      </c>
      <c r="BM59" s="188">
        <v>0</v>
      </c>
      <c r="BN59" s="188">
        <v>12354734.6</v>
      </c>
      <c r="BO59" s="188">
        <v>7314341.8399999999</v>
      </c>
      <c r="BP59" s="188">
        <v>131741330.7</v>
      </c>
      <c r="BQ59" s="188">
        <v>1394247</v>
      </c>
      <c r="BR59" s="188">
        <v>5049457.03</v>
      </c>
      <c r="BS59" s="188">
        <v>3003280</v>
      </c>
      <c r="BT59" s="188">
        <v>0</v>
      </c>
      <c r="BU59" s="188">
        <v>0</v>
      </c>
      <c r="BV59" s="188">
        <v>0</v>
      </c>
      <c r="BW59" s="188">
        <v>0</v>
      </c>
      <c r="BX59" s="188">
        <v>0</v>
      </c>
      <c r="BY59" s="188">
        <v>0</v>
      </c>
      <c r="BZ59" s="188">
        <v>0</v>
      </c>
      <c r="CA59" s="188">
        <v>0</v>
      </c>
      <c r="CB59" s="188">
        <v>0</v>
      </c>
      <c r="CC59" s="188">
        <v>0</v>
      </c>
      <c r="CD59" s="188">
        <v>0</v>
      </c>
    </row>
    <row r="60" spans="1:82" x14ac:dyDescent="0.25">
      <c r="A60" s="188" t="s">
        <v>164</v>
      </c>
      <c r="B60" s="188">
        <v>53878875329</v>
      </c>
      <c r="C60" s="188">
        <v>48998506709</v>
      </c>
      <c r="D60" s="188">
        <v>49563976715</v>
      </c>
      <c r="E60" s="188">
        <v>49736167806</v>
      </c>
      <c r="F60" s="188">
        <v>47385500248</v>
      </c>
      <c r="G60" s="188">
        <v>52076568136</v>
      </c>
      <c r="H60" s="188">
        <v>42194270671</v>
      </c>
      <c r="I60" s="188">
        <v>41439746082</v>
      </c>
      <c r="J60" s="188">
        <v>33321540119</v>
      </c>
      <c r="K60" s="188">
        <v>26919298092</v>
      </c>
      <c r="L60" s="188">
        <v>23562848654</v>
      </c>
      <c r="M60" s="188">
        <v>28871440917</v>
      </c>
      <c r="N60" s="188">
        <v>22348737015</v>
      </c>
      <c r="O60" s="188">
        <v>19558698126</v>
      </c>
      <c r="P60" s="188">
        <v>18626083828</v>
      </c>
      <c r="Q60" s="188">
        <v>18976953099</v>
      </c>
      <c r="R60" s="188">
        <v>18067059693</v>
      </c>
      <c r="S60" s="188">
        <v>17929689363</v>
      </c>
      <c r="T60" s="188">
        <v>16419780823</v>
      </c>
      <c r="U60" s="188">
        <v>26191725374</v>
      </c>
      <c r="V60" s="188">
        <v>25535126875</v>
      </c>
      <c r="W60" s="188">
        <v>23622627399</v>
      </c>
      <c r="X60" s="188">
        <v>12691480338</v>
      </c>
      <c r="Y60" s="188">
        <v>12414627642</v>
      </c>
      <c r="Z60" s="188">
        <v>13442427246</v>
      </c>
      <c r="AA60" s="188">
        <v>13247422570</v>
      </c>
      <c r="AB60" s="188">
        <v>14440528797</v>
      </c>
      <c r="AC60" s="188">
        <v>16956094422</v>
      </c>
      <c r="AD60" s="188">
        <v>17606464113</v>
      </c>
      <c r="AE60" s="188">
        <v>16138540645</v>
      </c>
      <c r="AF60" s="188">
        <v>12649054981</v>
      </c>
      <c r="AG60" s="188">
        <v>11060523148</v>
      </c>
      <c r="AH60" s="188">
        <v>8071415103</v>
      </c>
      <c r="AI60" s="188">
        <v>6539174140</v>
      </c>
      <c r="AJ60" s="188">
        <v>4039033045</v>
      </c>
      <c r="AK60" s="188">
        <v>3761361348</v>
      </c>
      <c r="AL60" s="188">
        <v>3446826182</v>
      </c>
      <c r="AM60" s="188">
        <v>3409767404</v>
      </c>
      <c r="AN60" s="188">
        <v>4870216029</v>
      </c>
      <c r="AO60" s="188">
        <v>4215731047</v>
      </c>
      <c r="AP60" s="188">
        <v>3863331679</v>
      </c>
      <c r="AQ60" s="188">
        <v>4847155755</v>
      </c>
      <c r="AR60" s="188">
        <v>3501174456</v>
      </c>
      <c r="AS60" s="188">
        <v>3299135064</v>
      </c>
      <c r="AT60" s="188">
        <v>5321283241</v>
      </c>
      <c r="AU60" s="188">
        <v>5187152276</v>
      </c>
      <c r="AV60" s="188">
        <v>5707895996</v>
      </c>
      <c r="AW60" s="188">
        <v>6763360187</v>
      </c>
      <c r="AX60" s="188">
        <v>6223745600</v>
      </c>
      <c r="AY60" s="188">
        <v>8164284854</v>
      </c>
      <c r="AZ60" s="188">
        <v>6987361339</v>
      </c>
      <c r="BA60" s="188">
        <v>6554623373</v>
      </c>
      <c r="BB60" s="188">
        <v>8279067863</v>
      </c>
      <c r="BC60" s="188">
        <v>8058432594</v>
      </c>
      <c r="BD60" s="188">
        <v>9168193974</v>
      </c>
      <c r="BE60" s="188">
        <v>8745570305</v>
      </c>
      <c r="BF60" s="188">
        <v>8272531858.1599998</v>
      </c>
      <c r="BG60" s="188">
        <v>5822132486.4499998</v>
      </c>
      <c r="BH60" s="188">
        <v>6554979589.9300003</v>
      </c>
      <c r="BI60" s="188">
        <v>6722666558</v>
      </c>
      <c r="BJ60" s="188">
        <v>5504880622.3999996</v>
      </c>
      <c r="BK60" s="188">
        <v>5221639681.7700005</v>
      </c>
      <c r="BL60" s="188">
        <v>5407456888.6700001</v>
      </c>
      <c r="BM60" s="188">
        <v>3787376001</v>
      </c>
      <c r="BN60" s="188">
        <v>2540308934.5700002</v>
      </c>
      <c r="BO60" s="188">
        <v>2068538753.6800001</v>
      </c>
      <c r="BP60" s="188">
        <v>2190438110.3400002</v>
      </c>
      <c r="BQ60" s="188">
        <v>1469600439</v>
      </c>
      <c r="BR60" s="188">
        <v>1458034149.9000001</v>
      </c>
      <c r="BS60" s="188">
        <v>1502765278</v>
      </c>
      <c r="BT60" s="188">
        <v>1296488127</v>
      </c>
      <c r="BU60" s="188">
        <v>904646688</v>
      </c>
      <c r="BV60" s="188">
        <v>627385846.75</v>
      </c>
      <c r="BW60" s="188">
        <v>559169000</v>
      </c>
      <c r="BX60" s="188">
        <v>404348247.62</v>
      </c>
      <c r="BY60" s="188">
        <v>441473000</v>
      </c>
      <c r="BZ60" s="188">
        <v>216976000</v>
      </c>
      <c r="CA60" s="188">
        <v>225560000</v>
      </c>
      <c r="CB60" s="188">
        <v>200177000</v>
      </c>
      <c r="CC60" s="188">
        <v>153685000</v>
      </c>
      <c r="CD60" s="188">
        <v>0</v>
      </c>
    </row>
    <row r="61" spans="1:82" x14ac:dyDescent="0.25">
      <c r="A61" s="188" t="s">
        <v>165</v>
      </c>
    </row>
    <row r="62" spans="1:82" x14ac:dyDescent="0.25">
      <c r="A62" s="188" t="s">
        <v>166</v>
      </c>
      <c r="B62" s="188">
        <v>91696478647</v>
      </c>
      <c r="C62" s="188">
        <v>83261644214</v>
      </c>
      <c r="D62" s="188">
        <v>78426221039</v>
      </c>
      <c r="E62" s="188">
        <v>78973633010</v>
      </c>
      <c r="F62" s="188">
        <v>64350162666</v>
      </c>
      <c r="G62" s="188">
        <v>53462402931</v>
      </c>
      <c r="H62" s="188">
        <v>52615211431</v>
      </c>
      <c r="I62" s="188">
        <v>49885166211</v>
      </c>
      <c r="J62" s="188">
        <v>39984179941</v>
      </c>
      <c r="K62" s="188">
        <v>41917658001</v>
      </c>
      <c r="L62" s="188">
        <v>37544574931</v>
      </c>
      <c r="M62" s="188">
        <v>36341198145</v>
      </c>
      <c r="N62" s="188">
        <v>39160134497</v>
      </c>
      <c r="O62" s="188">
        <v>36049803922</v>
      </c>
      <c r="P62" s="188">
        <v>33580546293</v>
      </c>
      <c r="Q62" s="188">
        <v>33631104669</v>
      </c>
      <c r="R62" s="188">
        <v>27289336232</v>
      </c>
      <c r="S62" s="188">
        <v>26363575078</v>
      </c>
      <c r="T62" s="188">
        <v>27586775863</v>
      </c>
      <c r="U62" s="188">
        <v>20995628956</v>
      </c>
      <c r="V62" s="188">
        <v>21816560189</v>
      </c>
      <c r="W62" s="188">
        <v>22101430793</v>
      </c>
      <c r="X62" s="188">
        <v>18597386033</v>
      </c>
      <c r="Y62" s="188">
        <v>17373155700</v>
      </c>
      <c r="Z62" s="188">
        <v>18138480712</v>
      </c>
      <c r="AA62" s="188">
        <v>18094805396</v>
      </c>
      <c r="AB62" s="188">
        <v>15426481985</v>
      </c>
      <c r="AC62" s="188">
        <v>14700018374</v>
      </c>
      <c r="AD62" s="188">
        <v>14098653764</v>
      </c>
      <c r="AE62" s="188">
        <v>13324368363</v>
      </c>
      <c r="AF62" s="188">
        <v>9501605076</v>
      </c>
      <c r="AG62" s="188">
        <v>7504827507</v>
      </c>
      <c r="AH62" s="188">
        <v>6837136539</v>
      </c>
      <c r="AI62" s="188">
        <v>4413018963</v>
      </c>
      <c r="AJ62" s="188">
        <v>4433896022</v>
      </c>
      <c r="AK62" s="188">
        <v>4403729000</v>
      </c>
      <c r="AL62" s="188">
        <v>4872852426</v>
      </c>
      <c r="AM62" s="188">
        <v>4876752519</v>
      </c>
      <c r="AN62" s="188">
        <v>3312012581</v>
      </c>
      <c r="AO62" s="188">
        <v>2934127561</v>
      </c>
      <c r="AP62" s="188">
        <v>2252120379</v>
      </c>
      <c r="AQ62" s="188">
        <v>2372731591</v>
      </c>
      <c r="AR62" s="188">
        <v>3747275190</v>
      </c>
      <c r="AS62" s="188">
        <v>4494667804</v>
      </c>
      <c r="AT62" s="188">
        <v>4968479629</v>
      </c>
      <c r="AU62" s="188">
        <v>5496706673</v>
      </c>
      <c r="AV62" s="188">
        <v>5052347429</v>
      </c>
      <c r="AW62" s="188">
        <v>5088771029</v>
      </c>
      <c r="AX62" s="188">
        <v>5890540850</v>
      </c>
      <c r="AY62" s="188">
        <v>6881250916</v>
      </c>
      <c r="AZ62" s="188">
        <v>7910079807</v>
      </c>
      <c r="BA62" s="188">
        <v>7995289932</v>
      </c>
      <c r="BB62" s="188">
        <v>8772749300</v>
      </c>
      <c r="BC62" s="188">
        <v>8445759775</v>
      </c>
      <c r="BD62" s="188">
        <v>2955237251</v>
      </c>
      <c r="BE62" s="188">
        <v>2512169574</v>
      </c>
      <c r="BF62" s="188">
        <v>1876455130.1500001</v>
      </c>
      <c r="BG62" s="188">
        <v>1837800918.75</v>
      </c>
      <c r="BH62" s="188">
        <v>1749649293.3</v>
      </c>
      <c r="BI62" s="188">
        <v>1721009601</v>
      </c>
      <c r="BJ62" s="188">
        <v>1714449635.4100001</v>
      </c>
      <c r="BK62" s="188">
        <v>1718810533.73</v>
      </c>
      <c r="BL62" s="188">
        <v>1668738690.97</v>
      </c>
      <c r="BM62" s="188">
        <v>181427360</v>
      </c>
      <c r="BN62" s="188">
        <v>175100000</v>
      </c>
      <c r="BO62" s="188">
        <v>163600000</v>
      </c>
      <c r="BP62" s="188">
        <v>152100000</v>
      </c>
      <c r="BQ62" s="188">
        <v>162300000</v>
      </c>
      <c r="BR62" s="188">
        <v>115840000</v>
      </c>
      <c r="BS62" s="188">
        <v>178000000</v>
      </c>
      <c r="BT62" s="188">
        <v>170700000</v>
      </c>
      <c r="BU62" s="188">
        <v>84100000</v>
      </c>
      <c r="BV62" s="188">
        <v>12500000</v>
      </c>
      <c r="BW62" s="188">
        <v>13200000</v>
      </c>
      <c r="BX62" s="188">
        <v>0</v>
      </c>
      <c r="BY62" s="188">
        <v>0</v>
      </c>
      <c r="BZ62" s="188">
        <v>0</v>
      </c>
      <c r="CA62" s="188">
        <v>102367000</v>
      </c>
      <c r="CB62" s="188">
        <v>108127000</v>
      </c>
      <c r="CC62" s="188">
        <v>124668000</v>
      </c>
      <c r="CD62" s="188">
        <v>0</v>
      </c>
    </row>
    <row r="63" spans="1:82" x14ac:dyDescent="0.25">
      <c r="A63" s="188" t="s">
        <v>167</v>
      </c>
      <c r="B63" s="188">
        <v>9973978795</v>
      </c>
      <c r="C63" s="188">
        <v>9971424165</v>
      </c>
      <c r="D63" s="188">
        <v>9968897303</v>
      </c>
      <c r="E63" s="188">
        <v>9966467496</v>
      </c>
      <c r="F63" s="188">
        <v>9963993556</v>
      </c>
      <c r="G63" s="188">
        <v>9961519616</v>
      </c>
      <c r="H63" s="188">
        <v>9959072567</v>
      </c>
      <c r="I63" s="188">
        <v>9956719508</v>
      </c>
      <c r="J63" s="188">
        <v>9954853649</v>
      </c>
      <c r="K63" s="188">
        <v>9954719298</v>
      </c>
      <c r="L63" s="188">
        <v>9952486839</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1161644358</v>
      </c>
      <c r="AZ63" s="188">
        <v>1596031288</v>
      </c>
      <c r="BA63" s="188">
        <v>1589753334</v>
      </c>
      <c r="BB63" s="188">
        <v>1582098948</v>
      </c>
      <c r="BC63" s="188">
        <v>1582098948</v>
      </c>
      <c r="BD63" s="188">
        <v>0</v>
      </c>
      <c r="BE63" s="188">
        <v>0</v>
      </c>
      <c r="BF63" s="188">
        <v>50483300.090000004</v>
      </c>
      <c r="BG63" s="188">
        <v>48484322.799999997</v>
      </c>
      <c r="BH63" s="188">
        <v>49563531.409999996</v>
      </c>
      <c r="BI63" s="188">
        <v>51637490</v>
      </c>
      <c r="BJ63" s="188">
        <v>91039894.950000003</v>
      </c>
      <c r="BK63" s="188">
        <v>88897354.099999994</v>
      </c>
      <c r="BL63" s="188">
        <v>82770289.659999996</v>
      </c>
      <c r="BM63" s="188">
        <v>87376302</v>
      </c>
      <c r="BN63" s="188">
        <v>84132153.980000004</v>
      </c>
      <c r="BO63" s="188">
        <v>74409744</v>
      </c>
      <c r="BP63" s="188">
        <v>72825774.530000001</v>
      </c>
      <c r="BQ63" s="188">
        <v>0</v>
      </c>
      <c r="BR63" s="188">
        <v>0</v>
      </c>
      <c r="BS63" s="188">
        <v>0</v>
      </c>
      <c r="BT63" s="188">
        <v>0</v>
      </c>
      <c r="BU63" s="188">
        <v>0</v>
      </c>
      <c r="BV63" s="188">
        <v>0</v>
      </c>
      <c r="BW63" s="188">
        <v>0</v>
      </c>
      <c r="BX63" s="188">
        <v>0</v>
      </c>
      <c r="BY63" s="188">
        <v>0</v>
      </c>
      <c r="BZ63" s="188">
        <v>0</v>
      </c>
      <c r="CA63" s="188">
        <v>0</v>
      </c>
      <c r="CB63" s="188">
        <v>0</v>
      </c>
      <c r="CC63" s="188">
        <v>0</v>
      </c>
      <c r="CD63" s="188">
        <v>0</v>
      </c>
    </row>
    <row r="64" spans="1:82" x14ac:dyDescent="0.25">
      <c r="A64" s="188" t="s">
        <v>168</v>
      </c>
      <c r="B64" s="188">
        <v>1549439574</v>
      </c>
      <c r="C64" s="188">
        <v>1427376178</v>
      </c>
      <c r="D64" s="188">
        <v>1388617933</v>
      </c>
      <c r="E64" s="188">
        <v>1176250982</v>
      </c>
      <c r="F64" s="188">
        <v>2399693429</v>
      </c>
      <c r="G64" s="188">
        <v>2191493751</v>
      </c>
      <c r="H64" s="188">
        <v>2244953243</v>
      </c>
      <c r="I64" s="188">
        <v>1261446565</v>
      </c>
      <c r="J64" s="188">
        <v>10101807</v>
      </c>
      <c r="K64" s="188">
        <v>10423573</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450000000</v>
      </c>
      <c r="AY64" s="188">
        <v>1114116897</v>
      </c>
      <c r="AZ64" s="188">
        <v>1118837433</v>
      </c>
      <c r="BA64" s="188">
        <v>1099939408</v>
      </c>
      <c r="BB64" s="188">
        <v>1104400072</v>
      </c>
      <c r="BC64" s="188">
        <v>1106796231</v>
      </c>
      <c r="BD64" s="188">
        <v>1067161278</v>
      </c>
      <c r="BE64" s="188">
        <v>1109599966</v>
      </c>
      <c r="BF64" s="188">
        <v>1127958831.5599999</v>
      </c>
      <c r="BG64" s="188">
        <v>356551131.37</v>
      </c>
      <c r="BH64" s="188">
        <v>529758620.11000001</v>
      </c>
      <c r="BI64" s="188">
        <v>640638825</v>
      </c>
      <c r="BJ64" s="188">
        <v>20923286.870000001</v>
      </c>
      <c r="BK64" s="188">
        <v>65984427.649999999</v>
      </c>
      <c r="BL64" s="188">
        <v>72524446.530000001</v>
      </c>
      <c r="BM64" s="188">
        <v>60784973</v>
      </c>
      <c r="BN64" s="188">
        <v>71841436.010000005</v>
      </c>
      <c r="BO64" s="188">
        <v>71735153.010000005</v>
      </c>
      <c r="BP64" s="188">
        <v>77055153.010000005</v>
      </c>
      <c r="BQ64" s="188">
        <v>62935986</v>
      </c>
      <c r="BR64" s="188">
        <v>28733655.010000002</v>
      </c>
      <c r="BS64" s="188">
        <v>27906912</v>
      </c>
      <c r="BT64" s="188">
        <v>30997844</v>
      </c>
      <c r="BU64" s="188">
        <v>15973135</v>
      </c>
      <c r="BV64" s="188">
        <v>50274000</v>
      </c>
      <c r="BW64" s="188">
        <v>50274000</v>
      </c>
      <c r="BX64" s="188">
        <v>35714000</v>
      </c>
      <c r="BY64" s="188">
        <v>35714000</v>
      </c>
      <c r="BZ64" s="188">
        <v>0</v>
      </c>
      <c r="CA64" s="188">
        <v>35714000</v>
      </c>
      <c r="CB64" s="188">
        <v>35714000</v>
      </c>
      <c r="CC64" s="188">
        <v>0</v>
      </c>
      <c r="CD64" s="188">
        <v>0</v>
      </c>
    </row>
    <row r="65" spans="1:82" x14ac:dyDescent="0.25">
      <c r="A65" s="188" t="s">
        <v>169</v>
      </c>
      <c r="B65" s="188">
        <v>0</v>
      </c>
      <c r="C65" s="188">
        <v>0</v>
      </c>
      <c r="D65" s="188">
        <v>0</v>
      </c>
      <c r="E65" s="188">
        <v>0</v>
      </c>
      <c r="F65" s="188">
        <v>0</v>
      </c>
      <c r="G65" s="188">
        <v>0</v>
      </c>
      <c r="H65" s="188">
        <v>0</v>
      </c>
      <c r="I65" s="188">
        <v>0</v>
      </c>
      <c r="J65" s="188">
        <v>0</v>
      </c>
      <c r="K65" s="188">
        <v>0</v>
      </c>
      <c r="L65" s="188">
        <v>0</v>
      </c>
      <c r="M65" s="188">
        <v>0</v>
      </c>
      <c r="N65" s="188">
        <v>0</v>
      </c>
      <c r="O65" s="188">
        <v>0</v>
      </c>
      <c r="P65" s="188">
        <v>0</v>
      </c>
      <c r="Q65" s="188">
        <v>0</v>
      </c>
      <c r="R65" s="188">
        <v>0</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c r="AR65" s="188">
        <v>0</v>
      </c>
      <c r="AS65" s="188">
        <v>0</v>
      </c>
      <c r="AT65" s="188">
        <v>0</v>
      </c>
      <c r="AU65" s="188">
        <v>0</v>
      </c>
      <c r="AV65" s="188">
        <v>0</v>
      </c>
      <c r="AW65" s="188">
        <v>0</v>
      </c>
      <c r="AX65" s="188">
        <v>0</v>
      </c>
      <c r="AY65" s="188">
        <v>0</v>
      </c>
      <c r="AZ65" s="188">
        <v>0</v>
      </c>
      <c r="BA65" s="188">
        <v>0</v>
      </c>
      <c r="BB65" s="188">
        <v>0</v>
      </c>
      <c r="BC65" s="188">
        <v>0</v>
      </c>
      <c r="BD65" s="188">
        <v>0</v>
      </c>
      <c r="BE65" s="188">
        <v>0</v>
      </c>
      <c r="BF65" s="188">
        <v>0</v>
      </c>
      <c r="BG65" s="188">
        <v>0</v>
      </c>
      <c r="BH65" s="188">
        <v>0</v>
      </c>
      <c r="BI65" s="188">
        <v>0</v>
      </c>
      <c r="BJ65" s="188">
        <v>0</v>
      </c>
      <c r="BK65" s="188">
        <v>0</v>
      </c>
      <c r="BL65" s="188">
        <v>0</v>
      </c>
      <c r="BM65" s="188">
        <v>0</v>
      </c>
      <c r="BN65" s="188">
        <v>0</v>
      </c>
      <c r="BO65" s="188">
        <v>0</v>
      </c>
      <c r="BP65" s="188">
        <v>0</v>
      </c>
      <c r="BQ65" s="188">
        <v>0</v>
      </c>
      <c r="BR65" s="188">
        <v>0</v>
      </c>
      <c r="BS65" s="188">
        <v>0</v>
      </c>
      <c r="BT65" s="188">
        <v>0</v>
      </c>
      <c r="BU65" s="188">
        <v>0</v>
      </c>
      <c r="BV65" s="188">
        <v>0</v>
      </c>
      <c r="BW65" s="188">
        <v>0</v>
      </c>
      <c r="BX65" s="188">
        <v>0</v>
      </c>
      <c r="BY65" s="188">
        <v>0</v>
      </c>
      <c r="BZ65" s="188">
        <v>0</v>
      </c>
      <c r="CA65" s="188">
        <v>0</v>
      </c>
      <c r="CB65" s="188">
        <v>0</v>
      </c>
      <c r="CC65" s="188">
        <v>0</v>
      </c>
      <c r="CD65" s="188">
        <v>0</v>
      </c>
    </row>
    <row r="66" spans="1:82" x14ac:dyDescent="0.25">
      <c r="A66" s="188" t="s">
        <v>170</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62307320</v>
      </c>
      <c r="AX66" s="188">
        <v>62927478</v>
      </c>
      <c r="AY66" s="188">
        <v>53315478</v>
      </c>
      <c r="AZ66" s="188">
        <v>51935478</v>
      </c>
      <c r="BA66" s="188">
        <v>53057660</v>
      </c>
      <c r="BB66" s="188">
        <v>57767744</v>
      </c>
      <c r="BC66" s="188">
        <v>50644865</v>
      </c>
      <c r="BD66" s="188">
        <v>36440745</v>
      </c>
      <c r="BE66" s="188">
        <v>43361008</v>
      </c>
      <c r="BF66" s="188">
        <v>8903727.8800000008</v>
      </c>
      <c r="BG66" s="188">
        <v>12786700.6</v>
      </c>
      <c r="BH66" s="188">
        <v>10910534.869999999</v>
      </c>
      <c r="BI66" s="188">
        <v>14961533</v>
      </c>
      <c r="BJ66" s="188">
        <v>11869004.109999999</v>
      </c>
      <c r="BK66" s="188">
        <v>7099705.2800000003</v>
      </c>
      <c r="BL66" s="188">
        <v>7138794.0499999998</v>
      </c>
      <c r="BM66" s="188">
        <v>5770392</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row>
    <row r="67" spans="1:82" x14ac:dyDescent="0.25">
      <c r="A67" s="188" t="s">
        <v>171</v>
      </c>
      <c r="B67" s="188">
        <v>16457010</v>
      </c>
      <c r="C67" s="188">
        <v>16457010</v>
      </c>
      <c r="D67" s="188">
        <v>16501552</v>
      </c>
      <c r="E67" s="188">
        <v>16457010</v>
      </c>
      <c r="F67" s="188">
        <v>16457010</v>
      </c>
      <c r="G67" s="188">
        <v>16457010</v>
      </c>
      <c r="H67" s="188">
        <v>16457010</v>
      </c>
      <c r="I67" s="188">
        <v>16457010</v>
      </c>
      <c r="J67" s="188">
        <v>16140065</v>
      </c>
      <c r="K67" s="188">
        <v>16060269</v>
      </c>
      <c r="L67" s="188">
        <v>16457010</v>
      </c>
      <c r="M67" s="188">
        <v>16457010</v>
      </c>
      <c r="N67" s="188">
        <v>19991508</v>
      </c>
      <c r="O67" s="188">
        <v>16457010</v>
      </c>
      <c r="P67" s="188">
        <v>16457010</v>
      </c>
      <c r="Q67" s="188">
        <v>16457010</v>
      </c>
      <c r="R67" s="188">
        <v>19864777</v>
      </c>
      <c r="S67" s="188">
        <v>16457010</v>
      </c>
      <c r="T67" s="188">
        <v>16457010</v>
      </c>
      <c r="U67" s="188">
        <v>16457010</v>
      </c>
      <c r="V67" s="188">
        <v>16457009</v>
      </c>
      <c r="W67" s="188">
        <v>16536805</v>
      </c>
      <c r="X67" s="188">
        <v>16536806</v>
      </c>
      <c r="Y67" s="188">
        <v>16536805</v>
      </c>
      <c r="Z67" s="188">
        <v>28536806</v>
      </c>
      <c r="AA67" s="188">
        <v>30080844</v>
      </c>
      <c r="AB67" s="188">
        <v>28274319</v>
      </c>
      <c r="AC67" s="188">
        <v>30080844</v>
      </c>
      <c r="AD67" s="188">
        <v>36282611</v>
      </c>
      <c r="AE67" s="188">
        <v>36282611</v>
      </c>
      <c r="AF67" s="188">
        <v>37049896</v>
      </c>
      <c r="AG67" s="188">
        <v>37049896</v>
      </c>
      <c r="AH67" s="188">
        <v>44346148</v>
      </c>
      <c r="AI67" s="188">
        <v>42331309</v>
      </c>
      <c r="AJ67" s="188">
        <v>45970144</v>
      </c>
      <c r="AK67" s="188">
        <v>45970144</v>
      </c>
      <c r="AL67" s="188">
        <v>0</v>
      </c>
      <c r="AM67" s="188">
        <v>0</v>
      </c>
      <c r="AN67" s="188">
        <v>0</v>
      </c>
      <c r="AO67" s="188">
        <v>0</v>
      </c>
      <c r="AP67" s="188">
        <v>0</v>
      </c>
      <c r="AQ67" s="188">
        <v>0</v>
      </c>
      <c r="AR67" s="188">
        <v>0</v>
      </c>
      <c r="AS67" s="188">
        <v>0</v>
      </c>
      <c r="AT67" s="188">
        <v>55866714</v>
      </c>
      <c r="AU67" s="188">
        <v>48130250</v>
      </c>
      <c r="AV67" s="188">
        <v>41250596</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c r="BL67" s="188">
        <v>0</v>
      </c>
      <c r="BM67" s="188">
        <v>0</v>
      </c>
      <c r="BN67" s="188">
        <v>0</v>
      </c>
      <c r="BO67" s="188">
        <v>0</v>
      </c>
      <c r="BP67" s="188">
        <v>0</v>
      </c>
      <c r="BQ67" s="188">
        <v>0</v>
      </c>
      <c r="BR67" s="188">
        <v>0</v>
      </c>
      <c r="BS67" s="188">
        <v>0</v>
      </c>
      <c r="BT67" s="188">
        <v>0</v>
      </c>
      <c r="BU67" s="188">
        <v>0</v>
      </c>
      <c r="BV67" s="188">
        <v>0</v>
      </c>
      <c r="BW67" s="188">
        <v>0</v>
      </c>
      <c r="BX67" s="188">
        <v>0</v>
      </c>
      <c r="BY67" s="188">
        <v>0</v>
      </c>
      <c r="BZ67" s="188">
        <v>0</v>
      </c>
      <c r="CA67" s="188">
        <v>0</v>
      </c>
      <c r="CB67" s="188">
        <v>0</v>
      </c>
      <c r="CC67" s="188">
        <v>0</v>
      </c>
      <c r="CD67" s="188">
        <v>0</v>
      </c>
    </row>
    <row r="68" spans="1:82" x14ac:dyDescent="0.25">
      <c r="A68" s="188" t="s">
        <v>172</v>
      </c>
      <c r="B68" s="188">
        <v>1340866351</v>
      </c>
      <c r="C68" s="188">
        <v>1287125895</v>
      </c>
      <c r="D68" s="188">
        <v>894221715</v>
      </c>
      <c r="E68" s="188">
        <v>563302910</v>
      </c>
      <c r="F68" s="188">
        <v>491907958</v>
      </c>
      <c r="G68" s="188">
        <v>468876003</v>
      </c>
      <c r="H68" s="188">
        <v>458229763</v>
      </c>
      <c r="I68" s="188">
        <v>448625054</v>
      </c>
      <c r="J68" s="188">
        <v>459784649</v>
      </c>
      <c r="K68" s="188">
        <v>450354946</v>
      </c>
      <c r="L68" s="188">
        <v>435770545</v>
      </c>
      <c r="M68" s="188">
        <v>435880215</v>
      </c>
      <c r="N68" s="188">
        <v>366888091</v>
      </c>
      <c r="O68" s="188">
        <v>366199375</v>
      </c>
      <c r="P68" s="188">
        <v>355680030</v>
      </c>
      <c r="Q68" s="188">
        <v>347949970</v>
      </c>
      <c r="R68" s="188">
        <v>384089651</v>
      </c>
      <c r="S68" s="188">
        <v>385845850</v>
      </c>
      <c r="T68" s="188">
        <v>380329143</v>
      </c>
      <c r="U68" s="188">
        <v>382048433</v>
      </c>
      <c r="V68" s="188">
        <v>383764976</v>
      </c>
      <c r="W68" s="188">
        <v>385482681</v>
      </c>
      <c r="X68" s="188">
        <v>376438313</v>
      </c>
      <c r="Y68" s="188">
        <v>388933221</v>
      </c>
      <c r="Z68" s="188">
        <v>403693315</v>
      </c>
      <c r="AA68" s="188">
        <v>410958274</v>
      </c>
      <c r="AB68" s="188">
        <v>412745804</v>
      </c>
      <c r="AC68" s="188">
        <v>414561354</v>
      </c>
      <c r="AD68" s="188">
        <v>286965139</v>
      </c>
      <c r="AE68" s="188">
        <v>289241954</v>
      </c>
      <c r="AF68" s="188">
        <v>292827802</v>
      </c>
      <c r="AG68" s="188">
        <v>294904213</v>
      </c>
      <c r="AH68" s="188">
        <v>283363440</v>
      </c>
      <c r="AI68" s="188">
        <v>256312608</v>
      </c>
      <c r="AJ68" s="188">
        <v>257891606</v>
      </c>
      <c r="AK68" s="188">
        <v>260133072</v>
      </c>
      <c r="AL68" s="188">
        <v>0</v>
      </c>
      <c r="AM68" s="188">
        <v>0</v>
      </c>
      <c r="AN68" s="188">
        <v>0</v>
      </c>
      <c r="AO68" s="188">
        <v>0</v>
      </c>
      <c r="AP68" s="188">
        <v>19079887</v>
      </c>
      <c r="AQ68" s="188">
        <v>19164742</v>
      </c>
      <c r="AR68" s="188">
        <v>19248611</v>
      </c>
      <c r="AS68" s="188">
        <v>19333205</v>
      </c>
      <c r="AT68" s="188">
        <v>90793</v>
      </c>
      <c r="AU68" s="188">
        <v>98632</v>
      </c>
      <c r="AV68" s="188">
        <v>98632</v>
      </c>
      <c r="AW68" s="188">
        <v>28274</v>
      </c>
      <c r="AX68" s="188">
        <v>0</v>
      </c>
      <c r="AY68" s="188">
        <v>0</v>
      </c>
      <c r="AZ68" s="188">
        <v>0</v>
      </c>
      <c r="BA68" s="188">
        <v>588750</v>
      </c>
      <c r="BB68" s="188">
        <v>0</v>
      </c>
      <c r="BC68" s="188">
        <v>0</v>
      </c>
      <c r="BD68" s="188">
        <v>0</v>
      </c>
      <c r="BE68" s="188">
        <v>15330</v>
      </c>
      <c r="BF68" s="188">
        <v>5454291.0800000001</v>
      </c>
      <c r="BG68" s="188">
        <v>8047374.7999999998</v>
      </c>
      <c r="BH68" s="188">
        <v>0</v>
      </c>
      <c r="BI68" s="188">
        <v>8383485</v>
      </c>
      <c r="BJ68" s="188">
        <v>0</v>
      </c>
      <c r="BK68" s="188">
        <v>0</v>
      </c>
      <c r="BL68" s="188">
        <v>0</v>
      </c>
      <c r="BM68" s="188">
        <v>9523166</v>
      </c>
      <c r="BN68" s="188">
        <v>0</v>
      </c>
      <c r="BO68" s="188">
        <v>0</v>
      </c>
      <c r="BP68" s="188">
        <v>0</v>
      </c>
      <c r="BQ68" s="188">
        <v>0</v>
      </c>
      <c r="BR68" s="188">
        <v>0</v>
      </c>
      <c r="BS68" s="188">
        <v>0</v>
      </c>
      <c r="BT68" s="188">
        <v>0</v>
      </c>
      <c r="BU68" s="188">
        <v>0</v>
      </c>
      <c r="BV68" s="188">
        <v>0</v>
      </c>
      <c r="BW68" s="188">
        <v>0</v>
      </c>
      <c r="BX68" s="188">
        <v>0</v>
      </c>
      <c r="BY68" s="188">
        <v>0</v>
      </c>
      <c r="BZ68" s="188">
        <v>0</v>
      </c>
      <c r="CA68" s="188">
        <v>0</v>
      </c>
      <c r="CB68" s="188">
        <v>0</v>
      </c>
      <c r="CC68" s="188">
        <v>0</v>
      </c>
      <c r="CD68" s="188">
        <v>0</v>
      </c>
    </row>
    <row r="69" spans="1:82" x14ac:dyDescent="0.25">
      <c r="A69" s="188" t="s">
        <v>173</v>
      </c>
      <c r="B69" s="188">
        <v>8115602224</v>
      </c>
      <c r="C69" s="188">
        <v>8177403504</v>
      </c>
      <c r="D69" s="188">
        <v>8239382253</v>
      </c>
      <c r="E69" s="188">
        <v>2261955307</v>
      </c>
      <c r="F69" s="188">
        <v>2203546515</v>
      </c>
      <c r="G69" s="188">
        <v>2432273493</v>
      </c>
      <c r="H69" s="188">
        <v>2388379721</v>
      </c>
      <c r="I69" s="188">
        <v>2494122929</v>
      </c>
      <c r="J69" s="188">
        <v>1980602331</v>
      </c>
      <c r="K69" s="188">
        <v>2041535060</v>
      </c>
      <c r="L69" s="188">
        <v>2235661752</v>
      </c>
      <c r="M69" s="188">
        <v>2406244676</v>
      </c>
      <c r="N69" s="188">
        <v>2305873537</v>
      </c>
      <c r="O69" s="188">
        <v>2408415114</v>
      </c>
      <c r="P69" s="188">
        <v>2516556163</v>
      </c>
      <c r="Q69" s="188">
        <v>2441846447</v>
      </c>
      <c r="R69" s="188">
        <v>0</v>
      </c>
      <c r="S69" s="188">
        <v>0</v>
      </c>
      <c r="T69" s="188">
        <v>0</v>
      </c>
      <c r="U69" s="188">
        <v>0</v>
      </c>
      <c r="V69" s="188">
        <v>0</v>
      </c>
      <c r="W69" s="188">
        <v>0</v>
      </c>
      <c r="X69" s="188">
        <v>0</v>
      </c>
      <c r="Y69" s="188">
        <v>0</v>
      </c>
      <c r="Z69" s="188">
        <v>0</v>
      </c>
      <c r="AA69" s="188">
        <v>0</v>
      </c>
      <c r="AB69" s="188">
        <v>0</v>
      </c>
      <c r="AC69" s="188">
        <v>0</v>
      </c>
      <c r="AD69" s="188">
        <v>0</v>
      </c>
      <c r="AE69" s="188">
        <v>0</v>
      </c>
      <c r="AF69" s="188">
        <v>0</v>
      </c>
      <c r="AG69" s="188">
        <v>0</v>
      </c>
      <c r="AH69" s="188">
        <v>0</v>
      </c>
      <c r="AI69" s="188">
        <v>0</v>
      </c>
      <c r="AJ69" s="188">
        <v>0</v>
      </c>
      <c r="AK69" s="188">
        <v>0</v>
      </c>
      <c r="AL69" s="188">
        <v>0</v>
      </c>
      <c r="AM69" s="188">
        <v>0</v>
      </c>
      <c r="AN69" s="188">
        <v>0</v>
      </c>
      <c r="AO69" s="188">
        <v>0</v>
      </c>
      <c r="AP69" s="188">
        <v>0</v>
      </c>
      <c r="AQ69" s="188">
        <v>0</v>
      </c>
      <c r="AR69" s="188">
        <v>0</v>
      </c>
      <c r="AS69" s="188">
        <v>0</v>
      </c>
      <c r="AT69" s="188">
        <v>0</v>
      </c>
      <c r="AU69" s="188">
        <v>0</v>
      </c>
      <c r="AV69" s="188">
        <v>0</v>
      </c>
      <c r="AW69" s="188">
        <v>0</v>
      </c>
      <c r="AX69" s="188">
        <v>0</v>
      </c>
      <c r="AY69" s="188">
        <v>0</v>
      </c>
      <c r="AZ69" s="188">
        <v>0</v>
      </c>
      <c r="BA69" s="188">
        <v>0</v>
      </c>
      <c r="BB69" s="188">
        <v>0</v>
      </c>
      <c r="BC69" s="188">
        <v>0</v>
      </c>
      <c r="BD69" s="188">
        <v>0</v>
      </c>
      <c r="BE69" s="188">
        <v>0</v>
      </c>
      <c r="BF69" s="188">
        <v>0</v>
      </c>
      <c r="BG69" s="188">
        <v>0</v>
      </c>
      <c r="BH69" s="188">
        <v>0</v>
      </c>
      <c r="BI69" s="188">
        <v>0</v>
      </c>
      <c r="BJ69" s="188">
        <v>0</v>
      </c>
      <c r="BK69" s="188">
        <v>0</v>
      </c>
      <c r="BL69" s="188">
        <v>0</v>
      </c>
      <c r="BM69" s="188">
        <v>0</v>
      </c>
      <c r="BN69" s="188">
        <v>0</v>
      </c>
      <c r="BO69" s="188">
        <v>0</v>
      </c>
      <c r="BP69" s="188">
        <v>0</v>
      </c>
      <c r="BQ69" s="188">
        <v>0</v>
      </c>
      <c r="BR69" s="188">
        <v>0</v>
      </c>
      <c r="BS69" s="188">
        <v>0</v>
      </c>
      <c r="BT69" s="188">
        <v>0</v>
      </c>
      <c r="BU69" s="188">
        <v>0</v>
      </c>
      <c r="BV69" s="188">
        <v>0</v>
      </c>
      <c r="BW69" s="188">
        <v>0</v>
      </c>
      <c r="BX69" s="188">
        <v>0</v>
      </c>
      <c r="BY69" s="188">
        <v>0</v>
      </c>
      <c r="BZ69" s="188">
        <v>0</v>
      </c>
      <c r="CA69" s="188">
        <v>0</v>
      </c>
      <c r="CB69" s="188">
        <v>0</v>
      </c>
      <c r="CC69" s="188">
        <v>0</v>
      </c>
      <c r="CD69" s="188">
        <v>0</v>
      </c>
    </row>
    <row r="70" spans="1:82" x14ac:dyDescent="0.25">
      <c r="A70" s="188" t="s">
        <v>174</v>
      </c>
      <c r="B70" s="188">
        <v>10418882740</v>
      </c>
      <c r="C70" s="188">
        <v>10698441824</v>
      </c>
      <c r="D70" s="188">
        <v>7829151387</v>
      </c>
      <c r="E70" s="188">
        <v>9130244495</v>
      </c>
      <c r="F70" s="188">
        <v>7360615837</v>
      </c>
      <c r="G70" s="188">
        <v>7392781797</v>
      </c>
      <c r="H70" s="188">
        <v>7375420113</v>
      </c>
      <c r="I70" s="188">
        <v>7616672523</v>
      </c>
      <c r="J70" s="188">
        <v>7441855438</v>
      </c>
      <c r="K70" s="188">
        <v>7530096383</v>
      </c>
      <c r="L70" s="188">
        <v>7656209857</v>
      </c>
      <c r="M70" s="188">
        <v>6170843660</v>
      </c>
      <c r="N70" s="188">
        <v>3541062202</v>
      </c>
      <c r="O70" s="188">
        <v>3553263879</v>
      </c>
      <c r="P70" s="188">
        <v>3643625779</v>
      </c>
      <c r="Q70" s="188">
        <v>3866566063</v>
      </c>
      <c r="R70" s="188">
        <v>7043693519</v>
      </c>
      <c r="S70" s="188">
        <v>7090627512</v>
      </c>
      <c r="T70" s="188">
        <v>6852033775</v>
      </c>
      <c r="U70" s="188">
        <v>6798328315</v>
      </c>
      <c r="V70" s="188">
        <v>1811240166</v>
      </c>
      <c r="W70" s="188">
        <v>1829588054</v>
      </c>
      <c r="X70" s="188">
        <v>1603374664</v>
      </c>
      <c r="Y70" s="188">
        <v>1647293045</v>
      </c>
      <c r="Z70" s="188">
        <v>1959348074</v>
      </c>
      <c r="AA70" s="188">
        <v>1552328495</v>
      </c>
      <c r="AB70" s="188">
        <v>1573905202</v>
      </c>
      <c r="AC70" s="188">
        <v>1623176746</v>
      </c>
      <c r="AD70" s="188">
        <v>1030683383</v>
      </c>
      <c r="AE70" s="188">
        <v>1034791083</v>
      </c>
      <c r="AF70" s="188">
        <v>968102923</v>
      </c>
      <c r="AG70" s="188">
        <v>1072839752</v>
      </c>
      <c r="AH70" s="188">
        <v>442503904</v>
      </c>
      <c r="AI70" s="188">
        <v>446005909</v>
      </c>
      <c r="AJ70" s="188">
        <v>412706756</v>
      </c>
      <c r="AK70" s="188">
        <v>206634962</v>
      </c>
      <c r="AL70" s="188">
        <v>80607207</v>
      </c>
      <c r="AM70" s="188">
        <v>84006102</v>
      </c>
      <c r="AN70" s="188">
        <v>72398997</v>
      </c>
      <c r="AO70" s="188">
        <v>72460091</v>
      </c>
      <c r="AP70" s="188">
        <v>43419625</v>
      </c>
      <c r="AQ70" s="188">
        <v>42789020</v>
      </c>
      <c r="AR70" s="188">
        <v>47103695</v>
      </c>
      <c r="AS70" s="188">
        <v>46799614</v>
      </c>
      <c r="AT70" s="188">
        <v>85958123</v>
      </c>
      <c r="AU70" s="188">
        <v>84833123</v>
      </c>
      <c r="AV70" s="188">
        <v>145391123</v>
      </c>
      <c r="AW70" s="188">
        <v>163800</v>
      </c>
      <c r="AX70" s="188">
        <v>163800</v>
      </c>
      <c r="AY70" s="188">
        <v>27116718</v>
      </c>
      <c r="AZ70" s="188">
        <v>19296491</v>
      </c>
      <c r="BA70" s="188">
        <v>17747792</v>
      </c>
      <c r="BB70" s="188">
        <v>11893366</v>
      </c>
      <c r="BC70" s="188">
        <v>30253899</v>
      </c>
      <c r="BD70" s="188">
        <v>49484472</v>
      </c>
      <c r="BE70" s="188">
        <v>32118499</v>
      </c>
      <c r="BF70" s="188">
        <v>35050100.439999998</v>
      </c>
      <c r="BG70" s="188">
        <v>33997046.100000001</v>
      </c>
      <c r="BH70" s="188">
        <v>33016499.850000001</v>
      </c>
      <c r="BI70" s="188">
        <v>17832644</v>
      </c>
      <c r="BJ70" s="188">
        <v>344143297.63999999</v>
      </c>
      <c r="BK70" s="188">
        <v>378472192.81</v>
      </c>
      <c r="BL70" s="188">
        <v>352850964.33999997</v>
      </c>
      <c r="BM70" s="188">
        <v>9033345</v>
      </c>
      <c r="BN70" s="188">
        <v>19346790.739999998</v>
      </c>
      <c r="BO70" s="188">
        <v>7890462.4299999997</v>
      </c>
      <c r="BP70" s="188">
        <v>6462000.0899999999</v>
      </c>
      <c r="BQ70" s="188">
        <v>2197547</v>
      </c>
      <c r="BR70" s="188">
        <v>0</v>
      </c>
      <c r="BS70" s="188">
        <v>0</v>
      </c>
      <c r="BT70" s="188">
        <v>0</v>
      </c>
      <c r="BU70" s="188">
        <v>0</v>
      </c>
      <c r="BV70" s="188">
        <v>0</v>
      </c>
      <c r="BW70" s="188">
        <v>0</v>
      </c>
      <c r="BX70" s="188">
        <v>0</v>
      </c>
      <c r="BY70" s="188">
        <v>0</v>
      </c>
      <c r="BZ70" s="188">
        <v>0</v>
      </c>
      <c r="CA70" s="188">
        <v>0</v>
      </c>
      <c r="CB70" s="188">
        <v>0</v>
      </c>
      <c r="CC70" s="188">
        <v>0</v>
      </c>
      <c r="CD70" s="188">
        <v>0</v>
      </c>
    </row>
    <row r="71" spans="1:82" x14ac:dyDescent="0.25">
      <c r="A71" s="188" t="s">
        <v>175</v>
      </c>
      <c r="B71" s="188">
        <v>123111705341</v>
      </c>
      <c r="C71" s="188">
        <v>114839872790</v>
      </c>
      <c r="D71" s="188">
        <v>106762993182</v>
      </c>
      <c r="E71" s="188">
        <v>102088311210</v>
      </c>
      <c r="F71" s="188">
        <v>86786376971</v>
      </c>
      <c r="G71" s="188">
        <v>75925804601</v>
      </c>
      <c r="H71" s="188">
        <v>75057723848</v>
      </c>
      <c r="I71" s="188">
        <v>71679209800</v>
      </c>
      <c r="J71" s="188">
        <v>59847517880</v>
      </c>
      <c r="K71" s="188">
        <v>61920847530</v>
      </c>
      <c r="L71" s="188">
        <v>57841160934</v>
      </c>
      <c r="M71" s="188">
        <v>45370623706</v>
      </c>
      <c r="N71" s="188">
        <v>45393949835</v>
      </c>
      <c r="O71" s="188">
        <v>42394139300</v>
      </c>
      <c r="P71" s="188">
        <v>40112865275</v>
      </c>
      <c r="Q71" s="188">
        <v>40303924159</v>
      </c>
      <c r="R71" s="188">
        <v>34736984179</v>
      </c>
      <c r="S71" s="188">
        <v>33856505450</v>
      </c>
      <c r="T71" s="188">
        <v>34835595791</v>
      </c>
      <c r="U71" s="188">
        <v>28192462714</v>
      </c>
      <c r="V71" s="188">
        <v>24028022340</v>
      </c>
      <c r="W71" s="188">
        <v>24333038333</v>
      </c>
      <c r="X71" s="188">
        <v>20593735816</v>
      </c>
      <c r="Y71" s="188">
        <v>19425918771</v>
      </c>
      <c r="Z71" s="188">
        <v>20530058907</v>
      </c>
      <c r="AA71" s="188">
        <v>20088173009</v>
      </c>
      <c r="AB71" s="188">
        <v>17441407310</v>
      </c>
      <c r="AC71" s="188">
        <v>16767837318</v>
      </c>
      <c r="AD71" s="188">
        <v>15452584897</v>
      </c>
      <c r="AE71" s="188">
        <v>14684684011</v>
      </c>
      <c r="AF71" s="188">
        <v>10799585697</v>
      </c>
      <c r="AG71" s="188">
        <v>8909621368</v>
      </c>
      <c r="AH71" s="188">
        <v>7607350031</v>
      </c>
      <c r="AI71" s="188">
        <v>5157668789</v>
      </c>
      <c r="AJ71" s="188">
        <v>5150464528</v>
      </c>
      <c r="AK71" s="188">
        <v>4916467178</v>
      </c>
      <c r="AL71" s="188">
        <v>4953459633</v>
      </c>
      <c r="AM71" s="188">
        <v>4960758621</v>
      </c>
      <c r="AN71" s="188">
        <v>3384411578</v>
      </c>
      <c r="AO71" s="188">
        <v>3006587652</v>
      </c>
      <c r="AP71" s="188">
        <v>2314619891</v>
      </c>
      <c r="AQ71" s="188">
        <v>2434685353</v>
      </c>
      <c r="AR71" s="188">
        <v>3813627496</v>
      </c>
      <c r="AS71" s="188">
        <v>4560800623</v>
      </c>
      <c r="AT71" s="188">
        <v>5110395259</v>
      </c>
      <c r="AU71" s="188">
        <v>5629768678</v>
      </c>
      <c r="AV71" s="188">
        <v>5239087780</v>
      </c>
      <c r="AW71" s="188">
        <v>5151270423</v>
      </c>
      <c r="AX71" s="188">
        <v>6403632128</v>
      </c>
      <c r="AY71" s="188">
        <v>9237444367</v>
      </c>
      <c r="AZ71" s="188">
        <v>10696180497</v>
      </c>
      <c r="BA71" s="188">
        <v>10756376876</v>
      </c>
      <c r="BB71" s="188">
        <v>11528909430</v>
      </c>
      <c r="BC71" s="188">
        <v>11215553718</v>
      </c>
      <c r="BD71" s="188">
        <v>4108323745</v>
      </c>
      <c r="BE71" s="188">
        <v>3697264377</v>
      </c>
      <c r="BF71" s="188">
        <v>3104305381.1999998</v>
      </c>
      <c r="BG71" s="188">
        <v>2297667494.4200001</v>
      </c>
      <c r="BH71" s="188">
        <v>2372898479.54</v>
      </c>
      <c r="BI71" s="188">
        <v>2454463578</v>
      </c>
      <c r="BJ71" s="188">
        <v>2182425118.98</v>
      </c>
      <c r="BK71" s="188">
        <v>2259264213.5700002</v>
      </c>
      <c r="BL71" s="188">
        <v>2184023185.5500002</v>
      </c>
      <c r="BM71" s="188">
        <v>353915538</v>
      </c>
      <c r="BN71" s="188">
        <v>350420380.73000002</v>
      </c>
      <c r="BO71" s="188">
        <v>317635359.44</v>
      </c>
      <c r="BP71" s="188">
        <v>308442927.63</v>
      </c>
      <c r="BQ71" s="188">
        <v>227433533</v>
      </c>
      <c r="BR71" s="188">
        <v>144573655.00999999</v>
      </c>
      <c r="BS71" s="188">
        <v>205906912</v>
      </c>
      <c r="BT71" s="188">
        <v>201697844</v>
      </c>
      <c r="BU71" s="188">
        <v>100073135</v>
      </c>
      <c r="BV71" s="188">
        <v>62774000</v>
      </c>
      <c r="BW71" s="188">
        <v>63474000</v>
      </c>
      <c r="BX71" s="188">
        <v>36870000</v>
      </c>
      <c r="BY71" s="188">
        <v>35714000</v>
      </c>
      <c r="BZ71" s="188">
        <v>79073000</v>
      </c>
      <c r="CA71" s="188">
        <v>138081000</v>
      </c>
      <c r="CB71" s="188">
        <v>143841000</v>
      </c>
      <c r="CC71" s="188">
        <v>124668000</v>
      </c>
      <c r="CD71" s="188">
        <v>0</v>
      </c>
    </row>
    <row r="72" spans="1:82" x14ac:dyDescent="0.25">
      <c r="A72" s="188" t="s">
        <v>176</v>
      </c>
      <c r="B72" s="188">
        <v>176990580670</v>
      </c>
      <c r="C72" s="188">
        <v>163838379499</v>
      </c>
      <c r="D72" s="188">
        <v>156326969897</v>
      </c>
      <c r="E72" s="188">
        <v>151824479016</v>
      </c>
      <c r="F72" s="188">
        <v>134171877219</v>
      </c>
      <c r="G72" s="188">
        <v>128002372737</v>
      </c>
      <c r="H72" s="188">
        <v>117251994519</v>
      </c>
      <c r="I72" s="188">
        <v>113118955882</v>
      </c>
      <c r="J72" s="188">
        <v>93169057999</v>
      </c>
      <c r="K72" s="188">
        <v>88840145622</v>
      </c>
      <c r="L72" s="188">
        <v>81404009588</v>
      </c>
      <c r="M72" s="188">
        <v>74242064623</v>
      </c>
      <c r="N72" s="188">
        <v>67742686850</v>
      </c>
      <c r="O72" s="188">
        <v>61952837426</v>
      </c>
      <c r="P72" s="188">
        <v>58738949103</v>
      </c>
      <c r="Q72" s="188">
        <v>59280877258</v>
      </c>
      <c r="R72" s="188">
        <v>52804043872</v>
      </c>
      <c r="S72" s="188">
        <v>51786194813</v>
      </c>
      <c r="T72" s="188">
        <v>51255376614</v>
      </c>
      <c r="U72" s="188">
        <v>54384188088</v>
      </c>
      <c r="V72" s="188">
        <v>49563149215</v>
      </c>
      <c r="W72" s="188">
        <v>47955665732</v>
      </c>
      <c r="X72" s="188">
        <v>33285216154</v>
      </c>
      <c r="Y72" s="188">
        <v>31840546413</v>
      </c>
      <c r="Z72" s="188">
        <v>33972486153</v>
      </c>
      <c r="AA72" s="188">
        <v>33335595579</v>
      </c>
      <c r="AB72" s="188">
        <v>31881936107</v>
      </c>
      <c r="AC72" s="188">
        <v>33723931740</v>
      </c>
      <c r="AD72" s="188">
        <v>33059049010</v>
      </c>
      <c r="AE72" s="188">
        <v>30823224656</v>
      </c>
      <c r="AF72" s="188">
        <v>23448640678</v>
      </c>
      <c r="AG72" s="188">
        <v>19970144516</v>
      </c>
      <c r="AH72" s="188">
        <v>15678765134</v>
      </c>
      <c r="AI72" s="188">
        <v>11696842929</v>
      </c>
      <c r="AJ72" s="188">
        <v>9189497573</v>
      </c>
      <c r="AK72" s="188">
        <v>8677828526</v>
      </c>
      <c r="AL72" s="188">
        <v>8400285815</v>
      </c>
      <c r="AM72" s="188">
        <v>8370526025</v>
      </c>
      <c r="AN72" s="188">
        <v>8254627607</v>
      </c>
      <c r="AO72" s="188">
        <v>7222318699</v>
      </c>
      <c r="AP72" s="188">
        <v>6177951570</v>
      </c>
      <c r="AQ72" s="188">
        <v>7281841108</v>
      </c>
      <c r="AR72" s="188">
        <v>7314801952</v>
      </c>
      <c r="AS72" s="188">
        <v>7859935687</v>
      </c>
      <c r="AT72" s="188">
        <v>10431678500</v>
      </c>
      <c r="AU72" s="188">
        <v>10816920954</v>
      </c>
      <c r="AV72" s="188">
        <v>10946983776</v>
      </c>
      <c r="AW72" s="188">
        <v>11914630610</v>
      </c>
      <c r="AX72" s="188">
        <v>12627377728</v>
      </c>
      <c r="AY72" s="188">
        <v>17401729221</v>
      </c>
      <c r="AZ72" s="188">
        <v>17683541836</v>
      </c>
      <c r="BA72" s="188">
        <v>17311000249</v>
      </c>
      <c r="BB72" s="188">
        <v>19807977293</v>
      </c>
      <c r="BC72" s="188">
        <v>19273986312</v>
      </c>
      <c r="BD72" s="188">
        <v>13276517719</v>
      </c>
      <c r="BE72" s="188">
        <v>12442834682</v>
      </c>
      <c r="BF72" s="188">
        <v>11376837239.360001</v>
      </c>
      <c r="BG72" s="188">
        <v>8119799980.8699999</v>
      </c>
      <c r="BH72" s="188">
        <v>8927878069.4699993</v>
      </c>
      <c r="BI72" s="188">
        <v>9177130136</v>
      </c>
      <c r="BJ72" s="188">
        <v>7687305741.3800001</v>
      </c>
      <c r="BK72" s="188">
        <v>7480903895.3400002</v>
      </c>
      <c r="BL72" s="188">
        <v>7591480074.2200003</v>
      </c>
      <c r="BM72" s="188">
        <v>4141291539</v>
      </c>
      <c r="BN72" s="188">
        <v>2890729315.3000002</v>
      </c>
      <c r="BO72" s="188">
        <v>2386174113.1199999</v>
      </c>
      <c r="BP72" s="188">
        <v>2498881037.9699998</v>
      </c>
      <c r="BQ72" s="188">
        <v>1697033972</v>
      </c>
      <c r="BR72" s="188">
        <v>1602607804.9100001</v>
      </c>
      <c r="BS72" s="188">
        <v>1708672190</v>
      </c>
      <c r="BT72" s="188">
        <v>1498185971</v>
      </c>
      <c r="BU72" s="188">
        <v>1004719823</v>
      </c>
      <c r="BV72" s="188">
        <v>690159846.75</v>
      </c>
      <c r="BW72" s="188">
        <v>622643000</v>
      </c>
      <c r="BX72" s="188">
        <v>441218247.62</v>
      </c>
      <c r="BY72" s="188">
        <v>477187000</v>
      </c>
      <c r="BZ72" s="188">
        <v>296049000</v>
      </c>
      <c r="CA72" s="188">
        <v>363641000</v>
      </c>
      <c r="CB72" s="188">
        <v>344018000</v>
      </c>
      <c r="CC72" s="188">
        <v>278353000</v>
      </c>
      <c r="CD72" s="188">
        <v>0</v>
      </c>
    </row>
    <row r="73" spans="1:82" x14ac:dyDescent="0.25">
      <c r="A73" s="188" t="s">
        <v>177</v>
      </c>
    </row>
    <row r="74" spans="1:82" x14ac:dyDescent="0.25">
      <c r="A74" s="188" t="s">
        <v>178</v>
      </c>
      <c r="B74" s="188">
        <v>34798398763</v>
      </c>
      <c r="C74" s="188">
        <v>34798398763</v>
      </c>
      <c r="D74" s="188">
        <v>34798398763</v>
      </c>
      <c r="E74" s="188">
        <v>34798398763</v>
      </c>
      <c r="F74" s="188">
        <v>34798398763</v>
      </c>
      <c r="G74" s="188">
        <v>35153067743</v>
      </c>
      <c r="H74" s="188">
        <v>35153067743</v>
      </c>
      <c r="I74" s="188">
        <v>35153067743</v>
      </c>
      <c r="J74" s="188">
        <v>35153067743</v>
      </c>
      <c r="K74" s="188">
        <v>35153067743</v>
      </c>
      <c r="L74" s="188">
        <v>35153067743</v>
      </c>
      <c r="M74" s="188">
        <v>35153067743</v>
      </c>
      <c r="N74" s="188">
        <v>35153067743</v>
      </c>
      <c r="O74" s="188">
        <v>35289637574</v>
      </c>
      <c r="P74" s="188">
        <v>35289637574</v>
      </c>
      <c r="Q74" s="188">
        <v>35289637574</v>
      </c>
      <c r="R74" s="188">
        <v>35289637574</v>
      </c>
      <c r="S74" s="188">
        <v>35289637574</v>
      </c>
      <c r="T74" s="188">
        <v>13521542341</v>
      </c>
      <c r="U74" s="188">
        <v>13521542341</v>
      </c>
      <c r="V74" s="188">
        <v>13521542341</v>
      </c>
      <c r="W74" s="188">
        <v>13521542341</v>
      </c>
      <c r="X74" s="188">
        <v>13521542341</v>
      </c>
      <c r="Y74" s="188">
        <v>13521542341</v>
      </c>
      <c r="Z74" s="188">
        <v>13521542341</v>
      </c>
      <c r="AA74" s="188">
        <v>13521542341</v>
      </c>
      <c r="AB74" s="188">
        <v>13521542341</v>
      </c>
      <c r="AC74" s="188">
        <v>13521542341</v>
      </c>
      <c r="AD74" s="188">
        <v>13521542341</v>
      </c>
      <c r="AE74" s="188">
        <v>13521542341</v>
      </c>
      <c r="AF74" s="188">
        <v>11267951951</v>
      </c>
      <c r="AG74" s="188">
        <v>11267951951</v>
      </c>
      <c r="AH74" s="188">
        <v>8282902447</v>
      </c>
      <c r="AI74" s="188">
        <v>8282902447</v>
      </c>
      <c r="AJ74" s="188">
        <v>8282902447</v>
      </c>
      <c r="AK74" s="188">
        <v>8282902447</v>
      </c>
      <c r="AL74" s="188">
        <v>8282902447</v>
      </c>
      <c r="AM74" s="188">
        <v>8282902447</v>
      </c>
      <c r="AN74" s="188">
        <v>3282902447</v>
      </c>
      <c r="AO74" s="188">
        <v>3282902447</v>
      </c>
      <c r="AP74" s="188">
        <v>3282902447</v>
      </c>
      <c r="AQ74" s="188">
        <v>2871567895</v>
      </c>
      <c r="AR74" s="188">
        <v>2871567895</v>
      </c>
      <c r="AS74" s="188">
        <v>2871567895</v>
      </c>
      <c r="AT74" s="188">
        <v>2871567895</v>
      </c>
      <c r="AU74" s="188">
        <v>2871567895</v>
      </c>
      <c r="AV74" s="188">
        <v>2871567895</v>
      </c>
      <c r="AW74" s="188">
        <v>2871567895</v>
      </c>
      <c r="AX74" s="188">
        <v>2871567895</v>
      </c>
      <c r="AY74" s="188">
        <v>2195695800</v>
      </c>
      <c r="AZ74" s="188">
        <v>2195695800</v>
      </c>
      <c r="BA74" s="188">
        <v>2195695800</v>
      </c>
      <c r="BB74" s="188">
        <v>2195695800</v>
      </c>
      <c r="BC74" s="188">
        <v>1463797200</v>
      </c>
      <c r="BD74" s="188">
        <v>1463797200</v>
      </c>
      <c r="BE74" s="188">
        <v>1463797200</v>
      </c>
      <c r="BF74" s="188">
        <v>1463797200</v>
      </c>
      <c r="BG74" s="188">
        <v>1463797200</v>
      </c>
      <c r="BH74" s="188">
        <v>975864800</v>
      </c>
      <c r="BI74" s="188">
        <v>659464800</v>
      </c>
      <c r="BJ74" s="188">
        <v>659464800</v>
      </c>
      <c r="BK74" s="188">
        <v>659464800</v>
      </c>
      <c r="BL74" s="188">
        <v>549554000</v>
      </c>
      <c r="BM74" s="188">
        <v>549554000</v>
      </c>
      <c r="BN74" s="188">
        <v>549554000</v>
      </c>
      <c r="BO74" s="188">
        <v>549554000</v>
      </c>
      <c r="BP74" s="188">
        <v>549554000</v>
      </c>
      <c r="BQ74" s="188">
        <v>549554000</v>
      </c>
      <c r="BR74" s="188">
        <v>549554000</v>
      </c>
      <c r="BS74" s="188">
        <v>549554000</v>
      </c>
      <c r="BT74" s="188">
        <v>489554000</v>
      </c>
      <c r="BU74" s="188">
        <v>489554000</v>
      </c>
      <c r="BV74" s="188">
        <v>489554000</v>
      </c>
      <c r="BW74" s="188">
        <v>489554000</v>
      </c>
      <c r="BX74" s="188">
        <v>489554000</v>
      </c>
      <c r="BY74" s="188">
        <v>489554000</v>
      </c>
      <c r="BZ74" s="188">
        <v>376580000</v>
      </c>
      <c r="CA74" s="188">
        <v>261580000</v>
      </c>
      <c r="CB74" s="188">
        <v>261580000</v>
      </c>
      <c r="CC74" s="188">
        <v>261580000</v>
      </c>
      <c r="CD74" s="188">
        <v>0</v>
      </c>
    </row>
    <row r="75" spans="1:82" x14ac:dyDescent="0.25">
      <c r="A75" s="188" t="s">
        <v>179</v>
      </c>
      <c r="B75" s="188">
        <v>38262622157</v>
      </c>
      <c r="C75" s="188">
        <v>38244761356</v>
      </c>
      <c r="D75" s="188">
        <v>38587939720</v>
      </c>
      <c r="E75" s="188">
        <v>38585515122</v>
      </c>
      <c r="F75" s="188">
        <v>38661932995</v>
      </c>
      <c r="G75" s="188">
        <v>39229235434</v>
      </c>
      <c r="H75" s="188">
        <v>39010484822</v>
      </c>
      <c r="I75" s="188">
        <v>39031357529</v>
      </c>
      <c r="J75" s="188">
        <v>39029109425</v>
      </c>
      <c r="K75" s="188">
        <v>39029109178</v>
      </c>
      <c r="L75" s="188">
        <v>39027961492</v>
      </c>
      <c r="M75" s="188">
        <v>39018900467</v>
      </c>
      <c r="N75" s="188">
        <v>38942111340</v>
      </c>
      <c r="O75" s="188">
        <v>39082597284</v>
      </c>
      <c r="P75" s="188">
        <v>39084913744</v>
      </c>
      <c r="Q75" s="188">
        <v>39084393441</v>
      </c>
      <c r="R75" s="188">
        <v>39079075389</v>
      </c>
      <c r="S75" s="188">
        <v>38702221956</v>
      </c>
      <c r="T75" s="188">
        <v>60422067315</v>
      </c>
      <c r="U75" s="188">
        <v>15407622455</v>
      </c>
      <c r="V75" s="188">
        <v>15351113725</v>
      </c>
      <c r="W75" s="188">
        <v>15354749995</v>
      </c>
      <c r="X75" s="188">
        <v>15346890862</v>
      </c>
      <c r="Y75" s="188">
        <v>15344798225</v>
      </c>
      <c r="Z75" s="188">
        <v>15311525173</v>
      </c>
      <c r="AA75" s="188">
        <v>15315956376</v>
      </c>
      <c r="AB75" s="188">
        <v>15285441357</v>
      </c>
      <c r="AC75" s="188">
        <v>15302948946</v>
      </c>
      <c r="AD75" s="188">
        <v>15165155571</v>
      </c>
      <c r="AE75" s="188">
        <v>15209462817</v>
      </c>
      <c r="AF75" s="188">
        <v>17483628655</v>
      </c>
      <c r="AG75" s="188">
        <v>17484354151</v>
      </c>
      <c r="AH75" s="188">
        <v>11518349253</v>
      </c>
      <c r="AI75" s="188">
        <v>11505532121</v>
      </c>
      <c r="AJ75" s="188">
        <v>11553680880</v>
      </c>
      <c r="AK75" s="188">
        <v>11541232692</v>
      </c>
      <c r="AL75" s="188">
        <v>11352947123</v>
      </c>
      <c r="AM75" s="188">
        <v>11323997180</v>
      </c>
      <c r="AN75" s="188">
        <v>4508098505</v>
      </c>
      <c r="AO75" s="188">
        <v>4504955589</v>
      </c>
      <c r="AP75" s="188">
        <v>4492257752</v>
      </c>
      <c r="AQ75" s="188">
        <v>2698473265</v>
      </c>
      <c r="AR75" s="188">
        <v>2712582395</v>
      </c>
      <c r="AS75" s="188">
        <v>2740627893</v>
      </c>
      <c r="AT75" s="188">
        <v>2944083353</v>
      </c>
      <c r="AU75" s="188">
        <v>2944083353</v>
      </c>
      <c r="AV75" s="188">
        <v>2944083352</v>
      </c>
      <c r="AW75" s="188">
        <v>2996016738</v>
      </c>
      <c r="AX75" s="188">
        <v>2797087782</v>
      </c>
      <c r="AY75" s="188">
        <v>1617652518</v>
      </c>
      <c r="AZ75" s="188">
        <v>1616639249</v>
      </c>
      <c r="BA75" s="188">
        <v>1616639249</v>
      </c>
      <c r="BB75" s="188">
        <v>1569744926</v>
      </c>
      <c r="BC75" s="188">
        <v>2301643526</v>
      </c>
      <c r="BD75" s="188">
        <v>2301643526</v>
      </c>
      <c r="BE75" s="188">
        <v>2301643526</v>
      </c>
      <c r="BF75" s="188">
        <v>2337439962.4400001</v>
      </c>
      <c r="BG75" s="188">
        <v>2302658869.1399999</v>
      </c>
      <c r="BH75" s="188">
        <v>2790591269.1399999</v>
      </c>
      <c r="BI75" s="188">
        <v>1084912330</v>
      </c>
      <c r="BJ75" s="188">
        <v>1055154273.97</v>
      </c>
      <c r="BK75" s="188">
        <v>1055154273.97</v>
      </c>
      <c r="BL75" s="188">
        <v>1165065073.97</v>
      </c>
      <c r="BM75" s="188">
        <v>1165065074</v>
      </c>
      <c r="BN75" s="188">
        <v>1160228715.96</v>
      </c>
      <c r="BO75" s="188">
        <v>1155264658.4400001</v>
      </c>
      <c r="BP75" s="188">
        <v>1155264658.4400001</v>
      </c>
      <c r="BQ75" s="188">
        <v>1155264658</v>
      </c>
      <c r="BR75" s="188">
        <v>1155276002.78</v>
      </c>
      <c r="BS75" s="188">
        <v>1155276002</v>
      </c>
      <c r="BT75" s="188">
        <v>247026725</v>
      </c>
      <c r="BU75" s="188">
        <v>240071484</v>
      </c>
      <c r="BV75" s="188">
        <v>239809448.47</v>
      </c>
      <c r="BW75" s="188">
        <v>239809000</v>
      </c>
      <c r="BX75" s="188">
        <v>239809448.47</v>
      </c>
      <c r="BY75" s="188">
        <v>239809000</v>
      </c>
      <c r="BZ75" s="188">
        <v>239537000</v>
      </c>
      <c r="CA75" s="188">
        <v>3541000</v>
      </c>
      <c r="CB75" s="188">
        <v>3541000</v>
      </c>
      <c r="CC75" s="188">
        <v>3541000</v>
      </c>
      <c r="CD75" s="188">
        <v>0</v>
      </c>
    </row>
    <row r="76" spans="1:82" x14ac:dyDescent="0.25">
      <c r="A76" s="188" t="s">
        <v>180</v>
      </c>
      <c r="B76" s="188">
        <v>0</v>
      </c>
      <c r="C76" s="188">
        <v>0</v>
      </c>
      <c r="D76" s="188">
        <v>0</v>
      </c>
      <c r="E76" s="188">
        <v>0</v>
      </c>
      <c r="F76" s="188">
        <v>0</v>
      </c>
      <c r="G76" s="188">
        <v>666312967</v>
      </c>
      <c r="H76" s="188">
        <v>461876035</v>
      </c>
      <c r="I76" s="188">
        <v>314350824</v>
      </c>
      <c r="J76" s="188">
        <v>99980901</v>
      </c>
      <c r="K76" s="188">
        <v>0</v>
      </c>
      <c r="L76" s="188">
        <v>0</v>
      </c>
      <c r="M76" s="188">
        <v>0</v>
      </c>
      <c r="N76" s="188">
        <v>0</v>
      </c>
      <c r="O76" s="188">
        <v>277055776</v>
      </c>
      <c r="P76" s="188">
        <v>277055776</v>
      </c>
      <c r="Q76" s="188">
        <v>198004581</v>
      </c>
      <c r="R76" s="188">
        <v>80276700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c r="BS76" s="188">
        <v>0</v>
      </c>
      <c r="BT76" s="188">
        <v>0</v>
      </c>
      <c r="BU76" s="188">
        <v>0</v>
      </c>
      <c r="BV76" s="188">
        <v>0</v>
      </c>
      <c r="BW76" s="188">
        <v>0</v>
      </c>
      <c r="BX76" s="188">
        <v>0</v>
      </c>
      <c r="BY76" s="188">
        <v>0</v>
      </c>
      <c r="BZ76" s="188">
        <v>0</v>
      </c>
      <c r="CA76" s="188">
        <v>0</v>
      </c>
      <c r="CB76" s="188">
        <v>0</v>
      </c>
      <c r="CC76" s="188">
        <v>0</v>
      </c>
      <c r="CD76" s="188">
        <v>0</v>
      </c>
    </row>
    <row r="77" spans="1:82" x14ac:dyDescent="0.25">
      <c r="A77" s="188" t="s">
        <v>181</v>
      </c>
      <c r="B77" s="188">
        <v>-156565476</v>
      </c>
      <c r="C77" s="188">
        <v>-87683584</v>
      </c>
      <c r="D77" s="188">
        <v>229889143</v>
      </c>
      <c r="E77" s="188">
        <v>150602933</v>
      </c>
      <c r="F77" s="188">
        <v>81085955</v>
      </c>
      <c r="G77" s="188">
        <v>85086899</v>
      </c>
      <c r="H77" s="188">
        <v>105498829</v>
      </c>
      <c r="I77" s="188">
        <v>75718703</v>
      </c>
      <c r="J77" s="188">
        <v>48211167</v>
      </c>
      <c r="K77" s="188">
        <v>63812600</v>
      </c>
      <c r="L77" s="188">
        <v>40127256</v>
      </c>
      <c r="M77" s="188">
        <v>90153009</v>
      </c>
      <c r="N77" s="188">
        <v>-9335577</v>
      </c>
      <c r="O77" s="188">
        <v>112148608</v>
      </c>
      <c r="P77" s="188">
        <v>94912394</v>
      </c>
      <c r="Q77" s="188">
        <v>40630611</v>
      </c>
      <c r="R77" s="188">
        <v>15792454</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v>0</v>
      </c>
      <c r="BM77" s="188">
        <v>0</v>
      </c>
      <c r="BN77" s="188">
        <v>0</v>
      </c>
      <c r="BO77" s="188">
        <v>0</v>
      </c>
      <c r="BP77" s="188">
        <v>0</v>
      </c>
      <c r="BQ77" s="188">
        <v>0</v>
      </c>
      <c r="BR77" s="188">
        <v>0</v>
      </c>
      <c r="BS77" s="188">
        <v>0</v>
      </c>
      <c r="BT77" s="188">
        <v>0</v>
      </c>
      <c r="BU77" s="188">
        <v>0</v>
      </c>
      <c r="BV77" s="188">
        <v>0</v>
      </c>
      <c r="BW77" s="188">
        <v>0</v>
      </c>
      <c r="BX77" s="188">
        <v>0</v>
      </c>
      <c r="BY77" s="188">
        <v>0</v>
      </c>
      <c r="BZ77" s="188">
        <v>0</v>
      </c>
      <c r="CA77" s="188">
        <v>0</v>
      </c>
      <c r="CB77" s="188">
        <v>0</v>
      </c>
      <c r="CC77" s="188">
        <v>0</v>
      </c>
      <c r="CD77" s="188">
        <v>0</v>
      </c>
    </row>
    <row r="78" spans="1:82" x14ac:dyDescent="0.25">
      <c r="A78" s="188" t="s">
        <v>182</v>
      </c>
      <c r="B78" s="188">
        <v>0</v>
      </c>
      <c r="C78" s="188">
        <v>0</v>
      </c>
      <c r="D78" s="188">
        <v>0</v>
      </c>
      <c r="E78" s="188">
        <v>0</v>
      </c>
      <c r="F78" s="188">
        <v>0</v>
      </c>
      <c r="G78" s="188">
        <v>0</v>
      </c>
      <c r="H78" s="188">
        <v>0</v>
      </c>
      <c r="I78" s="188">
        <v>0</v>
      </c>
      <c r="J78" s="188">
        <v>0</v>
      </c>
      <c r="K78" s="188">
        <v>0</v>
      </c>
      <c r="L78" s="188">
        <v>0</v>
      </c>
      <c r="M78" s="188">
        <v>0</v>
      </c>
      <c r="N78" s="188">
        <v>0</v>
      </c>
      <c r="O78" s="188">
        <v>0</v>
      </c>
      <c r="P78" s="188">
        <v>0</v>
      </c>
      <c r="Q78" s="188">
        <v>0</v>
      </c>
      <c r="R78" s="188">
        <v>0</v>
      </c>
      <c r="S78" s="188">
        <v>0</v>
      </c>
      <c r="T78" s="188">
        <v>0</v>
      </c>
      <c r="U78" s="188">
        <v>0</v>
      </c>
      <c r="V78" s="188">
        <v>0</v>
      </c>
      <c r="W78" s="188">
        <v>0</v>
      </c>
      <c r="X78" s="188">
        <v>0</v>
      </c>
      <c r="Y78" s="188">
        <v>0</v>
      </c>
      <c r="Z78" s="188">
        <v>0</v>
      </c>
      <c r="AA78" s="188">
        <v>0</v>
      </c>
      <c r="AB78" s="188">
        <v>0</v>
      </c>
      <c r="AC78" s="188">
        <v>0</v>
      </c>
      <c r="AD78" s="188">
        <v>0</v>
      </c>
      <c r="AE78" s="188">
        <v>0</v>
      </c>
      <c r="AF78" s="188">
        <v>0</v>
      </c>
      <c r="AG78" s="188">
        <v>0</v>
      </c>
      <c r="AH78" s="188">
        <v>0</v>
      </c>
      <c r="AI78" s="188">
        <v>0</v>
      </c>
      <c r="AJ78" s="188">
        <v>0</v>
      </c>
      <c r="AK78" s="188">
        <v>0</v>
      </c>
      <c r="AL78" s="188">
        <v>0</v>
      </c>
      <c r="AM78" s="188">
        <v>0</v>
      </c>
      <c r="AN78" s="188">
        <v>0</v>
      </c>
      <c r="AO78" s="188">
        <v>0</v>
      </c>
      <c r="AP78" s="188">
        <v>0</v>
      </c>
      <c r="AQ78" s="188">
        <v>0</v>
      </c>
      <c r="AR78" s="188">
        <v>0</v>
      </c>
      <c r="AS78" s="188">
        <v>0</v>
      </c>
      <c r="AT78" s="188">
        <v>0</v>
      </c>
      <c r="AU78" s="188">
        <v>0</v>
      </c>
      <c r="AV78" s="188">
        <v>0</v>
      </c>
      <c r="AW78" s="188">
        <v>0</v>
      </c>
      <c r="AX78" s="188">
        <v>0</v>
      </c>
      <c r="AY78" s="188">
        <v>0</v>
      </c>
      <c r="AZ78" s="188">
        <v>0</v>
      </c>
      <c r="BA78" s="188">
        <v>0</v>
      </c>
      <c r="BB78" s="188">
        <v>0</v>
      </c>
      <c r="BC78" s="188">
        <v>0</v>
      </c>
      <c r="BD78" s="188">
        <v>0</v>
      </c>
      <c r="BE78" s="188">
        <v>0</v>
      </c>
      <c r="BF78" s="188">
        <v>0</v>
      </c>
      <c r="BG78" s="188">
        <v>0</v>
      </c>
      <c r="BH78" s="188">
        <v>0</v>
      </c>
      <c r="BI78" s="188">
        <v>0</v>
      </c>
      <c r="BJ78" s="188">
        <v>0</v>
      </c>
      <c r="BK78" s="188">
        <v>0</v>
      </c>
      <c r="BL78" s="188">
        <v>0</v>
      </c>
      <c r="BM78" s="188">
        <v>0</v>
      </c>
      <c r="BN78" s="188">
        <v>0</v>
      </c>
      <c r="BO78" s="188">
        <v>0</v>
      </c>
      <c r="BP78" s="188">
        <v>0</v>
      </c>
      <c r="BQ78" s="188">
        <v>0</v>
      </c>
      <c r="BR78" s="188">
        <v>0</v>
      </c>
      <c r="BS78" s="188">
        <v>0</v>
      </c>
      <c r="BT78" s="188">
        <v>0</v>
      </c>
      <c r="BU78" s="188">
        <v>0</v>
      </c>
      <c r="BV78" s="188">
        <v>0</v>
      </c>
      <c r="BW78" s="188">
        <v>0</v>
      </c>
      <c r="BX78" s="188">
        <v>0</v>
      </c>
      <c r="BY78" s="188">
        <v>0</v>
      </c>
      <c r="BZ78" s="188">
        <v>0</v>
      </c>
      <c r="CA78" s="188">
        <v>0</v>
      </c>
      <c r="CB78" s="188">
        <v>0</v>
      </c>
      <c r="CC78" s="188">
        <v>0</v>
      </c>
      <c r="CD78" s="188">
        <v>0</v>
      </c>
    </row>
    <row r="79" spans="1:82" x14ac:dyDescent="0.25">
      <c r="A79" s="188" t="s">
        <v>183</v>
      </c>
      <c r="B79" s="188">
        <v>889640475</v>
      </c>
      <c r="C79" s="188">
        <v>889640475</v>
      </c>
      <c r="D79" s="188">
        <v>889640475</v>
      </c>
      <c r="E79" s="188">
        <v>889640475</v>
      </c>
      <c r="F79" s="188">
        <v>743139855</v>
      </c>
      <c r="G79" s="188">
        <v>743139855</v>
      </c>
      <c r="H79" s="188">
        <v>743139855</v>
      </c>
      <c r="I79" s="188">
        <v>743139855</v>
      </c>
      <c r="J79" s="188">
        <v>592242059</v>
      </c>
      <c r="K79" s="188">
        <v>592242059</v>
      </c>
      <c r="L79" s="188">
        <v>592242059</v>
      </c>
      <c r="M79" s="188">
        <v>592242059</v>
      </c>
      <c r="N79" s="188">
        <v>550734504</v>
      </c>
      <c r="O79" s="188">
        <v>550734504</v>
      </c>
      <c r="P79" s="188">
        <v>503668861</v>
      </c>
      <c r="Q79" s="188">
        <v>503668861</v>
      </c>
      <c r="R79" s="188">
        <v>499092613</v>
      </c>
      <c r="S79" s="188">
        <v>499092613</v>
      </c>
      <c r="T79" s="188">
        <v>499092613</v>
      </c>
      <c r="U79" s="188">
        <v>499092613</v>
      </c>
      <c r="V79" s="188">
        <v>499092613</v>
      </c>
      <c r="W79" s="188">
        <v>499092613</v>
      </c>
      <c r="X79" s="188">
        <v>499092613</v>
      </c>
      <c r="Y79" s="188">
        <v>499092613</v>
      </c>
      <c r="Z79" s="188">
        <v>499092613</v>
      </c>
      <c r="AA79" s="188">
        <v>499092613</v>
      </c>
      <c r="AB79" s="188">
        <v>499092613</v>
      </c>
      <c r="AC79" s="188">
        <v>499092613</v>
      </c>
      <c r="AD79" s="188">
        <v>499092613</v>
      </c>
      <c r="AE79" s="188">
        <v>499092613</v>
      </c>
      <c r="AF79" s="188">
        <v>499092613</v>
      </c>
      <c r="AG79" s="188">
        <v>499092613</v>
      </c>
      <c r="AH79" s="188">
        <v>499092613</v>
      </c>
      <c r="AI79" s="188">
        <v>499092613</v>
      </c>
      <c r="AJ79" s="188">
        <v>499092613</v>
      </c>
      <c r="AK79" s="188">
        <v>499092613</v>
      </c>
      <c r="AL79" s="188">
        <v>499092613</v>
      </c>
      <c r="AM79" s="188">
        <v>499092613</v>
      </c>
      <c r="AN79" s="188">
        <v>499092613</v>
      </c>
      <c r="AO79" s="188">
        <v>499092613</v>
      </c>
      <c r="AP79" s="188">
        <v>499092613</v>
      </c>
      <c r="AQ79" s="188">
        <v>499092613</v>
      </c>
      <c r="AR79" s="188">
        <v>499092613</v>
      </c>
      <c r="AS79" s="188">
        <v>499092613</v>
      </c>
      <c r="AT79" s="188">
        <v>494122613</v>
      </c>
      <c r="AU79" s="188">
        <v>494122613</v>
      </c>
      <c r="AV79" s="188">
        <v>494122613</v>
      </c>
      <c r="AW79" s="188">
        <v>494122613</v>
      </c>
      <c r="AX79" s="188">
        <v>494122613</v>
      </c>
      <c r="AY79" s="188">
        <v>494122613</v>
      </c>
      <c r="AZ79" s="188">
        <v>494122613</v>
      </c>
      <c r="BA79" s="188">
        <v>494122613</v>
      </c>
      <c r="BB79" s="188">
        <v>494122613</v>
      </c>
      <c r="BC79" s="188">
        <v>494122613</v>
      </c>
      <c r="BD79" s="188">
        <v>494122613</v>
      </c>
      <c r="BE79" s="188">
        <v>494122613</v>
      </c>
      <c r="BF79" s="188">
        <v>429294143</v>
      </c>
      <c r="BG79" s="188">
        <v>429294143</v>
      </c>
      <c r="BH79" s="188">
        <v>429294143</v>
      </c>
      <c r="BI79" s="188">
        <v>412486206</v>
      </c>
      <c r="BJ79" s="188">
        <v>268351151.63999999</v>
      </c>
      <c r="BK79" s="188">
        <v>268351151.63999999</v>
      </c>
      <c r="BL79" s="188">
        <v>268351151.63999999</v>
      </c>
      <c r="BM79" s="188">
        <v>268351152</v>
      </c>
      <c r="BN79" s="188">
        <v>235313423.78999999</v>
      </c>
      <c r="BO79" s="188">
        <v>235313423.78999999</v>
      </c>
      <c r="BP79" s="188">
        <v>235313423.78999999</v>
      </c>
      <c r="BQ79" s="188">
        <v>235313424</v>
      </c>
      <c r="BR79" s="188">
        <v>229474662.24000001</v>
      </c>
      <c r="BS79" s="188">
        <v>211710661</v>
      </c>
      <c r="BT79" s="188">
        <v>185316331</v>
      </c>
      <c r="BU79" s="188">
        <v>185316331</v>
      </c>
      <c r="BV79" s="188">
        <v>155513905.77000001</v>
      </c>
      <c r="BW79" s="188">
        <v>155515000</v>
      </c>
      <c r="BX79" s="188">
        <v>131225769.34</v>
      </c>
      <c r="BY79" s="188">
        <v>131227000</v>
      </c>
      <c r="BZ79" s="188">
        <v>54743000</v>
      </c>
      <c r="CA79" s="188">
        <v>54743000</v>
      </c>
      <c r="CB79" s="188">
        <v>38604000</v>
      </c>
      <c r="CC79" s="188">
        <v>23318000</v>
      </c>
      <c r="CD79" s="188">
        <v>0</v>
      </c>
    </row>
    <row r="80" spans="1:82" x14ac:dyDescent="0.25">
      <c r="A80" s="188" t="s">
        <v>184</v>
      </c>
      <c r="B80" s="188">
        <v>0</v>
      </c>
      <c r="C80" s="188">
        <v>0</v>
      </c>
      <c r="D80" s="188">
        <v>0</v>
      </c>
      <c r="E80" s="188">
        <v>0</v>
      </c>
      <c r="F80" s="188">
        <v>0</v>
      </c>
      <c r="G80" s="188">
        <v>0</v>
      </c>
      <c r="H80" s="188">
        <v>0</v>
      </c>
      <c r="I80" s="188">
        <v>0</v>
      </c>
      <c r="J80" s="188">
        <v>0</v>
      </c>
      <c r="K80" s="188">
        <v>0</v>
      </c>
      <c r="L80" s="188">
        <v>0</v>
      </c>
      <c r="M80" s="188">
        <v>0</v>
      </c>
      <c r="N80" s="188">
        <v>0</v>
      </c>
      <c r="O80" s="188">
        <v>0</v>
      </c>
      <c r="P80" s="188">
        <v>0</v>
      </c>
      <c r="Q80" s="188">
        <v>0</v>
      </c>
      <c r="R80" s="188">
        <v>0</v>
      </c>
      <c r="S80" s="188">
        <v>0</v>
      </c>
      <c r="T80" s="188">
        <v>0</v>
      </c>
      <c r="U80" s="188">
        <v>0</v>
      </c>
      <c r="V80" s="188">
        <v>0</v>
      </c>
      <c r="W80" s="188">
        <v>0</v>
      </c>
      <c r="X80" s="188">
        <v>0</v>
      </c>
      <c r="Y80" s="188">
        <v>0</v>
      </c>
      <c r="Z80" s="188">
        <v>0</v>
      </c>
      <c r="AA80" s="188">
        <v>0</v>
      </c>
      <c r="AB80" s="188">
        <v>0</v>
      </c>
      <c r="AC80" s="188">
        <v>0</v>
      </c>
      <c r="AD80" s="188">
        <v>0</v>
      </c>
      <c r="AE80" s="188">
        <v>0</v>
      </c>
      <c r="AF80" s="188">
        <v>0</v>
      </c>
      <c r="AG80" s="188">
        <v>0</v>
      </c>
      <c r="AH80" s="188">
        <v>0</v>
      </c>
      <c r="AI80" s="188">
        <v>0</v>
      </c>
      <c r="AJ80" s="188">
        <v>0</v>
      </c>
      <c r="AK80" s="188">
        <v>0</v>
      </c>
      <c r="AL80" s="188">
        <v>0</v>
      </c>
      <c r="AM80" s="188">
        <v>0</v>
      </c>
      <c r="AN80" s="188">
        <v>0</v>
      </c>
      <c r="AO80" s="188">
        <v>0</v>
      </c>
      <c r="AP80" s="188">
        <v>0</v>
      </c>
      <c r="AQ80" s="188">
        <v>0</v>
      </c>
      <c r="AR80" s="188">
        <v>0</v>
      </c>
      <c r="AS80" s="188">
        <v>0</v>
      </c>
      <c r="AT80" s="188">
        <v>0</v>
      </c>
      <c r="AU80" s="188">
        <v>0</v>
      </c>
      <c r="AV80" s="188">
        <v>0</v>
      </c>
      <c r="AW80" s="188">
        <v>0</v>
      </c>
      <c r="AX80" s="188">
        <v>0</v>
      </c>
      <c r="AY80" s="188">
        <v>0</v>
      </c>
      <c r="AZ80" s="188">
        <v>0</v>
      </c>
      <c r="BA80" s="188">
        <v>0</v>
      </c>
      <c r="BB80" s="188">
        <v>0</v>
      </c>
      <c r="BC80" s="188">
        <v>0</v>
      </c>
      <c r="BD80" s="188">
        <v>0</v>
      </c>
      <c r="BE80" s="188">
        <v>0</v>
      </c>
      <c r="BF80" s="188">
        <v>0</v>
      </c>
      <c r="BG80" s="188">
        <v>0</v>
      </c>
      <c r="BH80" s="188">
        <v>0</v>
      </c>
      <c r="BI80" s="188">
        <v>0</v>
      </c>
      <c r="BJ80" s="188">
        <v>0</v>
      </c>
      <c r="BK80" s="188">
        <v>0</v>
      </c>
      <c r="BL80" s="188">
        <v>0</v>
      </c>
      <c r="BM80" s="188">
        <v>0</v>
      </c>
      <c r="BN80" s="188">
        <v>0</v>
      </c>
      <c r="BO80" s="188">
        <v>0</v>
      </c>
      <c r="BP80" s="188">
        <v>0</v>
      </c>
      <c r="BQ80" s="188">
        <v>0</v>
      </c>
      <c r="BR80" s="188">
        <v>0</v>
      </c>
      <c r="BS80" s="188">
        <v>0</v>
      </c>
      <c r="BT80" s="188">
        <v>0</v>
      </c>
      <c r="BU80" s="188">
        <v>0</v>
      </c>
      <c r="BV80" s="188">
        <v>0</v>
      </c>
      <c r="BW80" s="188">
        <v>0</v>
      </c>
      <c r="BX80" s="188">
        <v>0</v>
      </c>
      <c r="BY80" s="188">
        <v>0</v>
      </c>
      <c r="BZ80" s="188">
        <v>0</v>
      </c>
      <c r="CA80" s="188">
        <v>0</v>
      </c>
      <c r="CB80" s="188">
        <v>0</v>
      </c>
      <c r="CC80" s="188">
        <v>0</v>
      </c>
      <c r="CD80" s="188">
        <v>0</v>
      </c>
    </row>
    <row r="81" spans="1:82" x14ac:dyDescent="0.25">
      <c r="A81" s="188" t="s">
        <v>185</v>
      </c>
      <c r="B81" s="188">
        <v>12024709526</v>
      </c>
      <c r="C81" s="188">
        <v>11620075705</v>
      </c>
      <c r="D81" s="188">
        <v>12105470053</v>
      </c>
      <c r="E81" s="188">
        <v>10385659084</v>
      </c>
      <c r="F81" s="188">
        <v>9440144432</v>
      </c>
      <c r="G81" s="188">
        <v>7267082811</v>
      </c>
      <c r="H81" s="188">
        <v>6424071137</v>
      </c>
      <c r="I81" s="188">
        <v>4011055487</v>
      </c>
      <c r="J81" s="188">
        <v>2420049571</v>
      </c>
      <c r="K81" s="188">
        <v>1762909191</v>
      </c>
      <c r="L81" s="188">
        <v>2739237740</v>
      </c>
      <c r="M81" s="188">
        <v>2630912286</v>
      </c>
      <c r="N81" s="188">
        <v>3380067601</v>
      </c>
      <c r="O81" s="188">
        <v>3338850882</v>
      </c>
      <c r="P81" s="188">
        <v>2412886644</v>
      </c>
      <c r="Q81" s="188">
        <v>1434745673</v>
      </c>
      <c r="R81" s="188">
        <v>731914543</v>
      </c>
      <c r="S81" s="188">
        <v>-81171194</v>
      </c>
      <c r="T81" s="188">
        <v>-535154919</v>
      </c>
      <c r="U81" s="188">
        <v>-1122806908</v>
      </c>
      <c r="V81" s="188">
        <v>-2117058771</v>
      </c>
      <c r="W81" s="188">
        <v>-2616883709</v>
      </c>
      <c r="X81" s="188">
        <v>-3189269581</v>
      </c>
      <c r="Y81" s="188">
        <v>-3476172602</v>
      </c>
      <c r="Z81" s="188">
        <v>-4369578904</v>
      </c>
      <c r="AA81" s="188">
        <v>-4521188189</v>
      </c>
      <c r="AB81" s="188">
        <v>-4228868766</v>
      </c>
      <c r="AC81" s="188">
        <v>-3734305993</v>
      </c>
      <c r="AD81" s="188">
        <v>-6438261071</v>
      </c>
      <c r="AE81" s="188">
        <v>-5510656947</v>
      </c>
      <c r="AF81" s="188">
        <v>-4969954434</v>
      </c>
      <c r="AG81" s="188">
        <v>-4295172470</v>
      </c>
      <c r="AH81" s="188">
        <v>-3287094172</v>
      </c>
      <c r="AI81" s="188">
        <v>-2838956640</v>
      </c>
      <c r="AJ81" s="188">
        <v>-2595103749</v>
      </c>
      <c r="AK81" s="188">
        <v>-2298250413</v>
      </c>
      <c r="AL81" s="188">
        <v>-3104932448</v>
      </c>
      <c r="AM81" s="188">
        <v>-3097360310</v>
      </c>
      <c r="AN81" s="188">
        <v>-2758689310</v>
      </c>
      <c r="AO81" s="188">
        <v>-2347930741</v>
      </c>
      <c r="AP81" s="188">
        <v>-1432326733</v>
      </c>
      <c r="AQ81" s="188">
        <v>-1035442003</v>
      </c>
      <c r="AR81" s="188">
        <v>-1234981314</v>
      </c>
      <c r="AS81" s="188">
        <v>-1540405268</v>
      </c>
      <c r="AT81" s="188">
        <v>-2305241785</v>
      </c>
      <c r="AU81" s="188">
        <v>-2725773980</v>
      </c>
      <c r="AV81" s="188">
        <v>-2842254077</v>
      </c>
      <c r="AW81" s="188">
        <v>-2820980284</v>
      </c>
      <c r="AX81" s="188">
        <v>-2725696521</v>
      </c>
      <c r="AY81" s="188">
        <v>-2363174495</v>
      </c>
      <c r="AZ81" s="188">
        <v>-1589112621</v>
      </c>
      <c r="BA81" s="188">
        <v>-1095418183</v>
      </c>
      <c r="BB81" s="188">
        <v>-876143537</v>
      </c>
      <c r="BC81" s="188">
        <v>-497070688</v>
      </c>
      <c r="BD81" s="188">
        <v>71112774</v>
      </c>
      <c r="BE81" s="188">
        <v>521861116</v>
      </c>
      <c r="BF81" s="188">
        <v>899586050.04999995</v>
      </c>
      <c r="BG81" s="188">
        <v>945804566.76999998</v>
      </c>
      <c r="BH81" s="188">
        <v>699824394.11000001</v>
      </c>
      <c r="BI81" s="188">
        <v>409165155</v>
      </c>
      <c r="BJ81" s="188">
        <v>473479438.55000001</v>
      </c>
      <c r="BK81" s="188">
        <v>358133335.43000001</v>
      </c>
      <c r="BL81" s="188">
        <v>226365960.86000001</v>
      </c>
      <c r="BM81" s="188">
        <v>192962577</v>
      </c>
      <c r="BN81" s="188">
        <v>215612655.87</v>
      </c>
      <c r="BO81" s="188">
        <v>199922119.44999999</v>
      </c>
      <c r="BP81" s="188">
        <v>166995939.44999999</v>
      </c>
      <c r="BQ81" s="188">
        <v>143405981</v>
      </c>
      <c r="BR81" s="188">
        <v>212906272.71000001</v>
      </c>
      <c r="BS81" s="188">
        <v>135479535</v>
      </c>
      <c r="BT81" s="188">
        <v>201402029</v>
      </c>
      <c r="BU81" s="188">
        <v>151602964</v>
      </c>
      <c r="BV81" s="188">
        <v>122040732.16</v>
      </c>
      <c r="BW81" s="188">
        <v>106902000</v>
      </c>
      <c r="BX81" s="188">
        <v>102241387.09</v>
      </c>
      <c r="BY81" s="188">
        <v>70469000</v>
      </c>
      <c r="BZ81" s="188">
        <v>301085000</v>
      </c>
      <c r="CA81" s="188">
        <v>232365000</v>
      </c>
      <c r="CB81" s="188">
        <v>144365000</v>
      </c>
      <c r="CC81" s="188">
        <v>121788000</v>
      </c>
      <c r="CD81" s="188">
        <v>0</v>
      </c>
    </row>
    <row r="82" spans="1:82" x14ac:dyDescent="0.25">
      <c r="A82" s="188" t="s">
        <v>186</v>
      </c>
      <c r="B82" s="188">
        <v>85818805445</v>
      </c>
      <c r="C82" s="188">
        <v>85465192715</v>
      </c>
      <c r="D82" s="188">
        <v>86611338154</v>
      </c>
      <c r="E82" s="188">
        <v>84809816377</v>
      </c>
      <c r="F82" s="188">
        <v>83724702000</v>
      </c>
      <c r="G82" s="188">
        <v>81811299775</v>
      </c>
      <c r="H82" s="188">
        <v>80974386351</v>
      </c>
      <c r="I82" s="188">
        <v>78699988493</v>
      </c>
      <c r="J82" s="188">
        <v>77142699064</v>
      </c>
      <c r="K82" s="188">
        <v>76601140771</v>
      </c>
      <c r="L82" s="188">
        <v>77552636290</v>
      </c>
      <c r="M82" s="188">
        <v>77485275564</v>
      </c>
      <c r="N82" s="188">
        <v>78016645611</v>
      </c>
      <c r="O82" s="188">
        <v>78096913076</v>
      </c>
      <c r="P82" s="188">
        <v>77108963441</v>
      </c>
      <c r="Q82" s="188">
        <v>76155071579</v>
      </c>
      <c r="R82" s="188">
        <v>75535235873</v>
      </c>
      <c r="S82" s="188">
        <v>74357433156</v>
      </c>
      <c r="T82" s="188">
        <v>73853872881</v>
      </c>
      <c r="U82" s="188">
        <v>28251815361</v>
      </c>
      <c r="V82" s="188">
        <v>27250068430</v>
      </c>
      <c r="W82" s="188">
        <v>26755768815</v>
      </c>
      <c r="X82" s="188">
        <v>26176757398</v>
      </c>
      <c r="Y82" s="188">
        <v>25886959650</v>
      </c>
      <c r="Z82" s="188">
        <v>24960741954</v>
      </c>
      <c r="AA82" s="188">
        <v>24813084260</v>
      </c>
      <c r="AB82" s="188">
        <v>25074364454</v>
      </c>
      <c r="AC82" s="188">
        <v>25585892264</v>
      </c>
      <c r="AD82" s="188">
        <v>22743662796</v>
      </c>
      <c r="AE82" s="188">
        <v>23718541750</v>
      </c>
      <c r="AF82" s="188">
        <v>24273733409</v>
      </c>
      <c r="AG82" s="188">
        <v>24955013046</v>
      </c>
      <c r="AH82" s="188">
        <v>17011268021</v>
      </c>
      <c r="AI82" s="188">
        <v>17446345227</v>
      </c>
      <c r="AJ82" s="188">
        <v>17738455110</v>
      </c>
      <c r="AK82" s="188">
        <v>18022804672</v>
      </c>
      <c r="AL82" s="188">
        <v>17027805999</v>
      </c>
      <c r="AM82" s="188">
        <v>17006385905</v>
      </c>
      <c r="AN82" s="188">
        <v>5528585367</v>
      </c>
      <c r="AO82" s="188">
        <v>5936222532</v>
      </c>
      <c r="AP82" s="188">
        <v>6839164186</v>
      </c>
      <c r="AQ82" s="188">
        <v>5031035436</v>
      </c>
      <c r="AR82" s="188">
        <v>4847503292</v>
      </c>
      <c r="AS82" s="188">
        <v>4570579149</v>
      </c>
      <c r="AT82" s="188">
        <v>4004255414</v>
      </c>
      <c r="AU82" s="188">
        <v>3583824618</v>
      </c>
      <c r="AV82" s="188">
        <v>3467470623</v>
      </c>
      <c r="AW82" s="188">
        <v>3540702703</v>
      </c>
      <c r="AX82" s="188">
        <v>3437081769</v>
      </c>
      <c r="AY82" s="188">
        <v>1608062582</v>
      </c>
      <c r="AZ82" s="188">
        <v>2874625638</v>
      </c>
      <c r="BA82" s="188">
        <v>3377859054</v>
      </c>
      <c r="BB82" s="188">
        <v>3573676780</v>
      </c>
      <c r="BC82" s="188">
        <v>4006925358</v>
      </c>
      <c r="BD82" s="188">
        <v>4566117197</v>
      </c>
      <c r="BE82" s="188">
        <v>4956438845</v>
      </c>
      <c r="BF82" s="188">
        <v>5213867307.1999998</v>
      </c>
      <c r="BG82" s="188">
        <v>5220095533.4700003</v>
      </c>
      <c r="BH82" s="188">
        <v>4985289967.8599997</v>
      </c>
      <c r="BI82" s="188">
        <v>2554930411</v>
      </c>
      <c r="BJ82" s="188">
        <v>2525307177.0100002</v>
      </c>
      <c r="BK82" s="188">
        <v>2327450427.3499999</v>
      </c>
      <c r="BL82" s="188">
        <v>2088377761.95</v>
      </c>
      <c r="BM82" s="188">
        <v>2183379141</v>
      </c>
      <c r="BN82" s="188">
        <v>2160708795.6199999</v>
      </c>
      <c r="BO82" s="188">
        <v>2140054201.6800001</v>
      </c>
      <c r="BP82" s="188">
        <v>2107128021.6800001</v>
      </c>
      <c r="BQ82" s="188">
        <v>2083538063</v>
      </c>
      <c r="BR82" s="188">
        <v>2147210937.73</v>
      </c>
      <c r="BS82" s="188">
        <v>2052020198</v>
      </c>
      <c r="BT82" s="188">
        <v>1123299085</v>
      </c>
      <c r="BU82" s="188">
        <v>1066544779</v>
      </c>
      <c r="BV82" s="188">
        <v>1006918086.4</v>
      </c>
      <c r="BW82" s="188">
        <v>991780000</v>
      </c>
      <c r="BX82" s="188">
        <v>962830604.89999998</v>
      </c>
      <c r="BY82" s="188">
        <v>931059000</v>
      </c>
      <c r="BZ82" s="188">
        <v>971945000</v>
      </c>
      <c r="CA82" s="188">
        <v>552229000</v>
      </c>
      <c r="CB82" s="188">
        <v>448090000</v>
      </c>
      <c r="CC82" s="188">
        <v>410227000</v>
      </c>
      <c r="CD82" s="188">
        <v>0</v>
      </c>
    </row>
    <row r="83" spans="1:82" x14ac:dyDescent="0.25">
      <c r="A83" s="188" t="s">
        <v>187</v>
      </c>
      <c r="B83" s="188">
        <v>26870673190</v>
      </c>
      <c r="C83" s="188">
        <v>26928675364</v>
      </c>
      <c r="D83" s="188">
        <v>19791109299</v>
      </c>
      <c r="E83" s="188">
        <v>19474446456</v>
      </c>
      <c r="F83" s="188">
        <v>21059053073</v>
      </c>
      <c r="G83" s="188">
        <v>15658811592</v>
      </c>
      <c r="H83" s="188">
        <v>15517366357</v>
      </c>
      <c r="I83" s="188">
        <v>13316066667</v>
      </c>
      <c r="J83" s="188">
        <v>4863395864</v>
      </c>
      <c r="K83" s="188">
        <v>4834498629</v>
      </c>
      <c r="L83" s="188">
        <v>3850587941</v>
      </c>
      <c r="M83" s="188">
        <v>865554255</v>
      </c>
      <c r="N83" s="188">
        <v>928174245</v>
      </c>
      <c r="O83" s="188">
        <v>806238864</v>
      </c>
      <c r="P83" s="188">
        <v>801042434</v>
      </c>
      <c r="Q83" s="188">
        <v>804334640</v>
      </c>
      <c r="R83" s="188">
        <v>1034786360</v>
      </c>
      <c r="S83" s="188">
        <v>1791577060</v>
      </c>
      <c r="T83" s="188">
        <v>1310680007</v>
      </c>
      <c r="U83" s="188">
        <v>9902448043</v>
      </c>
      <c r="V83" s="188">
        <v>13801364249</v>
      </c>
      <c r="W83" s="188">
        <v>13663142987</v>
      </c>
      <c r="X83" s="188">
        <v>9491080608</v>
      </c>
      <c r="Y83" s="188">
        <v>9377854802</v>
      </c>
      <c r="Z83" s="188">
        <v>9167738669</v>
      </c>
      <c r="AA83" s="188">
        <v>9167567289</v>
      </c>
      <c r="AB83" s="188">
        <v>9243666933</v>
      </c>
      <c r="AC83" s="188">
        <v>9459591642</v>
      </c>
      <c r="AD83" s="188">
        <v>9153441884</v>
      </c>
      <c r="AE83" s="188">
        <v>9210980659</v>
      </c>
      <c r="AF83" s="188">
        <v>9262486458</v>
      </c>
      <c r="AG83" s="188">
        <v>9304795207</v>
      </c>
      <c r="AH83" s="188">
        <v>9374743757</v>
      </c>
      <c r="AI83" s="188">
        <v>9465158954</v>
      </c>
      <c r="AJ83" s="188">
        <v>5351081639</v>
      </c>
      <c r="AK83" s="188">
        <v>3913347282</v>
      </c>
      <c r="AL83" s="188">
        <v>607364531</v>
      </c>
      <c r="AM83" s="188">
        <v>662029874</v>
      </c>
      <c r="AN83" s="188">
        <v>723270201</v>
      </c>
      <c r="AO83" s="188">
        <v>782579091</v>
      </c>
      <c r="AP83" s="188">
        <v>963844324</v>
      </c>
      <c r="AQ83" s="188">
        <v>1092307501</v>
      </c>
      <c r="AR83" s="188">
        <v>1024468879</v>
      </c>
      <c r="AS83" s="188">
        <v>950760025</v>
      </c>
      <c r="AT83" s="188">
        <v>810992931</v>
      </c>
      <c r="AU83" s="188">
        <v>702883858</v>
      </c>
      <c r="AV83" s="188">
        <v>682203322</v>
      </c>
      <c r="AW83" s="188">
        <v>756748838</v>
      </c>
      <c r="AX83" s="188">
        <v>796635866</v>
      </c>
      <c r="AY83" s="188">
        <v>226699162</v>
      </c>
      <c r="AZ83" s="188">
        <v>194272632</v>
      </c>
      <c r="BA83" s="188">
        <v>233662540</v>
      </c>
      <c r="BB83" s="188">
        <v>565204054</v>
      </c>
      <c r="BC83" s="188">
        <v>521370567</v>
      </c>
      <c r="BD83" s="188">
        <v>522163194</v>
      </c>
      <c r="BE83" s="188">
        <v>524755858</v>
      </c>
      <c r="BF83" s="188">
        <v>561882724.12</v>
      </c>
      <c r="BG83" s="188">
        <v>528738730.98000002</v>
      </c>
      <c r="BH83" s="188">
        <v>552759436.97000003</v>
      </c>
      <c r="BI83" s="188">
        <v>525250437</v>
      </c>
      <c r="BJ83" s="188">
        <v>467121739.12</v>
      </c>
      <c r="BK83" s="188">
        <v>493954423.87</v>
      </c>
      <c r="BL83" s="188">
        <v>490212932.26999998</v>
      </c>
      <c r="BM83" s="188">
        <v>457511373</v>
      </c>
      <c r="BN83" s="188">
        <v>466320237.73000002</v>
      </c>
      <c r="BO83" s="188">
        <v>406570993.47000003</v>
      </c>
      <c r="BP83" s="188">
        <v>362045799.80000001</v>
      </c>
      <c r="BQ83" s="188">
        <v>252245284</v>
      </c>
      <c r="BR83" s="188">
        <v>252996645.74000001</v>
      </c>
      <c r="BS83" s="188">
        <v>175160663</v>
      </c>
      <c r="BT83" s="188">
        <v>210459055</v>
      </c>
      <c r="BU83" s="188">
        <v>187617363</v>
      </c>
      <c r="BV83" s="188">
        <v>128836905.78</v>
      </c>
      <c r="BW83" s="188">
        <v>100652000</v>
      </c>
      <c r="BX83" s="188">
        <v>27736693.57</v>
      </c>
      <c r="BY83" s="188">
        <v>26950000</v>
      </c>
      <c r="BZ83" s="188">
        <v>22004000</v>
      </c>
      <c r="CA83" s="188">
        <v>22724000</v>
      </c>
      <c r="CB83" s="188">
        <v>18562000</v>
      </c>
      <c r="CC83" s="188">
        <v>13893000</v>
      </c>
      <c r="CD83" s="188">
        <v>0</v>
      </c>
    </row>
    <row r="84" spans="1:82" x14ac:dyDescent="0.25">
      <c r="A84" s="188" t="s">
        <v>188</v>
      </c>
      <c r="B84" s="188">
        <v>112689478635</v>
      </c>
      <c r="C84" s="188">
        <v>112393868079</v>
      </c>
      <c r="D84" s="188">
        <v>106402447453</v>
      </c>
      <c r="E84" s="188">
        <v>104284262833</v>
      </c>
      <c r="F84" s="188">
        <v>104783755073</v>
      </c>
      <c r="G84" s="188">
        <v>97470111367</v>
      </c>
      <c r="H84" s="188">
        <v>96491752708</v>
      </c>
      <c r="I84" s="188">
        <v>92016055160</v>
      </c>
      <c r="J84" s="188">
        <v>82006094928</v>
      </c>
      <c r="K84" s="188">
        <v>81435639400</v>
      </c>
      <c r="L84" s="188">
        <v>81403224231</v>
      </c>
      <c r="M84" s="188">
        <v>78350829819</v>
      </c>
      <c r="N84" s="188">
        <v>78944819856</v>
      </c>
      <c r="O84" s="188">
        <v>78903151940</v>
      </c>
      <c r="P84" s="188">
        <v>77910005875</v>
      </c>
      <c r="Q84" s="188">
        <v>76959406219</v>
      </c>
      <c r="R84" s="188">
        <v>76570022233</v>
      </c>
      <c r="S84" s="188">
        <v>76149010216</v>
      </c>
      <c r="T84" s="188">
        <v>75164552888</v>
      </c>
      <c r="U84" s="188">
        <v>38154263404</v>
      </c>
      <c r="V84" s="188">
        <v>41051432679</v>
      </c>
      <c r="W84" s="188">
        <v>40418911802</v>
      </c>
      <c r="X84" s="188">
        <v>35667838006</v>
      </c>
      <c r="Y84" s="188">
        <v>35264814452</v>
      </c>
      <c r="Z84" s="188">
        <v>34128480623</v>
      </c>
      <c r="AA84" s="188">
        <v>33980651549</v>
      </c>
      <c r="AB84" s="188">
        <v>34318031387</v>
      </c>
      <c r="AC84" s="188">
        <v>35045483906</v>
      </c>
      <c r="AD84" s="188">
        <v>31897104680</v>
      </c>
      <c r="AE84" s="188">
        <v>32929522409</v>
      </c>
      <c r="AF84" s="188">
        <v>33536219867</v>
      </c>
      <c r="AG84" s="188">
        <v>34259808253</v>
      </c>
      <c r="AH84" s="188">
        <v>26386011778</v>
      </c>
      <c r="AI84" s="188">
        <v>26911504181</v>
      </c>
      <c r="AJ84" s="188">
        <v>23089536749</v>
      </c>
      <c r="AK84" s="188">
        <v>21936151954</v>
      </c>
      <c r="AL84" s="188">
        <v>17635170530</v>
      </c>
      <c r="AM84" s="188">
        <v>17668415779</v>
      </c>
      <c r="AN84" s="188">
        <v>6251855568</v>
      </c>
      <c r="AO84" s="188">
        <v>6718801623</v>
      </c>
      <c r="AP84" s="188">
        <v>7803008510</v>
      </c>
      <c r="AQ84" s="188">
        <v>6123342937</v>
      </c>
      <c r="AR84" s="188">
        <v>5871972171</v>
      </c>
      <c r="AS84" s="188">
        <v>5521339174</v>
      </c>
      <c r="AT84" s="188">
        <v>4815248345</v>
      </c>
      <c r="AU84" s="188">
        <v>4286708476</v>
      </c>
      <c r="AV84" s="188">
        <v>4149673945</v>
      </c>
      <c r="AW84" s="188">
        <v>4297451541</v>
      </c>
      <c r="AX84" s="188">
        <v>4233717635</v>
      </c>
      <c r="AY84" s="188">
        <v>1834761744</v>
      </c>
      <c r="AZ84" s="188">
        <v>3068898270</v>
      </c>
      <c r="BA84" s="188">
        <v>3611521594</v>
      </c>
      <c r="BB84" s="188">
        <v>4138880834</v>
      </c>
      <c r="BC84" s="188">
        <v>4528295925</v>
      </c>
      <c r="BD84" s="188">
        <v>5088280391</v>
      </c>
      <c r="BE84" s="188">
        <v>5481194703</v>
      </c>
      <c r="BF84" s="188">
        <v>5775750031.3199997</v>
      </c>
      <c r="BG84" s="188">
        <v>5748834264.4499998</v>
      </c>
      <c r="BH84" s="188">
        <v>5538049404.8299999</v>
      </c>
      <c r="BI84" s="188">
        <v>3080180848</v>
      </c>
      <c r="BJ84" s="188">
        <v>2992428916.1300001</v>
      </c>
      <c r="BK84" s="188">
        <v>2821404851.2199998</v>
      </c>
      <c r="BL84" s="188">
        <v>2578590694.2199998</v>
      </c>
      <c r="BM84" s="188">
        <v>2640890514</v>
      </c>
      <c r="BN84" s="188">
        <v>2627029033.3499999</v>
      </c>
      <c r="BO84" s="188">
        <v>2546625195.1500001</v>
      </c>
      <c r="BP84" s="188">
        <v>2469173821.48</v>
      </c>
      <c r="BQ84" s="188">
        <v>2335783347</v>
      </c>
      <c r="BR84" s="188">
        <v>2400207583.4699998</v>
      </c>
      <c r="BS84" s="188">
        <v>2227180861</v>
      </c>
      <c r="BT84" s="188">
        <v>1333758140</v>
      </c>
      <c r="BU84" s="188">
        <v>1254162142</v>
      </c>
      <c r="BV84" s="188">
        <v>1135754992.1800001</v>
      </c>
      <c r="BW84" s="188">
        <v>1092432000</v>
      </c>
      <c r="BX84" s="188">
        <v>990567298.47000003</v>
      </c>
      <c r="BY84" s="188">
        <v>958009000</v>
      </c>
      <c r="BZ84" s="188">
        <v>993949000</v>
      </c>
      <c r="CA84" s="188">
        <v>574953000</v>
      </c>
      <c r="CB84" s="188">
        <v>466652000</v>
      </c>
      <c r="CC84" s="188">
        <v>424120000</v>
      </c>
      <c r="CD84" s="188">
        <v>0</v>
      </c>
    </row>
    <row r="85" spans="1:82" x14ac:dyDescent="0.25">
      <c r="A85" s="188" t="s">
        <v>189</v>
      </c>
      <c r="B85" s="188">
        <v>289680059305</v>
      </c>
      <c r="C85" s="188">
        <v>276232247578</v>
      </c>
      <c r="D85" s="188">
        <v>262729417350</v>
      </c>
      <c r="E85" s="188">
        <v>256108741849</v>
      </c>
      <c r="F85" s="188">
        <v>238955632292</v>
      </c>
      <c r="G85" s="188">
        <v>225472484104</v>
      </c>
      <c r="H85" s="188">
        <v>213743747227</v>
      </c>
      <c r="I85" s="188">
        <v>205135011042</v>
      </c>
      <c r="J85" s="188">
        <v>175175152927</v>
      </c>
      <c r="K85" s="188">
        <v>170275785022</v>
      </c>
      <c r="L85" s="188">
        <v>162807233819</v>
      </c>
      <c r="M85" s="188">
        <v>152592894442</v>
      </c>
      <c r="N85" s="188">
        <v>146687506706</v>
      </c>
      <c r="O85" s="188">
        <v>140855989366</v>
      </c>
      <c r="P85" s="188">
        <v>136648954978</v>
      </c>
      <c r="Q85" s="188">
        <v>136240283477</v>
      </c>
      <c r="R85" s="188">
        <v>129374066105</v>
      </c>
      <c r="S85" s="188">
        <v>127935205029</v>
      </c>
      <c r="T85" s="188">
        <v>126419929502</v>
      </c>
      <c r="U85" s="188">
        <v>92538451492</v>
      </c>
      <c r="V85" s="188">
        <v>90614581894</v>
      </c>
      <c r="W85" s="188">
        <v>88374577534</v>
      </c>
      <c r="X85" s="188">
        <v>68953054160</v>
      </c>
      <c r="Y85" s="188">
        <v>67105360865</v>
      </c>
      <c r="Z85" s="188">
        <v>68100966776</v>
      </c>
      <c r="AA85" s="188">
        <v>67316247128</v>
      </c>
      <c r="AB85" s="188">
        <v>66199967494</v>
      </c>
      <c r="AC85" s="188">
        <v>68769415646</v>
      </c>
      <c r="AD85" s="188">
        <v>64956153690</v>
      </c>
      <c r="AE85" s="188">
        <v>63752747065</v>
      </c>
      <c r="AF85" s="188">
        <v>56984860545</v>
      </c>
      <c r="AG85" s="188">
        <v>54229952769</v>
      </c>
      <c r="AH85" s="188">
        <v>42064776912</v>
      </c>
      <c r="AI85" s="188">
        <v>38608347110</v>
      </c>
      <c r="AJ85" s="188">
        <v>32279034322</v>
      </c>
      <c r="AK85" s="188">
        <v>30613980480</v>
      </c>
      <c r="AL85" s="188">
        <v>26035456345</v>
      </c>
      <c r="AM85" s="188">
        <v>26038941804</v>
      </c>
      <c r="AN85" s="188">
        <v>14506483175</v>
      </c>
      <c r="AO85" s="188">
        <v>13941120322</v>
      </c>
      <c r="AP85" s="188">
        <v>13980960080</v>
      </c>
      <c r="AQ85" s="188">
        <v>13405184045</v>
      </c>
      <c r="AR85" s="188">
        <v>13186774123</v>
      </c>
      <c r="AS85" s="188">
        <v>13381274861</v>
      </c>
      <c r="AT85" s="188">
        <v>15246926845</v>
      </c>
      <c r="AU85" s="188">
        <v>15103629430</v>
      </c>
      <c r="AV85" s="188">
        <v>15096657721</v>
      </c>
      <c r="AW85" s="188">
        <v>16212082151</v>
      </c>
      <c r="AX85" s="188">
        <v>16861095363</v>
      </c>
      <c r="AY85" s="188">
        <v>19236490965</v>
      </c>
      <c r="AZ85" s="188">
        <v>20752440106</v>
      </c>
      <c r="BA85" s="188">
        <v>20922521843</v>
      </c>
      <c r="BB85" s="188">
        <v>23946858127</v>
      </c>
      <c r="BC85" s="188">
        <v>23802282237</v>
      </c>
      <c r="BD85" s="188">
        <v>18364798109</v>
      </c>
      <c r="BE85" s="188">
        <v>17924029385</v>
      </c>
      <c r="BF85" s="188">
        <v>17152587270.68</v>
      </c>
      <c r="BG85" s="188">
        <v>13868634245.32</v>
      </c>
      <c r="BH85" s="188">
        <v>14465927474.299999</v>
      </c>
      <c r="BI85" s="188">
        <v>12257310984</v>
      </c>
      <c r="BJ85" s="188">
        <v>10679734657.51</v>
      </c>
      <c r="BK85" s="188">
        <v>10302308746.559999</v>
      </c>
      <c r="BL85" s="188">
        <v>10170070768.440001</v>
      </c>
      <c r="BM85" s="188">
        <v>6782182053</v>
      </c>
      <c r="BN85" s="188">
        <v>5517758348.6499996</v>
      </c>
      <c r="BO85" s="188">
        <v>4932799308.2700005</v>
      </c>
      <c r="BP85" s="188">
        <v>4968054859.4499998</v>
      </c>
      <c r="BQ85" s="188">
        <v>4032817319</v>
      </c>
      <c r="BR85" s="188">
        <v>4002815388.3800001</v>
      </c>
      <c r="BS85" s="188">
        <v>3935853051</v>
      </c>
      <c r="BT85" s="188">
        <v>2831944111</v>
      </c>
      <c r="BU85" s="188">
        <v>2258881965</v>
      </c>
      <c r="BV85" s="188">
        <v>1825914838.9300001</v>
      </c>
      <c r="BW85" s="188">
        <v>1715075000</v>
      </c>
      <c r="BX85" s="188">
        <v>1431785546.0899999</v>
      </c>
      <c r="BY85" s="188">
        <v>1435196000</v>
      </c>
      <c r="BZ85" s="188">
        <v>1289998000</v>
      </c>
      <c r="CA85" s="188">
        <v>938594000</v>
      </c>
      <c r="CB85" s="188">
        <v>810670000</v>
      </c>
      <c r="CC85" s="188">
        <v>702473000</v>
      </c>
      <c r="CD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D31"/>
  <sheetViews>
    <sheetView workbookViewId="0">
      <selection activeCell="A2" sqref="A2"/>
    </sheetView>
  </sheetViews>
  <sheetFormatPr defaultRowHeight="14.4" x14ac:dyDescent="0.25"/>
  <cols>
    <col min="1" max="1" width="39.109375" style="188" bestFit="1" customWidth="1"/>
    <col min="2" max="4" width="12.77734375" style="188" hidden="1" customWidth="1"/>
    <col min="5" max="5" width="12.77734375" style="188" bestFit="1" customWidth="1"/>
    <col min="6" max="8" width="12.77734375" style="188" hidden="1" customWidth="1"/>
    <col min="9" max="9" width="12.77734375" style="188" bestFit="1" customWidth="1"/>
    <col min="10" max="12" width="12.77734375" style="188" hidden="1" customWidth="1"/>
    <col min="13" max="13" width="12.77734375" style="188" bestFit="1" customWidth="1"/>
    <col min="14" max="16" width="12.77734375" style="188" hidden="1" customWidth="1"/>
    <col min="17" max="17" width="12.77734375" style="188" bestFit="1" customWidth="1"/>
    <col min="18" max="19" width="12.77734375" style="188" hidden="1" customWidth="1"/>
    <col min="20" max="20" width="11.6640625" style="188" hidden="1" customWidth="1"/>
    <col min="21" max="21" width="12.77734375" style="188" bestFit="1" customWidth="1"/>
    <col min="22" max="23" width="12.77734375" style="188" hidden="1" customWidth="1"/>
    <col min="24" max="24" width="11.6640625" style="188" hidden="1" customWidth="1"/>
    <col min="25" max="25" width="12.77734375" style="188" bestFit="1" customWidth="1"/>
    <col min="26" max="27" width="12.77734375" style="188" hidden="1" customWidth="1"/>
    <col min="28" max="28" width="11.6640625" style="188" hidden="1" customWidth="1"/>
    <col min="29" max="29" width="12.77734375" style="188" bestFit="1" customWidth="1"/>
    <col min="30" max="31" width="12.77734375" style="188" hidden="1" customWidth="1"/>
    <col min="32" max="32" width="11.6640625" style="188" hidden="1" customWidth="1"/>
    <col min="33" max="33" width="12.77734375" style="188" bestFit="1" customWidth="1"/>
    <col min="34" max="34" width="12.77734375" style="188" hidden="1" customWidth="1"/>
    <col min="35" max="36" width="11.6640625" style="188" hidden="1" customWidth="1"/>
    <col min="37" max="37" width="12.77734375" style="188" bestFit="1" customWidth="1"/>
    <col min="38" max="40" width="11.6640625" style="188" hidden="1" customWidth="1"/>
    <col min="41" max="41" width="12.77734375" style="188" bestFit="1" customWidth="1"/>
    <col min="42" max="44" width="11.6640625" style="188" hidden="1" customWidth="1"/>
    <col min="45" max="45" width="12.77734375" style="188" bestFit="1" customWidth="1"/>
    <col min="46" max="48" width="11.6640625" style="188" hidden="1" customWidth="1"/>
    <col min="49" max="49" width="12.77734375" style="188" bestFit="1" customWidth="1"/>
    <col min="50" max="51" width="12.77734375" style="188" hidden="1" customWidth="1"/>
    <col min="52" max="52" width="11.6640625" style="188" hidden="1" customWidth="1"/>
    <col min="53" max="53" width="12.77734375" style="188" bestFit="1" customWidth="1"/>
    <col min="54" max="54" width="12.77734375" style="188" hidden="1" customWidth="1"/>
    <col min="55" max="56" width="11.6640625" style="188" hidden="1" customWidth="1"/>
    <col min="57" max="57" width="12.77734375" style="188" bestFit="1" customWidth="1"/>
    <col min="58" max="60" width="12.77734375" style="188" hidden="1" customWidth="1"/>
    <col min="61" max="61" width="12.77734375" style="188" bestFit="1" customWidth="1"/>
    <col min="62" max="64" width="12.77734375" style="188" hidden="1" customWidth="1"/>
    <col min="65" max="65" width="11.6640625" style="188" bestFit="1" customWidth="1"/>
    <col min="66" max="68" width="12.77734375" style="188" hidden="1" customWidth="1"/>
    <col min="69" max="69" width="11.6640625" style="188" bestFit="1" customWidth="1"/>
    <col min="70" max="70" width="12.77734375" style="188" hidden="1" customWidth="1"/>
    <col min="71" max="71" width="11.6640625" style="188" bestFit="1" customWidth="1"/>
    <col min="72" max="72" width="10.5546875" style="188" hidden="1" customWidth="1"/>
    <col min="73" max="73" width="10.5546875" style="188" bestFit="1" customWidth="1"/>
    <col min="74" max="74" width="12.77734375" style="188" hidden="1" customWidth="1"/>
    <col min="75" max="75" width="10.5546875" style="188" bestFit="1" customWidth="1"/>
    <col min="76" max="76" width="12.77734375" style="188" hidden="1" customWidth="1"/>
    <col min="77" max="77" width="10.5546875" style="188" bestFit="1" customWidth="1"/>
    <col min="78" max="78" width="10.5546875" style="188" hidden="1" customWidth="1"/>
    <col min="79" max="81" width="10.5546875" style="188" bestFit="1" customWidth="1"/>
    <col min="82" max="82" width="9.5546875" style="188" hidden="1" customWidth="1"/>
    <col min="83" max="16384" width="8.88671875" style="188"/>
  </cols>
  <sheetData>
    <row r="1" spans="1:82" x14ac:dyDescent="0.25">
      <c r="A1" s="188">
        <v>725</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20020930</v>
      </c>
      <c r="BO1" s="188">
        <v>20020630</v>
      </c>
      <c r="BP1" s="188">
        <v>20020331</v>
      </c>
      <c r="BQ1" s="188">
        <v>20011231</v>
      </c>
      <c r="BR1" s="188">
        <v>20010630</v>
      </c>
      <c r="BS1" s="188">
        <v>20001231</v>
      </c>
      <c r="BT1" s="188">
        <v>20000630</v>
      </c>
      <c r="BU1" s="188">
        <v>19991231</v>
      </c>
      <c r="BV1" s="188">
        <v>19990630</v>
      </c>
      <c r="BW1" s="188">
        <v>19981231</v>
      </c>
      <c r="BX1" s="188">
        <v>19980630</v>
      </c>
      <c r="BY1" s="188">
        <v>19971231</v>
      </c>
      <c r="BZ1" s="188">
        <v>19970630</v>
      </c>
      <c r="CA1" s="188">
        <v>19961231</v>
      </c>
      <c r="CB1" s="188">
        <v>19951231</v>
      </c>
      <c r="CC1" s="188">
        <v>19941231</v>
      </c>
      <c r="CD1" s="188">
        <v>19700101</v>
      </c>
    </row>
    <row r="2" spans="1:82"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c r="BR2" s="188" t="s">
        <v>106</v>
      </c>
      <c r="BS2" s="188" t="s">
        <v>106</v>
      </c>
      <c r="BT2" s="188" t="s">
        <v>106</v>
      </c>
      <c r="BU2" s="188" t="s">
        <v>106</v>
      </c>
      <c r="BV2" s="188" t="s">
        <v>106</v>
      </c>
      <c r="BW2" s="188" t="s">
        <v>106</v>
      </c>
      <c r="BX2" s="188" t="s">
        <v>106</v>
      </c>
      <c r="BY2" s="188" t="s">
        <v>106</v>
      </c>
      <c r="BZ2" s="188" t="s">
        <v>106</v>
      </c>
      <c r="CA2" s="188" t="s">
        <v>106</v>
      </c>
      <c r="CB2" s="188" t="s">
        <v>106</v>
      </c>
      <c r="CC2" s="188" t="s">
        <v>106</v>
      </c>
    </row>
    <row r="3" spans="1:82" x14ac:dyDescent="0.25">
      <c r="A3" s="188" t="s">
        <v>190</v>
      </c>
      <c r="B3" s="188">
        <v>69464413289</v>
      </c>
      <c r="C3" s="188">
        <v>43473904966</v>
      </c>
      <c r="D3" s="188">
        <v>21566813037</v>
      </c>
      <c r="E3" s="188">
        <v>93800479215</v>
      </c>
      <c r="F3" s="188">
        <v>69408356144</v>
      </c>
      <c r="G3" s="188">
        <v>44605027995</v>
      </c>
      <c r="H3" s="188">
        <v>21854974362</v>
      </c>
      <c r="I3" s="188">
        <v>68895658963</v>
      </c>
      <c r="J3" s="188">
        <v>45841905735</v>
      </c>
      <c r="K3" s="188">
        <v>26448310717</v>
      </c>
      <c r="L3" s="188">
        <v>12297738830</v>
      </c>
      <c r="M3" s="188">
        <v>48623732312</v>
      </c>
      <c r="N3" s="188">
        <v>36420446042</v>
      </c>
      <c r="O3" s="188">
        <v>22970848112</v>
      </c>
      <c r="P3" s="188">
        <v>11582854379</v>
      </c>
      <c r="Q3" s="188">
        <v>36816316676</v>
      </c>
      <c r="R3" s="188">
        <v>25288069384</v>
      </c>
      <c r="S3" s="188">
        <v>16113171584</v>
      </c>
      <c r="T3" s="188">
        <v>8091679315</v>
      </c>
      <c r="U3" s="188">
        <v>33774285620</v>
      </c>
      <c r="V3" s="188">
        <v>24773771714</v>
      </c>
      <c r="W3" s="188">
        <v>16254326067</v>
      </c>
      <c r="X3" s="188">
        <v>8058663697</v>
      </c>
      <c r="Y3" s="188">
        <v>25771583386</v>
      </c>
      <c r="Z3" s="188">
        <v>17122908001</v>
      </c>
      <c r="AA3" s="188">
        <v>9608882013</v>
      </c>
      <c r="AB3" s="188">
        <v>4147641280</v>
      </c>
      <c r="AC3" s="188">
        <v>12741413562</v>
      </c>
      <c r="AD3" s="188">
        <v>8514636554</v>
      </c>
      <c r="AE3" s="188">
        <v>4940033997</v>
      </c>
      <c r="AF3" s="188">
        <v>1969646222</v>
      </c>
      <c r="AG3" s="188">
        <v>8025290848</v>
      </c>
      <c r="AH3" s="188">
        <v>6202063899</v>
      </c>
      <c r="AI3" s="188">
        <v>4186429883</v>
      </c>
      <c r="AJ3" s="188">
        <v>1893639353</v>
      </c>
      <c r="AK3" s="188">
        <v>6249194126</v>
      </c>
      <c r="AL3" s="188">
        <v>4344512321</v>
      </c>
      <c r="AM3" s="188">
        <v>2298113686</v>
      </c>
      <c r="AN3" s="188">
        <v>720895076</v>
      </c>
      <c r="AO3" s="188">
        <v>8334015771</v>
      </c>
      <c r="AP3" s="188">
        <v>7271976208</v>
      </c>
      <c r="AQ3" s="188">
        <v>5505901872</v>
      </c>
      <c r="AR3" s="188">
        <v>2936720597</v>
      </c>
      <c r="AS3" s="188">
        <v>11170448855</v>
      </c>
      <c r="AT3" s="188">
        <v>7926095410</v>
      </c>
      <c r="AU3" s="188">
        <v>4689192282</v>
      </c>
      <c r="AV3" s="188">
        <v>2152839364</v>
      </c>
      <c r="AW3" s="188">
        <v>8815740902</v>
      </c>
      <c r="AX3" s="188">
        <v>6668328084</v>
      </c>
      <c r="AY3" s="188">
        <v>4302700575</v>
      </c>
      <c r="AZ3" s="188">
        <v>2410083527</v>
      </c>
      <c r="BA3" s="188">
        <v>13513900091</v>
      </c>
      <c r="BB3" s="188">
        <v>8558809114</v>
      </c>
      <c r="BC3" s="188">
        <v>4328757729</v>
      </c>
      <c r="BD3" s="188">
        <v>2085606546</v>
      </c>
      <c r="BE3" s="188">
        <v>12463672984</v>
      </c>
      <c r="BF3" s="188">
        <v>9327526917.1700001</v>
      </c>
      <c r="BG3" s="188">
        <v>6244951700.3199997</v>
      </c>
      <c r="BH3" s="188">
        <v>3698571304.2800002</v>
      </c>
      <c r="BI3" s="188">
        <v>11211792419</v>
      </c>
      <c r="BJ3" s="188">
        <v>7654247431.8500004</v>
      </c>
      <c r="BK3" s="188">
        <v>4700411854.9200001</v>
      </c>
      <c r="BL3" s="188">
        <v>2254404459.0799999</v>
      </c>
      <c r="BM3" s="188">
        <v>4790591366</v>
      </c>
      <c r="BN3" s="188">
        <v>3424548162.7800002</v>
      </c>
      <c r="BO3" s="188">
        <v>2015230626.28</v>
      </c>
      <c r="BP3" s="188">
        <v>1040584515.71</v>
      </c>
      <c r="BQ3" s="188">
        <v>2671209167</v>
      </c>
      <c r="BR3" s="188">
        <v>1276874933.9200001</v>
      </c>
      <c r="BS3" s="188">
        <v>2236468473</v>
      </c>
      <c r="BT3" s="188">
        <v>993765785</v>
      </c>
      <c r="BU3" s="188">
        <v>737520924</v>
      </c>
      <c r="BV3" s="188">
        <v>200737099.93000001</v>
      </c>
      <c r="BW3" s="188">
        <v>244376000</v>
      </c>
      <c r="BX3" s="188">
        <v>105801107.16</v>
      </c>
      <c r="BY3" s="188">
        <v>275100000</v>
      </c>
      <c r="BZ3" s="188">
        <v>111102000</v>
      </c>
      <c r="CA3" s="188">
        <v>191165000</v>
      </c>
      <c r="CB3" s="188">
        <v>183819000</v>
      </c>
      <c r="CC3" s="188">
        <v>134792000</v>
      </c>
      <c r="CD3" s="188">
        <v>0</v>
      </c>
    </row>
    <row r="4" spans="1:82" x14ac:dyDescent="0.25">
      <c r="A4" s="188" t="s">
        <v>191</v>
      </c>
      <c r="B4" s="188">
        <v>69464413289</v>
      </c>
      <c r="C4" s="188">
        <v>43473904966</v>
      </c>
      <c r="D4" s="188">
        <v>21566813037</v>
      </c>
      <c r="E4" s="188">
        <v>93800479215</v>
      </c>
      <c r="F4" s="188">
        <v>69408356144</v>
      </c>
      <c r="G4" s="188">
        <v>44605027995</v>
      </c>
      <c r="H4" s="188">
        <v>21854974362</v>
      </c>
      <c r="I4" s="188">
        <v>68895658963</v>
      </c>
      <c r="J4" s="188">
        <v>45841905735</v>
      </c>
      <c r="K4" s="188">
        <v>26448310717</v>
      </c>
      <c r="L4" s="188">
        <v>12297738830</v>
      </c>
      <c r="M4" s="188">
        <v>48623732312</v>
      </c>
      <c r="N4" s="188">
        <v>36420446042</v>
      </c>
      <c r="O4" s="188">
        <v>22970848112</v>
      </c>
      <c r="P4" s="188">
        <v>11582854379</v>
      </c>
      <c r="Q4" s="188">
        <v>36816316676</v>
      </c>
      <c r="R4" s="188">
        <v>25288069384</v>
      </c>
      <c r="S4" s="188">
        <v>16113171584</v>
      </c>
      <c r="T4" s="188">
        <v>8091679315</v>
      </c>
      <c r="U4" s="188">
        <v>33774285620</v>
      </c>
      <c r="V4" s="188">
        <v>24773771714</v>
      </c>
      <c r="W4" s="188">
        <v>16254326067</v>
      </c>
      <c r="X4" s="188">
        <v>8058663697</v>
      </c>
      <c r="Y4" s="188">
        <v>25771583386</v>
      </c>
      <c r="Z4" s="188">
        <v>17122908001</v>
      </c>
      <c r="AA4" s="188">
        <v>9608882013</v>
      </c>
      <c r="AB4" s="188">
        <v>4147641280</v>
      </c>
      <c r="AC4" s="188">
        <v>12741413562</v>
      </c>
      <c r="AD4" s="188">
        <v>8514636554</v>
      </c>
      <c r="AE4" s="188">
        <v>4940033997</v>
      </c>
      <c r="AF4" s="188">
        <v>1969646222</v>
      </c>
      <c r="AG4" s="188">
        <v>8025290848</v>
      </c>
      <c r="AH4" s="188">
        <v>6202063899</v>
      </c>
      <c r="AI4" s="188">
        <v>4186429883</v>
      </c>
      <c r="AJ4" s="188">
        <v>1893639353</v>
      </c>
      <c r="AK4" s="188">
        <v>6249194126</v>
      </c>
      <c r="AL4" s="188">
        <v>4344512321</v>
      </c>
      <c r="AM4" s="188">
        <v>2298113686</v>
      </c>
      <c r="AN4" s="188">
        <v>720895076</v>
      </c>
      <c r="AO4" s="188">
        <v>8334015771</v>
      </c>
      <c r="AP4" s="188">
        <v>7271976208</v>
      </c>
      <c r="AQ4" s="188">
        <v>5505901872</v>
      </c>
      <c r="AR4" s="188">
        <v>2936720597</v>
      </c>
      <c r="AS4" s="188">
        <v>11170448855</v>
      </c>
      <c r="AT4" s="188">
        <v>7926095410</v>
      </c>
      <c r="AU4" s="188">
        <v>4689192282</v>
      </c>
      <c r="AV4" s="188">
        <v>2152839364</v>
      </c>
      <c r="AW4" s="188">
        <v>8781394325</v>
      </c>
      <c r="AX4" s="188">
        <v>6660072468</v>
      </c>
      <c r="AY4" s="188">
        <v>4291008928</v>
      </c>
      <c r="AZ4" s="188">
        <v>2404770586</v>
      </c>
      <c r="BA4" s="188">
        <v>13461793093</v>
      </c>
      <c r="BB4" s="188">
        <v>8547810470</v>
      </c>
      <c r="BC4" s="188">
        <v>4321710751</v>
      </c>
      <c r="BD4" s="188">
        <v>2081864602</v>
      </c>
      <c r="BE4" s="188">
        <v>12441707566</v>
      </c>
      <c r="BF4" s="188">
        <v>9310845738</v>
      </c>
      <c r="BG4" s="188">
        <v>6234212244.3900003</v>
      </c>
      <c r="BH4" s="188">
        <v>3694043772.3099999</v>
      </c>
      <c r="BI4" s="188">
        <v>11180106328</v>
      </c>
      <c r="BJ4" s="188">
        <v>7650456631.9200001</v>
      </c>
      <c r="BK4" s="188">
        <v>4697949372.4700003</v>
      </c>
      <c r="BL4" s="188">
        <v>2253527850.46</v>
      </c>
      <c r="BM4" s="188">
        <v>4782587489</v>
      </c>
      <c r="BN4" s="188">
        <v>3419585621.9699998</v>
      </c>
      <c r="BO4" s="188">
        <v>2012328199.5899999</v>
      </c>
      <c r="BP4" s="188">
        <v>1039368764.79</v>
      </c>
      <c r="BQ4" s="188">
        <v>2669543128</v>
      </c>
      <c r="BR4" s="188">
        <v>1276281504.5799999</v>
      </c>
      <c r="BS4" s="188">
        <v>2234822478</v>
      </c>
      <c r="BT4" s="188">
        <v>993215204</v>
      </c>
      <c r="BU4" s="188">
        <v>741886971</v>
      </c>
      <c r="BV4" s="188">
        <v>200737099.93000001</v>
      </c>
      <c r="BW4" s="188">
        <v>237497000</v>
      </c>
      <c r="BX4" s="188">
        <v>105801107.16</v>
      </c>
      <c r="BY4" s="188">
        <v>275100000</v>
      </c>
      <c r="BZ4" s="188">
        <v>111102000</v>
      </c>
      <c r="CA4" s="188">
        <v>191165000</v>
      </c>
      <c r="CB4" s="188">
        <v>183819000</v>
      </c>
      <c r="CC4" s="188">
        <v>134792000</v>
      </c>
      <c r="CD4" s="188">
        <v>0</v>
      </c>
    </row>
    <row r="5" spans="1:82" x14ac:dyDescent="0.25">
      <c r="A5" s="188" t="s">
        <v>192</v>
      </c>
      <c r="B5" s="188">
        <v>68169468906</v>
      </c>
      <c r="C5" s="188">
        <v>42145156667</v>
      </c>
      <c r="D5" s="188">
        <v>20263550173</v>
      </c>
      <c r="E5" s="188">
        <v>85006877794</v>
      </c>
      <c r="F5" s="188">
        <v>61820017178</v>
      </c>
      <c r="G5" s="188">
        <v>39394749331</v>
      </c>
      <c r="H5" s="188">
        <v>18908353214</v>
      </c>
      <c r="I5" s="188">
        <v>68541371047</v>
      </c>
      <c r="J5" s="188">
        <v>47615377413</v>
      </c>
      <c r="K5" s="188">
        <v>28837030184</v>
      </c>
      <c r="L5" s="188">
        <v>13650818155</v>
      </c>
      <c r="M5" s="188">
        <v>47857219299</v>
      </c>
      <c r="N5" s="188">
        <v>34709856746</v>
      </c>
      <c r="O5" s="188">
        <v>21082716877</v>
      </c>
      <c r="P5" s="188">
        <v>10515842490</v>
      </c>
      <c r="Q5" s="188">
        <v>34522138338</v>
      </c>
      <c r="R5" s="188">
        <v>23690820962</v>
      </c>
      <c r="S5" s="188">
        <v>15340525002</v>
      </c>
      <c r="T5" s="188">
        <v>7763093362</v>
      </c>
      <c r="U5" s="188">
        <v>31524042053</v>
      </c>
      <c r="V5" s="188">
        <v>23104417159</v>
      </c>
      <c r="W5" s="188">
        <v>15206525353</v>
      </c>
      <c r="X5" s="188">
        <v>7737412570</v>
      </c>
      <c r="Y5" s="188">
        <v>26490282999</v>
      </c>
      <c r="Z5" s="188">
        <v>18419906584</v>
      </c>
      <c r="AA5" s="188">
        <v>10831568433</v>
      </c>
      <c r="AB5" s="188">
        <v>4914498673</v>
      </c>
      <c r="AC5" s="188">
        <v>17121188642</v>
      </c>
      <c r="AD5" s="188">
        <v>10928202542</v>
      </c>
      <c r="AE5" s="188">
        <v>6326899814</v>
      </c>
      <c r="AF5" s="188">
        <v>2719468666</v>
      </c>
      <c r="AG5" s="188">
        <v>10410027361</v>
      </c>
      <c r="AH5" s="188">
        <v>7383372275</v>
      </c>
      <c r="AI5" s="188">
        <v>4819456166</v>
      </c>
      <c r="AJ5" s="188">
        <v>2244330520</v>
      </c>
      <c r="AK5" s="188">
        <v>7438976913</v>
      </c>
      <c r="AL5" s="188">
        <v>5196969341</v>
      </c>
      <c r="AM5" s="188">
        <v>3098935958</v>
      </c>
      <c r="AN5" s="188">
        <v>1226041034</v>
      </c>
      <c r="AO5" s="188">
        <v>9188291489</v>
      </c>
      <c r="AP5" s="188">
        <v>7230491850</v>
      </c>
      <c r="AQ5" s="188">
        <v>4927181923</v>
      </c>
      <c r="AR5" s="188">
        <v>2604137449</v>
      </c>
      <c r="AS5" s="188">
        <v>10447614151</v>
      </c>
      <c r="AT5" s="188">
        <v>7765422454</v>
      </c>
      <c r="AU5" s="188">
        <v>4989243641</v>
      </c>
      <c r="AV5" s="188">
        <v>2563816079</v>
      </c>
      <c r="AW5" s="188">
        <v>11854215676</v>
      </c>
      <c r="AX5" s="188">
        <v>9596509521</v>
      </c>
      <c r="AY5" s="188">
        <v>6254821335</v>
      </c>
      <c r="AZ5" s="188">
        <v>2977189249</v>
      </c>
      <c r="BA5" s="188">
        <v>15110273926</v>
      </c>
      <c r="BB5" s="188">
        <v>9915747033</v>
      </c>
      <c r="BC5" s="188">
        <v>5324055989</v>
      </c>
      <c r="BD5" s="188">
        <v>2557562185</v>
      </c>
      <c r="BE5" s="188">
        <v>12439614562</v>
      </c>
      <c r="BF5" s="188">
        <v>8989900942.4599991</v>
      </c>
      <c r="BG5" s="188">
        <v>5825619969.9200001</v>
      </c>
      <c r="BH5" s="188">
        <v>3448882901.7800002</v>
      </c>
      <c r="BI5" s="188">
        <v>10792374390</v>
      </c>
      <c r="BJ5" s="188">
        <v>7336527426.6199999</v>
      </c>
      <c r="BK5" s="188">
        <v>4520377686.1199999</v>
      </c>
      <c r="BL5" s="188">
        <v>2207528110.6999998</v>
      </c>
      <c r="BM5" s="188">
        <v>4645423304</v>
      </c>
      <c r="BN5" s="188">
        <v>3274846339.7199998</v>
      </c>
      <c r="BO5" s="188">
        <v>1891392166.28</v>
      </c>
      <c r="BP5" s="188">
        <v>974383939.26999998</v>
      </c>
      <c r="BQ5" s="188">
        <v>2549332856</v>
      </c>
      <c r="BR5" s="188">
        <v>1209284601.8</v>
      </c>
      <c r="BS5" s="188">
        <v>2155052184</v>
      </c>
      <c r="BT5" s="188">
        <v>951876136</v>
      </c>
      <c r="BU5" s="188">
        <v>693130273</v>
      </c>
      <c r="BV5" s="188">
        <v>191337858.53</v>
      </c>
      <c r="BW5" s="188">
        <v>215911000</v>
      </c>
      <c r="BX5" s="188">
        <v>87123019.730000004</v>
      </c>
      <c r="BY5" s="188">
        <v>209182000</v>
      </c>
      <c r="BZ5" s="188">
        <v>0</v>
      </c>
      <c r="CA5" s="188">
        <v>180000000</v>
      </c>
      <c r="CB5" s="188">
        <v>181379000</v>
      </c>
      <c r="CC5" s="188">
        <v>133639000</v>
      </c>
      <c r="CD5" s="188">
        <v>0</v>
      </c>
    </row>
    <row r="6" spans="1:82" x14ac:dyDescent="0.25">
      <c r="A6" s="188" t="s">
        <v>193</v>
      </c>
      <c r="B6" s="188">
        <v>56390002852</v>
      </c>
      <c r="C6" s="188">
        <v>35144582131</v>
      </c>
      <c r="D6" s="188">
        <v>17087543193</v>
      </c>
      <c r="E6" s="188">
        <v>70282477585</v>
      </c>
      <c r="F6" s="188">
        <v>51275396814</v>
      </c>
      <c r="G6" s="188">
        <v>32235266589</v>
      </c>
      <c r="H6" s="188">
        <v>15597540474</v>
      </c>
      <c r="I6" s="188">
        <v>56585696091</v>
      </c>
      <c r="J6" s="188">
        <v>39817142861</v>
      </c>
      <c r="K6" s="188">
        <v>23987091158</v>
      </c>
      <c r="L6" s="188">
        <v>11522931968</v>
      </c>
      <c r="M6" s="188">
        <v>38755090666</v>
      </c>
      <c r="N6" s="188">
        <v>28386284793</v>
      </c>
      <c r="O6" s="188">
        <v>17509610448</v>
      </c>
      <c r="P6" s="188">
        <v>8699864739</v>
      </c>
      <c r="Q6" s="188">
        <v>28504880729</v>
      </c>
      <c r="R6" s="188">
        <v>19643200578</v>
      </c>
      <c r="S6" s="188">
        <v>12630118473</v>
      </c>
      <c r="T6" s="188">
        <v>6483118788</v>
      </c>
      <c r="U6" s="188">
        <v>25703823432</v>
      </c>
      <c r="V6" s="188">
        <v>18776181716</v>
      </c>
      <c r="W6" s="188">
        <v>12461334555</v>
      </c>
      <c r="X6" s="188">
        <v>6359705018</v>
      </c>
      <c r="Y6" s="188">
        <v>22790332463</v>
      </c>
      <c r="Z6" s="188">
        <v>16258480034</v>
      </c>
      <c r="AA6" s="188">
        <v>9502396703</v>
      </c>
      <c r="AB6" s="188">
        <v>4187777170</v>
      </c>
      <c r="AC6" s="188">
        <v>13441228862</v>
      </c>
      <c r="AD6" s="188">
        <v>9278104413</v>
      </c>
      <c r="AE6" s="188">
        <v>5344717781</v>
      </c>
      <c r="AF6" s="188">
        <v>2225369739</v>
      </c>
      <c r="AG6" s="188">
        <v>8288153030</v>
      </c>
      <c r="AH6" s="188">
        <v>6250732367</v>
      </c>
      <c r="AI6" s="188">
        <v>4125238491</v>
      </c>
      <c r="AJ6" s="188">
        <v>1879557273</v>
      </c>
      <c r="AK6" s="188">
        <v>6276649382</v>
      </c>
      <c r="AL6" s="188">
        <v>4483096549</v>
      </c>
      <c r="AM6" s="188">
        <v>2596443022</v>
      </c>
      <c r="AN6" s="188">
        <v>864438099</v>
      </c>
      <c r="AO6" s="188">
        <v>7681521839</v>
      </c>
      <c r="AP6" s="188">
        <v>6334419307</v>
      </c>
      <c r="AQ6" s="188">
        <v>4461221959</v>
      </c>
      <c r="AR6" s="188">
        <v>2340069636</v>
      </c>
      <c r="AS6" s="188">
        <v>9263870340</v>
      </c>
      <c r="AT6" s="188">
        <v>7055169892</v>
      </c>
      <c r="AU6" s="188">
        <v>4559930634</v>
      </c>
      <c r="AV6" s="188">
        <v>2298574208</v>
      </c>
      <c r="AW6" s="188">
        <v>9958263062</v>
      </c>
      <c r="AX6" s="188">
        <v>7987072496</v>
      </c>
      <c r="AY6" s="188">
        <v>5046171459</v>
      </c>
      <c r="AZ6" s="188">
        <v>2562019366</v>
      </c>
      <c r="BA6" s="188">
        <v>13250486579</v>
      </c>
      <c r="BB6" s="188">
        <v>8754813390</v>
      </c>
      <c r="BC6" s="188">
        <v>4592833526</v>
      </c>
      <c r="BD6" s="188">
        <v>2296752692</v>
      </c>
      <c r="BE6" s="188">
        <v>11151104716</v>
      </c>
      <c r="BF6" s="188">
        <v>8095466503.5600004</v>
      </c>
      <c r="BG6" s="188">
        <v>5164393136.5600004</v>
      </c>
      <c r="BH6" s="188">
        <v>3158979241.0700002</v>
      </c>
      <c r="BI6" s="188">
        <v>9445961407</v>
      </c>
      <c r="BJ6" s="188">
        <v>6456890472.2799997</v>
      </c>
      <c r="BK6" s="188">
        <v>3928513999.0300002</v>
      </c>
      <c r="BL6" s="188">
        <v>1876042908.7</v>
      </c>
      <c r="BM6" s="188">
        <v>4141952515</v>
      </c>
      <c r="BN6" s="188">
        <v>2916862326.29</v>
      </c>
      <c r="BO6" s="188">
        <v>1700945401.3199999</v>
      </c>
      <c r="BP6" s="188">
        <v>873828706.37</v>
      </c>
      <c r="BQ6" s="188">
        <v>2343508878</v>
      </c>
      <c r="BR6" s="188">
        <v>1111152298.53</v>
      </c>
      <c r="BS6" s="188">
        <v>1972761161</v>
      </c>
      <c r="BT6" s="188">
        <v>878889537</v>
      </c>
      <c r="BU6" s="188">
        <v>597255179</v>
      </c>
      <c r="BV6" s="188">
        <v>148145536.46000001</v>
      </c>
      <c r="BW6" s="188">
        <v>180067000</v>
      </c>
      <c r="BX6" s="188">
        <v>76726659.079999998</v>
      </c>
      <c r="BY6" s="188">
        <v>185375000</v>
      </c>
      <c r="BZ6" s="188">
        <v>0</v>
      </c>
      <c r="CA6" s="188">
        <v>124991000</v>
      </c>
      <c r="CB6" s="188">
        <v>125252000</v>
      </c>
      <c r="CC6" s="188">
        <v>96360000</v>
      </c>
      <c r="CD6" s="188">
        <v>0</v>
      </c>
    </row>
    <row r="7" spans="1:82" x14ac:dyDescent="0.25">
      <c r="A7" s="188" t="s">
        <v>194</v>
      </c>
      <c r="B7" s="188">
        <v>502623237</v>
      </c>
      <c r="C7" s="188">
        <v>302565754</v>
      </c>
      <c r="D7" s="188">
        <v>126606726</v>
      </c>
      <c r="E7" s="188">
        <v>708381529</v>
      </c>
      <c r="F7" s="188">
        <v>500036766</v>
      </c>
      <c r="G7" s="188">
        <v>355700992</v>
      </c>
      <c r="H7" s="188">
        <v>164990714</v>
      </c>
      <c r="I7" s="188">
        <v>459263933</v>
      </c>
      <c r="J7" s="188">
        <v>128940793</v>
      </c>
      <c r="K7" s="188">
        <v>92930181</v>
      </c>
      <c r="L7" s="188">
        <v>44346672</v>
      </c>
      <c r="M7" s="188">
        <v>275798416</v>
      </c>
      <c r="N7" s="188">
        <v>170970012</v>
      </c>
      <c r="O7" s="188">
        <v>114336421</v>
      </c>
      <c r="P7" s="188">
        <v>37064077</v>
      </c>
      <c r="Q7" s="188">
        <v>118087384</v>
      </c>
      <c r="R7" s="188">
        <v>70514559</v>
      </c>
      <c r="S7" s="188">
        <v>37970365</v>
      </c>
      <c r="T7" s="188">
        <v>11732346</v>
      </c>
      <c r="U7" s="188">
        <v>183485959</v>
      </c>
      <c r="V7" s="188">
        <v>93873199</v>
      </c>
      <c r="W7" s="188">
        <v>65939290</v>
      </c>
      <c r="X7" s="188">
        <v>16345710</v>
      </c>
      <c r="Y7" s="188">
        <v>93799557</v>
      </c>
      <c r="Z7" s="188">
        <v>23800903</v>
      </c>
      <c r="AA7" s="188">
        <v>15264131</v>
      </c>
      <c r="AB7" s="188">
        <v>7702861</v>
      </c>
      <c r="AC7" s="188">
        <v>29565342</v>
      </c>
      <c r="AD7" s="188">
        <v>17587636</v>
      </c>
      <c r="AE7" s="188">
        <v>10971045</v>
      </c>
      <c r="AF7" s="188">
        <v>4430424</v>
      </c>
      <c r="AG7" s="188">
        <v>20192402</v>
      </c>
      <c r="AH7" s="188">
        <v>13582943</v>
      </c>
      <c r="AI7" s="188">
        <v>9167917</v>
      </c>
      <c r="AJ7" s="188">
        <v>4100445</v>
      </c>
      <c r="AK7" s="188">
        <v>16062625</v>
      </c>
      <c r="AL7" s="188">
        <v>11942628</v>
      </c>
      <c r="AM7" s="188">
        <v>7330781</v>
      </c>
      <c r="AN7" s="188">
        <v>3704183</v>
      </c>
      <c r="AO7" s="188">
        <v>27616539</v>
      </c>
      <c r="AP7" s="188">
        <v>15954118</v>
      </c>
      <c r="AQ7" s="188">
        <v>11330331</v>
      </c>
      <c r="AR7" s="188">
        <v>7065669</v>
      </c>
      <c r="AS7" s="188">
        <v>16445071</v>
      </c>
      <c r="AT7" s="188">
        <v>7966100</v>
      </c>
      <c r="AU7" s="188">
        <v>5278833</v>
      </c>
      <c r="AV7" s="188">
        <v>2514506</v>
      </c>
      <c r="AW7" s="188">
        <v>11427851</v>
      </c>
      <c r="AX7" s="188">
        <v>6922451</v>
      </c>
      <c r="AY7" s="188">
        <v>4643460</v>
      </c>
      <c r="AZ7" s="188">
        <v>2083310</v>
      </c>
      <c r="BA7" s="188">
        <v>12080073</v>
      </c>
      <c r="BB7" s="188">
        <v>6293803</v>
      </c>
      <c r="BC7" s="188">
        <v>3932284</v>
      </c>
      <c r="BD7" s="188">
        <v>2211347</v>
      </c>
      <c r="BE7" s="188">
        <v>6735003</v>
      </c>
      <c r="BF7" s="188">
        <v>4852424.3600000003</v>
      </c>
      <c r="BG7" s="188">
        <v>3122219.34</v>
      </c>
      <c r="BH7" s="188">
        <v>1365231.55</v>
      </c>
      <c r="BI7" s="188">
        <v>3179080</v>
      </c>
      <c r="BJ7" s="188">
        <v>2981773.4</v>
      </c>
      <c r="BK7" s="188">
        <v>1850101.33</v>
      </c>
      <c r="BL7" s="188">
        <v>1129045.3999999999</v>
      </c>
      <c r="BM7" s="188">
        <v>5083711</v>
      </c>
      <c r="BN7" s="188">
        <v>3695711.98</v>
      </c>
      <c r="BO7" s="188">
        <v>2476144.21</v>
      </c>
      <c r="BP7" s="188">
        <v>1388557.82</v>
      </c>
      <c r="BQ7" s="188">
        <v>5628198</v>
      </c>
      <c r="BR7" s="188">
        <v>1963435.25</v>
      </c>
      <c r="BS7" s="188">
        <v>3849421</v>
      </c>
      <c r="BT7" s="188">
        <v>1497757</v>
      </c>
      <c r="BU7" s="188">
        <v>3043816</v>
      </c>
      <c r="BV7" s="188">
        <v>1671132.22</v>
      </c>
      <c r="BW7" s="188">
        <v>925000</v>
      </c>
      <c r="BX7" s="188">
        <v>913812.65</v>
      </c>
      <c r="BY7" s="188">
        <v>2505000</v>
      </c>
      <c r="BZ7" s="188">
        <v>0</v>
      </c>
      <c r="CA7" s="188">
        <v>1126000</v>
      </c>
      <c r="CB7" s="188">
        <v>907000</v>
      </c>
      <c r="CC7" s="188">
        <v>859000</v>
      </c>
      <c r="CD7" s="188">
        <v>0</v>
      </c>
    </row>
    <row r="8" spans="1:82" x14ac:dyDescent="0.25">
      <c r="A8" s="188" t="s">
        <v>195</v>
      </c>
      <c r="B8" s="188">
        <v>2046342664</v>
      </c>
      <c r="C8" s="188">
        <v>1294782594</v>
      </c>
      <c r="D8" s="188">
        <v>645056446</v>
      </c>
      <c r="E8" s="188">
        <v>2591925798</v>
      </c>
      <c r="F8" s="188">
        <v>1988692991</v>
      </c>
      <c r="G8" s="188">
        <v>1228560863</v>
      </c>
      <c r="H8" s="188">
        <v>692246016</v>
      </c>
      <c r="I8" s="188">
        <v>1984361921</v>
      </c>
      <c r="J8" s="188">
        <v>1172795371</v>
      </c>
      <c r="K8" s="188">
        <v>696216454</v>
      </c>
      <c r="L8" s="188">
        <v>311709165</v>
      </c>
      <c r="M8" s="188">
        <v>1290038686</v>
      </c>
      <c r="N8" s="188">
        <v>909331602</v>
      </c>
      <c r="O8" s="188">
        <v>532688703</v>
      </c>
      <c r="P8" s="188">
        <v>292575878</v>
      </c>
      <c r="Q8" s="188">
        <v>998114416</v>
      </c>
      <c r="R8" s="188">
        <v>746885192</v>
      </c>
      <c r="S8" s="188">
        <v>481663833</v>
      </c>
      <c r="T8" s="188">
        <v>236028598</v>
      </c>
      <c r="U8" s="188">
        <v>1044684152</v>
      </c>
      <c r="V8" s="188">
        <v>829423848</v>
      </c>
      <c r="W8" s="188">
        <v>516250043</v>
      </c>
      <c r="X8" s="188">
        <v>276288031</v>
      </c>
      <c r="Y8" s="188">
        <v>651287241</v>
      </c>
      <c r="Z8" s="188">
        <v>421173934</v>
      </c>
      <c r="AA8" s="188">
        <v>254457109</v>
      </c>
      <c r="AB8" s="188">
        <v>122244706</v>
      </c>
      <c r="AC8" s="188">
        <v>439290894</v>
      </c>
      <c r="AD8" s="188">
        <v>272911852</v>
      </c>
      <c r="AE8" s="188">
        <v>169760957</v>
      </c>
      <c r="AF8" s="188">
        <v>71767816</v>
      </c>
      <c r="AG8" s="188">
        <v>201473551</v>
      </c>
      <c r="AH8" s="188">
        <v>151517241</v>
      </c>
      <c r="AI8" s="188">
        <v>96902691</v>
      </c>
      <c r="AJ8" s="188">
        <v>43182256</v>
      </c>
      <c r="AK8" s="188">
        <v>121024350</v>
      </c>
      <c r="AL8" s="188">
        <v>80638895</v>
      </c>
      <c r="AM8" s="188">
        <v>48281242</v>
      </c>
      <c r="AN8" s="188">
        <v>21607257</v>
      </c>
      <c r="AO8" s="188">
        <v>160568845</v>
      </c>
      <c r="AP8" s="188">
        <v>129853731</v>
      </c>
      <c r="AQ8" s="188">
        <v>95740202</v>
      </c>
      <c r="AR8" s="188">
        <v>53506650</v>
      </c>
      <c r="AS8" s="188">
        <v>197845776</v>
      </c>
      <c r="AT8" s="188">
        <v>155033175</v>
      </c>
      <c r="AU8" s="188">
        <v>97019148</v>
      </c>
      <c r="AV8" s="188">
        <v>47143839</v>
      </c>
      <c r="AW8" s="188">
        <v>227074656</v>
      </c>
      <c r="AX8" s="188">
        <v>144323834</v>
      </c>
      <c r="AY8" s="188">
        <v>104038629</v>
      </c>
      <c r="AZ8" s="188">
        <v>49357203</v>
      </c>
      <c r="BA8" s="188">
        <v>322747515</v>
      </c>
      <c r="BB8" s="188">
        <v>194137207</v>
      </c>
      <c r="BC8" s="188">
        <v>136715718</v>
      </c>
      <c r="BD8" s="188">
        <v>46121350</v>
      </c>
      <c r="BE8" s="188">
        <v>315449047</v>
      </c>
      <c r="BF8" s="188">
        <v>165680117.30000001</v>
      </c>
      <c r="BG8" s="188">
        <v>128361654.23999999</v>
      </c>
      <c r="BH8" s="188">
        <v>59623674.009999998</v>
      </c>
      <c r="BI8" s="188">
        <v>288021247</v>
      </c>
      <c r="BJ8" s="188">
        <v>207509814.50999999</v>
      </c>
      <c r="BK8" s="188">
        <v>131500096.73</v>
      </c>
      <c r="BL8" s="188">
        <v>50078162.030000001</v>
      </c>
      <c r="BM8" s="188">
        <v>160302381</v>
      </c>
      <c r="BN8" s="188">
        <v>110090703.59999999</v>
      </c>
      <c r="BO8" s="188">
        <v>68635490.280000001</v>
      </c>
      <c r="BP8" s="188">
        <v>28636270.23</v>
      </c>
      <c r="BQ8" s="188">
        <v>72966442</v>
      </c>
      <c r="BR8" s="188">
        <v>43138137.799999997</v>
      </c>
      <c r="BS8" s="188">
        <v>65355965</v>
      </c>
      <c r="BT8" s="188">
        <v>27656135</v>
      </c>
      <c r="BU8" s="188">
        <v>12341138</v>
      </c>
      <c r="BV8" s="188">
        <v>5990075.5300000003</v>
      </c>
      <c r="BW8" s="188">
        <v>5175000</v>
      </c>
      <c r="BX8" s="188">
        <v>1744189.72</v>
      </c>
      <c r="BY8" s="188">
        <v>4079000</v>
      </c>
      <c r="BZ8" s="188">
        <v>0</v>
      </c>
      <c r="CA8" s="188">
        <v>4082000</v>
      </c>
      <c r="CB8" s="188">
        <v>3669000</v>
      </c>
      <c r="CC8" s="188">
        <v>2900000</v>
      </c>
      <c r="CD8" s="188">
        <v>0</v>
      </c>
    </row>
    <row r="9" spans="1:82" x14ac:dyDescent="0.25">
      <c r="A9" s="188" t="s">
        <v>196</v>
      </c>
      <c r="B9" s="188">
        <v>3615086182</v>
      </c>
      <c r="C9" s="188">
        <v>3743903273</v>
      </c>
      <c r="D9" s="188">
        <v>1810493873</v>
      </c>
      <c r="E9" s="188">
        <v>7246543340</v>
      </c>
      <c r="F9" s="188">
        <v>4885486924</v>
      </c>
      <c r="G9" s="188">
        <v>3052661575</v>
      </c>
      <c r="H9" s="188">
        <v>1502882338</v>
      </c>
      <c r="I9" s="188">
        <v>5618443652</v>
      </c>
      <c r="J9" s="188">
        <v>3877791881</v>
      </c>
      <c r="K9" s="188">
        <v>2311090435</v>
      </c>
      <c r="L9" s="188">
        <v>1197906250</v>
      </c>
      <c r="M9" s="188">
        <v>4675778199</v>
      </c>
      <c r="N9" s="188">
        <v>3512957536</v>
      </c>
      <c r="O9" s="188">
        <v>2252419046</v>
      </c>
      <c r="P9" s="188">
        <v>1125646463</v>
      </c>
      <c r="Q9" s="188">
        <v>3876636817</v>
      </c>
      <c r="R9" s="188">
        <v>2632839349</v>
      </c>
      <c r="S9" s="188">
        <v>1698855995</v>
      </c>
      <c r="T9" s="188">
        <v>774557649</v>
      </c>
      <c r="U9" s="188">
        <v>3276324892</v>
      </c>
      <c r="V9" s="188">
        <v>2240233597</v>
      </c>
      <c r="W9" s="188">
        <v>1449893803</v>
      </c>
      <c r="X9" s="188">
        <v>683539722</v>
      </c>
      <c r="Y9" s="188">
        <v>2224171078</v>
      </c>
      <c r="Z9" s="188">
        <v>1509435881</v>
      </c>
      <c r="AA9" s="188">
        <v>950037835</v>
      </c>
      <c r="AB9" s="188">
        <v>469276557</v>
      </c>
      <c r="AC9" s="188">
        <v>1800963588</v>
      </c>
      <c r="AD9" s="188">
        <v>1181463915</v>
      </c>
      <c r="AE9" s="188">
        <v>817952938</v>
      </c>
      <c r="AF9" s="188">
        <v>465049868</v>
      </c>
      <c r="AG9" s="188">
        <v>1458739829</v>
      </c>
      <c r="AH9" s="188">
        <v>917230556</v>
      </c>
      <c r="AI9" s="188">
        <v>529994057</v>
      </c>
      <c r="AJ9" s="188">
        <v>253948969</v>
      </c>
      <c r="AK9" s="188">
        <v>873064864</v>
      </c>
      <c r="AL9" s="188">
        <v>678440756</v>
      </c>
      <c r="AM9" s="188">
        <v>519834580</v>
      </c>
      <c r="AN9" s="188">
        <v>346168324</v>
      </c>
      <c r="AO9" s="188">
        <v>814893919</v>
      </c>
      <c r="AP9" s="188">
        <v>512388390</v>
      </c>
      <c r="AQ9" s="188">
        <v>343636500</v>
      </c>
      <c r="AR9" s="188">
        <v>170400163</v>
      </c>
      <c r="AS9" s="188">
        <v>559821122</v>
      </c>
      <c r="AT9" s="188">
        <v>346709887</v>
      </c>
      <c r="AU9" s="188">
        <v>222899365</v>
      </c>
      <c r="AV9" s="188">
        <v>123429748</v>
      </c>
      <c r="AW9" s="188">
        <v>1033154825</v>
      </c>
      <c r="AX9" s="188">
        <v>913729278</v>
      </c>
      <c r="AY9" s="188">
        <v>753656800</v>
      </c>
      <c r="AZ9" s="188">
        <v>247626532</v>
      </c>
      <c r="BA9" s="188">
        <v>1063188303</v>
      </c>
      <c r="BB9" s="188">
        <v>686269241</v>
      </c>
      <c r="BC9" s="188">
        <v>419849719</v>
      </c>
      <c r="BD9" s="188">
        <v>163677555</v>
      </c>
      <c r="BE9" s="188">
        <v>952426798</v>
      </c>
      <c r="BF9" s="188">
        <v>660987814.63999999</v>
      </c>
      <c r="BG9" s="188">
        <v>493425750.63999999</v>
      </c>
      <c r="BH9" s="188">
        <v>207663216.22</v>
      </c>
      <c r="BI9" s="188">
        <v>792860866</v>
      </c>
      <c r="BJ9" s="188">
        <v>490308910.43000001</v>
      </c>
      <c r="BK9" s="188">
        <v>304038688.27999997</v>
      </c>
      <c r="BL9" s="188">
        <v>129116278.90000001</v>
      </c>
      <c r="BM9" s="188">
        <v>272542389</v>
      </c>
      <c r="BN9" s="188">
        <v>185740915.27000001</v>
      </c>
      <c r="BO9" s="188">
        <v>87496595.129999995</v>
      </c>
      <c r="BP9" s="188">
        <v>54918136.380000003</v>
      </c>
      <c r="BQ9" s="188">
        <v>106699811</v>
      </c>
      <c r="BR9" s="188">
        <v>44333713.030000001</v>
      </c>
      <c r="BS9" s="188">
        <v>87894282</v>
      </c>
      <c r="BT9" s="188">
        <v>33845084</v>
      </c>
      <c r="BU9" s="188">
        <v>67191857</v>
      </c>
      <c r="BV9" s="188">
        <v>29194987.050000001</v>
      </c>
      <c r="BW9" s="188">
        <v>30728000</v>
      </c>
      <c r="BX9" s="188">
        <v>11184765.08</v>
      </c>
      <c r="BY9" s="188">
        <v>26634000</v>
      </c>
      <c r="BZ9" s="188">
        <v>0</v>
      </c>
      <c r="CA9" s="188">
        <v>34475000</v>
      </c>
      <c r="CB9" s="188">
        <v>40570000</v>
      </c>
      <c r="CC9" s="188">
        <v>22818000</v>
      </c>
      <c r="CD9" s="188">
        <v>0</v>
      </c>
    </row>
    <row r="10" spans="1:82" x14ac:dyDescent="0.25">
      <c r="A10" s="188" t="s">
        <v>197</v>
      </c>
      <c r="B10" s="188">
        <v>2242661339</v>
      </c>
      <c r="C10" s="188">
        <v>1201173655</v>
      </c>
      <c r="D10" s="188">
        <v>374634713</v>
      </c>
      <c r="E10" s="188">
        <v>1948024860</v>
      </c>
      <c r="F10" s="188">
        <v>1413361041</v>
      </c>
      <c r="G10" s="188">
        <v>1099113182</v>
      </c>
      <c r="H10" s="188">
        <v>478912917</v>
      </c>
      <c r="I10" s="188">
        <v>2299116897</v>
      </c>
      <c r="J10" s="188">
        <v>1840072506</v>
      </c>
      <c r="K10" s="188">
        <v>1234879010</v>
      </c>
      <c r="L10" s="188">
        <v>370574464</v>
      </c>
      <c r="M10" s="188">
        <v>1496013180</v>
      </c>
      <c r="N10" s="188">
        <v>1049846691</v>
      </c>
      <c r="O10" s="188">
        <v>176341089</v>
      </c>
      <c r="P10" s="188">
        <v>171609882</v>
      </c>
      <c r="Q10" s="188">
        <v>-187352947</v>
      </c>
      <c r="R10" s="188">
        <v>-48134640</v>
      </c>
      <c r="S10" s="188">
        <v>106739572</v>
      </c>
      <c r="T10" s="188">
        <v>184859104</v>
      </c>
      <c r="U10" s="188">
        <v>401926117</v>
      </c>
      <c r="V10" s="188">
        <v>400438707</v>
      </c>
      <c r="W10" s="188">
        <v>193412657</v>
      </c>
      <c r="X10" s="188">
        <v>139484024</v>
      </c>
      <c r="Y10" s="188">
        <v>291893218</v>
      </c>
      <c r="Z10" s="188">
        <v>297153768</v>
      </c>
      <c r="AA10" s="188">
        <v>121301724</v>
      </c>
      <c r="AB10" s="188">
        <v>-43866488</v>
      </c>
      <c r="AC10" s="188">
        <v>29682149</v>
      </c>
      <c r="AD10" s="188">
        <v>49227494</v>
      </c>
      <c r="AE10" s="188">
        <v>-75281816</v>
      </c>
      <c r="AF10" s="188">
        <v>-96207662</v>
      </c>
      <c r="AG10" s="188">
        <v>-13163261</v>
      </c>
      <c r="AH10" s="188">
        <v>15039747</v>
      </c>
      <c r="AI10" s="188">
        <v>31624579</v>
      </c>
      <c r="AJ10" s="188">
        <v>-3037574</v>
      </c>
      <c r="AK10" s="188">
        <v>62975389</v>
      </c>
      <c r="AL10" s="188">
        <v>93834957</v>
      </c>
      <c r="AM10" s="188">
        <v>63283810</v>
      </c>
      <c r="AN10" s="188">
        <v>26282532</v>
      </c>
      <c r="AO10" s="188">
        <v>191186036</v>
      </c>
      <c r="AP10" s="188">
        <v>50125807</v>
      </c>
      <c r="AQ10" s="188">
        <v>12684533</v>
      </c>
      <c r="AR10" s="188">
        <v>34013184</v>
      </c>
      <c r="AS10" s="188">
        <v>289848468</v>
      </c>
      <c r="AT10" s="188">
        <v>259368386</v>
      </c>
      <c r="AU10" s="188">
        <v>169596463</v>
      </c>
      <c r="AV10" s="188">
        <v>109413896</v>
      </c>
      <c r="AW10" s="188">
        <v>624295282</v>
      </c>
      <c r="AX10" s="188">
        <v>544461462</v>
      </c>
      <c r="AY10" s="188">
        <v>346310987</v>
      </c>
      <c r="AZ10" s="188">
        <v>116102838</v>
      </c>
      <c r="BA10" s="188">
        <v>461771456</v>
      </c>
      <c r="BB10" s="188">
        <v>274233392</v>
      </c>
      <c r="BC10" s="188">
        <v>170724742</v>
      </c>
      <c r="BD10" s="188">
        <v>48799241</v>
      </c>
      <c r="BE10" s="188">
        <v>13898998</v>
      </c>
      <c r="BF10" s="188">
        <v>62914082.600000001</v>
      </c>
      <c r="BG10" s="188">
        <v>36317209.140000001</v>
      </c>
      <c r="BH10" s="188">
        <v>21251538.93</v>
      </c>
      <c r="BI10" s="188">
        <v>262351790</v>
      </c>
      <c r="BJ10" s="188">
        <v>178836456</v>
      </c>
      <c r="BK10" s="188">
        <v>154474800.75</v>
      </c>
      <c r="BL10" s="188">
        <v>151161715.66999999</v>
      </c>
      <c r="BM10" s="188">
        <v>65542308</v>
      </c>
      <c r="BN10" s="188">
        <v>58456682.579999998</v>
      </c>
      <c r="BO10" s="188">
        <v>31838535.34</v>
      </c>
      <c r="BP10" s="188">
        <v>15612268.470000001</v>
      </c>
      <c r="BQ10" s="188">
        <v>20529527</v>
      </c>
      <c r="BR10" s="188">
        <v>8697017.1899999995</v>
      </c>
      <c r="BS10" s="188">
        <v>25949262</v>
      </c>
      <c r="BT10" s="188">
        <v>9987623</v>
      </c>
      <c r="BU10" s="188">
        <v>13298283</v>
      </c>
      <c r="BV10" s="188">
        <v>6336127.2699999996</v>
      </c>
      <c r="BW10" s="188">
        <v>-4184000</v>
      </c>
      <c r="BX10" s="188">
        <v>-3446406.8</v>
      </c>
      <c r="BY10" s="188">
        <v>-9411000</v>
      </c>
      <c r="BZ10" s="188">
        <v>0</v>
      </c>
      <c r="CA10" s="188">
        <v>15326000</v>
      </c>
      <c r="CB10" s="188">
        <v>10981000</v>
      </c>
      <c r="CC10" s="188">
        <v>10702000</v>
      </c>
      <c r="CD10" s="188">
        <v>0</v>
      </c>
    </row>
    <row r="11" spans="1:82" x14ac:dyDescent="0.25">
      <c r="A11" s="188" t="s">
        <v>198</v>
      </c>
      <c r="B11" s="188">
        <v>783454658</v>
      </c>
      <c r="C11" s="188">
        <v>458149260</v>
      </c>
      <c r="D11" s="188">
        <v>219215222</v>
      </c>
      <c r="E11" s="188">
        <v>2229524682</v>
      </c>
      <c r="F11" s="188">
        <v>1757042642</v>
      </c>
      <c r="G11" s="188">
        <v>1423446130</v>
      </c>
      <c r="H11" s="188">
        <v>471780755</v>
      </c>
      <c r="I11" s="188">
        <v>1594488553</v>
      </c>
      <c r="J11" s="188">
        <v>778634001</v>
      </c>
      <c r="K11" s="188">
        <v>514822946</v>
      </c>
      <c r="L11" s="188">
        <v>203349636</v>
      </c>
      <c r="M11" s="188">
        <v>1364500152</v>
      </c>
      <c r="N11" s="188">
        <v>680466112</v>
      </c>
      <c r="O11" s="188">
        <v>497321170</v>
      </c>
      <c r="P11" s="188">
        <v>189081451</v>
      </c>
      <c r="Q11" s="188">
        <v>1211771939</v>
      </c>
      <c r="R11" s="188">
        <v>645515924</v>
      </c>
      <c r="S11" s="188">
        <v>385176764</v>
      </c>
      <c r="T11" s="188">
        <v>72796877</v>
      </c>
      <c r="U11" s="188">
        <v>913797501</v>
      </c>
      <c r="V11" s="188">
        <v>764266092</v>
      </c>
      <c r="W11" s="188">
        <v>519695005</v>
      </c>
      <c r="X11" s="188">
        <v>262050065</v>
      </c>
      <c r="Y11" s="188">
        <v>438799442</v>
      </c>
      <c r="Z11" s="188">
        <v>-80813690</v>
      </c>
      <c r="AA11" s="188">
        <v>-11889069</v>
      </c>
      <c r="AB11" s="188">
        <v>171363867</v>
      </c>
      <c r="AC11" s="188">
        <v>1380457807</v>
      </c>
      <c r="AD11" s="188">
        <v>128907232</v>
      </c>
      <c r="AE11" s="188">
        <v>58778909</v>
      </c>
      <c r="AF11" s="188">
        <v>49058481</v>
      </c>
      <c r="AG11" s="188">
        <v>454631810</v>
      </c>
      <c r="AH11" s="188">
        <v>35269421</v>
      </c>
      <c r="AI11" s="188">
        <v>26528431</v>
      </c>
      <c r="AJ11" s="188">
        <v>66579150</v>
      </c>
      <c r="AK11" s="188">
        <v>89200303</v>
      </c>
      <c r="AL11" s="188">
        <v>-150984444</v>
      </c>
      <c r="AM11" s="188">
        <v>-136237477</v>
      </c>
      <c r="AN11" s="188">
        <v>-36159362</v>
      </c>
      <c r="AO11" s="188">
        <v>312504311</v>
      </c>
      <c r="AP11" s="188">
        <v>187750497</v>
      </c>
      <c r="AQ11" s="188">
        <v>2568398</v>
      </c>
      <c r="AR11" s="188">
        <v>-917853</v>
      </c>
      <c r="AS11" s="188">
        <v>119783374</v>
      </c>
      <c r="AT11" s="188">
        <v>-58824986</v>
      </c>
      <c r="AU11" s="188">
        <v>-65480802</v>
      </c>
      <c r="AV11" s="188">
        <v>-17260118</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v>0</v>
      </c>
      <c r="BP11" s="188">
        <v>0</v>
      </c>
      <c r="BQ11" s="188">
        <v>0</v>
      </c>
      <c r="BR11" s="188">
        <v>0</v>
      </c>
      <c r="BS11" s="188">
        <v>-757907</v>
      </c>
      <c r="BT11" s="188">
        <v>0</v>
      </c>
      <c r="BU11" s="188">
        <v>0</v>
      </c>
      <c r="BV11" s="188">
        <v>0</v>
      </c>
      <c r="BW11" s="188">
        <v>3200000</v>
      </c>
      <c r="BX11" s="188">
        <v>0</v>
      </c>
      <c r="BY11" s="188">
        <v>0</v>
      </c>
      <c r="BZ11" s="188">
        <v>0</v>
      </c>
      <c r="CA11" s="188">
        <v>0</v>
      </c>
      <c r="CB11" s="188">
        <v>0</v>
      </c>
      <c r="CC11" s="188">
        <v>0</v>
      </c>
      <c r="CD11" s="188">
        <v>0</v>
      </c>
    </row>
    <row r="12" spans="1:82" x14ac:dyDescent="0.25">
      <c r="A12" s="188" t="s">
        <v>199</v>
      </c>
      <c r="B12" s="188">
        <v>0</v>
      </c>
      <c r="C12" s="188">
        <v>0</v>
      </c>
      <c r="D12" s="188">
        <v>339163</v>
      </c>
      <c r="E12" s="188">
        <v>32048211</v>
      </c>
      <c r="F12" s="188">
        <v>0</v>
      </c>
      <c r="G12" s="188">
        <v>0</v>
      </c>
      <c r="H12" s="188">
        <v>371955</v>
      </c>
      <c r="I12" s="188">
        <v>0</v>
      </c>
      <c r="J12" s="188">
        <v>21846353</v>
      </c>
      <c r="K12" s="188">
        <v>4623937</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-67794013</v>
      </c>
      <c r="AD12" s="188">
        <v>-8670137</v>
      </c>
      <c r="AE12" s="188">
        <v>-8670137</v>
      </c>
      <c r="AF12" s="188">
        <v>-8670137</v>
      </c>
      <c r="AG12" s="188">
        <v>67794013</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v>0</v>
      </c>
      <c r="BM12" s="188">
        <v>0</v>
      </c>
      <c r="BN12" s="188">
        <v>0</v>
      </c>
      <c r="BO12" s="188">
        <v>0</v>
      </c>
      <c r="BP12" s="188">
        <v>0</v>
      </c>
      <c r="BQ12" s="188">
        <v>0</v>
      </c>
      <c r="BR12" s="188">
        <v>0</v>
      </c>
      <c r="BS12" s="188">
        <v>0</v>
      </c>
      <c r="BT12" s="188">
        <v>0</v>
      </c>
      <c r="BU12" s="188">
        <v>0</v>
      </c>
      <c r="BV12" s="188">
        <v>0</v>
      </c>
      <c r="BW12" s="188">
        <v>0</v>
      </c>
      <c r="BX12" s="188">
        <v>0</v>
      </c>
      <c r="BY12" s="188">
        <v>0</v>
      </c>
      <c r="BZ12" s="188">
        <v>0</v>
      </c>
      <c r="CA12" s="188">
        <v>0</v>
      </c>
      <c r="CB12" s="188">
        <v>0</v>
      </c>
      <c r="CC12" s="188">
        <v>0</v>
      </c>
      <c r="CD12" s="188">
        <v>0</v>
      </c>
    </row>
    <row r="13" spans="1:82" x14ac:dyDescent="0.25">
      <c r="A13" s="188" t="s">
        <v>200</v>
      </c>
      <c r="B13" s="188">
        <v>258565775</v>
      </c>
      <c r="C13" s="188">
        <v>166924013</v>
      </c>
      <c r="D13" s="188">
        <v>83598808</v>
      </c>
      <c r="E13" s="188">
        <v>115602683</v>
      </c>
      <c r="F13" s="188">
        <v>61147940</v>
      </c>
      <c r="G13" s="188">
        <v>19162151</v>
      </c>
      <c r="H13" s="188">
        <v>5451144</v>
      </c>
      <c r="I13" s="188">
        <v>151006609</v>
      </c>
      <c r="J13" s="188">
        <v>110942976</v>
      </c>
      <c r="K13" s="188">
        <v>64994322</v>
      </c>
      <c r="L13" s="188">
        <v>27303004</v>
      </c>
      <c r="M13" s="188">
        <v>187191686</v>
      </c>
      <c r="N13" s="188">
        <v>133698468</v>
      </c>
      <c r="O13" s="188">
        <v>64659150</v>
      </c>
      <c r="P13" s="188">
        <v>31384877</v>
      </c>
      <c r="Q13" s="188">
        <v>13447378</v>
      </c>
      <c r="R13" s="188">
        <v>13643650</v>
      </c>
      <c r="S13" s="188">
        <v>6924389</v>
      </c>
      <c r="T13" s="188">
        <v>1374620</v>
      </c>
      <c r="U13" s="188">
        <v>7600526</v>
      </c>
      <c r="V13" s="188">
        <v>2026080</v>
      </c>
      <c r="W13" s="188">
        <v>1624989</v>
      </c>
      <c r="X13" s="188">
        <v>565295</v>
      </c>
      <c r="Y13" s="188">
        <v>-5475255</v>
      </c>
      <c r="Z13" s="188">
        <v>-9324246</v>
      </c>
      <c r="AA13" s="188">
        <v>-3752769</v>
      </c>
      <c r="AB13" s="188">
        <v>-1354925</v>
      </c>
      <c r="AC13" s="188">
        <v>4604475126</v>
      </c>
      <c r="AD13" s="188">
        <v>-352581</v>
      </c>
      <c r="AE13" s="188">
        <v>597349</v>
      </c>
      <c r="AF13" s="188">
        <v>-1283192</v>
      </c>
      <c r="AG13" s="188">
        <v>-3317014</v>
      </c>
      <c r="AH13" s="188">
        <v>4169923</v>
      </c>
      <c r="AI13" s="188">
        <v>5510513</v>
      </c>
      <c r="AJ13" s="188">
        <v>-1957005</v>
      </c>
      <c r="AK13" s="188">
        <v>-115557757</v>
      </c>
      <c r="AL13" s="188">
        <v>-137049817</v>
      </c>
      <c r="AM13" s="188">
        <v>-123767365</v>
      </c>
      <c r="AN13" s="188">
        <v>-14285911</v>
      </c>
      <c r="AO13" s="188">
        <v>-206027654</v>
      </c>
      <c r="AP13" s="188">
        <v>28784091</v>
      </c>
      <c r="AQ13" s="188">
        <v>50906440</v>
      </c>
      <c r="AR13" s="188">
        <v>43814249</v>
      </c>
      <c r="AS13" s="188">
        <v>-128315862</v>
      </c>
      <c r="AT13" s="188">
        <v>262733357</v>
      </c>
      <c r="AU13" s="188">
        <v>221606916</v>
      </c>
      <c r="AV13" s="188">
        <v>217868111</v>
      </c>
      <c r="AW13" s="188">
        <v>157168368</v>
      </c>
      <c r="AX13" s="188">
        <v>138057057</v>
      </c>
      <c r="AY13" s="188">
        <v>87479921</v>
      </c>
      <c r="AZ13" s="188">
        <v>38948566</v>
      </c>
      <c r="BA13" s="188">
        <v>113301589</v>
      </c>
      <c r="BB13" s="188">
        <v>89939587</v>
      </c>
      <c r="BC13" s="188">
        <v>66406176</v>
      </c>
      <c r="BD13" s="188">
        <v>32739923</v>
      </c>
      <c r="BE13" s="188">
        <v>286112046</v>
      </c>
      <c r="BF13" s="188">
        <v>206559792.81999999</v>
      </c>
      <c r="BG13" s="188">
        <v>165179911.53</v>
      </c>
      <c r="BH13" s="188">
        <v>78125625.650000006</v>
      </c>
      <c r="BI13" s="188">
        <v>53204161</v>
      </c>
      <c r="BJ13" s="188">
        <v>4681908.37</v>
      </c>
      <c r="BK13" s="188">
        <v>6034700.5800000001</v>
      </c>
      <c r="BL13" s="188">
        <v>15558077.91</v>
      </c>
      <c r="BM13" s="188">
        <v>65379188</v>
      </c>
      <c r="BN13" s="188">
        <v>39136404.890000001</v>
      </c>
      <c r="BO13" s="188">
        <v>17808258.879999999</v>
      </c>
      <c r="BP13" s="188">
        <v>2808093.15</v>
      </c>
      <c r="BQ13" s="188">
        <v>-15965737</v>
      </c>
      <c r="BR13" s="188">
        <v>10466286.75</v>
      </c>
      <c r="BS13" s="188">
        <v>58008092</v>
      </c>
      <c r="BT13" s="188">
        <v>31267187</v>
      </c>
      <c r="BU13" s="188">
        <v>52262841</v>
      </c>
      <c r="BV13" s="188">
        <v>15953986.210000001</v>
      </c>
      <c r="BW13" s="188">
        <v>40708000</v>
      </c>
      <c r="BX13" s="188">
        <v>19592366.059999999</v>
      </c>
      <c r="BY13" s="188">
        <v>61388000</v>
      </c>
      <c r="BZ13" s="188">
        <v>31066000</v>
      </c>
      <c r="CA13" s="188">
        <v>106110000</v>
      </c>
      <c r="CB13" s="188">
        <v>106170000</v>
      </c>
      <c r="CC13" s="188">
        <v>100099000</v>
      </c>
      <c r="CD13" s="188">
        <v>0</v>
      </c>
    </row>
    <row r="14" spans="1:82" x14ac:dyDescent="0.25">
      <c r="A14" s="188" t="s">
        <v>201</v>
      </c>
      <c r="B14" s="188">
        <v>-31991268</v>
      </c>
      <c r="C14" s="188">
        <v>-29578579</v>
      </c>
      <c r="D14" s="188">
        <v>1295650</v>
      </c>
      <c r="E14" s="188">
        <v>169034</v>
      </c>
      <c r="F14" s="188">
        <v>-9369632</v>
      </c>
      <c r="G14" s="188">
        <v>-13690554</v>
      </c>
      <c r="H14" s="188">
        <v>1524106</v>
      </c>
      <c r="I14" s="188">
        <v>-15121347</v>
      </c>
      <c r="J14" s="188">
        <v>-9868958</v>
      </c>
      <c r="K14" s="188">
        <v>-11180961</v>
      </c>
      <c r="L14" s="188">
        <v>-10380596</v>
      </c>
      <c r="M14" s="188">
        <v>4748739</v>
      </c>
      <c r="N14" s="188">
        <v>13474267</v>
      </c>
      <c r="O14" s="188">
        <v>10557037</v>
      </c>
      <c r="P14" s="188">
        <v>2935706</v>
      </c>
      <c r="Q14" s="188">
        <v>3569978</v>
      </c>
      <c r="R14" s="188">
        <v>5849368</v>
      </c>
      <c r="S14" s="188">
        <v>4390960</v>
      </c>
      <c r="T14" s="188">
        <v>1374620</v>
      </c>
      <c r="U14" s="188">
        <v>87148</v>
      </c>
      <c r="V14" s="188">
        <v>-144028</v>
      </c>
      <c r="W14" s="188">
        <v>-545119</v>
      </c>
      <c r="X14" s="188">
        <v>565295</v>
      </c>
      <c r="Y14" s="188">
        <v>-5958382</v>
      </c>
      <c r="Z14" s="188">
        <v>-10993560</v>
      </c>
      <c r="AA14" s="188">
        <v>-5766868</v>
      </c>
      <c r="AB14" s="188">
        <v>0</v>
      </c>
      <c r="AC14" s="188">
        <v>-5205134</v>
      </c>
      <c r="AD14" s="188">
        <v>-3782614</v>
      </c>
      <c r="AE14" s="188">
        <v>0</v>
      </c>
      <c r="AF14" s="188">
        <v>0</v>
      </c>
      <c r="AG14" s="188">
        <v>-6676583</v>
      </c>
      <c r="AH14" s="188">
        <v>2011566</v>
      </c>
      <c r="AI14" s="188">
        <v>3414968</v>
      </c>
      <c r="AJ14" s="188">
        <v>0</v>
      </c>
      <c r="AK14" s="188">
        <v>-204544825</v>
      </c>
      <c r="AL14" s="188">
        <v>0</v>
      </c>
      <c r="AM14" s="188">
        <v>-124597880</v>
      </c>
      <c r="AN14" s="188">
        <v>-14285911</v>
      </c>
      <c r="AO14" s="188">
        <v>-281318326</v>
      </c>
      <c r="AP14" s="188">
        <v>0</v>
      </c>
      <c r="AQ14" s="188">
        <v>0</v>
      </c>
      <c r="AR14" s="188">
        <v>0</v>
      </c>
      <c r="AS14" s="188">
        <v>-83656078</v>
      </c>
      <c r="AT14" s="188">
        <v>62470022</v>
      </c>
      <c r="AU14" s="188">
        <v>0</v>
      </c>
      <c r="AV14" s="188">
        <v>0</v>
      </c>
      <c r="AW14" s="188">
        <v>0</v>
      </c>
      <c r="AX14" s="188">
        <v>0</v>
      </c>
      <c r="AY14" s="188">
        <v>0</v>
      </c>
      <c r="AZ14" s="188">
        <v>0</v>
      </c>
      <c r="BA14" s="188">
        <v>0</v>
      </c>
      <c r="BB14" s="188">
        <v>0</v>
      </c>
      <c r="BC14" s="188">
        <v>0</v>
      </c>
      <c r="BD14" s="188">
        <v>0</v>
      </c>
      <c r="BE14" s="188">
        <v>0</v>
      </c>
      <c r="BF14" s="188">
        <v>0</v>
      </c>
      <c r="BG14" s="188">
        <v>0</v>
      </c>
      <c r="BH14" s="188">
        <v>0</v>
      </c>
      <c r="BI14" s="188">
        <v>0</v>
      </c>
      <c r="BJ14" s="188">
        <v>0</v>
      </c>
      <c r="BK14" s="188">
        <v>0</v>
      </c>
      <c r="BL14" s="188">
        <v>0</v>
      </c>
      <c r="BM14" s="188">
        <v>0</v>
      </c>
      <c r="BN14" s="188">
        <v>0</v>
      </c>
      <c r="BO14" s="188">
        <v>0</v>
      </c>
      <c r="BP14" s="188">
        <v>0</v>
      </c>
      <c r="BQ14" s="188">
        <v>0</v>
      </c>
      <c r="BR14" s="188">
        <v>0</v>
      </c>
      <c r="BS14" s="188">
        <v>0</v>
      </c>
      <c r="BT14" s="188">
        <v>0</v>
      </c>
      <c r="BU14" s="188">
        <v>0</v>
      </c>
      <c r="BV14" s="188">
        <v>0</v>
      </c>
      <c r="BW14" s="188">
        <v>0</v>
      </c>
      <c r="BX14" s="188">
        <v>0</v>
      </c>
      <c r="BY14" s="188">
        <v>0</v>
      </c>
      <c r="BZ14" s="188">
        <v>0</v>
      </c>
      <c r="CA14" s="188">
        <v>0</v>
      </c>
      <c r="CB14" s="188">
        <v>0</v>
      </c>
      <c r="CC14" s="188">
        <v>0</v>
      </c>
      <c r="CD14" s="188">
        <v>0</v>
      </c>
    </row>
    <row r="15" spans="1:82" x14ac:dyDescent="0.25">
      <c r="A15" s="188" t="s">
        <v>202</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c r="BW15" s="188">
        <v>0</v>
      </c>
      <c r="BX15" s="188">
        <v>0</v>
      </c>
      <c r="BY15" s="188">
        <v>0</v>
      </c>
      <c r="BZ15" s="188">
        <v>0</v>
      </c>
      <c r="CA15" s="188">
        <v>0</v>
      </c>
      <c r="CB15" s="188">
        <v>0</v>
      </c>
      <c r="CC15" s="188">
        <v>0</v>
      </c>
      <c r="CD15" s="188">
        <v>0</v>
      </c>
    </row>
    <row r="16" spans="1:82" x14ac:dyDescent="0.25">
      <c r="A16" s="188" t="s">
        <v>203</v>
      </c>
      <c r="B16" s="188">
        <v>3814195310</v>
      </c>
      <c r="C16" s="188">
        <v>3399673960</v>
      </c>
      <c r="D16" s="188">
        <v>2358509273</v>
      </c>
      <c r="E16" s="188">
        <v>9673733282</v>
      </c>
      <c r="F16" s="188">
        <v>8107804187</v>
      </c>
      <c r="G16" s="188">
        <v>5504743679</v>
      </c>
      <c r="H16" s="188">
        <v>2952444247</v>
      </c>
      <c r="I16" s="188">
        <v>505294525</v>
      </c>
      <c r="J16" s="188">
        <v>-1640682349</v>
      </c>
      <c r="K16" s="188">
        <v>-2319101208</v>
      </c>
      <c r="L16" s="188">
        <v>-1325776321</v>
      </c>
      <c r="M16" s="188">
        <v>953704699</v>
      </c>
      <c r="N16" s="188">
        <v>1844287764</v>
      </c>
      <c r="O16" s="188">
        <v>1952790385</v>
      </c>
      <c r="P16" s="188">
        <v>1098396766</v>
      </c>
      <c r="Q16" s="188">
        <v>2307625716</v>
      </c>
      <c r="R16" s="188">
        <v>1610892072</v>
      </c>
      <c r="S16" s="188">
        <v>779570971</v>
      </c>
      <c r="T16" s="188">
        <v>329960573</v>
      </c>
      <c r="U16" s="188">
        <v>2257844093</v>
      </c>
      <c r="V16" s="188">
        <v>1671380635</v>
      </c>
      <c r="W16" s="188">
        <v>1049425703</v>
      </c>
      <c r="X16" s="188">
        <v>321816422</v>
      </c>
      <c r="Y16" s="188">
        <v>-724174868</v>
      </c>
      <c r="Z16" s="188">
        <v>-1315647075</v>
      </c>
      <c r="AA16" s="188">
        <v>-1226439189</v>
      </c>
      <c r="AB16" s="188">
        <v>-768212318</v>
      </c>
      <c r="AC16" s="188">
        <v>156906033</v>
      </c>
      <c r="AD16" s="188">
        <v>-2422588706</v>
      </c>
      <c r="AE16" s="188">
        <v>-1394938605</v>
      </c>
      <c r="AF16" s="188">
        <v>-759775773</v>
      </c>
      <c r="AG16" s="188">
        <v>-2320259514</v>
      </c>
      <c r="AH16" s="188">
        <v>-1177138453</v>
      </c>
      <c r="AI16" s="188">
        <v>-627515770</v>
      </c>
      <c r="AJ16" s="188">
        <v>-352648172</v>
      </c>
      <c r="AK16" s="188">
        <v>-1305340544</v>
      </c>
      <c r="AL16" s="188">
        <v>-989506837</v>
      </c>
      <c r="AM16" s="188">
        <v>-924589637</v>
      </c>
      <c r="AN16" s="188">
        <v>-519431869</v>
      </c>
      <c r="AO16" s="188">
        <v>-1060303372</v>
      </c>
      <c r="AP16" s="188">
        <v>70268449</v>
      </c>
      <c r="AQ16" s="188">
        <v>629626389</v>
      </c>
      <c r="AR16" s="188">
        <v>376397397</v>
      </c>
      <c r="AS16" s="188">
        <v>594518842</v>
      </c>
      <c r="AT16" s="188">
        <v>423406313</v>
      </c>
      <c r="AU16" s="188">
        <v>-78444443</v>
      </c>
      <c r="AV16" s="188">
        <v>-193108604</v>
      </c>
      <c r="AW16" s="188">
        <v>-2789803469</v>
      </c>
      <c r="AX16" s="188">
        <v>-2720458752</v>
      </c>
      <c r="AY16" s="188">
        <v>-1818092169</v>
      </c>
      <c r="AZ16" s="188">
        <v>-526957156</v>
      </c>
      <c r="BA16" s="188">
        <v>-1437826489</v>
      </c>
      <c r="BB16" s="188">
        <v>-1266624932</v>
      </c>
      <c r="BC16" s="188">
        <v>-928548684</v>
      </c>
      <c r="BD16" s="188">
        <v>-439195716</v>
      </c>
      <c r="BE16" s="188">
        <v>310985508</v>
      </c>
      <c r="BF16" s="188">
        <v>546223287.52999997</v>
      </c>
      <c r="BG16" s="188">
        <v>586228874.42999995</v>
      </c>
      <c r="BH16" s="188">
        <v>327814028.14999998</v>
      </c>
      <c r="BI16" s="188">
        <v>477065168</v>
      </c>
      <c r="BJ16" s="188">
        <v>322401913.60000002</v>
      </c>
      <c r="BK16" s="188">
        <v>186068869.38</v>
      </c>
      <c r="BL16" s="188">
        <v>62885304.289999999</v>
      </c>
      <c r="BM16" s="188">
        <v>217472217</v>
      </c>
      <c r="BN16" s="188">
        <v>189111873.63999999</v>
      </c>
      <c r="BO16" s="188">
        <v>141838318.56999999</v>
      </c>
      <c r="BP16" s="188">
        <v>69332988.590000004</v>
      </c>
      <c r="BQ16" s="188">
        <v>118207222</v>
      </c>
      <c r="BR16" s="188">
        <v>78056618.870000005</v>
      </c>
      <c r="BS16" s="188">
        <v>140863201</v>
      </c>
      <c r="BT16" s="188">
        <v>73156836</v>
      </c>
      <c r="BU16" s="188">
        <v>96653492</v>
      </c>
      <c r="BV16" s="188">
        <v>25353227.609999999</v>
      </c>
      <c r="BW16" s="188">
        <v>69173000</v>
      </c>
      <c r="BX16" s="188">
        <v>38270453.490000002</v>
      </c>
      <c r="BY16" s="188">
        <v>127306000</v>
      </c>
      <c r="BZ16" s="188">
        <v>80336000</v>
      </c>
      <c r="CA16" s="188">
        <v>117275000</v>
      </c>
      <c r="CB16" s="188">
        <v>108610000</v>
      </c>
      <c r="CC16" s="188">
        <v>101252000</v>
      </c>
      <c r="CD16" s="188">
        <v>0</v>
      </c>
    </row>
    <row r="17" spans="1:82" x14ac:dyDescent="0.25">
      <c r="A17" s="188" t="s">
        <v>204</v>
      </c>
      <c r="B17" s="188">
        <v>128856936</v>
      </c>
      <c r="C17" s="188">
        <v>96641868</v>
      </c>
      <c r="D17" s="188">
        <v>36995667</v>
      </c>
      <c r="E17" s="188">
        <v>180418858</v>
      </c>
      <c r="F17" s="188">
        <v>99629003</v>
      </c>
      <c r="G17" s="188">
        <v>54506578</v>
      </c>
      <c r="H17" s="188">
        <v>145846521</v>
      </c>
      <c r="I17" s="188">
        <v>2085966318</v>
      </c>
      <c r="J17" s="188">
        <v>1933773186</v>
      </c>
      <c r="K17" s="188">
        <v>1793732882</v>
      </c>
      <c r="L17" s="188">
        <v>1444402211</v>
      </c>
      <c r="M17" s="188">
        <v>1082717233</v>
      </c>
      <c r="N17" s="188">
        <v>655288420</v>
      </c>
      <c r="O17" s="188">
        <v>424771458</v>
      </c>
      <c r="P17" s="188">
        <v>117948521</v>
      </c>
      <c r="Q17" s="188">
        <v>904242732</v>
      </c>
      <c r="R17" s="188">
        <v>691373237</v>
      </c>
      <c r="S17" s="188">
        <v>548360205</v>
      </c>
      <c r="T17" s="188">
        <v>427416825</v>
      </c>
      <c r="U17" s="188">
        <v>886872685</v>
      </c>
      <c r="V17" s="188">
        <v>305814323</v>
      </c>
      <c r="W17" s="188">
        <v>205996429</v>
      </c>
      <c r="X17" s="188">
        <v>83456055</v>
      </c>
      <c r="Y17" s="188">
        <v>957650034</v>
      </c>
      <c r="Z17" s="188">
        <v>413757481</v>
      </c>
      <c r="AA17" s="188">
        <v>160092355</v>
      </c>
      <c r="AB17" s="188">
        <v>60403765</v>
      </c>
      <c r="AC17" s="188">
        <v>698222373</v>
      </c>
      <c r="AD17" s="188">
        <v>120083345</v>
      </c>
      <c r="AE17" s="188">
        <v>73239677</v>
      </c>
      <c r="AF17" s="188">
        <v>18919093</v>
      </c>
      <c r="AG17" s="188">
        <v>93168069</v>
      </c>
      <c r="AH17" s="188">
        <v>55247602</v>
      </c>
      <c r="AI17" s="188">
        <v>30705091</v>
      </c>
      <c r="AJ17" s="188">
        <v>19217767</v>
      </c>
      <c r="AK17" s="188">
        <v>1226330345</v>
      </c>
      <c r="AL17" s="188">
        <v>60117051</v>
      </c>
      <c r="AM17" s="188">
        <v>14063040</v>
      </c>
      <c r="AN17" s="188">
        <v>5096184</v>
      </c>
      <c r="AO17" s="188">
        <v>136176234</v>
      </c>
      <c r="AP17" s="188">
        <v>96870700</v>
      </c>
      <c r="AQ17" s="188">
        <v>56443357</v>
      </c>
      <c r="AR17" s="188">
        <v>37201977</v>
      </c>
      <c r="AS17" s="188">
        <v>278274136</v>
      </c>
      <c r="AT17" s="188">
        <v>158539306</v>
      </c>
      <c r="AU17" s="188">
        <v>126197857</v>
      </c>
      <c r="AV17" s="188">
        <v>79348592</v>
      </c>
      <c r="AW17" s="188">
        <v>28811136</v>
      </c>
      <c r="AX17" s="188">
        <v>42808343</v>
      </c>
      <c r="AY17" s="188">
        <v>28629435</v>
      </c>
      <c r="AZ17" s="188">
        <v>3326034</v>
      </c>
      <c r="BA17" s="188">
        <v>13290713</v>
      </c>
      <c r="BB17" s="188">
        <v>12777158</v>
      </c>
      <c r="BC17" s="188">
        <v>6701574</v>
      </c>
      <c r="BD17" s="188">
        <v>3347030</v>
      </c>
      <c r="BE17" s="188">
        <v>6189142</v>
      </c>
      <c r="BF17" s="188">
        <v>6200243.6799999997</v>
      </c>
      <c r="BG17" s="188">
        <v>2761757.67</v>
      </c>
      <c r="BH17" s="188">
        <v>1595509.09</v>
      </c>
      <c r="BI17" s="188">
        <v>1628938</v>
      </c>
      <c r="BJ17" s="188">
        <v>32007445.300000001</v>
      </c>
      <c r="BK17" s="188">
        <v>24524414.600000001</v>
      </c>
      <c r="BL17" s="188">
        <v>2241867.15</v>
      </c>
      <c r="BM17" s="188">
        <v>3050361</v>
      </c>
      <c r="BN17" s="188">
        <v>1318452.78</v>
      </c>
      <c r="BO17" s="188">
        <v>765758.15</v>
      </c>
      <c r="BP17" s="188">
        <v>73584.08</v>
      </c>
      <c r="BQ17" s="188">
        <v>8647518</v>
      </c>
      <c r="BR17" s="188">
        <v>6477495.3399999999</v>
      </c>
      <c r="BS17" s="188">
        <v>2841741</v>
      </c>
      <c r="BT17" s="188">
        <v>1929362</v>
      </c>
      <c r="BU17" s="188">
        <v>11196149</v>
      </c>
      <c r="BV17" s="188">
        <v>24179.23</v>
      </c>
      <c r="BW17" s="188">
        <v>3824000</v>
      </c>
      <c r="BX17" s="188">
        <v>666083.18999999994</v>
      </c>
      <c r="BY17" s="188">
        <v>18018000</v>
      </c>
      <c r="BZ17" s="188">
        <v>0</v>
      </c>
      <c r="CA17" s="188">
        <v>93000</v>
      </c>
      <c r="CB17" s="188">
        <v>0</v>
      </c>
      <c r="CC17" s="188">
        <v>0</v>
      </c>
      <c r="CD17" s="188">
        <v>0</v>
      </c>
    </row>
    <row r="18" spans="1:82" x14ac:dyDescent="0.25">
      <c r="A18" s="188" t="s">
        <v>205</v>
      </c>
      <c r="B18" s="188">
        <v>33563330</v>
      </c>
      <c r="C18" s="188">
        <v>7653811</v>
      </c>
      <c r="D18" s="188">
        <v>6417967</v>
      </c>
      <c r="E18" s="188">
        <v>113080601</v>
      </c>
      <c r="F18" s="188">
        <v>60377719</v>
      </c>
      <c r="G18" s="188">
        <v>24426637</v>
      </c>
      <c r="H18" s="188">
        <v>18929735</v>
      </c>
      <c r="I18" s="188">
        <v>78861768</v>
      </c>
      <c r="J18" s="188">
        <v>14844397</v>
      </c>
      <c r="K18" s="188">
        <v>5876931</v>
      </c>
      <c r="L18" s="188">
        <v>2629891</v>
      </c>
      <c r="M18" s="188">
        <v>23178815</v>
      </c>
      <c r="N18" s="188">
        <v>15688276</v>
      </c>
      <c r="O18" s="188">
        <v>13347411</v>
      </c>
      <c r="P18" s="188">
        <v>8158910</v>
      </c>
      <c r="Q18" s="188">
        <v>35961283</v>
      </c>
      <c r="R18" s="188">
        <v>23662699</v>
      </c>
      <c r="S18" s="188">
        <v>9012209</v>
      </c>
      <c r="T18" s="188">
        <v>3207936</v>
      </c>
      <c r="U18" s="188">
        <v>122303353</v>
      </c>
      <c r="V18" s="188">
        <v>90927961</v>
      </c>
      <c r="W18" s="188">
        <v>66850527</v>
      </c>
      <c r="X18" s="188">
        <v>583111</v>
      </c>
      <c r="Y18" s="188">
        <v>47423203</v>
      </c>
      <c r="Z18" s="188">
        <v>13946806</v>
      </c>
      <c r="AA18" s="188">
        <v>2506337</v>
      </c>
      <c r="AB18" s="188">
        <v>803185</v>
      </c>
      <c r="AC18" s="188">
        <v>9041110</v>
      </c>
      <c r="AD18" s="188">
        <v>10903506</v>
      </c>
      <c r="AE18" s="188">
        <v>7549088</v>
      </c>
      <c r="AF18" s="188">
        <v>816270</v>
      </c>
      <c r="AG18" s="188">
        <v>14268778</v>
      </c>
      <c r="AH18" s="188">
        <v>9496871</v>
      </c>
      <c r="AI18" s="188">
        <v>5883841</v>
      </c>
      <c r="AJ18" s="188">
        <v>249756</v>
      </c>
      <c r="AK18" s="188">
        <v>2937077</v>
      </c>
      <c r="AL18" s="188">
        <v>2294796</v>
      </c>
      <c r="AM18" s="188">
        <v>1797266</v>
      </c>
      <c r="AN18" s="188">
        <v>599886</v>
      </c>
      <c r="AO18" s="188">
        <v>5224158</v>
      </c>
      <c r="AP18" s="188">
        <v>2713080</v>
      </c>
      <c r="AQ18" s="188">
        <v>1976265</v>
      </c>
      <c r="AR18" s="188">
        <v>449227</v>
      </c>
      <c r="AS18" s="188">
        <v>31993914</v>
      </c>
      <c r="AT18" s="188">
        <v>7268760</v>
      </c>
      <c r="AU18" s="188">
        <v>1285061</v>
      </c>
      <c r="AV18" s="188">
        <v>1130814</v>
      </c>
      <c r="AW18" s="188">
        <v>187031037</v>
      </c>
      <c r="AX18" s="188">
        <v>1954976</v>
      </c>
      <c r="AY18" s="188">
        <v>1436972</v>
      </c>
      <c r="AZ18" s="188">
        <v>1133754</v>
      </c>
      <c r="BA18" s="188">
        <v>29825979</v>
      </c>
      <c r="BB18" s="188">
        <v>23401093</v>
      </c>
      <c r="BC18" s="188">
        <v>22941411</v>
      </c>
      <c r="BD18" s="188">
        <v>2068559</v>
      </c>
      <c r="BE18" s="188">
        <v>16304617</v>
      </c>
      <c r="BF18" s="188">
        <v>16928575.359999999</v>
      </c>
      <c r="BG18" s="188">
        <v>13710129.109999999</v>
      </c>
      <c r="BH18" s="188">
        <v>22869710.460000001</v>
      </c>
      <c r="BI18" s="188">
        <v>20544268</v>
      </c>
      <c r="BJ18" s="188">
        <v>19284409.57</v>
      </c>
      <c r="BK18" s="188">
        <v>6582641</v>
      </c>
      <c r="BL18" s="188">
        <v>1660944.34</v>
      </c>
      <c r="BM18" s="188">
        <v>4300528</v>
      </c>
      <c r="BN18" s="188">
        <v>5346129.9400000004</v>
      </c>
      <c r="BO18" s="188">
        <v>1038757.46</v>
      </c>
      <c r="BP18" s="188">
        <v>643248.42000000004</v>
      </c>
      <c r="BQ18" s="188">
        <v>2334715</v>
      </c>
      <c r="BR18" s="188">
        <v>268288.15999999997</v>
      </c>
      <c r="BS18" s="188">
        <v>4054754</v>
      </c>
      <c r="BT18" s="188">
        <v>486071</v>
      </c>
      <c r="BU18" s="188">
        <v>1931795</v>
      </c>
      <c r="BV18" s="188">
        <v>694494.84</v>
      </c>
      <c r="BW18" s="188">
        <v>469000</v>
      </c>
      <c r="BX18" s="188">
        <v>951301.6</v>
      </c>
      <c r="BY18" s="188">
        <v>275000</v>
      </c>
      <c r="BZ18" s="188">
        <v>0</v>
      </c>
      <c r="CA18" s="188">
        <v>0</v>
      </c>
      <c r="CB18" s="188">
        <v>49000</v>
      </c>
      <c r="CC18" s="188">
        <v>201000</v>
      </c>
      <c r="CD18" s="188">
        <v>0</v>
      </c>
    </row>
    <row r="19" spans="1:82" x14ac:dyDescent="0.25">
      <c r="A19" s="188" t="s">
        <v>206</v>
      </c>
      <c r="B19" s="188">
        <v>0</v>
      </c>
      <c r="C19" s="188">
        <v>0</v>
      </c>
      <c r="D19" s="188">
        <v>0</v>
      </c>
      <c r="E19" s="188">
        <v>0</v>
      </c>
      <c r="F19" s="188">
        <v>56041448</v>
      </c>
      <c r="G19" s="188">
        <v>21855086</v>
      </c>
      <c r="H19" s="188">
        <v>17048682</v>
      </c>
      <c r="I19" s="188">
        <v>64068631</v>
      </c>
      <c r="J19" s="188">
        <v>9469934</v>
      </c>
      <c r="K19" s="188">
        <v>2257689</v>
      </c>
      <c r="L19" s="188">
        <v>881691</v>
      </c>
      <c r="M19" s="188">
        <v>11376698</v>
      </c>
      <c r="N19" s="188">
        <v>10701950</v>
      </c>
      <c r="O19" s="188">
        <v>9248574</v>
      </c>
      <c r="P19" s="188">
        <v>6388118</v>
      </c>
      <c r="Q19" s="188">
        <v>18945517</v>
      </c>
      <c r="R19" s="188">
        <v>7226063</v>
      </c>
      <c r="S19" s="188">
        <v>2964174</v>
      </c>
      <c r="T19" s="188">
        <v>1888224</v>
      </c>
      <c r="U19" s="188">
        <v>113954871</v>
      </c>
      <c r="V19" s="188">
        <v>87611292</v>
      </c>
      <c r="W19" s="188">
        <v>64092449</v>
      </c>
      <c r="X19" s="188">
        <v>564668</v>
      </c>
      <c r="Y19" s="188">
        <v>44632767</v>
      </c>
      <c r="Z19" s="188">
        <v>11939673</v>
      </c>
      <c r="AA19" s="188">
        <v>1598969</v>
      </c>
      <c r="AB19" s="188">
        <v>517436</v>
      </c>
      <c r="AC19" s="188">
        <v>2070499</v>
      </c>
      <c r="AD19" s="188">
        <v>9683737</v>
      </c>
      <c r="AE19" s="188">
        <v>6907321</v>
      </c>
      <c r="AF19" s="188">
        <v>342281</v>
      </c>
      <c r="AG19" s="188">
        <v>11876443</v>
      </c>
      <c r="AH19" s="188">
        <v>8023304</v>
      </c>
      <c r="AI19" s="188">
        <v>4567142</v>
      </c>
      <c r="AJ19" s="188">
        <v>45189</v>
      </c>
      <c r="AK19" s="188">
        <v>449979</v>
      </c>
      <c r="AL19" s="188">
        <v>384127</v>
      </c>
      <c r="AM19" s="188">
        <v>25195</v>
      </c>
      <c r="AN19" s="188">
        <v>18520</v>
      </c>
      <c r="AO19" s="188">
        <v>923859</v>
      </c>
      <c r="AP19" s="188">
        <v>696208</v>
      </c>
      <c r="AQ19" s="188">
        <v>57812</v>
      </c>
      <c r="AR19" s="188">
        <v>40766</v>
      </c>
      <c r="AS19" s="188">
        <v>3078825</v>
      </c>
      <c r="AT19" s="188">
        <v>876889</v>
      </c>
      <c r="AU19" s="188">
        <v>0</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c r="BR19" s="188">
        <v>0</v>
      </c>
      <c r="BS19" s="188">
        <v>0</v>
      </c>
      <c r="BT19" s="188">
        <v>0</v>
      </c>
      <c r="BU19" s="188">
        <v>0</v>
      </c>
      <c r="BV19" s="188">
        <v>0</v>
      </c>
      <c r="BW19" s="188">
        <v>0</v>
      </c>
      <c r="BX19" s="188">
        <v>0</v>
      </c>
      <c r="BY19" s="188">
        <v>0</v>
      </c>
      <c r="BZ19" s="188">
        <v>0</v>
      </c>
      <c r="CA19" s="188">
        <v>0</v>
      </c>
      <c r="CB19" s="188">
        <v>0</v>
      </c>
      <c r="CC19" s="188">
        <v>0</v>
      </c>
      <c r="CD19" s="188">
        <v>0</v>
      </c>
    </row>
    <row r="20" spans="1:82" x14ac:dyDescent="0.25">
      <c r="A20" s="188" t="s">
        <v>207</v>
      </c>
      <c r="B20" s="188">
        <v>3909488916</v>
      </c>
      <c r="C20" s="188">
        <v>3488662017</v>
      </c>
      <c r="D20" s="188">
        <v>2389086973</v>
      </c>
      <c r="E20" s="188">
        <v>9741071539</v>
      </c>
      <c r="F20" s="188">
        <v>8147055471</v>
      </c>
      <c r="G20" s="188">
        <v>5534823620</v>
      </c>
      <c r="H20" s="188">
        <v>3079361033</v>
      </c>
      <c r="I20" s="188">
        <v>2512399075</v>
      </c>
      <c r="J20" s="188">
        <v>278246440</v>
      </c>
      <c r="K20" s="188">
        <v>-531245257</v>
      </c>
      <c r="L20" s="188">
        <v>115995999</v>
      </c>
      <c r="M20" s="188">
        <v>2013243117</v>
      </c>
      <c r="N20" s="188">
        <v>2483887908</v>
      </c>
      <c r="O20" s="188">
        <v>2364214432</v>
      </c>
      <c r="P20" s="188">
        <v>1208186377</v>
      </c>
      <c r="Q20" s="188">
        <v>3175907165</v>
      </c>
      <c r="R20" s="188">
        <v>2278602610</v>
      </c>
      <c r="S20" s="188">
        <v>1318918967</v>
      </c>
      <c r="T20" s="188">
        <v>754169462</v>
      </c>
      <c r="U20" s="188">
        <v>3022413425</v>
      </c>
      <c r="V20" s="188">
        <v>1886266997</v>
      </c>
      <c r="W20" s="188">
        <v>1188571605</v>
      </c>
      <c r="X20" s="188">
        <v>404689366</v>
      </c>
      <c r="Y20" s="188">
        <v>186051963</v>
      </c>
      <c r="Z20" s="188">
        <v>-915836400</v>
      </c>
      <c r="AA20" s="188">
        <v>-1068853171</v>
      </c>
      <c r="AB20" s="188">
        <v>-708611738</v>
      </c>
      <c r="AC20" s="188">
        <v>846087296</v>
      </c>
      <c r="AD20" s="188">
        <v>-2313408867</v>
      </c>
      <c r="AE20" s="188">
        <v>-1329248016</v>
      </c>
      <c r="AF20" s="188">
        <v>-741672950</v>
      </c>
      <c r="AG20" s="188">
        <v>-2241360223</v>
      </c>
      <c r="AH20" s="188">
        <v>-1131387722</v>
      </c>
      <c r="AI20" s="188">
        <v>-602694520</v>
      </c>
      <c r="AJ20" s="188">
        <v>-333680161</v>
      </c>
      <c r="AK20" s="188">
        <v>-81947276</v>
      </c>
      <c r="AL20" s="188">
        <v>-931684582</v>
      </c>
      <c r="AM20" s="188">
        <v>-912323863</v>
      </c>
      <c r="AN20" s="188">
        <v>-514935571</v>
      </c>
      <c r="AO20" s="188">
        <v>-929351296</v>
      </c>
      <c r="AP20" s="188">
        <v>164426069</v>
      </c>
      <c r="AQ20" s="188">
        <v>684093481</v>
      </c>
      <c r="AR20" s="188">
        <v>413150147</v>
      </c>
      <c r="AS20" s="188">
        <v>840799064</v>
      </c>
      <c r="AT20" s="188">
        <v>574676859</v>
      </c>
      <c r="AU20" s="188">
        <v>46468353</v>
      </c>
      <c r="AV20" s="188">
        <v>-114890826</v>
      </c>
      <c r="AW20" s="188">
        <v>-2948023370</v>
      </c>
      <c r="AX20" s="188">
        <v>-2679605385</v>
      </c>
      <c r="AY20" s="188">
        <v>-1790899706</v>
      </c>
      <c r="AZ20" s="188">
        <v>-524764876</v>
      </c>
      <c r="BA20" s="188">
        <v>-1454361755</v>
      </c>
      <c r="BB20" s="188">
        <v>-1277248867</v>
      </c>
      <c r="BC20" s="188">
        <v>-944788521</v>
      </c>
      <c r="BD20" s="188">
        <v>-437917245</v>
      </c>
      <c r="BE20" s="188">
        <v>300870033</v>
      </c>
      <c r="BF20" s="188">
        <v>535494955.85000002</v>
      </c>
      <c r="BG20" s="188">
        <v>575280502.99000001</v>
      </c>
      <c r="BH20" s="188">
        <v>306539826.77999997</v>
      </c>
      <c r="BI20" s="188">
        <v>458149838</v>
      </c>
      <c r="BJ20" s="188">
        <v>335124949.32999998</v>
      </c>
      <c r="BK20" s="188">
        <v>204010642.97999999</v>
      </c>
      <c r="BL20" s="188">
        <v>63466227.100000001</v>
      </c>
      <c r="BM20" s="188">
        <v>216222050</v>
      </c>
      <c r="BN20" s="188">
        <v>185084196.47999999</v>
      </c>
      <c r="BO20" s="188">
        <v>141565319.25999999</v>
      </c>
      <c r="BP20" s="188">
        <v>68763324.25</v>
      </c>
      <c r="BQ20" s="188">
        <v>124520025</v>
      </c>
      <c r="BR20" s="188">
        <v>84265826.049999997</v>
      </c>
      <c r="BS20" s="188">
        <v>139650188</v>
      </c>
      <c r="BT20" s="188">
        <v>74600127</v>
      </c>
      <c r="BU20" s="188">
        <v>105917846</v>
      </c>
      <c r="BV20" s="188">
        <v>24682912</v>
      </c>
      <c r="BW20" s="188">
        <v>72528000</v>
      </c>
      <c r="BX20" s="188">
        <v>37985235.079999998</v>
      </c>
      <c r="BY20" s="188">
        <v>145049000</v>
      </c>
      <c r="BZ20" s="188">
        <v>80336000</v>
      </c>
      <c r="CA20" s="188">
        <v>117368000</v>
      </c>
      <c r="CB20" s="188">
        <v>108561000</v>
      </c>
      <c r="CC20" s="188">
        <v>101051000</v>
      </c>
      <c r="CD20" s="188">
        <v>0</v>
      </c>
    </row>
    <row r="21" spans="1:82" x14ac:dyDescent="0.25">
      <c r="A21" s="188" t="s">
        <v>208</v>
      </c>
      <c r="B21" s="188">
        <v>939270136</v>
      </c>
      <c r="C21" s="188">
        <v>659568560</v>
      </c>
      <c r="D21" s="188">
        <v>452265009</v>
      </c>
      <c r="E21" s="188">
        <v>1880659980</v>
      </c>
      <c r="F21" s="188">
        <v>1353027097</v>
      </c>
      <c r="G21" s="188">
        <v>940261615</v>
      </c>
      <c r="H21" s="188">
        <v>474494165</v>
      </c>
      <c r="I21" s="188">
        <v>467228316</v>
      </c>
      <c r="J21" s="188">
        <v>120127244</v>
      </c>
      <c r="K21" s="188">
        <v>56258311</v>
      </c>
      <c r="L21" s="188">
        <v>13575834</v>
      </c>
      <c r="M21" s="188">
        <v>375133185</v>
      </c>
      <c r="N21" s="188">
        <v>495093867</v>
      </c>
      <c r="O21" s="188">
        <v>411060664</v>
      </c>
      <c r="P21" s="188">
        <v>230942461</v>
      </c>
      <c r="Q21" s="188">
        <v>459993195</v>
      </c>
      <c r="R21" s="188">
        <v>284689438</v>
      </c>
      <c r="S21" s="188">
        <v>156020200</v>
      </c>
      <c r="T21" s="188">
        <v>64483087</v>
      </c>
      <c r="U21" s="188">
        <v>50284234</v>
      </c>
      <c r="V21" s="188">
        <v>73721600</v>
      </c>
      <c r="W21" s="188">
        <v>23290836</v>
      </c>
      <c r="X21" s="188">
        <v>4560539</v>
      </c>
      <c r="Y21" s="188">
        <v>1668895</v>
      </c>
      <c r="Z21" s="188">
        <v>7276636</v>
      </c>
      <c r="AA21" s="188">
        <v>8253509</v>
      </c>
      <c r="AB21" s="188">
        <v>1921950</v>
      </c>
      <c r="AC21" s="188">
        <v>152409979</v>
      </c>
      <c r="AD21" s="188">
        <v>-1727651</v>
      </c>
      <c r="AE21" s="188">
        <v>-2709700</v>
      </c>
      <c r="AF21" s="188">
        <v>-818944</v>
      </c>
      <c r="AG21" s="188">
        <v>26672583</v>
      </c>
      <c r="AH21" s="188">
        <v>16291254</v>
      </c>
      <c r="AI21" s="188">
        <v>14984656</v>
      </c>
      <c r="AJ21" s="188">
        <v>-1674191</v>
      </c>
      <c r="AK21" s="188">
        <v>-16683383</v>
      </c>
      <c r="AL21" s="188">
        <v>9489343</v>
      </c>
      <c r="AM21" s="188">
        <v>6804077</v>
      </c>
      <c r="AN21" s="188">
        <v>2078492</v>
      </c>
      <c r="AO21" s="188">
        <v>67419800</v>
      </c>
      <c r="AP21" s="188">
        <v>61121438</v>
      </c>
      <c r="AQ21" s="188">
        <v>56722560</v>
      </c>
      <c r="AR21" s="188">
        <v>33185936</v>
      </c>
      <c r="AS21" s="188">
        <v>-56307888</v>
      </c>
      <c r="AT21" s="188">
        <v>11846579</v>
      </c>
      <c r="AU21" s="188">
        <v>10156274</v>
      </c>
      <c r="AV21" s="188">
        <v>3211019</v>
      </c>
      <c r="AW21" s="188">
        <v>13333832</v>
      </c>
      <c r="AX21" s="188">
        <v>5411942</v>
      </c>
      <c r="AY21" s="188">
        <v>3648838</v>
      </c>
      <c r="AZ21" s="188">
        <v>1228820</v>
      </c>
      <c r="BA21" s="188">
        <v>41728994</v>
      </c>
      <c r="BB21" s="188">
        <v>33363171</v>
      </c>
      <c r="BC21" s="188">
        <v>22140108</v>
      </c>
      <c r="BD21" s="188">
        <v>3098062</v>
      </c>
      <c r="BE21" s="188">
        <v>13112557</v>
      </c>
      <c r="BF21" s="188">
        <v>29983279.280000001</v>
      </c>
      <c r="BG21" s="188">
        <v>31132860.5</v>
      </c>
      <c r="BH21" s="188">
        <v>13392541.58</v>
      </c>
      <c r="BI21" s="188">
        <v>18888134</v>
      </c>
      <c r="BJ21" s="188">
        <v>20002809.030000001</v>
      </c>
      <c r="BK21" s="188">
        <v>11295612.949999999</v>
      </c>
      <c r="BL21" s="188">
        <v>10715982.58</v>
      </c>
      <c r="BM21" s="188">
        <v>47185728</v>
      </c>
      <c r="BN21" s="188">
        <v>40641666.68</v>
      </c>
      <c r="BO21" s="188">
        <v>27712934.18</v>
      </c>
      <c r="BP21" s="188">
        <v>14842215.08</v>
      </c>
      <c r="BQ21" s="188">
        <v>20476088</v>
      </c>
      <c r="BR21" s="188">
        <v>7415723.3399999999</v>
      </c>
      <c r="BS21" s="188">
        <v>16642758</v>
      </c>
      <c r="BT21" s="188">
        <v>9295870</v>
      </c>
      <c r="BU21" s="188">
        <v>9628005</v>
      </c>
      <c r="BV21" s="188">
        <v>4874531.3499999996</v>
      </c>
      <c r="BW21" s="188">
        <v>5507000</v>
      </c>
      <c r="BX21" s="188">
        <v>3771561.04</v>
      </c>
      <c r="BY21" s="188">
        <v>14054000</v>
      </c>
      <c r="BZ21" s="188">
        <v>7845000</v>
      </c>
      <c r="CA21" s="188">
        <v>2933000</v>
      </c>
      <c r="CB21" s="188">
        <v>800000</v>
      </c>
      <c r="CC21" s="188">
        <v>465000</v>
      </c>
      <c r="CD21" s="188">
        <v>0</v>
      </c>
    </row>
    <row r="22" spans="1:82" x14ac:dyDescent="0.25">
      <c r="A22" s="188" t="s">
        <v>209</v>
      </c>
      <c r="B22" s="188">
        <v>2970218780</v>
      </c>
      <c r="C22" s="188">
        <v>2829093457</v>
      </c>
      <c r="D22" s="188">
        <v>1936821964</v>
      </c>
      <c r="E22" s="188">
        <v>7860411559</v>
      </c>
      <c r="F22" s="188">
        <v>6794028374</v>
      </c>
      <c r="G22" s="188">
        <v>4594562005</v>
      </c>
      <c r="H22" s="188">
        <v>2604866868</v>
      </c>
      <c r="I22" s="188">
        <v>2045170759</v>
      </c>
      <c r="J22" s="188">
        <v>158119196</v>
      </c>
      <c r="K22" s="188">
        <v>-587503568</v>
      </c>
      <c r="L22" s="188">
        <v>102420165</v>
      </c>
      <c r="M22" s="188">
        <v>1638109932</v>
      </c>
      <c r="N22" s="188">
        <v>1988794041</v>
      </c>
      <c r="O22" s="188">
        <v>1953153768</v>
      </c>
      <c r="P22" s="188">
        <v>977243916</v>
      </c>
      <c r="Q22" s="188">
        <v>2715913970</v>
      </c>
      <c r="R22" s="188">
        <v>1993913172</v>
      </c>
      <c r="S22" s="188">
        <v>1162898767</v>
      </c>
      <c r="T22" s="188">
        <v>689686375</v>
      </c>
      <c r="U22" s="188">
        <v>2972129191</v>
      </c>
      <c r="V22" s="188">
        <v>1812545397</v>
      </c>
      <c r="W22" s="188">
        <v>1165280769</v>
      </c>
      <c r="X22" s="188">
        <v>400128827</v>
      </c>
      <c r="Y22" s="188">
        <v>184383068</v>
      </c>
      <c r="Z22" s="188">
        <v>-923113036</v>
      </c>
      <c r="AA22" s="188">
        <v>-1077106680</v>
      </c>
      <c r="AB22" s="188">
        <v>-710533688</v>
      </c>
      <c r="AC22" s="188">
        <v>693677317</v>
      </c>
      <c r="AD22" s="188">
        <v>-2311681216</v>
      </c>
      <c r="AE22" s="188">
        <v>-1326538316</v>
      </c>
      <c r="AF22" s="188">
        <v>-740854006</v>
      </c>
      <c r="AG22" s="188">
        <v>-2268032806</v>
      </c>
      <c r="AH22" s="188">
        <v>-1147678976</v>
      </c>
      <c r="AI22" s="188">
        <v>-617679176</v>
      </c>
      <c r="AJ22" s="188">
        <v>-332005970</v>
      </c>
      <c r="AK22" s="188">
        <v>-65263893</v>
      </c>
      <c r="AL22" s="188">
        <v>-941173925</v>
      </c>
      <c r="AM22" s="188">
        <v>-919127940</v>
      </c>
      <c r="AN22" s="188">
        <v>-517014063</v>
      </c>
      <c r="AO22" s="188">
        <v>-996771096</v>
      </c>
      <c r="AP22" s="188">
        <v>103304631</v>
      </c>
      <c r="AQ22" s="188">
        <v>627370921</v>
      </c>
      <c r="AR22" s="188">
        <v>379964211</v>
      </c>
      <c r="AS22" s="188">
        <v>897106952</v>
      </c>
      <c r="AT22" s="188">
        <v>562830280</v>
      </c>
      <c r="AU22" s="188">
        <v>36312079</v>
      </c>
      <c r="AV22" s="188">
        <v>-118101845</v>
      </c>
      <c r="AW22" s="188">
        <v>-1740617968</v>
      </c>
      <c r="AX22" s="188">
        <v>-1648467131</v>
      </c>
      <c r="AY22" s="188">
        <v>-1304475470</v>
      </c>
      <c r="AZ22" s="188">
        <v>-525993696</v>
      </c>
      <c r="BA22" s="188">
        <v>-1496090749</v>
      </c>
      <c r="BB22" s="188">
        <v>-1310612038</v>
      </c>
      <c r="BC22" s="188">
        <v>-966928629</v>
      </c>
      <c r="BD22" s="188">
        <v>-441015307</v>
      </c>
      <c r="BE22" s="188">
        <v>287757476</v>
      </c>
      <c r="BF22" s="188">
        <v>505511676.56999999</v>
      </c>
      <c r="BG22" s="188">
        <v>544147642.49000001</v>
      </c>
      <c r="BH22" s="188">
        <v>293147285.19999999</v>
      </c>
      <c r="BI22" s="188">
        <v>439261704</v>
      </c>
      <c r="BJ22" s="188">
        <v>315122140.30000001</v>
      </c>
      <c r="BK22" s="188">
        <v>192715030.03</v>
      </c>
      <c r="BL22" s="188">
        <v>52750244.520000003</v>
      </c>
      <c r="BM22" s="188">
        <v>169036322</v>
      </c>
      <c r="BN22" s="188">
        <v>144442529.80000001</v>
      </c>
      <c r="BO22" s="188">
        <v>113852385.08</v>
      </c>
      <c r="BP22" s="188">
        <v>53921109.170000002</v>
      </c>
      <c r="BQ22" s="188">
        <v>104043937</v>
      </c>
      <c r="BR22" s="188">
        <v>76850102.709999993</v>
      </c>
      <c r="BS22" s="188">
        <v>123007430</v>
      </c>
      <c r="BT22" s="188">
        <v>65304257</v>
      </c>
      <c r="BU22" s="188">
        <v>96289841</v>
      </c>
      <c r="BV22" s="188">
        <v>19808380.649999999</v>
      </c>
      <c r="BW22" s="188">
        <v>67021000</v>
      </c>
      <c r="BX22" s="188">
        <v>34213674.039999999</v>
      </c>
      <c r="BY22" s="188">
        <v>130995000</v>
      </c>
      <c r="BZ22" s="188">
        <v>72491000</v>
      </c>
      <c r="CA22" s="188">
        <v>114435000</v>
      </c>
      <c r="CB22" s="188">
        <v>107761000</v>
      </c>
      <c r="CC22" s="188">
        <v>100586000</v>
      </c>
      <c r="CD22" s="188">
        <v>0</v>
      </c>
    </row>
    <row r="23" spans="1:82" x14ac:dyDescent="0.25">
      <c r="A23" s="188" t="s">
        <v>210</v>
      </c>
      <c r="B23" s="188">
        <v>3379066735</v>
      </c>
      <c r="C23" s="188">
        <v>2975206500</v>
      </c>
      <c r="D23" s="188">
        <v>2018692554</v>
      </c>
      <c r="E23" s="188">
        <v>7567682493</v>
      </c>
      <c r="F23" s="188">
        <v>6475667220</v>
      </c>
      <c r="G23" s="188">
        <v>4302605600</v>
      </c>
      <c r="H23" s="188">
        <v>2413015650</v>
      </c>
      <c r="I23" s="188">
        <v>1882571674</v>
      </c>
      <c r="J23" s="188">
        <v>140667962</v>
      </c>
      <c r="K23" s="188">
        <v>-516472418</v>
      </c>
      <c r="L23" s="188">
        <v>108325454</v>
      </c>
      <c r="M23" s="188">
        <v>1636270488</v>
      </c>
      <c r="N23" s="188">
        <v>1992387571</v>
      </c>
      <c r="O23" s="188">
        <v>1951170852</v>
      </c>
      <c r="P23" s="188">
        <v>978140971</v>
      </c>
      <c r="Q23" s="188">
        <v>2562128829</v>
      </c>
      <c r="R23" s="188">
        <v>1854721451</v>
      </c>
      <c r="S23" s="188">
        <v>1041635714</v>
      </c>
      <c r="T23" s="188">
        <v>587651989</v>
      </c>
      <c r="U23" s="188">
        <v>2353365694</v>
      </c>
      <c r="V23" s="188">
        <v>1359113831</v>
      </c>
      <c r="W23" s="188">
        <v>859288893</v>
      </c>
      <c r="X23" s="188">
        <v>286903021</v>
      </c>
      <c r="Y23" s="188">
        <v>258133391</v>
      </c>
      <c r="Z23" s="188">
        <v>-635272911</v>
      </c>
      <c r="AA23" s="188">
        <v>-786882196</v>
      </c>
      <c r="AB23" s="188">
        <v>-494562773</v>
      </c>
      <c r="AC23" s="188">
        <v>560866477</v>
      </c>
      <c r="AD23" s="188">
        <v>-2143088601</v>
      </c>
      <c r="AE23" s="188">
        <v>-1215484477</v>
      </c>
      <c r="AF23" s="188">
        <v>-674781964</v>
      </c>
      <c r="AG23" s="188">
        <v>-2003813083</v>
      </c>
      <c r="AH23" s="188">
        <v>-988843759</v>
      </c>
      <c r="AI23" s="188">
        <v>-540706227</v>
      </c>
      <c r="AJ23" s="188">
        <v>-296853336</v>
      </c>
      <c r="AK23" s="188">
        <v>49680328</v>
      </c>
      <c r="AL23" s="188">
        <v>-757001707</v>
      </c>
      <c r="AM23" s="188">
        <v>-749429569</v>
      </c>
      <c r="AN23" s="188">
        <v>-410758569</v>
      </c>
      <c r="AO23" s="188">
        <v>-807525473</v>
      </c>
      <c r="AP23" s="188">
        <v>108078535</v>
      </c>
      <c r="AQ23" s="188">
        <v>504963265</v>
      </c>
      <c r="AR23" s="188">
        <v>305423954</v>
      </c>
      <c r="AS23" s="188">
        <v>690945815</v>
      </c>
      <c r="AT23" s="188">
        <v>495202589</v>
      </c>
      <c r="AU23" s="188">
        <v>74670394</v>
      </c>
      <c r="AV23" s="188">
        <v>-43556330</v>
      </c>
      <c r="AW23" s="188">
        <v>-1721944721</v>
      </c>
      <c r="AX23" s="188">
        <v>-1626867894</v>
      </c>
      <c r="AY23" s="188">
        <v>-1264345868</v>
      </c>
      <c r="AZ23" s="188">
        <v>-490684583</v>
      </c>
      <c r="BA23" s="188">
        <v>-1587087256</v>
      </c>
      <c r="BB23" s="188">
        <v>-1367818670</v>
      </c>
      <c r="BC23" s="188">
        <v>-988745821</v>
      </c>
      <c r="BD23" s="188">
        <v>-450748342</v>
      </c>
      <c r="BE23" s="188">
        <v>206012682</v>
      </c>
      <c r="BF23" s="188">
        <v>474967637.05000001</v>
      </c>
      <c r="BG23" s="188">
        <v>521186153.76999998</v>
      </c>
      <c r="BH23" s="188">
        <v>265447333.11000001</v>
      </c>
      <c r="BI23" s="188">
        <v>361165424</v>
      </c>
      <c r="BJ23" s="188">
        <v>280516860.66000003</v>
      </c>
      <c r="BK23" s="188">
        <v>165170757.53999999</v>
      </c>
      <c r="BL23" s="188">
        <v>33403382.969999999</v>
      </c>
      <c r="BM23" s="188">
        <v>82836595</v>
      </c>
      <c r="BN23" s="188">
        <v>72206674.219999999</v>
      </c>
      <c r="BO23" s="188">
        <v>56516137.799999997</v>
      </c>
      <c r="BP23" s="188">
        <v>24129957.800000001</v>
      </c>
      <c r="BQ23" s="188">
        <v>60250853</v>
      </c>
      <c r="BR23" s="188">
        <v>55102499.710000001</v>
      </c>
      <c r="BS23" s="188">
        <v>98802093</v>
      </c>
      <c r="BT23" s="188">
        <v>49799065</v>
      </c>
      <c r="BU23" s="188">
        <v>74502439</v>
      </c>
      <c r="BV23" s="188">
        <v>15137701.550000001</v>
      </c>
      <c r="BW23" s="188">
        <v>60721000</v>
      </c>
      <c r="BX23" s="188">
        <v>31770561.140000001</v>
      </c>
      <c r="BY23" s="188">
        <v>123966000</v>
      </c>
      <c r="BZ23" s="188">
        <v>68721000</v>
      </c>
      <c r="CA23" s="188">
        <v>107592000</v>
      </c>
      <c r="CB23" s="188">
        <v>101906000</v>
      </c>
      <c r="CC23" s="188">
        <v>98313000</v>
      </c>
      <c r="CD23" s="188">
        <v>0</v>
      </c>
    </row>
    <row r="24" spans="1:82" x14ac:dyDescent="0.25">
      <c r="A24" s="188" t="s">
        <v>211</v>
      </c>
      <c r="B24" s="188">
        <v>-408847955</v>
      </c>
      <c r="C24" s="188">
        <v>-146113043</v>
      </c>
      <c r="D24" s="188">
        <v>-81870590</v>
      </c>
      <c r="E24" s="188">
        <v>292729066</v>
      </c>
      <c r="F24" s="188">
        <v>318361154</v>
      </c>
      <c r="G24" s="188">
        <v>291956405</v>
      </c>
      <c r="H24" s="188">
        <v>191851218</v>
      </c>
      <c r="I24" s="188">
        <v>162599085</v>
      </c>
      <c r="J24" s="188">
        <v>17451234</v>
      </c>
      <c r="K24" s="188">
        <v>-71031150</v>
      </c>
      <c r="L24" s="188">
        <v>-5905289</v>
      </c>
      <c r="M24" s="188">
        <v>1839444</v>
      </c>
      <c r="N24" s="188">
        <v>-3593530</v>
      </c>
      <c r="O24" s="188">
        <v>1982916</v>
      </c>
      <c r="P24" s="188">
        <v>-897055</v>
      </c>
      <c r="Q24" s="188">
        <v>153785141</v>
      </c>
      <c r="R24" s="188">
        <v>139191721</v>
      </c>
      <c r="S24" s="188">
        <v>121263053</v>
      </c>
      <c r="T24" s="188">
        <v>102034386</v>
      </c>
      <c r="U24" s="188">
        <v>618763497</v>
      </c>
      <c r="V24" s="188">
        <v>453431566</v>
      </c>
      <c r="W24" s="188">
        <v>305991876</v>
      </c>
      <c r="X24" s="188">
        <v>113225806</v>
      </c>
      <c r="Y24" s="188">
        <v>-73750323</v>
      </c>
      <c r="Z24" s="188">
        <v>-287840125</v>
      </c>
      <c r="AA24" s="188">
        <v>-290224484</v>
      </c>
      <c r="AB24" s="188">
        <v>-215970915</v>
      </c>
      <c r="AC24" s="188">
        <v>132810840</v>
      </c>
      <c r="AD24" s="188">
        <v>-168592615</v>
      </c>
      <c r="AE24" s="188">
        <v>-111053839</v>
      </c>
      <c r="AF24" s="188">
        <v>-66072042</v>
      </c>
      <c r="AG24" s="188">
        <v>-264219723</v>
      </c>
      <c r="AH24" s="188">
        <v>-158835217</v>
      </c>
      <c r="AI24" s="188">
        <v>-76972949</v>
      </c>
      <c r="AJ24" s="188">
        <v>-35152634</v>
      </c>
      <c r="AK24" s="188">
        <v>-114944221</v>
      </c>
      <c r="AL24" s="188">
        <v>-184172218</v>
      </c>
      <c r="AM24" s="188">
        <v>-169698371</v>
      </c>
      <c r="AN24" s="188">
        <v>-106255494</v>
      </c>
      <c r="AO24" s="188">
        <v>-189245623</v>
      </c>
      <c r="AP24" s="188">
        <v>-4773904</v>
      </c>
      <c r="AQ24" s="188">
        <v>122407656</v>
      </c>
      <c r="AR24" s="188">
        <v>74540258</v>
      </c>
      <c r="AS24" s="188">
        <v>206161137</v>
      </c>
      <c r="AT24" s="188">
        <v>67627691</v>
      </c>
      <c r="AU24" s="188">
        <v>-38358315</v>
      </c>
      <c r="AV24" s="188">
        <v>-74545515</v>
      </c>
      <c r="AW24" s="188">
        <v>-18673247</v>
      </c>
      <c r="AX24" s="188">
        <v>-21599237</v>
      </c>
      <c r="AY24" s="188">
        <v>-40129602</v>
      </c>
      <c r="AZ24" s="188">
        <v>-35309113</v>
      </c>
      <c r="BA24" s="188">
        <v>90996507</v>
      </c>
      <c r="BB24" s="188">
        <v>57206632</v>
      </c>
      <c r="BC24" s="188">
        <v>21817192</v>
      </c>
      <c r="BD24" s="188">
        <v>9733035</v>
      </c>
      <c r="BE24" s="188">
        <v>81744794</v>
      </c>
      <c r="BF24" s="188">
        <v>30544039.52</v>
      </c>
      <c r="BG24" s="188">
        <v>22961488.719999999</v>
      </c>
      <c r="BH24" s="188">
        <v>27699952.09</v>
      </c>
      <c r="BI24" s="188">
        <v>78096280</v>
      </c>
      <c r="BJ24" s="188">
        <v>34605279.640000001</v>
      </c>
      <c r="BK24" s="188">
        <v>27544272.489999998</v>
      </c>
      <c r="BL24" s="188">
        <v>19346861.550000001</v>
      </c>
      <c r="BM24" s="188">
        <v>86199727</v>
      </c>
      <c r="BN24" s="188">
        <v>72235855.579999998</v>
      </c>
      <c r="BO24" s="188">
        <v>57336247.280000001</v>
      </c>
      <c r="BP24" s="188">
        <v>29791151.370000001</v>
      </c>
      <c r="BQ24" s="188">
        <v>43793084</v>
      </c>
      <c r="BR24" s="188">
        <v>21747603</v>
      </c>
      <c r="BS24" s="188">
        <v>24205337</v>
      </c>
      <c r="BT24" s="188">
        <v>15505192</v>
      </c>
      <c r="BU24" s="188">
        <v>21787402</v>
      </c>
      <c r="BV24" s="188">
        <v>4670679.0999999996</v>
      </c>
      <c r="BW24" s="188">
        <v>6300000</v>
      </c>
      <c r="BX24" s="188">
        <v>2443112.9</v>
      </c>
      <c r="BY24" s="188">
        <v>7029000</v>
      </c>
      <c r="BZ24" s="188">
        <v>3770000</v>
      </c>
      <c r="CA24" s="188">
        <v>6843000</v>
      </c>
      <c r="CB24" s="188">
        <v>5855000</v>
      </c>
      <c r="CC24" s="188">
        <v>2273000</v>
      </c>
      <c r="CD24" s="188">
        <v>0</v>
      </c>
    </row>
    <row r="25" spans="1:82" x14ac:dyDescent="0.25">
      <c r="A25" s="188" t="s">
        <v>212</v>
      </c>
    </row>
    <row r="26" spans="1:82" x14ac:dyDescent="0.25">
      <c r="A26" s="188" t="s">
        <v>213</v>
      </c>
      <c r="B26" s="188">
        <v>9.7000000000000003E-2</v>
      </c>
      <c r="C26" s="188">
        <v>8.5000000000000006E-2</v>
      </c>
      <c r="D26" s="188">
        <v>5.8000000000000003E-2</v>
      </c>
      <c r="E26" s="188">
        <v>0.217</v>
      </c>
      <c r="F26" s="188">
        <v>0.185</v>
      </c>
      <c r="G26" s="188">
        <v>0.123</v>
      </c>
      <c r="H26" s="188">
        <v>6.9000000000000006E-2</v>
      </c>
      <c r="I26" s="188">
        <v>5.3999999999999999E-2</v>
      </c>
      <c r="J26" s="188">
        <v>4.0000000000000001E-3</v>
      </c>
      <c r="K26" s="188">
        <v>-1.4999999999999999E-2</v>
      </c>
      <c r="L26" s="188">
        <v>3.0000000000000001E-3</v>
      </c>
      <c r="M26" s="188">
        <v>4.5999999999999999E-2</v>
      </c>
      <c r="N26" s="188">
        <v>5.7000000000000002E-2</v>
      </c>
      <c r="O26" s="188">
        <v>5.5E-2</v>
      </c>
      <c r="P26" s="188">
        <v>2.8000000000000001E-2</v>
      </c>
      <c r="Q26" s="188">
        <v>8.6999999999999994E-2</v>
      </c>
      <c r="R26" s="188">
        <v>7.1999999999999995E-2</v>
      </c>
      <c r="S26" s="188">
        <v>0.05</v>
      </c>
      <c r="T26" s="188">
        <v>4.2999999999999997E-2</v>
      </c>
      <c r="U26" s="188">
        <v>0.17399999999999999</v>
      </c>
      <c r="V26" s="188">
        <v>0.10100000000000001</v>
      </c>
      <c r="W26" s="188">
        <v>6.4000000000000001E-2</v>
      </c>
      <c r="X26" s="188">
        <v>2.1000000000000001E-2</v>
      </c>
      <c r="Y26" s="188">
        <v>1.9E-2</v>
      </c>
      <c r="Z26" s="188">
        <v>-4.7E-2</v>
      </c>
      <c r="AA26" s="188">
        <v>-5.8000000000000003E-2</v>
      </c>
      <c r="AB26" s="188">
        <v>-3.6999999999999998E-2</v>
      </c>
      <c r="AC26" s="188">
        <v>4.1000000000000002E-2</v>
      </c>
      <c r="AD26" s="188">
        <v>-0.16</v>
      </c>
      <c r="AE26" s="188">
        <v>-0.09</v>
      </c>
      <c r="AF26" s="188">
        <v>-0.06</v>
      </c>
      <c r="AG26" s="188">
        <v>-0.24199999999999999</v>
      </c>
      <c r="AH26" s="188">
        <v>-0.12</v>
      </c>
      <c r="AI26" s="188">
        <v>-7.0000000000000007E-2</v>
      </c>
      <c r="AJ26" s="188">
        <v>-0.04</v>
      </c>
      <c r="AK26" s="188">
        <v>8.0000000000000002E-3</v>
      </c>
      <c r="AL26" s="188">
        <v>-0.14000000000000001</v>
      </c>
      <c r="AM26" s="188">
        <v>-0.18</v>
      </c>
      <c r="AN26" s="188">
        <v>-0.13</v>
      </c>
      <c r="AO26" s="188">
        <v>-0.27</v>
      </c>
      <c r="AP26" s="188">
        <v>0.03</v>
      </c>
      <c r="AQ26" s="188">
        <v>0.18</v>
      </c>
      <c r="AR26" s="188">
        <v>0.11</v>
      </c>
      <c r="AS26" s="188">
        <v>0.24</v>
      </c>
      <c r="AT26" s="188">
        <v>0.17</v>
      </c>
      <c r="AU26" s="188">
        <v>0.03</v>
      </c>
      <c r="AV26" s="188">
        <v>-1.4999999999999999E-2</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c r="BO26" s="188">
        <v>0</v>
      </c>
      <c r="BP26" s="188">
        <v>0</v>
      </c>
      <c r="BQ26" s="188">
        <v>0</v>
      </c>
      <c r="BR26" s="188">
        <v>0</v>
      </c>
      <c r="BS26" s="188">
        <v>0</v>
      </c>
      <c r="BT26" s="188">
        <v>0</v>
      </c>
      <c r="BU26" s="188">
        <v>0</v>
      </c>
      <c r="BV26" s="188">
        <v>0</v>
      </c>
      <c r="BW26" s="188">
        <v>0</v>
      </c>
      <c r="BX26" s="188">
        <v>0</v>
      </c>
      <c r="BY26" s="188">
        <v>0</v>
      </c>
      <c r="BZ26" s="188">
        <v>0</v>
      </c>
      <c r="CA26" s="188">
        <v>0</v>
      </c>
      <c r="CB26" s="188">
        <v>0</v>
      </c>
      <c r="CC26" s="188">
        <v>0</v>
      </c>
      <c r="CD26" s="188">
        <v>0</v>
      </c>
    </row>
    <row r="27" spans="1:82" x14ac:dyDescent="0.25">
      <c r="A27" s="188" t="s">
        <v>214</v>
      </c>
      <c r="B27" s="188">
        <v>9.7000000000000003E-2</v>
      </c>
      <c r="C27" s="188">
        <v>8.5000000000000006E-2</v>
      </c>
      <c r="D27" s="188">
        <v>5.8000000000000003E-2</v>
      </c>
      <c r="E27" s="188">
        <v>0.217</v>
      </c>
      <c r="F27" s="188">
        <v>0.185</v>
      </c>
      <c r="G27" s="188">
        <v>0.123</v>
      </c>
      <c r="H27" s="188">
        <v>6.9000000000000006E-2</v>
      </c>
      <c r="I27" s="188">
        <v>5.3999999999999999E-2</v>
      </c>
      <c r="J27" s="188">
        <v>4.0000000000000001E-3</v>
      </c>
      <c r="K27" s="188">
        <v>-1.4999999999999999E-2</v>
      </c>
      <c r="L27" s="188">
        <v>3.0000000000000001E-3</v>
      </c>
      <c r="M27" s="188">
        <v>4.5999999999999999E-2</v>
      </c>
      <c r="N27" s="188">
        <v>5.7000000000000002E-2</v>
      </c>
      <c r="O27" s="188">
        <v>5.5E-2</v>
      </c>
      <c r="P27" s="188">
        <v>2.8000000000000001E-2</v>
      </c>
      <c r="Q27" s="188">
        <v>8.6999999999999994E-2</v>
      </c>
      <c r="R27" s="188">
        <v>7.1999999999999995E-2</v>
      </c>
      <c r="S27" s="188">
        <v>0.05</v>
      </c>
      <c r="T27" s="188">
        <v>4.2999999999999997E-2</v>
      </c>
      <c r="U27" s="188">
        <v>0.17399999999999999</v>
      </c>
      <c r="V27" s="188">
        <v>0.10100000000000001</v>
      </c>
      <c r="W27" s="188">
        <v>6.4000000000000001E-2</v>
      </c>
      <c r="X27" s="188">
        <v>2.1000000000000001E-2</v>
      </c>
      <c r="Y27" s="188">
        <v>1.9E-2</v>
      </c>
      <c r="Z27" s="188">
        <v>-4.7E-2</v>
      </c>
      <c r="AA27" s="188">
        <v>-5.8000000000000003E-2</v>
      </c>
      <c r="AB27" s="188">
        <v>-3.6999999999999998E-2</v>
      </c>
      <c r="AC27" s="188">
        <v>4.1000000000000002E-2</v>
      </c>
      <c r="AD27" s="188">
        <v>-0.16</v>
      </c>
      <c r="AE27" s="188">
        <v>-0.09</v>
      </c>
      <c r="AF27" s="188">
        <v>-0.06</v>
      </c>
      <c r="AG27" s="188">
        <v>-0.24199999999999999</v>
      </c>
      <c r="AH27" s="188">
        <v>-0.12</v>
      </c>
      <c r="AI27" s="188">
        <v>-7.0000000000000007E-2</v>
      </c>
      <c r="AJ27" s="188">
        <v>-0.04</v>
      </c>
      <c r="AK27" s="188">
        <v>8.0000000000000002E-3</v>
      </c>
      <c r="AL27" s="188">
        <v>-0.14000000000000001</v>
      </c>
      <c r="AM27" s="188">
        <v>-0.18</v>
      </c>
      <c r="AN27" s="188">
        <v>-0.13</v>
      </c>
      <c r="AO27" s="188">
        <v>-0.27</v>
      </c>
      <c r="AP27" s="188">
        <v>0.03</v>
      </c>
      <c r="AQ27" s="188">
        <v>0.18</v>
      </c>
      <c r="AR27" s="188">
        <v>0.11</v>
      </c>
      <c r="AS27" s="188">
        <v>0.24</v>
      </c>
      <c r="AT27" s="188">
        <v>0.17</v>
      </c>
      <c r="AU27" s="188">
        <v>0.03</v>
      </c>
      <c r="AV27" s="188">
        <v>-1.4999999999999999E-2</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0</v>
      </c>
      <c r="BS27" s="188">
        <v>0</v>
      </c>
      <c r="BT27" s="188">
        <v>0</v>
      </c>
      <c r="BU27" s="188">
        <v>0</v>
      </c>
      <c r="BV27" s="188">
        <v>0</v>
      </c>
      <c r="BW27" s="188">
        <v>0</v>
      </c>
      <c r="BX27" s="188">
        <v>0</v>
      </c>
      <c r="BY27" s="188">
        <v>0</v>
      </c>
      <c r="BZ27" s="188">
        <v>0</v>
      </c>
      <c r="CA27" s="188">
        <v>0</v>
      </c>
      <c r="CB27" s="188">
        <v>0</v>
      </c>
      <c r="CC27" s="188">
        <v>0</v>
      </c>
      <c r="CD27" s="188">
        <v>0</v>
      </c>
    </row>
    <row r="28" spans="1:82" x14ac:dyDescent="0.25">
      <c r="A28" s="188" t="s">
        <v>215</v>
      </c>
      <c r="B28" s="188">
        <v>-242834533</v>
      </c>
      <c r="C28" s="188">
        <v>-223269396</v>
      </c>
      <c r="D28" s="188">
        <v>26569758</v>
      </c>
      <c r="E28" s="188">
        <v>44387083</v>
      </c>
      <c r="F28" s="188">
        <v>-35115613</v>
      </c>
      <c r="G28" s="188">
        <v>-14001966</v>
      </c>
      <c r="H28" s="188">
        <v>22533903</v>
      </c>
      <c r="I28" s="188">
        <v>32059196</v>
      </c>
      <c r="J28" s="188">
        <v>-20926500</v>
      </c>
      <c r="K28" s="188">
        <v>-26340409</v>
      </c>
      <c r="L28" s="188">
        <v>-50025753</v>
      </c>
      <c r="M28" s="188">
        <v>49447550</v>
      </c>
      <c r="N28" s="188">
        <v>-50041037</v>
      </c>
      <c r="O28" s="188">
        <v>71443148</v>
      </c>
      <c r="P28" s="188">
        <v>54206935</v>
      </c>
      <c r="Q28" s="188">
        <v>34637336</v>
      </c>
      <c r="R28" s="188">
        <v>9724331</v>
      </c>
      <c r="S28" s="188">
        <v>-27145356</v>
      </c>
      <c r="T28" s="188">
        <v>-31101945</v>
      </c>
      <c r="U28" s="188">
        <v>-33512719</v>
      </c>
      <c r="V28" s="188">
        <v>3994949</v>
      </c>
      <c r="W28" s="188">
        <v>9520272</v>
      </c>
      <c r="X28" s="188">
        <v>2894727</v>
      </c>
      <c r="Y28" s="188">
        <v>42966485</v>
      </c>
      <c r="Z28" s="188">
        <v>10122601</v>
      </c>
      <c r="AA28" s="188">
        <v>14074192</v>
      </c>
      <c r="AB28" s="188">
        <v>-16965037</v>
      </c>
      <c r="AC28" s="188">
        <v>48746243</v>
      </c>
      <c r="AD28" s="188">
        <v>-68261649</v>
      </c>
      <c r="AE28" s="188">
        <v>-20986819</v>
      </c>
      <c r="AF28" s="188">
        <v>-6497673</v>
      </c>
      <c r="AG28" s="188">
        <v>-9050182</v>
      </c>
      <c r="AH28" s="188">
        <v>-22692892</v>
      </c>
      <c r="AI28" s="188">
        <v>-35753218</v>
      </c>
      <c r="AJ28" s="188">
        <v>12448188</v>
      </c>
      <c r="AK28" s="188">
        <v>274786073</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0</v>
      </c>
      <c r="BP28" s="188">
        <v>0</v>
      </c>
      <c r="BQ28" s="188">
        <v>0</v>
      </c>
      <c r="BR28" s="188">
        <v>0</v>
      </c>
      <c r="BS28" s="188">
        <v>0</v>
      </c>
      <c r="BT28" s="188">
        <v>0</v>
      </c>
      <c r="BU28" s="188">
        <v>0</v>
      </c>
      <c r="BV28" s="188">
        <v>0</v>
      </c>
      <c r="BW28" s="188">
        <v>0</v>
      </c>
      <c r="BX28" s="188">
        <v>0</v>
      </c>
      <c r="BY28" s="188">
        <v>0</v>
      </c>
      <c r="BZ28" s="188">
        <v>0</v>
      </c>
      <c r="CA28" s="188">
        <v>0</v>
      </c>
      <c r="CB28" s="188">
        <v>0</v>
      </c>
      <c r="CC28" s="188">
        <v>0</v>
      </c>
      <c r="CD28" s="188">
        <v>0</v>
      </c>
    </row>
    <row r="29" spans="1:82" x14ac:dyDescent="0.25">
      <c r="A29" s="188" t="s">
        <v>216</v>
      </c>
      <c r="B29" s="188">
        <v>2727384247</v>
      </c>
      <c r="C29" s="188">
        <v>2605824061</v>
      </c>
      <c r="D29" s="188">
        <v>1963391722</v>
      </c>
      <c r="E29" s="188">
        <v>7904798642</v>
      </c>
      <c r="F29" s="188">
        <v>6758912761</v>
      </c>
      <c r="G29" s="188">
        <v>4580560039</v>
      </c>
      <c r="H29" s="188">
        <v>2627400771</v>
      </c>
      <c r="I29" s="188">
        <v>2077229955</v>
      </c>
      <c r="J29" s="188">
        <v>137192696</v>
      </c>
      <c r="K29" s="188">
        <v>-613843977</v>
      </c>
      <c r="L29" s="188">
        <v>52394412</v>
      </c>
      <c r="M29" s="188">
        <v>1687557482</v>
      </c>
      <c r="N29" s="188">
        <v>1938753004</v>
      </c>
      <c r="O29" s="188">
        <v>2024596916</v>
      </c>
      <c r="P29" s="188">
        <v>1031450851</v>
      </c>
      <c r="Q29" s="188">
        <v>2750551306</v>
      </c>
      <c r="R29" s="188">
        <v>2003637503</v>
      </c>
      <c r="S29" s="188">
        <v>1135753411</v>
      </c>
      <c r="T29" s="188">
        <v>658584430</v>
      </c>
      <c r="U29" s="188">
        <v>2938616472</v>
      </c>
      <c r="V29" s="188">
        <v>1816540346</v>
      </c>
      <c r="W29" s="188">
        <v>1174801041</v>
      </c>
      <c r="X29" s="188">
        <v>403023554</v>
      </c>
      <c r="Y29" s="188">
        <v>227349553</v>
      </c>
      <c r="Z29" s="188">
        <v>-912990435</v>
      </c>
      <c r="AA29" s="188">
        <v>-1063032488</v>
      </c>
      <c r="AB29" s="188">
        <v>-727498725</v>
      </c>
      <c r="AC29" s="188">
        <v>742423560</v>
      </c>
      <c r="AD29" s="188">
        <v>-2379942865</v>
      </c>
      <c r="AE29" s="188">
        <v>-1347525135</v>
      </c>
      <c r="AF29" s="188">
        <v>-747351679</v>
      </c>
      <c r="AG29" s="188">
        <v>-2277082988</v>
      </c>
      <c r="AH29" s="188">
        <v>-1170371868</v>
      </c>
      <c r="AI29" s="188">
        <v>-653432394</v>
      </c>
      <c r="AJ29" s="188">
        <v>-319557782</v>
      </c>
      <c r="AK29" s="188">
        <v>209522180</v>
      </c>
      <c r="AL29" s="188">
        <v>-941173925</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c r="BS29" s="188">
        <v>0</v>
      </c>
      <c r="BT29" s="188">
        <v>0</v>
      </c>
      <c r="BU29" s="188">
        <v>0</v>
      </c>
      <c r="BV29" s="188">
        <v>0</v>
      </c>
      <c r="BW29" s="188">
        <v>0</v>
      </c>
      <c r="BX29" s="188">
        <v>0</v>
      </c>
      <c r="BY29" s="188">
        <v>0</v>
      </c>
      <c r="BZ29" s="188">
        <v>0</v>
      </c>
      <c r="CA29" s="188">
        <v>0</v>
      </c>
      <c r="CB29" s="188">
        <v>0</v>
      </c>
      <c r="CC29" s="188">
        <v>0</v>
      </c>
      <c r="CD29" s="188">
        <v>0</v>
      </c>
    </row>
    <row r="30" spans="1:82" x14ac:dyDescent="0.25">
      <c r="A30" s="188" t="s">
        <v>217</v>
      </c>
      <c r="B30" s="188">
        <v>3071898326</v>
      </c>
      <c r="C30" s="188">
        <v>2736919983</v>
      </c>
      <c r="D30" s="188">
        <v>2097978764</v>
      </c>
      <c r="E30" s="188">
        <v>7642566723</v>
      </c>
      <c r="F30" s="188">
        <v>6481034472</v>
      </c>
      <c r="G30" s="188">
        <v>4311973796</v>
      </c>
      <c r="H30" s="188">
        <v>2442795776</v>
      </c>
      <c r="I30" s="188">
        <v>1868137368</v>
      </c>
      <c r="J30" s="188">
        <v>98726120</v>
      </c>
      <c r="K30" s="188">
        <v>-542812827</v>
      </c>
      <c r="L30" s="188">
        <v>58299701</v>
      </c>
      <c r="M30" s="188">
        <v>1685792886</v>
      </c>
      <c r="N30" s="188">
        <v>1942421383</v>
      </c>
      <c r="O30" s="188">
        <v>2022688849</v>
      </c>
      <c r="P30" s="188">
        <v>1032422754</v>
      </c>
      <c r="Q30" s="188">
        <v>2596691317</v>
      </c>
      <c r="R30" s="188">
        <v>1864445782</v>
      </c>
      <c r="S30" s="188">
        <v>1014490358</v>
      </c>
      <c r="T30" s="188">
        <v>556550044</v>
      </c>
      <c r="U30" s="188">
        <v>2319852975</v>
      </c>
      <c r="V30" s="188">
        <v>1363108780</v>
      </c>
      <c r="W30" s="188">
        <v>868809165</v>
      </c>
      <c r="X30" s="188">
        <v>289797748</v>
      </c>
      <c r="Y30" s="188">
        <v>301099876</v>
      </c>
      <c r="Z30" s="188">
        <v>-625150310</v>
      </c>
      <c r="AA30" s="188">
        <v>-772808004</v>
      </c>
      <c r="AB30" s="188">
        <v>-511527810</v>
      </c>
      <c r="AC30" s="188">
        <v>609612720</v>
      </c>
      <c r="AD30" s="188">
        <v>-2211350250</v>
      </c>
      <c r="AE30" s="188">
        <v>-1236471296</v>
      </c>
      <c r="AF30" s="188">
        <v>-681279637</v>
      </c>
      <c r="AG30" s="188">
        <v>-2012863265</v>
      </c>
      <c r="AH30" s="188">
        <v>-1011536651</v>
      </c>
      <c r="AI30" s="188">
        <v>-576459445</v>
      </c>
      <c r="AJ30" s="188">
        <v>-284405148</v>
      </c>
      <c r="AK30" s="188">
        <v>324466401</v>
      </c>
      <c r="AL30" s="188">
        <v>-757001707</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c r="BK30" s="188">
        <v>0</v>
      </c>
      <c r="BL30" s="188">
        <v>0</v>
      </c>
      <c r="BM30" s="188">
        <v>0</v>
      </c>
      <c r="BN30" s="188">
        <v>0</v>
      </c>
      <c r="BO30" s="188">
        <v>0</v>
      </c>
      <c r="BP30" s="188">
        <v>0</v>
      </c>
      <c r="BQ30" s="188">
        <v>0</v>
      </c>
      <c r="BR30" s="188">
        <v>0</v>
      </c>
      <c r="BS30" s="188">
        <v>0</v>
      </c>
      <c r="BT30" s="188">
        <v>0</v>
      </c>
      <c r="BU30" s="188">
        <v>0</v>
      </c>
      <c r="BV30" s="188">
        <v>0</v>
      </c>
      <c r="BW30" s="188">
        <v>0</v>
      </c>
      <c r="BX30" s="188">
        <v>0</v>
      </c>
      <c r="BY30" s="188">
        <v>0</v>
      </c>
      <c r="BZ30" s="188">
        <v>0</v>
      </c>
      <c r="CA30" s="188">
        <v>0</v>
      </c>
      <c r="CB30" s="188">
        <v>0</v>
      </c>
      <c r="CC30" s="188">
        <v>0</v>
      </c>
      <c r="CD30" s="188">
        <v>0</v>
      </c>
    </row>
    <row r="31" spans="1:82" x14ac:dyDescent="0.25">
      <c r="A31" s="188" t="s">
        <v>218</v>
      </c>
      <c r="B31" s="188">
        <v>-344514079</v>
      </c>
      <c r="C31" s="188">
        <v>-131095922</v>
      </c>
      <c r="D31" s="188">
        <v>-134587042</v>
      </c>
      <c r="E31" s="188">
        <v>262231919</v>
      </c>
      <c r="F31" s="188">
        <v>277878289</v>
      </c>
      <c r="G31" s="188">
        <v>268586243</v>
      </c>
      <c r="H31" s="188">
        <v>184604995</v>
      </c>
      <c r="I31" s="188">
        <v>209092587</v>
      </c>
      <c r="J31" s="188">
        <v>38466576</v>
      </c>
      <c r="K31" s="188">
        <v>-71031150</v>
      </c>
      <c r="L31" s="188">
        <v>-5905289</v>
      </c>
      <c r="M31" s="188">
        <v>1764596</v>
      </c>
      <c r="N31" s="188">
        <v>-3668379</v>
      </c>
      <c r="O31" s="188">
        <v>1908067</v>
      </c>
      <c r="P31" s="188">
        <v>-971903</v>
      </c>
      <c r="Q31" s="188">
        <v>153859989</v>
      </c>
      <c r="R31" s="188">
        <v>139191721</v>
      </c>
      <c r="S31" s="188">
        <v>121263053</v>
      </c>
      <c r="T31" s="188">
        <v>102034386</v>
      </c>
      <c r="U31" s="188">
        <v>618763497</v>
      </c>
      <c r="V31" s="188">
        <v>453431566</v>
      </c>
      <c r="W31" s="188">
        <v>305991876</v>
      </c>
      <c r="X31" s="188">
        <v>113225806</v>
      </c>
      <c r="Y31" s="188">
        <v>-73750323</v>
      </c>
      <c r="Z31" s="188">
        <v>-287840125</v>
      </c>
      <c r="AA31" s="188">
        <v>-290224484</v>
      </c>
      <c r="AB31" s="188">
        <v>-215970915</v>
      </c>
      <c r="AC31" s="188">
        <v>132810840</v>
      </c>
      <c r="AD31" s="188">
        <v>-168592615</v>
      </c>
      <c r="AE31" s="188">
        <v>-111053839</v>
      </c>
      <c r="AF31" s="188">
        <v>-66072042</v>
      </c>
      <c r="AG31" s="188">
        <v>-264219723</v>
      </c>
      <c r="AH31" s="188">
        <v>-158835217</v>
      </c>
      <c r="AI31" s="188">
        <v>-76972949</v>
      </c>
      <c r="AJ31" s="188">
        <v>-35152634</v>
      </c>
      <c r="AK31" s="188">
        <v>-114944221</v>
      </c>
      <c r="AL31" s="188">
        <v>-184172218</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c r="BO31" s="188">
        <v>0</v>
      </c>
      <c r="BP31" s="188">
        <v>0</v>
      </c>
      <c r="BQ31" s="188">
        <v>0</v>
      </c>
      <c r="BR31" s="188">
        <v>0</v>
      </c>
      <c r="BS31" s="188">
        <v>0</v>
      </c>
      <c r="BT31" s="188">
        <v>0</v>
      </c>
      <c r="BU31" s="188">
        <v>0</v>
      </c>
      <c r="BV31" s="188">
        <v>0</v>
      </c>
      <c r="BW31" s="188">
        <v>0</v>
      </c>
      <c r="BX31" s="188">
        <v>0</v>
      </c>
      <c r="BY31" s="188">
        <v>0</v>
      </c>
      <c r="BZ31" s="188">
        <v>0</v>
      </c>
      <c r="CA31" s="188">
        <v>0</v>
      </c>
      <c r="CB31" s="188">
        <v>0</v>
      </c>
      <c r="CC31" s="188">
        <v>0</v>
      </c>
      <c r="CD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U77"/>
  <sheetViews>
    <sheetView workbookViewId="0">
      <selection activeCell="E13" sqref="E13"/>
    </sheetView>
  </sheetViews>
  <sheetFormatPr defaultRowHeight="14.4" x14ac:dyDescent="0.25"/>
  <cols>
    <col min="1" max="1" width="57.77734375" style="188" bestFit="1" customWidth="1"/>
    <col min="2" max="4" width="13.88671875" style="188" hidden="1" customWidth="1"/>
    <col min="5" max="5" width="13.88671875" style="188" bestFit="1" customWidth="1"/>
    <col min="6" max="8" width="13.88671875" style="188" hidden="1" customWidth="1"/>
    <col min="9" max="9" width="13.88671875" style="188" bestFit="1" customWidth="1"/>
    <col min="10" max="11" width="13.88671875" style="188" hidden="1" customWidth="1"/>
    <col min="12" max="12" width="12.77734375" style="188" hidden="1" customWidth="1"/>
    <col min="13" max="13" width="13.88671875" style="188" bestFit="1" customWidth="1"/>
    <col min="14" max="15" width="13.88671875" style="188" hidden="1" customWidth="1"/>
    <col min="16" max="16" width="12.77734375" style="188" hidden="1" customWidth="1"/>
    <col min="17" max="17" width="13.88671875" style="188" bestFit="1" customWidth="1"/>
    <col min="18" max="18" width="13.88671875" style="188" hidden="1" customWidth="1"/>
    <col min="19" max="20" width="12.77734375" style="188" hidden="1" customWidth="1"/>
    <col min="21" max="21" width="13.88671875" style="188" bestFit="1" customWidth="1"/>
    <col min="22" max="22" width="13.88671875" style="188" hidden="1" customWidth="1"/>
    <col min="23" max="24" width="12.77734375" style="188" hidden="1" customWidth="1"/>
    <col min="25" max="25" width="12.77734375" style="188" bestFit="1" customWidth="1"/>
    <col min="26" max="28" width="12.77734375" style="188" hidden="1" customWidth="1"/>
    <col min="29" max="29" width="13.88671875" style="188" bestFit="1" customWidth="1"/>
    <col min="30" max="31" width="13.88671875" style="188" hidden="1" customWidth="1"/>
    <col min="32" max="32" width="12.77734375" style="188" hidden="1" customWidth="1"/>
    <col min="33" max="33" width="13.88671875" style="188" bestFit="1" customWidth="1"/>
    <col min="34" max="35" width="13.88671875" style="188" hidden="1" customWidth="1"/>
    <col min="36" max="36" width="12.77734375" style="188" hidden="1" customWidth="1"/>
    <col min="37" max="37" width="12.77734375" style="188" bestFit="1" customWidth="1"/>
    <col min="38" max="40" width="12.77734375" style="188" hidden="1" customWidth="1"/>
    <col min="41" max="41" width="12.77734375" style="188" bestFit="1" customWidth="1"/>
    <col min="42" max="44" width="11.6640625" style="188" hidden="1" customWidth="1"/>
    <col min="45" max="45" width="12.77734375" style="188" bestFit="1" customWidth="1"/>
    <col min="46" max="48" width="12.77734375" style="188" hidden="1" customWidth="1"/>
    <col min="49" max="49" width="12.77734375" style="188" bestFit="1" customWidth="1"/>
    <col min="50" max="51" width="12.77734375" style="188" hidden="1" customWidth="1"/>
    <col min="52" max="52" width="11.6640625" style="188" hidden="1" customWidth="1"/>
    <col min="53" max="53" width="12.77734375" style="188" bestFit="1" customWidth="1"/>
    <col min="54" max="54" width="13.88671875" style="188" hidden="1" customWidth="1"/>
    <col min="55" max="56" width="12.77734375" style="188" hidden="1" customWidth="1"/>
    <col min="57" max="57" width="12.77734375" style="188" bestFit="1" customWidth="1"/>
    <col min="58" max="60" width="13.88671875" style="188" hidden="1" customWidth="1"/>
    <col min="61" max="61" width="12.77734375" style="188" bestFit="1" customWidth="1"/>
    <col min="62" max="64" width="13.88671875" style="188" hidden="1" customWidth="1"/>
    <col min="65" max="65" width="11.6640625" style="188" bestFit="1" customWidth="1"/>
    <col min="66" max="66" width="13.88671875" style="188" hidden="1" customWidth="1"/>
    <col min="67" max="67" width="11.6640625" style="188" bestFit="1" customWidth="1"/>
    <col min="68" max="68" width="13.88671875" style="188" hidden="1" customWidth="1"/>
    <col min="69" max="69" width="11.6640625" style="188" bestFit="1" customWidth="1"/>
    <col min="70" max="70" width="11.6640625" style="188" hidden="1" customWidth="1"/>
    <col min="71" max="71" width="11.6640625" style="188" bestFit="1" customWidth="1"/>
    <col min="72" max="72" width="10.5546875" style="188" bestFit="1" customWidth="1"/>
    <col min="73" max="73" width="9.5546875" style="188" hidden="1" customWidth="1"/>
    <col min="74" max="16384" width="8.88671875" style="188"/>
  </cols>
  <sheetData>
    <row r="1" spans="1:73" x14ac:dyDescent="0.25">
      <c r="A1" s="188">
        <v>725</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20020630</v>
      </c>
      <c r="BO1" s="188">
        <v>20011231</v>
      </c>
      <c r="BP1" s="188">
        <v>20010630</v>
      </c>
      <c r="BQ1" s="188">
        <v>20001231</v>
      </c>
      <c r="BR1" s="188">
        <v>20000630</v>
      </c>
      <c r="BS1" s="188">
        <v>19991231</v>
      </c>
      <c r="BT1" s="188">
        <v>19981231</v>
      </c>
      <c r="BU1" s="188">
        <v>19700101</v>
      </c>
    </row>
    <row r="2" spans="1:73"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c r="BR2" s="188" t="s">
        <v>106</v>
      </c>
      <c r="BS2" s="188" t="s">
        <v>106</v>
      </c>
      <c r="BT2" s="188" t="s">
        <v>106</v>
      </c>
    </row>
    <row r="3" spans="1:73" x14ac:dyDescent="0.25">
      <c r="A3" s="188" t="s">
        <v>219</v>
      </c>
    </row>
    <row r="4" spans="1:73" x14ac:dyDescent="0.25">
      <c r="A4" s="188" t="s">
        <v>220</v>
      </c>
      <c r="B4" s="188">
        <v>60772530957</v>
      </c>
      <c r="C4" s="188">
        <v>46919613472</v>
      </c>
      <c r="D4" s="188">
        <v>23118428990</v>
      </c>
      <c r="E4" s="188">
        <v>102954356249</v>
      </c>
      <c r="F4" s="188">
        <v>68660537726</v>
      </c>
      <c r="G4" s="188">
        <v>43665151353</v>
      </c>
      <c r="H4" s="188">
        <v>22790725860</v>
      </c>
      <c r="I4" s="188">
        <v>68853018038</v>
      </c>
      <c r="J4" s="188">
        <v>36623911272</v>
      </c>
      <c r="K4" s="188">
        <v>24660608318</v>
      </c>
      <c r="L4" s="188">
        <v>14752531095</v>
      </c>
      <c r="M4" s="188">
        <v>50577270660</v>
      </c>
      <c r="N4" s="188">
        <v>36345984473</v>
      </c>
      <c r="O4" s="188">
        <v>22930542755</v>
      </c>
      <c r="P4" s="188">
        <v>11797439308</v>
      </c>
      <c r="Q4" s="188">
        <v>38084816098</v>
      </c>
      <c r="R4" s="188">
        <v>26232696940</v>
      </c>
      <c r="S4" s="188">
        <v>17820222805</v>
      </c>
      <c r="T4" s="188">
        <v>9220709287</v>
      </c>
      <c r="U4" s="188">
        <v>37313639815</v>
      </c>
      <c r="V4" s="188">
        <v>24110584754</v>
      </c>
      <c r="W4" s="188">
        <v>14931452858</v>
      </c>
      <c r="X4" s="188">
        <v>7362659563</v>
      </c>
      <c r="Y4" s="188">
        <v>25966398631</v>
      </c>
      <c r="Z4" s="188">
        <v>14319558754</v>
      </c>
      <c r="AA4" s="188">
        <v>8437761719</v>
      </c>
      <c r="AB4" s="188">
        <v>3777236834</v>
      </c>
      <c r="AC4" s="188">
        <v>12713419705</v>
      </c>
      <c r="AD4" s="188">
        <v>6946995699</v>
      </c>
      <c r="AE4" s="188">
        <v>3944504377</v>
      </c>
      <c r="AF4" s="188">
        <v>1951481717</v>
      </c>
      <c r="AG4" s="188">
        <v>8616725918</v>
      </c>
      <c r="AH4" s="188">
        <v>5993924770</v>
      </c>
      <c r="AI4" s="188">
        <v>3883606521</v>
      </c>
      <c r="AJ4" s="188">
        <v>1845550068</v>
      </c>
      <c r="AK4" s="188">
        <v>6044760061</v>
      </c>
      <c r="AL4" s="188">
        <v>3637669417</v>
      </c>
      <c r="AM4" s="188">
        <v>1757061013</v>
      </c>
      <c r="AN4" s="188">
        <v>768952605</v>
      </c>
      <c r="AO4" s="188">
        <v>10070416783</v>
      </c>
      <c r="AP4" s="188">
        <v>8377481190</v>
      </c>
      <c r="AQ4" s="188">
        <v>6143067264</v>
      </c>
      <c r="AR4" s="188">
        <v>3266755773</v>
      </c>
      <c r="AS4" s="188">
        <v>11237354875</v>
      </c>
      <c r="AT4" s="188">
        <v>7676330426</v>
      </c>
      <c r="AU4" s="188">
        <v>4417283447</v>
      </c>
      <c r="AV4" s="188">
        <v>1844660182</v>
      </c>
      <c r="AW4" s="188">
        <v>9914393722</v>
      </c>
      <c r="AX4" s="188">
        <v>7724560761</v>
      </c>
      <c r="AY4" s="188">
        <v>5389527714</v>
      </c>
      <c r="AZ4" s="188">
        <v>3541671441</v>
      </c>
      <c r="BA4" s="188">
        <v>12552880102</v>
      </c>
      <c r="BB4" s="188">
        <v>9080976621.1800003</v>
      </c>
      <c r="BC4" s="188">
        <v>4706905850</v>
      </c>
      <c r="BD4" s="188">
        <v>2450038203</v>
      </c>
      <c r="BE4" s="188">
        <v>13323277707</v>
      </c>
      <c r="BF4" s="188">
        <v>9382715262.6700001</v>
      </c>
      <c r="BG4" s="188">
        <v>6463444150.6499996</v>
      </c>
      <c r="BH4" s="188">
        <v>3839223912.0999999</v>
      </c>
      <c r="BI4" s="188">
        <v>11468005084</v>
      </c>
      <c r="BJ4" s="188">
        <v>8326912263.0900002</v>
      </c>
      <c r="BK4" s="188">
        <v>4834451982.9300003</v>
      </c>
      <c r="BL4" s="188">
        <v>2528721938.5300002</v>
      </c>
      <c r="BM4" s="188">
        <v>4499246849</v>
      </c>
      <c r="BN4" s="188">
        <v>1886557877.3800001</v>
      </c>
      <c r="BO4" s="188">
        <v>2975557658</v>
      </c>
      <c r="BP4" s="188">
        <v>1550605785.97</v>
      </c>
      <c r="BQ4" s="188">
        <v>2164267998</v>
      </c>
      <c r="BR4" s="188">
        <v>821261175</v>
      </c>
      <c r="BS4" s="188">
        <v>525631913</v>
      </c>
      <c r="BT4" s="188">
        <v>263583000</v>
      </c>
      <c r="BU4" s="188">
        <v>0</v>
      </c>
    </row>
    <row r="5" spans="1:73" x14ac:dyDescent="0.25">
      <c r="A5" s="188" t="s">
        <v>221</v>
      </c>
      <c r="B5" s="188">
        <v>6005730169</v>
      </c>
      <c r="C5" s="188">
        <v>3252910154</v>
      </c>
      <c r="D5" s="188">
        <v>1805270382</v>
      </c>
      <c r="E5" s="188">
        <v>8111061033</v>
      </c>
      <c r="F5" s="188">
        <v>6141348934</v>
      </c>
      <c r="G5" s="188">
        <v>3662030436</v>
      </c>
      <c r="H5" s="188">
        <v>2002200439</v>
      </c>
      <c r="I5" s="188">
        <v>3917650651</v>
      </c>
      <c r="J5" s="188">
        <v>2825772770</v>
      </c>
      <c r="K5" s="188">
        <v>1773162511</v>
      </c>
      <c r="L5" s="188">
        <v>918783988</v>
      </c>
      <c r="M5" s="188">
        <v>3288689442</v>
      </c>
      <c r="N5" s="188">
        <v>2593189930</v>
      </c>
      <c r="O5" s="188">
        <v>1552640958</v>
      </c>
      <c r="P5" s="188">
        <v>809203320</v>
      </c>
      <c r="Q5" s="188">
        <v>1319925344</v>
      </c>
      <c r="R5" s="188">
        <v>922151691</v>
      </c>
      <c r="S5" s="188">
        <v>696134294</v>
      </c>
      <c r="T5" s="188">
        <v>466644640</v>
      </c>
      <c r="U5" s="188">
        <v>1487048285</v>
      </c>
      <c r="V5" s="188">
        <v>542257891</v>
      </c>
      <c r="W5" s="188">
        <v>910989260</v>
      </c>
      <c r="X5" s="188">
        <v>277597406</v>
      </c>
      <c r="Y5" s="188">
        <v>458747777</v>
      </c>
      <c r="Z5" s="188">
        <v>328064879</v>
      </c>
      <c r="AA5" s="188">
        <v>145153216</v>
      </c>
      <c r="AB5" s="188">
        <v>50483943</v>
      </c>
      <c r="AC5" s="188">
        <v>300425721</v>
      </c>
      <c r="AD5" s="188">
        <v>248672878</v>
      </c>
      <c r="AE5" s="188">
        <v>236511314</v>
      </c>
      <c r="AF5" s="188">
        <v>208854987</v>
      </c>
      <c r="AG5" s="188">
        <v>362980544</v>
      </c>
      <c r="AH5" s="188">
        <v>24789262</v>
      </c>
      <c r="AI5" s="188">
        <v>18350679</v>
      </c>
      <c r="AJ5" s="188">
        <v>8368715</v>
      </c>
      <c r="AK5" s="188">
        <v>46775775</v>
      </c>
      <c r="AL5" s="188">
        <v>19228316</v>
      </c>
      <c r="AM5" s="188">
        <v>17765133</v>
      </c>
      <c r="AN5" s="188">
        <v>1301984</v>
      </c>
      <c r="AO5" s="188">
        <v>33802207</v>
      </c>
      <c r="AP5" s="188">
        <v>198525429</v>
      </c>
      <c r="AQ5" s="188">
        <v>17763581</v>
      </c>
      <c r="AR5" s="188">
        <v>11298726</v>
      </c>
      <c r="AS5" s="188">
        <v>12648968</v>
      </c>
      <c r="AT5" s="188">
        <v>7874419</v>
      </c>
      <c r="AU5" s="188">
        <v>3183420</v>
      </c>
      <c r="AV5" s="188">
        <v>625617</v>
      </c>
      <c r="AW5" s="188">
        <v>9341173</v>
      </c>
      <c r="AX5" s="188">
        <v>7260781</v>
      </c>
      <c r="AY5" s="188">
        <v>5060780</v>
      </c>
      <c r="AZ5" s="188">
        <v>2423327</v>
      </c>
      <c r="BA5" s="188">
        <v>0</v>
      </c>
      <c r="BB5" s="188">
        <v>26001966.52</v>
      </c>
      <c r="BC5" s="188">
        <v>24647796</v>
      </c>
      <c r="BD5" s="188">
        <v>20843600</v>
      </c>
      <c r="BE5" s="188">
        <v>44679859</v>
      </c>
      <c r="BF5" s="188">
        <v>6241840.46</v>
      </c>
      <c r="BG5" s="188">
        <v>2914119.43</v>
      </c>
      <c r="BH5" s="188">
        <v>953109.75</v>
      </c>
      <c r="BI5" s="188">
        <v>0</v>
      </c>
      <c r="BJ5" s="188">
        <v>6386245.2199999997</v>
      </c>
      <c r="BK5" s="188">
        <v>4301035.5199999996</v>
      </c>
      <c r="BL5" s="188">
        <v>530967.62</v>
      </c>
      <c r="BM5" s="188">
        <v>0</v>
      </c>
      <c r="BN5" s="188">
        <v>2813974.27</v>
      </c>
      <c r="BO5" s="188">
        <v>2495616</v>
      </c>
      <c r="BP5" s="188">
        <v>646976.81000000006</v>
      </c>
      <c r="BQ5" s="188">
        <v>1610279</v>
      </c>
      <c r="BR5" s="188">
        <v>153802</v>
      </c>
      <c r="BS5" s="188">
        <v>8495579</v>
      </c>
      <c r="BT5" s="188">
        <v>8897000</v>
      </c>
      <c r="BU5" s="188">
        <v>0</v>
      </c>
    </row>
    <row r="6" spans="1:73" x14ac:dyDescent="0.25">
      <c r="A6" s="188" t="s">
        <v>222</v>
      </c>
      <c r="B6" s="188">
        <v>4515605387</v>
      </c>
      <c r="C6" s="188">
        <v>2892613722</v>
      </c>
      <c r="D6" s="188">
        <v>2205347118</v>
      </c>
      <c r="E6" s="188">
        <v>869275860</v>
      </c>
      <c r="F6" s="188">
        <v>1189087137</v>
      </c>
      <c r="G6" s="188">
        <v>768953070</v>
      </c>
      <c r="H6" s="188">
        <v>242538036</v>
      </c>
      <c r="I6" s="188">
        <v>840215406</v>
      </c>
      <c r="J6" s="188">
        <v>2438902512</v>
      </c>
      <c r="K6" s="188">
        <v>1554539195</v>
      </c>
      <c r="L6" s="188">
        <v>1835570896</v>
      </c>
      <c r="M6" s="188">
        <v>780349439</v>
      </c>
      <c r="N6" s="188">
        <v>920462620</v>
      </c>
      <c r="O6" s="188">
        <v>822344215</v>
      </c>
      <c r="P6" s="188">
        <v>317948130</v>
      </c>
      <c r="Q6" s="188">
        <v>505991614</v>
      </c>
      <c r="R6" s="188">
        <v>880323747</v>
      </c>
      <c r="S6" s="188">
        <v>678900597</v>
      </c>
      <c r="T6" s="188">
        <v>623329006</v>
      </c>
      <c r="U6" s="188">
        <v>473370363</v>
      </c>
      <c r="V6" s="188">
        <v>573065143</v>
      </c>
      <c r="W6" s="188">
        <v>233307610</v>
      </c>
      <c r="X6" s="188">
        <v>133863470</v>
      </c>
      <c r="Y6" s="188">
        <v>548693632</v>
      </c>
      <c r="Z6" s="188">
        <v>1199931838</v>
      </c>
      <c r="AA6" s="188">
        <v>246832198</v>
      </c>
      <c r="AB6" s="188">
        <v>124401105</v>
      </c>
      <c r="AC6" s="188">
        <v>386939800</v>
      </c>
      <c r="AD6" s="188">
        <v>757652972</v>
      </c>
      <c r="AE6" s="188">
        <v>535191754</v>
      </c>
      <c r="AF6" s="188">
        <v>174819796</v>
      </c>
      <c r="AG6" s="188">
        <v>61251753</v>
      </c>
      <c r="AH6" s="188">
        <v>642508946</v>
      </c>
      <c r="AI6" s="188">
        <v>522365470</v>
      </c>
      <c r="AJ6" s="188">
        <v>380217149</v>
      </c>
      <c r="AK6" s="188">
        <v>847037537</v>
      </c>
      <c r="AL6" s="188">
        <v>460117202</v>
      </c>
      <c r="AM6" s="188">
        <v>244985100</v>
      </c>
      <c r="AN6" s="188">
        <v>106203143</v>
      </c>
      <c r="AO6" s="188">
        <v>131279170</v>
      </c>
      <c r="AP6" s="188">
        <v>213607504</v>
      </c>
      <c r="AQ6" s="188">
        <v>206632490</v>
      </c>
      <c r="AR6" s="188">
        <v>70414558</v>
      </c>
      <c r="AS6" s="188">
        <v>116063939</v>
      </c>
      <c r="AT6" s="188">
        <v>348447717</v>
      </c>
      <c r="AU6" s="188">
        <v>308540630</v>
      </c>
      <c r="AV6" s="188">
        <v>288645086</v>
      </c>
      <c r="AW6" s="188">
        <v>505799682</v>
      </c>
      <c r="AX6" s="188">
        <v>390650675</v>
      </c>
      <c r="AY6" s="188">
        <v>148392122</v>
      </c>
      <c r="AZ6" s="188">
        <v>49896531</v>
      </c>
      <c r="BA6" s="188">
        <v>170542952</v>
      </c>
      <c r="BB6" s="188">
        <v>521363783.98000002</v>
      </c>
      <c r="BC6" s="188">
        <v>263387501</v>
      </c>
      <c r="BD6" s="188">
        <v>51623437</v>
      </c>
      <c r="BE6" s="188">
        <v>124882181</v>
      </c>
      <c r="BF6" s="188">
        <v>354730908.69999999</v>
      </c>
      <c r="BG6" s="188">
        <v>113958932.81999999</v>
      </c>
      <c r="BH6" s="188">
        <v>51740318.329999998</v>
      </c>
      <c r="BI6" s="188">
        <v>293082150</v>
      </c>
      <c r="BJ6" s="188">
        <v>566906761.5</v>
      </c>
      <c r="BK6" s="188">
        <v>445124018.16000003</v>
      </c>
      <c r="BL6" s="188">
        <v>187535295.37</v>
      </c>
      <c r="BM6" s="188">
        <v>26274700</v>
      </c>
      <c r="BN6" s="188">
        <v>311957329.10000002</v>
      </c>
      <c r="BO6" s="188">
        <v>39057864</v>
      </c>
      <c r="BP6" s="188">
        <v>45609834.049999997</v>
      </c>
      <c r="BQ6" s="188">
        <v>90863335</v>
      </c>
      <c r="BR6" s="188">
        <v>10995419</v>
      </c>
      <c r="BS6" s="188">
        <v>10067961</v>
      </c>
      <c r="BT6" s="188">
        <v>15430000</v>
      </c>
      <c r="BU6" s="188">
        <v>0</v>
      </c>
    </row>
    <row r="7" spans="1:73" x14ac:dyDescent="0.25">
      <c r="A7" s="188" t="s">
        <v>223</v>
      </c>
      <c r="B7" s="188">
        <v>71293866513</v>
      </c>
      <c r="C7" s="188">
        <v>53065137348</v>
      </c>
      <c r="D7" s="188">
        <v>27129046490</v>
      </c>
      <c r="E7" s="188">
        <v>111934693142</v>
      </c>
      <c r="F7" s="188">
        <v>75990973797</v>
      </c>
      <c r="G7" s="188">
        <v>48096134859</v>
      </c>
      <c r="H7" s="188">
        <v>25035464335</v>
      </c>
      <c r="I7" s="188">
        <v>73610884095</v>
      </c>
      <c r="J7" s="188">
        <v>41888586554</v>
      </c>
      <c r="K7" s="188">
        <v>27988310024</v>
      </c>
      <c r="L7" s="188">
        <v>17506885979</v>
      </c>
      <c r="M7" s="188">
        <v>54646309541</v>
      </c>
      <c r="N7" s="188">
        <v>39859637023</v>
      </c>
      <c r="O7" s="188">
        <v>25305527928</v>
      </c>
      <c r="P7" s="188">
        <v>12924590758</v>
      </c>
      <c r="Q7" s="188">
        <v>39910733056</v>
      </c>
      <c r="R7" s="188">
        <v>28035172378</v>
      </c>
      <c r="S7" s="188">
        <v>19195257696</v>
      </c>
      <c r="T7" s="188">
        <v>10310682933</v>
      </c>
      <c r="U7" s="188">
        <v>39274058463</v>
      </c>
      <c r="V7" s="188">
        <v>25225907788</v>
      </c>
      <c r="W7" s="188">
        <v>16075749728</v>
      </c>
      <c r="X7" s="188">
        <v>7774120439</v>
      </c>
      <c r="Y7" s="188">
        <v>26973840040</v>
      </c>
      <c r="Z7" s="188">
        <v>15847555471</v>
      </c>
      <c r="AA7" s="188">
        <v>8829747133</v>
      </c>
      <c r="AB7" s="188">
        <v>3952121882</v>
      </c>
      <c r="AC7" s="188">
        <v>13400785226</v>
      </c>
      <c r="AD7" s="188">
        <v>7953321549</v>
      </c>
      <c r="AE7" s="188">
        <v>4716207445</v>
      </c>
      <c r="AF7" s="188">
        <v>2335156500</v>
      </c>
      <c r="AG7" s="188">
        <v>9040958215</v>
      </c>
      <c r="AH7" s="188">
        <v>6661222978</v>
      </c>
      <c r="AI7" s="188">
        <v>4424322670</v>
      </c>
      <c r="AJ7" s="188">
        <v>2234135932</v>
      </c>
      <c r="AK7" s="188">
        <v>6938573373</v>
      </c>
      <c r="AL7" s="188">
        <v>4117014935</v>
      </c>
      <c r="AM7" s="188">
        <v>2019811246</v>
      </c>
      <c r="AN7" s="188">
        <v>876457732</v>
      </c>
      <c r="AO7" s="188">
        <v>10235498160</v>
      </c>
      <c r="AP7" s="188">
        <v>8789614123</v>
      </c>
      <c r="AQ7" s="188">
        <v>6367463335</v>
      </c>
      <c r="AR7" s="188">
        <v>3348469057</v>
      </c>
      <c r="AS7" s="188">
        <v>11366067782</v>
      </c>
      <c r="AT7" s="188">
        <v>8032652562</v>
      </c>
      <c r="AU7" s="188">
        <v>4729007497</v>
      </c>
      <c r="AV7" s="188">
        <v>2133930885</v>
      </c>
      <c r="AW7" s="188">
        <v>10429534577</v>
      </c>
      <c r="AX7" s="188">
        <v>8122472217</v>
      </c>
      <c r="AY7" s="188">
        <v>5542980616</v>
      </c>
      <c r="AZ7" s="188">
        <v>3593991299</v>
      </c>
      <c r="BA7" s="188">
        <v>12723423054</v>
      </c>
      <c r="BB7" s="188">
        <v>9628342371.6800003</v>
      </c>
      <c r="BC7" s="188">
        <v>4994941147</v>
      </c>
      <c r="BD7" s="188">
        <v>2522505240</v>
      </c>
      <c r="BE7" s="188">
        <v>13492839747</v>
      </c>
      <c r="BF7" s="188">
        <v>9743688011.8299999</v>
      </c>
      <c r="BG7" s="188">
        <v>6580317202.8999996</v>
      </c>
      <c r="BH7" s="188">
        <v>3891917340.1799998</v>
      </c>
      <c r="BI7" s="188">
        <v>11761087234</v>
      </c>
      <c r="BJ7" s="188">
        <v>8900205269.8099995</v>
      </c>
      <c r="BK7" s="188">
        <v>5283877036.6099997</v>
      </c>
      <c r="BL7" s="188">
        <v>2716788201.52</v>
      </c>
      <c r="BM7" s="188">
        <v>4525521549</v>
      </c>
      <c r="BN7" s="188">
        <v>2201329180.75</v>
      </c>
      <c r="BO7" s="188">
        <v>3017111138</v>
      </c>
      <c r="BP7" s="188">
        <v>1596862596.8299999</v>
      </c>
      <c r="BQ7" s="188">
        <v>2256741612</v>
      </c>
      <c r="BR7" s="188">
        <v>832410396</v>
      </c>
      <c r="BS7" s="188">
        <v>544195453</v>
      </c>
      <c r="BT7" s="188">
        <v>287910000</v>
      </c>
      <c r="BU7" s="188">
        <v>0</v>
      </c>
    </row>
    <row r="8" spans="1:73" x14ac:dyDescent="0.25">
      <c r="A8" s="188" t="s">
        <v>224</v>
      </c>
      <c r="B8" s="188">
        <v>38238359784</v>
      </c>
      <c r="C8" s="188">
        <v>31789388744</v>
      </c>
      <c r="D8" s="188">
        <v>13690161934</v>
      </c>
      <c r="E8" s="188">
        <v>73250817397</v>
      </c>
      <c r="F8" s="188">
        <v>43814203995</v>
      </c>
      <c r="G8" s="188">
        <v>28313641143</v>
      </c>
      <c r="H8" s="188">
        <v>13472279930</v>
      </c>
      <c r="I8" s="188">
        <v>55859347637</v>
      </c>
      <c r="J8" s="188">
        <v>24889893478</v>
      </c>
      <c r="K8" s="188">
        <v>18580530133</v>
      </c>
      <c r="L8" s="188">
        <v>10966517491</v>
      </c>
      <c r="M8" s="188">
        <v>36746483055</v>
      </c>
      <c r="N8" s="188">
        <v>24543335064</v>
      </c>
      <c r="O8" s="188">
        <v>14687024246</v>
      </c>
      <c r="P8" s="188">
        <v>6950991322</v>
      </c>
      <c r="Q8" s="188">
        <v>26369190547</v>
      </c>
      <c r="R8" s="188">
        <v>18501878623</v>
      </c>
      <c r="S8" s="188">
        <v>12914791942</v>
      </c>
      <c r="T8" s="188">
        <v>6935866360</v>
      </c>
      <c r="U8" s="188">
        <v>26608846827</v>
      </c>
      <c r="V8" s="188">
        <v>16516878041</v>
      </c>
      <c r="W8" s="188">
        <v>9599582069</v>
      </c>
      <c r="X8" s="188">
        <v>4961761422</v>
      </c>
      <c r="Y8" s="188">
        <v>21044439125</v>
      </c>
      <c r="Z8" s="188">
        <v>12842348981</v>
      </c>
      <c r="AA8" s="188">
        <v>6999915587</v>
      </c>
      <c r="AB8" s="188">
        <v>3169018349</v>
      </c>
      <c r="AC8" s="188">
        <v>12095225391</v>
      </c>
      <c r="AD8" s="188">
        <v>6799800994</v>
      </c>
      <c r="AE8" s="188">
        <v>3999021124</v>
      </c>
      <c r="AF8" s="188">
        <v>1946823979</v>
      </c>
      <c r="AG8" s="188">
        <v>8707122680</v>
      </c>
      <c r="AH8" s="188">
        <v>5515658167</v>
      </c>
      <c r="AI8" s="188">
        <v>3397493079</v>
      </c>
      <c r="AJ8" s="188">
        <v>1735168924</v>
      </c>
      <c r="AK8" s="188">
        <v>5323050175</v>
      </c>
      <c r="AL8" s="188">
        <v>3302636408</v>
      </c>
      <c r="AM8" s="188">
        <v>1611334084</v>
      </c>
      <c r="AN8" s="188">
        <v>766108737</v>
      </c>
      <c r="AO8" s="188">
        <v>8073366615</v>
      </c>
      <c r="AP8" s="188">
        <v>6543154861</v>
      </c>
      <c r="AQ8" s="188">
        <v>4593629675</v>
      </c>
      <c r="AR8" s="188">
        <v>2183982454</v>
      </c>
      <c r="AS8" s="188">
        <v>8245828893</v>
      </c>
      <c r="AT8" s="188">
        <v>5757737705</v>
      </c>
      <c r="AU8" s="188">
        <v>3707970295</v>
      </c>
      <c r="AV8" s="188">
        <v>1542024796</v>
      </c>
      <c r="AW8" s="188">
        <v>8082690556</v>
      </c>
      <c r="AX8" s="188">
        <v>6334457871</v>
      </c>
      <c r="AY8" s="188">
        <v>4694126727</v>
      </c>
      <c r="AZ8" s="188">
        <v>3130249304</v>
      </c>
      <c r="BA8" s="188">
        <v>12251166277</v>
      </c>
      <c r="BB8" s="188">
        <v>9302131771.2199993</v>
      </c>
      <c r="BC8" s="188">
        <v>4778036448</v>
      </c>
      <c r="BD8" s="188">
        <v>2317955813</v>
      </c>
      <c r="BE8" s="188">
        <v>11761205502</v>
      </c>
      <c r="BF8" s="188">
        <v>8395613612.1099997</v>
      </c>
      <c r="BG8" s="188">
        <v>5696653968.5200005</v>
      </c>
      <c r="BH8" s="188">
        <v>3263163662.4400001</v>
      </c>
      <c r="BI8" s="188">
        <v>9987313947</v>
      </c>
      <c r="BJ8" s="188">
        <v>6868697969.3100004</v>
      </c>
      <c r="BK8" s="188">
        <v>4129809199.3899999</v>
      </c>
      <c r="BL8" s="188">
        <v>2171939827.4899998</v>
      </c>
      <c r="BM8" s="188">
        <v>3961131987</v>
      </c>
      <c r="BN8" s="188">
        <v>1783644830.71</v>
      </c>
      <c r="BO8" s="188">
        <v>2164148006</v>
      </c>
      <c r="BP8" s="188">
        <v>1182551781.1300001</v>
      </c>
      <c r="BQ8" s="188">
        <v>2076447888</v>
      </c>
      <c r="BR8" s="188">
        <v>761179876</v>
      </c>
      <c r="BS8" s="188">
        <v>407722816</v>
      </c>
      <c r="BT8" s="188">
        <v>168196000</v>
      </c>
      <c r="BU8" s="188">
        <v>0</v>
      </c>
    </row>
    <row r="9" spans="1:73" x14ac:dyDescent="0.25">
      <c r="A9" s="188" t="s">
        <v>225</v>
      </c>
      <c r="B9" s="188">
        <v>7486983925</v>
      </c>
      <c r="C9" s="188">
        <v>5206850022</v>
      </c>
      <c r="D9" s="188">
        <v>2994748596</v>
      </c>
      <c r="E9" s="188">
        <v>8015171249</v>
      </c>
      <c r="F9" s="188">
        <v>6008117704</v>
      </c>
      <c r="G9" s="188">
        <v>4183675298</v>
      </c>
      <c r="H9" s="188">
        <v>2215299698</v>
      </c>
      <c r="I9" s="188">
        <v>6063846083</v>
      </c>
      <c r="J9" s="188">
        <v>4390130444</v>
      </c>
      <c r="K9" s="188">
        <v>3000913336</v>
      </c>
      <c r="L9" s="188">
        <v>1700736984</v>
      </c>
      <c r="M9" s="188">
        <v>5127957029</v>
      </c>
      <c r="N9" s="188">
        <v>3799438331</v>
      </c>
      <c r="O9" s="188">
        <v>2722826479</v>
      </c>
      <c r="P9" s="188">
        <v>1632621593</v>
      </c>
      <c r="Q9" s="188">
        <v>3713371474</v>
      </c>
      <c r="R9" s="188">
        <v>2660841011</v>
      </c>
      <c r="S9" s="188">
        <v>1823070067</v>
      </c>
      <c r="T9" s="188">
        <v>1085869294</v>
      </c>
      <c r="U9" s="188">
        <v>2781878323</v>
      </c>
      <c r="V9" s="188">
        <v>2018007461</v>
      </c>
      <c r="W9" s="188">
        <v>1388434186</v>
      </c>
      <c r="X9" s="188">
        <v>767737467</v>
      </c>
      <c r="Y9" s="188">
        <v>2254805378</v>
      </c>
      <c r="Z9" s="188">
        <v>1489779233</v>
      </c>
      <c r="AA9" s="188">
        <v>1008017259</v>
      </c>
      <c r="AB9" s="188">
        <v>525852372</v>
      </c>
      <c r="AC9" s="188">
        <v>1674409131</v>
      </c>
      <c r="AD9" s="188">
        <v>1013484045</v>
      </c>
      <c r="AE9" s="188">
        <v>683572295</v>
      </c>
      <c r="AF9" s="188">
        <v>360383125</v>
      </c>
      <c r="AG9" s="188">
        <v>1120769823</v>
      </c>
      <c r="AH9" s="188">
        <v>583366091</v>
      </c>
      <c r="AI9" s="188">
        <v>376521597</v>
      </c>
      <c r="AJ9" s="188">
        <v>200313322</v>
      </c>
      <c r="AK9" s="188">
        <v>590513418</v>
      </c>
      <c r="AL9" s="188">
        <v>435717470</v>
      </c>
      <c r="AM9" s="188">
        <v>307245407</v>
      </c>
      <c r="AN9" s="188">
        <v>152965253</v>
      </c>
      <c r="AO9" s="188">
        <v>677493272</v>
      </c>
      <c r="AP9" s="188">
        <v>519382952</v>
      </c>
      <c r="AQ9" s="188">
        <v>367776765</v>
      </c>
      <c r="AR9" s="188">
        <v>216572765</v>
      </c>
      <c r="AS9" s="188">
        <v>557309348</v>
      </c>
      <c r="AT9" s="188">
        <v>401132495</v>
      </c>
      <c r="AU9" s="188">
        <v>261065517</v>
      </c>
      <c r="AV9" s="188">
        <v>141772059</v>
      </c>
      <c r="AW9" s="188">
        <v>853459445</v>
      </c>
      <c r="AX9" s="188">
        <v>645073787</v>
      </c>
      <c r="AY9" s="188">
        <v>426754413</v>
      </c>
      <c r="AZ9" s="188">
        <v>221788754</v>
      </c>
      <c r="BA9" s="188">
        <v>890672042</v>
      </c>
      <c r="BB9" s="188">
        <v>365131897.07999998</v>
      </c>
      <c r="BC9" s="188">
        <v>211710216</v>
      </c>
      <c r="BD9" s="188">
        <v>116097698</v>
      </c>
      <c r="BE9" s="188">
        <v>1009100470</v>
      </c>
      <c r="BF9" s="188">
        <v>364546880.92000002</v>
      </c>
      <c r="BG9" s="188">
        <v>243068235.53999999</v>
      </c>
      <c r="BH9" s="188">
        <v>124659342.26000001</v>
      </c>
      <c r="BI9" s="188">
        <v>639787646</v>
      </c>
      <c r="BJ9" s="188">
        <v>383041874.95999998</v>
      </c>
      <c r="BK9" s="188">
        <v>214279929.30000001</v>
      </c>
      <c r="BL9" s="188">
        <v>110585725.20999999</v>
      </c>
      <c r="BM9" s="188">
        <v>141980387</v>
      </c>
      <c r="BN9" s="188">
        <v>76730581.870000005</v>
      </c>
      <c r="BO9" s="188">
        <v>145251960</v>
      </c>
      <c r="BP9" s="188">
        <v>65137482.93</v>
      </c>
      <c r="BQ9" s="188">
        <v>84546527</v>
      </c>
      <c r="BR9" s="188">
        <v>36732280</v>
      </c>
      <c r="BS9" s="188">
        <v>61444224</v>
      </c>
      <c r="BT9" s="188">
        <v>42371000</v>
      </c>
      <c r="BU9" s="188">
        <v>0</v>
      </c>
    </row>
    <row r="10" spans="1:73" x14ac:dyDescent="0.25">
      <c r="A10" s="188" t="s">
        <v>226</v>
      </c>
      <c r="B10" s="188">
        <v>2335162753</v>
      </c>
      <c r="C10" s="188">
        <v>1826914249</v>
      </c>
      <c r="D10" s="188">
        <v>753214990</v>
      </c>
      <c r="E10" s="188">
        <v>2480139386</v>
      </c>
      <c r="F10" s="188">
        <v>3219791480</v>
      </c>
      <c r="G10" s="188">
        <v>2139357844</v>
      </c>
      <c r="H10" s="188">
        <v>925829731</v>
      </c>
      <c r="I10" s="188">
        <v>604705988</v>
      </c>
      <c r="J10" s="188">
        <v>1325244798</v>
      </c>
      <c r="K10" s="188">
        <v>793428583</v>
      </c>
      <c r="L10" s="188">
        <v>322119905</v>
      </c>
      <c r="M10" s="188">
        <v>1094353613</v>
      </c>
      <c r="N10" s="188">
        <v>1318703589</v>
      </c>
      <c r="O10" s="188">
        <v>905519911</v>
      </c>
      <c r="P10" s="188">
        <v>370696004</v>
      </c>
      <c r="Q10" s="188">
        <v>1016355588</v>
      </c>
      <c r="R10" s="188">
        <v>761478700</v>
      </c>
      <c r="S10" s="188">
        <v>421384320</v>
      </c>
      <c r="T10" s="188">
        <v>255430063</v>
      </c>
      <c r="U10" s="188">
        <v>391115361</v>
      </c>
      <c r="V10" s="188">
        <v>1103573320</v>
      </c>
      <c r="W10" s="188">
        <v>660484495</v>
      </c>
      <c r="X10" s="188">
        <v>234395085</v>
      </c>
      <c r="Y10" s="188">
        <v>248272870</v>
      </c>
      <c r="Z10" s="188">
        <v>157740382</v>
      </c>
      <c r="AA10" s="188">
        <v>121916940</v>
      </c>
      <c r="AB10" s="188">
        <v>43105083</v>
      </c>
      <c r="AC10" s="188">
        <v>126948726</v>
      </c>
      <c r="AD10" s="188">
        <v>144311438</v>
      </c>
      <c r="AE10" s="188">
        <v>101014106</v>
      </c>
      <c r="AF10" s="188">
        <v>139459883</v>
      </c>
      <c r="AG10" s="188">
        <v>124747292</v>
      </c>
      <c r="AH10" s="188">
        <v>147901071</v>
      </c>
      <c r="AI10" s="188">
        <v>153938104</v>
      </c>
      <c r="AJ10" s="188">
        <v>61784689</v>
      </c>
      <c r="AK10" s="188">
        <v>86426892</v>
      </c>
      <c r="AL10" s="188">
        <v>77382140</v>
      </c>
      <c r="AM10" s="188">
        <v>53154099</v>
      </c>
      <c r="AN10" s="188">
        <v>21081143</v>
      </c>
      <c r="AO10" s="188">
        <v>180754345</v>
      </c>
      <c r="AP10" s="188">
        <v>208923155</v>
      </c>
      <c r="AQ10" s="188">
        <v>157710360</v>
      </c>
      <c r="AR10" s="188">
        <v>88277707</v>
      </c>
      <c r="AS10" s="188">
        <v>114212824</v>
      </c>
      <c r="AT10" s="188">
        <v>179941480</v>
      </c>
      <c r="AU10" s="188">
        <v>67731277</v>
      </c>
      <c r="AV10" s="188">
        <v>20613637</v>
      </c>
      <c r="AW10" s="188">
        <v>162291297</v>
      </c>
      <c r="AX10" s="188">
        <v>98151658</v>
      </c>
      <c r="AY10" s="188">
        <v>55908504</v>
      </c>
      <c r="AZ10" s="188">
        <v>19108420</v>
      </c>
      <c r="BA10" s="188">
        <v>51678813</v>
      </c>
      <c r="BB10" s="188">
        <v>180552545.31</v>
      </c>
      <c r="BC10" s="188">
        <v>117533032</v>
      </c>
      <c r="BD10" s="188">
        <v>54849750</v>
      </c>
      <c r="BE10" s="188">
        <v>148022036</v>
      </c>
      <c r="BF10" s="188">
        <v>172776090.96000001</v>
      </c>
      <c r="BG10" s="188">
        <v>115494763.08</v>
      </c>
      <c r="BH10" s="188">
        <v>79926307.840000004</v>
      </c>
      <c r="BI10" s="188">
        <v>95915047</v>
      </c>
      <c r="BJ10" s="188">
        <v>216261623.12</v>
      </c>
      <c r="BK10" s="188">
        <v>109760689.19</v>
      </c>
      <c r="BL10" s="188">
        <v>46084931.030000001</v>
      </c>
      <c r="BM10" s="188">
        <v>56081355</v>
      </c>
      <c r="BN10" s="188">
        <v>88876649.090000004</v>
      </c>
      <c r="BO10" s="188">
        <v>140772366</v>
      </c>
      <c r="BP10" s="188">
        <v>32953365.350000001</v>
      </c>
      <c r="BQ10" s="188">
        <v>72567799</v>
      </c>
      <c r="BR10" s="188">
        <v>23474544</v>
      </c>
      <c r="BS10" s="188">
        <v>30919753</v>
      </c>
      <c r="BT10" s="188">
        <v>25875000</v>
      </c>
      <c r="BU10" s="188">
        <v>0</v>
      </c>
    </row>
    <row r="11" spans="1:73" x14ac:dyDescent="0.25">
      <c r="A11" s="188" t="s">
        <v>227</v>
      </c>
      <c r="B11" s="188">
        <v>4935757639</v>
      </c>
      <c r="C11" s="188">
        <v>2802378487</v>
      </c>
      <c r="D11" s="188">
        <v>2492832154</v>
      </c>
      <c r="E11" s="188">
        <v>1921579095</v>
      </c>
      <c r="F11" s="188">
        <v>4457853330</v>
      </c>
      <c r="G11" s="188">
        <v>2820869308</v>
      </c>
      <c r="H11" s="188">
        <v>2206005155</v>
      </c>
      <c r="I11" s="188">
        <v>1009697267</v>
      </c>
      <c r="J11" s="188">
        <v>4735169296</v>
      </c>
      <c r="K11" s="188">
        <v>2879351017</v>
      </c>
      <c r="L11" s="188">
        <v>1749857136</v>
      </c>
      <c r="M11" s="188">
        <v>1184130399</v>
      </c>
      <c r="N11" s="188">
        <v>2364548936</v>
      </c>
      <c r="O11" s="188">
        <v>1536765804</v>
      </c>
      <c r="P11" s="188">
        <v>1667728190</v>
      </c>
      <c r="Q11" s="188">
        <v>715989524</v>
      </c>
      <c r="R11" s="188">
        <v>1466870821</v>
      </c>
      <c r="S11" s="188">
        <v>782370865</v>
      </c>
      <c r="T11" s="188">
        <v>353432283</v>
      </c>
      <c r="U11" s="188">
        <v>535778702</v>
      </c>
      <c r="V11" s="188">
        <v>1257464920</v>
      </c>
      <c r="W11" s="188">
        <v>699359617</v>
      </c>
      <c r="X11" s="188">
        <v>349634932</v>
      </c>
      <c r="Y11" s="188">
        <v>337447142</v>
      </c>
      <c r="Z11" s="188">
        <v>954815169</v>
      </c>
      <c r="AA11" s="188">
        <v>578069787</v>
      </c>
      <c r="AB11" s="188">
        <v>258392037</v>
      </c>
      <c r="AC11" s="188">
        <v>282732705</v>
      </c>
      <c r="AD11" s="188">
        <v>1041631378</v>
      </c>
      <c r="AE11" s="188">
        <v>546789867</v>
      </c>
      <c r="AF11" s="188">
        <v>254758191</v>
      </c>
      <c r="AG11" s="188">
        <v>141633714</v>
      </c>
      <c r="AH11" s="188">
        <v>669723275</v>
      </c>
      <c r="AI11" s="188">
        <v>493057714</v>
      </c>
      <c r="AJ11" s="188">
        <v>203193428</v>
      </c>
      <c r="AK11" s="188">
        <v>128573853</v>
      </c>
      <c r="AL11" s="188">
        <v>377744772</v>
      </c>
      <c r="AM11" s="188">
        <v>223880048</v>
      </c>
      <c r="AN11" s="188">
        <v>83706506</v>
      </c>
      <c r="AO11" s="188">
        <v>175914051</v>
      </c>
      <c r="AP11" s="188">
        <v>243957145</v>
      </c>
      <c r="AQ11" s="188">
        <v>212784366</v>
      </c>
      <c r="AR11" s="188">
        <v>100870720</v>
      </c>
      <c r="AS11" s="188">
        <v>156618318</v>
      </c>
      <c r="AT11" s="188">
        <v>255318551</v>
      </c>
      <c r="AU11" s="188">
        <v>203894435</v>
      </c>
      <c r="AV11" s="188">
        <v>197147456</v>
      </c>
      <c r="AW11" s="188">
        <v>487980719</v>
      </c>
      <c r="AX11" s="188">
        <v>545493715</v>
      </c>
      <c r="AY11" s="188">
        <v>367999786</v>
      </c>
      <c r="AZ11" s="188">
        <v>121965977</v>
      </c>
      <c r="BA11" s="188">
        <v>513464547</v>
      </c>
      <c r="BB11" s="188">
        <v>553402385.20000005</v>
      </c>
      <c r="BC11" s="188">
        <v>315081133</v>
      </c>
      <c r="BD11" s="188">
        <v>87622812</v>
      </c>
      <c r="BE11" s="188">
        <v>366791002</v>
      </c>
      <c r="BF11" s="188">
        <v>464109392.11000001</v>
      </c>
      <c r="BG11" s="188">
        <v>307080265.91000003</v>
      </c>
      <c r="BH11" s="188">
        <v>81496051.019999996</v>
      </c>
      <c r="BI11" s="188">
        <v>290533120</v>
      </c>
      <c r="BJ11" s="188">
        <v>500338350.47000003</v>
      </c>
      <c r="BK11" s="188">
        <v>201354163.18000001</v>
      </c>
      <c r="BL11" s="188">
        <v>147194035.24000001</v>
      </c>
      <c r="BM11" s="188">
        <v>148647530</v>
      </c>
      <c r="BN11" s="188">
        <v>208397274.94</v>
      </c>
      <c r="BO11" s="188">
        <v>170223550</v>
      </c>
      <c r="BP11" s="188">
        <v>25841564.460000001</v>
      </c>
      <c r="BQ11" s="188">
        <v>200021870</v>
      </c>
      <c r="BR11" s="188">
        <v>63578835</v>
      </c>
      <c r="BS11" s="188">
        <v>88845002</v>
      </c>
      <c r="BT11" s="188">
        <v>4648000</v>
      </c>
      <c r="BU11" s="188">
        <v>0</v>
      </c>
    </row>
    <row r="12" spans="1:73" x14ac:dyDescent="0.25">
      <c r="A12" s="188" t="s">
        <v>228</v>
      </c>
      <c r="B12" s="188">
        <v>52996264101</v>
      </c>
      <c r="C12" s="188">
        <v>41625531502</v>
      </c>
      <c r="D12" s="188">
        <v>19930957674</v>
      </c>
      <c r="E12" s="188">
        <v>85667707127</v>
      </c>
      <c r="F12" s="188">
        <v>57499966509</v>
      </c>
      <c r="G12" s="188">
        <v>37457543593</v>
      </c>
      <c r="H12" s="188">
        <v>18819414514</v>
      </c>
      <c r="I12" s="188">
        <v>63537596975</v>
      </c>
      <c r="J12" s="188">
        <v>35340438016</v>
      </c>
      <c r="K12" s="188">
        <v>25254223069</v>
      </c>
      <c r="L12" s="188">
        <v>14739231516</v>
      </c>
      <c r="M12" s="188">
        <v>44152924096</v>
      </c>
      <c r="N12" s="188">
        <v>32026025920</v>
      </c>
      <c r="O12" s="188">
        <v>19852136440</v>
      </c>
      <c r="P12" s="188">
        <v>10622037109</v>
      </c>
      <c r="Q12" s="188">
        <v>31814907133</v>
      </c>
      <c r="R12" s="188">
        <v>23391069155</v>
      </c>
      <c r="S12" s="188">
        <v>15941617194</v>
      </c>
      <c r="T12" s="188">
        <v>8630598000</v>
      </c>
      <c r="U12" s="188">
        <v>30317619213</v>
      </c>
      <c r="V12" s="188">
        <v>20895923742</v>
      </c>
      <c r="W12" s="188">
        <v>12347860367</v>
      </c>
      <c r="X12" s="188">
        <v>6313528906</v>
      </c>
      <c r="Y12" s="188">
        <v>23884964515</v>
      </c>
      <c r="Z12" s="188">
        <v>15444683765</v>
      </c>
      <c r="AA12" s="188">
        <v>8707919573</v>
      </c>
      <c r="AB12" s="188">
        <v>3996367841</v>
      </c>
      <c r="AC12" s="188">
        <v>14179315953</v>
      </c>
      <c r="AD12" s="188">
        <v>8999227855</v>
      </c>
      <c r="AE12" s="188">
        <v>5330397392</v>
      </c>
      <c r="AF12" s="188">
        <v>2701425178</v>
      </c>
      <c r="AG12" s="188">
        <v>10094273509</v>
      </c>
      <c r="AH12" s="188">
        <v>6916648604</v>
      </c>
      <c r="AI12" s="188">
        <v>4421010494</v>
      </c>
      <c r="AJ12" s="188">
        <v>2200460363</v>
      </c>
      <c r="AK12" s="188">
        <v>6128564338</v>
      </c>
      <c r="AL12" s="188">
        <v>4193480790</v>
      </c>
      <c r="AM12" s="188">
        <v>2195613638</v>
      </c>
      <c r="AN12" s="188">
        <v>1023861639</v>
      </c>
      <c r="AO12" s="188">
        <v>9107528283</v>
      </c>
      <c r="AP12" s="188">
        <v>7515418113</v>
      </c>
      <c r="AQ12" s="188">
        <v>5331901166</v>
      </c>
      <c r="AR12" s="188">
        <v>2589703646</v>
      </c>
      <c r="AS12" s="188">
        <v>9073969383</v>
      </c>
      <c r="AT12" s="188">
        <v>6594130231</v>
      </c>
      <c r="AU12" s="188">
        <v>4240661524</v>
      </c>
      <c r="AV12" s="188">
        <v>1901557948</v>
      </c>
      <c r="AW12" s="188">
        <v>9586422017</v>
      </c>
      <c r="AX12" s="188">
        <v>7623177031</v>
      </c>
      <c r="AY12" s="188">
        <v>5544789430</v>
      </c>
      <c r="AZ12" s="188">
        <v>3493112455</v>
      </c>
      <c r="BA12" s="188">
        <v>13706981679</v>
      </c>
      <c r="BB12" s="188">
        <v>10401218598.809999</v>
      </c>
      <c r="BC12" s="188">
        <v>5422360829</v>
      </c>
      <c r="BD12" s="188">
        <v>2576526073</v>
      </c>
      <c r="BE12" s="188">
        <v>13285119010</v>
      </c>
      <c r="BF12" s="188">
        <v>9397045976.1000004</v>
      </c>
      <c r="BG12" s="188">
        <v>6362297233.0500002</v>
      </c>
      <c r="BH12" s="188">
        <v>3549245363.5599999</v>
      </c>
      <c r="BI12" s="188">
        <v>11013549760</v>
      </c>
      <c r="BJ12" s="188">
        <v>7968339817.8599997</v>
      </c>
      <c r="BK12" s="188">
        <v>4655203981.0600004</v>
      </c>
      <c r="BL12" s="188">
        <v>2475804518.9699998</v>
      </c>
      <c r="BM12" s="188">
        <v>4307841259</v>
      </c>
      <c r="BN12" s="188">
        <v>2157649336.6100001</v>
      </c>
      <c r="BO12" s="188">
        <v>2620395882</v>
      </c>
      <c r="BP12" s="188">
        <v>1306484193.8699999</v>
      </c>
      <c r="BQ12" s="188">
        <v>2433584084</v>
      </c>
      <c r="BR12" s="188">
        <v>884965535</v>
      </c>
      <c r="BS12" s="188">
        <v>588931795</v>
      </c>
      <c r="BT12" s="188">
        <v>241090000</v>
      </c>
      <c r="BU12" s="188">
        <v>0</v>
      </c>
    </row>
    <row r="13" spans="1:73" x14ac:dyDescent="0.25">
      <c r="A13" s="188" t="s">
        <v>229</v>
      </c>
      <c r="B13" s="188">
        <v>18297602412</v>
      </c>
      <c r="C13" s="188">
        <v>11439605846</v>
      </c>
      <c r="D13" s="188">
        <v>7198088816</v>
      </c>
      <c r="E13" s="188">
        <v>26266986015</v>
      </c>
      <c r="F13" s="188">
        <v>18491007288</v>
      </c>
      <c r="G13" s="188">
        <v>10638591266</v>
      </c>
      <c r="H13" s="188">
        <v>6216049821</v>
      </c>
      <c r="I13" s="188">
        <v>10073287120</v>
      </c>
      <c r="J13" s="188">
        <v>6548148538</v>
      </c>
      <c r="K13" s="188">
        <v>2734086955</v>
      </c>
      <c r="L13" s="188">
        <v>2767654463</v>
      </c>
      <c r="M13" s="188">
        <v>10493385445</v>
      </c>
      <c r="N13" s="188">
        <v>7833611103</v>
      </c>
      <c r="O13" s="188">
        <v>5453391488</v>
      </c>
      <c r="P13" s="188">
        <v>2302553649</v>
      </c>
      <c r="Q13" s="188">
        <v>8095825923</v>
      </c>
      <c r="R13" s="188">
        <v>4644103223</v>
      </c>
      <c r="S13" s="188">
        <v>3253640502</v>
      </c>
      <c r="T13" s="188">
        <v>1680084933</v>
      </c>
      <c r="U13" s="188">
        <v>8956439250</v>
      </c>
      <c r="V13" s="188">
        <v>4329984046</v>
      </c>
      <c r="W13" s="188">
        <v>3727889361</v>
      </c>
      <c r="X13" s="188">
        <v>1460591533</v>
      </c>
      <c r="Y13" s="188">
        <v>3088875525</v>
      </c>
      <c r="Z13" s="188">
        <v>402871706</v>
      </c>
      <c r="AA13" s="188">
        <v>121827560</v>
      </c>
      <c r="AB13" s="188">
        <v>-44245959</v>
      </c>
      <c r="AC13" s="188">
        <v>-778530727</v>
      </c>
      <c r="AD13" s="188">
        <v>-1045906306</v>
      </c>
      <c r="AE13" s="188">
        <v>-614189947</v>
      </c>
      <c r="AF13" s="188">
        <v>-366268678</v>
      </c>
      <c r="AG13" s="188">
        <v>-1053315294</v>
      </c>
      <c r="AH13" s="188">
        <v>-255425626</v>
      </c>
      <c r="AI13" s="188">
        <v>3312176</v>
      </c>
      <c r="AJ13" s="188">
        <v>33675569</v>
      </c>
      <c r="AK13" s="188">
        <v>810009035</v>
      </c>
      <c r="AL13" s="188">
        <v>-76465855</v>
      </c>
      <c r="AM13" s="188">
        <v>-175802392</v>
      </c>
      <c r="AN13" s="188">
        <v>-147403907</v>
      </c>
      <c r="AO13" s="188">
        <v>1127969877</v>
      </c>
      <c r="AP13" s="188">
        <v>1274196010</v>
      </c>
      <c r="AQ13" s="188">
        <v>1035562169</v>
      </c>
      <c r="AR13" s="188">
        <v>758765411</v>
      </c>
      <c r="AS13" s="188">
        <v>2292098399</v>
      </c>
      <c r="AT13" s="188">
        <v>1438522331</v>
      </c>
      <c r="AU13" s="188">
        <v>488345973</v>
      </c>
      <c r="AV13" s="188">
        <v>232372937</v>
      </c>
      <c r="AW13" s="188">
        <v>843112560</v>
      </c>
      <c r="AX13" s="188">
        <v>499295186</v>
      </c>
      <c r="AY13" s="188">
        <v>-1808814</v>
      </c>
      <c r="AZ13" s="188">
        <v>100878844</v>
      </c>
      <c r="BA13" s="188">
        <v>-983558625</v>
      </c>
      <c r="BB13" s="188">
        <v>-772876227.13</v>
      </c>
      <c r="BC13" s="188">
        <v>-427419682</v>
      </c>
      <c r="BD13" s="188">
        <v>-54020833</v>
      </c>
      <c r="BE13" s="188">
        <v>207720737</v>
      </c>
      <c r="BF13" s="188">
        <v>346642035.73000002</v>
      </c>
      <c r="BG13" s="188">
        <v>218019969.84999999</v>
      </c>
      <c r="BH13" s="188">
        <v>342671976.62</v>
      </c>
      <c r="BI13" s="188">
        <v>747537474</v>
      </c>
      <c r="BJ13" s="188">
        <v>931865451.95000005</v>
      </c>
      <c r="BK13" s="188">
        <v>628673055.54999995</v>
      </c>
      <c r="BL13" s="188">
        <v>240983682.55000001</v>
      </c>
      <c r="BM13" s="188">
        <v>217680290</v>
      </c>
      <c r="BN13" s="188">
        <v>43679844.140000001</v>
      </c>
      <c r="BO13" s="188">
        <v>396715256</v>
      </c>
      <c r="BP13" s="188">
        <v>290378402.95999998</v>
      </c>
      <c r="BQ13" s="188">
        <v>-176842472</v>
      </c>
      <c r="BR13" s="188">
        <v>-52555139</v>
      </c>
      <c r="BS13" s="188">
        <v>-44736342</v>
      </c>
      <c r="BT13" s="188">
        <v>46820000</v>
      </c>
      <c r="BU13" s="188">
        <v>0</v>
      </c>
    </row>
    <row r="14" spans="1:73" x14ac:dyDescent="0.25">
      <c r="A14" s="188" t="s">
        <v>230</v>
      </c>
    </row>
    <row r="15" spans="1:73" x14ac:dyDescent="0.25">
      <c r="A15" s="188" t="s">
        <v>231</v>
      </c>
      <c r="B15" s="188">
        <v>56395382400</v>
      </c>
      <c r="C15" s="188">
        <v>42727697470</v>
      </c>
      <c r="D15" s="188">
        <v>16230696269</v>
      </c>
      <c r="E15" s="188">
        <v>29310620000</v>
      </c>
      <c r="F15" s="188">
        <v>16678325660</v>
      </c>
      <c r="G15" s="188">
        <v>8594039173</v>
      </c>
      <c r="H15" s="188">
        <v>1029221840</v>
      </c>
      <c r="I15" s="188">
        <v>31157802962</v>
      </c>
      <c r="J15" s="188">
        <v>27018296827</v>
      </c>
      <c r="K15" s="188">
        <v>15988345399</v>
      </c>
      <c r="L15" s="188">
        <v>3375161515</v>
      </c>
      <c r="M15" s="188">
        <v>12515000000</v>
      </c>
      <c r="N15" s="188">
        <v>7931535212</v>
      </c>
      <c r="O15" s="188">
        <v>3721672760</v>
      </c>
      <c r="P15" s="188">
        <v>1963618349</v>
      </c>
      <c r="Q15" s="188">
        <v>444285709</v>
      </c>
      <c r="R15" s="188">
        <v>0</v>
      </c>
      <c r="S15" s="188">
        <v>0</v>
      </c>
      <c r="T15" s="188">
        <v>0</v>
      </c>
      <c r="U15" s="188">
        <v>4370000</v>
      </c>
      <c r="V15" s="188">
        <v>0</v>
      </c>
      <c r="W15" s="188">
        <v>0</v>
      </c>
      <c r="X15" s="188">
        <v>0</v>
      </c>
      <c r="Y15" s="188">
        <v>7164056</v>
      </c>
      <c r="Z15" s="188">
        <v>7170027</v>
      </c>
      <c r="AA15" s="188">
        <v>7170127</v>
      </c>
      <c r="AB15" s="188">
        <v>0</v>
      </c>
      <c r="AC15" s="188">
        <v>0</v>
      </c>
      <c r="AD15" s="188">
        <v>0</v>
      </c>
      <c r="AE15" s="188">
        <v>0</v>
      </c>
      <c r="AF15" s="188">
        <v>0</v>
      </c>
      <c r="AG15" s="188">
        <v>0</v>
      </c>
      <c r="AH15" s="188">
        <v>0</v>
      </c>
      <c r="AI15" s="188">
        <v>0</v>
      </c>
      <c r="AJ15" s="188">
        <v>0</v>
      </c>
      <c r="AK15" s="188">
        <v>0</v>
      </c>
      <c r="AL15" s="188">
        <v>0</v>
      </c>
      <c r="AM15" s="188">
        <v>0</v>
      </c>
      <c r="AN15" s="188">
        <v>0</v>
      </c>
      <c r="AO15" s="188">
        <v>58927049</v>
      </c>
      <c r="AP15" s="188">
        <v>58927049</v>
      </c>
      <c r="AQ15" s="188">
        <v>0</v>
      </c>
      <c r="AR15" s="188">
        <v>102941</v>
      </c>
      <c r="AS15" s="188">
        <v>2159086728</v>
      </c>
      <c r="AT15" s="188">
        <v>1036658037</v>
      </c>
      <c r="AU15" s="188">
        <v>1036658037</v>
      </c>
      <c r="AV15" s="188">
        <v>1036658038</v>
      </c>
      <c r="AW15" s="188">
        <v>2786771</v>
      </c>
      <c r="AX15" s="188">
        <v>36522771</v>
      </c>
      <c r="AY15" s="188">
        <v>2786771</v>
      </c>
      <c r="AZ15" s="188">
        <v>2786771</v>
      </c>
      <c r="BA15" s="188">
        <v>31590034</v>
      </c>
      <c r="BB15" s="188">
        <v>31303982.739999998</v>
      </c>
      <c r="BC15" s="188">
        <v>26540975</v>
      </c>
      <c r="BD15" s="188">
        <v>26070975</v>
      </c>
      <c r="BE15" s="188">
        <v>100162844</v>
      </c>
      <c r="BF15" s="188">
        <v>76697560.319999993</v>
      </c>
      <c r="BG15" s="188">
        <v>62677871.130000003</v>
      </c>
      <c r="BH15" s="188">
        <v>62527097.520000003</v>
      </c>
      <c r="BI15" s="188">
        <v>1388700</v>
      </c>
      <c r="BJ15" s="188">
        <v>67003121.640000001</v>
      </c>
      <c r="BK15" s="188">
        <v>729182.65</v>
      </c>
      <c r="BL15" s="188">
        <v>60994878.030000001</v>
      </c>
      <c r="BM15" s="188">
        <v>2704161</v>
      </c>
      <c r="BN15" s="188">
        <v>300000</v>
      </c>
      <c r="BO15" s="188">
        <v>300000</v>
      </c>
      <c r="BP15" s="188">
        <v>0</v>
      </c>
      <c r="BQ15" s="188">
        <v>5345000</v>
      </c>
      <c r="BR15" s="188">
        <v>5000000</v>
      </c>
      <c r="BS15" s="188">
        <v>560000</v>
      </c>
      <c r="BT15" s="188">
        <v>0</v>
      </c>
      <c r="BU15" s="188">
        <v>0</v>
      </c>
    </row>
    <row r="16" spans="1:73" x14ac:dyDescent="0.25">
      <c r="A16" s="188" t="s">
        <v>232</v>
      </c>
      <c r="B16" s="188">
        <v>640439103</v>
      </c>
      <c r="C16" s="188">
        <v>225460451</v>
      </c>
      <c r="D16" s="188">
        <v>130869955</v>
      </c>
      <c r="E16" s="188">
        <v>114521291</v>
      </c>
      <c r="F16" s="188">
        <v>253736670</v>
      </c>
      <c r="G16" s="188">
        <v>34325731</v>
      </c>
      <c r="H16" s="188">
        <v>5684907</v>
      </c>
      <c r="I16" s="188">
        <v>149197609</v>
      </c>
      <c r="J16" s="188">
        <v>154741975</v>
      </c>
      <c r="K16" s="188">
        <v>83197527</v>
      </c>
      <c r="L16" s="188">
        <v>42798081</v>
      </c>
      <c r="M16" s="188">
        <v>184586410</v>
      </c>
      <c r="N16" s="188">
        <v>94512076</v>
      </c>
      <c r="O16" s="188">
        <v>44876285</v>
      </c>
      <c r="P16" s="188">
        <v>24830822</v>
      </c>
      <c r="Q16" s="188">
        <v>15104389</v>
      </c>
      <c r="R16" s="188">
        <v>27676449</v>
      </c>
      <c r="S16" s="188">
        <v>3411262</v>
      </c>
      <c r="T16" s="188">
        <v>0</v>
      </c>
      <c r="U16" s="188">
        <v>5643378</v>
      </c>
      <c r="V16" s="188">
        <v>2170108</v>
      </c>
      <c r="W16" s="188">
        <v>2170108</v>
      </c>
      <c r="X16" s="188">
        <v>0</v>
      </c>
      <c r="Y16" s="188">
        <v>1669314</v>
      </c>
      <c r="Z16" s="188">
        <v>6846996</v>
      </c>
      <c r="AA16" s="188">
        <v>1669314</v>
      </c>
      <c r="AB16" s="188">
        <v>0</v>
      </c>
      <c r="AC16" s="188">
        <v>4408804</v>
      </c>
      <c r="AD16" s="188">
        <v>3430033</v>
      </c>
      <c r="AE16" s="188">
        <v>3430033</v>
      </c>
      <c r="AF16" s="188">
        <v>0</v>
      </c>
      <c r="AG16" s="188">
        <v>3999569</v>
      </c>
      <c r="AH16" s="188">
        <v>2838604</v>
      </c>
      <c r="AI16" s="188">
        <v>2095346</v>
      </c>
      <c r="AJ16" s="188">
        <v>0</v>
      </c>
      <c r="AK16" s="188">
        <v>2026639</v>
      </c>
      <c r="AL16" s="188">
        <v>1030515</v>
      </c>
      <c r="AM16" s="188">
        <v>830515</v>
      </c>
      <c r="AN16" s="188">
        <v>0</v>
      </c>
      <c r="AO16" s="188">
        <v>6071049</v>
      </c>
      <c r="AP16" s="188">
        <v>4606094</v>
      </c>
      <c r="AQ16" s="188">
        <v>4606094</v>
      </c>
      <c r="AR16" s="188">
        <v>0</v>
      </c>
      <c r="AS16" s="188">
        <v>86169745</v>
      </c>
      <c r="AT16" s="188">
        <v>78657804</v>
      </c>
      <c r="AU16" s="188">
        <v>75657804</v>
      </c>
      <c r="AV16" s="188">
        <v>691020</v>
      </c>
      <c r="AW16" s="188">
        <v>144040127</v>
      </c>
      <c r="AX16" s="188">
        <v>115630656</v>
      </c>
      <c r="AY16" s="188">
        <v>115150656</v>
      </c>
      <c r="AZ16" s="188">
        <v>0</v>
      </c>
      <c r="BA16" s="188">
        <v>115285775</v>
      </c>
      <c r="BB16" s="188">
        <v>76883978.099999994</v>
      </c>
      <c r="BC16" s="188">
        <v>95104018</v>
      </c>
      <c r="BD16" s="188">
        <v>2773952</v>
      </c>
      <c r="BE16" s="188">
        <v>48576612</v>
      </c>
      <c r="BF16" s="188">
        <v>34883383.920000002</v>
      </c>
      <c r="BG16" s="188">
        <v>30883383.920000002</v>
      </c>
      <c r="BH16" s="188">
        <v>0</v>
      </c>
      <c r="BI16" s="188">
        <v>20442400</v>
      </c>
      <c r="BJ16" s="188">
        <v>19965332.170000002</v>
      </c>
      <c r="BK16" s="188">
        <v>16506752.810000001</v>
      </c>
      <c r="BL16" s="188">
        <v>0</v>
      </c>
      <c r="BM16" s="188">
        <v>3733314</v>
      </c>
      <c r="BN16" s="188">
        <v>3733315</v>
      </c>
      <c r="BO16" s="188">
        <v>41358688</v>
      </c>
      <c r="BP16" s="188">
        <v>35266322.100000001</v>
      </c>
      <c r="BQ16" s="188">
        <v>21811395</v>
      </c>
      <c r="BR16" s="188">
        <v>22207421</v>
      </c>
      <c r="BS16" s="188">
        <v>800000</v>
      </c>
      <c r="BT16" s="188">
        <v>29763000</v>
      </c>
      <c r="BU16" s="188">
        <v>0</v>
      </c>
    </row>
    <row r="17" spans="1:73" x14ac:dyDescent="0.25">
      <c r="A17" s="188" t="s">
        <v>233</v>
      </c>
      <c r="B17" s="188">
        <v>24665452</v>
      </c>
      <c r="C17" s="188">
        <v>6071367</v>
      </c>
      <c r="D17" s="188">
        <v>5615725</v>
      </c>
      <c r="E17" s="188">
        <v>6906760</v>
      </c>
      <c r="F17" s="188">
        <v>58162797</v>
      </c>
      <c r="G17" s="188">
        <v>58574338</v>
      </c>
      <c r="H17" s="188">
        <v>57346613</v>
      </c>
      <c r="I17" s="188">
        <v>214137335</v>
      </c>
      <c r="J17" s="188">
        <v>82066977</v>
      </c>
      <c r="K17" s="188">
        <v>81891572</v>
      </c>
      <c r="L17" s="188">
        <v>135071</v>
      </c>
      <c r="M17" s="188">
        <v>25777766</v>
      </c>
      <c r="N17" s="188">
        <v>1962487</v>
      </c>
      <c r="O17" s="188">
        <v>1358403</v>
      </c>
      <c r="P17" s="188">
        <v>431413</v>
      </c>
      <c r="Q17" s="188">
        <v>28820470</v>
      </c>
      <c r="R17" s="188">
        <v>217978465</v>
      </c>
      <c r="S17" s="188">
        <v>363662</v>
      </c>
      <c r="T17" s="188">
        <v>128324</v>
      </c>
      <c r="U17" s="188">
        <v>14808978</v>
      </c>
      <c r="V17" s="188">
        <v>730348</v>
      </c>
      <c r="W17" s="188">
        <v>172514</v>
      </c>
      <c r="X17" s="188">
        <v>57410</v>
      </c>
      <c r="Y17" s="188">
        <v>64767374</v>
      </c>
      <c r="Z17" s="188">
        <v>3119574</v>
      </c>
      <c r="AA17" s="188">
        <v>2038815</v>
      </c>
      <c r="AB17" s="188">
        <v>86500</v>
      </c>
      <c r="AC17" s="188">
        <v>45643801</v>
      </c>
      <c r="AD17" s="188">
        <v>1089108</v>
      </c>
      <c r="AE17" s="188">
        <v>1054188</v>
      </c>
      <c r="AF17" s="188">
        <v>992000</v>
      </c>
      <c r="AG17" s="188">
        <v>82453186</v>
      </c>
      <c r="AH17" s="188">
        <v>12006264</v>
      </c>
      <c r="AI17" s="188">
        <v>11620453</v>
      </c>
      <c r="AJ17" s="188">
        <v>24422174</v>
      </c>
      <c r="AK17" s="188">
        <v>31792777</v>
      </c>
      <c r="AL17" s="188">
        <v>26404184</v>
      </c>
      <c r="AM17" s="188">
        <v>275480</v>
      </c>
      <c r="AN17" s="188">
        <v>0</v>
      </c>
      <c r="AO17" s="188">
        <v>63499757</v>
      </c>
      <c r="AP17" s="188">
        <v>251516</v>
      </c>
      <c r="AQ17" s="188">
        <v>215640</v>
      </c>
      <c r="AR17" s="188">
        <v>1587188</v>
      </c>
      <c r="AS17" s="188">
        <v>64459631</v>
      </c>
      <c r="AT17" s="188">
        <v>158490</v>
      </c>
      <c r="AU17" s="188">
        <v>146700</v>
      </c>
      <c r="AV17" s="188">
        <v>56700</v>
      </c>
      <c r="AW17" s="188">
        <v>77611876</v>
      </c>
      <c r="AX17" s="188">
        <v>1979824</v>
      </c>
      <c r="AY17" s="188">
        <v>1919424</v>
      </c>
      <c r="AZ17" s="188">
        <v>1525643</v>
      </c>
      <c r="BA17" s="188">
        <v>37489569</v>
      </c>
      <c r="BB17" s="188">
        <v>11612137.300000001</v>
      </c>
      <c r="BC17" s="188">
        <v>242746</v>
      </c>
      <c r="BD17" s="188">
        <v>28600</v>
      </c>
      <c r="BE17" s="188">
        <v>107278722</v>
      </c>
      <c r="BF17" s="188">
        <v>53191457.869999997</v>
      </c>
      <c r="BG17" s="188">
        <v>2520544.85</v>
      </c>
      <c r="BH17" s="188">
        <v>63000</v>
      </c>
      <c r="BI17" s="188">
        <v>15716195</v>
      </c>
      <c r="BJ17" s="188">
        <v>120600</v>
      </c>
      <c r="BK17" s="188">
        <v>119600</v>
      </c>
      <c r="BL17" s="188">
        <v>106100</v>
      </c>
      <c r="BM17" s="188">
        <v>179186</v>
      </c>
      <c r="BN17" s="188">
        <v>9738.48</v>
      </c>
      <c r="BO17" s="188">
        <v>776221</v>
      </c>
      <c r="BP17" s="188">
        <v>6000</v>
      </c>
      <c r="BQ17" s="188">
        <v>1327733</v>
      </c>
      <c r="BR17" s="188">
        <v>181184</v>
      </c>
      <c r="BS17" s="188">
        <v>562141</v>
      </c>
      <c r="BT17" s="188">
        <v>686000</v>
      </c>
      <c r="BU17" s="188">
        <v>0</v>
      </c>
    </row>
    <row r="18" spans="1:73" x14ac:dyDescent="0.25">
      <c r="A18" s="188" t="s">
        <v>234</v>
      </c>
      <c r="B18" s="188">
        <v>0</v>
      </c>
      <c r="C18" s="188">
        <v>0</v>
      </c>
      <c r="D18" s="188">
        <v>0</v>
      </c>
      <c r="E18" s="188">
        <v>0</v>
      </c>
      <c r="F18" s="188">
        <v>0</v>
      </c>
      <c r="G18" s="188">
        <v>0</v>
      </c>
      <c r="H18" s="188">
        <v>0</v>
      </c>
      <c r="I18" s="188">
        <v>2403114462</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1399900000</v>
      </c>
      <c r="Z18" s="188">
        <v>0</v>
      </c>
      <c r="AA18" s="188">
        <v>0</v>
      </c>
      <c r="AB18" s="188">
        <v>0</v>
      </c>
      <c r="AC18" s="188">
        <v>1916282219</v>
      </c>
      <c r="AD18" s="188">
        <v>0</v>
      </c>
      <c r="AE18" s="188">
        <v>0</v>
      </c>
      <c r="AF18" s="188">
        <v>0</v>
      </c>
      <c r="AG18" s="188">
        <v>0</v>
      </c>
      <c r="AH18" s="188">
        <v>0</v>
      </c>
      <c r="AI18" s="188">
        <v>0</v>
      </c>
      <c r="AJ18" s="188">
        <v>0</v>
      </c>
      <c r="AK18" s="188">
        <v>272102501</v>
      </c>
      <c r="AL18" s="188">
        <v>0</v>
      </c>
      <c r="AM18" s="188">
        <v>0</v>
      </c>
      <c r="AN18" s="188">
        <v>95735577</v>
      </c>
      <c r="AO18" s="188">
        <v>0</v>
      </c>
      <c r="AP18" s="188">
        <v>0</v>
      </c>
      <c r="AQ18" s="188">
        <v>218993295</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c r="BH18" s="188">
        <v>0</v>
      </c>
      <c r="BI18" s="188">
        <v>0</v>
      </c>
      <c r="BJ18" s="188">
        <v>0</v>
      </c>
      <c r="BK18" s="188">
        <v>0</v>
      </c>
      <c r="BL18" s="188">
        <v>0</v>
      </c>
      <c r="BM18" s="188">
        <v>0</v>
      </c>
      <c r="BN18" s="188">
        <v>0</v>
      </c>
      <c r="BO18" s="188">
        <v>0</v>
      </c>
      <c r="BP18" s="188">
        <v>0</v>
      </c>
      <c r="BQ18" s="188">
        <v>0</v>
      </c>
      <c r="BR18" s="188">
        <v>0</v>
      </c>
      <c r="BS18" s="188">
        <v>0</v>
      </c>
      <c r="BT18" s="188">
        <v>0</v>
      </c>
      <c r="BU18" s="188">
        <v>0</v>
      </c>
    </row>
    <row r="19" spans="1:73" x14ac:dyDescent="0.25">
      <c r="A19" s="188" t="s">
        <v>235</v>
      </c>
      <c r="B19" s="188">
        <v>3417013120</v>
      </c>
      <c r="C19" s="188">
        <v>4020095013</v>
      </c>
      <c r="D19" s="188">
        <v>2311084521</v>
      </c>
      <c r="E19" s="188">
        <v>3455877227</v>
      </c>
      <c r="F19" s="188">
        <v>2713352560</v>
      </c>
      <c r="G19" s="188">
        <v>1651837600</v>
      </c>
      <c r="H19" s="188">
        <v>2470307272</v>
      </c>
      <c r="I19" s="188">
        <v>714771214</v>
      </c>
      <c r="J19" s="188">
        <v>1125092241</v>
      </c>
      <c r="K19" s="188">
        <v>882751810</v>
      </c>
      <c r="L19" s="188">
        <v>137655360</v>
      </c>
      <c r="M19" s="188">
        <v>808295739</v>
      </c>
      <c r="N19" s="188">
        <v>1541068494</v>
      </c>
      <c r="O19" s="188">
        <v>820946320</v>
      </c>
      <c r="P19" s="188">
        <v>449475347</v>
      </c>
      <c r="Q19" s="188">
        <v>661863569</v>
      </c>
      <c r="R19" s="188">
        <v>3751154886</v>
      </c>
      <c r="S19" s="188">
        <v>402699692</v>
      </c>
      <c r="T19" s="188">
        <v>883712077</v>
      </c>
      <c r="U19" s="188">
        <v>280740691</v>
      </c>
      <c r="V19" s="188">
        <v>1651185101</v>
      </c>
      <c r="W19" s="188">
        <v>848472428</v>
      </c>
      <c r="X19" s="188">
        <v>232745776</v>
      </c>
      <c r="Y19" s="188">
        <v>360468724</v>
      </c>
      <c r="Z19" s="188">
        <v>240821768</v>
      </c>
      <c r="AA19" s="188">
        <v>147741915</v>
      </c>
      <c r="AB19" s="188">
        <v>132480714</v>
      </c>
      <c r="AC19" s="188">
        <v>356301677</v>
      </c>
      <c r="AD19" s="188">
        <v>1456606939</v>
      </c>
      <c r="AE19" s="188">
        <v>1694201045</v>
      </c>
      <c r="AF19" s="188">
        <v>331534887</v>
      </c>
      <c r="AG19" s="188">
        <v>1072232074</v>
      </c>
      <c r="AH19" s="188">
        <v>309295740</v>
      </c>
      <c r="AI19" s="188">
        <v>274462981</v>
      </c>
      <c r="AJ19" s="188">
        <v>29299468</v>
      </c>
      <c r="AK19" s="188">
        <v>117934772</v>
      </c>
      <c r="AL19" s="188">
        <v>69888774</v>
      </c>
      <c r="AM19" s="188">
        <v>32429494</v>
      </c>
      <c r="AN19" s="188">
        <v>12149756</v>
      </c>
      <c r="AO19" s="188">
        <v>51575295</v>
      </c>
      <c r="AP19" s="188">
        <v>241633450</v>
      </c>
      <c r="AQ19" s="188">
        <v>7341483</v>
      </c>
      <c r="AR19" s="188">
        <v>343035</v>
      </c>
      <c r="AS19" s="188">
        <v>33924559</v>
      </c>
      <c r="AT19" s="188">
        <v>1137780480</v>
      </c>
      <c r="AU19" s="188">
        <v>1126197069</v>
      </c>
      <c r="AV19" s="188">
        <v>2239842</v>
      </c>
      <c r="AW19" s="188">
        <v>29720453</v>
      </c>
      <c r="AX19" s="188">
        <v>0</v>
      </c>
      <c r="AY19" s="188">
        <v>0</v>
      </c>
      <c r="AZ19" s="188">
        <v>0</v>
      </c>
      <c r="BA19" s="188">
        <v>51690779</v>
      </c>
      <c r="BB19" s="188">
        <v>321784465.20999998</v>
      </c>
      <c r="BC19" s="188">
        <v>300020729</v>
      </c>
      <c r="BD19" s="188">
        <v>5018690</v>
      </c>
      <c r="BE19" s="188">
        <v>130137986</v>
      </c>
      <c r="BF19" s="188">
        <v>40190902.579999998</v>
      </c>
      <c r="BG19" s="188">
        <v>35085249.079999998</v>
      </c>
      <c r="BH19" s="188">
        <v>727706.45</v>
      </c>
      <c r="BI19" s="188">
        <v>0</v>
      </c>
      <c r="BJ19" s="188">
        <v>3160558.47</v>
      </c>
      <c r="BK19" s="188">
        <v>22696.54</v>
      </c>
      <c r="BL19" s="188">
        <v>1091382.93</v>
      </c>
      <c r="BM19" s="188">
        <v>0</v>
      </c>
      <c r="BN19" s="188">
        <v>392911.55</v>
      </c>
      <c r="BO19" s="188">
        <v>0</v>
      </c>
      <c r="BP19" s="188">
        <v>0</v>
      </c>
      <c r="BQ19" s="188">
        <v>6880000</v>
      </c>
      <c r="BR19" s="188">
        <v>0</v>
      </c>
      <c r="BS19" s="188">
        <v>0</v>
      </c>
      <c r="BT19" s="188">
        <v>0</v>
      </c>
      <c r="BU19" s="188">
        <v>0</v>
      </c>
    </row>
    <row r="20" spans="1:73" x14ac:dyDescent="0.25">
      <c r="A20" s="188" t="s">
        <v>236</v>
      </c>
      <c r="B20" s="188">
        <v>60477500075</v>
      </c>
      <c r="C20" s="188">
        <v>46979324301</v>
      </c>
      <c r="D20" s="188">
        <v>18678266470</v>
      </c>
      <c r="E20" s="188">
        <v>33347868918</v>
      </c>
      <c r="F20" s="188">
        <v>19703577687</v>
      </c>
      <c r="G20" s="188">
        <v>10338776842</v>
      </c>
      <c r="H20" s="188">
        <v>3562560632</v>
      </c>
      <c r="I20" s="188">
        <v>34686752663</v>
      </c>
      <c r="J20" s="188">
        <v>28380198020</v>
      </c>
      <c r="K20" s="188">
        <v>17036186308</v>
      </c>
      <c r="L20" s="188">
        <v>3555750027</v>
      </c>
      <c r="M20" s="188">
        <v>13757314612</v>
      </c>
      <c r="N20" s="188">
        <v>9569078269</v>
      </c>
      <c r="O20" s="188">
        <v>4588853768</v>
      </c>
      <c r="P20" s="188">
        <v>2438355931</v>
      </c>
      <c r="Q20" s="188">
        <v>1737649860</v>
      </c>
      <c r="R20" s="188">
        <v>3996809800</v>
      </c>
      <c r="S20" s="188">
        <v>406474616</v>
      </c>
      <c r="T20" s="188">
        <v>883840401</v>
      </c>
      <c r="U20" s="188">
        <v>757697367</v>
      </c>
      <c r="V20" s="188">
        <v>1654085557</v>
      </c>
      <c r="W20" s="188">
        <v>850815050</v>
      </c>
      <c r="X20" s="188">
        <v>232803186</v>
      </c>
      <c r="Y20" s="188">
        <v>2088111571</v>
      </c>
      <c r="Z20" s="188">
        <v>257958365</v>
      </c>
      <c r="AA20" s="188">
        <v>158620171</v>
      </c>
      <c r="AB20" s="188">
        <v>132567214</v>
      </c>
      <c r="AC20" s="188">
        <v>2970775551</v>
      </c>
      <c r="AD20" s="188">
        <v>1461126080</v>
      </c>
      <c r="AE20" s="188">
        <v>1698685266</v>
      </c>
      <c r="AF20" s="188">
        <v>368865074</v>
      </c>
      <c r="AG20" s="188">
        <v>1158684829</v>
      </c>
      <c r="AH20" s="188">
        <v>324140608</v>
      </c>
      <c r="AI20" s="188">
        <v>288178780</v>
      </c>
      <c r="AJ20" s="188">
        <v>53721642</v>
      </c>
      <c r="AK20" s="188">
        <v>423856689</v>
      </c>
      <c r="AL20" s="188">
        <v>200188934</v>
      </c>
      <c r="AM20" s="188">
        <v>129369104</v>
      </c>
      <c r="AN20" s="188">
        <v>107885333</v>
      </c>
      <c r="AO20" s="188">
        <v>180073150</v>
      </c>
      <c r="AP20" s="188">
        <v>305418109</v>
      </c>
      <c r="AQ20" s="188">
        <v>231156512</v>
      </c>
      <c r="AR20" s="188">
        <v>140888288</v>
      </c>
      <c r="AS20" s="188">
        <v>2396057361</v>
      </c>
      <c r="AT20" s="188">
        <v>2253254811</v>
      </c>
      <c r="AU20" s="188">
        <v>2238659610</v>
      </c>
      <c r="AV20" s="188">
        <v>1039645600</v>
      </c>
      <c r="AW20" s="188">
        <v>853413313</v>
      </c>
      <c r="AX20" s="188">
        <v>154133251</v>
      </c>
      <c r="AY20" s="188">
        <v>119856851</v>
      </c>
      <c r="AZ20" s="188">
        <v>4312414</v>
      </c>
      <c r="BA20" s="188">
        <v>236056157</v>
      </c>
      <c r="BB20" s="188">
        <v>441584563.35000002</v>
      </c>
      <c r="BC20" s="188">
        <v>421908468</v>
      </c>
      <c r="BD20" s="188">
        <v>33892217</v>
      </c>
      <c r="BE20" s="188">
        <v>386156164</v>
      </c>
      <c r="BF20" s="188">
        <v>204963304.69</v>
      </c>
      <c r="BG20" s="188">
        <v>131167048.98</v>
      </c>
      <c r="BH20" s="188">
        <v>63317803.969999999</v>
      </c>
      <c r="BI20" s="188">
        <v>37547295</v>
      </c>
      <c r="BJ20" s="188">
        <v>90249612.280000001</v>
      </c>
      <c r="BK20" s="188">
        <v>17378232</v>
      </c>
      <c r="BL20" s="188">
        <v>62192360.960000001</v>
      </c>
      <c r="BM20" s="188">
        <v>6616661</v>
      </c>
      <c r="BN20" s="188">
        <v>4435965.03</v>
      </c>
      <c r="BO20" s="188">
        <v>42434909</v>
      </c>
      <c r="BP20" s="188">
        <v>35272322.100000001</v>
      </c>
      <c r="BQ20" s="188">
        <v>35364128</v>
      </c>
      <c r="BR20" s="188">
        <v>27388605</v>
      </c>
      <c r="BS20" s="188">
        <v>1922141</v>
      </c>
      <c r="BT20" s="188">
        <v>30449000</v>
      </c>
      <c r="BU20" s="188">
        <v>0</v>
      </c>
    </row>
    <row r="21" spans="1:73" x14ac:dyDescent="0.25">
      <c r="A21" s="188" t="s">
        <v>237</v>
      </c>
      <c r="B21" s="188">
        <v>37753522657</v>
      </c>
      <c r="C21" s="188">
        <v>22369952658</v>
      </c>
      <c r="D21" s="188">
        <v>11114423433</v>
      </c>
      <c r="E21" s="188">
        <v>47741900710</v>
      </c>
      <c r="F21" s="188">
        <v>35760451600</v>
      </c>
      <c r="G21" s="188">
        <v>24969365239</v>
      </c>
      <c r="H21" s="188">
        <v>14048658723</v>
      </c>
      <c r="I21" s="188">
        <v>30702614717</v>
      </c>
      <c r="J21" s="188">
        <v>15462947784</v>
      </c>
      <c r="K21" s="188">
        <v>7098361611</v>
      </c>
      <c r="L21" s="188">
        <v>3388778286</v>
      </c>
      <c r="M21" s="188">
        <v>18607146447</v>
      </c>
      <c r="N21" s="188">
        <v>13708972589</v>
      </c>
      <c r="O21" s="188">
        <v>10480124471</v>
      </c>
      <c r="P21" s="188">
        <v>5519405867</v>
      </c>
      <c r="Q21" s="188">
        <v>21290003058</v>
      </c>
      <c r="R21" s="188">
        <v>14507066576</v>
      </c>
      <c r="S21" s="188">
        <v>9255316417</v>
      </c>
      <c r="T21" s="188">
        <v>4042846525</v>
      </c>
      <c r="U21" s="188">
        <v>18326663220</v>
      </c>
      <c r="V21" s="188">
        <v>12456769266</v>
      </c>
      <c r="W21" s="188">
        <v>8327919358</v>
      </c>
      <c r="X21" s="188">
        <v>1298473831</v>
      </c>
      <c r="Y21" s="188">
        <v>4233462922</v>
      </c>
      <c r="Z21" s="188">
        <v>2724901135</v>
      </c>
      <c r="AA21" s="188">
        <v>2349407153</v>
      </c>
      <c r="AB21" s="188">
        <v>2498938550</v>
      </c>
      <c r="AC21" s="188">
        <v>18331564138</v>
      </c>
      <c r="AD21" s="188">
        <v>15760161627</v>
      </c>
      <c r="AE21" s="188">
        <v>11595565436</v>
      </c>
      <c r="AF21" s="188">
        <v>6213351370</v>
      </c>
      <c r="AG21" s="188">
        <v>14114102183</v>
      </c>
      <c r="AH21" s="188">
        <v>10006820707</v>
      </c>
      <c r="AI21" s="188">
        <v>6271157329</v>
      </c>
      <c r="AJ21" s="188">
        <v>1345978645</v>
      </c>
      <c r="AK21" s="188">
        <v>3740444628</v>
      </c>
      <c r="AL21" s="188">
        <v>2588184295</v>
      </c>
      <c r="AM21" s="188">
        <v>1920930533</v>
      </c>
      <c r="AN21" s="188">
        <v>705476913</v>
      </c>
      <c r="AO21" s="188">
        <v>1085482340</v>
      </c>
      <c r="AP21" s="188">
        <v>812085642</v>
      </c>
      <c r="AQ21" s="188">
        <v>589489494</v>
      </c>
      <c r="AR21" s="188">
        <v>151794361</v>
      </c>
      <c r="AS21" s="188">
        <v>374009390</v>
      </c>
      <c r="AT21" s="188">
        <v>236743253</v>
      </c>
      <c r="AU21" s="188">
        <v>177682907</v>
      </c>
      <c r="AV21" s="188">
        <v>116124417</v>
      </c>
      <c r="AW21" s="188">
        <v>755763279</v>
      </c>
      <c r="AX21" s="188">
        <v>599147631</v>
      </c>
      <c r="AY21" s="188">
        <v>403945394</v>
      </c>
      <c r="AZ21" s="188">
        <v>312710474</v>
      </c>
      <c r="BA21" s="188">
        <v>3976390036</v>
      </c>
      <c r="BB21" s="188">
        <v>3714546927.1300001</v>
      </c>
      <c r="BC21" s="188">
        <v>3458678802</v>
      </c>
      <c r="BD21" s="188">
        <v>1210515309</v>
      </c>
      <c r="BE21" s="188">
        <v>5630154227</v>
      </c>
      <c r="BF21" s="188">
        <v>2666981814.77</v>
      </c>
      <c r="BG21" s="188">
        <v>838758270.36000001</v>
      </c>
      <c r="BH21" s="188">
        <v>201231333.41</v>
      </c>
      <c r="BI21" s="188">
        <v>660211384</v>
      </c>
      <c r="BJ21" s="188">
        <v>3263633275.7800002</v>
      </c>
      <c r="BK21" s="188">
        <v>3237270003.2399998</v>
      </c>
      <c r="BL21" s="188">
        <v>2764321273.96</v>
      </c>
      <c r="BM21" s="188">
        <v>290050265</v>
      </c>
      <c r="BN21" s="188">
        <v>371217117.67000002</v>
      </c>
      <c r="BO21" s="188">
        <v>321023405</v>
      </c>
      <c r="BP21" s="188">
        <v>75423887.909999996</v>
      </c>
      <c r="BQ21" s="188">
        <v>228808868</v>
      </c>
      <c r="BR21" s="188">
        <v>98603236</v>
      </c>
      <c r="BS21" s="188">
        <v>134315797</v>
      </c>
      <c r="BT21" s="188">
        <v>76584000</v>
      </c>
      <c r="BU21" s="188">
        <v>0</v>
      </c>
    </row>
    <row r="22" spans="1:73" x14ac:dyDescent="0.25">
      <c r="A22" s="188" t="s">
        <v>238</v>
      </c>
      <c r="B22" s="188">
        <v>54265549688</v>
      </c>
      <c r="C22" s="188">
        <v>46687262053</v>
      </c>
      <c r="D22" s="188">
        <v>19209443548</v>
      </c>
      <c r="E22" s="188">
        <v>44667993985</v>
      </c>
      <c r="F22" s="188">
        <v>30495761172</v>
      </c>
      <c r="G22" s="188">
        <v>16940890821</v>
      </c>
      <c r="H22" s="188">
        <v>4742577876</v>
      </c>
      <c r="I22" s="188">
        <v>28468266548</v>
      </c>
      <c r="J22" s="188">
        <v>28109045928</v>
      </c>
      <c r="K22" s="188">
        <v>21154818990</v>
      </c>
      <c r="L22" s="188">
        <v>938110831</v>
      </c>
      <c r="M22" s="188">
        <v>14339727658</v>
      </c>
      <c r="N22" s="188">
        <v>10897679045</v>
      </c>
      <c r="O22" s="188">
        <v>5662064789</v>
      </c>
      <c r="P22" s="188">
        <v>1977564789</v>
      </c>
      <c r="Q22" s="188">
        <v>3390171995</v>
      </c>
      <c r="R22" s="188">
        <v>1240835666</v>
      </c>
      <c r="S22" s="188">
        <v>6000461</v>
      </c>
      <c r="T22" s="188">
        <v>5971884</v>
      </c>
      <c r="U22" s="188">
        <v>209791275</v>
      </c>
      <c r="V22" s="188">
        <v>13633862</v>
      </c>
      <c r="W22" s="188">
        <v>33633862</v>
      </c>
      <c r="X22" s="188">
        <v>0</v>
      </c>
      <c r="Y22" s="188">
        <v>32000000</v>
      </c>
      <c r="Z22" s="188">
        <v>20000000</v>
      </c>
      <c r="AA22" s="188">
        <v>0</v>
      </c>
      <c r="AB22" s="188">
        <v>0</v>
      </c>
      <c r="AC22" s="188">
        <v>350000</v>
      </c>
      <c r="AD22" s="188">
        <v>24446914</v>
      </c>
      <c r="AE22" s="188">
        <v>315135550</v>
      </c>
      <c r="AF22" s="188">
        <v>0</v>
      </c>
      <c r="AG22" s="188">
        <v>6250000</v>
      </c>
      <c r="AH22" s="188">
        <v>28195991</v>
      </c>
      <c r="AI22" s="188">
        <v>27695991</v>
      </c>
      <c r="AJ22" s="188">
        <v>27695991</v>
      </c>
      <c r="AK22" s="188">
        <v>48000000</v>
      </c>
      <c r="AL22" s="188">
        <v>272000000</v>
      </c>
      <c r="AM22" s="188">
        <v>0</v>
      </c>
      <c r="AN22" s="188">
        <v>0</v>
      </c>
      <c r="AO22" s="188">
        <v>54500000</v>
      </c>
      <c r="AP22" s="188">
        <v>240000000</v>
      </c>
      <c r="AQ22" s="188">
        <v>240000000</v>
      </c>
      <c r="AR22" s="188">
        <v>0</v>
      </c>
      <c r="AS22" s="188">
        <v>5454000</v>
      </c>
      <c r="AT22" s="188">
        <v>0</v>
      </c>
      <c r="AU22" s="188">
        <v>0</v>
      </c>
      <c r="AV22" s="188">
        <v>0</v>
      </c>
      <c r="AW22" s="188">
        <v>8000000</v>
      </c>
      <c r="AX22" s="188">
        <v>8797400</v>
      </c>
      <c r="AY22" s="188">
        <v>8000000</v>
      </c>
      <c r="AZ22" s="188">
        <v>0</v>
      </c>
      <c r="BA22" s="188">
        <v>8576164</v>
      </c>
      <c r="BB22" s="188">
        <v>0</v>
      </c>
      <c r="BC22" s="188">
        <v>47493931</v>
      </c>
      <c r="BD22" s="188">
        <v>0</v>
      </c>
      <c r="BE22" s="188">
        <v>6834450</v>
      </c>
      <c r="BF22" s="188">
        <v>22373185.98</v>
      </c>
      <c r="BG22" s="188">
        <v>5773575.8799999999</v>
      </c>
      <c r="BH22" s="188">
        <v>0</v>
      </c>
      <c r="BI22" s="188">
        <v>1180267091</v>
      </c>
      <c r="BJ22" s="188">
        <v>125704443.41</v>
      </c>
      <c r="BK22" s="188">
        <v>2200481.46</v>
      </c>
      <c r="BL22" s="188">
        <v>28850295.460000001</v>
      </c>
      <c r="BM22" s="188">
        <v>119730666</v>
      </c>
      <c r="BN22" s="188">
        <v>51502269.299999997</v>
      </c>
      <c r="BO22" s="188">
        <v>162555531</v>
      </c>
      <c r="BP22" s="188">
        <v>86189252</v>
      </c>
      <c r="BQ22" s="188">
        <v>7036946</v>
      </c>
      <c r="BR22" s="188">
        <v>2387105</v>
      </c>
      <c r="BS22" s="188">
        <v>123060000</v>
      </c>
      <c r="BT22" s="188">
        <v>24498000</v>
      </c>
      <c r="BU22" s="188">
        <v>0</v>
      </c>
    </row>
    <row r="23" spans="1:73" x14ac:dyDescent="0.25">
      <c r="A23" s="188" t="s">
        <v>239</v>
      </c>
      <c r="B23" s="188">
        <v>0</v>
      </c>
      <c r="C23" s="188">
        <v>0</v>
      </c>
      <c r="D23" s="188">
        <v>0</v>
      </c>
      <c r="E23" s="188">
        <v>0</v>
      </c>
      <c r="F23" s="188">
        <v>8399081</v>
      </c>
      <c r="G23" s="188">
        <v>0</v>
      </c>
      <c r="H23" s="188">
        <v>0</v>
      </c>
      <c r="I23" s="188">
        <v>0</v>
      </c>
      <c r="J23" s="188">
        <v>0</v>
      </c>
      <c r="K23" s="188">
        <v>0</v>
      </c>
      <c r="L23" s="188">
        <v>0</v>
      </c>
      <c r="M23" s="188">
        <v>404844397</v>
      </c>
      <c r="N23" s="188">
        <v>404844377</v>
      </c>
      <c r="O23" s="188">
        <v>0</v>
      </c>
      <c r="P23" s="188">
        <v>4000000</v>
      </c>
      <c r="Q23" s="188">
        <v>809412435</v>
      </c>
      <c r="R23" s="188">
        <v>534815100</v>
      </c>
      <c r="S23" s="188">
        <v>534815100</v>
      </c>
      <c r="T23" s="188">
        <v>0</v>
      </c>
      <c r="U23" s="188">
        <v>377624956</v>
      </c>
      <c r="V23" s="188">
        <v>0</v>
      </c>
      <c r="W23" s="188">
        <v>0</v>
      </c>
      <c r="X23" s="188">
        <v>0</v>
      </c>
      <c r="Y23" s="188">
        <v>0</v>
      </c>
      <c r="Z23" s="188">
        <v>0</v>
      </c>
      <c r="AA23" s="188">
        <v>0</v>
      </c>
      <c r="AB23" s="188">
        <v>0</v>
      </c>
      <c r="AC23" s="188">
        <v>13650072</v>
      </c>
      <c r="AD23" s="188">
        <v>15306439</v>
      </c>
      <c r="AE23" s="188">
        <v>15306439</v>
      </c>
      <c r="AF23" s="188">
        <v>15306439</v>
      </c>
      <c r="AG23" s="188">
        <v>147250691</v>
      </c>
      <c r="AH23" s="188">
        <v>253900000</v>
      </c>
      <c r="AI23" s="188">
        <v>0</v>
      </c>
      <c r="AJ23" s="188">
        <v>0</v>
      </c>
      <c r="AK23" s="188">
        <v>0</v>
      </c>
      <c r="AL23" s="188">
        <v>0</v>
      </c>
      <c r="AM23" s="188">
        <v>0</v>
      </c>
      <c r="AN23" s="188">
        <v>0</v>
      </c>
      <c r="AO23" s="188">
        <v>12126325</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c r="BJ23" s="188">
        <v>0</v>
      </c>
      <c r="BK23" s="188">
        <v>0</v>
      </c>
      <c r="BL23" s="188">
        <v>0</v>
      </c>
      <c r="BM23" s="188">
        <v>0</v>
      </c>
      <c r="BN23" s="188">
        <v>0</v>
      </c>
      <c r="BO23" s="188">
        <v>0</v>
      </c>
      <c r="BP23" s="188">
        <v>0</v>
      </c>
      <c r="BQ23" s="188">
        <v>0</v>
      </c>
      <c r="BR23" s="188">
        <v>0</v>
      </c>
      <c r="BS23" s="188">
        <v>0</v>
      </c>
      <c r="BT23" s="188">
        <v>0</v>
      </c>
      <c r="BU23" s="188">
        <v>0</v>
      </c>
    </row>
    <row r="24" spans="1:73" x14ac:dyDescent="0.25">
      <c r="A24" s="188" t="s">
        <v>240</v>
      </c>
      <c r="B24" s="188">
        <v>505424898</v>
      </c>
      <c r="C24" s="188">
        <v>1729746759</v>
      </c>
      <c r="D24" s="188">
        <v>1421766786</v>
      </c>
      <c r="E24" s="188">
        <v>0</v>
      </c>
      <c r="F24" s="188">
        <v>1150788952</v>
      </c>
      <c r="G24" s="188">
        <v>417993963</v>
      </c>
      <c r="H24" s="188">
        <v>2001547461</v>
      </c>
      <c r="I24" s="188">
        <v>0</v>
      </c>
      <c r="J24" s="188">
        <v>2723123020</v>
      </c>
      <c r="K24" s="188">
        <v>1416268111</v>
      </c>
      <c r="L24" s="188">
        <v>740357996</v>
      </c>
      <c r="M24" s="188">
        <v>0</v>
      </c>
      <c r="N24" s="188">
        <v>406215770</v>
      </c>
      <c r="O24" s="188">
        <v>16928514</v>
      </c>
      <c r="P24" s="188">
        <v>253826518</v>
      </c>
      <c r="Q24" s="188">
        <v>0</v>
      </c>
      <c r="R24" s="188">
        <v>2765809694</v>
      </c>
      <c r="S24" s="188">
        <v>16591152</v>
      </c>
      <c r="T24" s="188">
        <v>22452465</v>
      </c>
      <c r="U24" s="188">
        <v>0</v>
      </c>
      <c r="V24" s="188">
        <v>4644780677</v>
      </c>
      <c r="W24" s="188">
        <v>1915723</v>
      </c>
      <c r="X24" s="188">
        <v>21199726</v>
      </c>
      <c r="Y24" s="188">
        <v>0</v>
      </c>
      <c r="Z24" s="188">
        <v>7370726</v>
      </c>
      <c r="AA24" s="188">
        <v>7367347</v>
      </c>
      <c r="AB24" s="188">
        <v>7370726</v>
      </c>
      <c r="AC24" s="188">
        <v>0</v>
      </c>
      <c r="AD24" s="188">
        <v>2986245887</v>
      </c>
      <c r="AE24" s="188">
        <v>6403063351</v>
      </c>
      <c r="AF24" s="188">
        <v>0</v>
      </c>
      <c r="AG24" s="188">
        <v>27695991</v>
      </c>
      <c r="AH24" s="188">
        <v>4728361663</v>
      </c>
      <c r="AI24" s="188">
        <v>0</v>
      </c>
      <c r="AJ24" s="188">
        <v>1126145107</v>
      </c>
      <c r="AK24" s="188">
        <v>0</v>
      </c>
      <c r="AL24" s="188">
        <v>0</v>
      </c>
      <c r="AM24" s="188">
        <v>52309829</v>
      </c>
      <c r="AN24" s="188">
        <v>0</v>
      </c>
      <c r="AO24" s="188">
        <v>0</v>
      </c>
      <c r="AP24" s="188">
        <v>106835421</v>
      </c>
      <c r="AQ24" s="188">
        <v>527102</v>
      </c>
      <c r="AR24" s="188">
        <v>78955236</v>
      </c>
      <c r="AS24" s="188">
        <v>0</v>
      </c>
      <c r="AT24" s="188">
        <v>0</v>
      </c>
      <c r="AU24" s="188">
        <v>0</v>
      </c>
      <c r="AV24" s="188">
        <v>0</v>
      </c>
      <c r="AW24" s="188">
        <v>1622526</v>
      </c>
      <c r="AX24" s="188">
        <v>2122526</v>
      </c>
      <c r="AY24" s="188">
        <v>0</v>
      </c>
      <c r="AZ24" s="188">
        <v>0</v>
      </c>
      <c r="BA24" s="188">
        <v>0</v>
      </c>
      <c r="BB24" s="188">
        <v>79234.77</v>
      </c>
      <c r="BC24" s="188">
        <v>70661</v>
      </c>
      <c r="BD24" s="188">
        <v>316892</v>
      </c>
      <c r="BE24" s="188">
        <v>368524836</v>
      </c>
      <c r="BF24" s="188">
        <v>23150899.870000001</v>
      </c>
      <c r="BG24" s="188">
        <v>13242118.6</v>
      </c>
      <c r="BH24" s="188">
        <v>1545.07</v>
      </c>
      <c r="BI24" s="188">
        <v>2397900590</v>
      </c>
      <c r="BJ24" s="188">
        <v>2440</v>
      </c>
      <c r="BK24" s="188">
        <v>1785</v>
      </c>
      <c r="BL24" s="188">
        <v>1094</v>
      </c>
      <c r="BM24" s="188">
        <v>443279717</v>
      </c>
      <c r="BN24" s="188">
        <v>9311795.8100000005</v>
      </c>
      <c r="BO24" s="188">
        <v>314409</v>
      </c>
      <c r="BP24" s="188">
        <v>0</v>
      </c>
      <c r="BQ24" s="188">
        <v>969212</v>
      </c>
      <c r="BR24" s="188">
        <v>0</v>
      </c>
      <c r="BS24" s="188">
        <v>5000000</v>
      </c>
      <c r="BT24" s="188">
        <v>0</v>
      </c>
      <c r="BU24" s="188">
        <v>0</v>
      </c>
    </row>
    <row r="25" spans="1:73" x14ac:dyDescent="0.25">
      <c r="A25" s="188" t="s">
        <v>241</v>
      </c>
      <c r="B25" s="188">
        <v>92524497243</v>
      </c>
      <c r="C25" s="188">
        <v>70786961470</v>
      </c>
      <c r="D25" s="188">
        <v>31745633767</v>
      </c>
      <c r="E25" s="188">
        <v>92409894695</v>
      </c>
      <c r="F25" s="188">
        <v>67415400805</v>
      </c>
      <c r="G25" s="188">
        <v>42328250023</v>
      </c>
      <c r="H25" s="188">
        <v>20792784060</v>
      </c>
      <c r="I25" s="188">
        <v>59181683823</v>
      </c>
      <c r="J25" s="188">
        <v>46295116732</v>
      </c>
      <c r="K25" s="188">
        <v>29669448712</v>
      </c>
      <c r="L25" s="188">
        <v>5067247113</v>
      </c>
      <c r="M25" s="188">
        <v>33351718502</v>
      </c>
      <c r="N25" s="188">
        <v>25417711781</v>
      </c>
      <c r="O25" s="188">
        <v>16159117774</v>
      </c>
      <c r="P25" s="188">
        <v>7754797174</v>
      </c>
      <c r="Q25" s="188">
        <v>25492061006</v>
      </c>
      <c r="R25" s="188">
        <v>19048527036</v>
      </c>
      <c r="S25" s="188">
        <v>9812723130</v>
      </c>
      <c r="T25" s="188">
        <v>4071270874</v>
      </c>
      <c r="U25" s="188">
        <v>18914079451</v>
      </c>
      <c r="V25" s="188">
        <v>17115183805</v>
      </c>
      <c r="W25" s="188">
        <v>8363468943</v>
      </c>
      <c r="X25" s="188">
        <v>1319673557</v>
      </c>
      <c r="Y25" s="188">
        <v>4265462922</v>
      </c>
      <c r="Z25" s="188">
        <v>2752271861</v>
      </c>
      <c r="AA25" s="188">
        <v>2356774500</v>
      </c>
      <c r="AB25" s="188">
        <v>2506309276</v>
      </c>
      <c r="AC25" s="188">
        <v>18345564210</v>
      </c>
      <c r="AD25" s="188">
        <v>18786160867</v>
      </c>
      <c r="AE25" s="188">
        <v>18329070776</v>
      </c>
      <c r="AF25" s="188">
        <v>8309282714</v>
      </c>
      <c r="AG25" s="188">
        <v>14295298865</v>
      </c>
      <c r="AH25" s="188">
        <v>15017278361</v>
      </c>
      <c r="AI25" s="188">
        <v>11027214983</v>
      </c>
      <c r="AJ25" s="188">
        <v>2499819743</v>
      </c>
      <c r="AK25" s="188">
        <v>3788444628</v>
      </c>
      <c r="AL25" s="188">
        <v>2860184295</v>
      </c>
      <c r="AM25" s="188">
        <v>2224739053</v>
      </c>
      <c r="AN25" s="188">
        <v>1539138935</v>
      </c>
      <c r="AO25" s="188">
        <v>1152108665</v>
      </c>
      <c r="AP25" s="188">
        <v>1158921063</v>
      </c>
      <c r="AQ25" s="188">
        <v>1011661805</v>
      </c>
      <c r="AR25" s="188">
        <v>230749597</v>
      </c>
      <c r="AS25" s="188">
        <v>379463390</v>
      </c>
      <c r="AT25" s="188">
        <v>339473183</v>
      </c>
      <c r="AU25" s="188">
        <v>177682907</v>
      </c>
      <c r="AV25" s="188">
        <v>116124417</v>
      </c>
      <c r="AW25" s="188">
        <v>1050299570</v>
      </c>
      <c r="AX25" s="188">
        <v>853969850</v>
      </c>
      <c r="AY25" s="188">
        <v>411945394</v>
      </c>
      <c r="AZ25" s="188">
        <v>312710474</v>
      </c>
      <c r="BA25" s="188">
        <v>4656885302</v>
      </c>
      <c r="BB25" s="188">
        <v>3714626161.9000001</v>
      </c>
      <c r="BC25" s="188">
        <v>3506243394</v>
      </c>
      <c r="BD25" s="188">
        <v>1210832201</v>
      </c>
      <c r="BE25" s="188">
        <v>6005513513</v>
      </c>
      <c r="BF25" s="188">
        <v>2712505900.6199999</v>
      </c>
      <c r="BG25" s="188">
        <v>857773964.84000003</v>
      </c>
      <c r="BH25" s="188">
        <v>201232878.47999999</v>
      </c>
      <c r="BI25" s="188">
        <v>4238379065</v>
      </c>
      <c r="BJ25" s="188">
        <v>3389340159.1900001</v>
      </c>
      <c r="BK25" s="188">
        <v>3237270003.2399998</v>
      </c>
      <c r="BL25" s="188">
        <v>2793172663.4200001</v>
      </c>
      <c r="BM25" s="188">
        <v>853060648</v>
      </c>
      <c r="BN25" s="188">
        <v>432031182.77999997</v>
      </c>
      <c r="BO25" s="188">
        <v>483893345</v>
      </c>
      <c r="BP25" s="188">
        <v>161613139.91</v>
      </c>
      <c r="BQ25" s="188">
        <v>236815026</v>
      </c>
      <c r="BR25" s="188">
        <v>100990341</v>
      </c>
      <c r="BS25" s="188">
        <v>200845797</v>
      </c>
      <c r="BT25" s="188">
        <v>88833000</v>
      </c>
      <c r="BU25" s="188">
        <v>0</v>
      </c>
    </row>
    <row r="26" spans="1:73" x14ac:dyDescent="0.25">
      <c r="A26" s="188" t="s">
        <v>242</v>
      </c>
      <c r="B26" s="188">
        <v>-32046997168</v>
      </c>
      <c r="C26" s="188">
        <v>-23807637169</v>
      </c>
      <c r="D26" s="188">
        <v>-13067367297</v>
      </c>
      <c r="E26" s="188">
        <v>-59062025777</v>
      </c>
      <c r="F26" s="188">
        <v>-47711823118</v>
      </c>
      <c r="G26" s="188">
        <v>-31989473181</v>
      </c>
      <c r="H26" s="188">
        <v>-17230223428</v>
      </c>
      <c r="I26" s="188">
        <v>-24494931160</v>
      </c>
      <c r="J26" s="188">
        <v>-17914918712</v>
      </c>
      <c r="K26" s="188">
        <v>-12633262404</v>
      </c>
      <c r="L26" s="188">
        <v>-1511497086</v>
      </c>
      <c r="M26" s="188">
        <v>-19594403890</v>
      </c>
      <c r="N26" s="188">
        <v>-15848633512</v>
      </c>
      <c r="O26" s="188">
        <v>-11570264006</v>
      </c>
      <c r="P26" s="188">
        <v>-5316441243</v>
      </c>
      <c r="Q26" s="188">
        <v>-23754411146</v>
      </c>
      <c r="R26" s="188">
        <v>-15051717236</v>
      </c>
      <c r="S26" s="188">
        <v>-9406248514</v>
      </c>
      <c r="T26" s="188">
        <v>-3187430473</v>
      </c>
      <c r="U26" s="188">
        <v>-18156382084</v>
      </c>
      <c r="V26" s="188">
        <v>-15461098248</v>
      </c>
      <c r="W26" s="188">
        <v>-7512653893</v>
      </c>
      <c r="X26" s="188">
        <v>-1086870371</v>
      </c>
      <c r="Y26" s="188">
        <v>-2177351351</v>
      </c>
      <c r="Z26" s="188">
        <v>-2494313496</v>
      </c>
      <c r="AA26" s="188">
        <v>-2198154329</v>
      </c>
      <c r="AB26" s="188">
        <v>-2373742062</v>
      </c>
      <c r="AC26" s="188">
        <v>-15374788659</v>
      </c>
      <c r="AD26" s="188">
        <v>-17325034787</v>
      </c>
      <c r="AE26" s="188">
        <v>-16630385510</v>
      </c>
      <c r="AF26" s="188">
        <v>-7940417640</v>
      </c>
      <c r="AG26" s="188">
        <v>-13136614036</v>
      </c>
      <c r="AH26" s="188">
        <v>-14693137753</v>
      </c>
      <c r="AI26" s="188">
        <v>-10739036203</v>
      </c>
      <c r="AJ26" s="188">
        <v>-2446098101</v>
      </c>
      <c r="AK26" s="188">
        <v>-3364587939</v>
      </c>
      <c r="AL26" s="188">
        <v>-2659995361</v>
      </c>
      <c r="AM26" s="188">
        <v>-2095369949</v>
      </c>
      <c r="AN26" s="188">
        <v>-1431253602</v>
      </c>
      <c r="AO26" s="188">
        <v>-972035515</v>
      </c>
      <c r="AP26" s="188">
        <v>-853502954</v>
      </c>
      <c r="AQ26" s="188">
        <v>-780505293</v>
      </c>
      <c r="AR26" s="188">
        <v>-89861309</v>
      </c>
      <c r="AS26" s="188">
        <v>2016593971</v>
      </c>
      <c r="AT26" s="188">
        <v>1913781628</v>
      </c>
      <c r="AU26" s="188">
        <v>2060976703</v>
      </c>
      <c r="AV26" s="188">
        <v>923521183</v>
      </c>
      <c r="AW26" s="188">
        <v>-196886257</v>
      </c>
      <c r="AX26" s="188">
        <v>-699836599</v>
      </c>
      <c r="AY26" s="188">
        <v>-292088543</v>
      </c>
      <c r="AZ26" s="188">
        <v>-308398060</v>
      </c>
      <c r="BA26" s="188">
        <v>-4420829145</v>
      </c>
      <c r="BB26" s="188">
        <v>-3273041598.5500002</v>
      </c>
      <c r="BC26" s="188">
        <v>-3084334926</v>
      </c>
      <c r="BD26" s="188">
        <v>-1176939984</v>
      </c>
      <c r="BE26" s="188">
        <v>-5619357349</v>
      </c>
      <c r="BF26" s="188">
        <v>-2507542595.9299998</v>
      </c>
      <c r="BG26" s="188">
        <v>-726606915.86000001</v>
      </c>
      <c r="BH26" s="188">
        <v>-137915074.50999999</v>
      </c>
      <c r="BI26" s="188">
        <v>-4200831770</v>
      </c>
      <c r="BJ26" s="188">
        <v>-3299090546.9099998</v>
      </c>
      <c r="BK26" s="188">
        <v>-3219891771.2399998</v>
      </c>
      <c r="BL26" s="188">
        <v>-2730980302.46</v>
      </c>
      <c r="BM26" s="188">
        <v>-846443987</v>
      </c>
      <c r="BN26" s="188">
        <v>-427595217.75</v>
      </c>
      <c r="BO26" s="188">
        <v>-441458436</v>
      </c>
      <c r="BP26" s="188">
        <v>-126340817.81</v>
      </c>
      <c r="BQ26" s="188">
        <v>-201450898</v>
      </c>
      <c r="BR26" s="188">
        <v>-73601736</v>
      </c>
      <c r="BS26" s="188">
        <v>-198923656</v>
      </c>
      <c r="BT26" s="188">
        <v>-58384000</v>
      </c>
      <c r="BU26" s="188">
        <v>0</v>
      </c>
    </row>
    <row r="27" spans="1:73" x14ac:dyDescent="0.25">
      <c r="A27" s="188" t="s">
        <v>243</v>
      </c>
    </row>
    <row r="28" spans="1:73" x14ac:dyDescent="0.25">
      <c r="A28" s="188" t="s">
        <v>244</v>
      </c>
      <c r="B28" s="188">
        <v>4212024400</v>
      </c>
      <c r="C28" s="188">
        <v>4211130000</v>
      </c>
      <c r="D28" s="188">
        <v>10800000</v>
      </c>
      <c r="E28" s="188">
        <v>9851250000</v>
      </c>
      <c r="F28" s="188">
        <v>11505150000</v>
      </c>
      <c r="G28" s="188">
        <v>6105150000</v>
      </c>
      <c r="H28" s="188">
        <v>2003250000</v>
      </c>
      <c r="I28" s="188">
        <v>4500000000</v>
      </c>
      <c r="J28" s="188">
        <v>3008499427</v>
      </c>
      <c r="K28" s="188">
        <v>3008499427</v>
      </c>
      <c r="L28" s="188">
        <v>0</v>
      </c>
      <c r="M28" s="188">
        <v>0</v>
      </c>
      <c r="N28" s="188">
        <v>0</v>
      </c>
      <c r="O28" s="188">
        <v>0</v>
      </c>
      <c r="P28" s="188">
        <v>0</v>
      </c>
      <c r="Q28" s="188">
        <v>30752700690</v>
      </c>
      <c r="R28" s="188">
        <v>30752700690</v>
      </c>
      <c r="S28" s="188">
        <v>30752700690</v>
      </c>
      <c r="T28" s="188">
        <v>30752700690</v>
      </c>
      <c r="U28" s="188">
        <v>14351281</v>
      </c>
      <c r="V28" s="188">
        <v>15042000</v>
      </c>
      <c r="W28" s="188">
        <v>35042000</v>
      </c>
      <c r="X28" s="188">
        <v>0</v>
      </c>
      <c r="Y28" s="188">
        <v>0</v>
      </c>
      <c r="Z28" s="188">
        <v>0</v>
      </c>
      <c r="AA28" s="188">
        <v>0</v>
      </c>
      <c r="AB28" s="188">
        <v>0</v>
      </c>
      <c r="AC28" s="188">
        <v>4000000</v>
      </c>
      <c r="AD28" s="188">
        <v>0</v>
      </c>
      <c r="AE28" s="188">
        <v>0</v>
      </c>
      <c r="AF28" s="188">
        <v>0</v>
      </c>
      <c r="AG28" s="188">
        <v>14665779297</v>
      </c>
      <c r="AH28" s="188">
        <v>5500000000</v>
      </c>
      <c r="AI28" s="188">
        <v>5500000000</v>
      </c>
      <c r="AJ28" s="188">
        <v>1500000000</v>
      </c>
      <c r="AK28" s="188">
        <v>14833252000</v>
      </c>
      <c r="AL28" s="188">
        <v>11857252000</v>
      </c>
      <c r="AM28" s="188">
        <v>11828252000</v>
      </c>
      <c r="AN28" s="188">
        <v>0</v>
      </c>
      <c r="AO28" s="188">
        <v>2248499999</v>
      </c>
      <c r="AP28" s="188">
        <v>2248499999</v>
      </c>
      <c r="AQ28" s="188">
        <v>0</v>
      </c>
      <c r="AR28" s="188">
        <v>0</v>
      </c>
      <c r="AS28" s="188">
        <v>0</v>
      </c>
      <c r="AT28" s="188">
        <v>0</v>
      </c>
      <c r="AU28" s="188">
        <v>0</v>
      </c>
      <c r="AV28" s="188">
        <v>0</v>
      </c>
      <c r="AW28" s="188">
        <v>1200000005</v>
      </c>
      <c r="AX28" s="188">
        <v>1200000005</v>
      </c>
      <c r="AY28" s="188">
        <v>0</v>
      </c>
      <c r="AZ28" s="188">
        <v>0</v>
      </c>
      <c r="BA28" s="188">
        <v>18529013</v>
      </c>
      <c r="BB28" s="188">
        <v>8938537.2400000002</v>
      </c>
      <c r="BC28" s="188">
        <v>8938537</v>
      </c>
      <c r="BD28" s="188">
        <v>8938537</v>
      </c>
      <c r="BE28" s="188">
        <v>2147568955</v>
      </c>
      <c r="BF28" s="188">
        <v>2072100539.26</v>
      </c>
      <c r="BG28" s="188">
        <v>2072100539.26</v>
      </c>
      <c r="BH28" s="188">
        <v>2072100539.26</v>
      </c>
      <c r="BI28" s="188">
        <v>0</v>
      </c>
      <c r="BJ28" s="188">
        <v>0</v>
      </c>
      <c r="BK28" s="188">
        <v>2069573.31</v>
      </c>
      <c r="BL28" s="188">
        <v>2069573.31</v>
      </c>
      <c r="BM28" s="188">
        <v>134511204</v>
      </c>
      <c r="BN28" s="188">
        <v>76212173.519999996</v>
      </c>
      <c r="BO28" s="188">
        <v>19002200</v>
      </c>
      <c r="BP28" s="188">
        <v>0</v>
      </c>
      <c r="BQ28" s="188">
        <v>1008000000</v>
      </c>
      <c r="BR28" s="188">
        <v>0</v>
      </c>
      <c r="BS28" s="188">
        <v>72720731</v>
      </c>
      <c r="BT28" s="188">
        <v>0</v>
      </c>
      <c r="BU28" s="188">
        <v>0</v>
      </c>
    </row>
    <row r="29" spans="1:73" x14ac:dyDescent="0.25">
      <c r="A29" s="188" t="s">
        <v>245</v>
      </c>
      <c r="B29" s="188">
        <v>4212024400</v>
      </c>
      <c r="C29" s="188">
        <v>4211130000</v>
      </c>
      <c r="D29" s="188">
        <v>10800000</v>
      </c>
      <c r="E29" s="188">
        <v>9851250000</v>
      </c>
      <c r="F29" s="188">
        <v>0</v>
      </c>
      <c r="G29" s="188">
        <v>0</v>
      </c>
      <c r="H29" s="188">
        <v>0</v>
      </c>
      <c r="I29" s="188">
        <v>4500000000</v>
      </c>
      <c r="J29" s="188">
        <v>0</v>
      </c>
      <c r="K29" s="188">
        <v>0</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4000000</v>
      </c>
      <c r="AD29" s="188">
        <v>0</v>
      </c>
      <c r="AE29" s="188">
        <v>0</v>
      </c>
      <c r="AF29" s="188">
        <v>0</v>
      </c>
      <c r="AG29" s="188">
        <v>5667199300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c r="BS29" s="188">
        <v>0</v>
      </c>
      <c r="BT29" s="188">
        <v>0</v>
      </c>
      <c r="BU29" s="188">
        <v>0</v>
      </c>
    </row>
    <row r="30" spans="1:73" x14ac:dyDescent="0.25">
      <c r="A30" s="188" t="s">
        <v>246</v>
      </c>
      <c r="B30" s="188">
        <v>28080875769</v>
      </c>
      <c r="C30" s="188">
        <v>16019313696</v>
      </c>
      <c r="D30" s="188">
        <v>11080692010</v>
      </c>
      <c r="E30" s="188">
        <v>53106623454</v>
      </c>
      <c r="F30" s="188">
        <v>32033861904</v>
      </c>
      <c r="G30" s="188">
        <v>17478499523</v>
      </c>
      <c r="H30" s="188">
        <v>7178610681</v>
      </c>
      <c r="I30" s="188">
        <v>38124199131</v>
      </c>
      <c r="J30" s="188">
        <v>11438150450</v>
      </c>
      <c r="K30" s="188">
        <v>9321691631</v>
      </c>
      <c r="L30" s="188">
        <v>2595534651</v>
      </c>
      <c r="M30" s="188">
        <v>18383259217</v>
      </c>
      <c r="N30" s="188">
        <v>13230442064</v>
      </c>
      <c r="O30" s="188">
        <v>9068701432</v>
      </c>
      <c r="P30" s="188">
        <v>1566209834</v>
      </c>
      <c r="Q30" s="188">
        <v>23952128073</v>
      </c>
      <c r="R30" s="188">
        <v>15164084920</v>
      </c>
      <c r="S30" s="188">
        <v>12045540367</v>
      </c>
      <c r="T30" s="188">
        <v>7953942608</v>
      </c>
      <c r="U30" s="188">
        <v>20385558597</v>
      </c>
      <c r="V30" s="188">
        <v>19019933498</v>
      </c>
      <c r="W30" s="188">
        <v>14933910972</v>
      </c>
      <c r="X30" s="188">
        <v>1908751739</v>
      </c>
      <c r="Y30" s="188">
        <v>12544256450</v>
      </c>
      <c r="Z30" s="188">
        <v>8413066483</v>
      </c>
      <c r="AA30" s="188">
        <v>6111806234</v>
      </c>
      <c r="AB30" s="188">
        <v>1939588837</v>
      </c>
      <c r="AC30" s="188">
        <v>25603633022</v>
      </c>
      <c r="AD30" s="188">
        <v>19641916106</v>
      </c>
      <c r="AE30" s="188">
        <v>13076509060</v>
      </c>
      <c r="AF30" s="188">
        <v>5029205308</v>
      </c>
      <c r="AG30" s="188">
        <v>13229283415</v>
      </c>
      <c r="AH30" s="188">
        <v>8641057787</v>
      </c>
      <c r="AI30" s="188">
        <v>3346749917</v>
      </c>
      <c r="AJ30" s="188">
        <v>832060703</v>
      </c>
      <c r="AK30" s="188">
        <v>3910374042</v>
      </c>
      <c r="AL30" s="188">
        <v>3238152639</v>
      </c>
      <c r="AM30" s="188">
        <v>2731063940</v>
      </c>
      <c r="AN30" s="188">
        <v>1382403219</v>
      </c>
      <c r="AO30" s="188">
        <v>2671321134</v>
      </c>
      <c r="AP30" s="188">
        <v>1057240523</v>
      </c>
      <c r="AQ30" s="188">
        <v>757651132</v>
      </c>
      <c r="AR30" s="188">
        <v>359979101</v>
      </c>
      <c r="AS30" s="188">
        <v>1721033502</v>
      </c>
      <c r="AT30" s="188">
        <v>1544771359</v>
      </c>
      <c r="AU30" s="188">
        <v>1230061532</v>
      </c>
      <c r="AV30" s="188">
        <v>830387249</v>
      </c>
      <c r="AW30" s="188">
        <v>4367238900</v>
      </c>
      <c r="AX30" s="188">
        <v>2632916459</v>
      </c>
      <c r="AY30" s="188">
        <v>1455057216</v>
      </c>
      <c r="AZ30" s="188">
        <v>1101924440</v>
      </c>
      <c r="BA30" s="188">
        <v>14011294009</v>
      </c>
      <c r="BB30" s="188">
        <v>15320914684.299999</v>
      </c>
      <c r="BC30" s="188">
        <v>13584061419</v>
      </c>
      <c r="BD30" s="188">
        <v>3234014525</v>
      </c>
      <c r="BE30" s="188">
        <v>10399068580</v>
      </c>
      <c r="BF30" s="188">
        <v>7853363707.4899998</v>
      </c>
      <c r="BG30" s="188">
        <v>3452767661.5999999</v>
      </c>
      <c r="BH30" s="188">
        <v>978524524.17999995</v>
      </c>
      <c r="BI30" s="188">
        <v>8811082218</v>
      </c>
      <c r="BJ30" s="188">
        <v>5403968431.4399996</v>
      </c>
      <c r="BK30" s="188">
        <v>4126822881.25</v>
      </c>
      <c r="BL30" s="188">
        <v>3125174524.3800001</v>
      </c>
      <c r="BM30" s="188">
        <v>3463667526</v>
      </c>
      <c r="BN30" s="188">
        <v>658417736.50999999</v>
      </c>
      <c r="BO30" s="188">
        <v>826000000</v>
      </c>
      <c r="BP30" s="188">
        <v>189500000</v>
      </c>
      <c r="BQ30" s="188">
        <v>942800000</v>
      </c>
      <c r="BR30" s="188">
        <v>468700000</v>
      </c>
      <c r="BS30" s="188">
        <v>444557550</v>
      </c>
      <c r="BT30" s="188">
        <v>105827000</v>
      </c>
      <c r="BU30" s="188">
        <v>0</v>
      </c>
    </row>
    <row r="31" spans="1:73" x14ac:dyDescent="0.25">
      <c r="A31" s="188" t="s">
        <v>247</v>
      </c>
      <c r="B31" s="188">
        <v>0</v>
      </c>
      <c r="C31" s="188">
        <v>0</v>
      </c>
      <c r="D31" s="188">
        <v>0</v>
      </c>
      <c r="E31" s="188">
        <v>0</v>
      </c>
      <c r="F31" s="188">
        <v>0</v>
      </c>
      <c r="G31" s="188">
        <v>0</v>
      </c>
      <c r="H31" s="188">
        <v>0</v>
      </c>
      <c r="I31" s="188">
        <v>0</v>
      </c>
      <c r="J31" s="188">
        <v>10000000000</v>
      </c>
      <c r="K31" s="188">
        <v>10000000000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c r="BO31" s="188">
        <v>0</v>
      </c>
      <c r="BP31" s="188">
        <v>0</v>
      </c>
      <c r="BQ31" s="188">
        <v>0</v>
      </c>
      <c r="BR31" s="188">
        <v>0</v>
      </c>
      <c r="BS31" s="188">
        <v>0</v>
      </c>
      <c r="BT31" s="188">
        <v>0</v>
      </c>
      <c r="BU31" s="188">
        <v>0</v>
      </c>
    </row>
    <row r="32" spans="1:73" x14ac:dyDescent="0.25">
      <c r="A32" s="188" t="s">
        <v>248</v>
      </c>
      <c r="B32" s="188">
        <v>1831147947</v>
      </c>
      <c r="C32" s="188">
        <v>1736188263</v>
      </c>
      <c r="D32" s="188">
        <v>871517387</v>
      </c>
      <c r="E32" s="188">
        <v>3185620220</v>
      </c>
      <c r="F32" s="188">
        <v>14496263</v>
      </c>
      <c r="G32" s="188">
        <v>98452479</v>
      </c>
      <c r="H32" s="188">
        <v>1427668220</v>
      </c>
      <c r="I32" s="188">
        <v>1492848996</v>
      </c>
      <c r="J32" s="188">
        <v>626</v>
      </c>
      <c r="K32" s="188">
        <v>379</v>
      </c>
      <c r="L32" s="188">
        <v>800000000</v>
      </c>
      <c r="M32" s="188">
        <v>2541849548</v>
      </c>
      <c r="N32" s="188">
        <v>39954862</v>
      </c>
      <c r="O32" s="188">
        <v>0</v>
      </c>
      <c r="P32" s="188">
        <v>0</v>
      </c>
      <c r="Q32" s="188">
        <v>91264790</v>
      </c>
      <c r="R32" s="188">
        <v>48165983</v>
      </c>
      <c r="S32" s="188">
        <v>48165983</v>
      </c>
      <c r="T32" s="188">
        <v>31788804</v>
      </c>
      <c r="U32" s="188">
        <v>160117541</v>
      </c>
      <c r="V32" s="188">
        <v>38130534</v>
      </c>
      <c r="W32" s="188">
        <v>104956</v>
      </c>
      <c r="X32" s="188">
        <v>11591711</v>
      </c>
      <c r="Y32" s="188">
        <v>177027137</v>
      </c>
      <c r="Z32" s="188">
        <v>2068554764</v>
      </c>
      <c r="AA32" s="188">
        <v>1779312938</v>
      </c>
      <c r="AB32" s="188">
        <v>1860423368</v>
      </c>
      <c r="AC32" s="188">
        <v>165289853</v>
      </c>
      <c r="AD32" s="188">
        <v>85367637</v>
      </c>
      <c r="AE32" s="188">
        <v>58505525</v>
      </c>
      <c r="AF32" s="188">
        <v>684792609</v>
      </c>
      <c r="AG32" s="188">
        <v>0</v>
      </c>
      <c r="AH32" s="188">
        <v>121180306</v>
      </c>
      <c r="AI32" s="188">
        <v>1253466</v>
      </c>
      <c r="AJ32" s="188">
        <v>0</v>
      </c>
      <c r="AK32" s="188">
        <v>0</v>
      </c>
      <c r="AL32" s="188">
        <v>118782</v>
      </c>
      <c r="AM32" s="188">
        <v>0</v>
      </c>
      <c r="AN32" s="188">
        <v>0</v>
      </c>
      <c r="AO32" s="188">
        <v>0</v>
      </c>
      <c r="AP32" s="188">
        <v>1707683</v>
      </c>
      <c r="AQ32" s="188">
        <v>0</v>
      </c>
      <c r="AR32" s="188">
        <v>264958</v>
      </c>
      <c r="AS32" s="188">
        <v>0</v>
      </c>
      <c r="AT32" s="188">
        <v>0</v>
      </c>
      <c r="AU32" s="188">
        <v>0</v>
      </c>
      <c r="AV32" s="188">
        <v>0</v>
      </c>
      <c r="AW32" s="188">
        <v>0</v>
      </c>
      <c r="AX32" s="188">
        <v>2227556</v>
      </c>
      <c r="AY32" s="188">
        <v>0</v>
      </c>
      <c r="AZ32" s="188">
        <v>0</v>
      </c>
      <c r="BA32" s="188">
        <v>0</v>
      </c>
      <c r="BB32" s="188">
        <v>0</v>
      </c>
      <c r="BC32" s="188">
        <v>0</v>
      </c>
      <c r="BD32" s="188">
        <v>123390</v>
      </c>
      <c r="BE32" s="188">
        <v>450000000</v>
      </c>
      <c r="BF32" s="188">
        <v>235112317.31</v>
      </c>
      <c r="BG32" s="188">
        <v>200061760.63999999</v>
      </c>
      <c r="BH32" s="188">
        <v>211634492.31</v>
      </c>
      <c r="BI32" s="188">
        <v>304413316</v>
      </c>
      <c r="BJ32" s="188">
        <v>60058475.469999999</v>
      </c>
      <c r="BK32" s="188">
        <v>95793531.959999993</v>
      </c>
      <c r="BL32" s="188">
        <v>19790095.329999998</v>
      </c>
      <c r="BM32" s="188">
        <v>0</v>
      </c>
      <c r="BN32" s="188">
        <v>1450339.08</v>
      </c>
      <c r="BO32" s="188">
        <v>30546526</v>
      </c>
      <c r="BP32" s="188">
        <v>8801966.9399999995</v>
      </c>
      <c r="BQ32" s="188">
        <v>11526231</v>
      </c>
      <c r="BR32" s="188">
        <v>6387128</v>
      </c>
      <c r="BS32" s="188">
        <v>4702829</v>
      </c>
      <c r="BT32" s="188">
        <v>91774000</v>
      </c>
      <c r="BU32" s="188">
        <v>0</v>
      </c>
    </row>
    <row r="33" spans="1:73" x14ac:dyDescent="0.25">
      <c r="A33" s="188" t="s">
        <v>249</v>
      </c>
      <c r="B33" s="188">
        <v>34124048116</v>
      </c>
      <c r="C33" s="188">
        <v>21966631959</v>
      </c>
      <c r="D33" s="188">
        <v>11963009397</v>
      </c>
      <c r="E33" s="188">
        <v>66143493674</v>
      </c>
      <c r="F33" s="188">
        <v>43553508167</v>
      </c>
      <c r="G33" s="188">
        <v>23682102002</v>
      </c>
      <c r="H33" s="188">
        <v>10609528901</v>
      </c>
      <c r="I33" s="188">
        <v>44117048127</v>
      </c>
      <c r="J33" s="188">
        <v>24446650503</v>
      </c>
      <c r="K33" s="188">
        <v>22330191437</v>
      </c>
      <c r="L33" s="188">
        <v>3395534651</v>
      </c>
      <c r="M33" s="188">
        <v>21241472453</v>
      </c>
      <c r="N33" s="188">
        <v>13270396926</v>
      </c>
      <c r="O33" s="188">
        <v>9068701432</v>
      </c>
      <c r="P33" s="188">
        <v>1566209834</v>
      </c>
      <c r="Q33" s="188">
        <v>54796093553</v>
      </c>
      <c r="R33" s="188">
        <v>45964951593</v>
      </c>
      <c r="S33" s="188">
        <v>42846407040</v>
      </c>
      <c r="T33" s="188">
        <v>38738432102</v>
      </c>
      <c r="U33" s="188">
        <v>20560027419</v>
      </c>
      <c r="V33" s="188">
        <v>19073106032</v>
      </c>
      <c r="W33" s="188">
        <v>14969057928</v>
      </c>
      <c r="X33" s="188">
        <v>1920343450</v>
      </c>
      <c r="Y33" s="188">
        <v>16658988060</v>
      </c>
      <c r="Z33" s="188">
        <v>10481621247</v>
      </c>
      <c r="AA33" s="188">
        <v>7891119172</v>
      </c>
      <c r="AB33" s="188">
        <v>3800012205</v>
      </c>
      <c r="AC33" s="188">
        <v>25772922875</v>
      </c>
      <c r="AD33" s="188">
        <v>19727283743</v>
      </c>
      <c r="AE33" s="188">
        <v>13135014585</v>
      </c>
      <c r="AF33" s="188">
        <v>5713997917</v>
      </c>
      <c r="AG33" s="188">
        <v>27895062712</v>
      </c>
      <c r="AH33" s="188">
        <v>14262238093</v>
      </c>
      <c r="AI33" s="188">
        <v>8848003383</v>
      </c>
      <c r="AJ33" s="188">
        <v>2332060703</v>
      </c>
      <c r="AK33" s="188">
        <v>18743626042</v>
      </c>
      <c r="AL33" s="188">
        <v>15095523421</v>
      </c>
      <c r="AM33" s="188">
        <v>14559315940</v>
      </c>
      <c r="AN33" s="188">
        <v>1382403219</v>
      </c>
      <c r="AO33" s="188">
        <v>4919821133</v>
      </c>
      <c r="AP33" s="188">
        <v>3307448205</v>
      </c>
      <c r="AQ33" s="188">
        <v>757651132</v>
      </c>
      <c r="AR33" s="188">
        <v>360244059</v>
      </c>
      <c r="AS33" s="188">
        <v>1721033502</v>
      </c>
      <c r="AT33" s="188">
        <v>1544771359</v>
      </c>
      <c r="AU33" s="188">
        <v>1230061532</v>
      </c>
      <c r="AV33" s="188">
        <v>830387249</v>
      </c>
      <c r="AW33" s="188">
        <v>5567238905</v>
      </c>
      <c r="AX33" s="188">
        <v>3835144020</v>
      </c>
      <c r="AY33" s="188">
        <v>1455057216</v>
      </c>
      <c r="AZ33" s="188">
        <v>1101924440</v>
      </c>
      <c r="BA33" s="188">
        <v>14029823022</v>
      </c>
      <c r="BB33" s="188">
        <v>15329853221.540001</v>
      </c>
      <c r="BC33" s="188">
        <v>13592999956</v>
      </c>
      <c r="BD33" s="188">
        <v>3243076452</v>
      </c>
      <c r="BE33" s="188">
        <v>12996637535</v>
      </c>
      <c r="BF33" s="188">
        <v>10160576564.059999</v>
      </c>
      <c r="BG33" s="188">
        <v>5724929961.5</v>
      </c>
      <c r="BH33" s="188">
        <v>3262259555.75</v>
      </c>
      <c r="BI33" s="188">
        <v>9115495534</v>
      </c>
      <c r="BJ33" s="188">
        <v>5464026906.9099998</v>
      </c>
      <c r="BK33" s="188">
        <v>4224685986.52</v>
      </c>
      <c r="BL33" s="188">
        <v>3147034193.02</v>
      </c>
      <c r="BM33" s="188">
        <v>3598178730</v>
      </c>
      <c r="BN33" s="188">
        <v>736080249.11000001</v>
      </c>
      <c r="BO33" s="188">
        <v>875548726</v>
      </c>
      <c r="BP33" s="188">
        <v>198301966.94</v>
      </c>
      <c r="BQ33" s="188">
        <v>1962326231</v>
      </c>
      <c r="BR33" s="188">
        <v>475087128</v>
      </c>
      <c r="BS33" s="188">
        <v>521981110</v>
      </c>
      <c r="BT33" s="188">
        <v>197601000</v>
      </c>
      <c r="BU33" s="188">
        <v>0</v>
      </c>
    </row>
    <row r="34" spans="1:73" x14ac:dyDescent="0.25">
      <c r="A34" s="188" t="s">
        <v>250</v>
      </c>
      <c r="B34" s="188">
        <v>16354302160</v>
      </c>
      <c r="C34" s="188">
        <v>9708459433</v>
      </c>
      <c r="D34" s="188">
        <v>4142696634</v>
      </c>
      <c r="E34" s="188">
        <v>18337522432</v>
      </c>
      <c r="F34" s="188">
        <v>11236228804</v>
      </c>
      <c r="G34" s="188">
        <v>5752923590</v>
      </c>
      <c r="H34" s="188">
        <v>4591781545</v>
      </c>
      <c r="I34" s="188">
        <v>15306109721</v>
      </c>
      <c r="J34" s="188">
        <v>10478692983</v>
      </c>
      <c r="K34" s="188">
        <v>7177513007</v>
      </c>
      <c r="L34" s="188">
        <v>5390276492</v>
      </c>
      <c r="M34" s="188">
        <v>11506938478</v>
      </c>
      <c r="N34" s="188">
        <v>8519532762</v>
      </c>
      <c r="O34" s="188">
        <v>6579675703</v>
      </c>
      <c r="P34" s="188">
        <v>1619177601</v>
      </c>
      <c r="Q34" s="188">
        <v>16602350426</v>
      </c>
      <c r="R34" s="188">
        <v>13817603713</v>
      </c>
      <c r="S34" s="188">
        <v>10518896513</v>
      </c>
      <c r="T34" s="188">
        <v>6139782895</v>
      </c>
      <c r="U34" s="188">
        <v>6482384302</v>
      </c>
      <c r="V34" s="188">
        <v>3377364032</v>
      </c>
      <c r="W34" s="188">
        <v>1559865258</v>
      </c>
      <c r="X34" s="188">
        <v>670908643</v>
      </c>
      <c r="Y34" s="188">
        <v>16200869653</v>
      </c>
      <c r="Z34" s="188">
        <v>9979481877</v>
      </c>
      <c r="AA34" s="188">
        <v>7111042789</v>
      </c>
      <c r="AB34" s="188">
        <v>3005378302</v>
      </c>
      <c r="AC34" s="188">
        <v>15026115531</v>
      </c>
      <c r="AD34" s="188">
        <v>8167198497</v>
      </c>
      <c r="AE34" s="188">
        <v>3657302209</v>
      </c>
      <c r="AF34" s="188">
        <v>1822557682</v>
      </c>
      <c r="AG34" s="188">
        <v>6181125174</v>
      </c>
      <c r="AH34" s="188">
        <v>3180806064</v>
      </c>
      <c r="AI34" s="188">
        <v>1142673283</v>
      </c>
      <c r="AJ34" s="188">
        <v>556316663</v>
      </c>
      <c r="AK34" s="188">
        <v>3926703218</v>
      </c>
      <c r="AL34" s="188">
        <v>2731731036</v>
      </c>
      <c r="AM34" s="188">
        <v>2224097103</v>
      </c>
      <c r="AN34" s="188">
        <v>400268706</v>
      </c>
      <c r="AO34" s="188">
        <v>2677373775</v>
      </c>
      <c r="AP34" s="188">
        <v>2308332818</v>
      </c>
      <c r="AQ34" s="188">
        <v>1106101147</v>
      </c>
      <c r="AR34" s="188">
        <v>859482591</v>
      </c>
      <c r="AS34" s="188">
        <v>5493863572</v>
      </c>
      <c r="AT34" s="188">
        <v>4283473554</v>
      </c>
      <c r="AU34" s="188">
        <v>3381796981</v>
      </c>
      <c r="AV34" s="188">
        <v>1767548149</v>
      </c>
      <c r="AW34" s="188">
        <v>5095271585</v>
      </c>
      <c r="AX34" s="188">
        <v>2757303594</v>
      </c>
      <c r="AY34" s="188">
        <v>1326762763</v>
      </c>
      <c r="AZ34" s="188">
        <v>871261246</v>
      </c>
      <c r="BA34" s="188">
        <v>8288466861</v>
      </c>
      <c r="BB34" s="188">
        <v>8954897927.9699993</v>
      </c>
      <c r="BC34" s="188">
        <v>6880643264</v>
      </c>
      <c r="BD34" s="188">
        <v>2033085778</v>
      </c>
      <c r="BE34" s="188">
        <v>7902354598</v>
      </c>
      <c r="BF34" s="188">
        <v>6124783203.1300001</v>
      </c>
      <c r="BG34" s="188">
        <v>4413973244.1899996</v>
      </c>
      <c r="BH34" s="188">
        <v>1991113172.29</v>
      </c>
      <c r="BI34" s="188">
        <v>5352147807</v>
      </c>
      <c r="BJ34" s="188">
        <v>3401375832</v>
      </c>
      <c r="BK34" s="188">
        <v>1892166232.3</v>
      </c>
      <c r="BL34" s="188">
        <v>746884715.02999997</v>
      </c>
      <c r="BM34" s="188">
        <v>1787367383</v>
      </c>
      <c r="BN34" s="188">
        <v>476300000</v>
      </c>
      <c r="BO34" s="188">
        <v>943200000</v>
      </c>
      <c r="BP34" s="188">
        <v>463700000</v>
      </c>
      <c r="BQ34" s="188">
        <v>407083145</v>
      </c>
      <c r="BR34" s="188">
        <v>191300000</v>
      </c>
      <c r="BS34" s="188">
        <v>268041758</v>
      </c>
      <c r="BT34" s="188">
        <v>96000000</v>
      </c>
      <c r="BU34" s="188">
        <v>0</v>
      </c>
    </row>
    <row r="35" spans="1:73" x14ac:dyDescent="0.25">
      <c r="A35" s="188" t="s">
        <v>548</v>
      </c>
      <c r="B35" s="188">
        <v>5874569087</v>
      </c>
      <c r="C35" s="188">
        <v>3920842959</v>
      </c>
      <c r="D35" s="188">
        <v>1613157999</v>
      </c>
      <c r="E35" s="188">
        <v>3860122769</v>
      </c>
      <c r="F35" s="188">
        <v>4307704845</v>
      </c>
      <c r="G35" s="188">
        <v>2030450605</v>
      </c>
      <c r="H35" s="188">
        <v>876562888</v>
      </c>
      <c r="I35" s="188">
        <v>2273801245</v>
      </c>
      <c r="J35" s="188">
        <v>2558512847</v>
      </c>
      <c r="K35" s="188">
        <v>1247945239</v>
      </c>
      <c r="L35" s="188">
        <v>753606797</v>
      </c>
      <c r="M35" s="188">
        <v>1574606575</v>
      </c>
      <c r="N35" s="188">
        <v>861184571</v>
      </c>
      <c r="O35" s="188">
        <v>673357186</v>
      </c>
      <c r="P35" s="188">
        <v>396665682</v>
      </c>
      <c r="Q35" s="188">
        <v>1566024478</v>
      </c>
      <c r="R35" s="188">
        <v>1419387604</v>
      </c>
      <c r="S35" s="188">
        <v>755323762</v>
      </c>
      <c r="T35" s="188">
        <v>306689900</v>
      </c>
      <c r="U35" s="188">
        <v>1369703356</v>
      </c>
      <c r="V35" s="188">
        <v>804396735</v>
      </c>
      <c r="W35" s="188">
        <v>498345823</v>
      </c>
      <c r="X35" s="188">
        <v>277659730</v>
      </c>
      <c r="Y35" s="188">
        <v>753767215</v>
      </c>
      <c r="Z35" s="188">
        <v>841012593</v>
      </c>
      <c r="AA35" s="188">
        <v>532077943</v>
      </c>
      <c r="AB35" s="188">
        <v>291848940</v>
      </c>
      <c r="AC35" s="188">
        <v>456194863</v>
      </c>
      <c r="AD35" s="188">
        <v>415904247</v>
      </c>
      <c r="AE35" s="188">
        <v>236467968</v>
      </c>
      <c r="AF35" s="188">
        <v>127226927</v>
      </c>
      <c r="AG35" s="188">
        <v>176136932</v>
      </c>
      <c r="AH35" s="188">
        <v>166458114</v>
      </c>
      <c r="AI35" s="188">
        <v>106240597</v>
      </c>
      <c r="AJ35" s="188">
        <v>41706492</v>
      </c>
      <c r="AK35" s="188">
        <v>258379644</v>
      </c>
      <c r="AL35" s="188">
        <v>175104815</v>
      </c>
      <c r="AM35" s="188">
        <v>95258519</v>
      </c>
      <c r="AN35" s="188">
        <v>34719563</v>
      </c>
      <c r="AO35" s="188">
        <v>301061093</v>
      </c>
      <c r="AP35" s="188">
        <v>219613669</v>
      </c>
      <c r="AQ35" s="188">
        <v>155272681</v>
      </c>
      <c r="AR35" s="188">
        <v>84511538</v>
      </c>
      <c r="AS35" s="188">
        <v>514475334</v>
      </c>
      <c r="AT35" s="188">
        <v>388181759</v>
      </c>
      <c r="AU35" s="188">
        <v>271439826</v>
      </c>
      <c r="AV35" s="188">
        <v>137423043</v>
      </c>
      <c r="AW35" s="188">
        <v>794018074</v>
      </c>
      <c r="AX35" s="188">
        <v>540216637</v>
      </c>
      <c r="AY35" s="188">
        <v>391655689</v>
      </c>
      <c r="AZ35" s="188">
        <v>197945471</v>
      </c>
      <c r="BA35" s="188">
        <v>653584087</v>
      </c>
      <c r="BB35" s="188">
        <v>441757146.02999997</v>
      </c>
      <c r="BC35" s="188">
        <v>227419570</v>
      </c>
      <c r="BD35" s="188">
        <v>101055664</v>
      </c>
      <c r="BE35" s="188">
        <v>315879179</v>
      </c>
      <c r="BF35" s="188">
        <v>137993911.77000001</v>
      </c>
      <c r="BG35" s="188">
        <v>83749272</v>
      </c>
      <c r="BH35" s="188">
        <v>65201692.380000003</v>
      </c>
      <c r="BI35" s="188">
        <v>233539017</v>
      </c>
      <c r="BJ35" s="188">
        <v>184457211.72999999</v>
      </c>
      <c r="BK35" s="188">
        <v>160994259.03</v>
      </c>
      <c r="BL35" s="188">
        <v>102147750.40000001</v>
      </c>
      <c r="BM35" s="188">
        <v>130685801</v>
      </c>
      <c r="BN35" s="188">
        <v>28779166.43</v>
      </c>
      <c r="BO35" s="188">
        <v>106094532</v>
      </c>
      <c r="BP35" s="188">
        <v>36304305.299999997</v>
      </c>
      <c r="BQ35" s="188">
        <v>92082739</v>
      </c>
      <c r="BR35" s="188">
        <v>25704818</v>
      </c>
      <c r="BS35" s="188">
        <v>13743230</v>
      </c>
      <c r="BT35" s="188">
        <v>63160000</v>
      </c>
      <c r="BU35" s="188">
        <v>0</v>
      </c>
    </row>
    <row r="36" spans="1:73" x14ac:dyDescent="0.25">
      <c r="A36" s="188" t="s">
        <v>251</v>
      </c>
      <c r="B36" s="188">
        <v>0</v>
      </c>
      <c r="C36" s="188">
        <v>0</v>
      </c>
      <c r="D36" s="188">
        <v>0</v>
      </c>
      <c r="E36" s="188">
        <v>7359220</v>
      </c>
      <c r="F36" s="188">
        <v>0</v>
      </c>
      <c r="G36" s="188">
        <v>0</v>
      </c>
      <c r="H36" s="188">
        <v>0</v>
      </c>
      <c r="I36" s="188">
        <v>8732530</v>
      </c>
      <c r="J36" s="188">
        <v>0</v>
      </c>
      <c r="K36" s="188">
        <v>0</v>
      </c>
      <c r="L36" s="188">
        <v>0</v>
      </c>
      <c r="M36" s="188">
        <v>200000</v>
      </c>
      <c r="N36" s="188">
        <v>0</v>
      </c>
      <c r="O36" s="188">
        <v>0</v>
      </c>
      <c r="P36" s="188">
        <v>0</v>
      </c>
      <c r="Q36" s="188">
        <v>12721642</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1152000</v>
      </c>
      <c r="AT36" s="188">
        <v>0</v>
      </c>
      <c r="AU36" s="188">
        <v>0</v>
      </c>
      <c r="AV36" s="188">
        <v>0</v>
      </c>
      <c r="AW36" s="188">
        <v>0</v>
      </c>
      <c r="AX36" s="188">
        <v>2250000</v>
      </c>
      <c r="AY36" s="188">
        <v>2250000</v>
      </c>
      <c r="AZ36" s="188">
        <v>2250000</v>
      </c>
      <c r="BA36" s="188">
        <v>0</v>
      </c>
      <c r="BB36" s="188">
        <v>0</v>
      </c>
      <c r="BC36" s="188">
        <v>5550000</v>
      </c>
      <c r="BD36" s="188">
        <v>3750000</v>
      </c>
      <c r="BE36" s="188">
        <v>0</v>
      </c>
      <c r="BF36" s="188">
        <v>11113364.09</v>
      </c>
      <c r="BG36" s="188">
        <v>11113364.09</v>
      </c>
      <c r="BH36" s="188">
        <v>0</v>
      </c>
      <c r="BI36" s="188">
        <v>3864054</v>
      </c>
      <c r="BJ36" s="188">
        <v>0</v>
      </c>
      <c r="BK36" s="188">
        <v>0</v>
      </c>
      <c r="BL36" s="188">
        <v>0</v>
      </c>
      <c r="BM36" s="188">
        <v>0</v>
      </c>
      <c r="BN36" s="188">
        <v>0</v>
      </c>
      <c r="BO36" s="188">
        <v>6490000</v>
      </c>
      <c r="BP36" s="188">
        <v>0</v>
      </c>
      <c r="BQ36" s="188">
        <v>9360810</v>
      </c>
      <c r="BR36" s="188">
        <v>9223460</v>
      </c>
      <c r="BS36" s="188">
        <v>0</v>
      </c>
      <c r="BT36" s="188">
        <v>0</v>
      </c>
      <c r="BU36" s="188">
        <v>0</v>
      </c>
    </row>
    <row r="37" spans="1:73" x14ac:dyDescent="0.25">
      <c r="A37" s="188" t="s">
        <v>252</v>
      </c>
      <c r="B37" s="188">
        <v>213480875</v>
      </c>
      <c r="C37" s="188">
        <v>188678823</v>
      </c>
      <c r="D37" s="188">
        <v>466162322</v>
      </c>
      <c r="E37" s="188">
        <v>7585109696</v>
      </c>
      <c r="F37" s="188">
        <v>951631501</v>
      </c>
      <c r="G37" s="188">
        <v>649313318</v>
      </c>
      <c r="H37" s="188">
        <v>445895738</v>
      </c>
      <c r="I37" s="188">
        <v>378190824</v>
      </c>
      <c r="J37" s="188">
        <v>270218459</v>
      </c>
      <c r="K37" s="188">
        <v>34652203</v>
      </c>
      <c r="L37" s="188">
        <v>1116728</v>
      </c>
      <c r="M37" s="188">
        <v>31000000</v>
      </c>
      <c r="N37" s="188">
        <v>422671153</v>
      </c>
      <c r="O37" s="188">
        <v>116385019</v>
      </c>
      <c r="P37" s="188">
        <v>168363230</v>
      </c>
      <c r="Q37" s="188">
        <v>491184581</v>
      </c>
      <c r="R37" s="188">
        <v>740055221</v>
      </c>
      <c r="S37" s="188">
        <v>968166397</v>
      </c>
      <c r="T37" s="188">
        <v>443411961</v>
      </c>
      <c r="U37" s="188">
        <v>119474</v>
      </c>
      <c r="V37" s="188">
        <v>573778664</v>
      </c>
      <c r="W37" s="188">
        <v>158694715</v>
      </c>
      <c r="X37" s="188">
        <v>39631410</v>
      </c>
      <c r="Y37" s="188">
        <v>2227134</v>
      </c>
      <c r="Z37" s="188">
        <v>18451189</v>
      </c>
      <c r="AA37" s="188">
        <v>10227877</v>
      </c>
      <c r="AB37" s="188">
        <v>3904395</v>
      </c>
      <c r="AC37" s="188">
        <v>2087140</v>
      </c>
      <c r="AD37" s="188">
        <v>2124277148</v>
      </c>
      <c r="AE37" s="188">
        <v>25047038</v>
      </c>
      <c r="AF37" s="188">
        <v>29305182</v>
      </c>
      <c r="AG37" s="188">
        <v>3487766704</v>
      </c>
      <c r="AH37" s="188">
        <v>13749942</v>
      </c>
      <c r="AI37" s="188">
        <v>2089889</v>
      </c>
      <c r="AJ37" s="188">
        <v>1217840</v>
      </c>
      <c r="AK37" s="188">
        <v>301534344</v>
      </c>
      <c r="AL37" s="188">
        <v>56734571</v>
      </c>
      <c r="AM37" s="188">
        <v>40364327</v>
      </c>
      <c r="AN37" s="188">
        <v>503162</v>
      </c>
      <c r="AO37" s="188">
        <v>8014259</v>
      </c>
      <c r="AP37" s="188">
        <v>7974697</v>
      </c>
      <c r="AQ37" s="188">
        <v>2175555</v>
      </c>
      <c r="AR37" s="188">
        <v>5212527</v>
      </c>
      <c r="AS37" s="188">
        <v>5895098</v>
      </c>
      <c r="AT37" s="188">
        <v>0</v>
      </c>
      <c r="AU37" s="188">
        <v>0</v>
      </c>
      <c r="AV37" s="188">
        <v>0</v>
      </c>
      <c r="AW37" s="188">
        <v>12543692</v>
      </c>
      <c r="AX37" s="188">
        <v>8518134</v>
      </c>
      <c r="AY37" s="188">
        <v>7940376</v>
      </c>
      <c r="AZ37" s="188">
        <v>3399221</v>
      </c>
      <c r="BA37" s="188">
        <v>0</v>
      </c>
      <c r="BB37" s="188">
        <v>7449236.5199999996</v>
      </c>
      <c r="BC37" s="188">
        <v>6431772</v>
      </c>
      <c r="BD37" s="188">
        <v>11846878</v>
      </c>
      <c r="BE37" s="188">
        <v>62017932</v>
      </c>
      <c r="BF37" s="188">
        <v>60260423.700000003</v>
      </c>
      <c r="BG37" s="188">
        <v>22025268.530000001</v>
      </c>
      <c r="BH37" s="188">
        <v>9120284.0700000003</v>
      </c>
      <c r="BI37" s="188">
        <v>119599897</v>
      </c>
      <c r="BJ37" s="188">
        <v>76402057.469999999</v>
      </c>
      <c r="BK37" s="188">
        <v>77604550.390000001</v>
      </c>
      <c r="BL37" s="188">
        <v>5438070.2000000002</v>
      </c>
      <c r="BM37" s="188">
        <v>17795392</v>
      </c>
      <c r="BN37" s="188">
        <v>13960737</v>
      </c>
      <c r="BO37" s="188">
        <v>4875815</v>
      </c>
      <c r="BP37" s="188">
        <v>0</v>
      </c>
      <c r="BQ37" s="188">
        <v>0</v>
      </c>
      <c r="BR37" s="188">
        <v>85953</v>
      </c>
      <c r="BS37" s="188">
        <v>0</v>
      </c>
      <c r="BT37" s="188">
        <v>0</v>
      </c>
      <c r="BU37" s="188">
        <v>0</v>
      </c>
    </row>
    <row r="38" spans="1:73" x14ac:dyDescent="0.25">
      <c r="A38" s="188" t="s">
        <v>253</v>
      </c>
      <c r="B38" s="188">
        <v>22442352122</v>
      </c>
      <c r="C38" s="188">
        <v>13817981215</v>
      </c>
      <c r="D38" s="188">
        <v>6222016955</v>
      </c>
      <c r="E38" s="188">
        <v>33218121485</v>
      </c>
      <c r="F38" s="188">
        <v>16495565150</v>
      </c>
      <c r="G38" s="188">
        <v>8432687513</v>
      </c>
      <c r="H38" s="188">
        <v>5914240171</v>
      </c>
      <c r="I38" s="188">
        <v>17975955326</v>
      </c>
      <c r="J38" s="188">
        <v>13307424289</v>
      </c>
      <c r="K38" s="188">
        <v>8460110449</v>
      </c>
      <c r="L38" s="188">
        <v>6145000017</v>
      </c>
      <c r="M38" s="188">
        <v>13112545053</v>
      </c>
      <c r="N38" s="188">
        <v>9803388486</v>
      </c>
      <c r="O38" s="188">
        <v>7369417908</v>
      </c>
      <c r="P38" s="188">
        <v>2184206513</v>
      </c>
      <c r="Q38" s="188">
        <v>19154702339</v>
      </c>
      <c r="R38" s="188">
        <v>15977046538</v>
      </c>
      <c r="S38" s="188">
        <v>12242386672</v>
      </c>
      <c r="T38" s="188">
        <v>6889884756</v>
      </c>
      <c r="U38" s="188">
        <v>8296325987</v>
      </c>
      <c r="V38" s="188">
        <v>4755539431</v>
      </c>
      <c r="W38" s="188">
        <v>2216905796</v>
      </c>
      <c r="X38" s="188">
        <v>988199783</v>
      </c>
      <c r="Y38" s="188">
        <v>16956864002</v>
      </c>
      <c r="Z38" s="188">
        <v>10838945659</v>
      </c>
      <c r="AA38" s="188">
        <v>7653348609</v>
      </c>
      <c r="AB38" s="188">
        <v>3301131637</v>
      </c>
      <c r="AC38" s="188">
        <v>15794187659</v>
      </c>
      <c r="AD38" s="188">
        <v>10707379892</v>
      </c>
      <c r="AE38" s="188">
        <v>3918817215</v>
      </c>
      <c r="AF38" s="188">
        <v>1979089791</v>
      </c>
      <c r="AG38" s="188">
        <v>9845028810</v>
      </c>
      <c r="AH38" s="188">
        <v>3361014120</v>
      </c>
      <c r="AI38" s="188">
        <v>1251003769</v>
      </c>
      <c r="AJ38" s="188">
        <v>599240995</v>
      </c>
      <c r="AK38" s="188">
        <v>4486617206</v>
      </c>
      <c r="AL38" s="188">
        <v>2963570422</v>
      </c>
      <c r="AM38" s="188">
        <v>2359719949</v>
      </c>
      <c r="AN38" s="188">
        <v>435491431</v>
      </c>
      <c r="AO38" s="188">
        <v>2986449127</v>
      </c>
      <c r="AP38" s="188">
        <v>2535921184</v>
      </c>
      <c r="AQ38" s="188">
        <v>1263549383</v>
      </c>
      <c r="AR38" s="188">
        <v>949206656</v>
      </c>
      <c r="AS38" s="188">
        <v>6014234004</v>
      </c>
      <c r="AT38" s="188">
        <v>4671655313</v>
      </c>
      <c r="AU38" s="188">
        <v>3653236807</v>
      </c>
      <c r="AV38" s="188">
        <v>1904971192</v>
      </c>
      <c r="AW38" s="188">
        <v>5901833351</v>
      </c>
      <c r="AX38" s="188">
        <v>3306038365</v>
      </c>
      <c r="AY38" s="188">
        <v>1726358828</v>
      </c>
      <c r="AZ38" s="188">
        <v>1072605938</v>
      </c>
      <c r="BA38" s="188">
        <v>8942050948</v>
      </c>
      <c r="BB38" s="188">
        <v>9404104310.5200005</v>
      </c>
      <c r="BC38" s="188">
        <v>7114494606</v>
      </c>
      <c r="BD38" s="188">
        <v>2145988320</v>
      </c>
      <c r="BE38" s="188">
        <v>8280251709</v>
      </c>
      <c r="BF38" s="188">
        <v>6323037538.6000004</v>
      </c>
      <c r="BG38" s="188">
        <v>4519747784.7200003</v>
      </c>
      <c r="BH38" s="188">
        <v>2065435148.74</v>
      </c>
      <c r="BI38" s="188">
        <v>5705286721</v>
      </c>
      <c r="BJ38" s="188">
        <v>3662235101.1999998</v>
      </c>
      <c r="BK38" s="188">
        <v>2130765041.72</v>
      </c>
      <c r="BL38" s="188">
        <v>854470535.63</v>
      </c>
      <c r="BM38" s="188">
        <v>1935848576</v>
      </c>
      <c r="BN38" s="188">
        <v>519039903.43000001</v>
      </c>
      <c r="BO38" s="188">
        <v>1054170347</v>
      </c>
      <c r="BP38" s="188">
        <v>500004305.30000001</v>
      </c>
      <c r="BQ38" s="188">
        <v>499165884</v>
      </c>
      <c r="BR38" s="188">
        <v>217090771</v>
      </c>
      <c r="BS38" s="188">
        <v>281784988</v>
      </c>
      <c r="BT38" s="188">
        <v>159160000</v>
      </c>
      <c r="BU38" s="188">
        <v>0</v>
      </c>
    </row>
    <row r="39" spans="1:73" x14ac:dyDescent="0.25">
      <c r="A39" s="188" t="s">
        <v>254</v>
      </c>
      <c r="B39" s="188">
        <v>11681695994</v>
      </c>
      <c r="C39" s="188">
        <v>8148650744</v>
      </c>
      <c r="D39" s="188">
        <v>5740992442</v>
      </c>
      <c r="E39" s="188">
        <v>32925372189</v>
      </c>
      <c r="F39" s="188">
        <v>27057943017</v>
      </c>
      <c r="G39" s="188">
        <v>15249414489</v>
      </c>
      <c r="H39" s="188">
        <v>4695288730</v>
      </c>
      <c r="I39" s="188">
        <v>26141092801</v>
      </c>
      <c r="J39" s="188">
        <v>11139226214</v>
      </c>
      <c r="K39" s="188">
        <v>13870080988</v>
      </c>
      <c r="L39" s="188">
        <v>-2749465366</v>
      </c>
      <c r="M39" s="188">
        <v>8128927400</v>
      </c>
      <c r="N39" s="188">
        <v>3467008440</v>
      </c>
      <c r="O39" s="188">
        <v>1699283524</v>
      </c>
      <c r="P39" s="188">
        <v>-617996679</v>
      </c>
      <c r="Q39" s="188">
        <v>35641391214</v>
      </c>
      <c r="R39" s="188">
        <v>29987905055</v>
      </c>
      <c r="S39" s="188">
        <v>30604020368</v>
      </c>
      <c r="T39" s="188">
        <v>31848547346</v>
      </c>
      <c r="U39" s="188">
        <v>12263701432</v>
      </c>
      <c r="V39" s="188">
        <v>14317566601</v>
      </c>
      <c r="W39" s="188">
        <v>12752152132</v>
      </c>
      <c r="X39" s="188">
        <v>932143667</v>
      </c>
      <c r="Y39" s="188">
        <v>-297875942</v>
      </c>
      <c r="Z39" s="188">
        <v>-357324412</v>
      </c>
      <c r="AA39" s="188">
        <v>237770563</v>
      </c>
      <c r="AB39" s="188">
        <v>498880568</v>
      </c>
      <c r="AC39" s="188">
        <v>9978735216</v>
      </c>
      <c r="AD39" s="188">
        <v>9019903851</v>
      </c>
      <c r="AE39" s="188">
        <v>9216197370</v>
      </c>
      <c r="AF39" s="188">
        <v>3734908126</v>
      </c>
      <c r="AG39" s="188">
        <v>18050033902</v>
      </c>
      <c r="AH39" s="188">
        <v>10901223973</v>
      </c>
      <c r="AI39" s="188">
        <v>7596999614</v>
      </c>
      <c r="AJ39" s="188">
        <v>1732819708</v>
      </c>
      <c r="AK39" s="188">
        <v>14257008836</v>
      </c>
      <c r="AL39" s="188">
        <v>12131952999</v>
      </c>
      <c r="AM39" s="188">
        <v>12199595991</v>
      </c>
      <c r="AN39" s="188">
        <v>946911788</v>
      </c>
      <c r="AO39" s="188">
        <v>1933372006</v>
      </c>
      <c r="AP39" s="188">
        <v>771527021</v>
      </c>
      <c r="AQ39" s="188">
        <v>-505898251</v>
      </c>
      <c r="AR39" s="188">
        <v>-588962597</v>
      </c>
      <c r="AS39" s="188">
        <v>-4293200502</v>
      </c>
      <c r="AT39" s="188">
        <v>-3126883954</v>
      </c>
      <c r="AU39" s="188">
        <v>-2423175275</v>
      </c>
      <c r="AV39" s="188">
        <v>-1074583943</v>
      </c>
      <c r="AW39" s="188">
        <v>-334594446</v>
      </c>
      <c r="AX39" s="188">
        <v>529105655</v>
      </c>
      <c r="AY39" s="188">
        <v>-271301612</v>
      </c>
      <c r="AZ39" s="188">
        <v>29318502</v>
      </c>
      <c r="BA39" s="188">
        <v>5087772074</v>
      </c>
      <c r="BB39" s="188">
        <v>5925748911.0200005</v>
      </c>
      <c r="BC39" s="188">
        <v>6478505350</v>
      </c>
      <c r="BD39" s="188">
        <v>1097088132</v>
      </c>
      <c r="BE39" s="188">
        <v>4716385826</v>
      </c>
      <c r="BF39" s="188">
        <v>3837539025.46</v>
      </c>
      <c r="BG39" s="188">
        <v>1205182176.78</v>
      </c>
      <c r="BH39" s="188">
        <v>1196824407.01</v>
      </c>
      <c r="BI39" s="188">
        <v>3410208813</v>
      </c>
      <c r="BJ39" s="188">
        <v>1801791805.71</v>
      </c>
      <c r="BK39" s="188">
        <v>2093920944.8</v>
      </c>
      <c r="BL39" s="188">
        <v>2292563657.3899999</v>
      </c>
      <c r="BM39" s="188">
        <v>1662330154</v>
      </c>
      <c r="BN39" s="188">
        <v>217040345.68000001</v>
      </c>
      <c r="BO39" s="188">
        <v>-178621621</v>
      </c>
      <c r="BP39" s="188">
        <v>-301702338.36000001</v>
      </c>
      <c r="BQ39" s="188">
        <v>1463160347</v>
      </c>
      <c r="BR39" s="188">
        <v>257996357</v>
      </c>
      <c r="BS39" s="188">
        <v>240196122</v>
      </c>
      <c r="BT39" s="188">
        <v>38441000</v>
      </c>
      <c r="BU39" s="188">
        <v>0</v>
      </c>
    </row>
    <row r="40" spans="1:73" x14ac:dyDescent="0.25">
      <c r="A40" s="188" t="s">
        <v>255</v>
      </c>
      <c r="B40" s="188">
        <v>827974389</v>
      </c>
      <c r="C40" s="188">
        <v>-603907413</v>
      </c>
      <c r="D40" s="188">
        <v>-597677611</v>
      </c>
      <c r="E40" s="188">
        <v>-1571855232</v>
      </c>
      <c r="F40" s="188">
        <v>-927057213</v>
      </c>
      <c r="G40" s="188">
        <v>-455025939</v>
      </c>
      <c r="H40" s="188">
        <v>-153892076</v>
      </c>
      <c r="I40" s="188">
        <v>1452623410</v>
      </c>
      <c r="J40" s="188">
        <v>548698688</v>
      </c>
      <c r="K40" s="188">
        <v>-117602143</v>
      </c>
      <c r="L40" s="188">
        <v>4628616</v>
      </c>
      <c r="M40" s="188">
        <v>650122102</v>
      </c>
      <c r="N40" s="188">
        <v>661783286</v>
      </c>
      <c r="O40" s="188">
        <v>-77675858</v>
      </c>
      <c r="P40" s="188">
        <v>105885330</v>
      </c>
      <c r="Q40" s="188">
        <v>46925320</v>
      </c>
      <c r="R40" s="188">
        <v>45964982</v>
      </c>
      <c r="S40" s="188">
        <v>43545868</v>
      </c>
      <c r="T40" s="188">
        <v>35386569</v>
      </c>
      <c r="U40" s="188">
        <v>-145269441</v>
      </c>
      <c r="V40" s="188">
        <v>-74552107</v>
      </c>
      <c r="W40" s="188">
        <v>-113132965</v>
      </c>
      <c r="X40" s="188">
        <v>-34307742</v>
      </c>
      <c r="Y40" s="188">
        <v>-16695210</v>
      </c>
      <c r="Z40" s="188">
        <v>19575668</v>
      </c>
      <c r="AA40" s="188">
        <v>18124469</v>
      </c>
      <c r="AB40" s="188">
        <v>5246049</v>
      </c>
      <c r="AC40" s="188">
        <v>36169202</v>
      </c>
      <c r="AD40" s="188">
        <v>-43168022</v>
      </c>
      <c r="AE40" s="188">
        <v>3915256</v>
      </c>
      <c r="AF40" s="188">
        <v>8753397</v>
      </c>
      <c r="AG40" s="188">
        <v>7353562</v>
      </c>
      <c r="AH40" s="188">
        <v>-13514370</v>
      </c>
      <c r="AI40" s="188">
        <v>1412902</v>
      </c>
      <c r="AJ40" s="188">
        <v>-1624395</v>
      </c>
      <c r="AK40" s="188">
        <v>-537242</v>
      </c>
      <c r="AL40" s="188">
        <v>-8980570</v>
      </c>
      <c r="AM40" s="188">
        <v>-5076356</v>
      </c>
      <c r="AN40" s="188">
        <v>-4685656</v>
      </c>
      <c r="AO40" s="188">
        <v>-12868754</v>
      </c>
      <c r="AP40" s="188">
        <v>-19138753</v>
      </c>
      <c r="AQ40" s="188">
        <v>-15074025</v>
      </c>
      <c r="AR40" s="188">
        <v>-11540807</v>
      </c>
      <c r="AS40" s="188">
        <v>-16046045</v>
      </c>
      <c r="AT40" s="188">
        <v>-18266621</v>
      </c>
      <c r="AU40" s="188">
        <v>-14573530</v>
      </c>
      <c r="AV40" s="188">
        <v>-3350217</v>
      </c>
      <c r="AW40" s="188">
        <v>-17576956</v>
      </c>
      <c r="AX40" s="188">
        <v>-13298182</v>
      </c>
      <c r="AY40" s="188">
        <v>-5071988</v>
      </c>
      <c r="AZ40" s="188">
        <v>-7908633</v>
      </c>
      <c r="BA40" s="188">
        <v>-55302045</v>
      </c>
      <c r="BB40" s="188">
        <v>-36786507.340000004</v>
      </c>
      <c r="BC40" s="188">
        <v>-7879044</v>
      </c>
      <c r="BD40" s="188">
        <v>4161417</v>
      </c>
      <c r="BE40" s="188">
        <v>59623929</v>
      </c>
      <c r="BF40" s="188">
        <v>8169265.0499999998</v>
      </c>
      <c r="BG40" s="188">
        <v>9758658.5600000005</v>
      </c>
      <c r="BH40" s="188">
        <v>9329794.9900000002</v>
      </c>
      <c r="BI40" s="188">
        <v>-17983849</v>
      </c>
      <c r="BJ40" s="188">
        <v>18677964.75</v>
      </c>
      <c r="BK40" s="188">
        <v>15580443.33</v>
      </c>
      <c r="BL40" s="188">
        <v>-17397506.91</v>
      </c>
      <c r="BM40" s="188">
        <v>16502221</v>
      </c>
      <c r="BN40" s="188">
        <v>-7797035.8399999999</v>
      </c>
      <c r="BO40" s="188">
        <v>-225</v>
      </c>
      <c r="BP40" s="188">
        <v>-4407846.88</v>
      </c>
      <c r="BQ40" s="188">
        <v>1328845</v>
      </c>
      <c r="BR40" s="188">
        <v>-67440</v>
      </c>
      <c r="BS40" s="188">
        <v>-939948</v>
      </c>
      <c r="BT40" s="188">
        <v>-1155000</v>
      </c>
      <c r="BU40" s="188">
        <v>0</v>
      </c>
    </row>
    <row r="41" spans="1:73" x14ac:dyDescent="0.25">
      <c r="A41" s="188" t="s">
        <v>256</v>
      </c>
      <c r="B41" s="188">
        <v>-1239724373</v>
      </c>
      <c r="C41" s="188">
        <v>-4823287992</v>
      </c>
      <c r="D41" s="188">
        <v>-725963650</v>
      </c>
      <c r="E41" s="188">
        <v>-1441522805</v>
      </c>
      <c r="F41" s="188">
        <v>-3089930026</v>
      </c>
      <c r="G41" s="188">
        <v>-6556493365</v>
      </c>
      <c r="H41" s="188">
        <v>-6472776953</v>
      </c>
      <c r="I41" s="188">
        <v>13172072171</v>
      </c>
      <c r="J41" s="188">
        <v>321154728</v>
      </c>
      <c r="K41" s="188">
        <v>3853303396</v>
      </c>
      <c r="L41" s="188">
        <v>-1488679373</v>
      </c>
      <c r="M41" s="188">
        <v>-321968943</v>
      </c>
      <c r="N41" s="188">
        <v>-3886230683</v>
      </c>
      <c r="O41" s="188">
        <v>-4495264852</v>
      </c>
      <c r="P41" s="188">
        <v>-3525998943</v>
      </c>
      <c r="Q41" s="188">
        <v>20029731311</v>
      </c>
      <c r="R41" s="188">
        <v>19626256024</v>
      </c>
      <c r="S41" s="188">
        <v>24494958224</v>
      </c>
      <c r="T41" s="188">
        <v>30376588375</v>
      </c>
      <c r="U41" s="188">
        <v>2918489157</v>
      </c>
      <c r="V41" s="188">
        <v>3111900292</v>
      </c>
      <c r="W41" s="188">
        <v>8854254635</v>
      </c>
      <c r="X41" s="188">
        <v>1271557087</v>
      </c>
      <c r="Y41" s="188">
        <v>596953022</v>
      </c>
      <c r="Z41" s="188">
        <v>-2429190534</v>
      </c>
      <c r="AA41" s="188">
        <v>-1820431737</v>
      </c>
      <c r="AB41" s="188">
        <v>-1913861404</v>
      </c>
      <c r="AC41" s="188">
        <v>-6138414968</v>
      </c>
      <c r="AD41" s="188">
        <v>-9394205264</v>
      </c>
      <c r="AE41" s="188">
        <v>-8024462831</v>
      </c>
      <c r="AF41" s="188">
        <v>-4563024795</v>
      </c>
      <c r="AG41" s="188">
        <v>3867458134</v>
      </c>
      <c r="AH41" s="188">
        <v>-4060853776</v>
      </c>
      <c r="AI41" s="188">
        <v>-3137311511</v>
      </c>
      <c r="AJ41" s="188">
        <v>-681227219</v>
      </c>
      <c r="AK41" s="188">
        <v>11701892690</v>
      </c>
      <c r="AL41" s="188">
        <v>9386511213</v>
      </c>
      <c r="AM41" s="188">
        <v>9923347294</v>
      </c>
      <c r="AN41" s="188">
        <v>-636431377</v>
      </c>
      <c r="AO41" s="188">
        <v>2076437614</v>
      </c>
      <c r="AP41" s="188">
        <v>1173081324</v>
      </c>
      <c r="AQ41" s="188">
        <v>-265915400</v>
      </c>
      <c r="AR41" s="188">
        <v>68400698</v>
      </c>
      <c r="AS41" s="188">
        <v>-554177</v>
      </c>
      <c r="AT41" s="188">
        <v>207153384</v>
      </c>
      <c r="AU41" s="188">
        <v>111573871</v>
      </c>
      <c r="AV41" s="188">
        <v>77959960</v>
      </c>
      <c r="AW41" s="188">
        <v>294054901</v>
      </c>
      <c r="AX41" s="188">
        <v>315266060</v>
      </c>
      <c r="AY41" s="188">
        <v>-570270957</v>
      </c>
      <c r="AZ41" s="188">
        <v>-186109347</v>
      </c>
      <c r="BA41" s="188">
        <v>-371917741</v>
      </c>
      <c r="BB41" s="188">
        <v>1843044578</v>
      </c>
      <c r="BC41" s="188">
        <v>2958871698</v>
      </c>
      <c r="BD41" s="188">
        <v>-129711268</v>
      </c>
      <c r="BE41" s="188">
        <v>-635626857</v>
      </c>
      <c r="BF41" s="188">
        <v>1684807730.3099999</v>
      </c>
      <c r="BG41" s="188">
        <v>706353889.34000003</v>
      </c>
      <c r="BH41" s="188">
        <v>1410911104.1199999</v>
      </c>
      <c r="BI41" s="188">
        <v>-61069332</v>
      </c>
      <c r="BJ41" s="188">
        <v>-546755324.5</v>
      </c>
      <c r="BK41" s="188">
        <v>-481717327.56</v>
      </c>
      <c r="BL41" s="188">
        <v>-214830469.43000001</v>
      </c>
      <c r="BM41" s="188">
        <v>1050068678</v>
      </c>
      <c r="BN41" s="188">
        <v>-174672063.77000001</v>
      </c>
      <c r="BO41" s="188">
        <v>-223365026</v>
      </c>
      <c r="BP41" s="188">
        <v>-142072600.09</v>
      </c>
      <c r="BQ41" s="188">
        <v>1086195822</v>
      </c>
      <c r="BR41" s="188">
        <v>131772042</v>
      </c>
      <c r="BS41" s="188">
        <v>-4403824</v>
      </c>
      <c r="BT41" s="188">
        <v>25722000</v>
      </c>
      <c r="BU41" s="188">
        <v>0</v>
      </c>
    </row>
    <row r="42" spans="1:73" x14ac:dyDescent="0.25">
      <c r="A42" s="188" t="s">
        <v>257</v>
      </c>
      <c r="B42" s="188">
        <v>47913287583</v>
      </c>
      <c r="C42" s="188">
        <v>47913287583</v>
      </c>
      <c r="D42" s="188">
        <v>47913287583</v>
      </c>
      <c r="E42" s="188">
        <v>49354810388</v>
      </c>
      <c r="F42" s="188">
        <v>49354810388</v>
      </c>
      <c r="G42" s="188">
        <v>49354810388</v>
      </c>
      <c r="H42" s="188">
        <v>49354810388</v>
      </c>
      <c r="I42" s="188">
        <v>36182738217</v>
      </c>
      <c r="J42" s="188">
        <v>36182738217</v>
      </c>
      <c r="K42" s="188">
        <v>36182738217</v>
      </c>
      <c r="L42" s="188">
        <v>36182738217</v>
      </c>
      <c r="M42" s="188">
        <v>36504707160</v>
      </c>
      <c r="N42" s="188">
        <v>36504707160</v>
      </c>
      <c r="O42" s="188">
        <v>36504707160</v>
      </c>
      <c r="P42" s="188">
        <v>36504707160</v>
      </c>
      <c r="Q42" s="188">
        <v>16474975849</v>
      </c>
      <c r="R42" s="188">
        <v>16474975849</v>
      </c>
      <c r="S42" s="188">
        <v>16474975849</v>
      </c>
      <c r="T42" s="188">
        <v>16474975849</v>
      </c>
      <c r="U42" s="188">
        <v>13556486692</v>
      </c>
      <c r="V42" s="188">
        <v>13556486692</v>
      </c>
      <c r="W42" s="188">
        <v>13556486692</v>
      </c>
      <c r="X42" s="188">
        <v>13556486692</v>
      </c>
      <c r="Y42" s="188">
        <v>12959533670</v>
      </c>
      <c r="Z42" s="188">
        <v>12959533670</v>
      </c>
      <c r="AA42" s="188">
        <v>12959533670</v>
      </c>
      <c r="AB42" s="188">
        <v>12959533670</v>
      </c>
      <c r="AC42" s="188">
        <v>19097948638</v>
      </c>
      <c r="AD42" s="188">
        <v>19097948638</v>
      </c>
      <c r="AE42" s="188">
        <v>19097948638</v>
      </c>
      <c r="AF42" s="188">
        <v>19097948638</v>
      </c>
      <c r="AG42" s="188">
        <v>15230490504</v>
      </c>
      <c r="AH42" s="188">
        <v>15230490504</v>
      </c>
      <c r="AI42" s="188">
        <v>15230490504</v>
      </c>
      <c r="AJ42" s="188">
        <v>15003596344</v>
      </c>
      <c r="AK42" s="188">
        <v>3528597814</v>
      </c>
      <c r="AL42" s="188">
        <v>3528597814</v>
      </c>
      <c r="AM42" s="188">
        <v>3528597814</v>
      </c>
      <c r="AN42" s="188">
        <v>3528597814</v>
      </c>
      <c r="AO42" s="188">
        <v>1452160200</v>
      </c>
      <c r="AP42" s="188">
        <v>1452160200</v>
      </c>
      <c r="AQ42" s="188">
        <v>1452160200</v>
      </c>
      <c r="AR42" s="188">
        <v>1452160200</v>
      </c>
      <c r="AS42" s="188">
        <v>1452714377</v>
      </c>
      <c r="AT42" s="188">
        <v>1458107384</v>
      </c>
      <c r="AU42" s="188">
        <v>1809217235</v>
      </c>
      <c r="AV42" s="188">
        <v>1809217235</v>
      </c>
      <c r="AW42" s="188">
        <v>1164052483</v>
      </c>
      <c r="AX42" s="188">
        <v>2080680420</v>
      </c>
      <c r="AY42" s="188">
        <v>2080680420</v>
      </c>
      <c r="AZ42" s="188">
        <v>2080680420</v>
      </c>
      <c r="BA42" s="188">
        <v>1535970224</v>
      </c>
      <c r="BB42" s="188">
        <v>1834288334</v>
      </c>
      <c r="BC42" s="188">
        <v>1834288334</v>
      </c>
      <c r="BD42" s="188">
        <v>1834288334</v>
      </c>
      <c r="BE42" s="188">
        <v>2171597081</v>
      </c>
      <c r="BF42" s="188">
        <v>1971597081</v>
      </c>
      <c r="BG42" s="188">
        <v>1971597081</v>
      </c>
      <c r="BH42" s="188">
        <v>2051459425</v>
      </c>
      <c r="BI42" s="188">
        <v>2232666413</v>
      </c>
      <c r="BJ42" s="188">
        <v>2294225705.4499998</v>
      </c>
      <c r="BK42" s="188">
        <v>2294225705.4499998</v>
      </c>
      <c r="BL42" s="188">
        <v>2294225705.4499998</v>
      </c>
      <c r="BM42" s="188">
        <v>1182597735</v>
      </c>
      <c r="BN42" s="188">
        <v>1182597735</v>
      </c>
      <c r="BO42" s="188">
        <v>1405962761</v>
      </c>
      <c r="BP42" s="188">
        <v>1415667242</v>
      </c>
      <c r="BQ42" s="188">
        <v>329471420</v>
      </c>
      <c r="BR42" s="188">
        <v>329471420</v>
      </c>
      <c r="BS42" s="188">
        <v>333875244</v>
      </c>
      <c r="BT42" s="188">
        <v>308153000</v>
      </c>
      <c r="BU42" s="188">
        <v>0</v>
      </c>
    </row>
    <row r="43" spans="1:73" x14ac:dyDescent="0.25">
      <c r="A43" s="188" t="s">
        <v>258</v>
      </c>
      <c r="B43" s="188">
        <v>46673563210</v>
      </c>
      <c r="C43" s="188">
        <v>43089999591</v>
      </c>
      <c r="D43" s="188">
        <v>47187323933</v>
      </c>
      <c r="E43" s="188">
        <v>47913287583</v>
      </c>
      <c r="F43" s="188">
        <v>46264880362</v>
      </c>
      <c r="G43" s="188">
        <v>42798317023</v>
      </c>
      <c r="H43" s="188">
        <v>42882033435</v>
      </c>
      <c r="I43" s="188">
        <v>49354810388</v>
      </c>
      <c r="J43" s="188">
        <v>36503892945</v>
      </c>
      <c r="K43" s="188">
        <v>40036041613</v>
      </c>
      <c r="L43" s="188">
        <v>34694058844</v>
      </c>
      <c r="M43" s="188">
        <v>36182738217</v>
      </c>
      <c r="N43" s="188">
        <v>32618476477</v>
      </c>
      <c r="O43" s="188">
        <v>32009442308</v>
      </c>
      <c r="P43" s="188">
        <v>32978708217</v>
      </c>
      <c r="Q43" s="188">
        <v>36504707160</v>
      </c>
      <c r="R43" s="188">
        <v>36101231873</v>
      </c>
      <c r="S43" s="188">
        <v>40969934073</v>
      </c>
      <c r="T43" s="188">
        <v>46851564224</v>
      </c>
      <c r="U43" s="188">
        <v>16474975849</v>
      </c>
      <c r="V43" s="188">
        <v>16668386984</v>
      </c>
      <c r="W43" s="188">
        <v>22410741327</v>
      </c>
      <c r="X43" s="188">
        <v>14828043779</v>
      </c>
      <c r="Y43" s="188">
        <v>13556486692</v>
      </c>
      <c r="Z43" s="188">
        <v>10530343136</v>
      </c>
      <c r="AA43" s="188">
        <v>11139101933</v>
      </c>
      <c r="AB43" s="188">
        <v>11045672266</v>
      </c>
      <c r="AC43" s="188">
        <v>12959533670</v>
      </c>
      <c r="AD43" s="188">
        <v>9703743374</v>
      </c>
      <c r="AE43" s="188">
        <v>11073485807</v>
      </c>
      <c r="AF43" s="188">
        <v>14534923843</v>
      </c>
      <c r="AG43" s="188">
        <v>19097948638</v>
      </c>
      <c r="AH43" s="188">
        <v>11169636728</v>
      </c>
      <c r="AI43" s="188">
        <v>12093178993</v>
      </c>
      <c r="AJ43" s="188">
        <v>14322369125</v>
      </c>
      <c r="AK43" s="188">
        <v>15230490504</v>
      </c>
      <c r="AL43" s="188">
        <v>12915109027</v>
      </c>
      <c r="AM43" s="188">
        <v>13451945108</v>
      </c>
      <c r="AN43" s="188">
        <v>2892166437</v>
      </c>
      <c r="AO43" s="188">
        <v>3528597814</v>
      </c>
      <c r="AP43" s="188">
        <v>2625241524</v>
      </c>
      <c r="AQ43" s="188">
        <v>1186244800</v>
      </c>
      <c r="AR43" s="188">
        <v>1520560898</v>
      </c>
      <c r="AS43" s="188">
        <v>1452160200</v>
      </c>
      <c r="AT43" s="188">
        <v>1665260768</v>
      </c>
      <c r="AU43" s="188">
        <v>1920791106</v>
      </c>
      <c r="AV43" s="188">
        <v>1887177195</v>
      </c>
      <c r="AW43" s="188">
        <v>1458107384</v>
      </c>
      <c r="AX43" s="188">
        <v>2395946480</v>
      </c>
      <c r="AY43" s="188">
        <v>1510409463</v>
      </c>
      <c r="AZ43" s="188">
        <v>1894571073</v>
      </c>
      <c r="BA43" s="188">
        <v>1164052483</v>
      </c>
      <c r="BB43" s="188">
        <v>3677332912</v>
      </c>
      <c r="BC43" s="188">
        <v>4793160032</v>
      </c>
      <c r="BD43" s="188">
        <v>1704577066</v>
      </c>
      <c r="BE43" s="188">
        <v>1535970224</v>
      </c>
      <c r="BF43" s="188">
        <v>3656404811.3099999</v>
      </c>
      <c r="BG43" s="188">
        <v>2677950970.3400002</v>
      </c>
      <c r="BH43" s="188">
        <v>3462370529.1199999</v>
      </c>
      <c r="BI43" s="188">
        <v>2171597081</v>
      </c>
      <c r="BJ43" s="188">
        <v>1747470380.95</v>
      </c>
      <c r="BK43" s="188">
        <v>1812508377.8900001</v>
      </c>
      <c r="BL43" s="188">
        <v>2079395236.02</v>
      </c>
      <c r="BM43" s="188">
        <v>2232666413</v>
      </c>
      <c r="BN43" s="188">
        <v>1007925671.23</v>
      </c>
      <c r="BO43" s="188">
        <v>1182597735</v>
      </c>
      <c r="BP43" s="188">
        <v>1273594641.9100001</v>
      </c>
      <c r="BQ43" s="188">
        <v>1415667242</v>
      </c>
      <c r="BR43" s="188">
        <v>461243462</v>
      </c>
      <c r="BS43" s="188">
        <v>329471420</v>
      </c>
      <c r="BT43" s="188">
        <v>333875000</v>
      </c>
      <c r="BU43" s="188">
        <v>0</v>
      </c>
    </row>
    <row r="44" spans="1:73" x14ac:dyDescent="0.25">
      <c r="A44" s="188" t="s">
        <v>259</v>
      </c>
    </row>
    <row r="45" spans="1:73" x14ac:dyDescent="0.25">
      <c r="A45" s="188" t="s">
        <v>260</v>
      </c>
      <c r="B45" s="188">
        <v>0</v>
      </c>
      <c r="C45" s="188">
        <v>2829093457</v>
      </c>
      <c r="D45" s="188">
        <v>0</v>
      </c>
      <c r="E45" s="188">
        <v>7860411559</v>
      </c>
      <c r="F45" s="188">
        <v>0</v>
      </c>
      <c r="G45" s="188">
        <v>4594562005</v>
      </c>
      <c r="H45" s="188">
        <v>0</v>
      </c>
      <c r="I45" s="188">
        <v>2045170759</v>
      </c>
      <c r="J45" s="188">
        <v>0</v>
      </c>
      <c r="K45" s="188">
        <v>-587503568</v>
      </c>
      <c r="L45" s="188">
        <v>0</v>
      </c>
      <c r="M45" s="188">
        <v>1638109932</v>
      </c>
      <c r="N45" s="188">
        <v>0</v>
      </c>
      <c r="O45" s="188">
        <v>1953153768</v>
      </c>
      <c r="P45" s="188">
        <v>0</v>
      </c>
      <c r="Q45" s="188">
        <v>2715913970</v>
      </c>
      <c r="R45" s="188">
        <v>0</v>
      </c>
      <c r="S45" s="188">
        <v>1162898767</v>
      </c>
      <c r="T45" s="188">
        <v>0</v>
      </c>
      <c r="U45" s="188">
        <v>2972129191</v>
      </c>
      <c r="V45" s="188">
        <v>0</v>
      </c>
      <c r="W45" s="188">
        <v>1165280769</v>
      </c>
      <c r="X45" s="188">
        <v>0</v>
      </c>
      <c r="Y45" s="188">
        <v>184383068</v>
      </c>
      <c r="Z45" s="188">
        <v>0</v>
      </c>
      <c r="AA45" s="188">
        <v>-1077106680</v>
      </c>
      <c r="AB45" s="188">
        <v>0</v>
      </c>
      <c r="AC45" s="188">
        <v>693677317</v>
      </c>
      <c r="AD45" s="188">
        <v>0</v>
      </c>
      <c r="AE45" s="188">
        <v>-1326538316</v>
      </c>
      <c r="AF45" s="188">
        <v>0</v>
      </c>
      <c r="AG45" s="188">
        <v>-2268032806</v>
      </c>
      <c r="AH45" s="188">
        <v>0</v>
      </c>
      <c r="AI45" s="188">
        <v>-617679176</v>
      </c>
      <c r="AJ45" s="188">
        <v>0</v>
      </c>
      <c r="AK45" s="188">
        <v>-65263893</v>
      </c>
      <c r="AL45" s="188">
        <v>0</v>
      </c>
      <c r="AM45" s="188">
        <v>-919127940</v>
      </c>
      <c r="AN45" s="188">
        <v>0</v>
      </c>
      <c r="AO45" s="188">
        <v>-996771096</v>
      </c>
      <c r="AP45" s="188">
        <v>0</v>
      </c>
      <c r="AQ45" s="188">
        <v>627370921</v>
      </c>
      <c r="AR45" s="188">
        <v>0</v>
      </c>
      <c r="AS45" s="188">
        <v>690945815</v>
      </c>
      <c r="AT45" s="188">
        <v>0</v>
      </c>
      <c r="AU45" s="188">
        <v>36312079</v>
      </c>
      <c r="AV45" s="188">
        <v>0</v>
      </c>
      <c r="AW45" s="188">
        <v>-1721944721</v>
      </c>
      <c r="AX45" s="188">
        <v>-1626867894</v>
      </c>
      <c r="AY45" s="188">
        <v>-1264345868</v>
      </c>
      <c r="AZ45" s="188">
        <v>-490684583</v>
      </c>
      <c r="BA45" s="188">
        <v>-1587087256</v>
      </c>
      <c r="BB45" s="188">
        <v>-1367818670</v>
      </c>
      <c r="BC45" s="188">
        <v>-988745821</v>
      </c>
      <c r="BD45" s="188">
        <v>-450748342</v>
      </c>
      <c r="BE45" s="188">
        <v>206012682</v>
      </c>
      <c r="BF45" s="188">
        <v>474967637.05000001</v>
      </c>
      <c r="BG45" s="188">
        <v>521186153.76999998</v>
      </c>
      <c r="BH45" s="188">
        <v>265447333.11000001</v>
      </c>
      <c r="BI45" s="188">
        <v>361165424</v>
      </c>
      <c r="BJ45" s="188">
        <v>280516860.66000003</v>
      </c>
      <c r="BK45" s="188">
        <v>165170757.53999999</v>
      </c>
      <c r="BL45" s="188">
        <v>33403382.969999999</v>
      </c>
      <c r="BM45" s="188">
        <v>82836595</v>
      </c>
      <c r="BN45" s="188">
        <v>56516137.799999997</v>
      </c>
      <c r="BO45" s="188">
        <v>60250853</v>
      </c>
      <c r="BP45" s="188">
        <v>55102499.710000001</v>
      </c>
      <c r="BQ45" s="188">
        <v>110395830</v>
      </c>
      <c r="BR45" s="188">
        <v>49799065</v>
      </c>
      <c r="BS45" s="188">
        <v>74502439</v>
      </c>
      <c r="BT45" s="188">
        <v>60721000</v>
      </c>
      <c r="BU45" s="188">
        <v>0</v>
      </c>
    </row>
    <row r="46" spans="1:73" x14ac:dyDescent="0.25">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206161137</v>
      </c>
      <c r="AT46" s="188">
        <v>0</v>
      </c>
      <c r="AU46" s="188">
        <v>0</v>
      </c>
      <c r="AV46" s="188">
        <v>0</v>
      </c>
      <c r="AW46" s="188">
        <v>-18673247</v>
      </c>
      <c r="AX46" s="188">
        <v>-21599237</v>
      </c>
      <c r="AY46" s="188">
        <v>-40129602</v>
      </c>
      <c r="AZ46" s="188">
        <v>-35309113</v>
      </c>
      <c r="BA46" s="188">
        <v>90996507</v>
      </c>
      <c r="BB46" s="188">
        <v>57206632</v>
      </c>
      <c r="BC46" s="188">
        <v>21817192</v>
      </c>
      <c r="BD46" s="188">
        <v>9733035</v>
      </c>
      <c r="BE46" s="188">
        <v>81744794</v>
      </c>
      <c r="BF46" s="188">
        <v>30544039.52</v>
      </c>
      <c r="BG46" s="188">
        <v>22961488.719999999</v>
      </c>
      <c r="BH46" s="188">
        <v>27699952.09</v>
      </c>
      <c r="BI46" s="188">
        <v>78096280</v>
      </c>
      <c r="BJ46" s="188">
        <v>34605279.640000001</v>
      </c>
      <c r="BK46" s="188">
        <v>27544272.489999998</v>
      </c>
      <c r="BL46" s="188">
        <v>19346861.550000001</v>
      </c>
      <c r="BM46" s="188">
        <v>86199727</v>
      </c>
      <c r="BN46" s="188">
        <v>57336247.280000001</v>
      </c>
      <c r="BO46" s="188">
        <v>43793084</v>
      </c>
      <c r="BP46" s="188">
        <v>21747603</v>
      </c>
      <c r="BQ46" s="188">
        <v>37203822</v>
      </c>
      <c r="BR46" s="188">
        <v>15505192</v>
      </c>
      <c r="BS46" s="188">
        <v>21787402</v>
      </c>
      <c r="BT46" s="188">
        <v>6300000</v>
      </c>
      <c r="BU46" s="188">
        <v>0</v>
      </c>
    </row>
    <row r="47" spans="1:73" x14ac:dyDescent="0.25">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1220739234</v>
      </c>
      <c r="AX47" s="188">
        <v>1036550197</v>
      </c>
      <c r="AY47" s="188">
        <v>490073074</v>
      </c>
      <c r="AZ47" s="188">
        <v>0</v>
      </c>
      <c r="BA47" s="188">
        <v>0</v>
      </c>
      <c r="BB47" s="188">
        <v>0</v>
      </c>
      <c r="BC47" s="188">
        <v>0</v>
      </c>
      <c r="BD47" s="188">
        <v>0</v>
      </c>
      <c r="BE47" s="188">
        <v>0</v>
      </c>
      <c r="BF47" s="188">
        <v>0</v>
      </c>
      <c r="BG47" s="188">
        <v>0</v>
      </c>
      <c r="BH47" s="188">
        <v>0</v>
      </c>
      <c r="BI47" s="188">
        <v>0</v>
      </c>
      <c r="BJ47" s="188">
        <v>0</v>
      </c>
      <c r="BK47" s="188">
        <v>0</v>
      </c>
      <c r="BL47" s="188">
        <v>0</v>
      </c>
      <c r="BM47" s="188">
        <v>0</v>
      </c>
      <c r="BN47" s="188">
        <v>0</v>
      </c>
      <c r="BO47" s="188">
        <v>0</v>
      </c>
      <c r="BP47" s="188">
        <v>0</v>
      </c>
      <c r="BQ47" s="188">
        <v>0</v>
      </c>
      <c r="BR47" s="188">
        <v>0</v>
      </c>
      <c r="BS47" s="188">
        <v>0</v>
      </c>
      <c r="BT47" s="188">
        <v>0</v>
      </c>
      <c r="BU47" s="188">
        <v>0</v>
      </c>
    </row>
    <row r="48" spans="1:73" x14ac:dyDescent="0.25">
      <c r="A48" s="188" t="s">
        <v>262</v>
      </c>
      <c r="B48" s="188">
        <v>0</v>
      </c>
      <c r="C48" s="188">
        <v>458149260</v>
      </c>
      <c r="D48" s="188">
        <v>0</v>
      </c>
      <c r="E48" s="188">
        <v>2229524682</v>
      </c>
      <c r="F48" s="188">
        <v>0</v>
      </c>
      <c r="G48" s="188">
        <v>1423446130</v>
      </c>
      <c r="H48" s="188">
        <v>0</v>
      </c>
      <c r="I48" s="188">
        <v>1594488553</v>
      </c>
      <c r="J48" s="188">
        <v>0</v>
      </c>
      <c r="K48" s="188">
        <v>514822946</v>
      </c>
      <c r="L48" s="188">
        <v>0</v>
      </c>
      <c r="M48" s="188">
        <v>1364500152</v>
      </c>
      <c r="N48" s="188">
        <v>0</v>
      </c>
      <c r="O48" s="188">
        <v>497321170</v>
      </c>
      <c r="P48" s="188">
        <v>0</v>
      </c>
      <c r="Q48" s="188">
        <v>1211771939</v>
      </c>
      <c r="R48" s="188">
        <v>0</v>
      </c>
      <c r="S48" s="188">
        <v>385176764</v>
      </c>
      <c r="T48" s="188">
        <v>0</v>
      </c>
      <c r="U48" s="188">
        <v>913797501</v>
      </c>
      <c r="V48" s="188">
        <v>0</v>
      </c>
      <c r="W48" s="188">
        <v>519693766</v>
      </c>
      <c r="X48" s="188">
        <v>0</v>
      </c>
      <c r="Y48" s="188">
        <v>438799442</v>
      </c>
      <c r="Z48" s="188">
        <v>0</v>
      </c>
      <c r="AA48" s="188">
        <v>-11889069</v>
      </c>
      <c r="AB48" s="188">
        <v>0</v>
      </c>
      <c r="AC48" s="188">
        <v>1380457807</v>
      </c>
      <c r="AD48" s="188">
        <v>0</v>
      </c>
      <c r="AE48" s="188">
        <v>58778909</v>
      </c>
      <c r="AF48" s="188">
        <v>0</v>
      </c>
      <c r="AG48" s="188">
        <v>454631810</v>
      </c>
      <c r="AH48" s="188">
        <v>0</v>
      </c>
      <c r="AI48" s="188">
        <v>26528431</v>
      </c>
      <c r="AJ48" s="188">
        <v>0</v>
      </c>
      <c r="AK48" s="188">
        <v>89200303</v>
      </c>
      <c r="AL48" s="188">
        <v>0</v>
      </c>
      <c r="AM48" s="188">
        <v>-136237477</v>
      </c>
      <c r="AN48" s="188">
        <v>0</v>
      </c>
      <c r="AO48" s="188">
        <v>312504311</v>
      </c>
      <c r="AP48" s="188">
        <v>0</v>
      </c>
      <c r="AQ48" s="188">
        <v>2568398</v>
      </c>
      <c r="AR48" s="188">
        <v>0</v>
      </c>
      <c r="AS48" s="188">
        <v>119783374</v>
      </c>
      <c r="AT48" s="188">
        <v>0</v>
      </c>
      <c r="AU48" s="188">
        <v>-65480802</v>
      </c>
      <c r="AV48" s="188">
        <v>0</v>
      </c>
      <c r="AW48" s="188">
        <v>593265798</v>
      </c>
      <c r="AX48" s="188">
        <v>149994744</v>
      </c>
      <c r="AY48" s="188">
        <v>256703078</v>
      </c>
      <c r="AZ48" s="188">
        <v>326492</v>
      </c>
      <c r="BA48" s="188">
        <v>242868597</v>
      </c>
      <c r="BB48" s="188">
        <v>29104754.039999999</v>
      </c>
      <c r="BC48" s="188">
        <v>114372316</v>
      </c>
      <c r="BD48" s="188">
        <v>-1678187</v>
      </c>
      <c r="BE48" s="188">
        <v>114775762</v>
      </c>
      <c r="BF48" s="188">
        <v>10702334.970000001</v>
      </c>
      <c r="BG48" s="188">
        <v>10168570.960000001</v>
      </c>
      <c r="BH48" s="188">
        <v>30470603.800000001</v>
      </c>
      <c r="BI48" s="188">
        <v>109183427</v>
      </c>
      <c r="BJ48" s="188">
        <v>69357995.659999996</v>
      </c>
      <c r="BK48" s="188">
        <v>10315807.609999999</v>
      </c>
      <c r="BL48" s="188">
        <v>0</v>
      </c>
      <c r="BM48" s="188">
        <v>28357547</v>
      </c>
      <c r="BN48" s="188">
        <v>2242900.7599999998</v>
      </c>
      <c r="BO48" s="188">
        <v>13687486</v>
      </c>
      <c r="BP48" s="188">
        <v>535905.79</v>
      </c>
      <c r="BQ48" s="188">
        <v>11385968</v>
      </c>
      <c r="BR48" s="188">
        <v>1289893</v>
      </c>
      <c r="BS48" s="188">
        <v>517392</v>
      </c>
      <c r="BT48" s="188">
        <v>3316000</v>
      </c>
      <c r="BU48" s="188">
        <v>0</v>
      </c>
    </row>
    <row r="49" spans="1:73" x14ac:dyDescent="0.25">
      <c r="A49" s="188" t="s">
        <v>263</v>
      </c>
      <c r="B49" s="188">
        <v>0</v>
      </c>
      <c r="C49" s="188">
        <v>6556160630</v>
      </c>
      <c r="D49" s="188">
        <v>0</v>
      </c>
      <c r="E49" s="188">
        <v>11582379561</v>
      </c>
      <c r="F49" s="188">
        <v>0</v>
      </c>
      <c r="G49" s="188">
        <v>5464374990</v>
      </c>
      <c r="H49" s="188">
        <v>0</v>
      </c>
      <c r="I49" s="188">
        <v>10043152205</v>
      </c>
      <c r="J49" s="188">
        <v>0</v>
      </c>
      <c r="K49" s="188">
        <v>4809870880</v>
      </c>
      <c r="L49" s="188">
        <v>0</v>
      </c>
      <c r="M49" s="188">
        <v>7799457709</v>
      </c>
      <c r="N49" s="188">
        <v>0</v>
      </c>
      <c r="O49" s="188">
        <v>3590977357</v>
      </c>
      <c r="P49" s="188">
        <v>0</v>
      </c>
      <c r="Q49" s="188">
        <v>5523726587</v>
      </c>
      <c r="R49" s="188">
        <v>0</v>
      </c>
      <c r="S49" s="188">
        <v>2318091904</v>
      </c>
      <c r="T49" s="188">
        <v>0</v>
      </c>
      <c r="U49" s="188">
        <v>4392643733</v>
      </c>
      <c r="V49" s="188">
        <v>0</v>
      </c>
      <c r="W49" s="188">
        <v>2144349551</v>
      </c>
      <c r="X49" s="188">
        <v>0</v>
      </c>
      <c r="Y49" s="188">
        <v>3765248130</v>
      </c>
      <c r="Z49" s="188">
        <v>0</v>
      </c>
      <c r="AA49" s="188">
        <v>1833011576</v>
      </c>
      <c r="AB49" s="188">
        <v>0</v>
      </c>
      <c r="AC49" s="188">
        <v>2801104086</v>
      </c>
      <c r="AD49" s="188">
        <v>0</v>
      </c>
      <c r="AE49" s="188">
        <v>1244059211</v>
      </c>
      <c r="AF49" s="188">
        <v>0</v>
      </c>
      <c r="AG49" s="188">
        <v>1681547740</v>
      </c>
      <c r="AH49" s="188">
        <v>0</v>
      </c>
      <c r="AI49" s="188">
        <v>757080608</v>
      </c>
      <c r="AJ49" s="188">
        <v>0</v>
      </c>
      <c r="AK49" s="188">
        <v>1215123651</v>
      </c>
      <c r="AL49" s="188">
        <v>0</v>
      </c>
      <c r="AM49" s="188">
        <v>579853714</v>
      </c>
      <c r="AN49" s="188">
        <v>0</v>
      </c>
      <c r="AO49" s="188">
        <v>1096143768</v>
      </c>
      <c r="AP49" s="188">
        <v>0</v>
      </c>
      <c r="AQ49" s="188">
        <v>536471809</v>
      </c>
      <c r="AR49" s="188">
        <v>0</v>
      </c>
      <c r="AS49" s="188">
        <v>1093023844</v>
      </c>
      <c r="AT49" s="188">
        <v>0</v>
      </c>
      <c r="AU49" s="188">
        <v>540837241</v>
      </c>
      <c r="AV49" s="188">
        <v>0</v>
      </c>
      <c r="AW49" s="188">
        <v>1565741427</v>
      </c>
      <c r="AX49" s="188">
        <v>1293820003</v>
      </c>
      <c r="AY49" s="188">
        <v>916200274</v>
      </c>
      <c r="AZ49" s="188">
        <v>504119199</v>
      </c>
      <c r="BA49" s="188">
        <v>1221156417</v>
      </c>
      <c r="BB49" s="188">
        <v>764430938.20000005</v>
      </c>
      <c r="BC49" s="188">
        <v>414714313</v>
      </c>
      <c r="BD49" s="188">
        <v>211183270</v>
      </c>
      <c r="BE49" s="188">
        <v>711936782</v>
      </c>
      <c r="BF49" s="188">
        <v>514992427.41000003</v>
      </c>
      <c r="BG49" s="188">
        <v>333154416.35000002</v>
      </c>
      <c r="BH49" s="188">
        <v>151576011.08000001</v>
      </c>
      <c r="BI49" s="188">
        <v>614559213</v>
      </c>
      <c r="BJ49" s="188">
        <v>414915940.26999998</v>
      </c>
      <c r="BK49" s="188">
        <v>277321185.56999999</v>
      </c>
      <c r="BL49" s="188">
        <v>112488230.64</v>
      </c>
      <c r="BM49" s="188">
        <v>134939692</v>
      </c>
      <c r="BN49" s="188">
        <v>66050526.939999998</v>
      </c>
      <c r="BO49" s="188">
        <v>60604503</v>
      </c>
      <c r="BP49" s="188">
        <v>30569773.710000001</v>
      </c>
      <c r="BQ49" s="188">
        <v>43994685</v>
      </c>
      <c r="BR49" s="188">
        <v>18120442</v>
      </c>
      <c r="BS49" s="188">
        <v>28873751</v>
      </c>
      <c r="BT49" s="188">
        <v>15701000</v>
      </c>
      <c r="BU49" s="188">
        <v>0</v>
      </c>
    </row>
    <row r="50" spans="1:73" x14ac:dyDescent="0.25">
      <c r="A50" s="188" t="s">
        <v>264</v>
      </c>
      <c r="B50" s="188">
        <v>0</v>
      </c>
      <c r="C50" s="188">
        <v>258521192</v>
      </c>
      <c r="D50" s="188">
        <v>0</v>
      </c>
      <c r="E50" s="188">
        <v>283359395</v>
      </c>
      <c r="F50" s="188">
        <v>0</v>
      </c>
      <c r="G50" s="188">
        <v>143041546</v>
      </c>
      <c r="H50" s="188">
        <v>0</v>
      </c>
      <c r="I50" s="188">
        <v>263565131</v>
      </c>
      <c r="J50" s="188">
        <v>0</v>
      </c>
      <c r="K50" s="188">
        <v>122450569</v>
      </c>
      <c r="L50" s="188">
        <v>0</v>
      </c>
      <c r="M50" s="188">
        <v>239631840</v>
      </c>
      <c r="N50" s="188">
        <v>0</v>
      </c>
      <c r="O50" s="188">
        <v>122743131</v>
      </c>
      <c r="P50" s="188">
        <v>0</v>
      </c>
      <c r="Q50" s="188">
        <v>201846766</v>
      </c>
      <c r="R50" s="188">
        <v>0</v>
      </c>
      <c r="S50" s="188">
        <v>105142402</v>
      </c>
      <c r="T50" s="188">
        <v>0</v>
      </c>
      <c r="U50" s="188">
        <v>180124620</v>
      </c>
      <c r="V50" s="188">
        <v>0</v>
      </c>
      <c r="W50" s="188">
        <v>67677116</v>
      </c>
      <c r="X50" s="188">
        <v>0</v>
      </c>
      <c r="Y50" s="188">
        <v>125873106</v>
      </c>
      <c r="Z50" s="188">
        <v>0</v>
      </c>
      <c r="AA50" s="188">
        <v>61395795</v>
      </c>
      <c r="AB50" s="188">
        <v>0</v>
      </c>
      <c r="AC50" s="188">
        <v>96126570</v>
      </c>
      <c r="AD50" s="188">
        <v>0</v>
      </c>
      <c r="AE50" s="188">
        <v>40038496</v>
      </c>
      <c r="AF50" s="188">
        <v>0</v>
      </c>
      <c r="AG50" s="188">
        <v>68612026</v>
      </c>
      <c r="AH50" s="188">
        <v>0</v>
      </c>
      <c r="AI50" s="188">
        <v>31174676</v>
      </c>
      <c r="AJ50" s="188">
        <v>0</v>
      </c>
      <c r="AK50" s="188">
        <v>55751821</v>
      </c>
      <c r="AL50" s="188">
        <v>0</v>
      </c>
      <c r="AM50" s="188">
        <v>26851439</v>
      </c>
      <c r="AN50" s="188">
        <v>0</v>
      </c>
      <c r="AO50" s="188">
        <v>52222791</v>
      </c>
      <c r="AP50" s="188">
        <v>0</v>
      </c>
      <c r="AQ50" s="188">
        <v>25966451</v>
      </c>
      <c r="AR50" s="188">
        <v>0</v>
      </c>
      <c r="AS50" s="188">
        <v>51729826</v>
      </c>
      <c r="AT50" s="188">
        <v>0</v>
      </c>
      <c r="AU50" s="188">
        <v>25873685</v>
      </c>
      <c r="AV50" s="188">
        <v>0</v>
      </c>
      <c r="AW50" s="188">
        <v>55393375</v>
      </c>
      <c r="AX50" s="188">
        <v>31235927</v>
      </c>
      <c r="AY50" s="188">
        <v>20823951</v>
      </c>
      <c r="AZ50" s="188">
        <v>8368458</v>
      </c>
      <c r="BA50" s="188">
        <v>31044970</v>
      </c>
      <c r="BB50" s="188">
        <v>14488382.41</v>
      </c>
      <c r="BC50" s="188">
        <v>11480708</v>
      </c>
      <c r="BD50" s="188">
        <v>4420852</v>
      </c>
      <c r="BE50" s="188">
        <v>27596735</v>
      </c>
      <c r="BF50" s="188">
        <v>12821123.470000001</v>
      </c>
      <c r="BG50" s="188">
        <v>10207676.84</v>
      </c>
      <c r="BH50" s="188">
        <v>6777796.5899999999</v>
      </c>
      <c r="BI50" s="188">
        <v>20582387</v>
      </c>
      <c r="BJ50" s="188">
        <v>31992943.809999999</v>
      </c>
      <c r="BK50" s="188">
        <v>31914188.210000001</v>
      </c>
      <c r="BL50" s="188">
        <v>6374301.4199999999</v>
      </c>
      <c r="BM50" s="188">
        <v>13330391</v>
      </c>
      <c r="BN50" s="188">
        <v>6905802.79</v>
      </c>
      <c r="BO50" s="188">
        <v>4233921</v>
      </c>
      <c r="BP50" s="188">
        <v>1400782.34</v>
      </c>
      <c r="BQ50" s="188">
        <v>6695789</v>
      </c>
      <c r="BR50" s="188">
        <v>3643372</v>
      </c>
      <c r="BS50" s="188">
        <v>3672493</v>
      </c>
      <c r="BT50" s="188">
        <v>-120000</v>
      </c>
      <c r="BU50" s="188">
        <v>0</v>
      </c>
    </row>
    <row r="51" spans="1:73" x14ac:dyDescent="0.25">
      <c r="A51" s="188" t="s">
        <v>265</v>
      </c>
      <c r="B51" s="188">
        <v>0</v>
      </c>
      <c r="C51" s="188">
        <v>49953934</v>
      </c>
      <c r="D51" s="188">
        <v>0</v>
      </c>
      <c r="E51" s="188">
        <v>78774292</v>
      </c>
      <c r="F51" s="188">
        <v>0</v>
      </c>
      <c r="G51" s="188">
        <v>42667113</v>
      </c>
      <c r="H51" s="188">
        <v>0</v>
      </c>
      <c r="I51" s="188">
        <v>66800461</v>
      </c>
      <c r="J51" s="188">
        <v>0</v>
      </c>
      <c r="K51" s="188">
        <v>30360640</v>
      </c>
      <c r="L51" s="188">
        <v>0</v>
      </c>
      <c r="M51" s="188">
        <v>56193811</v>
      </c>
      <c r="N51" s="188">
        <v>0</v>
      </c>
      <c r="O51" s="188">
        <v>47685498</v>
      </c>
      <c r="P51" s="188">
        <v>0</v>
      </c>
      <c r="Q51" s="188">
        <v>30155694</v>
      </c>
      <c r="R51" s="188">
        <v>0</v>
      </c>
      <c r="S51" s="188">
        <v>23631886</v>
      </c>
      <c r="T51" s="188">
        <v>0</v>
      </c>
      <c r="U51" s="188">
        <v>36466006</v>
      </c>
      <c r="V51" s="188">
        <v>0</v>
      </c>
      <c r="W51" s="188">
        <v>14394130</v>
      </c>
      <c r="X51" s="188">
        <v>0</v>
      </c>
      <c r="Y51" s="188">
        <v>25388492</v>
      </c>
      <c r="Z51" s="188">
        <v>0</v>
      </c>
      <c r="AA51" s="188">
        <v>9563362</v>
      </c>
      <c r="AB51" s="188">
        <v>0</v>
      </c>
      <c r="AC51" s="188">
        <v>12337685</v>
      </c>
      <c r="AD51" s="188">
        <v>0</v>
      </c>
      <c r="AE51" s="188">
        <v>7019080</v>
      </c>
      <c r="AF51" s="188">
        <v>0</v>
      </c>
      <c r="AG51" s="188">
        <v>6373241</v>
      </c>
      <c r="AH51" s="188">
        <v>0</v>
      </c>
      <c r="AI51" s="188">
        <v>2439423</v>
      </c>
      <c r="AJ51" s="188">
        <v>0</v>
      </c>
      <c r="AK51" s="188">
        <v>4093637</v>
      </c>
      <c r="AL51" s="188">
        <v>0</v>
      </c>
      <c r="AM51" s="188">
        <v>1929657</v>
      </c>
      <c r="AN51" s="188">
        <v>0</v>
      </c>
      <c r="AO51" s="188">
        <v>4436020</v>
      </c>
      <c r="AP51" s="188">
        <v>0</v>
      </c>
      <c r="AQ51" s="188">
        <v>2750760</v>
      </c>
      <c r="AR51" s="188">
        <v>0</v>
      </c>
      <c r="AS51" s="188">
        <v>3986830</v>
      </c>
      <c r="AT51" s="188">
        <v>0</v>
      </c>
      <c r="AU51" s="188">
        <v>1720893</v>
      </c>
      <c r="AV51" s="188">
        <v>0</v>
      </c>
      <c r="AW51" s="188">
        <v>13520850</v>
      </c>
      <c r="AX51" s="188">
        <v>9857576</v>
      </c>
      <c r="AY51" s="188">
        <v>2428690</v>
      </c>
      <c r="AZ51" s="188">
        <v>2051992</v>
      </c>
      <c r="BA51" s="188">
        <v>5393661</v>
      </c>
      <c r="BB51" s="188">
        <v>5287891.9400000004</v>
      </c>
      <c r="BC51" s="188">
        <v>3449955</v>
      </c>
      <c r="BD51" s="188">
        <v>290957</v>
      </c>
      <c r="BE51" s="188">
        <v>635148</v>
      </c>
      <c r="BF51" s="188">
        <v>514457.12</v>
      </c>
      <c r="BG51" s="188">
        <v>306814.5</v>
      </c>
      <c r="BH51" s="188">
        <v>1610901.75</v>
      </c>
      <c r="BI51" s="188">
        <v>771503</v>
      </c>
      <c r="BJ51" s="188">
        <v>6229760.2000000002</v>
      </c>
      <c r="BK51" s="188">
        <v>5639760.2000000002</v>
      </c>
      <c r="BL51" s="188">
        <v>0</v>
      </c>
      <c r="BM51" s="188">
        <v>7953461</v>
      </c>
      <c r="BN51" s="188">
        <v>3712499.32</v>
      </c>
      <c r="BO51" s="188">
        <v>28969992</v>
      </c>
      <c r="BP51" s="188">
        <v>1599692.9</v>
      </c>
      <c r="BQ51" s="188">
        <v>0</v>
      </c>
      <c r="BR51" s="188">
        <v>0</v>
      </c>
      <c r="BS51" s="188">
        <v>0</v>
      </c>
      <c r="BT51" s="188">
        <v>0</v>
      </c>
      <c r="BU51" s="188">
        <v>0</v>
      </c>
    </row>
    <row r="52" spans="1:73" x14ac:dyDescent="0.25">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688690</v>
      </c>
      <c r="AX52" s="188">
        <v>-3363381</v>
      </c>
      <c r="AY52" s="188">
        <v>-425648</v>
      </c>
      <c r="AZ52" s="188">
        <v>-5587914</v>
      </c>
      <c r="BA52" s="188">
        <v>950508</v>
      </c>
      <c r="BB52" s="188">
        <v>-25194860</v>
      </c>
      <c r="BC52" s="188">
        <v>-21106351</v>
      </c>
      <c r="BD52" s="188">
        <v>-1220998</v>
      </c>
      <c r="BE52" s="188">
        <v>-7560067</v>
      </c>
      <c r="BF52" s="188">
        <v>-8091542.6699999999</v>
      </c>
      <c r="BG52" s="188">
        <v>6340628.6900000004</v>
      </c>
      <c r="BH52" s="188">
        <v>5070206.17</v>
      </c>
      <c r="BI52" s="188">
        <v>-6345666</v>
      </c>
      <c r="BJ52" s="188">
        <v>-6445212.8799999999</v>
      </c>
      <c r="BK52" s="188">
        <v>-2133651.52</v>
      </c>
      <c r="BL52" s="188">
        <v>-3683256.73</v>
      </c>
      <c r="BM52" s="188">
        <v>-1199835</v>
      </c>
      <c r="BN52" s="188">
        <v>-4074812.4</v>
      </c>
      <c r="BO52" s="188">
        <v>-1172277</v>
      </c>
      <c r="BP52" s="188">
        <v>720253.67</v>
      </c>
      <c r="BQ52" s="188">
        <v>-1534541</v>
      </c>
      <c r="BR52" s="188">
        <v>0</v>
      </c>
      <c r="BS52" s="188">
        <v>0</v>
      </c>
      <c r="BT52" s="188">
        <v>0</v>
      </c>
      <c r="BU52" s="188">
        <v>0</v>
      </c>
    </row>
    <row r="53" spans="1:73" x14ac:dyDescent="0.25">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-37219846</v>
      </c>
      <c r="AX53" s="188">
        <v>8479850</v>
      </c>
      <c r="AY53" s="188">
        <v>-5314072</v>
      </c>
      <c r="AZ53" s="188">
        <v>31296654</v>
      </c>
      <c r="BA53" s="188">
        <v>36244360</v>
      </c>
      <c r="BB53" s="188">
        <v>44520763</v>
      </c>
      <c r="BC53" s="188">
        <v>42219671</v>
      </c>
      <c r="BD53" s="188">
        <v>-26958534</v>
      </c>
      <c r="BE53" s="188">
        <v>-7891581</v>
      </c>
      <c r="BF53" s="188">
        <v>3064541.11</v>
      </c>
      <c r="BG53" s="188">
        <v>-9749821.1199999992</v>
      </c>
      <c r="BH53" s="188">
        <v>-17296778.949999999</v>
      </c>
      <c r="BI53" s="188">
        <v>59348260</v>
      </c>
      <c r="BJ53" s="188">
        <v>39907996.509999998</v>
      </c>
      <c r="BK53" s="188">
        <v>42220714.219999999</v>
      </c>
      <c r="BL53" s="188">
        <v>106407914.37</v>
      </c>
      <c r="BM53" s="188">
        <v>11284476</v>
      </c>
      <c r="BN53" s="188">
        <v>43087952</v>
      </c>
      <c r="BO53" s="188">
        <v>29038191</v>
      </c>
      <c r="BP53" s="188">
        <v>27885178.77</v>
      </c>
      <c r="BQ53" s="188">
        <v>20427933</v>
      </c>
      <c r="BR53" s="188">
        <v>0</v>
      </c>
      <c r="BS53" s="188">
        <v>0</v>
      </c>
      <c r="BT53" s="188">
        <v>0</v>
      </c>
      <c r="BU53" s="188">
        <v>0</v>
      </c>
    </row>
    <row r="54" spans="1:73" x14ac:dyDescent="0.25">
      <c r="A54" s="188" t="s">
        <v>268</v>
      </c>
      <c r="B54" s="188">
        <v>0</v>
      </c>
      <c r="C54" s="188">
        <v>421587</v>
      </c>
      <c r="D54" s="188">
        <v>0</v>
      </c>
      <c r="E54" s="188">
        <v>87930698</v>
      </c>
      <c r="F54" s="188">
        <v>0</v>
      </c>
      <c r="G54" s="188">
        <v>-9952741</v>
      </c>
      <c r="H54" s="188">
        <v>0</v>
      </c>
      <c r="I54" s="188">
        <v>52862289</v>
      </c>
      <c r="J54" s="188">
        <v>0</v>
      </c>
      <c r="K54" s="188">
        <v>-3840860</v>
      </c>
      <c r="L54" s="188">
        <v>0</v>
      </c>
      <c r="M54" s="188">
        <v>-3026374</v>
      </c>
      <c r="N54" s="188">
        <v>0</v>
      </c>
      <c r="O54" s="188">
        <v>7713598</v>
      </c>
      <c r="P54" s="188">
        <v>0</v>
      </c>
      <c r="Q54" s="188">
        <v>-3369650</v>
      </c>
      <c r="R54" s="188">
        <v>0</v>
      </c>
      <c r="S54" s="188">
        <v>-4215514</v>
      </c>
      <c r="T54" s="188">
        <v>0</v>
      </c>
      <c r="U54" s="188">
        <v>-1232151</v>
      </c>
      <c r="V54" s="188">
        <v>0</v>
      </c>
      <c r="W54" s="188">
        <v>62027597</v>
      </c>
      <c r="X54" s="188">
        <v>0</v>
      </c>
      <c r="Y54" s="188">
        <v>-2917346</v>
      </c>
      <c r="Z54" s="188">
        <v>0</v>
      </c>
      <c r="AA54" s="188">
        <v>-8537025</v>
      </c>
      <c r="AB54" s="188">
        <v>0</v>
      </c>
      <c r="AC54" s="188">
        <v>-13181161</v>
      </c>
      <c r="AD54" s="188">
        <v>0</v>
      </c>
      <c r="AE54" s="188">
        <v>131606</v>
      </c>
      <c r="AF54" s="188">
        <v>0</v>
      </c>
      <c r="AG54" s="188">
        <v>-3683496</v>
      </c>
      <c r="AH54" s="188">
        <v>0</v>
      </c>
      <c r="AI54" s="188">
        <v>1821295</v>
      </c>
      <c r="AJ54" s="188">
        <v>0</v>
      </c>
      <c r="AK54" s="188">
        <v>-6902206</v>
      </c>
      <c r="AL54" s="188">
        <v>0</v>
      </c>
      <c r="AM54" s="188">
        <v>-617849</v>
      </c>
      <c r="AN54" s="188">
        <v>0</v>
      </c>
      <c r="AO54" s="188">
        <v>-16507622</v>
      </c>
      <c r="AP54" s="188">
        <v>0</v>
      </c>
      <c r="AQ54" s="188">
        <v>25967</v>
      </c>
      <c r="AR54" s="188">
        <v>0</v>
      </c>
      <c r="AS54" s="188">
        <v>-23098476</v>
      </c>
      <c r="AT54" s="188">
        <v>0</v>
      </c>
      <c r="AU54" s="188">
        <v>-1106910</v>
      </c>
      <c r="AV54" s="188">
        <v>0</v>
      </c>
      <c r="AW54" s="188">
        <v>-25405331</v>
      </c>
      <c r="AX54" s="188">
        <v>-23113132</v>
      </c>
      <c r="AY54" s="188">
        <v>29345199</v>
      </c>
      <c r="AZ54" s="188">
        <v>6898</v>
      </c>
      <c r="BA54" s="188">
        <v>-6847925</v>
      </c>
      <c r="BB54" s="188">
        <v>715999.5</v>
      </c>
      <c r="BC54" s="188">
        <v>90028</v>
      </c>
      <c r="BD54" s="188">
        <v>-16881240</v>
      </c>
      <c r="BE54" s="188">
        <v>334044</v>
      </c>
      <c r="BF54" s="188">
        <v>107956.36</v>
      </c>
      <c r="BG54" s="188">
        <v>79956.36</v>
      </c>
      <c r="BH54" s="188">
        <v>-23256.2</v>
      </c>
      <c r="BI54" s="188">
        <v>6522835</v>
      </c>
      <c r="BJ54" s="188">
        <v>883887.36</v>
      </c>
      <c r="BK54" s="188">
        <v>895591.96</v>
      </c>
      <c r="BL54" s="188">
        <v>9462.94</v>
      </c>
      <c r="BM54" s="188">
        <v>187634</v>
      </c>
      <c r="BN54" s="188">
        <v>-1346.91</v>
      </c>
      <c r="BO54" s="188">
        <v>427992</v>
      </c>
      <c r="BP54" s="188">
        <v>204894.57</v>
      </c>
      <c r="BQ54" s="188">
        <v>1860140</v>
      </c>
      <c r="BR54" s="188">
        <v>-44751</v>
      </c>
      <c r="BS54" s="188">
        <v>1537003</v>
      </c>
      <c r="BT54" s="188">
        <v>380000</v>
      </c>
      <c r="BU54" s="188">
        <v>0</v>
      </c>
    </row>
    <row r="55" spans="1:73" x14ac:dyDescent="0.25">
      <c r="A55" s="188" t="s">
        <v>269</v>
      </c>
      <c r="B55" s="188">
        <v>0</v>
      </c>
      <c r="C55" s="188">
        <v>329303</v>
      </c>
      <c r="D55" s="188">
        <v>0</v>
      </c>
      <c r="E55" s="188">
        <v>0</v>
      </c>
      <c r="F55" s="188">
        <v>0</v>
      </c>
      <c r="G55" s="188">
        <v>-294151</v>
      </c>
      <c r="H55" s="188">
        <v>0</v>
      </c>
      <c r="I55" s="188">
        <v>0</v>
      </c>
      <c r="J55" s="188">
        <v>0</v>
      </c>
      <c r="K55" s="188">
        <v>-684336</v>
      </c>
      <c r="L55" s="188">
        <v>0</v>
      </c>
      <c r="M55" s="188">
        <v>11376698</v>
      </c>
      <c r="N55" s="188">
        <v>0</v>
      </c>
      <c r="O55" s="188">
        <v>-731624</v>
      </c>
      <c r="P55" s="188">
        <v>0</v>
      </c>
      <c r="Q55" s="188">
        <v>18945517</v>
      </c>
      <c r="R55" s="188">
        <v>0</v>
      </c>
      <c r="S55" s="188">
        <v>-200112</v>
      </c>
      <c r="T55" s="188">
        <v>0</v>
      </c>
      <c r="U55" s="188">
        <v>113954871</v>
      </c>
      <c r="V55" s="188">
        <v>0</v>
      </c>
      <c r="W55" s="188">
        <v>539633</v>
      </c>
      <c r="X55" s="188">
        <v>0</v>
      </c>
      <c r="Y55" s="188">
        <v>44632767</v>
      </c>
      <c r="Z55" s="188">
        <v>0</v>
      </c>
      <c r="AA55" s="188">
        <v>-3064</v>
      </c>
      <c r="AB55" s="188">
        <v>0</v>
      </c>
      <c r="AC55" s="188">
        <v>2070499</v>
      </c>
      <c r="AD55" s="188">
        <v>0</v>
      </c>
      <c r="AE55" s="188">
        <v>0</v>
      </c>
      <c r="AF55" s="188">
        <v>0</v>
      </c>
      <c r="AG55" s="188">
        <v>11876443</v>
      </c>
      <c r="AH55" s="188">
        <v>0</v>
      </c>
      <c r="AI55" s="188">
        <v>0</v>
      </c>
      <c r="AJ55" s="188">
        <v>0</v>
      </c>
      <c r="AK55" s="188">
        <v>449979</v>
      </c>
      <c r="AL55" s="188">
        <v>0</v>
      </c>
      <c r="AM55" s="188">
        <v>0</v>
      </c>
      <c r="AN55" s="188">
        <v>0</v>
      </c>
      <c r="AO55" s="188">
        <v>0</v>
      </c>
      <c r="AP55" s="188">
        <v>0</v>
      </c>
      <c r="AQ55" s="188">
        <v>0</v>
      </c>
      <c r="AR55" s="188">
        <v>0</v>
      </c>
      <c r="AS55" s="188">
        <v>3078825</v>
      </c>
      <c r="AT55" s="188">
        <v>0</v>
      </c>
      <c r="AU55" s="188">
        <v>0</v>
      </c>
      <c r="AV55" s="188">
        <v>0</v>
      </c>
      <c r="AW55" s="188">
        <v>2905675</v>
      </c>
      <c r="AX55" s="188">
        <v>921227</v>
      </c>
      <c r="AY55" s="188">
        <v>920787</v>
      </c>
      <c r="AZ55" s="188">
        <v>593760</v>
      </c>
      <c r="BA55" s="188">
        <v>1150954</v>
      </c>
      <c r="BB55" s="188">
        <v>2152113.64</v>
      </c>
      <c r="BC55" s="188">
        <v>43035</v>
      </c>
      <c r="BD55" s="188">
        <v>18990305</v>
      </c>
      <c r="BE55" s="188">
        <v>166248</v>
      </c>
      <c r="BF55" s="188">
        <v>828695.79</v>
      </c>
      <c r="BG55" s="188">
        <v>828695.79</v>
      </c>
      <c r="BH55" s="188">
        <v>0</v>
      </c>
      <c r="BI55" s="188">
        <v>0</v>
      </c>
      <c r="BJ55" s="188">
        <v>1416928.8</v>
      </c>
      <c r="BK55" s="188">
        <v>1413828.8</v>
      </c>
      <c r="BL55" s="188">
        <v>5875.42</v>
      </c>
      <c r="BM55" s="188">
        <v>0</v>
      </c>
      <c r="BN55" s="188">
        <v>0</v>
      </c>
      <c r="BO55" s="188">
        <v>0</v>
      </c>
      <c r="BP55" s="188">
        <v>0</v>
      </c>
      <c r="BQ55" s="188">
        <v>0</v>
      </c>
      <c r="BR55" s="188">
        <v>0</v>
      </c>
      <c r="BS55" s="188">
        <v>0</v>
      </c>
      <c r="BT55" s="188">
        <v>0</v>
      </c>
      <c r="BU55" s="188">
        <v>0</v>
      </c>
    </row>
    <row r="56" spans="1:73" x14ac:dyDescent="0.25">
      <c r="A56" s="188" t="s">
        <v>270</v>
      </c>
      <c r="B56" s="188">
        <v>0</v>
      </c>
      <c r="C56" s="188">
        <v>0</v>
      </c>
      <c r="D56" s="188">
        <v>0</v>
      </c>
      <c r="E56" s="188">
        <v>-32048211</v>
      </c>
      <c r="F56" s="188">
        <v>0</v>
      </c>
      <c r="G56" s="188">
        <v>0</v>
      </c>
      <c r="H56" s="188">
        <v>0</v>
      </c>
      <c r="I56" s="188">
        <v>0</v>
      </c>
      <c r="J56" s="188">
        <v>0</v>
      </c>
      <c r="K56" s="188">
        <v>-4623937</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67794013</v>
      </c>
      <c r="AD56" s="188">
        <v>0</v>
      </c>
      <c r="AE56" s="188">
        <v>8670137</v>
      </c>
      <c r="AF56" s="188">
        <v>0</v>
      </c>
      <c r="AG56" s="188">
        <v>-67794013</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c r="BS56" s="188">
        <v>0</v>
      </c>
      <c r="BT56" s="188">
        <v>0</v>
      </c>
      <c r="BU56" s="188">
        <v>0</v>
      </c>
    </row>
    <row r="57" spans="1:73" x14ac:dyDescent="0.25">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c r="BS57" s="188">
        <v>0</v>
      </c>
      <c r="BT57" s="188">
        <v>0</v>
      </c>
      <c r="BU57" s="188">
        <v>0</v>
      </c>
    </row>
    <row r="58" spans="1:73" x14ac:dyDescent="0.25">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c r="BH58" s="188">
        <v>0</v>
      </c>
      <c r="BI58" s="188">
        <v>0</v>
      </c>
      <c r="BJ58" s="188">
        <v>0</v>
      </c>
      <c r="BK58" s="188">
        <v>0</v>
      </c>
      <c r="BL58" s="188">
        <v>0</v>
      </c>
      <c r="BM58" s="188">
        <v>0</v>
      </c>
      <c r="BN58" s="188">
        <v>0</v>
      </c>
      <c r="BO58" s="188">
        <v>0</v>
      </c>
      <c r="BP58" s="188">
        <v>0</v>
      </c>
      <c r="BQ58" s="188">
        <v>0</v>
      </c>
      <c r="BR58" s="188">
        <v>0</v>
      </c>
      <c r="BS58" s="188">
        <v>0</v>
      </c>
      <c r="BT58" s="188">
        <v>0</v>
      </c>
      <c r="BU58" s="188">
        <v>0</v>
      </c>
    </row>
    <row r="59" spans="1:73" x14ac:dyDescent="0.25">
      <c r="A59" s="188" t="s">
        <v>197</v>
      </c>
      <c r="B59" s="188">
        <v>0</v>
      </c>
      <c r="C59" s="188">
        <v>1330319892</v>
      </c>
      <c r="D59" s="188">
        <v>0</v>
      </c>
      <c r="E59" s="188">
        <v>1446546521</v>
      </c>
      <c r="F59" s="188">
        <v>0</v>
      </c>
      <c r="G59" s="188">
        <v>1472353270</v>
      </c>
      <c r="H59" s="188">
        <v>0</v>
      </c>
      <c r="I59" s="188">
        <v>3054587745</v>
      </c>
      <c r="J59" s="188">
        <v>0</v>
      </c>
      <c r="K59" s="188">
        <v>1234879010</v>
      </c>
      <c r="L59" s="188">
        <v>0</v>
      </c>
      <c r="M59" s="188">
        <v>980021974</v>
      </c>
      <c r="N59" s="188">
        <v>0</v>
      </c>
      <c r="O59" s="188">
        <v>176341089</v>
      </c>
      <c r="P59" s="188">
        <v>0</v>
      </c>
      <c r="Q59" s="188">
        <v>-63223468</v>
      </c>
      <c r="R59" s="188">
        <v>0</v>
      </c>
      <c r="S59" s="188">
        <v>106739572</v>
      </c>
      <c r="T59" s="188">
        <v>0</v>
      </c>
      <c r="U59" s="188">
        <v>713994232</v>
      </c>
      <c r="V59" s="188">
        <v>0</v>
      </c>
      <c r="W59" s="188">
        <v>193412657</v>
      </c>
      <c r="X59" s="188">
        <v>0</v>
      </c>
      <c r="Y59" s="188">
        <v>868777186</v>
      </c>
      <c r="Z59" s="188">
        <v>0</v>
      </c>
      <c r="AA59" s="188">
        <v>121301724</v>
      </c>
      <c r="AB59" s="188">
        <v>0</v>
      </c>
      <c r="AC59" s="188">
        <v>3298833</v>
      </c>
      <c r="AD59" s="188">
        <v>0</v>
      </c>
      <c r="AE59" s="188">
        <v>-75281816</v>
      </c>
      <c r="AF59" s="188">
        <v>0</v>
      </c>
      <c r="AG59" s="188">
        <v>4227035</v>
      </c>
      <c r="AH59" s="188">
        <v>0</v>
      </c>
      <c r="AI59" s="188">
        <v>31624579</v>
      </c>
      <c r="AJ59" s="188">
        <v>0</v>
      </c>
      <c r="AK59" s="188">
        <v>43306385</v>
      </c>
      <c r="AL59" s="188">
        <v>0</v>
      </c>
      <c r="AM59" s="188">
        <v>63283810</v>
      </c>
      <c r="AN59" s="188">
        <v>0</v>
      </c>
      <c r="AO59" s="188">
        <v>108130630</v>
      </c>
      <c r="AP59" s="188">
        <v>0</v>
      </c>
      <c r="AQ59" s="188">
        <v>12684533</v>
      </c>
      <c r="AR59" s="188">
        <v>0</v>
      </c>
      <c r="AS59" s="188">
        <v>309445380</v>
      </c>
      <c r="AT59" s="188">
        <v>0</v>
      </c>
      <c r="AU59" s="188">
        <v>138641880</v>
      </c>
      <c r="AV59" s="188">
        <v>0</v>
      </c>
      <c r="AW59" s="188">
        <v>666844147</v>
      </c>
      <c r="AX59" s="188">
        <v>544461462</v>
      </c>
      <c r="AY59" s="188">
        <v>346310987</v>
      </c>
      <c r="AZ59" s="188">
        <v>116102838</v>
      </c>
      <c r="BA59" s="188">
        <v>461771456</v>
      </c>
      <c r="BB59" s="188">
        <v>274233392</v>
      </c>
      <c r="BC59" s="188">
        <v>170724742</v>
      </c>
      <c r="BD59" s="188">
        <v>48799241</v>
      </c>
      <c r="BE59" s="188">
        <v>13898998</v>
      </c>
      <c r="BF59" s="188">
        <v>62914082.600000001</v>
      </c>
      <c r="BG59" s="188">
        <v>36317209.140000001</v>
      </c>
      <c r="BH59" s="188">
        <v>21251538.93</v>
      </c>
      <c r="BI59" s="188">
        <v>262351790</v>
      </c>
      <c r="BJ59" s="188">
        <v>178836456</v>
      </c>
      <c r="BK59" s="188">
        <v>154474800.75</v>
      </c>
      <c r="BL59" s="188">
        <v>151161715.66999999</v>
      </c>
      <c r="BM59" s="188">
        <v>83842546</v>
      </c>
      <c r="BN59" s="188">
        <v>-31838535.34</v>
      </c>
      <c r="BO59" s="188">
        <v>20529527</v>
      </c>
      <c r="BP59" s="188">
        <v>8697017.1899999995</v>
      </c>
      <c r="BQ59" s="188">
        <v>27512579</v>
      </c>
      <c r="BR59" s="188">
        <v>9987623</v>
      </c>
      <c r="BS59" s="188">
        <v>13298283</v>
      </c>
      <c r="BT59" s="188">
        <v>12538000</v>
      </c>
      <c r="BU59" s="188">
        <v>0</v>
      </c>
    </row>
    <row r="60" spans="1:73" x14ac:dyDescent="0.25">
      <c r="A60" s="188" t="s">
        <v>273</v>
      </c>
      <c r="B60" s="188">
        <v>0</v>
      </c>
      <c r="C60" s="188">
        <v>-166924013</v>
      </c>
      <c r="D60" s="188">
        <v>0</v>
      </c>
      <c r="E60" s="188">
        <v>-115602683</v>
      </c>
      <c r="F60" s="188">
        <v>0</v>
      </c>
      <c r="G60" s="188">
        <v>-19162151</v>
      </c>
      <c r="H60" s="188">
        <v>0</v>
      </c>
      <c r="I60" s="188">
        <v>-151006609</v>
      </c>
      <c r="J60" s="188">
        <v>0</v>
      </c>
      <c r="K60" s="188">
        <v>-64994322</v>
      </c>
      <c r="L60" s="188">
        <v>0</v>
      </c>
      <c r="M60" s="188">
        <v>-187191686</v>
      </c>
      <c r="N60" s="188">
        <v>0</v>
      </c>
      <c r="O60" s="188">
        <v>-64659152</v>
      </c>
      <c r="P60" s="188">
        <v>0</v>
      </c>
      <c r="Q60" s="188">
        <v>-13447378</v>
      </c>
      <c r="R60" s="188">
        <v>0</v>
      </c>
      <c r="S60" s="188">
        <v>-6582590</v>
      </c>
      <c r="T60" s="188">
        <v>0</v>
      </c>
      <c r="U60" s="188">
        <v>-7600526</v>
      </c>
      <c r="V60" s="188">
        <v>0</v>
      </c>
      <c r="W60" s="188">
        <v>-1624989</v>
      </c>
      <c r="X60" s="188">
        <v>0</v>
      </c>
      <c r="Y60" s="188">
        <v>5475255</v>
      </c>
      <c r="Z60" s="188">
        <v>0</v>
      </c>
      <c r="AA60" s="188">
        <v>3752769</v>
      </c>
      <c r="AB60" s="188">
        <v>0</v>
      </c>
      <c r="AC60" s="188">
        <v>-4604475126</v>
      </c>
      <c r="AD60" s="188">
        <v>0</v>
      </c>
      <c r="AE60" s="188">
        <v>-597349</v>
      </c>
      <c r="AF60" s="188">
        <v>0</v>
      </c>
      <c r="AG60" s="188">
        <v>3317014</v>
      </c>
      <c r="AH60" s="188">
        <v>0</v>
      </c>
      <c r="AI60" s="188">
        <v>-5510513</v>
      </c>
      <c r="AJ60" s="188">
        <v>0</v>
      </c>
      <c r="AK60" s="188">
        <v>115557757</v>
      </c>
      <c r="AL60" s="188">
        <v>0</v>
      </c>
      <c r="AM60" s="188">
        <v>123767365</v>
      </c>
      <c r="AN60" s="188">
        <v>0</v>
      </c>
      <c r="AO60" s="188">
        <v>206027654</v>
      </c>
      <c r="AP60" s="188">
        <v>0</v>
      </c>
      <c r="AQ60" s="188">
        <v>-50906440</v>
      </c>
      <c r="AR60" s="188">
        <v>0</v>
      </c>
      <c r="AS60" s="188">
        <v>128315862</v>
      </c>
      <c r="AT60" s="188">
        <v>0</v>
      </c>
      <c r="AU60" s="188">
        <v>-221606916</v>
      </c>
      <c r="AV60" s="188">
        <v>0</v>
      </c>
      <c r="AW60" s="188">
        <v>-157168368</v>
      </c>
      <c r="AX60" s="188">
        <v>-138057057</v>
      </c>
      <c r="AY60" s="188">
        <v>-87479921</v>
      </c>
      <c r="AZ60" s="188">
        <v>-38948566</v>
      </c>
      <c r="BA60" s="188">
        <v>-113301589</v>
      </c>
      <c r="BB60" s="188">
        <v>-89939587</v>
      </c>
      <c r="BC60" s="188">
        <v>-66406176</v>
      </c>
      <c r="BD60" s="188">
        <v>-32739923</v>
      </c>
      <c r="BE60" s="188">
        <v>-286112046</v>
      </c>
      <c r="BF60" s="188">
        <v>-206559792.81999999</v>
      </c>
      <c r="BG60" s="188">
        <v>-165179911.53</v>
      </c>
      <c r="BH60" s="188">
        <v>-78125625.650000006</v>
      </c>
      <c r="BI60" s="188">
        <v>-53204161</v>
      </c>
      <c r="BJ60" s="188">
        <v>-4681908.37</v>
      </c>
      <c r="BK60" s="188">
        <v>-6034700.5800000001</v>
      </c>
      <c r="BL60" s="188">
        <v>-15558077.91</v>
      </c>
      <c r="BM60" s="188">
        <v>-65379188</v>
      </c>
      <c r="BN60" s="188">
        <v>-17808258.879999999</v>
      </c>
      <c r="BO60" s="188">
        <v>15965737</v>
      </c>
      <c r="BP60" s="188">
        <v>-10466286.75</v>
      </c>
      <c r="BQ60" s="188">
        <v>-62735196</v>
      </c>
      <c r="BR60" s="188">
        <v>-31267187</v>
      </c>
      <c r="BS60" s="188">
        <v>-52262841</v>
      </c>
      <c r="BT60" s="188">
        <v>-40708000</v>
      </c>
      <c r="BU60" s="188">
        <v>0</v>
      </c>
    </row>
    <row r="61" spans="1:73" x14ac:dyDescent="0.25">
      <c r="A61" s="188" t="s">
        <v>274</v>
      </c>
      <c r="B61" s="188">
        <v>0</v>
      </c>
      <c r="C61" s="188">
        <v>-70086012</v>
      </c>
      <c r="D61" s="188">
        <v>0</v>
      </c>
      <c r="E61" s="188">
        <v>40282908</v>
      </c>
      <c r="F61" s="188">
        <v>0</v>
      </c>
      <c r="G61" s="188">
        <v>-3403943</v>
      </c>
      <c r="H61" s="188">
        <v>0</v>
      </c>
      <c r="I61" s="188">
        <v>-28829528</v>
      </c>
      <c r="J61" s="188">
        <v>0</v>
      </c>
      <c r="K61" s="188">
        <v>16083984</v>
      </c>
      <c r="L61" s="188">
        <v>0</v>
      </c>
      <c r="M61" s="188">
        <v>21674405</v>
      </c>
      <c r="N61" s="188">
        <v>0</v>
      </c>
      <c r="O61" s="188">
        <v>13203777</v>
      </c>
      <c r="P61" s="188">
        <v>0</v>
      </c>
      <c r="Q61" s="188">
        <v>21701047</v>
      </c>
      <c r="R61" s="188">
        <v>0</v>
      </c>
      <c r="S61" s="188">
        <v>147688</v>
      </c>
      <c r="T61" s="188">
        <v>0</v>
      </c>
      <c r="U61" s="188">
        <v>-112779716</v>
      </c>
      <c r="V61" s="188">
        <v>0</v>
      </c>
      <c r="W61" s="188">
        <v>185021</v>
      </c>
      <c r="X61" s="188">
        <v>0</v>
      </c>
      <c r="Y61" s="188">
        <v>191132</v>
      </c>
      <c r="Z61" s="188">
        <v>0</v>
      </c>
      <c r="AA61" s="188">
        <v>-394003</v>
      </c>
      <c r="AB61" s="188">
        <v>0</v>
      </c>
      <c r="AC61" s="188">
        <v>3161078</v>
      </c>
      <c r="AD61" s="188">
        <v>0</v>
      </c>
      <c r="AE61" s="188">
        <v>932265</v>
      </c>
      <c r="AF61" s="188">
        <v>0</v>
      </c>
      <c r="AG61" s="188">
        <v>2343508</v>
      </c>
      <c r="AH61" s="188">
        <v>0</v>
      </c>
      <c r="AI61" s="188">
        <v>1335105</v>
      </c>
      <c r="AJ61" s="188">
        <v>0</v>
      </c>
      <c r="AK61" s="188">
        <v>-48383329</v>
      </c>
      <c r="AL61" s="188">
        <v>0</v>
      </c>
      <c r="AM61" s="188">
        <v>747374</v>
      </c>
      <c r="AN61" s="188">
        <v>0</v>
      </c>
      <c r="AO61" s="188">
        <v>71319727</v>
      </c>
      <c r="AP61" s="188">
        <v>0</v>
      </c>
      <c r="AQ61" s="188">
        <v>32314297</v>
      </c>
      <c r="AR61" s="188">
        <v>0</v>
      </c>
      <c r="AS61" s="188">
        <v>-74501318</v>
      </c>
      <c r="AT61" s="188">
        <v>0</v>
      </c>
      <c r="AU61" s="188">
        <v>6895379</v>
      </c>
      <c r="AV61" s="188">
        <v>0</v>
      </c>
      <c r="AW61" s="188">
        <v>0</v>
      </c>
      <c r="AX61" s="188">
        <v>0</v>
      </c>
      <c r="AY61" s="188">
        <v>0</v>
      </c>
      <c r="AZ61" s="188">
        <v>0</v>
      </c>
      <c r="BA61" s="188">
        <v>0</v>
      </c>
      <c r="BB61" s="188">
        <v>0</v>
      </c>
      <c r="BC61" s="188">
        <v>0</v>
      </c>
      <c r="BD61" s="188">
        <v>0</v>
      </c>
      <c r="BE61" s="188">
        <v>0</v>
      </c>
      <c r="BF61" s="188">
        <v>0</v>
      </c>
      <c r="BG61" s="188">
        <v>0</v>
      </c>
      <c r="BH61" s="188">
        <v>0</v>
      </c>
      <c r="BI61" s="188">
        <v>0</v>
      </c>
      <c r="BJ61" s="188">
        <v>0</v>
      </c>
      <c r="BK61" s="188">
        <v>0</v>
      </c>
      <c r="BL61" s="188">
        <v>0</v>
      </c>
      <c r="BM61" s="188">
        <v>0</v>
      </c>
      <c r="BN61" s="188">
        <v>0</v>
      </c>
      <c r="BO61" s="188">
        <v>0</v>
      </c>
      <c r="BP61" s="188">
        <v>0</v>
      </c>
      <c r="BQ61" s="188">
        <v>0</v>
      </c>
      <c r="BR61" s="188">
        <v>0</v>
      </c>
      <c r="BS61" s="188">
        <v>0</v>
      </c>
      <c r="BT61" s="188">
        <v>0</v>
      </c>
      <c r="BU61" s="188">
        <v>0</v>
      </c>
    </row>
    <row r="62" spans="1:73" x14ac:dyDescent="0.25">
      <c r="A62" s="188" t="s">
        <v>275</v>
      </c>
      <c r="B62" s="188">
        <v>0</v>
      </c>
      <c r="C62" s="188">
        <v>723822985</v>
      </c>
      <c r="D62" s="188">
        <v>0</v>
      </c>
      <c r="E62" s="188">
        <v>93600350</v>
      </c>
      <c r="F62" s="188">
        <v>0</v>
      </c>
      <c r="G62" s="188">
        <v>20250949</v>
      </c>
      <c r="H62" s="188">
        <v>0</v>
      </c>
      <c r="I62" s="188">
        <v>3944619</v>
      </c>
      <c r="J62" s="188">
        <v>0</v>
      </c>
      <c r="K62" s="188">
        <v>14474731</v>
      </c>
      <c r="L62" s="188">
        <v>0</v>
      </c>
      <c r="M62" s="188">
        <v>32778710</v>
      </c>
      <c r="N62" s="188">
        <v>0</v>
      </c>
      <c r="O62" s="188">
        <v>18249405</v>
      </c>
      <c r="P62" s="188">
        <v>0</v>
      </c>
      <c r="Q62" s="188">
        <v>-37225973</v>
      </c>
      <c r="R62" s="188">
        <v>0</v>
      </c>
      <c r="S62" s="188">
        <v>-806973</v>
      </c>
      <c r="T62" s="188">
        <v>0</v>
      </c>
      <c r="U62" s="188">
        <v>-6884788</v>
      </c>
      <c r="V62" s="188">
        <v>0</v>
      </c>
      <c r="W62" s="188">
        <v>-3450540</v>
      </c>
      <c r="X62" s="188">
        <v>0</v>
      </c>
      <c r="Y62" s="188">
        <v>-25628133</v>
      </c>
      <c r="Z62" s="188">
        <v>0</v>
      </c>
      <c r="AA62" s="188">
        <v>-3603080</v>
      </c>
      <c r="AB62" s="188">
        <v>0</v>
      </c>
      <c r="AC62" s="188">
        <v>119657141</v>
      </c>
      <c r="AD62" s="188">
        <v>0</v>
      </c>
      <c r="AE62" s="188">
        <v>-5662259</v>
      </c>
      <c r="AF62" s="188">
        <v>0</v>
      </c>
      <c r="AG62" s="188">
        <v>4932705</v>
      </c>
      <c r="AH62" s="188">
        <v>0</v>
      </c>
      <c r="AI62" s="188">
        <v>-3820464</v>
      </c>
      <c r="AJ62" s="188">
        <v>0</v>
      </c>
      <c r="AK62" s="188">
        <v>0</v>
      </c>
      <c r="AL62" s="188">
        <v>0</v>
      </c>
      <c r="AM62" s="188">
        <v>0</v>
      </c>
      <c r="AN62" s="188">
        <v>0</v>
      </c>
      <c r="AO62" s="188">
        <v>-19333205</v>
      </c>
      <c r="AP62" s="188">
        <v>0</v>
      </c>
      <c r="AQ62" s="188">
        <v>-168463</v>
      </c>
      <c r="AR62" s="188">
        <v>0</v>
      </c>
      <c r="AS62" s="188">
        <v>19304931</v>
      </c>
      <c r="AT62" s="188">
        <v>0</v>
      </c>
      <c r="AU62" s="188">
        <v>0</v>
      </c>
      <c r="AV62" s="188">
        <v>0</v>
      </c>
      <c r="AW62" s="188">
        <v>-929249</v>
      </c>
      <c r="AX62" s="188">
        <v>0</v>
      </c>
      <c r="AY62" s="188">
        <v>0</v>
      </c>
      <c r="AZ62" s="188">
        <v>0</v>
      </c>
      <c r="BA62" s="188">
        <v>421672</v>
      </c>
      <c r="BB62" s="188">
        <v>0</v>
      </c>
      <c r="BC62" s="188">
        <v>-1150757</v>
      </c>
      <c r="BD62" s="188">
        <v>0</v>
      </c>
      <c r="BE62" s="188">
        <v>-16041155</v>
      </c>
      <c r="BF62" s="188">
        <v>5454291.0800000001</v>
      </c>
      <c r="BG62" s="188">
        <v>7246058.5</v>
      </c>
      <c r="BH62" s="188">
        <v>0</v>
      </c>
      <c r="BI62" s="188">
        <v>-8145644</v>
      </c>
      <c r="BJ62" s="188">
        <v>0</v>
      </c>
      <c r="BK62" s="188">
        <v>0</v>
      </c>
      <c r="BL62" s="188">
        <v>0</v>
      </c>
      <c r="BM62" s="188">
        <v>5770219</v>
      </c>
      <c r="BN62" s="188">
        <v>0</v>
      </c>
      <c r="BO62" s="188">
        <v>0</v>
      </c>
      <c r="BP62" s="188">
        <v>0</v>
      </c>
      <c r="BQ62" s="188">
        <v>0</v>
      </c>
      <c r="BR62" s="188">
        <v>0</v>
      </c>
      <c r="BS62" s="188">
        <v>0</v>
      </c>
      <c r="BT62" s="188">
        <v>0</v>
      </c>
      <c r="BU62" s="188">
        <v>0</v>
      </c>
    </row>
    <row r="63" spans="1:73" x14ac:dyDescent="0.25">
      <c r="A63" s="188" t="s">
        <v>276</v>
      </c>
      <c r="B63" s="188">
        <v>0</v>
      </c>
      <c r="C63" s="188">
        <v>-2381077971</v>
      </c>
      <c r="D63" s="188">
        <v>0</v>
      </c>
      <c r="E63" s="188">
        <v>-3028554792</v>
      </c>
      <c r="F63" s="188">
        <v>0</v>
      </c>
      <c r="G63" s="188">
        <v>-2985235404</v>
      </c>
      <c r="H63" s="188">
        <v>0</v>
      </c>
      <c r="I63" s="188">
        <v>-2266461601</v>
      </c>
      <c r="J63" s="188">
        <v>0</v>
      </c>
      <c r="K63" s="188">
        <v>-1003386330</v>
      </c>
      <c r="L63" s="188">
        <v>0</v>
      </c>
      <c r="M63" s="188">
        <v>-3807241082</v>
      </c>
      <c r="N63" s="188">
        <v>0</v>
      </c>
      <c r="O63" s="188">
        <v>-1684902995</v>
      </c>
      <c r="P63" s="188">
        <v>0</v>
      </c>
      <c r="Q63" s="188">
        <v>-1952893404</v>
      </c>
      <c r="R63" s="188">
        <v>0</v>
      </c>
      <c r="S63" s="188">
        <v>-648569543</v>
      </c>
      <c r="T63" s="188">
        <v>0</v>
      </c>
      <c r="U63" s="188">
        <v>-1255861315</v>
      </c>
      <c r="V63" s="188">
        <v>0</v>
      </c>
      <c r="W63" s="188">
        <v>-474697305</v>
      </c>
      <c r="X63" s="188">
        <v>0</v>
      </c>
      <c r="Y63" s="188">
        <v>-969150088</v>
      </c>
      <c r="Z63" s="188">
        <v>0</v>
      </c>
      <c r="AA63" s="188">
        <v>-303781948</v>
      </c>
      <c r="AB63" s="188">
        <v>0</v>
      </c>
      <c r="AC63" s="188">
        <v>-1444448016</v>
      </c>
      <c r="AD63" s="188">
        <v>0</v>
      </c>
      <c r="AE63" s="188">
        <v>-828674656</v>
      </c>
      <c r="AF63" s="188">
        <v>0</v>
      </c>
      <c r="AG63" s="188">
        <v>-718122474</v>
      </c>
      <c r="AH63" s="188">
        <v>0</v>
      </c>
      <c r="AI63" s="188">
        <v>-112024414</v>
      </c>
      <c r="AJ63" s="188">
        <v>0</v>
      </c>
      <c r="AK63" s="188">
        <v>-371004669</v>
      </c>
      <c r="AL63" s="188">
        <v>0</v>
      </c>
      <c r="AM63" s="188">
        <v>47558552</v>
      </c>
      <c r="AN63" s="188">
        <v>0</v>
      </c>
      <c r="AO63" s="188">
        <v>8167330</v>
      </c>
      <c r="AP63" s="188">
        <v>0</v>
      </c>
      <c r="AQ63" s="188">
        <v>-164906349</v>
      </c>
      <c r="AR63" s="188">
        <v>0</v>
      </c>
      <c r="AS63" s="188">
        <v>492862300</v>
      </c>
      <c r="AT63" s="188">
        <v>0</v>
      </c>
      <c r="AU63" s="188">
        <v>367508831</v>
      </c>
      <c r="AV63" s="188">
        <v>0</v>
      </c>
      <c r="AW63" s="188">
        <v>-64103398</v>
      </c>
      <c r="AX63" s="188">
        <v>479253982</v>
      </c>
      <c r="AY63" s="188">
        <v>-148897096</v>
      </c>
      <c r="AZ63" s="188">
        <v>-485718117</v>
      </c>
      <c r="BA63" s="188">
        <v>-1037362994</v>
      </c>
      <c r="BB63" s="188">
        <v>-544573893.63</v>
      </c>
      <c r="BC63" s="188">
        <v>88448193</v>
      </c>
      <c r="BD63" s="188">
        <v>187328381</v>
      </c>
      <c r="BE63" s="188">
        <v>-482135212</v>
      </c>
      <c r="BF63" s="188">
        <v>-329552496.88999999</v>
      </c>
      <c r="BG63" s="188">
        <v>-300038274.41000003</v>
      </c>
      <c r="BH63" s="188">
        <v>-167127143.55000001</v>
      </c>
      <c r="BI63" s="188">
        <v>-384589427</v>
      </c>
      <c r="BJ63" s="188">
        <v>-491598953.16000003</v>
      </c>
      <c r="BK63" s="188">
        <v>-408796702.06999999</v>
      </c>
      <c r="BL63" s="188">
        <v>-214719172.46000001</v>
      </c>
      <c r="BM63" s="188">
        <v>-152478636</v>
      </c>
      <c r="BN63" s="188">
        <v>-198568878.71000001</v>
      </c>
      <c r="BO63" s="188">
        <v>63613585</v>
      </c>
      <c r="BP63" s="188">
        <v>-21886977.370000001</v>
      </c>
      <c r="BQ63" s="188">
        <v>-156376152</v>
      </c>
      <c r="BR63" s="188">
        <v>-48309320</v>
      </c>
      <c r="BS63" s="188">
        <v>-75880081</v>
      </c>
      <c r="BT63" s="188">
        <v>-11730000</v>
      </c>
      <c r="BU63" s="188">
        <v>0</v>
      </c>
    </row>
    <row r="64" spans="1:73" x14ac:dyDescent="0.25">
      <c r="A64" s="188" t="s">
        <v>277</v>
      </c>
      <c r="B64" s="188">
        <v>0</v>
      </c>
      <c r="C64" s="188">
        <v>-1795552371</v>
      </c>
      <c r="D64" s="188">
        <v>0</v>
      </c>
      <c r="E64" s="188">
        <v>2126578448</v>
      </c>
      <c r="F64" s="188">
        <v>0</v>
      </c>
      <c r="G64" s="188">
        <v>-4224525906</v>
      </c>
      <c r="H64" s="188">
        <v>0</v>
      </c>
      <c r="I64" s="188">
        <v>-9061142249</v>
      </c>
      <c r="J64" s="188">
        <v>0</v>
      </c>
      <c r="K64" s="188">
        <v>-4079163191</v>
      </c>
      <c r="L64" s="188">
        <v>0</v>
      </c>
      <c r="M64" s="188">
        <v>-506006281</v>
      </c>
      <c r="N64" s="188">
        <v>0</v>
      </c>
      <c r="O64" s="188">
        <v>-2460643170</v>
      </c>
      <c r="P64" s="188">
        <v>0</v>
      </c>
      <c r="Q64" s="188">
        <v>-1258008760</v>
      </c>
      <c r="R64" s="188">
        <v>0</v>
      </c>
      <c r="S64" s="188">
        <v>-752208857</v>
      </c>
      <c r="T64" s="188">
        <v>0</v>
      </c>
      <c r="U64" s="188">
        <v>311147582</v>
      </c>
      <c r="V64" s="188">
        <v>0</v>
      </c>
      <c r="W64" s="188">
        <v>-1416916674</v>
      </c>
      <c r="X64" s="188">
        <v>0</v>
      </c>
      <c r="Y64" s="188">
        <v>-3967550225</v>
      </c>
      <c r="Z64" s="188">
        <v>0</v>
      </c>
      <c r="AA64" s="188">
        <v>-1597470740</v>
      </c>
      <c r="AB64" s="188">
        <v>0</v>
      </c>
      <c r="AC64" s="188">
        <v>-3601818616</v>
      </c>
      <c r="AD64" s="188">
        <v>0</v>
      </c>
      <c r="AE64" s="188">
        <v>-893659861</v>
      </c>
      <c r="AF64" s="188">
        <v>0</v>
      </c>
      <c r="AG64" s="188">
        <v>-1176739158</v>
      </c>
      <c r="AH64" s="188">
        <v>0</v>
      </c>
      <c r="AI64" s="188">
        <v>-258415697</v>
      </c>
      <c r="AJ64" s="188">
        <v>0</v>
      </c>
      <c r="AK64" s="188">
        <v>-337044633</v>
      </c>
      <c r="AL64" s="188">
        <v>0</v>
      </c>
      <c r="AM64" s="188">
        <v>-348878030</v>
      </c>
      <c r="AN64" s="188">
        <v>0</v>
      </c>
      <c r="AO64" s="188">
        <v>935305620</v>
      </c>
      <c r="AP64" s="188">
        <v>0</v>
      </c>
      <c r="AQ64" s="188">
        <v>-3054208</v>
      </c>
      <c r="AR64" s="188">
        <v>0</v>
      </c>
      <c r="AS64" s="188">
        <v>-817663165</v>
      </c>
      <c r="AT64" s="188">
        <v>0</v>
      </c>
      <c r="AU64" s="188">
        <v>-482271574</v>
      </c>
      <c r="AV64" s="188">
        <v>0</v>
      </c>
      <c r="AW64" s="188">
        <v>635079634</v>
      </c>
      <c r="AX64" s="188">
        <v>462704083</v>
      </c>
      <c r="AY64" s="188">
        <v>562109503</v>
      </c>
      <c r="AZ64" s="188">
        <v>414907206</v>
      </c>
      <c r="BA64" s="188">
        <v>-1181452382</v>
      </c>
      <c r="BB64" s="188">
        <v>-1674601737.6400001</v>
      </c>
      <c r="BC64" s="188">
        <v>-459264148</v>
      </c>
      <c r="BD64" s="188">
        <v>174140647</v>
      </c>
      <c r="BE64" s="188">
        <v>-319827522</v>
      </c>
      <c r="BF64" s="188">
        <v>-1149121790.27</v>
      </c>
      <c r="BG64" s="188">
        <v>-547073145.66999996</v>
      </c>
      <c r="BH64" s="188">
        <v>-618460107.41999996</v>
      </c>
      <c r="BI64" s="188">
        <v>-59962494</v>
      </c>
      <c r="BJ64" s="188">
        <v>-948427138.85000002</v>
      </c>
      <c r="BK64" s="188">
        <v>-473408177.42000002</v>
      </c>
      <c r="BL64" s="188">
        <v>-529858866.95999998</v>
      </c>
      <c r="BM64" s="188">
        <v>-706689737</v>
      </c>
      <c r="BN64" s="188">
        <v>-236407793.33000001</v>
      </c>
      <c r="BO64" s="188">
        <v>20176100</v>
      </c>
      <c r="BP64" s="188">
        <v>19141260.18</v>
      </c>
      <c r="BQ64" s="188">
        <v>-297492913</v>
      </c>
      <c r="BR64" s="188">
        <v>-302699200</v>
      </c>
      <c r="BS64" s="188">
        <v>-300490870</v>
      </c>
      <c r="BT64" s="188">
        <v>-44560000</v>
      </c>
      <c r="BU64" s="188">
        <v>0</v>
      </c>
    </row>
    <row r="65" spans="1:73" x14ac:dyDescent="0.25">
      <c r="A65" s="188" t="s">
        <v>278</v>
      </c>
      <c r="B65" s="188">
        <v>0</v>
      </c>
      <c r="C65" s="188">
        <v>4521622519</v>
      </c>
      <c r="D65" s="188">
        <v>0</v>
      </c>
      <c r="E65" s="188">
        <v>4031691957</v>
      </c>
      <c r="F65" s="188">
        <v>0</v>
      </c>
      <c r="G65" s="188">
        <v>4919933010</v>
      </c>
      <c r="H65" s="188">
        <v>0</v>
      </c>
      <c r="I65" s="188">
        <v>5618379360</v>
      </c>
      <c r="J65" s="188">
        <v>0</v>
      </c>
      <c r="K65" s="188">
        <v>2117729336</v>
      </c>
      <c r="L65" s="188">
        <v>0</v>
      </c>
      <c r="M65" s="188">
        <v>3286149011</v>
      </c>
      <c r="N65" s="188">
        <v>0</v>
      </c>
      <c r="O65" s="188">
        <v>3465067596</v>
      </c>
      <c r="P65" s="188">
        <v>0</v>
      </c>
      <c r="Q65" s="188">
        <v>2088553985</v>
      </c>
      <c r="R65" s="188">
        <v>0</v>
      </c>
      <c r="S65" s="188">
        <v>564395108</v>
      </c>
      <c r="T65" s="188">
        <v>0</v>
      </c>
      <c r="U65" s="188">
        <v>1154536372</v>
      </c>
      <c r="V65" s="188">
        <v>0</v>
      </c>
      <c r="W65" s="188">
        <v>1457018629</v>
      </c>
      <c r="X65" s="188">
        <v>0</v>
      </c>
      <c r="Y65" s="188">
        <v>2997573951</v>
      </c>
      <c r="Z65" s="188">
        <v>0</v>
      </c>
      <c r="AA65" s="188">
        <v>1095587944</v>
      </c>
      <c r="AB65" s="188">
        <v>0</v>
      </c>
      <c r="AC65" s="188">
        <v>3974401658</v>
      </c>
      <c r="AD65" s="188">
        <v>0</v>
      </c>
      <c r="AE65" s="188">
        <v>1156594606</v>
      </c>
      <c r="AF65" s="188">
        <v>0</v>
      </c>
      <c r="AG65" s="188">
        <v>943195131</v>
      </c>
      <c r="AH65" s="188">
        <v>0</v>
      </c>
      <c r="AI65" s="188">
        <v>148758323</v>
      </c>
      <c r="AJ65" s="188">
        <v>0</v>
      </c>
      <c r="AK65" s="188">
        <v>617699121</v>
      </c>
      <c r="AL65" s="188">
        <v>0</v>
      </c>
      <c r="AM65" s="188">
        <v>385066994</v>
      </c>
      <c r="AN65" s="188">
        <v>0</v>
      </c>
      <c r="AO65" s="188">
        <v>-596073294</v>
      </c>
      <c r="AP65" s="188">
        <v>0</v>
      </c>
      <c r="AQ65" s="188">
        <v>14444493</v>
      </c>
      <c r="AR65" s="188">
        <v>0</v>
      </c>
      <c r="AS65" s="188">
        <v>88723234</v>
      </c>
      <c r="AT65" s="188">
        <v>0</v>
      </c>
      <c r="AU65" s="188">
        <v>141022188</v>
      </c>
      <c r="AV65" s="188">
        <v>0</v>
      </c>
      <c r="AW65" s="188">
        <v>577233542</v>
      </c>
      <c r="AX65" s="188">
        <v>368117230</v>
      </c>
      <c r="AY65" s="188">
        <v>-100154805</v>
      </c>
      <c r="AZ65" s="188">
        <v>79353640</v>
      </c>
      <c r="BA65" s="188">
        <v>876163416</v>
      </c>
      <c r="BB65" s="188">
        <v>1746290962.1199999</v>
      </c>
      <c r="BC65" s="188">
        <v>240883141</v>
      </c>
      <c r="BD65" s="188">
        <v>-179808850</v>
      </c>
      <c r="BE65" s="188">
        <v>170187127</v>
      </c>
      <c r="BF65" s="188">
        <v>923056071.89999998</v>
      </c>
      <c r="BG65" s="188">
        <v>291263452.95999998</v>
      </c>
      <c r="BH65" s="188">
        <v>713800544.87</v>
      </c>
      <c r="BI65" s="188">
        <v>-252796253</v>
      </c>
      <c r="BJ65" s="188">
        <v>1324354616.3</v>
      </c>
      <c r="BK65" s="188">
        <v>802135379.78999996</v>
      </c>
      <c r="BL65" s="188">
        <v>569498423.01999998</v>
      </c>
      <c r="BM65" s="188">
        <v>688725398</v>
      </c>
      <c r="BN65" s="188">
        <v>296527402.81999999</v>
      </c>
      <c r="BO65" s="188">
        <v>36596562</v>
      </c>
      <c r="BP65" s="188">
        <v>155126805.25</v>
      </c>
      <c r="BQ65" s="188">
        <v>81819584</v>
      </c>
      <c r="BR65" s="188">
        <v>231419732</v>
      </c>
      <c r="BS65" s="188">
        <v>239708687</v>
      </c>
      <c r="BT65" s="188">
        <v>44982000</v>
      </c>
      <c r="BU65" s="188">
        <v>0</v>
      </c>
    </row>
    <row r="66" spans="1:73" x14ac:dyDescent="0.25">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row>
    <row r="67" spans="1:73" x14ac:dyDescent="0.25">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c r="BL67" s="188">
        <v>0</v>
      </c>
      <c r="BM67" s="188">
        <v>0</v>
      </c>
      <c r="BN67" s="188">
        <v>0</v>
      </c>
      <c r="BO67" s="188">
        <v>0</v>
      </c>
      <c r="BP67" s="188">
        <v>0</v>
      </c>
      <c r="BQ67" s="188">
        <v>0</v>
      </c>
      <c r="BR67" s="188">
        <v>0</v>
      </c>
      <c r="BS67" s="188">
        <v>0</v>
      </c>
      <c r="BT67" s="188">
        <v>0</v>
      </c>
      <c r="BU67" s="188">
        <v>0</v>
      </c>
    </row>
    <row r="68" spans="1:73" x14ac:dyDescent="0.25">
      <c r="A68" s="188" t="s">
        <v>281</v>
      </c>
      <c r="B68" s="188">
        <v>0</v>
      </c>
      <c r="C68" s="188">
        <v>-875148546</v>
      </c>
      <c r="D68" s="188">
        <v>0</v>
      </c>
      <c r="E68" s="188">
        <v>0</v>
      </c>
      <c r="F68" s="188">
        <v>0</v>
      </c>
      <c r="G68" s="188">
        <v>-199463451</v>
      </c>
      <c r="H68" s="188">
        <v>0</v>
      </c>
      <c r="I68" s="188">
        <v>0</v>
      </c>
      <c r="J68" s="188">
        <v>0</v>
      </c>
      <c r="K68" s="188">
        <v>-382388597</v>
      </c>
      <c r="L68" s="188">
        <v>0</v>
      </c>
      <c r="M68" s="188">
        <v>0</v>
      </c>
      <c r="N68" s="188">
        <v>0</v>
      </c>
      <c r="O68" s="188">
        <v>-228127960</v>
      </c>
      <c r="P68" s="188">
        <v>0</v>
      </c>
      <c r="Q68" s="188">
        <v>0</v>
      </c>
      <c r="R68" s="188">
        <v>0</v>
      </c>
      <c r="S68" s="188">
        <v>0</v>
      </c>
      <c r="T68" s="188">
        <v>0</v>
      </c>
      <c r="U68" s="188">
        <v>0</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-502574889</v>
      </c>
      <c r="AL68" s="188">
        <v>0</v>
      </c>
      <c r="AM68" s="188">
        <v>0</v>
      </c>
      <c r="AN68" s="188">
        <v>0</v>
      </c>
      <c r="AO68" s="188">
        <v>-37602757</v>
      </c>
      <c r="AP68" s="188">
        <v>0</v>
      </c>
      <c r="AQ68" s="188">
        <v>0</v>
      </c>
      <c r="AR68" s="188">
        <v>0</v>
      </c>
      <c r="AS68" s="188">
        <v>0</v>
      </c>
      <c r="AT68" s="188">
        <v>0</v>
      </c>
      <c r="AU68" s="188">
        <v>0</v>
      </c>
      <c r="AV68" s="188">
        <v>0</v>
      </c>
      <c r="AW68" s="188">
        <v>0</v>
      </c>
      <c r="AX68" s="188">
        <v>0</v>
      </c>
      <c r="AY68" s="188">
        <v>168803</v>
      </c>
      <c r="AZ68" s="188">
        <v>0</v>
      </c>
      <c r="BA68" s="188">
        <v>0</v>
      </c>
      <c r="BB68" s="188">
        <v>-9179307.7100000009</v>
      </c>
      <c r="BC68" s="188">
        <v>1010277</v>
      </c>
      <c r="BD68" s="188">
        <v>1128553</v>
      </c>
      <c r="BE68" s="188">
        <v>0</v>
      </c>
      <c r="BF68" s="188">
        <v>0</v>
      </c>
      <c r="BG68" s="188">
        <v>0</v>
      </c>
      <c r="BH68" s="188">
        <v>0</v>
      </c>
      <c r="BI68" s="188">
        <v>0</v>
      </c>
      <c r="BJ68" s="188">
        <v>0</v>
      </c>
      <c r="BK68" s="188">
        <v>0</v>
      </c>
      <c r="BL68" s="188">
        <v>6106888.6100000003</v>
      </c>
      <c r="BM68" s="188">
        <v>0</v>
      </c>
      <c r="BN68" s="188">
        <v>0</v>
      </c>
      <c r="BO68" s="188">
        <v>0</v>
      </c>
      <c r="BP68" s="188">
        <v>0</v>
      </c>
      <c r="BQ68" s="188">
        <v>0</v>
      </c>
      <c r="BR68" s="188">
        <v>0</v>
      </c>
      <c r="BS68" s="188">
        <v>0</v>
      </c>
      <c r="BT68" s="188">
        <v>0</v>
      </c>
      <c r="BU68" s="188">
        <v>0</v>
      </c>
    </row>
    <row r="69" spans="1:73" x14ac:dyDescent="0.25">
      <c r="A69" s="188" t="s">
        <v>282</v>
      </c>
      <c r="B69" s="188">
        <v>0</v>
      </c>
      <c r="C69" s="188">
        <v>11439605846</v>
      </c>
      <c r="D69" s="188">
        <v>0</v>
      </c>
      <c r="E69" s="188">
        <v>26266986015</v>
      </c>
      <c r="F69" s="188">
        <v>0</v>
      </c>
      <c r="G69" s="188">
        <v>10638591266</v>
      </c>
      <c r="H69" s="188">
        <v>0</v>
      </c>
      <c r="I69" s="188">
        <v>10073287120</v>
      </c>
      <c r="J69" s="188">
        <v>0</v>
      </c>
      <c r="K69" s="188">
        <v>2734086955</v>
      </c>
      <c r="L69" s="188">
        <v>0</v>
      </c>
      <c r="M69" s="188">
        <v>10493385445</v>
      </c>
      <c r="N69" s="188">
        <v>0</v>
      </c>
      <c r="O69" s="188">
        <v>5453391488</v>
      </c>
      <c r="P69" s="188">
        <v>0</v>
      </c>
      <c r="Q69" s="188">
        <v>8095825923</v>
      </c>
      <c r="R69" s="188">
        <v>0</v>
      </c>
      <c r="S69" s="188">
        <v>3253640502</v>
      </c>
      <c r="T69" s="188">
        <v>0</v>
      </c>
      <c r="U69" s="188">
        <v>8956439250</v>
      </c>
      <c r="V69" s="188">
        <v>0</v>
      </c>
      <c r="W69" s="188">
        <v>3727889361</v>
      </c>
      <c r="X69" s="188">
        <v>0</v>
      </c>
      <c r="Y69" s="188">
        <v>3088875525</v>
      </c>
      <c r="Z69" s="188">
        <v>0</v>
      </c>
      <c r="AA69" s="188">
        <v>121827560</v>
      </c>
      <c r="AB69" s="188">
        <v>0</v>
      </c>
      <c r="AC69" s="188">
        <v>-778530727</v>
      </c>
      <c r="AD69" s="188">
        <v>0</v>
      </c>
      <c r="AE69" s="188">
        <v>-614189947</v>
      </c>
      <c r="AF69" s="188">
        <v>0</v>
      </c>
      <c r="AG69" s="188">
        <v>-1053315294</v>
      </c>
      <c r="AH69" s="188">
        <v>0</v>
      </c>
      <c r="AI69" s="188">
        <v>3312176</v>
      </c>
      <c r="AJ69" s="188">
        <v>0</v>
      </c>
      <c r="AK69" s="188">
        <v>810009035</v>
      </c>
      <c r="AL69" s="188">
        <v>0</v>
      </c>
      <c r="AM69" s="188">
        <v>-175802391</v>
      </c>
      <c r="AN69" s="188">
        <v>0</v>
      </c>
      <c r="AO69" s="188">
        <v>1127969877</v>
      </c>
      <c r="AP69" s="188">
        <v>0</v>
      </c>
      <c r="AQ69" s="188">
        <v>1035562169</v>
      </c>
      <c r="AR69" s="188">
        <v>0</v>
      </c>
      <c r="AS69" s="188">
        <v>2292098399</v>
      </c>
      <c r="AT69" s="188">
        <v>0</v>
      </c>
      <c r="AU69" s="188">
        <v>488345973</v>
      </c>
      <c r="AV69" s="188">
        <v>0</v>
      </c>
      <c r="AW69" s="188">
        <v>843112560</v>
      </c>
      <c r="AX69" s="188">
        <v>499295186</v>
      </c>
      <c r="AY69" s="188">
        <v>-1808814</v>
      </c>
      <c r="AZ69" s="188">
        <v>100878844</v>
      </c>
      <c r="BA69" s="188">
        <v>-983558625</v>
      </c>
      <c r="BB69" s="188">
        <v>-772876227.13</v>
      </c>
      <c r="BC69" s="188">
        <v>-427419682</v>
      </c>
      <c r="BD69" s="188">
        <v>-54020833</v>
      </c>
      <c r="BE69" s="188">
        <v>207720737</v>
      </c>
      <c r="BF69" s="188">
        <v>346642035.73000002</v>
      </c>
      <c r="BG69" s="188">
        <v>218019969.84999999</v>
      </c>
      <c r="BH69" s="188">
        <v>342671976.62</v>
      </c>
      <c r="BI69" s="188">
        <v>747537474</v>
      </c>
      <c r="BJ69" s="188">
        <v>931865451.95000005</v>
      </c>
      <c r="BK69" s="188">
        <v>628673055.54999995</v>
      </c>
      <c r="BL69" s="188">
        <v>240983682.55000001</v>
      </c>
      <c r="BM69" s="188">
        <v>217680290</v>
      </c>
      <c r="BN69" s="188">
        <v>43679844.140000001</v>
      </c>
      <c r="BO69" s="188">
        <v>396715256</v>
      </c>
      <c r="BP69" s="188">
        <v>290378402.95999998</v>
      </c>
      <c r="BQ69" s="188">
        <v>-176842472</v>
      </c>
      <c r="BR69" s="188">
        <v>-52555139</v>
      </c>
      <c r="BS69" s="188">
        <v>-44736342</v>
      </c>
      <c r="BT69" s="188">
        <v>46820000</v>
      </c>
      <c r="BU69" s="188">
        <v>0</v>
      </c>
    </row>
    <row r="70" spans="1:73" x14ac:dyDescent="0.25">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660000000</v>
      </c>
      <c r="AX70" s="188">
        <v>0</v>
      </c>
      <c r="AY70" s="188">
        <v>0</v>
      </c>
      <c r="AZ70" s="188">
        <v>0</v>
      </c>
      <c r="BA70" s="188">
        <v>0</v>
      </c>
      <c r="BB70" s="188">
        <v>0</v>
      </c>
      <c r="BC70" s="188">
        <v>0</v>
      </c>
      <c r="BD70" s="188">
        <v>0</v>
      </c>
      <c r="BE70" s="188">
        <v>0</v>
      </c>
      <c r="BF70" s="188">
        <v>0</v>
      </c>
      <c r="BG70" s="188">
        <v>0</v>
      </c>
      <c r="BH70" s="188">
        <v>0</v>
      </c>
      <c r="BI70" s="188">
        <v>0</v>
      </c>
      <c r="BJ70" s="188">
        <v>0</v>
      </c>
      <c r="BK70" s="188">
        <v>0</v>
      </c>
      <c r="BL70" s="188">
        <v>0</v>
      </c>
      <c r="BM70" s="188">
        <v>0</v>
      </c>
      <c r="BN70" s="188">
        <v>0</v>
      </c>
      <c r="BO70" s="188">
        <v>0</v>
      </c>
      <c r="BP70" s="188">
        <v>0</v>
      </c>
      <c r="BQ70" s="188">
        <v>0</v>
      </c>
      <c r="BR70" s="188">
        <v>0</v>
      </c>
      <c r="BS70" s="188">
        <v>0</v>
      </c>
      <c r="BT70" s="188">
        <v>0</v>
      </c>
      <c r="BU70" s="188">
        <v>0</v>
      </c>
    </row>
    <row r="71" spans="1:73" x14ac:dyDescent="0.25">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0</v>
      </c>
      <c r="AM71" s="188">
        <v>0</v>
      </c>
      <c r="AN71" s="188">
        <v>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0</v>
      </c>
      <c r="BE71" s="188">
        <v>0</v>
      </c>
      <c r="BF71" s="188">
        <v>0</v>
      </c>
      <c r="BG71" s="188">
        <v>0</v>
      </c>
      <c r="BH71" s="188">
        <v>70785203</v>
      </c>
      <c r="BI71" s="188">
        <v>70785203</v>
      </c>
      <c r="BJ71" s="188">
        <v>0</v>
      </c>
      <c r="BK71" s="188">
        <v>0</v>
      </c>
      <c r="BL71" s="188">
        <v>0</v>
      </c>
      <c r="BM71" s="188">
        <v>0</v>
      </c>
      <c r="BN71" s="188">
        <v>0</v>
      </c>
      <c r="BO71" s="188">
        <v>0</v>
      </c>
      <c r="BP71" s="188">
        <v>0</v>
      </c>
      <c r="BQ71" s="188">
        <v>0</v>
      </c>
      <c r="BR71" s="188">
        <v>0</v>
      </c>
      <c r="BS71" s="188">
        <v>0</v>
      </c>
      <c r="BT71" s="188">
        <v>0</v>
      </c>
      <c r="BU71" s="188">
        <v>0</v>
      </c>
    </row>
    <row r="72" spans="1:73" x14ac:dyDescent="0.25">
      <c r="A72" s="188" t="s">
        <v>285</v>
      </c>
      <c r="B72" s="188">
        <v>0</v>
      </c>
      <c r="C72" s="188">
        <v>0</v>
      </c>
      <c r="D72" s="188">
        <v>0</v>
      </c>
      <c r="E72" s="188">
        <v>0</v>
      </c>
      <c r="F72" s="188">
        <v>0</v>
      </c>
      <c r="G72" s="188">
        <v>0</v>
      </c>
      <c r="H72" s="188">
        <v>0</v>
      </c>
      <c r="I72" s="188">
        <v>0</v>
      </c>
      <c r="J72" s="188">
        <v>0</v>
      </c>
      <c r="K72" s="188">
        <v>0</v>
      </c>
      <c r="L72" s="188">
        <v>0</v>
      </c>
      <c r="M72" s="188">
        <v>0</v>
      </c>
      <c r="N72" s="188">
        <v>0</v>
      </c>
      <c r="O72" s="188">
        <v>0</v>
      </c>
      <c r="P72" s="188">
        <v>0</v>
      </c>
      <c r="Q72" s="188">
        <v>0</v>
      </c>
      <c r="R72" s="188">
        <v>0</v>
      </c>
      <c r="S72" s="188">
        <v>0</v>
      </c>
      <c r="T72" s="188">
        <v>0</v>
      </c>
      <c r="U72" s="188">
        <v>0</v>
      </c>
      <c r="V72" s="188">
        <v>0</v>
      </c>
      <c r="W72" s="188">
        <v>0</v>
      </c>
      <c r="X72" s="188">
        <v>0</v>
      </c>
      <c r="Y72" s="188">
        <v>0</v>
      </c>
      <c r="Z72" s="188">
        <v>0</v>
      </c>
      <c r="AA72" s="188">
        <v>0</v>
      </c>
      <c r="AB72" s="188">
        <v>0</v>
      </c>
      <c r="AC72" s="188">
        <v>0</v>
      </c>
      <c r="AD72" s="188">
        <v>0</v>
      </c>
      <c r="AE72" s="188">
        <v>0</v>
      </c>
      <c r="AF72" s="188">
        <v>0</v>
      </c>
      <c r="AG72" s="188">
        <v>0</v>
      </c>
      <c r="AH72" s="188">
        <v>0</v>
      </c>
      <c r="AI72" s="188">
        <v>0</v>
      </c>
      <c r="AJ72" s="188">
        <v>0</v>
      </c>
      <c r="AK72" s="188">
        <v>0</v>
      </c>
      <c r="AL72" s="188">
        <v>0</v>
      </c>
      <c r="AM72" s="188">
        <v>0</v>
      </c>
      <c r="AN72" s="188">
        <v>0</v>
      </c>
      <c r="AO72" s="188">
        <v>0</v>
      </c>
      <c r="AP72" s="188">
        <v>0</v>
      </c>
      <c r="AQ72" s="188">
        <v>0</v>
      </c>
      <c r="AR72" s="188">
        <v>0</v>
      </c>
      <c r="AS72" s="188">
        <v>0</v>
      </c>
      <c r="AT72" s="188">
        <v>0</v>
      </c>
      <c r="AU72" s="188">
        <v>0</v>
      </c>
      <c r="AV72" s="188">
        <v>0</v>
      </c>
      <c r="AW72" s="188">
        <v>0</v>
      </c>
      <c r="AX72" s="188">
        <v>0</v>
      </c>
      <c r="AY72" s="188">
        <v>0</v>
      </c>
      <c r="AZ72" s="188">
        <v>0</v>
      </c>
      <c r="BA72" s="188">
        <v>0</v>
      </c>
      <c r="BB72" s="188">
        <v>0</v>
      </c>
      <c r="BC72" s="188">
        <v>0</v>
      </c>
      <c r="BD72" s="188">
        <v>0</v>
      </c>
      <c r="BE72" s="188">
        <v>9660558</v>
      </c>
      <c r="BF72" s="188">
        <v>0</v>
      </c>
      <c r="BG72" s="188">
        <v>0</v>
      </c>
      <c r="BH72" s="188">
        <v>20446858</v>
      </c>
      <c r="BI72" s="188">
        <v>20446858</v>
      </c>
      <c r="BJ72" s="188">
        <v>0</v>
      </c>
      <c r="BK72" s="188">
        <v>0</v>
      </c>
      <c r="BL72" s="188">
        <v>0</v>
      </c>
      <c r="BM72" s="188">
        <v>0</v>
      </c>
      <c r="BN72" s="188">
        <v>0</v>
      </c>
      <c r="BO72" s="188">
        <v>0</v>
      </c>
      <c r="BP72" s="188">
        <v>0</v>
      </c>
      <c r="BQ72" s="188">
        <v>0</v>
      </c>
      <c r="BR72" s="188">
        <v>0</v>
      </c>
      <c r="BS72" s="188">
        <v>0</v>
      </c>
      <c r="BT72" s="188">
        <v>0</v>
      </c>
      <c r="BU72" s="188">
        <v>0</v>
      </c>
    </row>
    <row r="73" spans="1:73" x14ac:dyDescent="0.25">
      <c r="A73" s="188" t="s">
        <v>286</v>
      </c>
      <c r="B73" s="188">
        <v>0</v>
      </c>
      <c r="C73" s="188">
        <v>43089999591</v>
      </c>
      <c r="D73" s="188">
        <v>0</v>
      </c>
      <c r="E73" s="188">
        <v>47913287583</v>
      </c>
      <c r="F73" s="188">
        <v>0</v>
      </c>
      <c r="G73" s="188">
        <v>42798317023</v>
      </c>
      <c r="H73" s="188">
        <v>0</v>
      </c>
      <c r="I73" s="188">
        <v>49354810388</v>
      </c>
      <c r="J73" s="188">
        <v>0</v>
      </c>
      <c r="K73" s="188">
        <v>40036041613</v>
      </c>
      <c r="L73" s="188">
        <v>0</v>
      </c>
      <c r="M73" s="188">
        <v>36182738217</v>
      </c>
      <c r="N73" s="188">
        <v>0</v>
      </c>
      <c r="O73" s="188">
        <v>32009442308</v>
      </c>
      <c r="P73" s="188">
        <v>0</v>
      </c>
      <c r="Q73" s="188">
        <v>36504707160</v>
      </c>
      <c r="R73" s="188">
        <v>0</v>
      </c>
      <c r="S73" s="188">
        <v>40969934073</v>
      </c>
      <c r="T73" s="188">
        <v>0</v>
      </c>
      <c r="U73" s="188">
        <v>16474975849</v>
      </c>
      <c r="V73" s="188">
        <v>0</v>
      </c>
      <c r="W73" s="188">
        <v>22410741327</v>
      </c>
      <c r="X73" s="188">
        <v>0</v>
      </c>
      <c r="Y73" s="188">
        <v>13556486692</v>
      </c>
      <c r="Z73" s="188">
        <v>0</v>
      </c>
      <c r="AA73" s="188">
        <v>11139101933</v>
      </c>
      <c r="AB73" s="188">
        <v>0</v>
      </c>
      <c r="AC73" s="188">
        <v>12959533670</v>
      </c>
      <c r="AD73" s="188">
        <v>0</v>
      </c>
      <c r="AE73" s="188">
        <v>11073485807</v>
      </c>
      <c r="AF73" s="188">
        <v>14534923843</v>
      </c>
      <c r="AG73" s="188">
        <v>19097948638</v>
      </c>
      <c r="AH73" s="188">
        <v>11169636728</v>
      </c>
      <c r="AI73" s="188">
        <v>12093178993</v>
      </c>
      <c r="AJ73" s="188">
        <v>14322369125</v>
      </c>
      <c r="AK73" s="188">
        <v>15230490504</v>
      </c>
      <c r="AL73" s="188">
        <v>12915109027</v>
      </c>
      <c r="AM73" s="188">
        <v>13451945108</v>
      </c>
      <c r="AN73" s="188">
        <v>2892166437</v>
      </c>
      <c r="AO73" s="188">
        <v>3528597814</v>
      </c>
      <c r="AP73" s="188">
        <v>2625241524</v>
      </c>
      <c r="AQ73" s="188">
        <v>1186244800</v>
      </c>
      <c r="AR73" s="188">
        <v>1520560898</v>
      </c>
      <c r="AS73" s="188">
        <v>1452160200</v>
      </c>
      <c r="AT73" s="188">
        <v>1665260768</v>
      </c>
      <c r="AU73" s="188">
        <v>1920791106</v>
      </c>
      <c r="AV73" s="188">
        <v>1887177195</v>
      </c>
      <c r="AW73" s="188">
        <v>1458107384</v>
      </c>
      <c r="AX73" s="188">
        <v>2395946480</v>
      </c>
      <c r="AY73" s="188">
        <v>1510409463</v>
      </c>
      <c r="AZ73" s="188">
        <v>1894571073</v>
      </c>
      <c r="BA73" s="188">
        <v>1164052483</v>
      </c>
      <c r="BB73" s="188">
        <v>3677332912</v>
      </c>
      <c r="BC73" s="188">
        <v>4793160032</v>
      </c>
      <c r="BD73" s="188">
        <v>1704577066</v>
      </c>
      <c r="BE73" s="188">
        <v>1535970224</v>
      </c>
      <c r="BF73" s="188">
        <v>3656404811.3099999</v>
      </c>
      <c r="BG73" s="188">
        <v>2677950970.3400002</v>
      </c>
      <c r="BH73" s="188">
        <v>3462370529.1199999</v>
      </c>
      <c r="BI73" s="188">
        <v>2171597081</v>
      </c>
      <c r="BJ73" s="188">
        <v>1747470380.95</v>
      </c>
      <c r="BK73" s="188">
        <v>1812508377.8900001</v>
      </c>
      <c r="BL73" s="188">
        <v>2079395236.02</v>
      </c>
      <c r="BM73" s="188">
        <v>2232666413</v>
      </c>
      <c r="BN73" s="188">
        <v>1007925671.23</v>
      </c>
      <c r="BO73" s="188">
        <v>1182597735</v>
      </c>
      <c r="BP73" s="188">
        <v>1273594641.9100001</v>
      </c>
      <c r="BQ73" s="188">
        <v>1415667242</v>
      </c>
      <c r="BR73" s="188">
        <v>461243462</v>
      </c>
      <c r="BS73" s="188">
        <v>329471420</v>
      </c>
      <c r="BT73" s="188">
        <v>333875000</v>
      </c>
      <c r="BU73" s="188">
        <v>0</v>
      </c>
    </row>
    <row r="74" spans="1:73" x14ac:dyDescent="0.25">
      <c r="A74" s="188" t="s">
        <v>287</v>
      </c>
      <c r="B74" s="188">
        <v>0</v>
      </c>
      <c r="C74" s="188">
        <v>47913287583</v>
      </c>
      <c r="D74" s="188">
        <v>0</v>
      </c>
      <c r="E74" s="188">
        <v>49354810388</v>
      </c>
      <c r="F74" s="188">
        <v>0</v>
      </c>
      <c r="G74" s="188">
        <v>49354810388</v>
      </c>
      <c r="H74" s="188">
        <v>0</v>
      </c>
      <c r="I74" s="188">
        <v>36182738217</v>
      </c>
      <c r="J74" s="188">
        <v>0</v>
      </c>
      <c r="K74" s="188">
        <v>36182738217</v>
      </c>
      <c r="L74" s="188">
        <v>0</v>
      </c>
      <c r="M74" s="188">
        <v>36504707160</v>
      </c>
      <c r="N74" s="188">
        <v>0</v>
      </c>
      <c r="O74" s="188">
        <v>36504707160</v>
      </c>
      <c r="P74" s="188">
        <v>0</v>
      </c>
      <c r="Q74" s="188">
        <v>16474975849</v>
      </c>
      <c r="R74" s="188">
        <v>0</v>
      </c>
      <c r="S74" s="188">
        <v>16474975849</v>
      </c>
      <c r="T74" s="188">
        <v>0</v>
      </c>
      <c r="U74" s="188">
        <v>13556486692</v>
      </c>
      <c r="V74" s="188">
        <v>0</v>
      </c>
      <c r="W74" s="188">
        <v>13556486692</v>
      </c>
      <c r="X74" s="188">
        <v>0</v>
      </c>
      <c r="Y74" s="188">
        <v>12959533670</v>
      </c>
      <c r="Z74" s="188">
        <v>0</v>
      </c>
      <c r="AA74" s="188">
        <v>12959533670</v>
      </c>
      <c r="AB74" s="188">
        <v>0</v>
      </c>
      <c r="AC74" s="188">
        <v>19097948638</v>
      </c>
      <c r="AD74" s="188">
        <v>0</v>
      </c>
      <c r="AE74" s="188">
        <v>18733911955</v>
      </c>
      <c r="AF74" s="188">
        <v>19097948638</v>
      </c>
      <c r="AG74" s="188">
        <v>15230490504</v>
      </c>
      <c r="AH74" s="188">
        <v>15230490504</v>
      </c>
      <c r="AI74" s="188">
        <v>15230490504</v>
      </c>
      <c r="AJ74" s="188">
        <v>15003596344</v>
      </c>
      <c r="AK74" s="188">
        <v>3528597814</v>
      </c>
      <c r="AL74" s="188">
        <v>3528597814</v>
      </c>
      <c r="AM74" s="188">
        <v>3528597814</v>
      </c>
      <c r="AN74" s="188">
        <v>3528597814</v>
      </c>
      <c r="AO74" s="188">
        <v>1452160200</v>
      </c>
      <c r="AP74" s="188">
        <v>1452160200</v>
      </c>
      <c r="AQ74" s="188">
        <v>1452160200</v>
      </c>
      <c r="AR74" s="188">
        <v>1452160200</v>
      </c>
      <c r="AS74" s="188">
        <v>1452714377</v>
      </c>
      <c r="AT74" s="188">
        <v>1458107384</v>
      </c>
      <c r="AU74" s="188">
        <v>1809217235</v>
      </c>
      <c r="AV74" s="188">
        <v>1809217235</v>
      </c>
      <c r="AW74" s="188">
        <v>1164052483</v>
      </c>
      <c r="AX74" s="188">
        <v>2080680420</v>
      </c>
      <c r="AY74" s="188">
        <v>2080680420</v>
      </c>
      <c r="AZ74" s="188">
        <v>2080680420</v>
      </c>
      <c r="BA74" s="188">
        <v>1535970224</v>
      </c>
      <c r="BB74" s="188">
        <v>1834288334</v>
      </c>
      <c r="BC74" s="188">
        <v>1834288334</v>
      </c>
      <c r="BD74" s="188">
        <v>1834288334</v>
      </c>
      <c r="BE74" s="188">
        <v>2171597081</v>
      </c>
      <c r="BF74" s="188">
        <v>1971597081</v>
      </c>
      <c r="BG74" s="188">
        <v>1971597081</v>
      </c>
      <c r="BH74" s="188">
        <v>2051459425</v>
      </c>
      <c r="BI74" s="188">
        <v>2232666413</v>
      </c>
      <c r="BJ74" s="188">
        <v>2294225705.4499998</v>
      </c>
      <c r="BK74" s="188">
        <v>2294225705.4499998</v>
      </c>
      <c r="BL74" s="188">
        <v>2294225705.4499998</v>
      </c>
      <c r="BM74" s="188">
        <v>1182597735</v>
      </c>
      <c r="BN74" s="188">
        <v>1182597735</v>
      </c>
      <c r="BO74" s="188">
        <v>1405962761</v>
      </c>
      <c r="BP74" s="188">
        <v>1415667242</v>
      </c>
      <c r="BQ74" s="188">
        <v>329471420</v>
      </c>
      <c r="BR74" s="188">
        <v>329471420</v>
      </c>
      <c r="BS74" s="188">
        <v>333875244</v>
      </c>
      <c r="BT74" s="188">
        <v>308153000</v>
      </c>
      <c r="BU74" s="188">
        <v>0</v>
      </c>
    </row>
    <row r="75" spans="1:73" x14ac:dyDescent="0.25">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v>0</v>
      </c>
      <c r="BM75" s="188">
        <v>0</v>
      </c>
      <c r="BN75" s="188">
        <v>0</v>
      </c>
      <c r="BO75" s="188">
        <v>0</v>
      </c>
      <c r="BP75" s="188">
        <v>0</v>
      </c>
      <c r="BQ75" s="188">
        <v>0</v>
      </c>
      <c r="BR75" s="188">
        <v>0</v>
      </c>
      <c r="BS75" s="188">
        <v>0</v>
      </c>
      <c r="BT75" s="188">
        <v>0</v>
      </c>
      <c r="BU75" s="188">
        <v>0</v>
      </c>
    </row>
    <row r="76" spans="1:73" x14ac:dyDescent="0.25">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c r="BS76" s="188">
        <v>0</v>
      </c>
      <c r="BT76" s="188">
        <v>0</v>
      </c>
      <c r="BU76" s="188">
        <v>0</v>
      </c>
    </row>
    <row r="77" spans="1:73" x14ac:dyDescent="0.25">
      <c r="A77" s="188" t="s">
        <v>290</v>
      </c>
      <c r="B77" s="188">
        <v>0</v>
      </c>
      <c r="C77" s="188">
        <v>-4823287992</v>
      </c>
      <c r="D77" s="188">
        <v>0</v>
      </c>
      <c r="E77" s="188">
        <v>-1441522805</v>
      </c>
      <c r="F77" s="188">
        <v>0</v>
      </c>
      <c r="G77" s="188">
        <v>-6556493365</v>
      </c>
      <c r="H77" s="188">
        <v>0</v>
      </c>
      <c r="I77" s="188">
        <v>13172072171</v>
      </c>
      <c r="J77" s="188">
        <v>0</v>
      </c>
      <c r="K77" s="188">
        <v>3853303396</v>
      </c>
      <c r="L77" s="188">
        <v>0</v>
      </c>
      <c r="M77" s="188">
        <v>-321968943</v>
      </c>
      <c r="N77" s="188">
        <v>0</v>
      </c>
      <c r="O77" s="188">
        <v>-4495264852</v>
      </c>
      <c r="P77" s="188">
        <v>0</v>
      </c>
      <c r="Q77" s="188">
        <v>20029731311</v>
      </c>
      <c r="R77" s="188">
        <v>0</v>
      </c>
      <c r="S77" s="188">
        <v>24494958224</v>
      </c>
      <c r="T77" s="188">
        <v>0</v>
      </c>
      <c r="U77" s="188">
        <v>2918489157</v>
      </c>
      <c r="V77" s="188">
        <v>0</v>
      </c>
      <c r="W77" s="188">
        <v>8854254635</v>
      </c>
      <c r="X77" s="188">
        <v>0</v>
      </c>
      <c r="Y77" s="188">
        <v>596953022</v>
      </c>
      <c r="Z77" s="188">
        <v>0</v>
      </c>
      <c r="AA77" s="188">
        <v>-1820431737</v>
      </c>
      <c r="AB77" s="188">
        <v>0</v>
      </c>
      <c r="AC77" s="188">
        <v>-6138414968</v>
      </c>
      <c r="AD77" s="188">
        <v>0</v>
      </c>
      <c r="AE77" s="188">
        <v>-7660426148</v>
      </c>
      <c r="AF77" s="188">
        <v>-4563024795</v>
      </c>
      <c r="AG77" s="188">
        <v>3867458134</v>
      </c>
      <c r="AH77" s="188">
        <v>-4060853776</v>
      </c>
      <c r="AI77" s="188">
        <v>-3137311511</v>
      </c>
      <c r="AJ77" s="188">
        <v>-681227219</v>
      </c>
      <c r="AK77" s="188">
        <v>11701892690</v>
      </c>
      <c r="AL77" s="188">
        <v>9386511213</v>
      </c>
      <c r="AM77" s="188">
        <v>9923347294</v>
      </c>
      <c r="AN77" s="188">
        <v>-636431377</v>
      </c>
      <c r="AO77" s="188">
        <v>2076437614</v>
      </c>
      <c r="AP77" s="188">
        <v>1173081324</v>
      </c>
      <c r="AQ77" s="188">
        <v>-265915400</v>
      </c>
      <c r="AR77" s="188">
        <v>68400698</v>
      </c>
      <c r="AS77" s="188">
        <v>-554177</v>
      </c>
      <c r="AT77" s="188">
        <v>207153384</v>
      </c>
      <c r="AU77" s="188">
        <v>111573871</v>
      </c>
      <c r="AV77" s="188">
        <v>77959960</v>
      </c>
      <c r="AW77" s="188">
        <v>294054901</v>
      </c>
      <c r="AX77" s="188">
        <v>315266060</v>
      </c>
      <c r="AY77" s="188">
        <v>-570270957</v>
      </c>
      <c r="AZ77" s="188">
        <v>-186109347</v>
      </c>
      <c r="BA77" s="188">
        <v>-371917741</v>
      </c>
      <c r="BB77" s="188">
        <v>1843044578</v>
      </c>
      <c r="BC77" s="188">
        <v>2958871698</v>
      </c>
      <c r="BD77" s="188">
        <v>-129711268</v>
      </c>
      <c r="BE77" s="188">
        <v>-635626857</v>
      </c>
      <c r="BF77" s="188">
        <v>1684807730.3099999</v>
      </c>
      <c r="BG77" s="188">
        <v>706353889.34000003</v>
      </c>
      <c r="BH77" s="188">
        <v>1410911104.1199999</v>
      </c>
      <c r="BI77" s="188">
        <v>-61069332</v>
      </c>
      <c r="BJ77" s="188">
        <v>-546755324.5</v>
      </c>
      <c r="BK77" s="188">
        <v>-481717327.56</v>
      </c>
      <c r="BL77" s="188">
        <v>-214830469.43000001</v>
      </c>
      <c r="BM77" s="188">
        <v>1050068678</v>
      </c>
      <c r="BN77" s="188">
        <v>-174672063.77000001</v>
      </c>
      <c r="BO77" s="188">
        <v>-223365026</v>
      </c>
      <c r="BP77" s="188">
        <v>-142072600.09</v>
      </c>
      <c r="BQ77" s="188">
        <v>1086195822</v>
      </c>
      <c r="BR77" s="188">
        <v>131772042</v>
      </c>
      <c r="BS77" s="188">
        <v>-4403824</v>
      </c>
      <c r="BT77" s="188">
        <v>25722000</v>
      </c>
      <c r="BU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1.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1" width="21.44140625" hidden="1" customWidth="1"/>
    <col min="52" max="52" width="22.6640625" hidden="1" customWidth="1"/>
    <col min="53" max="53" width="22.6640625" bestFit="1" customWidth="1"/>
    <col min="54" max="55" width="22.6640625" hidden="1" customWidth="1"/>
    <col min="56"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6" width="21.44140625" hidden="1" customWidth="1"/>
    <col min="67"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7.21875" hidden="1" customWidth="1"/>
    <col min="79" max="81" width="19" bestFit="1" customWidth="1"/>
    <col min="82" max="82" width="9.5546875" hidden="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725</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20020930</v>
      </c>
      <c r="BO1" s="188">
        <v>20020630</v>
      </c>
      <c r="BP1" s="188">
        <v>20020331</v>
      </c>
      <c r="BQ1" s="188">
        <v>20011231</v>
      </c>
      <c r="BR1" s="188">
        <v>20010630</v>
      </c>
      <c r="BS1" s="188">
        <v>20001231</v>
      </c>
      <c r="BT1" s="188">
        <v>20000630</v>
      </c>
      <c r="BU1" s="188">
        <v>19991231</v>
      </c>
      <c r="BV1" s="188">
        <v>19990630</v>
      </c>
      <c r="BW1" s="188">
        <v>19981231</v>
      </c>
      <c r="BX1" s="188">
        <v>19980630</v>
      </c>
      <c r="BY1" s="188">
        <v>19971231</v>
      </c>
      <c r="BZ1" s="188">
        <v>19970630</v>
      </c>
      <c r="CA1" s="188">
        <v>19961231</v>
      </c>
      <c r="CB1" s="188">
        <v>19951231</v>
      </c>
      <c r="CC1" s="188">
        <v>19941231</v>
      </c>
      <c r="CD1" s="188">
        <v>19700101</v>
      </c>
      <c r="CE1" s="188"/>
      <c r="CF1" s="188"/>
      <c r="CG1" s="188"/>
      <c r="CH1" s="188"/>
      <c r="CI1" s="188"/>
      <c r="CJ1" s="188"/>
      <c r="CK1" s="188"/>
      <c r="CL1" s="188"/>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8">
        <v>53087082081</v>
      </c>
      <c r="C4" s="188">
        <v>50581910423</v>
      </c>
      <c r="D4" s="188">
        <v>54077391428</v>
      </c>
      <c r="E4" s="188">
        <v>57128659576</v>
      </c>
      <c r="F4" s="188">
        <v>53519407759</v>
      </c>
      <c r="G4" s="188">
        <v>50760400727</v>
      </c>
      <c r="H4" s="188">
        <v>51228997839</v>
      </c>
      <c r="I4" s="188">
        <v>58152817223</v>
      </c>
      <c r="J4" s="188">
        <v>41018466851</v>
      </c>
      <c r="K4" s="188">
        <v>44519079579</v>
      </c>
      <c r="L4" s="188">
        <v>47770767906</v>
      </c>
      <c r="M4" s="188">
        <v>38866861836</v>
      </c>
      <c r="N4" s="188">
        <v>34825388176</v>
      </c>
      <c r="O4" s="188">
        <v>35265302750</v>
      </c>
      <c r="P4" s="188">
        <v>36572785233</v>
      </c>
      <c r="Q4" s="188">
        <v>40172401999</v>
      </c>
      <c r="R4" s="188">
        <v>40661271821</v>
      </c>
      <c r="S4" s="188">
        <v>44591345895</v>
      </c>
      <c r="T4" s="188">
        <v>50531922101</v>
      </c>
      <c r="U4" s="188">
        <v>20464553422</v>
      </c>
      <c r="V4" s="188">
        <v>23365935107</v>
      </c>
      <c r="W4" s="188">
        <v>28542101405</v>
      </c>
      <c r="X4" s="188">
        <v>16540286439</v>
      </c>
      <c r="Y4" s="188">
        <v>15211851133</v>
      </c>
      <c r="Z4" s="188">
        <v>14039248421</v>
      </c>
      <c r="AA4" s="188">
        <v>15575508881</v>
      </c>
      <c r="AB4" s="188">
        <v>15956853365</v>
      </c>
      <c r="AC4" s="188">
        <v>20325469116</v>
      </c>
      <c r="AD4" s="188">
        <v>19684537758</v>
      </c>
      <c r="AE4" s="188">
        <v>22317926668</v>
      </c>
      <c r="AF4" s="188">
        <v>20830639175</v>
      </c>
      <c r="AG4" s="188">
        <v>23997831673</v>
      </c>
      <c r="AH4" s="188">
        <v>16503919807</v>
      </c>
      <c r="AI4" s="188">
        <v>17427462074</v>
      </c>
      <c r="AJ4" s="188">
        <v>16281329810</v>
      </c>
      <c r="AK4" s="188">
        <v>15836411922</v>
      </c>
      <c r="AL4" s="188">
        <v>13283122033</v>
      </c>
      <c r="AM4" s="188">
        <v>14078586689</v>
      </c>
      <c r="AN4" s="188">
        <v>4100971349</v>
      </c>
      <c r="AO4" s="188">
        <v>3903740704</v>
      </c>
      <c r="AP4" s="188">
        <v>2984353149</v>
      </c>
      <c r="AQ4" s="188">
        <v>1620166213</v>
      </c>
      <c r="AR4" s="188">
        <v>1633981977</v>
      </c>
      <c r="AS4" s="188">
        <v>1704436404</v>
      </c>
      <c r="AT4" s="188">
        <v>2119100548</v>
      </c>
      <c r="AU4" s="188">
        <v>1920791106</v>
      </c>
      <c r="AV4" s="188">
        <v>1887177195</v>
      </c>
      <c r="AW4" s="188">
        <v>1809217235</v>
      </c>
      <c r="AX4" s="188">
        <v>2395946480</v>
      </c>
      <c r="AY4" s="188">
        <v>1510409463</v>
      </c>
      <c r="AZ4" s="188">
        <v>1894571073</v>
      </c>
      <c r="BA4" s="188">
        <v>2080680420</v>
      </c>
      <c r="BB4" s="188">
        <v>3677332912</v>
      </c>
      <c r="BC4" s="188">
        <v>4793160032</v>
      </c>
      <c r="BD4" s="188">
        <v>1704577066</v>
      </c>
      <c r="BE4" s="188">
        <v>1834288334</v>
      </c>
      <c r="BF4" s="188">
        <v>3656404811.3099999</v>
      </c>
      <c r="BG4" s="188">
        <v>2790569226.0900002</v>
      </c>
      <c r="BH4" s="188">
        <v>3462370529.1199999</v>
      </c>
      <c r="BI4" s="188">
        <v>2251459425</v>
      </c>
      <c r="BJ4" s="188">
        <v>1747470380.95</v>
      </c>
      <c r="BK4" s="188">
        <v>1812508377.8900001</v>
      </c>
      <c r="BL4" s="188">
        <v>2079395236.02</v>
      </c>
      <c r="BM4" s="188">
        <v>2294225705</v>
      </c>
      <c r="BN4" s="188">
        <v>1161267124.49</v>
      </c>
      <c r="BO4" s="188">
        <v>1007925671.23</v>
      </c>
      <c r="BP4" s="188">
        <v>1214123990.8</v>
      </c>
      <c r="BQ4" s="188">
        <v>1182597735</v>
      </c>
      <c r="BR4" s="188">
        <v>1273594641.9100001</v>
      </c>
      <c r="BS4" s="188">
        <v>1405962761</v>
      </c>
      <c r="BT4" s="188">
        <v>461243462</v>
      </c>
      <c r="BU4" s="188">
        <v>329471420</v>
      </c>
      <c r="BV4" s="188">
        <v>365063684.08999997</v>
      </c>
      <c r="BW4" s="188">
        <v>333875000</v>
      </c>
      <c r="BX4" s="188">
        <v>324860877.75</v>
      </c>
      <c r="BY4" s="188">
        <v>412086000</v>
      </c>
      <c r="BZ4" s="188">
        <v>0</v>
      </c>
      <c r="CA4" s="188">
        <v>47734000</v>
      </c>
      <c r="CB4" s="188">
        <v>41349000</v>
      </c>
      <c r="CC4" s="188">
        <v>27882000</v>
      </c>
      <c r="CD4" s="188">
        <v>0</v>
      </c>
      <c r="CE4" s="188"/>
      <c r="CF4" s="188"/>
      <c r="CG4" s="188"/>
      <c r="CH4" s="188"/>
      <c r="CI4" s="188"/>
      <c r="CJ4" s="188"/>
      <c r="CK4" s="188"/>
      <c r="CL4" s="188"/>
    </row>
    <row r="5" spans="1:90" x14ac:dyDescent="0.25">
      <c r="A5" s="17" t="s">
        <v>2</v>
      </c>
      <c r="B5" s="188">
        <v>0</v>
      </c>
      <c r="C5" s="188">
        <v>0</v>
      </c>
      <c r="D5" s="188">
        <v>0</v>
      </c>
      <c r="E5" s="188">
        <v>0</v>
      </c>
      <c r="F5" s="188">
        <v>0</v>
      </c>
      <c r="G5" s="188">
        <v>0</v>
      </c>
      <c r="H5" s="188">
        <v>0</v>
      </c>
      <c r="I5" s="188">
        <v>0</v>
      </c>
      <c r="J5" s="188">
        <v>0</v>
      </c>
      <c r="K5" s="188">
        <v>35872347</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67794013</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500000</v>
      </c>
      <c r="BC5" s="188">
        <v>0</v>
      </c>
      <c r="BD5" s="188">
        <v>0</v>
      </c>
      <c r="BE5" s="188">
        <v>0</v>
      </c>
      <c r="BF5" s="188">
        <v>0</v>
      </c>
      <c r="BG5" s="188">
        <v>0</v>
      </c>
      <c r="BH5" s="188">
        <v>0</v>
      </c>
      <c r="BI5" s="188">
        <v>0</v>
      </c>
      <c r="BJ5" s="188">
        <v>0</v>
      </c>
      <c r="BK5" s="188">
        <v>0</v>
      </c>
      <c r="BL5" s="188">
        <v>20425293.57</v>
      </c>
      <c r="BM5" s="188">
        <v>0</v>
      </c>
      <c r="BN5" s="188">
        <v>79861691.019999996</v>
      </c>
      <c r="BO5" s="188">
        <v>0</v>
      </c>
      <c r="BP5" s="188">
        <v>0</v>
      </c>
      <c r="BQ5" s="188">
        <v>0</v>
      </c>
      <c r="BR5" s="188">
        <v>0</v>
      </c>
      <c r="BS5" s="188">
        <v>0</v>
      </c>
      <c r="BT5" s="188">
        <v>0</v>
      </c>
      <c r="BU5" s="188">
        <v>5000000</v>
      </c>
      <c r="BV5" s="188">
        <v>0</v>
      </c>
      <c r="BW5" s="188">
        <v>0</v>
      </c>
      <c r="BX5" s="188">
        <v>0</v>
      </c>
      <c r="BY5" s="188">
        <v>0</v>
      </c>
      <c r="BZ5" s="188">
        <v>0</v>
      </c>
      <c r="CA5" s="188">
        <v>0</v>
      </c>
      <c r="CB5" s="188">
        <v>0</v>
      </c>
      <c r="CC5" s="188">
        <v>0</v>
      </c>
      <c r="CD5" s="188">
        <v>0</v>
      </c>
      <c r="CE5" s="188"/>
      <c r="CF5" s="188"/>
      <c r="CG5" s="188"/>
      <c r="CH5" s="188"/>
      <c r="CI5" s="188"/>
      <c r="CJ5" s="188"/>
      <c r="CK5" s="188"/>
      <c r="CL5" s="188"/>
    </row>
    <row r="6" spans="1:90" x14ac:dyDescent="0.25">
      <c r="A6" s="17" t="s">
        <v>13</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v>0</v>
      </c>
      <c r="BM6" s="188">
        <v>0</v>
      </c>
      <c r="BN6" s="188">
        <v>0</v>
      </c>
      <c r="BO6" s="188">
        <v>0</v>
      </c>
      <c r="BP6" s="188">
        <v>0</v>
      </c>
      <c r="BQ6" s="188">
        <v>0</v>
      </c>
      <c r="BR6" s="188">
        <v>0</v>
      </c>
      <c r="BS6" s="188">
        <v>0</v>
      </c>
      <c r="BT6" s="188">
        <v>0</v>
      </c>
      <c r="BU6" s="188">
        <v>0</v>
      </c>
      <c r="BV6" s="188">
        <v>0</v>
      </c>
      <c r="BW6" s="188">
        <v>0</v>
      </c>
      <c r="BX6" s="188">
        <v>0</v>
      </c>
      <c r="BY6" s="188">
        <v>0</v>
      </c>
      <c r="BZ6" s="188">
        <v>0</v>
      </c>
      <c r="CA6" s="188">
        <v>0</v>
      </c>
      <c r="CB6" s="188">
        <v>0</v>
      </c>
      <c r="CC6" s="188">
        <v>0</v>
      </c>
      <c r="CD6" s="188">
        <v>0</v>
      </c>
      <c r="CE6" s="188"/>
      <c r="CF6" s="188"/>
      <c r="CG6" s="188"/>
      <c r="CH6" s="188"/>
      <c r="CI6" s="188"/>
      <c r="CJ6" s="188"/>
      <c r="CK6" s="188"/>
      <c r="CL6" s="188"/>
    </row>
    <row r="7" spans="1:90" x14ac:dyDescent="0.25">
      <c r="A7" s="17" t="s">
        <v>4</v>
      </c>
      <c r="B7" s="188">
        <v>0</v>
      </c>
      <c r="C7" s="188">
        <v>0</v>
      </c>
      <c r="D7" s="188">
        <v>0</v>
      </c>
      <c r="E7" s="188">
        <v>0</v>
      </c>
      <c r="F7" s="188">
        <v>0</v>
      </c>
      <c r="G7" s="188">
        <v>0</v>
      </c>
      <c r="H7" s="188">
        <v>0</v>
      </c>
      <c r="I7" s="188">
        <v>0</v>
      </c>
      <c r="J7" s="188">
        <v>0</v>
      </c>
      <c r="K7" s="188">
        <v>0</v>
      </c>
      <c r="L7" s="188">
        <v>0</v>
      </c>
      <c r="M7" s="188">
        <v>0</v>
      </c>
      <c r="N7" s="188">
        <v>0</v>
      </c>
      <c r="O7" s="188">
        <v>0</v>
      </c>
      <c r="P7" s="188">
        <v>0</v>
      </c>
      <c r="Q7" s="188">
        <v>0</v>
      </c>
      <c r="R7" s="188">
        <v>0</v>
      </c>
      <c r="S7" s="188">
        <v>0</v>
      </c>
      <c r="T7" s="188">
        <v>0</v>
      </c>
      <c r="U7" s="188">
        <v>0</v>
      </c>
      <c r="V7" s="188">
        <v>0</v>
      </c>
      <c r="W7" s="188">
        <v>0</v>
      </c>
      <c r="X7" s="188">
        <v>0</v>
      </c>
      <c r="Y7" s="188">
        <v>0</v>
      </c>
      <c r="Z7" s="188">
        <v>0</v>
      </c>
      <c r="AA7" s="188">
        <v>0</v>
      </c>
      <c r="AB7" s="188">
        <v>0</v>
      </c>
      <c r="AC7" s="188">
        <v>0</v>
      </c>
      <c r="AD7" s="188">
        <v>0</v>
      </c>
      <c r="AE7" s="188">
        <v>0</v>
      </c>
      <c r="AF7" s="188">
        <v>0</v>
      </c>
      <c r="AG7" s="188">
        <v>0</v>
      </c>
      <c r="AH7" s="188">
        <v>0</v>
      </c>
      <c r="AI7" s="188">
        <v>0</v>
      </c>
      <c r="AJ7" s="188">
        <v>0</v>
      </c>
      <c r="AK7" s="188">
        <v>0</v>
      </c>
      <c r="AL7" s="188">
        <v>0</v>
      </c>
      <c r="AM7" s="188">
        <v>0</v>
      </c>
      <c r="AN7" s="188">
        <v>0</v>
      </c>
      <c r="AO7" s="188">
        <v>0</v>
      </c>
      <c r="AP7" s="188">
        <v>0</v>
      </c>
      <c r="AQ7" s="188">
        <v>0</v>
      </c>
      <c r="AR7" s="188">
        <v>0</v>
      </c>
      <c r="AS7" s="188">
        <v>0</v>
      </c>
      <c r="AT7" s="188">
        <v>0</v>
      </c>
      <c r="AU7" s="188">
        <v>0</v>
      </c>
      <c r="AV7" s="188">
        <v>0</v>
      </c>
      <c r="AW7" s="188">
        <v>0</v>
      </c>
      <c r="AX7" s="188">
        <v>0</v>
      </c>
      <c r="AY7" s="188">
        <v>0</v>
      </c>
      <c r="AZ7" s="188">
        <v>0</v>
      </c>
      <c r="BA7" s="188">
        <v>0</v>
      </c>
      <c r="BB7" s="188">
        <v>0</v>
      </c>
      <c r="BC7" s="188">
        <v>0</v>
      </c>
      <c r="BD7" s="188">
        <v>0</v>
      </c>
      <c r="BE7" s="188">
        <v>0</v>
      </c>
      <c r="BF7" s="188">
        <v>0</v>
      </c>
      <c r="BG7" s="188">
        <v>0</v>
      </c>
      <c r="BH7" s="188">
        <v>0</v>
      </c>
      <c r="BI7" s="188">
        <v>0</v>
      </c>
      <c r="BJ7" s="188">
        <v>0</v>
      </c>
      <c r="BK7" s="188">
        <v>0</v>
      </c>
      <c r="BL7" s="188">
        <v>0</v>
      </c>
      <c r="BM7" s="188">
        <v>0</v>
      </c>
      <c r="BN7" s="188">
        <v>0</v>
      </c>
      <c r="BO7" s="188">
        <v>0</v>
      </c>
      <c r="BP7" s="188">
        <v>0</v>
      </c>
      <c r="BQ7" s="188">
        <v>0</v>
      </c>
      <c r="BR7" s="188">
        <v>0</v>
      </c>
      <c r="BS7" s="188">
        <v>0</v>
      </c>
      <c r="BT7" s="188">
        <v>0</v>
      </c>
      <c r="BU7" s="188">
        <v>0</v>
      </c>
      <c r="BV7" s="188">
        <v>0</v>
      </c>
      <c r="BW7" s="188">
        <v>0</v>
      </c>
      <c r="BX7" s="188">
        <v>0</v>
      </c>
      <c r="BY7" s="188">
        <v>0</v>
      </c>
      <c r="BZ7" s="188">
        <v>0</v>
      </c>
      <c r="CA7" s="188">
        <v>0</v>
      </c>
      <c r="CB7" s="188">
        <v>0</v>
      </c>
      <c r="CC7" s="188">
        <v>0</v>
      </c>
      <c r="CD7" s="188">
        <v>0</v>
      </c>
      <c r="CE7" s="188"/>
      <c r="CF7" s="188"/>
      <c r="CG7" s="188"/>
      <c r="CH7" s="188"/>
      <c r="CI7" s="188"/>
      <c r="CJ7" s="188"/>
      <c r="CK7" s="188"/>
      <c r="CL7" s="188"/>
    </row>
    <row r="8" spans="1:90" x14ac:dyDescent="0.25">
      <c r="A8" s="17" t="s">
        <v>5</v>
      </c>
      <c r="B8" s="188">
        <v>766169370</v>
      </c>
      <c r="C8" s="188">
        <v>777023613</v>
      </c>
      <c r="D8" s="188">
        <v>831371804</v>
      </c>
      <c r="E8" s="188">
        <v>859899356</v>
      </c>
      <c r="F8" s="188">
        <v>850425725</v>
      </c>
      <c r="G8" s="188">
        <v>757249677</v>
      </c>
      <c r="H8" s="188">
        <v>787513973</v>
      </c>
      <c r="I8" s="188">
        <v>622502556</v>
      </c>
      <c r="J8" s="188">
        <v>504652648</v>
      </c>
      <c r="K8" s="188">
        <v>446293769</v>
      </c>
      <c r="L8" s="188">
        <v>413312323</v>
      </c>
      <c r="M8" s="188">
        <v>454096246</v>
      </c>
      <c r="N8" s="188">
        <v>285369654</v>
      </c>
      <c r="O8" s="188">
        <v>391669279</v>
      </c>
      <c r="P8" s="188">
        <v>386002813</v>
      </c>
      <c r="Q8" s="188">
        <v>323530493</v>
      </c>
      <c r="R8" s="188">
        <v>313534194</v>
      </c>
      <c r="S8" s="188">
        <v>226073866</v>
      </c>
      <c r="T8" s="188">
        <v>223345075</v>
      </c>
      <c r="U8" s="188">
        <v>254506569</v>
      </c>
      <c r="V8" s="188">
        <v>122916200</v>
      </c>
      <c r="W8" s="188">
        <v>126552470</v>
      </c>
      <c r="X8" s="188">
        <v>118693337</v>
      </c>
      <c r="Y8" s="188">
        <v>116600700</v>
      </c>
      <c r="Z8" s="188">
        <v>83295158</v>
      </c>
      <c r="AA8" s="188">
        <v>87726361</v>
      </c>
      <c r="AB8" s="188">
        <v>57211342</v>
      </c>
      <c r="AC8" s="188">
        <v>74718931</v>
      </c>
      <c r="AD8" s="188">
        <v>108291709</v>
      </c>
      <c r="AE8" s="188">
        <v>152598955</v>
      </c>
      <c r="AF8" s="188">
        <v>173174403</v>
      </c>
      <c r="AG8" s="188">
        <v>173899899</v>
      </c>
      <c r="AH8" s="188">
        <v>167459674</v>
      </c>
      <c r="AI8" s="188">
        <v>154745799</v>
      </c>
      <c r="AJ8" s="188">
        <v>196357738</v>
      </c>
      <c r="AK8" s="188">
        <v>183909549</v>
      </c>
      <c r="AL8" s="188">
        <v>103036069</v>
      </c>
      <c r="AM8" s="188">
        <v>74086125</v>
      </c>
      <c r="AN8" s="188">
        <v>50921082</v>
      </c>
      <c r="AO8" s="188">
        <v>53707522</v>
      </c>
      <c r="AP8" s="188">
        <v>50176512</v>
      </c>
      <c r="AQ8" s="188">
        <v>86954969</v>
      </c>
      <c r="AR8" s="188">
        <v>101064099</v>
      </c>
      <c r="AS8" s="188">
        <v>129109597</v>
      </c>
      <c r="AT8" s="188">
        <v>0</v>
      </c>
      <c r="AU8" s="188">
        <v>0</v>
      </c>
      <c r="AV8" s="188">
        <v>0</v>
      </c>
      <c r="AW8" s="188">
        <v>0</v>
      </c>
      <c r="AX8" s="188">
        <v>0</v>
      </c>
      <c r="AY8" s="188">
        <v>0</v>
      </c>
      <c r="AZ8" s="188">
        <v>0</v>
      </c>
      <c r="BA8" s="188">
        <v>0</v>
      </c>
      <c r="BB8" s="188">
        <v>0</v>
      </c>
      <c r="BC8" s="188">
        <v>0</v>
      </c>
      <c r="BD8" s="188">
        <v>0</v>
      </c>
      <c r="BE8" s="188">
        <v>0</v>
      </c>
      <c r="BF8" s="188">
        <v>0</v>
      </c>
      <c r="BG8" s="188">
        <v>0</v>
      </c>
      <c r="BH8" s="188">
        <v>0</v>
      </c>
      <c r="BI8" s="188">
        <v>0</v>
      </c>
      <c r="BJ8" s="188">
        <v>0</v>
      </c>
      <c r="BK8" s="188">
        <v>0</v>
      </c>
      <c r="BL8" s="188">
        <v>0</v>
      </c>
      <c r="BM8" s="188">
        <v>0</v>
      </c>
      <c r="BN8" s="188">
        <v>0</v>
      </c>
      <c r="BO8" s="188">
        <v>0</v>
      </c>
      <c r="BP8" s="188">
        <v>0</v>
      </c>
      <c r="BQ8" s="188">
        <v>0</v>
      </c>
      <c r="BR8" s="188">
        <v>0</v>
      </c>
      <c r="BS8" s="188">
        <v>0</v>
      </c>
      <c r="BT8" s="188">
        <v>0</v>
      </c>
      <c r="BU8" s="188">
        <v>0</v>
      </c>
      <c r="BV8" s="188">
        <v>0</v>
      </c>
      <c r="BW8" s="188">
        <v>0</v>
      </c>
      <c r="BX8" s="188">
        <v>0</v>
      </c>
      <c r="BY8" s="188">
        <v>0</v>
      </c>
      <c r="BZ8" s="188">
        <v>0</v>
      </c>
      <c r="CA8" s="188">
        <v>0</v>
      </c>
      <c r="CB8" s="188">
        <v>0</v>
      </c>
      <c r="CC8" s="188">
        <v>0</v>
      </c>
      <c r="CD8" s="188">
        <v>0</v>
      </c>
      <c r="CE8" s="188"/>
      <c r="CF8" s="188"/>
      <c r="CG8" s="188"/>
      <c r="CH8" s="188"/>
      <c r="CI8" s="188"/>
      <c r="CJ8" s="188"/>
      <c r="CK8" s="188"/>
      <c r="CL8" s="188"/>
    </row>
    <row r="9" spans="1:90" x14ac:dyDescent="0.25">
      <c r="A9" s="17" t="s">
        <v>6</v>
      </c>
      <c r="B9" s="188">
        <v>0</v>
      </c>
      <c r="C9" s="188">
        <v>0</v>
      </c>
      <c r="D9" s="188">
        <v>0</v>
      </c>
      <c r="E9" s="188">
        <v>0</v>
      </c>
      <c r="F9" s="188">
        <v>0</v>
      </c>
      <c r="G9" s="188">
        <v>0</v>
      </c>
      <c r="H9" s="188">
        <v>0</v>
      </c>
      <c r="I9" s="188">
        <v>0</v>
      </c>
      <c r="J9" s="188">
        <v>0</v>
      </c>
      <c r="K9" s="188">
        <v>0</v>
      </c>
      <c r="L9" s="188">
        <v>0</v>
      </c>
      <c r="M9" s="188">
        <v>0</v>
      </c>
      <c r="N9" s="188">
        <v>0</v>
      </c>
      <c r="O9" s="188">
        <v>0</v>
      </c>
      <c r="P9" s="188">
        <v>0</v>
      </c>
      <c r="Q9" s="188">
        <v>0</v>
      </c>
      <c r="R9" s="188">
        <v>0</v>
      </c>
      <c r="S9" s="188">
        <v>0</v>
      </c>
      <c r="T9" s="188">
        <v>0</v>
      </c>
      <c r="U9" s="188">
        <v>0</v>
      </c>
      <c r="V9" s="188">
        <v>0</v>
      </c>
      <c r="W9" s="188">
        <v>0</v>
      </c>
      <c r="X9" s="188">
        <v>0</v>
      </c>
      <c r="Y9" s="188">
        <v>0</v>
      </c>
      <c r="Z9" s="188">
        <v>0</v>
      </c>
      <c r="AA9" s="188">
        <v>0</v>
      </c>
      <c r="AB9" s="188">
        <v>0</v>
      </c>
      <c r="AC9" s="188">
        <v>0</v>
      </c>
      <c r="AD9" s="188">
        <v>0</v>
      </c>
      <c r="AE9" s="188">
        <v>0</v>
      </c>
      <c r="AF9" s="188">
        <v>0</v>
      </c>
      <c r="AG9" s="188">
        <v>0</v>
      </c>
      <c r="AH9" s="188">
        <v>0</v>
      </c>
      <c r="AI9" s="188">
        <v>0</v>
      </c>
      <c r="AJ9" s="188">
        <v>0</v>
      </c>
      <c r="AK9" s="188">
        <v>0</v>
      </c>
      <c r="AL9" s="188">
        <v>0</v>
      </c>
      <c r="AM9" s="188">
        <v>0</v>
      </c>
      <c r="AN9" s="188">
        <v>0</v>
      </c>
      <c r="AO9" s="188">
        <v>0</v>
      </c>
      <c r="AP9" s="188">
        <v>0</v>
      </c>
      <c r="AQ9" s="188">
        <v>0</v>
      </c>
      <c r="AR9" s="188">
        <v>0</v>
      </c>
      <c r="AS9" s="188">
        <v>0</v>
      </c>
      <c r="AT9" s="188">
        <v>0</v>
      </c>
      <c r="AU9" s="188">
        <v>0</v>
      </c>
      <c r="AV9" s="188">
        <v>0</v>
      </c>
      <c r="AW9" s="188">
        <v>0</v>
      </c>
      <c r="AX9" s="188">
        <v>0</v>
      </c>
      <c r="AY9" s="188">
        <v>0</v>
      </c>
      <c r="AZ9" s="188">
        <v>164299</v>
      </c>
      <c r="BA9" s="188">
        <v>0</v>
      </c>
      <c r="BB9" s="188">
        <v>172050</v>
      </c>
      <c r="BC9" s="188">
        <v>172050</v>
      </c>
      <c r="BD9" s="188">
        <v>170288</v>
      </c>
      <c r="BE9" s="188">
        <v>170288</v>
      </c>
      <c r="BF9" s="188">
        <v>245281.31</v>
      </c>
      <c r="BG9" s="188">
        <v>177923.62</v>
      </c>
      <c r="BH9" s="188">
        <v>27748.2</v>
      </c>
      <c r="BI9" s="188">
        <v>172922</v>
      </c>
      <c r="BJ9" s="188">
        <v>23281473.420000002</v>
      </c>
      <c r="BK9" s="188">
        <v>11115399.279999999</v>
      </c>
      <c r="BL9" s="188">
        <v>23520645.530000001</v>
      </c>
      <c r="BM9" s="188">
        <v>22073</v>
      </c>
      <c r="BN9" s="188">
        <v>0</v>
      </c>
      <c r="BO9" s="188">
        <v>300000</v>
      </c>
      <c r="BP9" s="188">
        <v>300000</v>
      </c>
      <c r="BQ9" s="188">
        <v>34151294</v>
      </c>
      <c r="BR9" s="188">
        <v>0</v>
      </c>
      <c r="BS9" s="188">
        <v>600000</v>
      </c>
      <c r="BT9" s="188">
        <v>0</v>
      </c>
      <c r="BU9" s="188">
        <v>0</v>
      </c>
      <c r="BV9" s="188">
        <v>0</v>
      </c>
      <c r="BW9" s="188">
        <v>0</v>
      </c>
      <c r="BX9" s="188">
        <v>1760000</v>
      </c>
      <c r="BY9" s="188">
        <v>0</v>
      </c>
      <c r="BZ9" s="188">
        <v>0</v>
      </c>
      <c r="CA9" s="188">
        <v>0</v>
      </c>
      <c r="CB9" s="188">
        <v>0</v>
      </c>
      <c r="CC9" s="188">
        <v>0</v>
      </c>
      <c r="CD9" s="188">
        <v>0</v>
      </c>
      <c r="CE9" s="188"/>
      <c r="CF9" s="188"/>
      <c r="CG9" s="188"/>
      <c r="CH9" s="188"/>
      <c r="CI9" s="188"/>
      <c r="CJ9" s="188"/>
      <c r="CK9" s="188"/>
      <c r="CL9" s="188"/>
    </row>
    <row r="10" spans="1:90" x14ac:dyDescent="0.25">
      <c r="A10" s="19" t="s">
        <v>7</v>
      </c>
      <c r="B10" s="188">
        <v>1268961384</v>
      </c>
      <c r="C10" s="188">
        <v>1278070770</v>
      </c>
      <c r="D10" s="188">
        <v>1295109525</v>
      </c>
      <c r="E10" s="188">
        <v>1296662205</v>
      </c>
      <c r="F10" s="188">
        <v>1270206652</v>
      </c>
      <c r="G10" s="188">
        <v>1271764715</v>
      </c>
      <c r="H10" s="188">
        <v>1190736947</v>
      </c>
      <c r="I10" s="188">
        <v>1192932896</v>
      </c>
      <c r="J10" s="188">
        <v>1200134259</v>
      </c>
      <c r="K10" s="188">
        <v>1210463063</v>
      </c>
      <c r="L10" s="188">
        <v>1227516773</v>
      </c>
      <c r="M10" s="188">
        <v>1227099427</v>
      </c>
      <c r="N10" s="188">
        <v>1237173997</v>
      </c>
      <c r="O10" s="188">
        <v>1240587632</v>
      </c>
      <c r="P10" s="188">
        <v>1247311859</v>
      </c>
      <c r="Q10" s="188">
        <v>1251820763</v>
      </c>
      <c r="R10" s="188">
        <v>1270182816</v>
      </c>
      <c r="S10" s="188">
        <v>1279438548</v>
      </c>
      <c r="T10" s="188">
        <v>1271968659</v>
      </c>
      <c r="U10" s="188">
        <v>1284415937</v>
      </c>
      <c r="V10" s="188">
        <v>1271685267</v>
      </c>
      <c r="W10" s="188">
        <v>1281379052</v>
      </c>
      <c r="X10" s="188">
        <v>1285808878</v>
      </c>
      <c r="Y10" s="188">
        <v>1309561041</v>
      </c>
      <c r="Z10" s="188">
        <v>1308912381</v>
      </c>
      <c r="AA10" s="188">
        <v>1318606167</v>
      </c>
      <c r="AB10" s="188">
        <v>1338208579</v>
      </c>
      <c r="AC10" s="188">
        <v>1340984989</v>
      </c>
      <c r="AD10" s="188">
        <v>1370259249</v>
      </c>
      <c r="AE10" s="188">
        <v>1380873321</v>
      </c>
      <c r="AF10" s="188">
        <v>1391985132</v>
      </c>
      <c r="AG10" s="188">
        <v>1407773542</v>
      </c>
      <c r="AH10" s="188">
        <v>1158103974</v>
      </c>
      <c r="AI10" s="188">
        <v>1166294465</v>
      </c>
      <c r="AJ10" s="188">
        <v>1196037855</v>
      </c>
      <c r="AK10" s="188">
        <v>1204384315</v>
      </c>
      <c r="AL10" s="188">
        <v>148896855</v>
      </c>
      <c r="AM10" s="188">
        <v>169523463</v>
      </c>
      <c r="AN10" s="188">
        <v>172104915</v>
      </c>
      <c r="AO10" s="188">
        <v>174553402</v>
      </c>
      <c r="AP10" s="188">
        <v>119716989</v>
      </c>
      <c r="AQ10" s="188">
        <v>166357723</v>
      </c>
      <c r="AR10" s="188">
        <v>124149439</v>
      </c>
      <c r="AS10" s="188">
        <v>126367406</v>
      </c>
      <c r="AT10" s="188">
        <v>163701581</v>
      </c>
      <c r="AU10" s="188">
        <v>166445493</v>
      </c>
      <c r="AV10" s="188">
        <v>183134748</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c r="BL10" s="188">
        <v>0</v>
      </c>
      <c r="BM10" s="188">
        <v>0</v>
      </c>
      <c r="BN10" s="188">
        <v>0</v>
      </c>
      <c r="BO10" s="188">
        <v>0</v>
      </c>
      <c r="BP10" s="188">
        <v>0</v>
      </c>
      <c r="BQ10" s="188">
        <v>0</v>
      </c>
      <c r="BR10" s="188">
        <v>0</v>
      </c>
      <c r="BS10" s="188">
        <v>0</v>
      </c>
      <c r="BT10" s="188">
        <v>0</v>
      </c>
      <c r="BU10" s="188">
        <v>0</v>
      </c>
      <c r="BV10" s="188">
        <v>0</v>
      </c>
      <c r="BW10" s="188">
        <v>0</v>
      </c>
      <c r="BX10" s="188">
        <v>0</v>
      </c>
      <c r="BY10" s="188">
        <v>0</v>
      </c>
      <c r="BZ10" s="188">
        <v>0</v>
      </c>
      <c r="CA10" s="188">
        <v>0</v>
      </c>
      <c r="CB10" s="188">
        <v>0</v>
      </c>
      <c r="CC10" s="188">
        <v>0</v>
      </c>
      <c r="CD10" s="188">
        <v>0</v>
      </c>
      <c r="CE10" s="188"/>
      <c r="CF10" s="188"/>
      <c r="CG10" s="188"/>
      <c r="CH10" s="188"/>
      <c r="CI10" s="188"/>
      <c r="CJ10" s="188"/>
      <c r="CK10" s="188"/>
      <c r="CL10" s="188"/>
    </row>
    <row r="11" spans="1:90" x14ac:dyDescent="0.25">
      <c r="A11" s="17" t="s">
        <v>8</v>
      </c>
      <c r="B11" s="188">
        <v>0</v>
      </c>
      <c r="C11" s="188">
        <v>5950240</v>
      </c>
      <c r="D11" s="188">
        <v>196070</v>
      </c>
      <c r="E11" s="188">
        <v>0</v>
      </c>
      <c r="F11" s="188">
        <v>0</v>
      </c>
      <c r="G11" s="188">
        <v>10250449</v>
      </c>
      <c r="H11" s="188">
        <v>0</v>
      </c>
      <c r="I11" s="188">
        <v>0</v>
      </c>
      <c r="J11" s="188">
        <v>0</v>
      </c>
      <c r="K11" s="188">
        <v>6651480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6698641</v>
      </c>
      <c r="AU11" s="188">
        <v>0</v>
      </c>
      <c r="AV11" s="188">
        <v>0</v>
      </c>
      <c r="AW11" s="188">
        <v>0</v>
      </c>
      <c r="AX11" s="188">
        <v>0</v>
      </c>
      <c r="AY11" s="188">
        <v>0</v>
      </c>
      <c r="AZ11" s="188">
        <v>0</v>
      </c>
      <c r="BA11" s="188">
        <v>0</v>
      </c>
      <c r="BB11" s="188">
        <v>20723612</v>
      </c>
      <c r="BC11" s="188">
        <v>0</v>
      </c>
      <c r="BD11" s="188">
        <v>0</v>
      </c>
      <c r="BE11" s="188">
        <v>0</v>
      </c>
      <c r="BF11" s="188">
        <v>0</v>
      </c>
      <c r="BG11" s="188">
        <v>0</v>
      </c>
      <c r="BH11" s="188">
        <v>0</v>
      </c>
      <c r="BI11" s="188">
        <v>0</v>
      </c>
      <c r="BJ11" s="188">
        <v>0</v>
      </c>
      <c r="BK11" s="188">
        <v>0</v>
      </c>
      <c r="BL11" s="188">
        <v>0</v>
      </c>
      <c r="BM11" s="188">
        <v>0</v>
      </c>
      <c r="BN11" s="188">
        <v>0</v>
      </c>
      <c r="BO11" s="188">
        <v>0</v>
      </c>
      <c r="BP11" s="188">
        <v>0</v>
      </c>
      <c r="BQ11" s="188">
        <v>0</v>
      </c>
      <c r="BR11" s="188">
        <v>0</v>
      </c>
      <c r="BS11" s="188">
        <v>0</v>
      </c>
      <c r="BT11" s="188">
        <v>0</v>
      </c>
      <c r="BU11" s="188">
        <v>0</v>
      </c>
      <c r="BV11" s="188">
        <v>0</v>
      </c>
      <c r="BW11" s="188">
        <v>0</v>
      </c>
      <c r="BX11" s="188">
        <v>0</v>
      </c>
      <c r="BY11" s="188">
        <v>0</v>
      </c>
      <c r="BZ11" s="188">
        <v>0</v>
      </c>
      <c r="CA11" s="188">
        <v>0</v>
      </c>
      <c r="CB11" s="188">
        <v>0</v>
      </c>
      <c r="CC11" s="188">
        <v>0</v>
      </c>
      <c r="CD11" s="188">
        <v>0</v>
      </c>
      <c r="CE11" s="188"/>
      <c r="CF11" s="188"/>
      <c r="CG11" s="188"/>
      <c r="CH11" s="188"/>
      <c r="CI11" s="188"/>
      <c r="CJ11" s="188"/>
      <c r="CK11" s="188"/>
      <c r="CL11" s="188"/>
    </row>
    <row r="12" spans="1:90" x14ac:dyDescent="0.25">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v>0</v>
      </c>
      <c r="BM12" s="188">
        <v>0</v>
      </c>
      <c r="BN12" s="188">
        <v>0</v>
      </c>
      <c r="BO12" s="188">
        <v>0</v>
      </c>
      <c r="BP12" s="188">
        <v>0</v>
      </c>
      <c r="BQ12" s="188">
        <v>0</v>
      </c>
      <c r="BR12" s="188">
        <v>0</v>
      </c>
      <c r="BS12" s="188">
        <v>0</v>
      </c>
      <c r="BT12" s="188">
        <v>0</v>
      </c>
      <c r="BU12" s="188">
        <v>0</v>
      </c>
      <c r="BV12" s="188">
        <v>0</v>
      </c>
      <c r="BW12" s="188">
        <v>0</v>
      </c>
      <c r="BX12" s="188">
        <v>0</v>
      </c>
      <c r="BY12" s="188">
        <v>0</v>
      </c>
      <c r="BZ12" s="188">
        <v>0</v>
      </c>
      <c r="CA12" s="188">
        <v>0</v>
      </c>
      <c r="CB12" s="188">
        <v>0</v>
      </c>
      <c r="CC12" s="188">
        <v>0</v>
      </c>
      <c r="CD12" s="188">
        <v>0</v>
      </c>
      <c r="CE12" s="188"/>
      <c r="CF12" s="188"/>
      <c r="CG12" s="188"/>
      <c r="CH12" s="188"/>
      <c r="CI12" s="188"/>
      <c r="CJ12" s="188"/>
      <c r="CK12" s="188"/>
      <c r="CL12" s="188"/>
    </row>
    <row r="13" spans="1:90" x14ac:dyDescent="0.25">
      <c r="A13" s="17" t="s">
        <v>10</v>
      </c>
      <c r="B13" s="188">
        <v>0</v>
      </c>
      <c r="C13" s="188">
        <v>127018762</v>
      </c>
      <c r="D13" s="188">
        <v>97251941</v>
      </c>
      <c r="E13" s="188">
        <v>89628559</v>
      </c>
      <c r="F13" s="188">
        <v>102086542</v>
      </c>
      <c r="G13" s="188">
        <v>89188241</v>
      </c>
      <c r="H13" s="188">
        <v>101354581</v>
      </c>
      <c r="I13" s="188">
        <v>125141573</v>
      </c>
      <c r="J13" s="188">
        <v>95871850</v>
      </c>
      <c r="K13" s="188">
        <v>107730119</v>
      </c>
      <c r="L13" s="188">
        <v>102873613</v>
      </c>
      <c r="M13" s="188">
        <v>194518278</v>
      </c>
      <c r="N13" s="188">
        <v>251422668</v>
      </c>
      <c r="O13" s="188">
        <v>241603019</v>
      </c>
      <c r="P13" s="188">
        <v>289509584</v>
      </c>
      <c r="Q13" s="188">
        <v>275877747</v>
      </c>
      <c r="R13" s="188">
        <v>304242276</v>
      </c>
      <c r="S13" s="188">
        <v>211529571</v>
      </c>
      <c r="T13" s="188">
        <v>78249771</v>
      </c>
      <c r="U13" s="188">
        <v>109045546</v>
      </c>
      <c r="V13" s="188">
        <v>96346279</v>
      </c>
      <c r="W13" s="188">
        <v>82336282</v>
      </c>
      <c r="X13" s="188">
        <v>39178603</v>
      </c>
      <c r="Y13" s="188">
        <v>30850933</v>
      </c>
      <c r="Z13" s="188">
        <v>37642050</v>
      </c>
      <c r="AA13" s="188">
        <v>46241459</v>
      </c>
      <c r="AB13" s="188">
        <v>67999851</v>
      </c>
      <c r="AC13" s="188">
        <v>105243519</v>
      </c>
      <c r="AD13" s="188">
        <v>86537208</v>
      </c>
      <c r="AE13" s="188">
        <v>80535776</v>
      </c>
      <c r="AF13" s="188">
        <v>57234109</v>
      </c>
      <c r="AG13" s="188">
        <v>57851997</v>
      </c>
      <c r="AH13" s="188">
        <v>50151702</v>
      </c>
      <c r="AI13" s="188">
        <v>30321304</v>
      </c>
      <c r="AJ13" s="188">
        <v>38198522</v>
      </c>
      <c r="AK13" s="188">
        <v>36303904</v>
      </c>
      <c r="AL13" s="188">
        <v>24206069</v>
      </c>
      <c r="AM13" s="188">
        <v>18713672</v>
      </c>
      <c r="AN13" s="188">
        <v>6192252</v>
      </c>
      <c r="AO13" s="188">
        <v>6561758</v>
      </c>
      <c r="AP13" s="188">
        <v>4758428</v>
      </c>
      <c r="AQ13" s="188">
        <v>1818092</v>
      </c>
      <c r="AR13" s="188">
        <v>467594</v>
      </c>
      <c r="AS13" s="188">
        <v>1516906</v>
      </c>
      <c r="AT13" s="188">
        <v>3315917</v>
      </c>
      <c r="AU13" s="188">
        <v>8856198</v>
      </c>
      <c r="AV13" s="188">
        <v>5514140</v>
      </c>
      <c r="AW13" s="188">
        <v>0</v>
      </c>
      <c r="AX13" s="188">
        <v>0</v>
      </c>
      <c r="AY13" s="188">
        <v>0</v>
      </c>
      <c r="AZ13" s="188">
        <v>0</v>
      </c>
      <c r="BA13" s="188">
        <v>0</v>
      </c>
      <c r="BB13" s="188">
        <v>6894406</v>
      </c>
      <c r="BC13" s="188">
        <v>5024157</v>
      </c>
      <c r="BD13" s="188">
        <v>9542814</v>
      </c>
      <c r="BE13" s="188">
        <v>4632591</v>
      </c>
      <c r="BF13" s="188">
        <v>3089731.38</v>
      </c>
      <c r="BG13" s="188">
        <v>2471914.25</v>
      </c>
      <c r="BH13" s="188">
        <v>7266074.0599999996</v>
      </c>
      <c r="BI13" s="188">
        <v>0</v>
      </c>
      <c r="BJ13" s="188">
        <v>1793702.38</v>
      </c>
      <c r="BK13" s="188">
        <v>5429884.2599999998</v>
      </c>
      <c r="BL13" s="188">
        <v>825550.82</v>
      </c>
      <c r="BM13" s="188">
        <v>0</v>
      </c>
      <c r="BN13" s="188">
        <v>0</v>
      </c>
      <c r="BO13" s="188">
        <v>0</v>
      </c>
      <c r="BP13" s="188">
        <v>0</v>
      </c>
      <c r="BQ13" s="188">
        <v>0</v>
      </c>
      <c r="BR13" s="188">
        <v>0</v>
      </c>
      <c r="BS13" s="188">
        <v>0</v>
      </c>
      <c r="BT13" s="188">
        <v>0</v>
      </c>
      <c r="BU13" s="188">
        <v>0</v>
      </c>
      <c r="BV13" s="188">
        <v>0</v>
      </c>
      <c r="BW13" s="188">
        <v>0</v>
      </c>
      <c r="BX13" s="188">
        <v>0</v>
      </c>
      <c r="BY13" s="188">
        <v>0</v>
      </c>
      <c r="BZ13" s="188">
        <v>0</v>
      </c>
      <c r="CA13" s="188">
        <v>0</v>
      </c>
      <c r="CB13" s="188">
        <v>0</v>
      </c>
      <c r="CC13" s="188">
        <v>0</v>
      </c>
      <c r="CD13" s="188">
        <v>0</v>
      </c>
      <c r="CE13" s="188"/>
      <c r="CF13" s="188"/>
      <c r="CG13" s="188"/>
      <c r="CH13" s="188"/>
      <c r="CI13" s="188"/>
      <c r="CJ13" s="188"/>
      <c r="CK13" s="188"/>
      <c r="CL13" s="188"/>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0" t="s">
        <v>11</v>
      </c>
      <c r="B17" s="33">
        <f>SUM(B4:B13)</f>
        <v>55122212835</v>
      </c>
      <c r="C17" s="33">
        <f t="shared" ref="C17:BN17" si="0">SUM(C4:C13)</f>
        <v>52769973808</v>
      </c>
      <c r="D17" s="33">
        <f t="shared" si="0"/>
        <v>56301320768</v>
      </c>
      <c r="E17" s="33">
        <f t="shared" si="0"/>
        <v>59374849696</v>
      </c>
      <c r="F17" s="33">
        <f t="shared" si="0"/>
        <v>55742126678</v>
      </c>
      <c r="G17" s="33">
        <f t="shared" si="0"/>
        <v>52888853809</v>
      </c>
      <c r="H17" s="33">
        <f t="shared" si="0"/>
        <v>53308603340</v>
      </c>
      <c r="I17" s="33">
        <f t="shared" si="0"/>
        <v>60093394248</v>
      </c>
      <c r="J17" s="33">
        <f t="shared" si="0"/>
        <v>42819125608</v>
      </c>
      <c r="K17" s="33">
        <f t="shared" si="0"/>
        <v>46326090357</v>
      </c>
      <c r="L17" s="33">
        <f t="shared" si="0"/>
        <v>49514470615</v>
      </c>
      <c r="M17" s="33">
        <f t="shared" si="0"/>
        <v>40742575787</v>
      </c>
      <c r="N17" s="33">
        <f t="shared" si="0"/>
        <v>36599354495</v>
      </c>
      <c r="O17" s="33">
        <f t="shared" si="0"/>
        <v>37139162680</v>
      </c>
      <c r="P17" s="33">
        <f t="shared" si="0"/>
        <v>38495609489</v>
      </c>
      <c r="Q17" s="33">
        <f t="shared" si="0"/>
        <v>42023631002</v>
      </c>
      <c r="R17" s="33">
        <f t="shared" si="0"/>
        <v>42549231107</v>
      </c>
      <c r="S17" s="33">
        <f t="shared" si="0"/>
        <v>46308387880</v>
      </c>
      <c r="T17" s="33">
        <f t="shared" si="0"/>
        <v>52105485606</v>
      </c>
      <c r="U17" s="33">
        <f t="shared" si="0"/>
        <v>22112521474</v>
      </c>
      <c r="V17" s="33">
        <f t="shared" si="0"/>
        <v>24856882853</v>
      </c>
      <c r="W17" s="33">
        <f t="shared" si="0"/>
        <v>30032369209</v>
      </c>
      <c r="X17" s="33">
        <f t="shared" si="0"/>
        <v>17983967257</v>
      </c>
      <c r="Y17" s="33">
        <f t="shared" si="0"/>
        <v>16668863807</v>
      </c>
      <c r="Z17" s="33">
        <f t="shared" si="0"/>
        <v>15469098010</v>
      </c>
      <c r="AA17" s="33">
        <f t="shared" si="0"/>
        <v>17028082868</v>
      </c>
      <c r="AB17" s="33">
        <f t="shared" si="0"/>
        <v>17420273137</v>
      </c>
      <c r="AC17" s="33">
        <f t="shared" si="0"/>
        <v>21846416555</v>
      </c>
      <c r="AD17" s="33">
        <f t="shared" si="0"/>
        <v>21249625924</v>
      </c>
      <c r="AE17" s="33">
        <f t="shared" si="0"/>
        <v>23931934720</v>
      </c>
      <c r="AF17" s="33">
        <f t="shared" si="0"/>
        <v>22453032819</v>
      </c>
      <c r="AG17" s="33">
        <f t="shared" si="0"/>
        <v>25705151124</v>
      </c>
      <c r="AH17" s="33">
        <f t="shared" si="0"/>
        <v>17879635157</v>
      </c>
      <c r="AI17" s="33">
        <f t="shared" si="0"/>
        <v>18778823642</v>
      </c>
      <c r="AJ17" s="33">
        <f t="shared" si="0"/>
        <v>17711923925</v>
      </c>
      <c r="AK17" s="33">
        <f t="shared" si="0"/>
        <v>17261009690</v>
      </c>
      <c r="AL17" s="33">
        <f t="shared" si="0"/>
        <v>13559261026</v>
      </c>
      <c r="AM17" s="33">
        <f t="shared" si="0"/>
        <v>14340909949</v>
      </c>
      <c r="AN17" s="33">
        <f t="shared" si="0"/>
        <v>4330189598</v>
      </c>
      <c r="AO17" s="33">
        <f t="shared" si="0"/>
        <v>4138563386</v>
      </c>
      <c r="AP17" s="33">
        <f t="shared" si="0"/>
        <v>3159005078</v>
      </c>
      <c r="AQ17" s="33">
        <f t="shared" si="0"/>
        <v>1875296997</v>
      </c>
      <c r="AR17" s="33">
        <f t="shared" si="0"/>
        <v>1859663109</v>
      </c>
      <c r="AS17" s="33">
        <f t="shared" si="0"/>
        <v>1961430313</v>
      </c>
      <c r="AT17" s="33">
        <f t="shared" si="0"/>
        <v>2292816687</v>
      </c>
      <c r="AU17" s="33">
        <f t="shared" si="0"/>
        <v>2096092797</v>
      </c>
      <c r="AV17" s="33">
        <f t="shared" si="0"/>
        <v>2075826083</v>
      </c>
      <c r="AW17" s="33">
        <f t="shared" si="0"/>
        <v>1809217235</v>
      </c>
      <c r="AX17" s="33">
        <f t="shared" si="0"/>
        <v>2395946480</v>
      </c>
      <c r="AY17" s="33">
        <f t="shared" si="0"/>
        <v>1510409463</v>
      </c>
      <c r="AZ17" s="33">
        <f t="shared" si="0"/>
        <v>1894735372</v>
      </c>
      <c r="BA17" s="33">
        <f t="shared" si="0"/>
        <v>2080680420</v>
      </c>
      <c r="BB17" s="33">
        <f t="shared" si="0"/>
        <v>3705622980</v>
      </c>
      <c r="BC17" s="33">
        <f t="shared" si="0"/>
        <v>4798356239</v>
      </c>
      <c r="BD17" s="33">
        <f t="shared" si="0"/>
        <v>1714290168</v>
      </c>
      <c r="BE17" s="33">
        <f t="shared" si="0"/>
        <v>1839091213</v>
      </c>
      <c r="BF17" s="33">
        <f t="shared" si="0"/>
        <v>3659739824</v>
      </c>
      <c r="BG17" s="33">
        <f t="shared" si="0"/>
        <v>2793219063.96</v>
      </c>
      <c r="BH17" s="33">
        <f t="shared" si="0"/>
        <v>3469664351.3799996</v>
      </c>
      <c r="BI17" s="33">
        <f t="shared" si="0"/>
        <v>2251632347</v>
      </c>
      <c r="BJ17" s="33">
        <f t="shared" si="0"/>
        <v>1772545556.7500002</v>
      </c>
      <c r="BK17" s="33">
        <f t="shared" si="0"/>
        <v>1829053661.4300001</v>
      </c>
      <c r="BL17" s="33">
        <f t="shared" si="0"/>
        <v>2124166725.9399998</v>
      </c>
      <c r="BM17" s="33">
        <f t="shared" si="0"/>
        <v>2294247778</v>
      </c>
      <c r="BN17" s="33">
        <f t="shared" si="0"/>
        <v>1241128815.51</v>
      </c>
      <c r="BO17" s="33">
        <f t="shared" ref="BO17:CK17" si="1">SUM(BO4:BO13)</f>
        <v>1008225671.23</v>
      </c>
      <c r="BP17" s="33">
        <f t="shared" si="1"/>
        <v>1214423990.8</v>
      </c>
      <c r="BQ17" s="33">
        <f t="shared" si="1"/>
        <v>1216749029</v>
      </c>
      <c r="BR17" s="33">
        <f t="shared" si="1"/>
        <v>1273594641.9100001</v>
      </c>
      <c r="BS17" s="33">
        <f t="shared" si="1"/>
        <v>1406562761</v>
      </c>
      <c r="BT17" s="33">
        <f t="shared" si="1"/>
        <v>461243462</v>
      </c>
      <c r="BU17" s="33">
        <f t="shared" si="1"/>
        <v>334471420</v>
      </c>
      <c r="BV17" s="33">
        <f t="shared" si="1"/>
        <v>365063684.08999997</v>
      </c>
      <c r="BW17" s="33">
        <f t="shared" si="1"/>
        <v>333875000</v>
      </c>
      <c r="BX17" s="33">
        <f t="shared" si="1"/>
        <v>326620877.75</v>
      </c>
      <c r="BY17" s="33">
        <f t="shared" si="1"/>
        <v>412086000</v>
      </c>
      <c r="BZ17" s="33">
        <f t="shared" si="1"/>
        <v>0</v>
      </c>
      <c r="CA17" s="33">
        <f t="shared" si="1"/>
        <v>47734000</v>
      </c>
      <c r="CB17" s="33">
        <f t="shared" si="1"/>
        <v>41349000</v>
      </c>
      <c r="CC17" s="33">
        <f t="shared" si="1"/>
        <v>27882000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1" t="s">
        <v>79</v>
      </c>
      <c r="B18" s="34"/>
      <c r="C18" s="34"/>
      <c r="D18" s="34"/>
      <c r="E18" s="34"/>
      <c r="F18" s="34"/>
      <c r="G18" s="34"/>
      <c r="H18" s="34"/>
      <c r="I18" s="34"/>
      <c r="J18" s="34"/>
      <c r="K18" s="34"/>
      <c r="L18" s="32"/>
      <c r="M18" s="14"/>
      <c r="N18" s="14"/>
    </row>
    <row r="19" spans="1:90" s="5" customFormat="1" x14ac:dyDescent="0.25">
      <c r="A19" s="120" t="s">
        <v>78</v>
      </c>
      <c r="B19" s="188">
        <v>4036661192</v>
      </c>
      <c r="C19" s="188">
        <v>3443815633</v>
      </c>
      <c r="D19" s="188">
        <v>7644759426</v>
      </c>
      <c r="E19" s="188">
        <v>6928854415</v>
      </c>
      <c r="F19" s="188">
        <v>2353204156</v>
      </c>
      <c r="G19" s="188">
        <v>1981030454</v>
      </c>
      <c r="H19" s="188">
        <v>2002572698</v>
      </c>
      <c r="I19" s="188">
        <v>1356111395</v>
      </c>
      <c r="J19" s="188">
        <v>2002226109</v>
      </c>
      <c r="K19" s="188">
        <v>1700914108</v>
      </c>
      <c r="L19" s="188">
        <v>1693922362</v>
      </c>
      <c r="M19" s="188">
        <v>1260302959</v>
      </c>
      <c r="N19" s="188">
        <v>739896624</v>
      </c>
      <c r="O19" s="188">
        <v>658876472</v>
      </c>
      <c r="P19" s="188">
        <v>641755139</v>
      </c>
      <c r="Q19" s="188">
        <v>638819435</v>
      </c>
      <c r="R19" s="188">
        <v>977223524</v>
      </c>
      <c r="S19" s="188">
        <v>988203148</v>
      </c>
      <c r="T19" s="188">
        <v>991222703</v>
      </c>
      <c r="U19" s="188">
        <v>989848083</v>
      </c>
      <c r="V19" s="188">
        <v>992116907</v>
      </c>
      <c r="W19" s="188">
        <v>991715815</v>
      </c>
      <c r="X19" s="188">
        <v>971975116</v>
      </c>
      <c r="Y19" s="188">
        <v>971409821</v>
      </c>
      <c r="Z19" s="188">
        <v>959560829</v>
      </c>
      <c r="AA19" s="188">
        <v>946293066</v>
      </c>
      <c r="AB19" s="188">
        <v>957524281</v>
      </c>
      <c r="AC19" s="188">
        <v>958879205</v>
      </c>
      <c r="AD19" s="188">
        <v>59381694</v>
      </c>
      <c r="AE19" s="188">
        <v>60331623</v>
      </c>
      <c r="AF19" s="188">
        <v>61881116</v>
      </c>
      <c r="AG19" s="188">
        <v>63164307</v>
      </c>
      <c r="AH19" s="188">
        <v>65024243</v>
      </c>
      <c r="AI19" s="188">
        <v>67004833</v>
      </c>
      <c r="AJ19" s="188">
        <v>62274081</v>
      </c>
      <c r="AK19" s="188">
        <v>64230890</v>
      </c>
      <c r="AL19" s="188">
        <v>396453171</v>
      </c>
      <c r="AM19" s="188">
        <v>209838134</v>
      </c>
      <c r="AN19" s="188">
        <v>320045139</v>
      </c>
      <c r="AO19" s="188">
        <v>340783862</v>
      </c>
      <c r="AP19" s="188">
        <v>553320382</v>
      </c>
      <c r="AQ19" s="188">
        <v>612351087</v>
      </c>
      <c r="AR19" s="188">
        <v>625466906</v>
      </c>
      <c r="AS19" s="188">
        <v>641652657</v>
      </c>
      <c r="AT19" s="188">
        <v>1933155846</v>
      </c>
      <c r="AU19" s="188">
        <v>1899604979</v>
      </c>
      <c r="AV19" s="188">
        <v>1967960807</v>
      </c>
      <c r="AW19" s="188">
        <v>2817778818</v>
      </c>
      <c r="AX19" s="188">
        <v>2634553967</v>
      </c>
      <c r="AY19" s="188">
        <v>2580944786</v>
      </c>
      <c r="AZ19" s="188">
        <v>2624620305</v>
      </c>
      <c r="BA19" s="188">
        <v>2605606712</v>
      </c>
      <c r="BB19" s="188">
        <v>2270871525</v>
      </c>
      <c r="BC19" s="188">
        <v>2262816984</v>
      </c>
      <c r="BD19" s="188">
        <v>2250333852</v>
      </c>
      <c r="BE19" s="188">
        <v>2219799838</v>
      </c>
      <c r="BF19" s="188">
        <v>2143353650.98</v>
      </c>
      <c r="BG19" s="188">
        <v>2065685939.9000001</v>
      </c>
      <c r="BH19" s="188">
        <v>2074452135.79</v>
      </c>
      <c r="BI19" s="188">
        <v>1993438496</v>
      </c>
      <c r="BJ19" s="188">
        <v>903179170.05999994</v>
      </c>
      <c r="BK19" s="188">
        <v>845880901.57000005</v>
      </c>
      <c r="BL19" s="188">
        <v>908250874.90999997</v>
      </c>
      <c r="BM19" s="188">
        <v>885333370</v>
      </c>
      <c r="BN19" s="188">
        <v>876137245.87</v>
      </c>
      <c r="BO19" s="188">
        <v>855196372.86000001</v>
      </c>
      <c r="BP19" s="188">
        <v>789076874.54999995</v>
      </c>
      <c r="BQ19" s="188">
        <v>840789461</v>
      </c>
      <c r="BR19" s="188">
        <v>837779326.84000003</v>
      </c>
      <c r="BS19" s="188">
        <v>763187795</v>
      </c>
      <c r="BT19" s="188">
        <v>760202945</v>
      </c>
      <c r="BU19" s="188">
        <v>725872054</v>
      </c>
      <c r="BV19" s="188">
        <v>684704095.50999999</v>
      </c>
      <c r="BW19" s="188">
        <v>664774000</v>
      </c>
      <c r="BX19" s="188">
        <v>681086144.38</v>
      </c>
      <c r="BY19" s="188">
        <v>650061000</v>
      </c>
      <c r="BZ19" s="188">
        <v>524021000</v>
      </c>
      <c r="CA19" s="188">
        <v>499012000</v>
      </c>
      <c r="CB19" s="188">
        <v>408560000</v>
      </c>
      <c r="CC19" s="188">
        <v>319932000</v>
      </c>
      <c r="CD19" s="188">
        <v>0</v>
      </c>
      <c r="CE19" s="188"/>
      <c r="CF19" s="188"/>
      <c r="CG19" s="188"/>
      <c r="CH19" s="188"/>
      <c r="CI19" s="188"/>
      <c r="CJ19" s="188"/>
      <c r="CK19" s="188"/>
      <c r="CL19" s="188"/>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8">
        <v>533324430</v>
      </c>
      <c r="C22" s="188">
        <v>540151648</v>
      </c>
      <c r="D22" s="188">
        <v>784406924</v>
      </c>
      <c r="E22" s="188">
        <v>833268127</v>
      </c>
      <c r="F22" s="188">
        <v>1266574627</v>
      </c>
      <c r="G22" s="188">
        <v>1263302564</v>
      </c>
      <c r="H22" s="188">
        <v>1084692803</v>
      </c>
      <c r="I22" s="188">
        <v>1369836650</v>
      </c>
      <c r="J22" s="188">
        <v>1219908043</v>
      </c>
      <c r="K22" s="188">
        <v>1065793439</v>
      </c>
      <c r="L22" s="188">
        <v>629524293</v>
      </c>
      <c r="M22" s="188">
        <v>362053092</v>
      </c>
      <c r="N22" s="188">
        <v>244458507</v>
      </c>
      <c r="O22" s="188">
        <v>218474506</v>
      </c>
      <c r="P22" s="188">
        <v>356189850</v>
      </c>
      <c r="Q22" s="188">
        <v>501172383</v>
      </c>
      <c r="R22" s="188">
        <v>529719139</v>
      </c>
      <c r="S22" s="188">
        <v>441895086</v>
      </c>
      <c r="T22" s="188">
        <v>530085147</v>
      </c>
      <c r="U22" s="188">
        <v>565423076</v>
      </c>
      <c r="V22" s="188">
        <v>760409630</v>
      </c>
      <c r="W22" s="188">
        <v>728155809</v>
      </c>
      <c r="X22" s="188">
        <v>899584110</v>
      </c>
      <c r="Y22" s="188">
        <v>860883384</v>
      </c>
      <c r="Z22" s="188">
        <v>620834911</v>
      </c>
      <c r="AA22" s="188">
        <v>551484685</v>
      </c>
      <c r="AB22" s="188">
        <v>558795142</v>
      </c>
      <c r="AC22" s="188">
        <v>340293997</v>
      </c>
      <c r="AD22" s="188">
        <v>468059649</v>
      </c>
      <c r="AE22" s="188">
        <v>353407224</v>
      </c>
      <c r="AF22" s="188">
        <v>428420157</v>
      </c>
      <c r="AG22" s="188">
        <v>378937778</v>
      </c>
      <c r="AH22" s="188">
        <v>332634775</v>
      </c>
      <c r="AI22" s="188">
        <v>330368454</v>
      </c>
      <c r="AJ22" s="188">
        <v>286939451</v>
      </c>
      <c r="AK22" s="188">
        <v>331898229</v>
      </c>
      <c r="AL22" s="188">
        <v>312526528</v>
      </c>
      <c r="AM22" s="188">
        <v>240688147</v>
      </c>
      <c r="AN22" s="188">
        <v>191595441</v>
      </c>
      <c r="AO22" s="188">
        <v>305340503</v>
      </c>
      <c r="AP22" s="188">
        <v>192781562</v>
      </c>
      <c r="AQ22" s="188">
        <v>140211664</v>
      </c>
      <c r="AR22" s="188">
        <v>182991495</v>
      </c>
      <c r="AS22" s="188">
        <v>175783058</v>
      </c>
      <c r="AT22" s="188">
        <v>341667556</v>
      </c>
      <c r="AU22" s="188">
        <v>112054545</v>
      </c>
      <c r="AV22" s="188">
        <v>100860667</v>
      </c>
      <c r="AW22" s="188">
        <v>57068391</v>
      </c>
      <c r="AX22" s="188">
        <v>168392735</v>
      </c>
      <c r="AY22" s="188">
        <v>135650187</v>
      </c>
      <c r="AZ22" s="188">
        <v>123163661</v>
      </c>
      <c r="BA22" s="188">
        <v>101237757</v>
      </c>
      <c r="BB22" s="188">
        <v>148119509</v>
      </c>
      <c r="BC22" s="188">
        <v>194903981</v>
      </c>
      <c r="BD22" s="188">
        <v>191014648</v>
      </c>
      <c r="BE22" s="188">
        <v>200318607</v>
      </c>
      <c r="BF22" s="188">
        <v>172552766.40000001</v>
      </c>
      <c r="BG22" s="188">
        <v>209846266.68000001</v>
      </c>
      <c r="BH22" s="188">
        <v>194742248.43000001</v>
      </c>
      <c r="BI22" s="188">
        <v>154184396</v>
      </c>
      <c r="BJ22" s="188">
        <v>153524748.94</v>
      </c>
      <c r="BK22" s="188">
        <v>147811200.53</v>
      </c>
      <c r="BL22" s="188">
        <v>128550634.76000001</v>
      </c>
      <c r="BM22" s="188">
        <v>83253450</v>
      </c>
      <c r="BN22" s="188">
        <v>0</v>
      </c>
      <c r="BO22" s="188">
        <v>159180368.99000001</v>
      </c>
      <c r="BP22" s="188">
        <v>127220357.20999999</v>
      </c>
      <c r="BQ22" s="188">
        <v>107294474</v>
      </c>
      <c r="BR22" s="188">
        <v>39032584</v>
      </c>
      <c r="BS22" s="188">
        <v>34396338</v>
      </c>
      <c r="BT22" s="188">
        <v>41740636</v>
      </c>
      <c r="BU22" s="188">
        <v>17245281</v>
      </c>
      <c r="BV22" s="188">
        <v>19712112.59</v>
      </c>
      <c r="BW22" s="188">
        <v>19828000</v>
      </c>
      <c r="BX22" s="188">
        <v>17709506.440000001</v>
      </c>
      <c r="BY22" s="188">
        <v>14533000</v>
      </c>
      <c r="BZ22" s="188">
        <v>0</v>
      </c>
      <c r="CA22" s="188">
        <v>9583000</v>
      </c>
      <c r="CB22" s="188">
        <v>884000</v>
      </c>
      <c r="CC22" s="188">
        <v>256000</v>
      </c>
      <c r="CD22" s="188">
        <v>0</v>
      </c>
      <c r="CE22" s="188"/>
      <c r="CF22" s="188"/>
      <c r="CG22" s="188"/>
      <c r="CH22" s="188"/>
      <c r="CI22" s="188"/>
      <c r="CJ22" s="188"/>
      <c r="CK22" s="188"/>
      <c r="CL22" s="188"/>
    </row>
    <row r="23" spans="1:90" x14ac:dyDescent="0.25">
      <c r="A23" s="17" t="s">
        <v>15</v>
      </c>
      <c r="B23" s="188">
        <v>19161653053</v>
      </c>
      <c r="C23" s="188">
        <v>17356033029</v>
      </c>
      <c r="D23" s="188">
        <v>14069001897</v>
      </c>
      <c r="E23" s="188">
        <v>15513763252</v>
      </c>
      <c r="F23" s="188">
        <v>15052229887</v>
      </c>
      <c r="G23" s="188">
        <v>16863534739</v>
      </c>
      <c r="H23" s="188">
        <v>15250839378</v>
      </c>
      <c r="I23" s="188">
        <v>16191791617</v>
      </c>
      <c r="J23" s="188">
        <v>13672569024</v>
      </c>
      <c r="K23" s="188">
        <v>10729817649</v>
      </c>
      <c r="L23" s="188">
        <v>7626082142</v>
      </c>
      <c r="M23" s="188">
        <v>8192514361</v>
      </c>
      <c r="N23" s="188">
        <v>8417046247</v>
      </c>
      <c r="O23" s="188">
        <v>7394263585</v>
      </c>
      <c r="P23" s="188">
        <v>7596364487</v>
      </c>
      <c r="Q23" s="188">
        <v>6615762122</v>
      </c>
      <c r="R23" s="188">
        <v>6178352533</v>
      </c>
      <c r="S23" s="188">
        <v>5122439581</v>
      </c>
      <c r="T23" s="188">
        <v>4557280210</v>
      </c>
      <c r="U23" s="188">
        <v>4855938522</v>
      </c>
      <c r="V23" s="188">
        <v>5329676563</v>
      </c>
      <c r="W23" s="188">
        <v>5367401093</v>
      </c>
      <c r="X23" s="188">
        <v>5670483982</v>
      </c>
      <c r="Y23" s="188">
        <v>5196041164</v>
      </c>
      <c r="Z23" s="188">
        <v>5205471791</v>
      </c>
      <c r="AA23" s="188">
        <v>3386388813</v>
      </c>
      <c r="AB23" s="188">
        <v>2846814720</v>
      </c>
      <c r="AC23" s="188">
        <v>2560795545</v>
      </c>
      <c r="AD23" s="188">
        <v>2083599248</v>
      </c>
      <c r="AE23" s="188">
        <v>1800092683</v>
      </c>
      <c r="AF23" s="188">
        <v>1460472955</v>
      </c>
      <c r="AG23" s="188">
        <v>1263204267</v>
      </c>
      <c r="AH23" s="188">
        <v>1243364291</v>
      </c>
      <c r="AI23" s="188">
        <v>1414740896</v>
      </c>
      <c r="AJ23" s="188">
        <v>1293535466</v>
      </c>
      <c r="AK23" s="188">
        <v>1195729431</v>
      </c>
      <c r="AL23" s="188">
        <v>1024790621</v>
      </c>
      <c r="AM23" s="188">
        <v>909783165</v>
      </c>
      <c r="AN23" s="188">
        <v>534513350</v>
      </c>
      <c r="AO23" s="188">
        <v>485918608</v>
      </c>
      <c r="AP23" s="188">
        <v>1008582068</v>
      </c>
      <c r="AQ23" s="188">
        <v>1602580544</v>
      </c>
      <c r="AR23" s="188">
        <v>1640182824</v>
      </c>
      <c r="AS23" s="188">
        <v>1793612342</v>
      </c>
      <c r="AT23" s="188">
        <v>1550597946</v>
      </c>
      <c r="AU23" s="188">
        <v>1623382251</v>
      </c>
      <c r="AV23" s="188">
        <v>1254576404</v>
      </c>
      <c r="AW23" s="188">
        <v>1117873492</v>
      </c>
      <c r="AX23" s="188">
        <v>1074601933</v>
      </c>
      <c r="AY23" s="188">
        <v>1268056626</v>
      </c>
      <c r="AZ23" s="188">
        <v>1367317953</v>
      </c>
      <c r="BA23" s="188">
        <v>1775056323</v>
      </c>
      <c r="BB23" s="188">
        <v>3087139691</v>
      </c>
      <c r="BC23" s="188">
        <v>2135585996</v>
      </c>
      <c r="BD23" s="188">
        <v>1683989481</v>
      </c>
      <c r="BE23" s="188">
        <v>1842106801</v>
      </c>
      <c r="BF23" s="188">
        <v>2590511829.4499998</v>
      </c>
      <c r="BG23" s="188">
        <v>2217458947.0999999</v>
      </c>
      <c r="BH23" s="188">
        <v>2460940774.0300002</v>
      </c>
      <c r="BI23" s="188">
        <v>1867071902</v>
      </c>
      <c r="BJ23" s="188">
        <v>1842354752.51</v>
      </c>
      <c r="BK23" s="188">
        <v>1576389486.51</v>
      </c>
      <c r="BL23" s="188">
        <v>1511875874.6600001</v>
      </c>
      <c r="BM23" s="188">
        <v>1058741716</v>
      </c>
      <c r="BN23" s="188">
        <v>1148305949.54</v>
      </c>
      <c r="BO23" s="188">
        <v>869599204.12</v>
      </c>
      <c r="BP23" s="188">
        <v>811629222.86000001</v>
      </c>
      <c r="BQ23" s="188">
        <v>466255952</v>
      </c>
      <c r="BR23" s="188">
        <v>513320715.93000001</v>
      </c>
      <c r="BS23" s="188">
        <v>561781193</v>
      </c>
      <c r="BT23" s="188">
        <v>526750197</v>
      </c>
      <c r="BU23" s="188">
        <v>364144681</v>
      </c>
      <c r="BV23" s="188">
        <v>90514462.390000001</v>
      </c>
      <c r="BW23" s="188">
        <v>90562000</v>
      </c>
      <c r="BX23" s="188">
        <v>51812208.340000004</v>
      </c>
      <c r="BY23" s="188">
        <v>46852000</v>
      </c>
      <c r="BZ23" s="188">
        <v>0</v>
      </c>
      <c r="CA23" s="188">
        <v>39596000</v>
      </c>
      <c r="CB23" s="188">
        <v>32657000</v>
      </c>
      <c r="CC23" s="188">
        <v>34882000</v>
      </c>
      <c r="CD23" s="188">
        <v>0</v>
      </c>
      <c r="CE23" s="188"/>
      <c r="CF23" s="188"/>
      <c r="CG23" s="188"/>
      <c r="CH23" s="188"/>
      <c r="CI23" s="188"/>
      <c r="CJ23" s="188"/>
      <c r="CK23" s="188"/>
      <c r="CL23" s="188"/>
    </row>
    <row r="24" spans="1:90" x14ac:dyDescent="0.25">
      <c r="A24" s="17" t="s">
        <v>16</v>
      </c>
      <c r="B24" s="188">
        <v>987661510</v>
      </c>
      <c r="C24" s="188">
        <v>755433430</v>
      </c>
      <c r="D24" s="188">
        <v>593628727</v>
      </c>
      <c r="E24" s="188">
        <v>587126751</v>
      </c>
      <c r="F24" s="188">
        <v>827453107</v>
      </c>
      <c r="G24" s="188">
        <v>1041632450</v>
      </c>
      <c r="H24" s="188">
        <v>776634073</v>
      </c>
      <c r="I24" s="188">
        <v>708511473</v>
      </c>
      <c r="J24" s="188">
        <v>593145184</v>
      </c>
      <c r="K24" s="188">
        <v>603407804</v>
      </c>
      <c r="L24" s="188">
        <v>146418990</v>
      </c>
      <c r="M24" s="188">
        <v>226447504</v>
      </c>
      <c r="N24" s="188">
        <v>259672951</v>
      </c>
      <c r="O24" s="188">
        <v>324688294</v>
      </c>
      <c r="P24" s="188">
        <v>62745936</v>
      </c>
      <c r="Q24" s="188">
        <v>150734013</v>
      </c>
      <c r="R24" s="188">
        <v>170297086</v>
      </c>
      <c r="S24" s="188">
        <v>223122002</v>
      </c>
      <c r="T24" s="188">
        <v>169765539</v>
      </c>
      <c r="U24" s="188">
        <v>141404773</v>
      </c>
      <c r="V24" s="188">
        <v>249825413</v>
      </c>
      <c r="W24" s="188">
        <v>226323431</v>
      </c>
      <c r="X24" s="188">
        <v>99099583</v>
      </c>
      <c r="Y24" s="188">
        <v>118558011</v>
      </c>
      <c r="Z24" s="188">
        <v>219037618</v>
      </c>
      <c r="AA24" s="188">
        <v>154633989</v>
      </c>
      <c r="AB24" s="188">
        <v>81254356</v>
      </c>
      <c r="AC24" s="188">
        <v>64799585</v>
      </c>
      <c r="AD24" s="188">
        <v>102254523</v>
      </c>
      <c r="AE24" s="188">
        <v>114447865</v>
      </c>
      <c r="AF24" s="188">
        <v>87444793</v>
      </c>
      <c r="AG24" s="188">
        <v>40275676</v>
      </c>
      <c r="AH24" s="188">
        <v>63834391</v>
      </c>
      <c r="AI24" s="188">
        <v>54543695</v>
      </c>
      <c r="AJ24" s="188">
        <v>85710406</v>
      </c>
      <c r="AK24" s="188">
        <v>41375396</v>
      </c>
      <c r="AL24" s="188">
        <v>474525931</v>
      </c>
      <c r="AM24" s="188">
        <v>481668145</v>
      </c>
      <c r="AN24" s="188">
        <v>197155338</v>
      </c>
      <c r="AO24" s="188">
        <v>46467616</v>
      </c>
      <c r="AP24" s="188">
        <v>49642139</v>
      </c>
      <c r="AQ24" s="188">
        <v>135251957</v>
      </c>
      <c r="AR24" s="188">
        <v>129833562</v>
      </c>
      <c r="AS24" s="188">
        <v>112038696</v>
      </c>
      <c r="AT24" s="188">
        <v>100689353</v>
      </c>
      <c r="AU24" s="188">
        <v>87131618</v>
      </c>
      <c r="AV24" s="188">
        <v>61629466</v>
      </c>
      <c r="AW24" s="188">
        <v>51157753</v>
      </c>
      <c r="AX24" s="188">
        <v>78706583</v>
      </c>
      <c r="AY24" s="188">
        <v>100516561</v>
      </c>
      <c r="AZ24" s="188">
        <v>128503599</v>
      </c>
      <c r="BA24" s="188">
        <v>95975765</v>
      </c>
      <c r="BB24" s="188">
        <v>140898472</v>
      </c>
      <c r="BC24" s="188">
        <v>82668637</v>
      </c>
      <c r="BD24" s="188">
        <v>156526588</v>
      </c>
      <c r="BE24" s="188">
        <v>33146357</v>
      </c>
      <c r="BF24" s="188">
        <v>434291175.42000002</v>
      </c>
      <c r="BG24" s="188">
        <v>149544229.72999999</v>
      </c>
      <c r="BH24" s="188">
        <v>57543515.299999997</v>
      </c>
      <c r="BI24" s="188">
        <v>26977683</v>
      </c>
      <c r="BJ24" s="188">
        <v>101228184.31</v>
      </c>
      <c r="BK24" s="188">
        <v>85146317.170000002</v>
      </c>
      <c r="BL24" s="188">
        <v>64645357.609999999</v>
      </c>
      <c r="BM24" s="188">
        <v>28897741</v>
      </c>
      <c r="BN24" s="188">
        <v>40291049.460000001</v>
      </c>
      <c r="BO24" s="188">
        <v>31652121.460000001</v>
      </c>
      <c r="BP24" s="188">
        <v>45936458.600000001</v>
      </c>
      <c r="BQ24" s="188">
        <v>28531783</v>
      </c>
      <c r="BR24" s="188">
        <v>19660841.850000001</v>
      </c>
      <c r="BS24" s="188">
        <v>12540934</v>
      </c>
      <c r="BT24" s="188">
        <v>16192832</v>
      </c>
      <c r="BU24" s="188">
        <v>37079293</v>
      </c>
      <c r="BV24" s="188">
        <v>1789345</v>
      </c>
      <c r="BW24" s="188">
        <v>3899000</v>
      </c>
      <c r="BX24" s="188">
        <v>4025896.65</v>
      </c>
      <c r="BY24" s="188">
        <v>5001000</v>
      </c>
      <c r="BZ24" s="188">
        <v>0</v>
      </c>
      <c r="CA24" s="188">
        <v>2135000</v>
      </c>
      <c r="CB24" s="188">
        <v>4536000</v>
      </c>
      <c r="CC24" s="188">
        <v>1141000</v>
      </c>
      <c r="CD24" s="188">
        <v>0</v>
      </c>
      <c r="CE24" s="188"/>
      <c r="CF24" s="188"/>
      <c r="CG24" s="188"/>
      <c r="CH24" s="188"/>
      <c r="CI24" s="188"/>
      <c r="CJ24" s="188"/>
      <c r="CK24" s="188"/>
      <c r="CL24" s="188"/>
    </row>
    <row r="25" spans="1:90" x14ac:dyDescent="0.25">
      <c r="A25" s="17" t="s">
        <v>17</v>
      </c>
      <c r="B25" s="188">
        <v>724420493</v>
      </c>
      <c r="C25" s="188">
        <v>608318659</v>
      </c>
      <c r="D25" s="188">
        <v>722744609</v>
      </c>
      <c r="E25" s="188">
        <v>728395573</v>
      </c>
      <c r="F25" s="188">
        <v>819425747</v>
      </c>
      <c r="G25" s="188">
        <v>955540522</v>
      </c>
      <c r="H25" s="188">
        <v>870575850</v>
      </c>
      <c r="I25" s="188">
        <v>903069416</v>
      </c>
      <c r="J25" s="188">
        <v>677705782</v>
      </c>
      <c r="K25" s="188">
        <v>533059122</v>
      </c>
      <c r="L25" s="188">
        <v>908282661</v>
      </c>
      <c r="M25" s="188">
        <v>593329847</v>
      </c>
      <c r="N25" s="188">
        <v>535458917</v>
      </c>
      <c r="O25" s="188">
        <v>603411448</v>
      </c>
      <c r="P25" s="188">
        <v>596358914</v>
      </c>
      <c r="Q25" s="188">
        <v>720716550</v>
      </c>
      <c r="R25" s="188">
        <v>686015242</v>
      </c>
      <c r="S25" s="188">
        <v>573638739</v>
      </c>
      <c r="T25" s="188">
        <v>660638348</v>
      </c>
      <c r="U25" s="188">
        <v>618124736</v>
      </c>
      <c r="V25" s="188">
        <v>824029886</v>
      </c>
      <c r="W25" s="188">
        <v>743304125</v>
      </c>
      <c r="X25" s="188">
        <v>765923647</v>
      </c>
      <c r="Y25" s="188">
        <v>459082392</v>
      </c>
      <c r="Z25" s="188">
        <v>1857399676</v>
      </c>
      <c r="AA25" s="188">
        <v>1790351375</v>
      </c>
      <c r="AB25" s="188">
        <v>1750219654</v>
      </c>
      <c r="AC25" s="188">
        <v>1735824884</v>
      </c>
      <c r="AD25" s="188">
        <v>149443189</v>
      </c>
      <c r="AE25" s="188">
        <v>138113585</v>
      </c>
      <c r="AF25" s="188">
        <v>134171235</v>
      </c>
      <c r="AG25" s="188">
        <v>333128771</v>
      </c>
      <c r="AH25" s="188">
        <v>154920871</v>
      </c>
      <c r="AI25" s="188">
        <v>134790823</v>
      </c>
      <c r="AJ25" s="188">
        <v>123001025</v>
      </c>
      <c r="AK25" s="188">
        <v>106764069</v>
      </c>
      <c r="AL25" s="188">
        <v>45771391</v>
      </c>
      <c r="AM25" s="188">
        <v>66292696</v>
      </c>
      <c r="AN25" s="188">
        <v>57001921</v>
      </c>
      <c r="AO25" s="188">
        <v>91430944</v>
      </c>
      <c r="AP25" s="188">
        <v>155077730</v>
      </c>
      <c r="AQ25" s="188">
        <v>139422141</v>
      </c>
      <c r="AR25" s="188">
        <v>214610971</v>
      </c>
      <c r="AS25" s="188">
        <v>80595468</v>
      </c>
      <c r="AT25" s="188">
        <v>83555950</v>
      </c>
      <c r="AU25" s="188">
        <v>63436866</v>
      </c>
      <c r="AV25" s="188">
        <v>195141385</v>
      </c>
      <c r="AW25" s="188">
        <v>180356253</v>
      </c>
      <c r="AX25" s="188">
        <v>296233569</v>
      </c>
      <c r="AY25" s="188">
        <v>317487864</v>
      </c>
      <c r="AZ25" s="188">
        <v>418380393</v>
      </c>
      <c r="BA25" s="188">
        <v>330522944</v>
      </c>
      <c r="BB25" s="188">
        <v>185938174</v>
      </c>
      <c r="BC25" s="188">
        <v>243769247</v>
      </c>
      <c r="BD25" s="188">
        <v>263916120</v>
      </c>
      <c r="BE25" s="188">
        <v>244054338</v>
      </c>
      <c r="BF25" s="188">
        <v>296086218.06</v>
      </c>
      <c r="BG25" s="188">
        <v>198301644.02000001</v>
      </c>
      <c r="BH25" s="188">
        <v>200109644.13999999</v>
      </c>
      <c r="BI25" s="188">
        <v>267212776</v>
      </c>
      <c r="BJ25" s="188">
        <v>327996546.31</v>
      </c>
      <c r="BK25" s="188">
        <v>328122113.06999999</v>
      </c>
      <c r="BL25" s="188">
        <v>252051350.91999999</v>
      </c>
      <c r="BM25" s="188">
        <v>353722869</v>
      </c>
      <c r="BN25" s="188">
        <v>217518550.86000001</v>
      </c>
      <c r="BO25" s="188">
        <v>247111014.91</v>
      </c>
      <c r="BP25" s="188">
        <v>217516911.44</v>
      </c>
      <c r="BQ25" s="188">
        <v>149472471</v>
      </c>
      <c r="BR25" s="188">
        <v>233943303.03999999</v>
      </c>
      <c r="BS25" s="188">
        <v>205948581</v>
      </c>
      <c r="BT25" s="188">
        <v>234569945</v>
      </c>
      <c r="BU25" s="188">
        <v>135152905</v>
      </c>
      <c r="BV25" s="188">
        <v>99565715.359999999</v>
      </c>
      <c r="BW25" s="188">
        <v>106897000</v>
      </c>
      <c r="BX25" s="188">
        <v>94771065.489999995</v>
      </c>
      <c r="BY25" s="188">
        <v>54671000</v>
      </c>
      <c r="BZ25" s="188">
        <v>0</v>
      </c>
      <c r="CA25" s="188">
        <v>96322000</v>
      </c>
      <c r="CB25" s="188">
        <v>89699000</v>
      </c>
      <c r="CC25" s="188">
        <v>95938000</v>
      </c>
      <c r="CD25" s="188">
        <v>0</v>
      </c>
      <c r="CE25" s="188"/>
      <c r="CF25" s="188"/>
      <c r="CG25" s="188"/>
      <c r="CH25" s="188"/>
      <c r="CI25" s="188"/>
      <c r="CJ25" s="188"/>
      <c r="CK25" s="188"/>
      <c r="CL25" s="188"/>
    </row>
    <row r="26" spans="1:90" x14ac:dyDescent="0.25">
      <c r="A26" s="17" t="s">
        <v>18</v>
      </c>
      <c r="B26" s="188">
        <v>12178965256</v>
      </c>
      <c r="C26" s="188">
        <v>10933542222</v>
      </c>
      <c r="D26" s="188">
        <v>10661929415</v>
      </c>
      <c r="E26" s="188">
        <v>8957719381</v>
      </c>
      <c r="F26" s="188">
        <v>9363701031</v>
      </c>
      <c r="G26" s="188">
        <v>9759164036</v>
      </c>
      <c r="H26" s="188">
        <v>9262441237</v>
      </c>
      <c r="I26" s="188">
        <v>7833138532</v>
      </c>
      <c r="J26" s="188">
        <v>7833058021</v>
      </c>
      <c r="K26" s="188">
        <v>7200449513</v>
      </c>
      <c r="L26" s="188">
        <v>6388611021</v>
      </c>
      <c r="M26" s="188">
        <v>6609406228</v>
      </c>
      <c r="N26" s="188">
        <v>5969882176</v>
      </c>
      <c r="O26" s="188">
        <v>5713761409</v>
      </c>
      <c r="P26" s="188">
        <v>5036243739</v>
      </c>
      <c r="Q26" s="188">
        <v>4163304029</v>
      </c>
      <c r="R26" s="188">
        <v>4043797340</v>
      </c>
      <c r="S26" s="188">
        <v>3587133465</v>
      </c>
      <c r="T26" s="188">
        <v>3793976626</v>
      </c>
      <c r="U26" s="188">
        <v>3018804659</v>
      </c>
      <c r="V26" s="188">
        <v>2805826602</v>
      </c>
      <c r="W26" s="188">
        <v>2904438373</v>
      </c>
      <c r="X26" s="188">
        <v>2886258773</v>
      </c>
      <c r="Y26" s="188">
        <v>2668906527</v>
      </c>
      <c r="Z26" s="188">
        <v>2830217937</v>
      </c>
      <c r="AA26" s="188">
        <v>2573854565</v>
      </c>
      <c r="AB26" s="188">
        <v>2411386287</v>
      </c>
      <c r="AC26" s="188">
        <v>2116218705</v>
      </c>
      <c r="AD26" s="188">
        <v>1849196851</v>
      </c>
      <c r="AE26" s="188">
        <v>2187471001</v>
      </c>
      <c r="AF26" s="188">
        <v>1427181550</v>
      </c>
      <c r="AG26" s="188">
        <v>1300479825</v>
      </c>
      <c r="AH26" s="188">
        <v>947819726</v>
      </c>
      <c r="AI26" s="188">
        <v>919742228</v>
      </c>
      <c r="AJ26" s="188">
        <v>859949712</v>
      </c>
      <c r="AK26" s="188">
        <v>780639882</v>
      </c>
      <c r="AL26" s="188">
        <v>839318397</v>
      </c>
      <c r="AM26" s="188">
        <v>609923915</v>
      </c>
      <c r="AN26" s="188">
        <v>489215697</v>
      </c>
      <c r="AO26" s="188">
        <v>472233966</v>
      </c>
      <c r="AP26" s="188">
        <v>974151877</v>
      </c>
      <c r="AQ26" s="188">
        <v>919328872</v>
      </c>
      <c r="AR26" s="188">
        <v>827268881</v>
      </c>
      <c r="AS26" s="188">
        <v>791698020</v>
      </c>
      <c r="AT26" s="188">
        <v>931617285</v>
      </c>
      <c r="AU26" s="188">
        <v>967617644</v>
      </c>
      <c r="AV26" s="188">
        <v>963885952</v>
      </c>
      <c r="AW26" s="188">
        <v>1266043525</v>
      </c>
      <c r="AX26" s="188">
        <v>1052427181</v>
      </c>
      <c r="AY26" s="188">
        <v>1815636671</v>
      </c>
      <c r="AZ26" s="188">
        <v>2408432800</v>
      </c>
      <c r="BA26" s="188">
        <v>1919901660</v>
      </c>
      <c r="BB26" s="188">
        <v>1956847993</v>
      </c>
      <c r="BC26" s="188">
        <v>1389380724</v>
      </c>
      <c r="BD26" s="188">
        <v>939737902</v>
      </c>
      <c r="BE26" s="188">
        <v>1127066283</v>
      </c>
      <c r="BF26" s="188">
        <v>1578471503.8900001</v>
      </c>
      <c r="BG26" s="188">
        <v>1548957280.5799999</v>
      </c>
      <c r="BH26" s="188">
        <v>1416046150.55</v>
      </c>
      <c r="BI26" s="188">
        <v>1252507882</v>
      </c>
      <c r="BJ26" s="188">
        <v>1052000707.12</v>
      </c>
      <c r="BK26" s="188">
        <v>969198456.02999997</v>
      </c>
      <c r="BL26" s="188">
        <v>775120926.46000004</v>
      </c>
      <c r="BM26" s="188">
        <v>560401754</v>
      </c>
      <c r="BN26" s="188">
        <v>561776324.64999998</v>
      </c>
      <c r="BO26" s="188">
        <v>460693226.70999998</v>
      </c>
      <c r="BP26" s="188">
        <v>450022649.82999998</v>
      </c>
      <c r="BQ26" s="188">
        <v>262124348</v>
      </c>
      <c r="BR26" s="188">
        <v>354010197.49000001</v>
      </c>
      <c r="BS26" s="188">
        <v>324457794</v>
      </c>
      <c r="BT26" s="188">
        <v>225184310</v>
      </c>
      <c r="BU26" s="188">
        <v>174866383</v>
      </c>
      <c r="BV26" s="188">
        <v>112102824.89</v>
      </c>
      <c r="BW26" s="188">
        <v>96930000</v>
      </c>
      <c r="BX26" s="188">
        <v>92044991.5</v>
      </c>
      <c r="BY26" s="188">
        <v>89201000</v>
      </c>
      <c r="BZ26" s="188">
        <v>0</v>
      </c>
      <c r="CA26" s="188">
        <v>85649000</v>
      </c>
      <c r="CB26" s="188">
        <v>63375000</v>
      </c>
      <c r="CC26" s="188">
        <v>48549000</v>
      </c>
      <c r="CD26" s="188">
        <v>0</v>
      </c>
      <c r="CE26" s="188"/>
      <c r="CF26" s="188"/>
      <c r="CG26" s="188"/>
      <c r="CH26" s="188"/>
      <c r="CI26" s="188"/>
      <c r="CJ26" s="188"/>
      <c r="CK26" s="188"/>
      <c r="CL26" s="188"/>
    </row>
    <row r="27" spans="1:90" x14ac:dyDescent="0.25">
      <c r="A27" s="17" t="s">
        <v>19</v>
      </c>
      <c r="B27" s="188">
        <v>12465582300</v>
      </c>
      <c r="C27" s="188">
        <v>18930028377</v>
      </c>
      <c r="D27" s="188">
        <v>15183231091</v>
      </c>
      <c r="E27" s="188">
        <v>15924433978</v>
      </c>
      <c r="F27" s="188">
        <v>15032948154</v>
      </c>
      <c r="G27" s="188">
        <v>9773604550</v>
      </c>
      <c r="H27" s="188">
        <v>9849679016</v>
      </c>
      <c r="I27" s="188">
        <v>5691200226</v>
      </c>
      <c r="J27" s="188">
        <v>9932689501</v>
      </c>
      <c r="K27" s="188">
        <v>13707855848</v>
      </c>
      <c r="L27" s="188">
        <v>8766975957</v>
      </c>
      <c r="M27" s="188">
        <v>8712017517</v>
      </c>
      <c r="N27" s="188">
        <v>9449645244</v>
      </c>
      <c r="O27" s="188">
        <v>8561271404</v>
      </c>
      <c r="P27" s="188">
        <v>6187724760</v>
      </c>
      <c r="Q27" s="188">
        <v>6085764454</v>
      </c>
      <c r="R27" s="188">
        <v>4736392276</v>
      </c>
      <c r="S27" s="188">
        <v>2760053570</v>
      </c>
      <c r="T27" s="188">
        <v>2315123012</v>
      </c>
      <c r="U27" s="188">
        <v>1872804826</v>
      </c>
      <c r="V27" s="188">
        <v>1153245359</v>
      </c>
      <c r="W27" s="188">
        <v>769695315</v>
      </c>
      <c r="X27" s="188">
        <v>1103948491</v>
      </c>
      <c r="Y27" s="188">
        <v>1284972353</v>
      </c>
      <c r="Z27" s="188">
        <v>2410648484</v>
      </c>
      <c r="AA27" s="188">
        <v>2369304313</v>
      </c>
      <c r="AB27" s="188">
        <v>2320588059</v>
      </c>
      <c r="AC27" s="188">
        <v>696796503</v>
      </c>
      <c r="AD27" s="188">
        <v>1361432332</v>
      </c>
      <c r="AE27" s="188">
        <v>710791525</v>
      </c>
      <c r="AF27" s="188">
        <v>1445713410</v>
      </c>
      <c r="AG27" s="188">
        <v>352781119</v>
      </c>
      <c r="AH27" s="188">
        <v>690264441</v>
      </c>
      <c r="AI27" s="188">
        <v>493659166</v>
      </c>
      <c r="AJ27" s="188">
        <v>413694632</v>
      </c>
      <c r="AK27" s="188">
        <v>283806158</v>
      </c>
      <c r="AL27" s="188">
        <v>260017990</v>
      </c>
      <c r="AM27" s="188">
        <v>224731520</v>
      </c>
      <c r="AN27" s="188">
        <v>299349567</v>
      </c>
      <c r="AO27" s="188">
        <v>290049691</v>
      </c>
      <c r="AP27" s="188">
        <v>2673146</v>
      </c>
      <c r="AQ27" s="188">
        <v>2057470</v>
      </c>
      <c r="AR27" s="188">
        <v>5636488</v>
      </c>
      <c r="AS27" s="188">
        <v>4841501</v>
      </c>
      <c r="AT27" s="188">
        <v>6004169</v>
      </c>
      <c r="AU27" s="188">
        <v>8440573</v>
      </c>
      <c r="AV27" s="188">
        <v>8796292</v>
      </c>
      <c r="AW27" s="188">
        <v>0</v>
      </c>
      <c r="AX27" s="188">
        <v>0</v>
      </c>
      <c r="AY27" s="188">
        <v>0</v>
      </c>
      <c r="AZ27" s="188">
        <v>0</v>
      </c>
      <c r="BA27" s="188">
        <v>0</v>
      </c>
      <c r="BB27" s="188">
        <v>23466773</v>
      </c>
      <c r="BC27" s="188">
        <v>436251</v>
      </c>
      <c r="BD27" s="188">
        <v>6545259</v>
      </c>
      <c r="BE27" s="188">
        <v>5633402</v>
      </c>
      <c r="BF27" s="188">
        <v>17549716.539999999</v>
      </c>
      <c r="BG27" s="188">
        <v>11057641.52</v>
      </c>
      <c r="BH27" s="188">
        <v>0</v>
      </c>
      <c r="BI27" s="188">
        <v>8647295</v>
      </c>
      <c r="BJ27" s="188">
        <v>0</v>
      </c>
      <c r="BK27" s="188">
        <v>0</v>
      </c>
      <c r="BL27" s="188">
        <v>0</v>
      </c>
      <c r="BM27" s="188">
        <v>0</v>
      </c>
      <c r="BN27" s="188">
        <v>66240389.710000001</v>
      </c>
      <c r="BO27" s="188">
        <v>1102942.6200000001</v>
      </c>
      <c r="BP27" s="188">
        <v>38570595.289999999</v>
      </c>
      <c r="BQ27" s="188">
        <v>1100000</v>
      </c>
      <c r="BR27" s="188">
        <v>0</v>
      </c>
      <c r="BS27" s="188">
        <v>0</v>
      </c>
      <c r="BT27" s="188">
        <v>0</v>
      </c>
      <c r="BU27" s="188">
        <v>0</v>
      </c>
      <c r="BV27" s="188">
        <v>0</v>
      </c>
      <c r="BW27" s="188">
        <v>0</v>
      </c>
      <c r="BX27" s="188">
        <v>0</v>
      </c>
      <c r="BY27" s="188">
        <v>0</v>
      </c>
      <c r="BZ27" s="188">
        <v>0</v>
      </c>
      <c r="CA27" s="188">
        <v>0</v>
      </c>
      <c r="CB27" s="188">
        <v>0</v>
      </c>
      <c r="CC27" s="188">
        <v>0</v>
      </c>
      <c r="CD27" s="188">
        <v>0</v>
      </c>
      <c r="CE27" s="188"/>
      <c r="CF27" s="188"/>
      <c r="CG27" s="188"/>
      <c r="CH27" s="188"/>
      <c r="CI27" s="188"/>
      <c r="CJ27" s="188"/>
      <c r="CK27" s="188"/>
      <c r="CL27" s="188"/>
    </row>
    <row r="28" spans="1:90" x14ac:dyDescent="0.25">
      <c r="A28" s="17" t="s">
        <v>76</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0</v>
      </c>
      <c r="BP28" s="188">
        <v>0</v>
      </c>
      <c r="BQ28" s="188">
        <v>0</v>
      </c>
      <c r="BR28" s="188">
        <v>0</v>
      </c>
      <c r="BS28" s="188">
        <v>0</v>
      </c>
      <c r="BT28" s="188">
        <v>0</v>
      </c>
      <c r="BU28" s="188">
        <v>0</v>
      </c>
      <c r="BV28" s="188">
        <v>0</v>
      </c>
      <c r="BW28" s="188">
        <v>0</v>
      </c>
      <c r="BX28" s="188">
        <v>0</v>
      </c>
      <c r="BY28" s="188">
        <v>0</v>
      </c>
      <c r="BZ28" s="188">
        <v>0</v>
      </c>
      <c r="CA28" s="188">
        <v>0</v>
      </c>
      <c r="CB28" s="188">
        <v>0</v>
      </c>
      <c r="CC28" s="188">
        <v>0</v>
      </c>
      <c r="CD28" s="188">
        <v>0</v>
      </c>
      <c r="CE28" s="188"/>
      <c r="CF28" s="188"/>
      <c r="CG28" s="188"/>
      <c r="CH28" s="188"/>
      <c r="CI28" s="188"/>
      <c r="CJ28" s="188"/>
      <c r="CK28" s="188"/>
      <c r="CL28" s="188"/>
    </row>
    <row r="29" spans="1:90" x14ac:dyDescent="0.25">
      <c r="A29" s="17" t="s">
        <v>3</v>
      </c>
      <c r="B29" s="188">
        <v>0</v>
      </c>
      <c r="C29" s="188">
        <v>0</v>
      </c>
      <c r="D29" s="188">
        <v>25416682</v>
      </c>
      <c r="E29" s="188">
        <v>17303152</v>
      </c>
      <c r="F29" s="188">
        <v>29356094</v>
      </c>
      <c r="G29" s="188">
        <v>28941602</v>
      </c>
      <c r="H29" s="188">
        <v>40113951</v>
      </c>
      <c r="I29" s="188">
        <v>66321715</v>
      </c>
      <c r="J29" s="188">
        <v>63332886</v>
      </c>
      <c r="K29" s="188">
        <v>25062419</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17960005</v>
      </c>
      <c r="BC29" s="188">
        <v>17960005</v>
      </c>
      <c r="BD29" s="188">
        <v>17960946</v>
      </c>
      <c r="BE29" s="188">
        <v>44030980</v>
      </c>
      <c r="BF29" s="188">
        <v>0</v>
      </c>
      <c r="BG29" s="188">
        <v>0</v>
      </c>
      <c r="BH29" s="188">
        <v>7258647.3200000003</v>
      </c>
      <c r="BI29" s="188">
        <v>0</v>
      </c>
      <c r="BJ29" s="188">
        <v>0</v>
      </c>
      <c r="BK29" s="188">
        <v>0</v>
      </c>
      <c r="BL29" s="188">
        <v>0</v>
      </c>
      <c r="BM29" s="188">
        <v>0</v>
      </c>
      <c r="BN29" s="188">
        <v>0</v>
      </c>
      <c r="BO29" s="188">
        <v>0</v>
      </c>
      <c r="BP29" s="188">
        <v>0</v>
      </c>
      <c r="BQ29" s="188">
        <v>0</v>
      </c>
      <c r="BR29" s="188">
        <v>0</v>
      </c>
      <c r="BS29" s="188">
        <v>0</v>
      </c>
      <c r="BT29" s="188">
        <v>0</v>
      </c>
      <c r="BU29" s="188">
        <v>0</v>
      </c>
      <c r="BV29" s="188">
        <v>0</v>
      </c>
      <c r="BW29" s="188">
        <v>0</v>
      </c>
      <c r="BX29" s="188">
        <v>0</v>
      </c>
      <c r="BY29" s="188">
        <v>0</v>
      </c>
      <c r="BZ29" s="188">
        <v>0</v>
      </c>
      <c r="CA29" s="188">
        <v>0</v>
      </c>
      <c r="CB29" s="188">
        <v>0</v>
      </c>
      <c r="CC29" s="188">
        <v>0</v>
      </c>
      <c r="CD29" s="188">
        <v>0</v>
      </c>
      <c r="CE29" s="188"/>
      <c r="CF29" s="188"/>
      <c r="CG29" s="188"/>
      <c r="CH29" s="188"/>
      <c r="CI29" s="188"/>
      <c r="CJ29" s="188"/>
      <c r="CK29" s="188"/>
      <c r="CL29" s="188"/>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2" t="s">
        <v>20</v>
      </c>
      <c r="B33" s="35">
        <f>SUM(B22:B29)</f>
        <v>46051607042</v>
      </c>
      <c r="C33" s="35">
        <f t="shared" ref="C33:BN33" si="2">SUM(C22:C29)</f>
        <v>49123507365</v>
      </c>
      <c r="D33" s="35">
        <f t="shared" si="2"/>
        <v>42040359345</v>
      </c>
      <c r="E33" s="35">
        <f t="shared" si="2"/>
        <v>42562010214</v>
      </c>
      <c r="F33" s="35">
        <f t="shared" si="2"/>
        <v>42391688647</v>
      </c>
      <c r="G33" s="35">
        <f t="shared" si="2"/>
        <v>39685720463</v>
      </c>
      <c r="H33" s="35">
        <f t="shared" si="2"/>
        <v>37134976308</v>
      </c>
      <c r="I33" s="35">
        <f t="shared" si="2"/>
        <v>32763869629</v>
      </c>
      <c r="J33" s="35">
        <f t="shared" si="2"/>
        <v>33992408441</v>
      </c>
      <c r="K33" s="35">
        <f t="shared" si="2"/>
        <v>33865445794</v>
      </c>
      <c r="L33" s="35">
        <f t="shared" si="2"/>
        <v>24465895064</v>
      </c>
      <c r="M33" s="35">
        <f t="shared" si="2"/>
        <v>24695768549</v>
      </c>
      <c r="N33" s="35">
        <f t="shared" si="2"/>
        <v>24876164042</v>
      </c>
      <c r="O33" s="35">
        <f t="shared" si="2"/>
        <v>22815870646</v>
      </c>
      <c r="P33" s="35">
        <f t="shared" si="2"/>
        <v>19835627686</v>
      </c>
      <c r="Q33" s="35">
        <f t="shared" si="2"/>
        <v>18237453551</v>
      </c>
      <c r="R33" s="35">
        <f t="shared" si="2"/>
        <v>16344573616</v>
      </c>
      <c r="S33" s="35">
        <f t="shared" si="2"/>
        <v>12708282443</v>
      </c>
      <c r="T33" s="35">
        <f t="shared" si="2"/>
        <v>12026868882</v>
      </c>
      <c r="U33" s="35">
        <f t="shared" si="2"/>
        <v>11072500592</v>
      </c>
      <c r="V33" s="35">
        <f t="shared" si="2"/>
        <v>11123013453</v>
      </c>
      <c r="W33" s="35">
        <f t="shared" si="2"/>
        <v>10739318146</v>
      </c>
      <c r="X33" s="35">
        <f t="shared" si="2"/>
        <v>11425298586</v>
      </c>
      <c r="Y33" s="35">
        <f t="shared" si="2"/>
        <v>10588443831</v>
      </c>
      <c r="Z33" s="35">
        <f t="shared" si="2"/>
        <v>13143610417</v>
      </c>
      <c r="AA33" s="35">
        <f t="shared" si="2"/>
        <v>10826017740</v>
      </c>
      <c r="AB33" s="35">
        <f t="shared" si="2"/>
        <v>9969058218</v>
      </c>
      <c r="AC33" s="35">
        <f t="shared" si="2"/>
        <v>7514729219</v>
      </c>
      <c r="AD33" s="35">
        <f t="shared" si="2"/>
        <v>6013985792</v>
      </c>
      <c r="AE33" s="35">
        <f t="shared" si="2"/>
        <v>5304323883</v>
      </c>
      <c r="AF33" s="35">
        <f t="shared" si="2"/>
        <v>4983404100</v>
      </c>
      <c r="AG33" s="35">
        <f t="shared" si="2"/>
        <v>3668807436</v>
      </c>
      <c r="AH33" s="35">
        <f t="shared" si="2"/>
        <v>3432838495</v>
      </c>
      <c r="AI33" s="35">
        <f t="shared" si="2"/>
        <v>3347845262</v>
      </c>
      <c r="AJ33" s="35">
        <f t="shared" si="2"/>
        <v>3062830692</v>
      </c>
      <c r="AK33" s="35">
        <f t="shared" si="2"/>
        <v>2740213165</v>
      </c>
      <c r="AL33" s="35">
        <f t="shared" si="2"/>
        <v>2956950858</v>
      </c>
      <c r="AM33" s="35">
        <f t="shared" si="2"/>
        <v>2533087588</v>
      </c>
      <c r="AN33" s="35">
        <f t="shared" si="2"/>
        <v>1768831314</v>
      </c>
      <c r="AO33" s="35">
        <f t="shared" si="2"/>
        <v>1691441328</v>
      </c>
      <c r="AP33" s="35">
        <f t="shared" si="2"/>
        <v>2382908522</v>
      </c>
      <c r="AQ33" s="35">
        <f t="shared" si="2"/>
        <v>2938852648</v>
      </c>
      <c r="AR33" s="35">
        <f t="shared" si="2"/>
        <v>3000524221</v>
      </c>
      <c r="AS33" s="35">
        <f t="shared" si="2"/>
        <v>2958569085</v>
      </c>
      <c r="AT33" s="35">
        <f t="shared" si="2"/>
        <v>3014132259</v>
      </c>
      <c r="AU33" s="35">
        <f t="shared" si="2"/>
        <v>2862063497</v>
      </c>
      <c r="AV33" s="35">
        <f t="shared" si="2"/>
        <v>2584890166</v>
      </c>
      <c r="AW33" s="35">
        <f t="shared" si="2"/>
        <v>2672499414</v>
      </c>
      <c r="AX33" s="35">
        <f t="shared" si="2"/>
        <v>2670362001</v>
      </c>
      <c r="AY33" s="35">
        <f t="shared" si="2"/>
        <v>3637347909</v>
      </c>
      <c r="AZ33" s="35">
        <f t="shared" si="2"/>
        <v>4445798406</v>
      </c>
      <c r="BA33" s="35">
        <f t="shared" si="2"/>
        <v>4222694449</v>
      </c>
      <c r="BB33" s="35">
        <f t="shared" si="2"/>
        <v>5560370617</v>
      </c>
      <c r="BC33" s="35">
        <f t="shared" si="2"/>
        <v>4064704841</v>
      </c>
      <c r="BD33" s="35">
        <f t="shared" si="2"/>
        <v>3259690944</v>
      </c>
      <c r="BE33" s="35">
        <f t="shared" si="2"/>
        <v>3496356768</v>
      </c>
      <c r="BF33" s="35">
        <f t="shared" si="2"/>
        <v>5089463209.7600002</v>
      </c>
      <c r="BG33" s="35">
        <f t="shared" si="2"/>
        <v>4335166009.6300001</v>
      </c>
      <c r="BH33" s="35">
        <f t="shared" si="2"/>
        <v>4336640979.7699995</v>
      </c>
      <c r="BI33" s="35">
        <f t="shared" si="2"/>
        <v>3576601934</v>
      </c>
      <c r="BJ33" s="35">
        <f t="shared" si="2"/>
        <v>3477104939.1900001</v>
      </c>
      <c r="BK33" s="35">
        <f t="shared" si="2"/>
        <v>3106667573.3099999</v>
      </c>
      <c r="BL33" s="35">
        <f t="shared" si="2"/>
        <v>2732244144.4099998</v>
      </c>
      <c r="BM33" s="35">
        <f t="shared" si="2"/>
        <v>2085017530</v>
      </c>
      <c r="BN33" s="35">
        <f t="shared" si="2"/>
        <v>2034132264.2200003</v>
      </c>
      <c r="BO33" s="35">
        <f t="shared" ref="BO33:CK33" si="3">SUM(BO22:BO29)</f>
        <v>1769338878.8099999</v>
      </c>
      <c r="BP33" s="35">
        <f t="shared" si="3"/>
        <v>1690896195.23</v>
      </c>
      <c r="BQ33" s="35">
        <f t="shared" si="3"/>
        <v>1014779028</v>
      </c>
      <c r="BR33" s="35">
        <f t="shared" si="3"/>
        <v>1159967642.3099999</v>
      </c>
      <c r="BS33" s="35">
        <f t="shared" si="3"/>
        <v>1139124840</v>
      </c>
      <c r="BT33" s="35">
        <f t="shared" si="3"/>
        <v>1044437920</v>
      </c>
      <c r="BU33" s="35">
        <f t="shared" si="3"/>
        <v>728488543</v>
      </c>
      <c r="BV33" s="35">
        <f t="shared" si="3"/>
        <v>323684460.23000002</v>
      </c>
      <c r="BW33" s="35">
        <f t="shared" si="3"/>
        <v>318116000</v>
      </c>
      <c r="BX33" s="35">
        <f t="shared" si="3"/>
        <v>260363668.42000002</v>
      </c>
      <c r="BY33" s="35">
        <f t="shared" si="3"/>
        <v>210258000</v>
      </c>
      <c r="BZ33" s="35">
        <f t="shared" si="3"/>
        <v>0</v>
      </c>
      <c r="CA33" s="35">
        <f t="shared" si="3"/>
        <v>233285000</v>
      </c>
      <c r="CB33" s="35">
        <f t="shared" si="3"/>
        <v>191151000</v>
      </c>
      <c r="CC33" s="35">
        <f t="shared" si="3"/>
        <v>180766000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1" t="s">
        <v>82</v>
      </c>
      <c r="B34" s="34"/>
      <c r="C34" s="34"/>
      <c r="D34" s="34"/>
      <c r="E34" s="34"/>
      <c r="F34" s="34"/>
      <c r="G34" s="34"/>
      <c r="H34" s="34"/>
      <c r="I34" s="34"/>
      <c r="J34" s="34"/>
      <c r="K34" s="34"/>
      <c r="L34" s="32"/>
      <c r="M34" s="14"/>
      <c r="N34" s="14"/>
    </row>
    <row r="35" spans="1:90" x14ac:dyDescent="0.25">
      <c r="A35" s="17" t="s">
        <v>21</v>
      </c>
      <c r="B35" s="188">
        <v>0</v>
      </c>
      <c r="C35" s="188">
        <v>838808117</v>
      </c>
      <c r="D35" s="188">
        <v>684344606</v>
      </c>
      <c r="E35" s="188">
        <v>543798835</v>
      </c>
      <c r="F35" s="188">
        <v>450879127</v>
      </c>
      <c r="G35" s="188">
        <v>526641067</v>
      </c>
      <c r="H35" s="188">
        <v>293675687</v>
      </c>
      <c r="I35" s="188">
        <v>640262461</v>
      </c>
      <c r="J35" s="188">
        <v>409821485</v>
      </c>
      <c r="K35" s="188">
        <v>491128454</v>
      </c>
      <c r="L35" s="188">
        <v>650128517</v>
      </c>
      <c r="M35" s="188">
        <v>343277037</v>
      </c>
      <c r="N35" s="188">
        <v>237523622</v>
      </c>
      <c r="O35" s="188">
        <v>374532677</v>
      </c>
      <c r="P35" s="188">
        <v>544726413</v>
      </c>
      <c r="Q35" s="188">
        <v>258737884</v>
      </c>
      <c r="R35" s="188">
        <v>596817946</v>
      </c>
      <c r="S35" s="188">
        <v>390854698</v>
      </c>
      <c r="T35" s="188">
        <v>166503600</v>
      </c>
      <c r="U35" s="188">
        <v>135654664</v>
      </c>
      <c r="V35" s="188">
        <v>143811260</v>
      </c>
      <c r="W35" s="188">
        <v>118417441</v>
      </c>
      <c r="X35" s="188">
        <v>59361988</v>
      </c>
      <c r="Y35" s="188">
        <v>51621956</v>
      </c>
      <c r="Z35" s="188">
        <v>47663713</v>
      </c>
      <c r="AA35" s="188">
        <v>30627813</v>
      </c>
      <c r="AB35" s="188">
        <v>25093824</v>
      </c>
      <c r="AC35" s="188">
        <v>27918268</v>
      </c>
      <c r="AD35" s="188">
        <v>64313453</v>
      </c>
      <c r="AE35" s="188">
        <v>28114908</v>
      </c>
      <c r="AF35" s="188">
        <v>62335921</v>
      </c>
      <c r="AG35" s="188">
        <v>37148093</v>
      </c>
      <c r="AH35" s="188">
        <v>23344263</v>
      </c>
      <c r="AI35" s="188">
        <v>30938386</v>
      </c>
      <c r="AJ35" s="188">
        <v>32238525</v>
      </c>
      <c r="AK35" s="188">
        <v>27025437</v>
      </c>
      <c r="AL35" s="188">
        <v>130399496</v>
      </c>
      <c r="AM35" s="188">
        <v>198524811</v>
      </c>
      <c r="AN35" s="188">
        <v>141594047</v>
      </c>
      <c r="AO35" s="188">
        <v>106000000</v>
      </c>
      <c r="AP35" s="188">
        <v>95800000</v>
      </c>
      <c r="AQ35" s="188">
        <v>85800000</v>
      </c>
      <c r="AR35" s="188">
        <v>62000000</v>
      </c>
      <c r="AS35" s="188">
        <v>55000000</v>
      </c>
      <c r="AT35" s="188">
        <v>97000000</v>
      </c>
      <c r="AU35" s="188">
        <v>120000000</v>
      </c>
      <c r="AV35" s="188">
        <v>78659159</v>
      </c>
      <c r="AW35" s="188">
        <v>74872077</v>
      </c>
      <c r="AX35" s="188">
        <v>58595196</v>
      </c>
      <c r="AY35" s="188">
        <v>54103119</v>
      </c>
      <c r="AZ35" s="188">
        <v>86235901</v>
      </c>
      <c r="BA35" s="188">
        <v>90323994</v>
      </c>
      <c r="BB35" s="188">
        <v>78113484</v>
      </c>
      <c r="BC35" s="188">
        <v>50523116</v>
      </c>
      <c r="BD35" s="188">
        <v>53138546</v>
      </c>
      <c r="BE35" s="188">
        <v>16995938</v>
      </c>
      <c r="BF35" s="188">
        <v>26344355.210000001</v>
      </c>
      <c r="BG35" s="188">
        <v>17035757.780000001</v>
      </c>
      <c r="BH35" s="188">
        <v>26340934.809999999</v>
      </c>
      <c r="BI35" s="188">
        <v>19550340</v>
      </c>
      <c r="BJ35" s="188">
        <v>169547969.50999999</v>
      </c>
      <c r="BK35" s="188">
        <v>166662039.72999999</v>
      </c>
      <c r="BL35" s="188">
        <v>173080689.63999999</v>
      </c>
      <c r="BM35" s="188">
        <v>20834820</v>
      </c>
      <c r="BN35" s="188">
        <v>0</v>
      </c>
      <c r="BO35" s="188">
        <v>0</v>
      </c>
      <c r="BP35" s="188">
        <v>0</v>
      </c>
      <c r="BQ35" s="188">
        <v>0</v>
      </c>
      <c r="BR35" s="188">
        <v>0</v>
      </c>
      <c r="BS35" s="188">
        <v>0</v>
      </c>
      <c r="BT35" s="188">
        <v>0</v>
      </c>
      <c r="BU35" s="188">
        <v>0</v>
      </c>
      <c r="BV35" s="188">
        <v>500000</v>
      </c>
      <c r="BW35" s="188">
        <v>0</v>
      </c>
      <c r="BX35" s="188">
        <v>0</v>
      </c>
      <c r="BY35" s="188">
        <v>0</v>
      </c>
      <c r="BZ35" s="188">
        <v>0</v>
      </c>
      <c r="CA35" s="188">
        <v>0</v>
      </c>
      <c r="CB35" s="188">
        <v>0</v>
      </c>
      <c r="CC35" s="188">
        <v>0</v>
      </c>
      <c r="CD35" s="188">
        <v>0</v>
      </c>
      <c r="CE35" s="188"/>
      <c r="CF35" s="188"/>
      <c r="CG35" s="188"/>
      <c r="CH35" s="188"/>
      <c r="CI35" s="188"/>
      <c r="CJ35" s="188"/>
      <c r="CK35" s="188"/>
      <c r="CL35" s="188"/>
    </row>
    <row r="36" spans="1:90" x14ac:dyDescent="0.25">
      <c r="A36" s="17" t="s">
        <v>22</v>
      </c>
      <c r="B36" s="188">
        <v>0</v>
      </c>
      <c r="C36" s="188">
        <v>19003618742</v>
      </c>
      <c r="D36" s="188">
        <v>17314040948</v>
      </c>
      <c r="E36" s="188">
        <v>16205788698</v>
      </c>
      <c r="F36" s="188">
        <v>14362344001</v>
      </c>
      <c r="G36" s="188">
        <v>15215611240</v>
      </c>
      <c r="H36" s="188">
        <v>16167653756</v>
      </c>
      <c r="I36" s="188">
        <v>13835615665</v>
      </c>
      <c r="J36" s="188">
        <v>13616736221</v>
      </c>
      <c r="K36" s="188">
        <v>11123142770</v>
      </c>
      <c r="L36" s="188">
        <v>9878595496</v>
      </c>
      <c r="M36" s="188">
        <v>9849935031</v>
      </c>
      <c r="N36" s="188">
        <v>10532204776</v>
      </c>
      <c r="O36" s="188">
        <v>7635913251</v>
      </c>
      <c r="P36" s="188">
        <v>7432906582</v>
      </c>
      <c r="Q36" s="188">
        <v>6691237683</v>
      </c>
      <c r="R36" s="188">
        <v>5993743852</v>
      </c>
      <c r="S36" s="188">
        <v>5566571822</v>
      </c>
      <c r="T36" s="188">
        <v>4868052270</v>
      </c>
      <c r="U36" s="188">
        <v>5667182852</v>
      </c>
      <c r="V36" s="188">
        <v>5194895733</v>
      </c>
      <c r="W36" s="188">
        <v>5624581793</v>
      </c>
      <c r="X36" s="188">
        <v>5411299076</v>
      </c>
      <c r="Y36" s="188">
        <v>5452578519</v>
      </c>
      <c r="Z36" s="188">
        <v>5448867197</v>
      </c>
      <c r="AA36" s="188">
        <v>4495407684</v>
      </c>
      <c r="AB36" s="188">
        <v>4086851090</v>
      </c>
      <c r="AC36" s="188">
        <v>3630464475</v>
      </c>
      <c r="AD36" s="188">
        <v>3192772008</v>
      </c>
      <c r="AE36" s="188">
        <v>3313353942</v>
      </c>
      <c r="AF36" s="188">
        <v>2464814117</v>
      </c>
      <c r="AG36" s="188">
        <v>2267112387</v>
      </c>
      <c r="AH36" s="188">
        <v>2894426702</v>
      </c>
      <c r="AI36" s="188">
        <v>2547594161</v>
      </c>
      <c r="AJ36" s="188">
        <v>2084255445</v>
      </c>
      <c r="AK36" s="188">
        <v>2062612767</v>
      </c>
      <c r="AL36" s="188">
        <v>1815121632</v>
      </c>
      <c r="AM36" s="188">
        <v>1516344169</v>
      </c>
      <c r="AN36" s="188">
        <v>1066108387</v>
      </c>
      <c r="AO36" s="188">
        <v>1062249179</v>
      </c>
      <c r="AP36" s="188">
        <v>1458745421</v>
      </c>
      <c r="AQ36" s="188">
        <v>1496637477</v>
      </c>
      <c r="AR36" s="188">
        <v>1532156187</v>
      </c>
      <c r="AS36" s="188">
        <v>1498985231</v>
      </c>
      <c r="AT36" s="188">
        <v>1715415787</v>
      </c>
      <c r="AU36" s="188">
        <v>1734931148</v>
      </c>
      <c r="AV36" s="188">
        <v>1750227957</v>
      </c>
      <c r="AW36" s="188">
        <v>1856976749</v>
      </c>
      <c r="AX36" s="188">
        <v>1952708692</v>
      </c>
      <c r="AY36" s="188">
        <v>2117811837</v>
      </c>
      <c r="AZ36" s="188">
        <v>2221178938</v>
      </c>
      <c r="BA36" s="188">
        <v>2166669649</v>
      </c>
      <c r="BB36" s="188">
        <v>3498210090</v>
      </c>
      <c r="BC36" s="188">
        <v>2836574026</v>
      </c>
      <c r="BD36" s="188">
        <v>2444709732</v>
      </c>
      <c r="BE36" s="188">
        <v>2680947167</v>
      </c>
      <c r="BF36" s="188">
        <v>2183991217.9200001</v>
      </c>
      <c r="BG36" s="188">
        <v>1890992117.75</v>
      </c>
      <c r="BH36" s="188">
        <v>2449005130.5300002</v>
      </c>
      <c r="BI36" s="188">
        <v>1803653591</v>
      </c>
      <c r="BJ36" s="188">
        <v>1906967894.3699999</v>
      </c>
      <c r="BK36" s="188">
        <v>1495219765.3800001</v>
      </c>
      <c r="BL36" s="188">
        <v>1512593815.72</v>
      </c>
      <c r="BM36" s="188">
        <v>1099597808</v>
      </c>
      <c r="BN36" s="188">
        <v>1050468290.78</v>
      </c>
      <c r="BO36" s="188">
        <v>703263450.92999995</v>
      </c>
      <c r="BP36" s="188">
        <v>693547334.67999995</v>
      </c>
      <c r="BQ36" s="188">
        <v>458648816</v>
      </c>
      <c r="BR36" s="188">
        <v>520193088.11000001</v>
      </c>
      <c r="BS36" s="188">
        <v>378493150</v>
      </c>
      <c r="BT36" s="188">
        <v>514397891</v>
      </c>
      <c r="BU36" s="188">
        <v>322921675</v>
      </c>
      <c r="BV36" s="188">
        <v>60822599.119999997</v>
      </c>
      <c r="BW36" s="188">
        <v>31211000</v>
      </c>
      <c r="BX36" s="188">
        <v>22541214.84</v>
      </c>
      <c r="BY36" s="188">
        <v>22348000</v>
      </c>
      <c r="BZ36" s="188">
        <v>0</v>
      </c>
      <c r="CA36" s="188">
        <v>31026000</v>
      </c>
      <c r="CB36" s="188">
        <v>23386000</v>
      </c>
      <c r="CC36" s="188">
        <v>25345000</v>
      </c>
      <c r="CD36" s="188">
        <v>0</v>
      </c>
      <c r="CE36" s="188"/>
      <c r="CF36" s="188"/>
      <c r="CG36" s="188"/>
      <c r="CH36" s="188"/>
      <c r="CI36" s="188"/>
      <c r="CJ36" s="188"/>
      <c r="CK36" s="188"/>
      <c r="CL36" s="188"/>
    </row>
    <row r="37" spans="1:90" x14ac:dyDescent="0.25">
      <c r="A37" s="17" t="s">
        <v>23</v>
      </c>
      <c r="B37" s="188">
        <v>789492542</v>
      </c>
      <c r="C37" s="188">
        <v>991348534</v>
      </c>
      <c r="D37" s="188">
        <v>849194477</v>
      </c>
      <c r="E37" s="188">
        <v>781324522</v>
      </c>
      <c r="F37" s="188">
        <v>592466995</v>
      </c>
      <c r="G37" s="188">
        <v>857046320</v>
      </c>
      <c r="H37" s="188">
        <v>285512350</v>
      </c>
      <c r="I37" s="188">
        <v>548942714</v>
      </c>
      <c r="J37" s="188">
        <v>629706242</v>
      </c>
      <c r="K37" s="188">
        <v>546562992</v>
      </c>
      <c r="L37" s="188">
        <v>521461313</v>
      </c>
      <c r="M37" s="188">
        <v>386538903</v>
      </c>
      <c r="N37" s="188">
        <v>458150377</v>
      </c>
      <c r="O37" s="188">
        <v>560166338</v>
      </c>
      <c r="P37" s="188">
        <v>759799232</v>
      </c>
      <c r="Q37" s="188">
        <v>314712632</v>
      </c>
      <c r="R37" s="188">
        <v>388694651</v>
      </c>
      <c r="S37" s="188">
        <v>273950001</v>
      </c>
      <c r="T37" s="188">
        <v>336458563</v>
      </c>
      <c r="U37" s="188">
        <v>281618909</v>
      </c>
      <c r="V37" s="188">
        <v>319847912</v>
      </c>
      <c r="W37" s="188">
        <v>318533488</v>
      </c>
      <c r="X37" s="188">
        <v>917111066</v>
      </c>
      <c r="Y37" s="188">
        <v>647932719</v>
      </c>
      <c r="Z37" s="188">
        <v>560774007</v>
      </c>
      <c r="AA37" s="188">
        <v>417560487</v>
      </c>
      <c r="AB37" s="188">
        <v>198423333</v>
      </c>
      <c r="AC37" s="188">
        <v>186069735</v>
      </c>
      <c r="AD37" s="188">
        <v>209622885</v>
      </c>
      <c r="AE37" s="188">
        <v>224777536</v>
      </c>
      <c r="AF37" s="188">
        <v>129381385</v>
      </c>
      <c r="AG37" s="188">
        <v>82635808</v>
      </c>
      <c r="AH37" s="188">
        <v>75963268</v>
      </c>
      <c r="AI37" s="188">
        <v>39684084</v>
      </c>
      <c r="AJ37" s="188">
        <v>53853577</v>
      </c>
      <c r="AK37" s="188">
        <v>59726146</v>
      </c>
      <c r="AL37" s="188">
        <v>91743185</v>
      </c>
      <c r="AM37" s="188">
        <v>134890718</v>
      </c>
      <c r="AN37" s="188">
        <v>196470531</v>
      </c>
      <c r="AO37" s="188">
        <v>225371127</v>
      </c>
      <c r="AP37" s="188">
        <v>238351079</v>
      </c>
      <c r="AQ37" s="188">
        <v>311802477</v>
      </c>
      <c r="AR37" s="188">
        <v>255456619</v>
      </c>
      <c r="AS37" s="188">
        <v>176435585</v>
      </c>
      <c r="AT37" s="188">
        <v>192697429</v>
      </c>
      <c r="AU37" s="188">
        <v>44773285</v>
      </c>
      <c r="AV37" s="188">
        <v>32451123</v>
      </c>
      <c r="AW37" s="188">
        <v>20696877</v>
      </c>
      <c r="AX37" s="188">
        <v>33595047</v>
      </c>
      <c r="AY37" s="188">
        <v>45465438</v>
      </c>
      <c r="AZ37" s="188">
        <v>59181959</v>
      </c>
      <c r="BA37" s="188">
        <v>25273330</v>
      </c>
      <c r="BB37" s="188">
        <v>27386065</v>
      </c>
      <c r="BC37" s="188">
        <v>30822874</v>
      </c>
      <c r="BD37" s="188">
        <v>19628868</v>
      </c>
      <c r="BE37" s="188">
        <v>26352985</v>
      </c>
      <c r="BF37" s="188">
        <v>46313508.119999997</v>
      </c>
      <c r="BG37" s="188">
        <v>125077068.2</v>
      </c>
      <c r="BH37" s="188">
        <v>133886525.55</v>
      </c>
      <c r="BI37" s="188">
        <v>25901298</v>
      </c>
      <c r="BJ37" s="188">
        <v>20755991.899999999</v>
      </c>
      <c r="BK37" s="188">
        <v>14822141.710000001</v>
      </c>
      <c r="BL37" s="188">
        <v>112049963.98999999</v>
      </c>
      <c r="BM37" s="188">
        <v>16790165</v>
      </c>
      <c r="BN37" s="188">
        <v>16399421.07</v>
      </c>
      <c r="BO37" s="188">
        <v>12073160.880000001</v>
      </c>
      <c r="BP37" s="188">
        <v>17437229.68</v>
      </c>
      <c r="BQ37" s="188">
        <v>10350637</v>
      </c>
      <c r="BR37" s="188">
        <v>10085182.970000001</v>
      </c>
      <c r="BS37" s="188">
        <v>11056670</v>
      </c>
      <c r="BT37" s="188">
        <v>9876783</v>
      </c>
      <c r="BU37" s="188">
        <v>9149979</v>
      </c>
      <c r="BV37" s="188">
        <v>8348165.5099999998</v>
      </c>
      <c r="BW37" s="188">
        <v>8346000</v>
      </c>
      <c r="BX37" s="188">
        <v>12361139.359999999</v>
      </c>
      <c r="BY37" s="188">
        <v>10564000</v>
      </c>
      <c r="BZ37" s="188">
        <v>0</v>
      </c>
      <c r="CA37" s="188">
        <v>6861000</v>
      </c>
      <c r="CB37" s="188">
        <v>10111000</v>
      </c>
      <c r="CC37" s="188">
        <v>6896000</v>
      </c>
      <c r="CD37" s="188">
        <v>0</v>
      </c>
      <c r="CE37" s="188"/>
      <c r="CF37" s="188"/>
      <c r="CG37" s="188"/>
      <c r="CH37" s="188"/>
      <c r="CI37" s="188"/>
      <c r="CJ37" s="188"/>
      <c r="CK37" s="188"/>
      <c r="CL37" s="188"/>
    </row>
    <row r="38" spans="1:90" x14ac:dyDescent="0.25">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v>0</v>
      </c>
      <c r="BI38" s="188">
        <v>0</v>
      </c>
      <c r="BJ38" s="188">
        <v>0</v>
      </c>
      <c r="BK38" s="188">
        <v>0</v>
      </c>
      <c r="BL38" s="188">
        <v>0</v>
      </c>
      <c r="BM38" s="188">
        <v>0</v>
      </c>
      <c r="BN38" s="188">
        <v>0</v>
      </c>
      <c r="BO38" s="188">
        <v>0</v>
      </c>
      <c r="BP38" s="188">
        <v>0</v>
      </c>
      <c r="BQ38" s="188">
        <v>0</v>
      </c>
      <c r="BR38" s="188">
        <v>0</v>
      </c>
      <c r="BS38" s="188">
        <v>0</v>
      </c>
      <c r="BT38" s="188">
        <v>0</v>
      </c>
      <c r="BU38" s="188">
        <v>0</v>
      </c>
      <c r="BV38" s="188">
        <v>0</v>
      </c>
      <c r="BW38" s="188">
        <v>0</v>
      </c>
      <c r="BX38" s="188">
        <v>0</v>
      </c>
      <c r="BY38" s="188">
        <v>0</v>
      </c>
      <c r="BZ38" s="188">
        <v>0</v>
      </c>
      <c r="CA38" s="188">
        <v>0</v>
      </c>
      <c r="CB38" s="188">
        <v>0</v>
      </c>
      <c r="CC38" s="188">
        <v>0</v>
      </c>
      <c r="CD38" s="188">
        <v>0</v>
      </c>
      <c r="CE38" s="188"/>
      <c r="CF38" s="188"/>
      <c r="CG38" s="188"/>
      <c r="CH38" s="188"/>
      <c r="CI38" s="188"/>
      <c r="CJ38" s="188"/>
      <c r="CK38" s="188"/>
      <c r="CL38" s="188"/>
    </row>
    <row r="39" spans="1:90" x14ac:dyDescent="0.25">
      <c r="A39" s="17" t="s">
        <v>25</v>
      </c>
      <c r="B39" s="188">
        <v>1787731588</v>
      </c>
      <c r="C39" s="188">
        <v>1220668515</v>
      </c>
      <c r="D39" s="188">
        <v>1271559983</v>
      </c>
      <c r="E39" s="188">
        <v>2217066944</v>
      </c>
      <c r="F39" s="188">
        <v>1839337835</v>
      </c>
      <c r="G39" s="188">
        <v>1386497057</v>
      </c>
      <c r="H39" s="188">
        <v>1138655358</v>
      </c>
      <c r="I39" s="188">
        <v>1542852266</v>
      </c>
      <c r="J39" s="188">
        <v>1107290241</v>
      </c>
      <c r="K39" s="188">
        <v>701777969</v>
      </c>
      <c r="L39" s="188">
        <v>716821667</v>
      </c>
      <c r="M39" s="188">
        <v>1092103138</v>
      </c>
      <c r="N39" s="188">
        <v>1238207534</v>
      </c>
      <c r="O39" s="188">
        <v>958619433</v>
      </c>
      <c r="P39" s="188">
        <v>814584439</v>
      </c>
      <c r="Q39" s="188">
        <v>1151622921</v>
      </c>
      <c r="R39" s="188">
        <v>947783430</v>
      </c>
      <c r="S39" s="188">
        <v>766545400</v>
      </c>
      <c r="T39" s="188">
        <v>538156852</v>
      </c>
      <c r="U39" s="188">
        <v>845898437</v>
      </c>
      <c r="V39" s="188">
        <v>594853504</v>
      </c>
      <c r="W39" s="188">
        <v>514558289</v>
      </c>
      <c r="X39" s="188">
        <v>425897127</v>
      </c>
      <c r="Y39" s="188">
        <v>539910148</v>
      </c>
      <c r="Z39" s="188">
        <v>389936877</v>
      </c>
      <c r="AA39" s="188">
        <v>319282739</v>
      </c>
      <c r="AB39" s="188">
        <v>276466213</v>
      </c>
      <c r="AC39" s="188">
        <v>368442775</v>
      </c>
      <c r="AD39" s="188">
        <v>231978772</v>
      </c>
      <c r="AE39" s="188">
        <v>196298944</v>
      </c>
      <c r="AF39" s="188">
        <v>165985911</v>
      </c>
      <c r="AG39" s="188">
        <v>256486006</v>
      </c>
      <c r="AH39" s="188">
        <v>165047717</v>
      </c>
      <c r="AI39" s="188">
        <v>144761934</v>
      </c>
      <c r="AJ39" s="188">
        <v>155864206</v>
      </c>
      <c r="AK39" s="188">
        <v>190728011</v>
      </c>
      <c r="AL39" s="188">
        <v>118081805</v>
      </c>
      <c r="AM39" s="188">
        <v>101279501</v>
      </c>
      <c r="AN39" s="188">
        <v>96621513</v>
      </c>
      <c r="AO39" s="188">
        <v>109085872</v>
      </c>
      <c r="AP39" s="188">
        <v>162722717</v>
      </c>
      <c r="AQ39" s="188">
        <v>142145565</v>
      </c>
      <c r="AR39" s="188">
        <v>114013728</v>
      </c>
      <c r="AS39" s="188">
        <v>153060763</v>
      </c>
      <c r="AT39" s="188">
        <v>152358189</v>
      </c>
      <c r="AU39" s="188">
        <v>77871292</v>
      </c>
      <c r="AV39" s="188">
        <v>64754593</v>
      </c>
      <c r="AW39" s="188">
        <v>66811176</v>
      </c>
      <c r="AX39" s="188">
        <v>53551110</v>
      </c>
      <c r="AY39" s="188">
        <v>51213276</v>
      </c>
      <c r="AZ39" s="188">
        <v>55148687</v>
      </c>
      <c r="BA39" s="188">
        <v>59109048</v>
      </c>
      <c r="BB39" s="188">
        <v>101754497</v>
      </c>
      <c r="BC39" s="188">
        <v>49576431</v>
      </c>
      <c r="BD39" s="188">
        <v>68261723</v>
      </c>
      <c r="BE39" s="188">
        <v>44880463</v>
      </c>
      <c r="BF39" s="188">
        <v>46093808.479999997</v>
      </c>
      <c r="BG39" s="188">
        <v>54188355.810000002</v>
      </c>
      <c r="BH39" s="188">
        <v>32175098.239999998</v>
      </c>
      <c r="BI39" s="188">
        <v>37063864</v>
      </c>
      <c r="BJ39" s="188">
        <v>45686147.68</v>
      </c>
      <c r="BK39" s="188">
        <v>53939248</v>
      </c>
      <c r="BL39" s="188">
        <v>42850408.700000003</v>
      </c>
      <c r="BM39" s="188">
        <v>25998483</v>
      </c>
      <c r="BN39" s="188">
        <v>20820987.859999999</v>
      </c>
      <c r="BO39" s="188">
        <v>22616358.960000001</v>
      </c>
      <c r="BP39" s="188">
        <v>18723344.559999999</v>
      </c>
      <c r="BQ39" s="188">
        <v>16197408</v>
      </c>
      <c r="BR39" s="188">
        <v>32428123.039999999</v>
      </c>
      <c r="BS39" s="188">
        <v>25034277</v>
      </c>
      <c r="BT39" s="188">
        <v>13468913</v>
      </c>
      <c r="BU39" s="188">
        <v>9986969</v>
      </c>
      <c r="BV39" s="188">
        <v>7514919.1100000003</v>
      </c>
      <c r="BW39" s="188">
        <v>5082000</v>
      </c>
      <c r="BX39" s="188">
        <v>7156190.71</v>
      </c>
      <c r="BY39" s="188">
        <v>2722000</v>
      </c>
      <c r="BZ39" s="188">
        <v>0</v>
      </c>
      <c r="CA39" s="188">
        <v>11941000</v>
      </c>
      <c r="CB39" s="188">
        <v>15456000</v>
      </c>
      <c r="CC39" s="188">
        <v>30623000</v>
      </c>
      <c r="CD39" s="188">
        <v>0</v>
      </c>
      <c r="CE39" s="188"/>
      <c r="CF39" s="188"/>
      <c r="CG39" s="188"/>
      <c r="CH39" s="188"/>
      <c r="CI39" s="188"/>
      <c r="CJ39" s="188"/>
      <c r="CK39" s="188"/>
      <c r="CL39" s="188"/>
    </row>
    <row r="40" spans="1:90" x14ac:dyDescent="0.25">
      <c r="A40" s="17" t="s">
        <v>26</v>
      </c>
      <c r="B40" s="188">
        <v>673476286</v>
      </c>
      <c r="C40" s="188">
        <v>538406225</v>
      </c>
      <c r="D40" s="188">
        <v>889451222</v>
      </c>
      <c r="E40" s="188">
        <v>775621146</v>
      </c>
      <c r="F40" s="188">
        <v>666522029</v>
      </c>
      <c r="G40" s="188">
        <v>698302308</v>
      </c>
      <c r="H40" s="188">
        <v>824019313</v>
      </c>
      <c r="I40" s="188">
        <v>656351894</v>
      </c>
      <c r="J40" s="188">
        <v>251848076</v>
      </c>
      <c r="K40" s="188">
        <v>179704984</v>
      </c>
      <c r="L40" s="188">
        <v>191195124</v>
      </c>
      <c r="M40" s="188">
        <v>224415009</v>
      </c>
      <c r="N40" s="188">
        <v>231654304</v>
      </c>
      <c r="O40" s="188">
        <v>264262867</v>
      </c>
      <c r="P40" s="188">
        <v>306624738</v>
      </c>
      <c r="Q40" s="188">
        <v>318219650</v>
      </c>
      <c r="R40" s="188">
        <v>185807008</v>
      </c>
      <c r="S40" s="188">
        <v>163315283</v>
      </c>
      <c r="T40" s="188">
        <v>198423516</v>
      </c>
      <c r="U40" s="188">
        <v>190205223</v>
      </c>
      <c r="V40" s="188">
        <v>102814571</v>
      </c>
      <c r="W40" s="188">
        <v>51566869</v>
      </c>
      <c r="X40" s="188">
        <v>503412578</v>
      </c>
      <c r="Y40" s="188">
        <v>48857070</v>
      </c>
      <c r="Z40" s="188">
        <v>39431518</v>
      </c>
      <c r="AA40" s="188">
        <v>32327394</v>
      </c>
      <c r="AB40" s="188">
        <v>39215097</v>
      </c>
      <c r="AC40" s="188">
        <v>47338545</v>
      </c>
      <c r="AD40" s="188">
        <v>20338959</v>
      </c>
      <c r="AE40" s="188">
        <v>11869679</v>
      </c>
      <c r="AF40" s="188">
        <v>16720172</v>
      </c>
      <c r="AG40" s="188">
        <v>15603988</v>
      </c>
      <c r="AH40" s="188">
        <v>16866889</v>
      </c>
      <c r="AI40" s="188">
        <v>14044494</v>
      </c>
      <c r="AJ40" s="188">
        <v>38094466</v>
      </c>
      <c r="AK40" s="188">
        <v>37105067</v>
      </c>
      <c r="AL40" s="188">
        <v>9204547</v>
      </c>
      <c r="AM40" s="188">
        <v>10939267</v>
      </c>
      <c r="AN40" s="188">
        <v>9273152</v>
      </c>
      <c r="AO40" s="188">
        <v>15774385</v>
      </c>
      <c r="AP40" s="188">
        <v>-175510911</v>
      </c>
      <c r="AQ40" s="188">
        <v>-133380306</v>
      </c>
      <c r="AR40" s="188">
        <v>21215105</v>
      </c>
      <c r="AS40" s="188">
        <v>50273186</v>
      </c>
      <c r="AT40" s="188">
        <v>-73755851</v>
      </c>
      <c r="AU40" s="188">
        <v>977360</v>
      </c>
      <c r="AV40" s="188">
        <v>-63410075</v>
      </c>
      <c r="AW40" s="188">
        <v>-96466617</v>
      </c>
      <c r="AX40" s="188">
        <v>53575648</v>
      </c>
      <c r="AY40" s="188">
        <v>10016303</v>
      </c>
      <c r="AZ40" s="188">
        <v>-7951107</v>
      </c>
      <c r="BA40" s="188">
        <v>8653190</v>
      </c>
      <c r="BB40" s="188">
        <v>-12795282</v>
      </c>
      <c r="BC40" s="188">
        <v>-18365877</v>
      </c>
      <c r="BD40" s="188">
        <v>-17026022</v>
      </c>
      <c r="BE40" s="188">
        <v>8726505</v>
      </c>
      <c r="BF40" s="188">
        <v>-19102213.68</v>
      </c>
      <c r="BG40" s="188">
        <v>-33493531.48</v>
      </c>
      <c r="BH40" s="188">
        <v>-7086121.1399999997</v>
      </c>
      <c r="BI40" s="188">
        <v>35305933</v>
      </c>
      <c r="BJ40" s="188">
        <v>-21820.14</v>
      </c>
      <c r="BK40" s="188">
        <v>21553792.260000002</v>
      </c>
      <c r="BL40" s="188">
        <v>24430401.760000002</v>
      </c>
      <c r="BM40" s="188">
        <v>34588150</v>
      </c>
      <c r="BN40" s="188">
        <v>87010033.730000004</v>
      </c>
      <c r="BO40" s="188">
        <v>5741833.79</v>
      </c>
      <c r="BP40" s="188">
        <v>46659846.560000002</v>
      </c>
      <c r="BQ40" s="188">
        <v>10040929</v>
      </c>
      <c r="BR40" s="188">
        <v>8515943.8699999992</v>
      </c>
      <c r="BS40" s="188">
        <v>23806500</v>
      </c>
      <c r="BT40" s="188">
        <v>6369346</v>
      </c>
      <c r="BU40" s="188">
        <v>8058738</v>
      </c>
      <c r="BV40" s="188">
        <v>6901231.6299999999</v>
      </c>
      <c r="BW40" s="188">
        <v>7121000</v>
      </c>
      <c r="BX40" s="188">
        <v>6207881.9000000004</v>
      </c>
      <c r="BY40" s="188">
        <v>9347000</v>
      </c>
      <c r="BZ40" s="188">
        <v>0</v>
      </c>
      <c r="CA40" s="188">
        <v>1121000</v>
      </c>
      <c r="CB40" s="188">
        <v>-2499000</v>
      </c>
      <c r="CC40" s="188">
        <v>254000</v>
      </c>
      <c r="CD40" s="188">
        <v>0</v>
      </c>
      <c r="CE40" s="188"/>
      <c r="CF40" s="188"/>
      <c r="CG40" s="188"/>
      <c r="CH40" s="188"/>
      <c r="CI40" s="188"/>
      <c r="CJ40" s="188"/>
      <c r="CK40" s="188"/>
      <c r="CL40" s="188"/>
    </row>
    <row r="41" spans="1:90" x14ac:dyDescent="0.25">
      <c r="A41" s="17" t="s">
        <v>27</v>
      </c>
      <c r="B41" s="188">
        <v>19796895018</v>
      </c>
      <c r="C41" s="188">
        <v>15925444403</v>
      </c>
      <c r="D41" s="188">
        <v>14153985996</v>
      </c>
      <c r="E41" s="188">
        <v>15264806774</v>
      </c>
      <c r="F41" s="188">
        <v>15060458418</v>
      </c>
      <c r="G41" s="188">
        <v>15003435170</v>
      </c>
      <c r="H41" s="188">
        <v>13520415444</v>
      </c>
      <c r="I41" s="188">
        <v>14395525248</v>
      </c>
      <c r="J41" s="188">
        <v>11322493654</v>
      </c>
      <c r="K41" s="188">
        <v>8230251535</v>
      </c>
      <c r="L41" s="188">
        <v>8003809037</v>
      </c>
      <c r="M41" s="188">
        <v>8864929878</v>
      </c>
      <c r="N41" s="188">
        <v>6329285449</v>
      </c>
      <c r="O41" s="188">
        <v>6494069469</v>
      </c>
      <c r="P41" s="188">
        <v>6027105529</v>
      </c>
      <c r="Q41" s="188">
        <v>7550386025</v>
      </c>
      <c r="R41" s="188">
        <v>7004915097</v>
      </c>
      <c r="S41" s="188">
        <v>6824411233</v>
      </c>
      <c r="T41" s="188">
        <v>7469587639</v>
      </c>
      <c r="U41" s="188">
        <v>6062245439</v>
      </c>
      <c r="V41" s="188">
        <v>5227394119</v>
      </c>
      <c r="W41" s="188">
        <v>5896313151</v>
      </c>
      <c r="X41" s="188">
        <v>2681495073</v>
      </c>
      <c r="Y41" s="188">
        <v>3201279824</v>
      </c>
      <c r="Z41" s="188">
        <v>3330003649</v>
      </c>
      <c r="AA41" s="188">
        <v>3712075555</v>
      </c>
      <c r="AB41" s="188">
        <v>3454849187</v>
      </c>
      <c r="AC41" s="188">
        <v>4285822157</v>
      </c>
      <c r="AD41" s="188">
        <v>3633372125</v>
      </c>
      <c r="AE41" s="188">
        <v>3522114040</v>
      </c>
      <c r="AF41" s="188">
        <v>3513253830</v>
      </c>
      <c r="AG41" s="188">
        <v>3091332938</v>
      </c>
      <c r="AH41" s="188">
        <v>382415163</v>
      </c>
      <c r="AI41" s="188">
        <v>335463074</v>
      </c>
      <c r="AJ41" s="188">
        <v>245770112</v>
      </c>
      <c r="AK41" s="188">
        <v>228912302</v>
      </c>
      <c r="AL41" s="188">
        <v>146209921</v>
      </c>
      <c r="AM41" s="188">
        <v>180957488</v>
      </c>
      <c r="AN41" s="188">
        <v>138410843</v>
      </c>
      <c r="AO41" s="188">
        <v>129185287</v>
      </c>
      <c r="AP41" s="188">
        <v>108129407</v>
      </c>
      <c r="AQ41" s="188">
        <v>176435245</v>
      </c>
      <c r="AR41" s="188">
        <v>171893832</v>
      </c>
      <c r="AS41" s="188">
        <v>159051186</v>
      </c>
      <c r="AT41" s="188">
        <v>1460220227</v>
      </c>
      <c r="AU41" s="188">
        <v>1343011024</v>
      </c>
      <c r="AV41" s="188">
        <v>288697276</v>
      </c>
      <c r="AW41" s="188">
        <v>212403663</v>
      </c>
      <c r="AX41" s="188">
        <v>246750509</v>
      </c>
      <c r="AY41" s="188">
        <v>343579993</v>
      </c>
      <c r="AZ41" s="188">
        <v>241763780</v>
      </c>
      <c r="BA41" s="188">
        <v>261778187</v>
      </c>
      <c r="BB41" s="188">
        <v>313437530</v>
      </c>
      <c r="BC41" s="188">
        <v>254929949</v>
      </c>
      <c r="BD41" s="188">
        <v>288456837</v>
      </c>
      <c r="BE41" s="188">
        <v>270783267</v>
      </c>
      <c r="BF41" s="188">
        <v>691191658.90999997</v>
      </c>
      <c r="BG41" s="188">
        <v>424939718.44999999</v>
      </c>
      <c r="BH41" s="188">
        <v>441539342.44</v>
      </c>
      <c r="BI41" s="188">
        <v>340008362</v>
      </c>
      <c r="BJ41" s="188">
        <v>271302927.48000002</v>
      </c>
      <c r="BK41" s="188">
        <v>306331309.10000002</v>
      </c>
      <c r="BL41" s="188">
        <v>316059698.77999997</v>
      </c>
      <c r="BM41" s="188">
        <v>184208660</v>
      </c>
      <c r="BN41" s="188">
        <v>187499056.28999999</v>
      </c>
      <c r="BO41" s="188">
        <v>279183897.75</v>
      </c>
      <c r="BP41" s="188">
        <v>392077690.75999999</v>
      </c>
      <c r="BQ41" s="188">
        <v>138349778</v>
      </c>
      <c r="BR41" s="188">
        <v>132743883.33</v>
      </c>
      <c r="BS41" s="188">
        <v>122317057</v>
      </c>
      <c r="BT41" s="188">
        <v>129177524</v>
      </c>
      <c r="BU41" s="188">
        <v>117956720</v>
      </c>
      <c r="BV41" s="188">
        <v>176494192.75999999</v>
      </c>
      <c r="BW41" s="188">
        <v>228463000</v>
      </c>
      <c r="BX41" s="188">
        <v>155955204</v>
      </c>
      <c r="BY41" s="188">
        <v>165188000</v>
      </c>
      <c r="BZ41" s="188">
        <v>0</v>
      </c>
      <c r="CA41" s="188">
        <v>98553000</v>
      </c>
      <c r="CB41" s="188">
        <v>77073000</v>
      </c>
      <c r="CC41" s="188">
        <v>56775000</v>
      </c>
      <c r="CD41" s="188">
        <v>0</v>
      </c>
      <c r="CE41" s="188"/>
      <c r="CF41" s="188"/>
      <c r="CG41" s="188"/>
      <c r="CH41" s="188"/>
      <c r="CI41" s="188"/>
      <c r="CJ41" s="188"/>
      <c r="CK41" s="188"/>
      <c r="CL41" s="188"/>
    </row>
    <row r="42" spans="1:90" s="39" customFormat="1" x14ac:dyDescent="0.25">
      <c r="A42" s="123" t="s">
        <v>28</v>
      </c>
      <c r="B42" s="188">
        <v>0</v>
      </c>
      <c r="C42" s="188">
        <v>0</v>
      </c>
      <c r="D42" s="188">
        <v>0</v>
      </c>
      <c r="E42" s="188">
        <v>0</v>
      </c>
      <c r="F42" s="188">
        <v>0</v>
      </c>
      <c r="G42" s="188">
        <v>0</v>
      </c>
      <c r="H42" s="188">
        <v>0</v>
      </c>
      <c r="I42" s="188">
        <v>0</v>
      </c>
      <c r="J42" s="188">
        <v>0</v>
      </c>
      <c r="K42" s="188">
        <v>0</v>
      </c>
      <c r="L42" s="188">
        <v>0</v>
      </c>
      <c r="M42" s="188">
        <v>0</v>
      </c>
      <c r="N42" s="188">
        <v>0</v>
      </c>
      <c r="O42" s="188">
        <v>0</v>
      </c>
      <c r="P42" s="188">
        <v>0</v>
      </c>
      <c r="Q42" s="188">
        <v>0</v>
      </c>
      <c r="R42" s="188">
        <v>0</v>
      </c>
      <c r="S42" s="188">
        <v>0</v>
      </c>
      <c r="T42" s="188">
        <v>0</v>
      </c>
      <c r="U42" s="188">
        <v>0</v>
      </c>
      <c r="V42" s="188">
        <v>0</v>
      </c>
      <c r="W42" s="188">
        <v>0</v>
      </c>
      <c r="X42" s="188">
        <v>0</v>
      </c>
      <c r="Y42" s="188">
        <v>0</v>
      </c>
      <c r="Z42" s="188">
        <v>0</v>
      </c>
      <c r="AA42" s="188">
        <v>0</v>
      </c>
      <c r="AB42" s="188">
        <v>0</v>
      </c>
      <c r="AC42" s="188">
        <v>0</v>
      </c>
      <c r="AD42" s="188">
        <v>0</v>
      </c>
      <c r="AE42" s="188">
        <v>0</v>
      </c>
      <c r="AF42" s="188">
        <v>0</v>
      </c>
      <c r="AG42" s="188">
        <v>0</v>
      </c>
      <c r="AH42" s="188">
        <v>0</v>
      </c>
      <c r="AI42" s="188">
        <v>0</v>
      </c>
      <c r="AJ42" s="188">
        <v>0</v>
      </c>
      <c r="AK42" s="188">
        <v>0</v>
      </c>
      <c r="AL42" s="188">
        <v>0</v>
      </c>
      <c r="AM42" s="188">
        <v>0</v>
      </c>
      <c r="AN42" s="188">
        <v>0</v>
      </c>
      <c r="AO42" s="188">
        <v>0</v>
      </c>
      <c r="AP42" s="188">
        <v>0</v>
      </c>
      <c r="AQ42" s="188">
        <v>0</v>
      </c>
      <c r="AR42" s="188">
        <v>0</v>
      </c>
      <c r="AS42" s="188">
        <v>0</v>
      </c>
      <c r="AT42" s="188">
        <v>0</v>
      </c>
      <c r="AU42" s="188">
        <v>0</v>
      </c>
      <c r="AV42" s="188">
        <v>0</v>
      </c>
      <c r="AW42" s="188">
        <v>0</v>
      </c>
      <c r="AX42" s="188">
        <v>0</v>
      </c>
      <c r="AY42" s="188">
        <v>0</v>
      </c>
      <c r="AZ42" s="188">
        <v>0</v>
      </c>
      <c r="BA42" s="188">
        <v>0</v>
      </c>
      <c r="BB42" s="188">
        <v>0</v>
      </c>
      <c r="BC42" s="188">
        <v>0</v>
      </c>
      <c r="BD42" s="188">
        <v>0</v>
      </c>
      <c r="BE42" s="188">
        <v>0</v>
      </c>
      <c r="BF42" s="188">
        <v>0</v>
      </c>
      <c r="BG42" s="188">
        <v>0</v>
      </c>
      <c r="BH42" s="188">
        <v>0</v>
      </c>
      <c r="BI42" s="188">
        <v>0</v>
      </c>
      <c r="BJ42" s="188">
        <v>0</v>
      </c>
      <c r="BK42" s="188">
        <v>0</v>
      </c>
      <c r="BL42" s="188">
        <v>0</v>
      </c>
      <c r="BM42" s="188">
        <v>0</v>
      </c>
      <c r="BN42" s="188">
        <v>0</v>
      </c>
      <c r="BO42" s="188">
        <v>0</v>
      </c>
      <c r="BP42" s="188">
        <v>0</v>
      </c>
      <c r="BQ42" s="188">
        <v>0</v>
      </c>
      <c r="BR42" s="188">
        <v>0</v>
      </c>
      <c r="BS42" s="188">
        <v>0</v>
      </c>
      <c r="BT42" s="188">
        <v>0</v>
      </c>
      <c r="BU42" s="188">
        <v>0</v>
      </c>
      <c r="BV42" s="188">
        <v>0</v>
      </c>
      <c r="BW42" s="188">
        <v>0</v>
      </c>
      <c r="BX42" s="188">
        <v>0</v>
      </c>
      <c r="BY42" s="188">
        <v>0</v>
      </c>
      <c r="BZ42" s="188">
        <v>0</v>
      </c>
      <c r="CA42" s="188">
        <v>0</v>
      </c>
      <c r="CB42" s="188">
        <v>0</v>
      </c>
      <c r="CC42" s="188">
        <v>0</v>
      </c>
      <c r="CD42" s="188">
        <v>0</v>
      </c>
      <c r="CE42" s="188"/>
      <c r="CF42" s="188"/>
      <c r="CG42" s="188"/>
      <c r="CH42" s="188"/>
      <c r="CI42" s="188"/>
      <c r="CJ42" s="188"/>
      <c r="CK42" s="188"/>
      <c r="CL42" s="188"/>
    </row>
    <row r="43" spans="1:90" x14ac:dyDescent="0.25">
      <c r="A43" s="17" t="s">
        <v>29</v>
      </c>
      <c r="B43" s="188">
        <v>8115602224</v>
      </c>
      <c r="C43" s="188">
        <v>8177403504</v>
      </c>
      <c r="D43" s="188">
        <v>8239382253</v>
      </c>
      <c r="E43" s="188">
        <v>2261955307</v>
      </c>
      <c r="F43" s="188">
        <v>2203546515</v>
      </c>
      <c r="G43" s="188">
        <v>2432273493</v>
      </c>
      <c r="H43" s="188">
        <v>2388379721</v>
      </c>
      <c r="I43" s="188">
        <v>2494122929</v>
      </c>
      <c r="J43" s="188">
        <v>1980602331</v>
      </c>
      <c r="K43" s="188">
        <v>2041535060</v>
      </c>
      <c r="L43" s="188">
        <v>2235661752</v>
      </c>
      <c r="M43" s="188">
        <v>2406244676</v>
      </c>
      <c r="N43" s="188">
        <v>2305873537</v>
      </c>
      <c r="O43" s="188">
        <v>2408415114</v>
      </c>
      <c r="P43" s="188">
        <v>2516556163</v>
      </c>
      <c r="Q43" s="188">
        <v>2441846447</v>
      </c>
      <c r="R43" s="188">
        <v>0</v>
      </c>
      <c r="S43" s="188">
        <v>0</v>
      </c>
      <c r="T43" s="188">
        <v>0</v>
      </c>
      <c r="U43" s="188">
        <v>0</v>
      </c>
      <c r="V43" s="188">
        <v>0</v>
      </c>
      <c r="W43" s="188">
        <v>0</v>
      </c>
      <c r="X43" s="188">
        <v>0</v>
      </c>
      <c r="Y43" s="188">
        <v>0</v>
      </c>
      <c r="Z43" s="188">
        <v>0</v>
      </c>
      <c r="AA43" s="188">
        <v>0</v>
      </c>
      <c r="AB43" s="188">
        <v>0</v>
      </c>
      <c r="AC43" s="188">
        <v>0</v>
      </c>
      <c r="AD43" s="188">
        <v>0</v>
      </c>
      <c r="AE43" s="188">
        <v>0</v>
      </c>
      <c r="AF43" s="188">
        <v>0</v>
      </c>
      <c r="AG43" s="188">
        <v>0</v>
      </c>
      <c r="AH43" s="188">
        <v>0</v>
      </c>
      <c r="AI43" s="188">
        <v>0</v>
      </c>
      <c r="AJ43" s="188">
        <v>0</v>
      </c>
      <c r="AK43" s="188">
        <v>0</v>
      </c>
      <c r="AL43" s="188">
        <v>0</v>
      </c>
      <c r="AM43" s="188">
        <v>0</v>
      </c>
      <c r="AN43" s="188">
        <v>0</v>
      </c>
      <c r="AO43" s="188">
        <v>0</v>
      </c>
      <c r="AP43" s="188">
        <v>0</v>
      </c>
      <c r="AQ43" s="188">
        <v>0</v>
      </c>
      <c r="AR43" s="188">
        <v>0</v>
      </c>
      <c r="AS43" s="188">
        <v>0</v>
      </c>
      <c r="AT43" s="188">
        <v>0</v>
      </c>
      <c r="AU43" s="188">
        <v>0</v>
      </c>
      <c r="AV43" s="188">
        <v>0</v>
      </c>
      <c r="AW43" s="188">
        <v>0</v>
      </c>
      <c r="AX43" s="188">
        <v>0</v>
      </c>
      <c r="AY43" s="188">
        <v>0</v>
      </c>
      <c r="AZ43" s="188">
        <v>0</v>
      </c>
      <c r="BA43" s="188">
        <v>0</v>
      </c>
      <c r="BB43" s="188">
        <v>0</v>
      </c>
      <c r="BC43" s="188">
        <v>0</v>
      </c>
      <c r="BD43" s="188">
        <v>0</v>
      </c>
      <c r="BE43" s="188">
        <v>0</v>
      </c>
      <c r="BF43" s="188">
        <v>0</v>
      </c>
      <c r="BG43" s="188">
        <v>0</v>
      </c>
      <c r="BH43" s="188">
        <v>0</v>
      </c>
      <c r="BI43" s="188">
        <v>0</v>
      </c>
      <c r="BJ43" s="188">
        <v>0</v>
      </c>
      <c r="BK43" s="188">
        <v>0</v>
      </c>
      <c r="BL43" s="188">
        <v>0</v>
      </c>
      <c r="BM43" s="188">
        <v>0</v>
      </c>
      <c r="BN43" s="188">
        <v>0</v>
      </c>
      <c r="BO43" s="188">
        <v>0</v>
      </c>
      <c r="BP43" s="188">
        <v>0</v>
      </c>
      <c r="BQ43" s="188">
        <v>0</v>
      </c>
      <c r="BR43" s="188">
        <v>0</v>
      </c>
      <c r="BS43" s="188">
        <v>0</v>
      </c>
      <c r="BT43" s="188">
        <v>0</v>
      </c>
      <c r="BU43" s="188">
        <v>0</v>
      </c>
      <c r="BV43" s="188">
        <v>0</v>
      </c>
      <c r="BW43" s="188">
        <v>0</v>
      </c>
      <c r="BX43" s="188">
        <v>0</v>
      </c>
      <c r="BY43" s="188">
        <v>0</v>
      </c>
      <c r="BZ43" s="188">
        <v>0</v>
      </c>
      <c r="CA43" s="188">
        <v>0</v>
      </c>
      <c r="CB43" s="188">
        <v>0</v>
      </c>
      <c r="CC43" s="188">
        <v>0</v>
      </c>
      <c r="CD43" s="188">
        <v>0</v>
      </c>
      <c r="CE43" s="188"/>
      <c r="CF43" s="188"/>
      <c r="CG43" s="188"/>
      <c r="CH43" s="188"/>
      <c r="CI43" s="188"/>
      <c r="CJ43" s="188"/>
      <c r="CK43" s="188"/>
      <c r="CL43" s="188"/>
    </row>
    <row r="44" spans="1:90" x14ac:dyDescent="0.25">
      <c r="A44" s="17" t="s">
        <v>30</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0</v>
      </c>
      <c r="AU44" s="188">
        <v>0</v>
      </c>
      <c r="AV44" s="188">
        <v>0</v>
      </c>
      <c r="AW44" s="188">
        <v>62307320</v>
      </c>
      <c r="AX44" s="188">
        <v>62927478</v>
      </c>
      <c r="AY44" s="188">
        <v>53315478</v>
      </c>
      <c r="AZ44" s="188">
        <v>51935478</v>
      </c>
      <c r="BA44" s="188">
        <v>53057660</v>
      </c>
      <c r="BB44" s="188">
        <v>57767744</v>
      </c>
      <c r="BC44" s="188">
        <v>50644865</v>
      </c>
      <c r="BD44" s="188">
        <v>36440745</v>
      </c>
      <c r="BE44" s="188">
        <v>43361008</v>
      </c>
      <c r="BF44" s="188">
        <v>8903727.8800000008</v>
      </c>
      <c r="BG44" s="188">
        <v>12786700.6</v>
      </c>
      <c r="BH44" s="188">
        <v>10910534.869999999</v>
      </c>
      <c r="BI44" s="188">
        <v>14961533</v>
      </c>
      <c r="BJ44" s="188">
        <v>11869004.109999999</v>
      </c>
      <c r="BK44" s="188">
        <v>7099705.2800000003</v>
      </c>
      <c r="BL44" s="188">
        <v>7138794.0499999998</v>
      </c>
      <c r="BM44" s="188">
        <v>5770392</v>
      </c>
      <c r="BN44" s="188">
        <v>0</v>
      </c>
      <c r="BO44" s="188">
        <v>0</v>
      </c>
      <c r="BP44" s="188">
        <v>0</v>
      </c>
      <c r="BQ44" s="188">
        <v>0</v>
      </c>
      <c r="BR44" s="188">
        <v>0</v>
      </c>
      <c r="BS44" s="188">
        <v>0</v>
      </c>
      <c r="BT44" s="188">
        <v>0</v>
      </c>
      <c r="BU44" s="188">
        <v>0</v>
      </c>
      <c r="BV44" s="188">
        <v>0</v>
      </c>
      <c r="BW44" s="188">
        <v>0</v>
      </c>
      <c r="BX44" s="188">
        <v>0</v>
      </c>
      <c r="BY44" s="188">
        <v>0</v>
      </c>
      <c r="BZ44" s="188">
        <v>0</v>
      </c>
      <c r="CA44" s="188">
        <v>0</v>
      </c>
      <c r="CB44" s="188">
        <v>0</v>
      </c>
      <c r="CC44" s="188">
        <v>0</v>
      </c>
      <c r="CD44" s="188">
        <v>0</v>
      </c>
      <c r="CE44" s="188"/>
      <c r="CF44" s="188"/>
      <c r="CG44" s="188"/>
      <c r="CH44" s="188"/>
      <c r="CI44" s="188"/>
      <c r="CJ44" s="188"/>
      <c r="CK44" s="188"/>
      <c r="CL44" s="188"/>
    </row>
    <row r="45" spans="1:90" x14ac:dyDescent="0.25">
      <c r="A45" s="17" t="s">
        <v>31</v>
      </c>
      <c r="B45" s="188">
        <v>1102987556</v>
      </c>
      <c r="C45" s="188">
        <v>1029526302</v>
      </c>
      <c r="D45" s="188">
        <v>1045504719</v>
      </c>
      <c r="E45" s="188">
        <v>730709590</v>
      </c>
      <c r="F45" s="188">
        <v>1075012828</v>
      </c>
      <c r="G45" s="188">
        <v>936175310</v>
      </c>
      <c r="H45" s="188">
        <v>830836991</v>
      </c>
      <c r="I45" s="188">
        <v>532983474</v>
      </c>
      <c r="J45" s="188">
        <v>476469068</v>
      </c>
      <c r="K45" s="188">
        <v>459770397</v>
      </c>
      <c r="L45" s="188">
        <v>382218625</v>
      </c>
      <c r="M45" s="188">
        <v>376906959</v>
      </c>
      <c r="N45" s="188">
        <v>448664313</v>
      </c>
      <c r="O45" s="188">
        <v>373827226</v>
      </c>
      <c r="P45" s="188">
        <v>365940621</v>
      </c>
      <c r="Q45" s="188">
        <v>290588570</v>
      </c>
      <c r="R45" s="188">
        <v>372972200</v>
      </c>
      <c r="S45" s="188">
        <v>315921887</v>
      </c>
      <c r="T45" s="188">
        <v>312946213</v>
      </c>
      <c r="U45" s="188">
        <v>255465666</v>
      </c>
      <c r="V45" s="188">
        <v>261167794</v>
      </c>
      <c r="W45" s="188">
        <v>186851226</v>
      </c>
      <c r="X45" s="188">
        <v>214068912</v>
      </c>
      <c r="Y45" s="188">
        <v>94629652</v>
      </c>
      <c r="Z45" s="188">
        <v>56482641</v>
      </c>
      <c r="AA45" s="188">
        <v>52108874</v>
      </c>
      <c r="AB45" s="188">
        <v>52978964</v>
      </c>
      <c r="AC45" s="188">
        <v>88652956</v>
      </c>
      <c r="AD45" s="188">
        <v>44579490</v>
      </c>
      <c r="AE45" s="188">
        <v>50405279</v>
      </c>
      <c r="AF45" s="188">
        <v>33045797</v>
      </c>
      <c r="AG45" s="188">
        <v>23407481</v>
      </c>
      <c r="AH45" s="188">
        <v>49142319</v>
      </c>
      <c r="AI45" s="188">
        <v>47347916</v>
      </c>
      <c r="AJ45" s="188">
        <v>56397331</v>
      </c>
      <c r="AK45" s="188">
        <v>40987163</v>
      </c>
      <c r="AL45" s="188">
        <v>39495739</v>
      </c>
      <c r="AM45" s="188">
        <v>40519487</v>
      </c>
      <c r="AN45" s="188">
        <v>45688597</v>
      </c>
      <c r="AO45" s="188">
        <v>29974002</v>
      </c>
      <c r="AP45" s="188">
        <v>33488981</v>
      </c>
      <c r="AQ45" s="188">
        <v>33852785</v>
      </c>
      <c r="AR45" s="188">
        <v>45681451</v>
      </c>
      <c r="AS45" s="188">
        <v>57740852</v>
      </c>
      <c r="AT45" s="188">
        <v>46793987</v>
      </c>
      <c r="AU45" s="188">
        <v>69452130</v>
      </c>
      <c r="AV45" s="188">
        <v>0</v>
      </c>
      <c r="AW45" s="188">
        <v>0</v>
      </c>
      <c r="AX45" s="188">
        <v>0</v>
      </c>
      <c r="AY45" s="188">
        <v>0</v>
      </c>
      <c r="AZ45" s="188">
        <v>0</v>
      </c>
      <c r="BA45" s="188">
        <v>0</v>
      </c>
      <c r="BB45" s="188">
        <v>3355723</v>
      </c>
      <c r="BC45" s="188">
        <v>10023696</v>
      </c>
      <c r="BD45" s="188">
        <v>178494</v>
      </c>
      <c r="BE45" s="188">
        <v>0</v>
      </c>
      <c r="BF45" s="188">
        <v>12979260.130000001</v>
      </c>
      <c r="BG45" s="188">
        <v>13844598.48</v>
      </c>
      <c r="BH45" s="188">
        <v>13153890.140000001</v>
      </c>
      <c r="BI45" s="188">
        <v>16864971</v>
      </c>
      <c r="BJ45" s="188">
        <v>0</v>
      </c>
      <c r="BK45" s="188">
        <v>0</v>
      </c>
      <c r="BL45" s="188">
        <v>0</v>
      </c>
      <c r="BM45" s="188">
        <v>0</v>
      </c>
      <c r="BN45" s="188">
        <v>12354734.6</v>
      </c>
      <c r="BO45" s="188">
        <v>7314341.8399999999</v>
      </c>
      <c r="BP45" s="188">
        <v>131741330.7</v>
      </c>
      <c r="BQ45" s="188">
        <v>1394247</v>
      </c>
      <c r="BR45" s="188">
        <v>5049457.03</v>
      </c>
      <c r="BS45" s="188">
        <v>3003280</v>
      </c>
      <c r="BT45" s="188">
        <v>0</v>
      </c>
      <c r="BU45" s="188">
        <v>0</v>
      </c>
      <c r="BV45" s="188">
        <v>0</v>
      </c>
      <c r="BW45" s="188">
        <v>0</v>
      </c>
      <c r="BX45" s="188">
        <v>0</v>
      </c>
      <c r="BY45" s="188">
        <v>0</v>
      </c>
      <c r="BZ45" s="188">
        <v>0</v>
      </c>
      <c r="CA45" s="188">
        <v>0</v>
      </c>
      <c r="CB45" s="188">
        <v>0</v>
      </c>
      <c r="CC45" s="188">
        <v>0</v>
      </c>
      <c r="CD45" s="188">
        <v>0</v>
      </c>
      <c r="CE45" s="188"/>
      <c r="CF45" s="188"/>
      <c r="CG45" s="188"/>
      <c r="CH45" s="188"/>
      <c r="CI45" s="188"/>
      <c r="CJ45" s="188"/>
      <c r="CK45" s="188"/>
      <c r="CL45" s="188"/>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2" t="s">
        <v>32</v>
      </c>
      <c r="B49" s="35">
        <f>SUM(B35:B41)+SUM(B43:B45)</f>
        <v>32266185214</v>
      </c>
      <c r="C49" s="35">
        <f>SUM(C35:C41)+SUM(C43:C45)</f>
        <v>47725224342</v>
      </c>
      <c r="D49" s="35">
        <f>SUM(D35:D41)+SUM(D43:D45)</f>
        <v>44447464204</v>
      </c>
      <c r="E49" s="35">
        <f>SUM(E35:E45)</f>
        <v>38781071816</v>
      </c>
      <c r="F49" s="35">
        <f t="shared" ref="F49:BQ49" si="4">SUM(F35:F45)</f>
        <v>36250567748</v>
      </c>
      <c r="G49" s="35">
        <f t="shared" si="4"/>
        <v>37055981965</v>
      </c>
      <c r="H49" s="35">
        <f t="shared" si="4"/>
        <v>35449148620</v>
      </c>
      <c r="I49" s="35">
        <f t="shared" si="4"/>
        <v>34646656651</v>
      </c>
      <c r="J49" s="35">
        <f t="shared" si="4"/>
        <v>29794967318</v>
      </c>
      <c r="K49" s="35">
        <f t="shared" si="4"/>
        <v>23773874161</v>
      </c>
      <c r="L49" s="35">
        <f t="shared" si="4"/>
        <v>22579891531</v>
      </c>
      <c r="M49" s="35">
        <f t="shared" si="4"/>
        <v>23544350631</v>
      </c>
      <c r="N49" s="35">
        <f t="shared" si="4"/>
        <v>21781563912</v>
      </c>
      <c r="O49" s="35">
        <f t="shared" si="4"/>
        <v>19069806375</v>
      </c>
      <c r="P49" s="35">
        <f t="shared" si="4"/>
        <v>18768243717</v>
      </c>
      <c r="Q49" s="35">
        <f t="shared" si="4"/>
        <v>19017351812</v>
      </c>
      <c r="R49" s="35">
        <f t="shared" si="4"/>
        <v>15490734184</v>
      </c>
      <c r="S49" s="35">
        <f t="shared" si="4"/>
        <v>14301570324</v>
      </c>
      <c r="T49" s="35">
        <f t="shared" si="4"/>
        <v>13890128653</v>
      </c>
      <c r="U49" s="35">
        <f t="shared" si="4"/>
        <v>13438271190</v>
      </c>
      <c r="V49" s="35">
        <f t="shared" si="4"/>
        <v>11844784893</v>
      </c>
      <c r="W49" s="35">
        <f t="shared" si="4"/>
        <v>12710822257</v>
      </c>
      <c r="X49" s="35">
        <f t="shared" si="4"/>
        <v>10212645820</v>
      </c>
      <c r="Y49" s="35">
        <f t="shared" si="4"/>
        <v>10036809888</v>
      </c>
      <c r="Z49" s="35">
        <f t="shared" si="4"/>
        <v>9873159602</v>
      </c>
      <c r="AA49" s="35">
        <f t="shared" si="4"/>
        <v>9059390546</v>
      </c>
      <c r="AB49" s="35">
        <f t="shared" si="4"/>
        <v>8133877708</v>
      </c>
      <c r="AC49" s="35">
        <f t="shared" si="4"/>
        <v>8634708911</v>
      </c>
      <c r="AD49" s="35">
        <f t="shared" si="4"/>
        <v>7396977692</v>
      </c>
      <c r="AE49" s="35">
        <f t="shared" si="4"/>
        <v>7346934328</v>
      </c>
      <c r="AF49" s="35">
        <f t="shared" si="4"/>
        <v>6385537133</v>
      </c>
      <c r="AG49" s="35">
        <f t="shared" si="4"/>
        <v>5773726701</v>
      </c>
      <c r="AH49" s="35">
        <f t="shared" si="4"/>
        <v>3607206321</v>
      </c>
      <c r="AI49" s="35">
        <f t="shared" si="4"/>
        <v>3159834049</v>
      </c>
      <c r="AJ49" s="35">
        <f t="shared" si="4"/>
        <v>2666473662</v>
      </c>
      <c r="AK49" s="35">
        <f t="shared" si="4"/>
        <v>2647096893</v>
      </c>
      <c r="AL49" s="35">
        <f t="shared" si="4"/>
        <v>2350256325</v>
      </c>
      <c r="AM49" s="35">
        <f t="shared" si="4"/>
        <v>2183455441</v>
      </c>
      <c r="AN49" s="35">
        <f t="shared" si="4"/>
        <v>1694167070</v>
      </c>
      <c r="AO49" s="35">
        <f t="shared" si="4"/>
        <v>1677639852</v>
      </c>
      <c r="AP49" s="35">
        <f t="shared" si="4"/>
        <v>1921726694</v>
      </c>
      <c r="AQ49" s="35">
        <f t="shared" si="4"/>
        <v>2113293243</v>
      </c>
      <c r="AR49" s="35">
        <f t="shared" si="4"/>
        <v>2202416922</v>
      </c>
      <c r="AS49" s="35">
        <f t="shared" si="4"/>
        <v>2150546803</v>
      </c>
      <c r="AT49" s="35">
        <f t="shared" si="4"/>
        <v>3590729768</v>
      </c>
      <c r="AU49" s="35">
        <f t="shared" si="4"/>
        <v>3391016239</v>
      </c>
      <c r="AV49" s="35">
        <f t="shared" si="4"/>
        <v>2151380033</v>
      </c>
      <c r="AW49" s="35">
        <f t="shared" si="4"/>
        <v>2197601245</v>
      </c>
      <c r="AX49" s="35">
        <f t="shared" si="4"/>
        <v>2461703680</v>
      </c>
      <c r="AY49" s="35">
        <f t="shared" si="4"/>
        <v>2675505444</v>
      </c>
      <c r="AZ49" s="35">
        <f t="shared" si="4"/>
        <v>2707493636</v>
      </c>
      <c r="BA49" s="35">
        <f t="shared" si="4"/>
        <v>2664865058</v>
      </c>
      <c r="BB49" s="35">
        <f t="shared" si="4"/>
        <v>4067229851</v>
      </c>
      <c r="BC49" s="35">
        <f t="shared" si="4"/>
        <v>3264729080</v>
      </c>
      <c r="BD49" s="35">
        <f t="shared" si="4"/>
        <v>2893788923</v>
      </c>
      <c r="BE49" s="35">
        <f t="shared" si="4"/>
        <v>3092047333</v>
      </c>
      <c r="BF49" s="35">
        <f t="shared" si="4"/>
        <v>2996715322.9700003</v>
      </c>
      <c r="BG49" s="35">
        <f t="shared" si="4"/>
        <v>2505370785.5899997</v>
      </c>
      <c r="BH49" s="35">
        <f t="shared" si="4"/>
        <v>3099925335.4400001</v>
      </c>
      <c r="BI49" s="35">
        <f t="shared" si="4"/>
        <v>2293309892</v>
      </c>
      <c r="BJ49" s="35">
        <f t="shared" si="4"/>
        <v>2426108114.9100003</v>
      </c>
      <c r="BK49" s="35">
        <f t="shared" si="4"/>
        <v>2065628001.4600003</v>
      </c>
      <c r="BL49" s="35">
        <f t="shared" si="4"/>
        <v>2188203772.6400003</v>
      </c>
      <c r="BM49" s="35">
        <f t="shared" si="4"/>
        <v>1387788478</v>
      </c>
      <c r="BN49" s="35">
        <f t="shared" si="4"/>
        <v>1374552524.3299999</v>
      </c>
      <c r="BO49" s="35">
        <f t="shared" si="4"/>
        <v>1030193044.15</v>
      </c>
      <c r="BP49" s="35">
        <f t="shared" si="4"/>
        <v>1300186776.9399998</v>
      </c>
      <c r="BQ49" s="35">
        <f t="shared" si="4"/>
        <v>634981815</v>
      </c>
      <c r="BR49" s="35">
        <f t="shared" ref="BR49:CK49" si="5">SUM(BR35:BR45)</f>
        <v>709015678.35000002</v>
      </c>
      <c r="BS49" s="35">
        <f t="shared" si="5"/>
        <v>563710934</v>
      </c>
      <c r="BT49" s="35">
        <f t="shared" si="5"/>
        <v>673290457</v>
      </c>
      <c r="BU49" s="35">
        <f t="shared" si="5"/>
        <v>468074081</v>
      </c>
      <c r="BV49" s="35">
        <f t="shared" si="5"/>
        <v>260581108.13</v>
      </c>
      <c r="BW49" s="35">
        <f t="shared" si="5"/>
        <v>280223000</v>
      </c>
      <c r="BX49" s="35">
        <f t="shared" si="5"/>
        <v>204221630.81</v>
      </c>
      <c r="BY49" s="35">
        <f t="shared" si="5"/>
        <v>210169000</v>
      </c>
      <c r="BZ49" s="35">
        <f t="shared" si="5"/>
        <v>0</v>
      </c>
      <c r="CA49" s="35">
        <f t="shared" si="5"/>
        <v>149502000</v>
      </c>
      <c r="CB49" s="35">
        <f t="shared" si="5"/>
        <v>123527000</v>
      </c>
      <c r="CC49" s="35">
        <f t="shared" si="5"/>
        <v>119893000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4" t="s">
        <v>81</v>
      </c>
      <c r="B50" s="36">
        <f>B33-B49</f>
        <v>13785421828</v>
      </c>
      <c r="C50" s="36">
        <f t="shared" ref="C50:BN50" si="6">C33-C49</f>
        <v>1398283023</v>
      </c>
      <c r="D50" s="36">
        <f t="shared" si="6"/>
        <v>-2407104859</v>
      </c>
      <c r="E50" s="36">
        <f t="shared" si="6"/>
        <v>3780938398</v>
      </c>
      <c r="F50" s="36">
        <f t="shared" si="6"/>
        <v>6141120899</v>
      </c>
      <c r="G50" s="36">
        <f t="shared" si="6"/>
        <v>2629738498</v>
      </c>
      <c r="H50" s="36">
        <f t="shared" si="6"/>
        <v>1685827688</v>
      </c>
      <c r="I50" s="36">
        <f t="shared" si="6"/>
        <v>-1882787022</v>
      </c>
      <c r="J50" s="36">
        <f t="shared" si="6"/>
        <v>4197441123</v>
      </c>
      <c r="K50" s="36">
        <f t="shared" si="6"/>
        <v>10091571633</v>
      </c>
      <c r="L50" s="36">
        <f t="shared" si="6"/>
        <v>1886003533</v>
      </c>
      <c r="M50" s="36">
        <f t="shared" si="6"/>
        <v>1151417918</v>
      </c>
      <c r="N50" s="36">
        <f t="shared" si="6"/>
        <v>3094600130</v>
      </c>
      <c r="O50" s="36">
        <f t="shared" si="6"/>
        <v>3746064271</v>
      </c>
      <c r="P50" s="36">
        <f t="shared" si="6"/>
        <v>1067383969</v>
      </c>
      <c r="Q50" s="36">
        <f t="shared" si="6"/>
        <v>-779898261</v>
      </c>
      <c r="R50" s="36">
        <f t="shared" si="6"/>
        <v>853839432</v>
      </c>
      <c r="S50" s="36">
        <f t="shared" si="6"/>
        <v>-1593287881</v>
      </c>
      <c r="T50" s="36">
        <f t="shared" si="6"/>
        <v>-1863259771</v>
      </c>
      <c r="U50" s="36">
        <f t="shared" si="6"/>
        <v>-2365770598</v>
      </c>
      <c r="V50" s="36">
        <f t="shared" si="6"/>
        <v>-721771440</v>
      </c>
      <c r="W50" s="36">
        <f t="shared" si="6"/>
        <v>-1971504111</v>
      </c>
      <c r="X50" s="36">
        <f t="shared" si="6"/>
        <v>1212652766</v>
      </c>
      <c r="Y50" s="36">
        <f t="shared" si="6"/>
        <v>551633943</v>
      </c>
      <c r="Z50" s="36">
        <f t="shared" si="6"/>
        <v>3270450815</v>
      </c>
      <c r="AA50" s="36">
        <f t="shared" si="6"/>
        <v>1766627194</v>
      </c>
      <c r="AB50" s="36">
        <f t="shared" si="6"/>
        <v>1835180510</v>
      </c>
      <c r="AC50" s="36">
        <f t="shared" si="6"/>
        <v>-1119979692</v>
      </c>
      <c r="AD50" s="36">
        <f t="shared" si="6"/>
        <v>-1382991900</v>
      </c>
      <c r="AE50" s="36">
        <f t="shared" si="6"/>
        <v>-2042610445</v>
      </c>
      <c r="AF50" s="36">
        <f t="shared" si="6"/>
        <v>-1402133033</v>
      </c>
      <c r="AG50" s="36">
        <f t="shared" si="6"/>
        <v>-2104919265</v>
      </c>
      <c r="AH50" s="36">
        <f t="shared" si="6"/>
        <v>-174367826</v>
      </c>
      <c r="AI50" s="36">
        <f t="shared" si="6"/>
        <v>188011213</v>
      </c>
      <c r="AJ50" s="36">
        <f t="shared" si="6"/>
        <v>396357030</v>
      </c>
      <c r="AK50" s="36">
        <f t="shared" si="6"/>
        <v>93116272</v>
      </c>
      <c r="AL50" s="36">
        <f t="shared" si="6"/>
        <v>606694533</v>
      </c>
      <c r="AM50" s="36">
        <f t="shared" si="6"/>
        <v>349632147</v>
      </c>
      <c r="AN50" s="36">
        <f t="shared" si="6"/>
        <v>74664244</v>
      </c>
      <c r="AO50" s="36">
        <f t="shared" si="6"/>
        <v>13801476</v>
      </c>
      <c r="AP50" s="36">
        <f t="shared" si="6"/>
        <v>461181828</v>
      </c>
      <c r="AQ50" s="36">
        <f t="shared" si="6"/>
        <v>825559405</v>
      </c>
      <c r="AR50" s="36">
        <f t="shared" si="6"/>
        <v>798107299</v>
      </c>
      <c r="AS50" s="36">
        <f t="shared" si="6"/>
        <v>808022282</v>
      </c>
      <c r="AT50" s="36">
        <f t="shared" si="6"/>
        <v>-576597509</v>
      </c>
      <c r="AU50" s="36">
        <f t="shared" si="6"/>
        <v>-528952742</v>
      </c>
      <c r="AV50" s="36">
        <f t="shared" si="6"/>
        <v>433510133</v>
      </c>
      <c r="AW50" s="36">
        <f t="shared" si="6"/>
        <v>474898169</v>
      </c>
      <c r="AX50" s="36">
        <f t="shared" si="6"/>
        <v>208658321</v>
      </c>
      <c r="AY50" s="36">
        <f t="shared" si="6"/>
        <v>961842465</v>
      </c>
      <c r="AZ50" s="36">
        <f t="shared" si="6"/>
        <v>1738304770</v>
      </c>
      <c r="BA50" s="36">
        <f t="shared" si="6"/>
        <v>1557829391</v>
      </c>
      <c r="BB50" s="36">
        <f t="shared" si="6"/>
        <v>1493140766</v>
      </c>
      <c r="BC50" s="36">
        <f t="shared" si="6"/>
        <v>799975761</v>
      </c>
      <c r="BD50" s="36">
        <f t="shared" si="6"/>
        <v>365902021</v>
      </c>
      <c r="BE50" s="36">
        <f t="shared" si="6"/>
        <v>404309435</v>
      </c>
      <c r="BF50" s="36">
        <f t="shared" si="6"/>
        <v>2092747886.79</v>
      </c>
      <c r="BG50" s="36">
        <f t="shared" si="6"/>
        <v>1829795224.0400004</v>
      </c>
      <c r="BH50" s="36">
        <f t="shared" si="6"/>
        <v>1236715644.3299994</v>
      </c>
      <c r="BI50" s="36">
        <f t="shared" si="6"/>
        <v>1283292042</v>
      </c>
      <c r="BJ50" s="36">
        <f t="shared" si="6"/>
        <v>1050996824.2799997</v>
      </c>
      <c r="BK50" s="36">
        <f t="shared" si="6"/>
        <v>1041039571.8499997</v>
      </c>
      <c r="BL50" s="36">
        <f t="shared" si="6"/>
        <v>544040371.7699995</v>
      </c>
      <c r="BM50" s="36">
        <f t="shared" si="6"/>
        <v>697229052</v>
      </c>
      <c r="BN50" s="36">
        <f t="shared" si="6"/>
        <v>659579739.89000034</v>
      </c>
      <c r="BO50" s="36">
        <f t="shared" ref="BO50:CK50" si="7">BO33-BO49</f>
        <v>739145834.65999997</v>
      </c>
      <c r="BP50" s="36">
        <f t="shared" si="7"/>
        <v>390709418.2900002</v>
      </c>
      <c r="BQ50" s="36">
        <f t="shared" si="7"/>
        <v>379797213</v>
      </c>
      <c r="BR50" s="36">
        <f t="shared" si="7"/>
        <v>450951963.95999992</v>
      </c>
      <c r="BS50" s="36">
        <f t="shared" si="7"/>
        <v>575413906</v>
      </c>
      <c r="BT50" s="36">
        <f t="shared" si="7"/>
        <v>371147463</v>
      </c>
      <c r="BU50" s="36">
        <f t="shared" si="7"/>
        <v>260414462</v>
      </c>
      <c r="BV50" s="36">
        <f t="shared" si="7"/>
        <v>63103352.100000024</v>
      </c>
      <c r="BW50" s="36">
        <f t="shared" si="7"/>
        <v>37893000</v>
      </c>
      <c r="BX50" s="36">
        <f t="shared" si="7"/>
        <v>56142037.610000014</v>
      </c>
      <c r="BY50" s="36">
        <f t="shared" si="7"/>
        <v>89000</v>
      </c>
      <c r="BZ50" s="36">
        <f t="shared" si="7"/>
        <v>0</v>
      </c>
      <c r="CA50" s="36">
        <f t="shared" si="7"/>
        <v>83783000</v>
      </c>
      <c r="CB50" s="36">
        <f t="shared" si="7"/>
        <v>67624000</v>
      </c>
      <c r="CC50" s="36">
        <f t="shared" si="7"/>
        <v>60873000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x14ac:dyDescent="0.25">
      <c r="A51" s="191" t="s">
        <v>33</v>
      </c>
    </row>
    <row r="52" spans="1:90" s="191" customFormat="1" x14ac:dyDescent="0.25">
      <c r="A52" s="191" t="s">
        <v>34</v>
      </c>
      <c r="B52" s="188">
        <v>106323512619</v>
      </c>
      <c r="C52" s="188">
        <v>84979890697</v>
      </c>
      <c r="D52" s="188">
        <v>86129707485</v>
      </c>
      <c r="E52" s="188">
        <v>88625296761</v>
      </c>
      <c r="F52" s="188">
        <v>80589869844</v>
      </c>
      <c r="G52" s="188">
        <v>78898829994</v>
      </c>
      <c r="H52" s="188">
        <v>68410457513</v>
      </c>
      <c r="I52" s="188">
        <v>69947586967</v>
      </c>
      <c r="J52" s="188">
        <v>71552996994</v>
      </c>
      <c r="K52" s="188">
        <v>63258787740</v>
      </c>
      <c r="L52" s="188">
        <v>61832697539</v>
      </c>
      <c r="M52" s="188">
        <v>63565099405</v>
      </c>
      <c r="N52" s="188">
        <v>61154812722</v>
      </c>
      <c r="O52" s="188">
        <v>48184498059</v>
      </c>
      <c r="P52" s="188">
        <v>49698254777</v>
      </c>
      <c r="Q52" s="188">
        <v>49398396189</v>
      </c>
      <c r="R52" s="188">
        <v>47949017778</v>
      </c>
      <c r="S52" s="188">
        <v>32589747763</v>
      </c>
      <c r="T52" s="188">
        <v>33294194483</v>
      </c>
      <c r="U52" s="188">
        <v>32495665045</v>
      </c>
      <c r="V52" s="188">
        <v>32434471833</v>
      </c>
      <c r="W52" s="188">
        <v>33397707382</v>
      </c>
      <c r="X52" s="188">
        <v>33574636138</v>
      </c>
      <c r="Y52" s="188">
        <v>34534107374</v>
      </c>
      <c r="Z52" s="188">
        <v>34771666143</v>
      </c>
      <c r="AA52" s="188">
        <v>30775533119</v>
      </c>
      <c r="AB52" s="188">
        <v>27695890805</v>
      </c>
      <c r="AC52" s="188">
        <v>28388863004</v>
      </c>
      <c r="AD52" s="188">
        <v>18319247209</v>
      </c>
      <c r="AE52" s="188">
        <v>18392268456</v>
      </c>
      <c r="AF52" s="188">
        <v>14792334187</v>
      </c>
      <c r="AG52" s="188">
        <v>15287867884</v>
      </c>
      <c r="AH52" s="188">
        <v>7433555045</v>
      </c>
      <c r="AI52" s="188">
        <v>7486498055</v>
      </c>
      <c r="AJ52" s="188">
        <v>7613121910</v>
      </c>
      <c r="AK52" s="188">
        <v>7955058596</v>
      </c>
      <c r="AL52" s="188">
        <v>5874189971</v>
      </c>
      <c r="AM52" s="188">
        <v>6136442636</v>
      </c>
      <c r="AN52" s="188">
        <v>6259202013</v>
      </c>
      <c r="AO52" s="188">
        <v>6542076001</v>
      </c>
      <c r="AP52" s="188">
        <v>6117932811</v>
      </c>
      <c r="AQ52" s="188">
        <v>6400608743</v>
      </c>
      <c r="AR52" s="188">
        <v>6661926652</v>
      </c>
      <c r="AS52" s="188">
        <v>6897275352</v>
      </c>
      <c r="AT52" s="188">
        <v>7133851915</v>
      </c>
      <c r="AU52" s="188">
        <v>7380940759</v>
      </c>
      <c r="AV52" s="188">
        <v>7611440659</v>
      </c>
      <c r="AW52" s="188">
        <v>8092661676</v>
      </c>
      <c r="AX52" s="188">
        <v>8066324129</v>
      </c>
      <c r="AY52" s="188">
        <v>10886620701</v>
      </c>
      <c r="AZ52" s="188">
        <v>11256349115</v>
      </c>
      <c r="BA52" s="188">
        <v>11382680796</v>
      </c>
      <c r="BB52" s="188">
        <v>11825602444</v>
      </c>
      <c r="BC52" s="188">
        <v>10291207570</v>
      </c>
      <c r="BD52" s="188">
        <v>5102314445</v>
      </c>
      <c r="BE52" s="188">
        <v>5054986309</v>
      </c>
      <c r="BF52" s="188">
        <v>3714625893.5</v>
      </c>
      <c r="BG52" s="188">
        <v>3725975344.8800001</v>
      </c>
      <c r="BH52" s="188">
        <v>3928734089.6700001</v>
      </c>
      <c r="BI52" s="188">
        <v>3828255049</v>
      </c>
      <c r="BJ52" s="188">
        <v>4006817900.8200002</v>
      </c>
      <c r="BK52" s="188">
        <v>4071760994.7600002</v>
      </c>
      <c r="BL52" s="188">
        <v>3985302169.8299999</v>
      </c>
      <c r="BM52" s="188">
        <v>1206720821</v>
      </c>
      <c r="BN52" s="188">
        <v>989579023</v>
      </c>
      <c r="BO52" s="188">
        <v>867961039.58000004</v>
      </c>
      <c r="BP52" s="188">
        <v>880156984.98000002</v>
      </c>
      <c r="BQ52" s="188">
        <v>602654492</v>
      </c>
      <c r="BR52" s="188">
        <v>596557946.04999995</v>
      </c>
      <c r="BS52" s="188">
        <v>553507644</v>
      </c>
      <c r="BT52" s="188">
        <v>471094241</v>
      </c>
      <c r="BU52" s="188">
        <v>339036000</v>
      </c>
      <c r="BV52" s="188">
        <v>355638595.26999998</v>
      </c>
      <c r="BW52" s="188">
        <v>308514000</v>
      </c>
      <c r="BX52" s="188">
        <v>153502671.28</v>
      </c>
      <c r="BY52" s="188">
        <v>158021000</v>
      </c>
      <c r="BZ52" s="188">
        <v>155752000</v>
      </c>
      <c r="CA52" s="188">
        <v>151409000</v>
      </c>
      <c r="CB52" s="188">
        <v>138289000</v>
      </c>
      <c r="CC52" s="188">
        <v>131313000</v>
      </c>
      <c r="CD52" s="188">
        <v>0</v>
      </c>
      <c r="CE52" s="188"/>
      <c r="CF52" s="188"/>
      <c r="CG52" s="188"/>
      <c r="CH52" s="188"/>
      <c r="CI52" s="188"/>
      <c r="CJ52" s="188"/>
      <c r="CK52" s="188"/>
      <c r="CL52" s="188"/>
    </row>
    <row r="53" spans="1:90" s="191" customFormat="1" x14ac:dyDescent="0.25">
      <c r="A53" s="191" t="s">
        <v>35</v>
      </c>
      <c r="B53" s="188">
        <v>67442708371</v>
      </c>
      <c r="C53" s="188">
        <v>73903155311</v>
      </c>
      <c r="D53" s="188">
        <v>60573097541</v>
      </c>
      <c r="E53" s="188">
        <v>50761250426</v>
      </c>
      <c r="F53" s="188">
        <v>49719431282</v>
      </c>
      <c r="G53" s="188">
        <v>44127069216</v>
      </c>
      <c r="H53" s="188">
        <v>45237334136</v>
      </c>
      <c r="I53" s="188">
        <v>33008248720</v>
      </c>
      <c r="J53" s="188">
        <v>15578683089</v>
      </c>
      <c r="K53" s="188">
        <v>20213753534</v>
      </c>
      <c r="L53" s="188">
        <v>20384123931</v>
      </c>
      <c r="M53" s="188">
        <v>18645461692</v>
      </c>
      <c r="N53" s="188">
        <v>19479228048</v>
      </c>
      <c r="O53" s="188">
        <v>28736450388</v>
      </c>
      <c r="P53" s="188">
        <v>24007282897</v>
      </c>
      <c r="Q53" s="188">
        <v>21868641210</v>
      </c>
      <c r="R53" s="188">
        <v>18118852354</v>
      </c>
      <c r="S53" s="188">
        <v>31877217133</v>
      </c>
      <c r="T53" s="188">
        <v>24897642788</v>
      </c>
      <c r="U53" s="188">
        <v>22172949652</v>
      </c>
      <c r="V53" s="188">
        <v>18087835581</v>
      </c>
      <c r="W53" s="188">
        <v>9982117889</v>
      </c>
      <c r="X53" s="188">
        <v>2763092704</v>
      </c>
      <c r="Y53" s="188">
        <v>2294256409</v>
      </c>
      <c r="Z53" s="188">
        <v>1905649963</v>
      </c>
      <c r="AA53" s="188">
        <v>5752763007</v>
      </c>
      <c r="AB53" s="188">
        <v>8528247537</v>
      </c>
      <c r="AC53" s="188">
        <v>8412921608</v>
      </c>
      <c r="AD53" s="188">
        <v>17908031218</v>
      </c>
      <c r="AE53" s="188">
        <v>14543937667</v>
      </c>
      <c r="AF53" s="188">
        <v>13357178363</v>
      </c>
      <c r="AG53" s="188">
        <v>8098446109</v>
      </c>
      <c r="AH53" s="188">
        <v>10381574489</v>
      </c>
      <c r="AI53" s="188">
        <v>6116329802</v>
      </c>
      <c r="AJ53" s="188">
        <v>1744418299</v>
      </c>
      <c r="AK53" s="188">
        <v>1140779520</v>
      </c>
      <c r="AL53" s="188">
        <v>2499988288</v>
      </c>
      <c r="AM53" s="188">
        <v>2052959033</v>
      </c>
      <c r="AN53" s="188">
        <v>1057108117</v>
      </c>
      <c r="AO53" s="188">
        <v>445452403</v>
      </c>
      <c r="AP53" s="188">
        <v>924185518</v>
      </c>
      <c r="AQ53" s="188">
        <v>726306787</v>
      </c>
      <c r="AR53" s="188">
        <v>214175484</v>
      </c>
      <c r="AS53" s="188">
        <v>54745615</v>
      </c>
      <c r="AT53" s="188">
        <v>62583273</v>
      </c>
      <c r="AU53" s="188">
        <v>51016002</v>
      </c>
      <c r="AV53" s="188">
        <v>53944342</v>
      </c>
      <c r="AW53" s="188">
        <v>64403867</v>
      </c>
      <c r="AX53" s="188">
        <v>341473241</v>
      </c>
      <c r="AY53" s="188">
        <v>287661196</v>
      </c>
      <c r="AZ53" s="188">
        <v>189704387</v>
      </c>
      <c r="BA53" s="188">
        <v>285244019</v>
      </c>
      <c r="BB53" s="188">
        <v>257525817</v>
      </c>
      <c r="BC53" s="188">
        <v>2027078545</v>
      </c>
      <c r="BD53" s="188">
        <v>5561051404</v>
      </c>
      <c r="BE53" s="188">
        <v>5057734515</v>
      </c>
      <c r="BF53" s="188">
        <v>2225106397.5999999</v>
      </c>
      <c r="BG53" s="188">
        <v>616118117.03999996</v>
      </c>
      <c r="BH53" s="188">
        <v>540216777.25</v>
      </c>
      <c r="BI53" s="188">
        <v>324067497</v>
      </c>
      <c r="BJ53" s="188">
        <v>338313448.31</v>
      </c>
      <c r="BK53" s="188">
        <v>289519448.52999997</v>
      </c>
      <c r="BL53" s="188">
        <v>236475329.43000001</v>
      </c>
      <c r="BM53" s="188">
        <v>127031485</v>
      </c>
      <c r="BN53" s="188">
        <v>217655462.61000001</v>
      </c>
      <c r="BO53" s="188">
        <v>281496923.23000002</v>
      </c>
      <c r="BP53" s="188">
        <v>242991679.05000001</v>
      </c>
      <c r="BQ53" s="188">
        <v>196658022</v>
      </c>
      <c r="BR53" s="188">
        <v>73221999.810000002</v>
      </c>
      <c r="BS53" s="188">
        <v>24534488</v>
      </c>
      <c r="BT53" s="188">
        <v>52045627</v>
      </c>
      <c r="BU53" s="188">
        <v>96164485</v>
      </c>
      <c r="BV53" s="188">
        <v>63219289.270000003</v>
      </c>
      <c r="BW53" s="188">
        <v>63954000</v>
      </c>
      <c r="BX53" s="188">
        <v>22014175.07</v>
      </c>
      <c r="BY53" s="188">
        <v>16223000</v>
      </c>
      <c r="BZ53" s="188">
        <v>19661000</v>
      </c>
      <c r="CA53" s="188">
        <v>17021000</v>
      </c>
      <c r="CB53" s="188">
        <v>15021000</v>
      </c>
      <c r="CC53" s="188">
        <v>25633000</v>
      </c>
      <c r="CD53" s="188">
        <v>0</v>
      </c>
      <c r="CE53" s="188"/>
      <c r="CF53" s="188"/>
      <c r="CG53" s="188"/>
      <c r="CH53" s="188"/>
      <c r="CI53" s="188"/>
      <c r="CJ53" s="188"/>
      <c r="CK53" s="188"/>
      <c r="CL53" s="188"/>
    </row>
    <row r="54" spans="1:90" s="191" customFormat="1" x14ac:dyDescent="0.25">
      <c r="A54" s="191" t="s">
        <v>36</v>
      </c>
      <c r="B54" s="188">
        <v>0</v>
      </c>
      <c r="C54" s="188">
        <v>0</v>
      </c>
      <c r="D54" s="188">
        <v>0</v>
      </c>
      <c r="E54" s="188">
        <v>0</v>
      </c>
      <c r="F54" s="188">
        <v>0</v>
      </c>
      <c r="G54" s="188">
        <v>0</v>
      </c>
      <c r="H54" s="188">
        <v>0</v>
      </c>
      <c r="I54" s="188">
        <v>0</v>
      </c>
      <c r="J54" s="188">
        <v>0</v>
      </c>
      <c r="K54" s="188">
        <v>0</v>
      </c>
      <c r="L54" s="188">
        <v>0</v>
      </c>
      <c r="M54" s="188">
        <v>0</v>
      </c>
      <c r="N54" s="188">
        <v>0</v>
      </c>
      <c r="O54" s="188">
        <v>0</v>
      </c>
      <c r="P54" s="188">
        <v>0</v>
      </c>
      <c r="Q54" s="188">
        <v>0</v>
      </c>
      <c r="R54" s="188">
        <v>0</v>
      </c>
      <c r="S54" s="188">
        <v>0</v>
      </c>
      <c r="T54" s="188">
        <v>0</v>
      </c>
      <c r="U54" s="188">
        <v>0</v>
      </c>
      <c r="V54" s="188">
        <v>0</v>
      </c>
      <c r="W54" s="188">
        <v>0</v>
      </c>
      <c r="X54" s="188">
        <v>0</v>
      </c>
      <c r="Y54" s="188">
        <v>0</v>
      </c>
      <c r="Z54" s="188">
        <v>0</v>
      </c>
      <c r="AA54" s="188">
        <v>0</v>
      </c>
      <c r="AB54" s="188">
        <v>0</v>
      </c>
      <c r="AC54" s="188">
        <v>0</v>
      </c>
      <c r="AD54" s="188">
        <v>0</v>
      </c>
      <c r="AE54" s="188">
        <v>0</v>
      </c>
      <c r="AF54" s="188">
        <v>0</v>
      </c>
      <c r="AG54" s="188">
        <v>0</v>
      </c>
      <c r="AH54" s="188">
        <v>0</v>
      </c>
      <c r="AI54" s="188">
        <v>0</v>
      </c>
      <c r="AJ54" s="188">
        <v>0</v>
      </c>
      <c r="AK54" s="188">
        <v>0</v>
      </c>
      <c r="AL54" s="188">
        <v>0</v>
      </c>
      <c r="AM54" s="188">
        <v>0</v>
      </c>
      <c r="AN54" s="188">
        <v>0</v>
      </c>
      <c r="AO54" s="188">
        <v>0</v>
      </c>
      <c r="AP54" s="188">
        <v>0</v>
      </c>
      <c r="AQ54" s="188">
        <v>0</v>
      </c>
      <c r="AR54" s="188">
        <v>0</v>
      </c>
      <c r="AS54" s="188">
        <v>0</v>
      </c>
      <c r="AT54" s="188">
        <v>0</v>
      </c>
      <c r="AU54" s="188">
        <v>0</v>
      </c>
      <c r="AV54" s="188">
        <v>0</v>
      </c>
      <c r="AW54" s="188">
        <v>0</v>
      </c>
      <c r="AX54" s="188">
        <v>0</v>
      </c>
      <c r="AY54" s="188">
        <v>0</v>
      </c>
      <c r="AZ54" s="188">
        <v>0</v>
      </c>
      <c r="BA54" s="188">
        <v>0</v>
      </c>
      <c r="BB54" s="188">
        <v>0</v>
      </c>
      <c r="BC54" s="188">
        <v>0</v>
      </c>
      <c r="BD54" s="188">
        <v>210508998</v>
      </c>
      <c r="BE54" s="188">
        <v>7614586</v>
      </c>
      <c r="BF54" s="188">
        <v>12198867</v>
      </c>
      <c r="BG54" s="188">
        <v>12198867</v>
      </c>
      <c r="BH54" s="188">
        <v>11901867</v>
      </c>
      <c r="BI54" s="188">
        <v>11901861</v>
      </c>
      <c r="BJ54" s="188">
        <v>0</v>
      </c>
      <c r="BK54" s="188">
        <v>0</v>
      </c>
      <c r="BL54" s="188">
        <v>0</v>
      </c>
      <c r="BM54" s="188">
        <v>11241197</v>
      </c>
      <c r="BN54" s="188">
        <v>0</v>
      </c>
      <c r="BO54" s="188">
        <v>0</v>
      </c>
      <c r="BP54" s="188">
        <v>0</v>
      </c>
      <c r="BQ54" s="188">
        <v>16878070</v>
      </c>
      <c r="BR54" s="188">
        <v>0</v>
      </c>
      <c r="BS54" s="188">
        <v>0</v>
      </c>
      <c r="BT54" s="188">
        <v>0</v>
      </c>
      <c r="BU54" s="188">
        <v>0</v>
      </c>
      <c r="BV54" s="188">
        <v>0</v>
      </c>
      <c r="BW54" s="188">
        <v>0</v>
      </c>
      <c r="BX54" s="188">
        <v>0</v>
      </c>
      <c r="BY54" s="188">
        <v>0</v>
      </c>
      <c r="BZ54" s="188">
        <v>0</v>
      </c>
      <c r="CA54" s="188">
        <v>0</v>
      </c>
      <c r="CB54" s="188">
        <v>0</v>
      </c>
      <c r="CC54" s="188">
        <v>0</v>
      </c>
      <c r="CD54" s="188">
        <v>0</v>
      </c>
      <c r="CE54" s="188"/>
      <c r="CF54" s="188"/>
      <c r="CG54" s="188"/>
      <c r="CH54" s="188"/>
      <c r="CI54" s="188"/>
      <c r="CJ54" s="188"/>
      <c r="CK54" s="188"/>
      <c r="CL54" s="188"/>
    </row>
    <row r="55" spans="1:90" s="191" customFormat="1" x14ac:dyDescent="0.25">
      <c r="A55" s="191" t="s">
        <v>37</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136957</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0</v>
      </c>
      <c r="AX55" s="188">
        <v>0</v>
      </c>
      <c r="AY55" s="188">
        <v>0</v>
      </c>
      <c r="AZ55" s="188">
        <v>0</v>
      </c>
      <c r="BA55" s="188">
        <v>0</v>
      </c>
      <c r="BB55" s="188">
        <v>0</v>
      </c>
      <c r="BC55" s="188">
        <v>0</v>
      </c>
      <c r="BD55" s="188">
        <v>0</v>
      </c>
      <c r="BE55" s="188">
        <v>0</v>
      </c>
      <c r="BF55" s="188">
        <v>0</v>
      </c>
      <c r="BG55" s="188">
        <v>0</v>
      </c>
      <c r="BH55" s="188">
        <v>0</v>
      </c>
      <c r="BI55" s="188">
        <v>0</v>
      </c>
      <c r="BJ55" s="188">
        <v>0</v>
      </c>
      <c r="BK55" s="188">
        <v>0</v>
      </c>
      <c r="BL55" s="188">
        <v>0</v>
      </c>
      <c r="BM55" s="188">
        <v>0</v>
      </c>
      <c r="BN55" s="188">
        <v>203667</v>
      </c>
      <c r="BO55" s="188">
        <v>310804.61</v>
      </c>
      <c r="BP55" s="188">
        <v>311667</v>
      </c>
      <c r="BQ55" s="188">
        <v>311667</v>
      </c>
      <c r="BR55" s="188">
        <v>314306.96000000002</v>
      </c>
      <c r="BS55" s="188">
        <v>168469</v>
      </c>
      <c r="BT55" s="188">
        <v>516616</v>
      </c>
      <c r="BU55" s="188">
        <v>0</v>
      </c>
      <c r="BV55" s="188">
        <v>0</v>
      </c>
      <c r="BW55" s="188">
        <v>0</v>
      </c>
      <c r="BX55" s="188">
        <v>0</v>
      </c>
      <c r="BY55" s="188">
        <v>0</v>
      </c>
      <c r="BZ55" s="188">
        <v>0</v>
      </c>
      <c r="CA55" s="188">
        <v>0</v>
      </c>
      <c r="CB55" s="188">
        <v>0</v>
      </c>
      <c r="CC55" s="188">
        <v>0</v>
      </c>
      <c r="CD55" s="188">
        <v>0</v>
      </c>
      <c r="CE55" s="188"/>
      <c r="CF55" s="188"/>
      <c r="CG55" s="188"/>
      <c r="CH55" s="188"/>
      <c r="CI55" s="188"/>
      <c r="CJ55" s="188"/>
      <c r="CK55" s="188"/>
      <c r="CL55" s="188"/>
    </row>
    <row r="56" spans="1:90" s="191" customFormat="1" x14ac:dyDescent="0.25">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c r="BS56" s="188">
        <v>0</v>
      </c>
      <c r="BT56" s="188">
        <v>0</v>
      </c>
      <c r="BU56" s="188">
        <v>0</v>
      </c>
      <c r="BV56" s="188">
        <v>0</v>
      </c>
      <c r="BW56" s="188">
        <v>0</v>
      </c>
      <c r="BX56" s="188">
        <v>0</v>
      </c>
      <c r="BY56" s="188">
        <v>0</v>
      </c>
      <c r="BZ56" s="188">
        <v>0</v>
      </c>
      <c r="CA56" s="188">
        <v>0</v>
      </c>
      <c r="CB56" s="188">
        <v>0</v>
      </c>
      <c r="CC56" s="188">
        <v>0</v>
      </c>
      <c r="CD56" s="188">
        <v>0</v>
      </c>
      <c r="CE56" s="188"/>
      <c r="CF56" s="188"/>
      <c r="CG56" s="188"/>
      <c r="CH56" s="188"/>
      <c r="CI56" s="188"/>
      <c r="CJ56" s="188"/>
      <c r="CK56" s="188"/>
      <c r="CL56" s="188"/>
    </row>
    <row r="57" spans="1:90" s="191" customFormat="1" x14ac:dyDescent="0.25">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c r="BS57" s="188">
        <v>0</v>
      </c>
      <c r="BT57" s="188">
        <v>0</v>
      </c>
      <c r="BU57" s="188">
        <v>0</v>
      </c>
      <c r="BV57" s="188">
        <v>0</v>
      </c>
      <c r="BW57" s="188">
        <v>0</v>
      </c>
      <c r="BX57" s="188">
        <v>0</v>
      </c>
      <c r="BY57" s="188">
        <v>0</v>
      </c>
      <c r="BZ57" s="188">
        <v>0</v>
      </c>
      <c r="CA57" s="188">
        <v>0</v>
      </c>
      <c r="CB57" s="188">
        <v>0</v>
      </c>
      <c r="CC57" s="188">
        <v>0</v>
      </c>
      <c r="CD57" s="188">
        <v>0</v>
      </c>
      <c r="CE57" s="188"/>
      <c r="CF57" s="188"/>
      <c r="CG57" s="188"/>
      <c r="CH57" s="188"/>
      <c r="CI57" s="188"/>
      <c r="CJ57" s="188"/>
      <c r="CK57" s="188"/>
      <c r="CL57" s="188"/>
    </row>
    <row r="58" spans="1:90" s="191" customFormat="1" x14ac:dyDescent="0.25">
      <c r="A58" s="191" t="s">
        <v>40</v>
      </c>
      <c r="B58" s="188">
        <v>5383958273</v>
      </c>
      <c r="C58" s="188">
        <v>5490324217</v>
      </c>
      <c r="D58" s="188">
        <v>5056552295</v>
      </c>
      <c r="E58" s="188">
        <v>2982664308</v>
      </c>
      <c r="F58" s="188">
        <v>3285107422</v>
      </c>
      <c r="G58" s="188">
        <v>3046125155</v>
      </c>
      <c r="H58" s="188">
        <v>3086565460</v>
      </c>
      <c r="I58" s="188">
        <v>3136873387</v>
      </c>
      <c r="J58" s="188">
        <v>2864508290</v>
      </c>
      <c r="K58" s="188">
        <v>2605562535</v>
      </c>
      <c r="L58" s="188">
        <v>2633021936</v>
      </c>
      <c r="M58" s="188">
        <v>2679239255</v>
      </c>
      <c r="N58" s="188">
        <v>2690226279</v>
      </c>
      <c r="O58" s="188">
        <v>2065601239</v>
      </c>
      <c r="P58" s="188">
        <v>2101548672</v>
      </c>
      <c r="Q58" s="188">
        <v>2158510516</v>
      </c>
      <c r="R58" s="188">
        <v>2111798213</v>
      </c>
      <c r="S58" s="188">
        <v>2156864047</v>
      </c>
      <c r="T58" s="188">
        <v>1980602324</v>
      </c>
      <c r="U58" s="188">
        <v>2025945856</v>
      </c>
      <c r="V58" s="188">
        <v>1678201309</v>
      </c>
      <c r="W58" s="188">
        <v>1705658091</v>
      </c>
      <c r="X58" s="188">
        <v>1465302961</v>
      </c>
      <c r="Y58" s="188">
        <v>1497109054</v>
      </c>
      <c r="Z58" s="188">
        <v>1361313182</v>
      </c>
      <c r="AA58" s="188">
        <v>1404317912</v>
      </c>
      <c r="AB58" s="188">
        <v>1429158183</v>
      </c>
      <c r="AC58" s="188">
        <v>1454669394</v>
      </c>
      <c r="AD58" s="188">
        <v>1077242433</v>
      </c>
      <c r="AE58" s="188">
        <v>1087340300</v>
      </c>
      <c r="AF58" s="188">
        <v>1104039605</v>
      </c>
      <c r="AG58" s="188">
        <v>1112496157</v>
      </c>
      <c r="AH58" s="188">
        <v>1010904414</v>
      </c>
      <c r="AI58" s="188">
        <v>928991992</v>
      </c>
      <c r="AJ58" s="188">
        <v>775394191</v>
      </c>
      <c r="AK58" s="188">
        <v>774986122</v>
      </c>
      <c r="AL58" s="188">
        <v>682335892</v>
      </c>
      <c r="AM58" s="188">
        <v>699239960</v>
      </c>
      <c r="AN58" s="188">
        <v>703200546</v>
      </c>
      <c r="AO58" s="188">
        <v>715814320</v>
      </c>
      <c r="AP58" s="188">
        <v>729123591</v>
      </c>
      <c r="AQ58" s="188">
        <v>735809607</v>
      </c>
      <c r="AR58" s="188">
        <v>730808796</v>
      </c>
      <c r="AS58" s="188">
        <v>742637961</v>
      </c>
      <c r="AT58" s="188">
        <v>748075180</v>
      </c>
      <c r="AU58" s="188">
        <v>748040868</v>
      </c>
      <c r="AV58" s="188">
        <v>747312778</v>
      </c>
      <c r="AW58" s="188">
        <v>746989431</v>
      </c>
      <c r="AX58" s="188">
        <v>738499958</v>
      </c>
      <c r="AY58" s="188">
        <v>249082764</v>
      </c>
      <c r="AZ58" s="188">
        <v>246654422</v>
      </c>
      <c r="BA58" s="188">
        <v>261585751</v>
      </c>
      <c r="BB58" s="188">
        <v>242505056</v>
      </c>
      <c r="BC58" s="188">
        <v>253840059</v>
      </c>
      <c r="BD58" s="188">
        <v>192861612</v>
      </c>
      <c r="BE58" s="188">
        <v>159322273</v>
      </c>
      <c r="BF58" s="188">
        <v>167273762.19999999</v>
      </c>
      <c r="BG58" s="188">
        <v>180688803.97</v>
      </c>
      <c r="BH58" s="188">
        <v>67459140.769999996</v>
      </c>
      <c r="BI58" s="188">
        <v>160190232</v>
      </c>
      <c r="BJ58" s="188">
        <v>141917692.09</v>
      </c>
      <c r="BK58" s="188">
        <v>123261919.56999999</v>
      </c>
      <c r="BL58" s="188">
        <v>145324877.68000001</v>
      </c>
      <c r="BM58" s="188">
        <v>128946439</v>
      </c>
      <c r="BN58" s="188">
        <v>118040348.65000001</v>
      </c>
      <c r="BO58" s="188">
        <v>113676182.87</v>
      </c>
      <c r="BP58" s="188">
        <v>110724831.68000001</v>
      </c>
      <c r="BQ58" s="188">
        <v>107766428</v>
      </c>
      <c r="BR58" s="188">
        <v>42468330.640000001</v>
      </c>
      <c r="BS58" s="188">
        <v>39188824</v>
      </c>
      <c r="BT58" s="188">
        <v>38426429</v>
      </c>
      <c r="BU58" s="188">
        <v>35420004</v>
      </c>
      <c r="BV58" s="188">
        <v>35205677.229999997</v>
      </c>
      <c r="BW58" s="188">
        <v>34611000</v>
      </c>
      <c r="BX58" s="188">
        <v>0</v>
      </c>
      <c r="BY58" s="188">
        <v>0</v>
      </c>
      <c r="BZ58" s="188">
        <v>0</v>
      </c>
      <c r="CA58" s="188">
        <v>0</v>
      </c>
      <c r="CB58" s="188">
        <v>25384000</v>
      </c>
      <c r="CC58" s="188">
        <v>25384000</v>
      </c>
      <c r="CD58" s="188">
        <v>0</v>
      </c>
      <c r="CE58" s="188"/>
      <c r="CF58" s="188"/>
      <c r="CG58" s="188"/>
      <c r="CH58" s="188"/>
      <c r="CI58" s="188"/>
      <c r="CJ58" s="188"/>
      <c r="CK58" s="188"/>
      <c r="CL58" s="188"/>
    </row>
    <row r="59" spans="1:90" s="191" customFormat="1" x14ac:dyDescent="0.25">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4813466</v>
      </c>
      <c r="AU59" s="188">
        <v>7519008</v>
      </c>
      <c r="AV59" s="188">
        <v>0</v>
      </c>
      <c r="AW59" s="188">
        <v>0</v>
      </c>
      <c r="AX59" s="188">
        <v>0</v>
      </c>
      <c r="AY59" s="188">
        <v>0</v>
      </c>
      <c r="AZ59" s="188">
        <v>0</v>
      </c>
      <c r="BA59" s="188">
        <v>0</v>
      </c>
      <c r="BB59" s="188">
        <v>0</v>
      </c>
      <c r="BC59" s="188">
        <v>0</v>
      </c>
      <c r="BD59" s="188">
        <v>0</v>
      </c>
      <c r="BE59" s="188">
        <v>0</v>
      </c>
      <c r="BF59" s="188">
        <v>0</v>
      </c>
      <c r="BG59" s="188">
        <v>0</v>
      </c>
      <c r="BH59" s="188">
        <v>0</v>
      </c>
      <c r="BI59" s="188">
        <v>0</v>
      </c>
      <c r="BJ59" s="188">
        <v>0</v>
      </c>
      <c r="BK59" s="188">
        <v>0</v>
      </c>
      <c r="BL59" s="188">
        <v>0</v>
      </c>
      <c r="BM59" s="188">
        <v>0</v>
      </c>
      <c r="BN59" s="188">
        <v>0</v>
      </c>
      <c r="BO59" s="188">
        <v>0</v>
      </c>
      <c r="BP59" s="188">
        <v>0</v>
      </c>
      <c r="BQ59" s="188">
        <v>0</v>
      </c>
      <c r="BR59" s="188">
        <v>0</v>
      </c>
      <c r="BS59" s="188">
        <v>0</v>
      </c>
      <c r="BT59" s="188">
        <v>0</v>
      </c>
      <c r="BU59" s="188">
        <v>0</v>
      </c>
      <c r="BV59" s="188">
        <v>0</v>
      </c>
      <c r="BW59" s="188">
        <v>0</v>
      </c>
      <c r="BX59" s="188">
        <v>0</v>
      </c>
      <c r="BY59" s="188">
        <v>0</v>
      </c>
      <c r="BZ59" s="188">
        <v>0</v>
      </c>
      <c r="CA59" s="188">
        <v>0</v>
      </c>
      <c r="CB59" s="188">
        <v>0</v>
      </c>
      <c r="CC59" s="188">
        <v>0</v>
      </c>
      <c r="CD59" s="188">
        <v>0</v>
      </c>
      <c r="CE59" s="188"/>
      <c r="CF59" s="188"/>
      <c r="CG59" s="188"/>
      <c r="CH59" s="188"/>
      <c r="CI59" s="188"/>
      <c r="CJ59" s="188"/>
      <c r="CK59" s="188"/>
      <c r="CL59" s="188"/>
    </row>
    <row r="60" spans="1:90" s="191" customFormat="1" x14ac:dyDescent="0.25">
      <c r="A60" s="191" t="s">
        <v>42</v>
      </c>
      <c r="B60" s="188">
        <v>841479045</v>
      </c>
      <c r="C60" s="188">
        <v>841479045</v>
      </c>
      <c r="D60" s="188">
        <v>727692724</v>
      </c>
      <c r="E60" s="188">
        <v>197963688</v>
      </c>
      <c r="F60" s="188">
        <v>197963688</v>
      </c>
      <c r="G60" s="188">
        <v>197963688</v>
      </c>
      <c r="H60" s="188">
        <v>197963688</v>
      </c>
      <c r="I60" s="188">
        <v>197963688</v>
      </c>
      <c r="J60" s="188">
        <v>197963688</v>
      </c>
      <c r="K60" s="188">
        <v>197963688</v>
      </c>
      <c r="L60" s="188">
        <v>197963688</v>
      </c>
      <c r="M60" s="188">
        <v>197963688</v>
      </c>
      <c r="N60" s="188">
        <v>155756341</v>
      </c>
      <c r="O60" s="188">
        <v>51502898</v>
      </c>
      <c r="P60" s="188">
        <v>51502898</v>
      </c>
      <c r="Q60" s="188">
        <v>51502898</v>
      </c>
      <c r="R60" s="188">
        <v>51502898</v>
      </c>
      <c r="S60" s="188">
        <v>51502898</v>
      </c>
      <c r="T60" s="188">
        <v>51502898</v>
      </c>
      <c r="U60" s="188">
        <v>51502898</v>
      </c>
      <c r="V60" s="188">
        <v>51502898</v>
      </c>
      <c r="W60" s="188">
        <v>51502898</v>
      </c>
      <c r="X60" s="188">
        <v>51502898</v>
      </c>
      <c r="Y60" s="188">
        <v>51502898</v>
      </c>
      <c r="Z60" s="188">
        <v>51502898</v>
      </c>
      <c r="AA60" s="188">
        <v>51502898</v>
      </c>
      <c r="AB60" s="188">
        <v>51502898</v>
      </c>
      <c r="AC60" s="188">
        <v>51502898</v>
      </c>
      <c r="AD60" s="188">
        <v>55926774</v>
      </c>
      <c r="AE60" s="188">
        <v>55926774</v>
      </c>
      <c r="AF60" s="188">
        <v>55926774</v>
      </c>
      <c r="AG60" s="188">
        <v>55926774</v>
      </c>
      <c r="AH60" s="188">
        <v>73743389</v>
      </c>
      <c r="AI60" s="188">
        <v>47364310</v>
      </c>
      <c r="AJ60" s="188">
        <v>47364310</v>
      </c>
      <c r="AK60" s="188">
        <v>47364310</v>
      </c>
      <c r="AL60" s="188">
        <v>47364310</v>
      </c>
      <c r="AM60" s="188">
        <v>47364310</v>
      </c>
      <c r="AN60" s="188">
        <v>47364310</v>
      </c>
      <c r="AO60" s="188">
        <v>47364310</v>
      </c>
      <c r="AP60" s="188">
        <v>59317773</v>
      </c>
      <c r="AQ60" s="188">
        <v>59317773</v>
      </c>
      <c r="AR60" s="188">
        <v>47364310</v>
      </c>
      <c r="AS60" s="188">
        <v>47364310</v>
      </c>
      <c r="AT60" s="188">
        <v>49722765</v>
      </c>
      <c r="AU60" s="188">
        <v>49722765</v>
      </c>
      <c r="AV60" s="188">
        <v>49722765</v>
      </c>
      <c r="AW60" s="188">
        <v>0</v>
      </c>
      <c r="AX60" s="188">
        <v>0</v>
      </c>
      <c r="AY60" s="188">
        <v>0</v>
      </c>
      <c r="AZ60" s="188">
        <v>0</v>
      </c>
      <c r="BA60" s="188">
        <v>0</v>
      </c>
      <c r="BB60" s="188">
        <v>0</v>
      </c>
      <c r="BC60" s="188">
        <v>0</v>
      </c>
      <c r="BD60" s="188">
        <v>0</v>
      </c>
      <c r="BE60" s="188">
        <v>0</v>
      </c>
      <c r="BF60" s="188">
        <v>0</v>
      </c>
      <c r="BG60" s="188">
        <v>0</v>
      </c>
      <c r="BH60" s="188">
        <v>0</v>
      </c>
      <c r="BI60" s="188">
        <v>0</v>
      </c>
      <c r="BJ60" s="188">
        <v>0</v>
      </c>
      <c r="BK60" s="188">
        <v>0</v>
      </c>
      <c r="BL60" s="188">
        <v>0</v>
      </c>
      <c r="BM60" s="188">
        <v>0</v>
      </c>
      <c r="BN60" s="188">
        <v>0</v>
      </c>
      <c r="BO60" s="188">
        <v>0</v>
      </c>
      <c r="BP60" s="188">
        <v>0</v>
      </c>
      <c r="BQ60" s="188">
        <v>0</v>
      </c>
      <c r="BR60" s="188">
        <v>0</v>
      </c>
      <c r="BS60" s="188">
        <v>0</v>
      </c>
      <c r="BT60" s="188">
        <v>0</v>
      </c>
      <c r="BU60" s="188">
        <v>0</v>
      </c>
      <c r="BV60" s="188">
        <v>0</v>
      </c>
      <c r="BW60" s="188">
        <v>0</v>
      </c>
      <c r="BX60" s="188">
        <v>0</v>
      </c>
      <c r="BY60" s="188">
        <v>0</v>
      </c>
      <c r="BZ60" s="188">
        <v>0</v>
      </c>
      <c r="CA60" s="188">
        <v>0</v>
      </c>
      <c r="CB60" s="188">
        <v>0</v>
      </c>
      <c r="CC60" s="188">
        <v>0</v>
      </c>
      <c r="CD60" s="188">
        <v>0</v>
      </c>
      <c r="CE60" s="188"/>
      <c r="CF60" s="188"/>
      <c r="CG60" s="188"/>
      <c r="CH60" s="188"/>
      <c r="CI60" s="188"/>
      <c r="CJ60" s="188"/>
      <c r="CK60" s="188"/>
      <c r="CL60" s="188"/>
    </row>
    <row r="61" spans="1:90" s="191" customFormat="1" x14ac:dyDescent="0.25">
      <c r="A61" s="191" t="s">
        <v>43</v>
      </c>
      <c r="B61" s="188">
        <v>394830975</v>
      </c>
      <c r="C61" s="188">
        <v>383215107</v>
      </c>
      <c r="D61" s="188">
        <v>364417263</v>
      </c>
      <c r="E61" s="188">
        <v>379829430</v>
      </c>
      <c r="F61" s="188">
        <v>300117127</v>
      </c>
      <c r="G61" s="188">
        <v>314072978</v>
      </c>
      <c r="H61" s="188">
        <v>309106791</v>
      </c>
      <c r="I61" s="188">
        <v>344891227</v>
      </c>
      <c r="J61" s="188">
        <v>336456348</v>
      </c>
      <c r="K61" s="188">
        <v>348527169</v>
      </c>
      <c r="L61" s="188">
        <v>343499182</v>
      </c>
      <c r="M61" s="188">
        <v>341526213</v>
      </c>
      <c r="N61" s="188">
        <v>348997906</v>
      </c>
      <c r="O61" s="188">
        <v>310050863</v>
      </c>
      <c r="P61" s="188">
        <v>314890060</v>
      </c>
      <c r="Q61" s="188">
        <v>303984682</v>
      </c>
      <c r="R61" s="188">
        <v>275101329</v>
      </c>
      <c r="S61" s="188">
        <v>250145319</v>
      </c>
      <c r="T61" s="188">
        <v>253668661</v>
      </c>
      <c r="U61" s="188">
        <v>242814121</v>
      </c>
      <c r="V61" s="188">
        <v>221158073</v>
      </c>
      <c r="W61" s="188">
        <v>219906694</v>
      </c>
      <c r="X61" s="188">
        <v>220138506</v>
      </c>
      <c r="Y61" s="188">
        <v>222578163</v>
      </c>
      <c r="Z61" s="188">
        <v>228806627</v>
      </c>
      <c r="AA61" s="188">
        <v>233867070</v>
      </c>
      <c r="AB61" s="188">
        <v>26388701</v>
      </c>
      <c r="AC61" s="188">
        <v>22860526</v>
      </c>
      <c r="AD61" s="188">
        <v>12326220</v>
      </c>
      <c r="AE61" s="188">
        <v>10912331</v>
      </c>
      <c r="AF61" s="188">
        <v>12255401</v>
      </c>
      <c r="AG61" s="188">
        <v>13270680</v>
      </c>
      <c r="AH61" s="188">
        <v>20974854</v>
      </c>
      <c r="AI61" s="188">
        <v>17803314</v>
      </c>
      <c r="AJ61" s="188">
        <v>15095761</v>
      </c>
      <c r="AK61" s="188">
        <v>15747779</v>
      </c>
      <c r="AL61" s="188">
        <v>14781724</v>
      </c>
      <c r="AM61" s="188">
        <v>14834223</v>
      </c>
      <c r="AN61" s="188">
        <v>15603476</v>
      </c>
      <c r="AO61" s="188">
        <v>14611367</v>
      </c>
      <c r="AP61" s="188">
        <v>12325015</v>
      </c>
      <c r="AQ61" s="188">
        <v>12621628</v>
      </c>
      <c r="AR61" s="188">
        <v>375713</v>
      </c>
      <c r="AS61" s="188">
        <v>1266496</v>
      </c>
      <c r="AT61" s="188">
        <v>2366865</v>
      </c>
      <c r="AU61" s="188">
        <v>2944155</v>
      </c>
      <c r="AV61" s="188">
        <v>0</v>
      </c>
      <c r="AW61" s="188">
        <v>1066696</v>
      </c>
      <c r="AX61" s="188">
        <v>4729970</v>
      </c>
      <c r="AY61" s="188">
        <v>13494815</v>
      </c>
      <c r="AZ61" s="188">
        <v>12418852</v>
      </c>
      <c r="BA61" s="188">
        <v>14587546</v>
      </c>
      <c r="BB61" s="188">
        <v>10037875</v>
      </c>
      <c r="BC61" s="188">
        <v>10044228</v>
      </c>
      <c r="BD61" s="188">
        <v>1795838</v>
      </c>
      <c r="BE61" s="188">
        <v>7592707</v>
      </c>
      <c r="BF61" s="188">
        <v>99171.88</v>
      </c>
      <c r="BG61" s="188">
        <v>727728.64000000001</v>
      </c>
      <c r="BH61" s="188">
        <v>5436429.8300000001</v>
      </c>
      <c r="BI61" s="188">
        <v>613629</v>
      </c>
      <c r="BJ61" s="188">
        <v>28678024.039999999</v>
      </c>
      <c r="BK61" s="188">
        <v>29297882.5</v>
      </c>
      <c r="BL61" s="188">
        <v>29890675.510000002</v>
      </c>
      <c r="BM61" s="188">
        <v>32694722</v>
      </c>
      <c r="BN61" s="188">
        <v>33881794.590000004</v>
      </c>
      <c r="BO61" s="188">
        <v>31486857.84</v>
      </c>
      <c r="BP61" s="188">
        <v>33522056.809999999</v>
      </c>
      <c r="BQ61" s="188">
        <v>32698243</v>
      </c>
      <c r="BR61" s="188">
        <v>17229218.530000001</v>
      </c>
      <c r="BS61" s="188">
        <v>7748793</v>
      </c>
      <c r="BT61" s="188">
        <v>10430953</v>
      </c>
      <c r="BU61" s="188">
        <v>8089906</v>
      </c>
      <c r="BV61" s="188">
        <v>0</v>
      </c>
      <c r="BW61" s="188">
        <v>4830000</v>
      </c>
      <c r="BX61" s="188">
        <v>0</v>
      </c>
      <c r="BY61" s="188">
        <v>0</v>
      </c>
      <c r="BZ61" s="188">
        <v>0</v>
      </c>
      <c r="CA61" s="188">
        <v>0</v>
      </c>
      <c r="CB61" s="188">
        <v>0</v>
      </c>
      <c r="CC61" s="188">
        <v>0</v>
      </c>
      <c r="CD61" s="188">
        <v>0</v>
      </c>
      <c r="CE61" s="188"/>
      <c r="CF61" s="188"/>
      <c r="CG61" s="188"/>
      <c r="CH61" s="188"/>
      <c r="CI61" s="188"/>
      <c r="CJ61" s="188"/>
      <c r="CK61" s="188"/>
      <c r="CL61" s="188"/>
    </row>
    <row r="62" spans="1:90" s="191" customFormat="1" x14ac:dyDescent="0.25">
      <c r="A62" s="191" t="s">
        <v>44</v>
      </c>
      <c r="B62" s="188">
        <v>185662548</v>
      </c>
      <c r="C62" s="188">
        <v>176341669</v>
      </c>
      <c r="D62" s="188">
        <v>170520725</v>
      </c>
      <c r="E62" s="188">
        <v>106255657</v>
      </c>
      <c r="F62" s="188">
        <v>136474642</v>
      </c>
      <c r="G62" s="188">
        <v>149942508</v>
      </c>
      <c r="H62" s="188">
        <v>140527159</v>
      </c>
      <c r="I62" s="188">
        <v>146538565</v>
      </c>
      <c r="J62" s="188">
        <v>100673704</v>
      </c>
      <c r="K62" s="188">
        <v>101021236</v>
      </c>
      <c r="L62" s="188">
        <v>112619058</v>
      </c>
      <c r="M62" s="188">
        <v>117105220</v>
      </c>
      <c r="N62" s="188">
        <v>119070580</v>
      </c>
      <c r="O62" s="188">
        <v>125575848</v>
      </c>
      <c r="P62" s="188">
        <v>132124897</v>
      </c>
      <c r="Q62" s="188">
        <v>138779625</v>
      </c>
      <c r="R62" s="188">
        <v>147502064</v>
      </c>
      <c r="S62" s="188">
        <v>150708239</v>
      </c>
      <c r="T62" s="188">
        <v>155143278</v>
      </c>
      <c r="U62" s="188">
        <v>160480672</v>
      </c>
      <c r="V62" s="188">
        <v>48397086</v>
      </c>
      <c r="W62" s="188">
        <v>47515935</v>
      </c>
      <c r="X62" s="188">
        <v>47685049</v>
      </c>
      <c r="Y62" s="188">
        <v>47700956</v>
      </c>
      <c r="Z62" s="188">
        <v>47844057</v>
      </c>
      <c r="AA62" s="188">
        <v>49166758</v>
      </c>
      <c r="AB62" s="188">
        <v>49355084</v>
      </c>
      <c r="AC62" s="188">
        <v>47892088</v>
      </c>
      <c r="AD62" s="188">
        <v>49747912</v>
      </c>
      <c r="AE62" s="188">
        <v>50120901</v>
      </c>
      <c r="AF62" s="188">
        <v>50524175</v>
      </c>
      <c r="AG62" s="188">
        <v>51053166</v>
      </c>
      <c r="AH62" s="188">
        <v>51536438</v>
      </c>
      <c r="AI62" s="188">
        <v>52061569</v>
      </c>
      <c r="AJ62" s="188">
        <v>53178099</v>
      </c>
      <c r="AK62" s="188">
        <v>53396674</v>
      </c>
      <c r="AL62" s="188">
        <v>4131105</v>
      </c>
      <c r="AM62" s="188">
        <v>4265971</v>
      </c>
      <c r="AN62" s="188">
        <v>4938662</v>
      </c>
      <c r="AO62" s="188">
        <v>5013345</v>
      </c>
      <c r="AP62" s="188">
        <v>42841390</v>
      </c>
      <c r="AQ62" s="188">
        <v>44018775</v>
      </c>
      <c r="AR62" s="188">
        <v>46468932</v>
      </c>
      <c r="AS62" s="188">
        <v>76333072</v>
      </c>
      <c r="AT62" s="188">
        <v>4281589</v>
      </c>
      <c r="AU62" s="188">
        <v>4222402</v>
      </c>
      <c r="AV62" s="188">
        <v>4043999</v>
      </c>
      <c r="AW62" s="188">
        <v>1831754</v>
      </c>
      <c r="AX62" s="188">
        <v>0</v>
      </c>
      <c r="AY62" s="188">
        <v>0</v>
      </c>
      <c r="AZ62" s="188">
        <v>0</v>
      </c>
      <c r="BA62" s="188">
        <v>1940609</v>
      </c>
      <c r="BB62" s="188">
        <v>0</v>
      </c>
      <c r="BC62" s="188">
        <v>1150757</v>
      </c>
      <c r="BD62" s="188">
        <v>0</v>
      </c>
      <c r="BE62" s="188">
        <v>13220274</v>
      </c>
      <c r="BF62" s="188">
        <v>1496836.94</v>
      </c>
      <c r="BG62" s="188">
        <v>801316.3</v>
      </c>
      <c r="BH62" s="188">
        <v>0</v>
      </c>
      <c r="BI62" s="188">
        <v>10758910</v>
      </c>
      <c r="BJ62" s="188">
        <v>0</v>
      </c>
      <c r="BK62" s="188">
        <v>0</v>
      </c>
      <c r="BL62" s="188">
        <v>0</v>
      </c>
      <c r="BM62" s="188">
        <v>3752947</v>
      </c>
      <c r="BN62" s="188">
        <v>0</v>
      </c>
      <c r="BO62" s="188">
        <v>0</v>
      </c>
      <c r="BP62" s="188">
        <v>0</v>
      </c>
      <c r="BQ62" s="188">
        <v>0</v>
      </c>
      <c r="BR62" s="188">
        <v>0</v>
      </c>
      <c r="BS62" s="188">
        <v>0</v>
      </c>
      <c r="BT62" s="188">
        <v>0</v>
      </c>
      <c r="BU62" s="188">
        <v>0</v>
      </c>
      <c r="BV62" s="188">
        <v>0</v>
      </c>
      <c r="BW62" s="188">
        <v>0</v>
      </c>
      <c r="BX62" s="188">
        <v>0</v>
      </c>
      <c r="BY62" s="188">
        <v>0</v>
      </c>
      <c r="BZ62" s="188">
        <v>0</v>
      </c>
      <c r="CA62" s="188">
        <v>0</v>
      </c>
      <c r="CB62" s="188">
        <v>0</v>
      </c>
      <c r="CC62" s="188">
        <v>0</v>
      </c>
      <c r="CD62" s="188">
        <v>0</v>
      </c>
      <c r="CE62" s="188"/>
      <c r="CF62" s="188"/>
      <c r="CG62" s="188"/>
      <c r="CH62" s="188"/>
      <c r="CI62" s="188"/>
      <c r="CJ62" s="188"/>
      <c r="CK62" s="188"/>
      <c r="CL62" s="188"/>
    </row>
    <row r="63" spans="1:90" s="191" customFormat="1" x14ac:dyDescent="0.25">
      <c r="A63" s="191" t="s">
        <v>45</v>
      </c>
      <c r="B63" s="188">
        <v>1340866351</v>
      </c>
      <c r="C63" s="188">
        <v>1287125895</v>
      </c>
      <c r="D63" s="188">
        <v>894221715</v>
      </c>
      <c r="E63" s="188">
        <v>563302910</v>
      </c>
      <c r="F63" s="188">
        <v>491907958</v>
      </c>
      <c r="G63" s="188">
        <v>468876003</v>
      </c>
      <c r="H63" s="188">
        <v>458229763</v>
      </c>
      <c r="I63" s="188">
        <v>448625054</v>
      </c>
      <c r="J63" s="188">
        <v>459784649</v>
      </c>
      <c r="K63" s="188">
        <v>450354946</v>
      </c>
      <c r="L63" s="188">
        <v>435770545</v>
      </c>
      <c r="M63" s="188">
        <v>435880215</v>
      </c>
      <c r="N63" s="188">
        <v>366888091</v>
      </c>
      <c r="O63" s="188">
        <v>366199375</v>
      </c>
      <c r="P63" s="188">
        <v>355680030</v>
      </c>
      <c r="Q63" s="188">
        <v>347949970</v>
      </c>
      <c r="R63" s="188">
        <v>384089651</v>
      </c>
      <c r="S63" s="188">
        <v>385845850</v>
      </c>
      <c r="T63" s="188">
        <v>380329143</v>
      </c>
      <c r="U63" s="188">
        <v>382048433</v>
      </c>
      <c r="V63" s="188">
        <v>383764976</v>
      </c>
      <c r="W63" s="188">
        <v>385482681</v>
      </c>
      <c r="X63" s="188">
        <v>376438313</v>
      </c>
      <c r="Y63" s="188">
        <v>388933221</v>
      </c>
      <c r="Z63" s="188">
        <v>403693315</v>
      </c>
      <c r="AA63" s="188">
        <v>410958274</v>
      </c>
      <c r="AB63" s="188">
        <v>412745804</v>
      </c>
      <c r="AC63" s="188">
        <v>414561354</v>
      </c>
      <c r="AD63" s="188">
        <v>286965139</v>
      </c>
      <c r="AE63" s="188">
        <v>289241954</v>
      </c>
      <c r="AF63" s="188">
        <v>292827802</v>
      </c>
      <c r="AG63" s="188">
        <v>294904213</v>
      </c>
      <c r="AH63" s="188">
        <v>283363440</v>
      </c>
      <c r="AI63" s="188">
        <v>256312608</v>
      </c>
      <c r="AJ63" s="188">
        <v>257891606</v>
      </c>
      <c r="AK63" s="188">
        <v>260133072</v>
      </c>
      <c r="AL63" s="188">
        <v>0</v>
      </c>
      <c r="AM63" s="188">
        <v>0</v>
      </c>
      <c r="AN63" s="188">
        <v>0</v>
      </c>
      <c r="AO63" s="188">
        <v>0</v>
      </c>
      <c r="AP63" s="188">
        <v>19079887</v>
      </c>
      <c r="AQ63" s="188">
        <v>19164742</v>
      </c>
      <c r="AR63" s="188">
        <v>19248611</v>
      </c>
      <c r="AS63" s="188">
        <v>19333205</v>
      </c>
      <c r="AT63" s="188">
        <v>90793</v>
      </c>
      <c r="AU63" s="188">
        <v>98632</v>
      </c>
      <c r="AV63" s="188">
        <v>98632</v>
      </c>
      <c r="AW63" s="188">
        <v>28274</v>
      </c>
      <c r="AX63" s="188">
        <v>0</v>
      </c>
      <c r="AY63" s="188">
        <v>0</v>
      </c>
      <c r="AZ63" s="188">
        <v>0</v>
      </c>
      <c r="BA63" s="188">
        <v>588750</v>
      </c>
      <c r="BB63" s="188">
        <v>0</v>
      </c>
      <c r="BC63" s="188">
        <v>0</v>
      </c>
      <c r="BD63" s="188">
        <v>0</v>
      </c>
      <c r="BE63" s="188">
        <v>15330</v>
      </c>
      <c r="BF63" s="188">
        <v>5454291.0800000001</v>
      </c>
      <c r="BG63" s="188">
        <v>8047374.7999999998</v>
      </c>
      <c r="BH63" s="188">
        <v>0</v>
      </c>
      <c r="BI63" s="188">
        <v>8383485</v>
      </c>
      <c r="BJ63" s="188">
        <v>0</v>
      </c>
      <c r="BK63" s="188">
        <v>0</v>
      </c>
      <c r="BL63" s="188">
        <v>0</v>
      </c>
      <c r="BM63" s="188">
        <v>9523166</v>
      </c>
      <c r="BN63" s="188">
        <v>0</v>
      </c>
      <c r="BO63" s="188">
        <v>0</v>
      </c>
      <c r="BP63" s="188">
        <v>0</v>
      </c>
      <c r="BQ63" s="188">
        <v>0</v>
      </c>
      <c r="BR63" s="188">
        <v>0</v>
      </c>
      <c r="BS63" s="188">
        <v>0</v>
      </c>
      <c r="BT63" s="188">
        <v>0</v>
      </c>
      <c r="BU63" s="188">
        <v>0</v>
      </c>
      <c r="BV63" s="188">
        <v>0</v>
      </c>
      <c r="BW63" s="188">
        <v>0</v>
      </c>
      <c r="BX63" s="188">
        <v>0</v>
      </c>
      <c r="BY63" s="188">
        <v>0</v>
      </c>
      <c r="BZ63" s="188">
        <v>0</v>
      </c>
      <c r="CA63" s="188">
        <v>0</v>
      </c>
      <c r="CB63" s="188">
        <v>0</v>
      </c>
      <c r="CC63" s="188">
        <v>0</v>
      </c>
      <c r="CD63" s="188">
        <v>0</v>
      </c>
      <c r="CE63" s="188"/>
      <c r="CF63" s="188"/>
      <c r="CG63" s="188"/>
      <c r="CH63" s="188"/>
      <c r="CI63" s="188"/>
      <c r="CJ63" s="188"/>
      <c r="CK63" s="188"/>
      <c r="CL63" s="188"/>
    </row>
    <row r="64" spans="1:90" s="191" customFormat="1" x14ac:dyDescent="0.25">
      <c r="A64" s="191" t="s">
        <v>46</v>
      </c>
      <c r="B64" s="188">
        <v>3897426405</v>
      </c>
      <c r="C64" s="188">
        <v>5120544726</v>
      </c>
      <c r="D64" s="188">
        <v>3720989778</v>
      </c>
      <c r="E64" s="188">
        <v>4189767254</v>
      </c>
      <c r="F64" s="188">
        <v>4239648806</v>
      </c>
      <c r="G64" s="188">
        <v>4182875839</v>
      </c>
      <c r="H64" s="188">
        <v>3915640134</v>
      </c>
      <c r="I64" s="188">
        <v>4139533216</v>
      </c>
      <c r="J64" s="188">
        <v>5730110656</v>
      </c>
      <c r="K64" s="188">
        <v>1657718861</v>
      </c>
      <c r="L64" s="188">
        <v>1629020444</v>
      </c>
      <c r="M64" s="188">
        <v>347851674</v>
      </c>
      <c r="N64" s="188">
        <v>523999669</v>
      </c>
      <c r="O64" s="188">
        <v>768400273</v>
      </c>
      <c r="P64" s="188">
        <v>1370358463</v>
      </c>
      <c r="Q64" s="188">
        <v>1420564369</v>
      </c>
      <c r="R64" s="188">
        <v>849263222</v>
      </c>
      <c r="S64" s="188">
        <v>854146159</v>
      </c>
      <c r="T64" s="188">
        <v>663597879</v>
      </c>
      <c r="U64" s="188">
        <v>1214223099</v>
      </c>
      <c r="V64" s="188">
        <v>1121001901</v>
      </c>
      <c r="W64" s="188">
        <v>1206765475</v>
      </c>
      <c r="X64" s="188">
        <v>449317988</v>
      </c>
      <c r="Y64" s="188">
        <v>229388552</v>
      </c>
      <c r="Z64" s="188">
        <v>161914650</v>
      </c>
      <c r="AA64" s="188">
        <v>248702690</v>
      </c>
      <c r="AB64" s="188">
        <v>72568650</v>
      </c>
      <c r="AC64" s="188">
        <v>70681149</v>
      </c>
      <c r="AD64" s="188">
        <v>210638514</v>
      </c>
      <c r="AE64" s="188">
        <v>315650410</v>
      </c>
      <c r="AF64" s="188">
        <v>114284005</v>
      </c>
      <c r="AG64" s="188">
        <v>173769132</v>
      </c>
      <c r="AH64" s="188">
        <v>1714990388</v>
      </c>
      <c r="AI64" s="188">
        <v>1765624331</v>
      </c>
      <c r="AJ64" s="188">
        <v>1193433054</v>
      </c>
      <c r="AK64" s="188">
        <v>561193734</v>
      </c>
      <c r="AL64" s="188">
        <v>0</v>
      </c>
      <c r="AM64" s="188">
        <v>0</v>
      </c>
      <c r="AN64" s="188">
        <v>0</v>
      </c>
      <c r="AO64" s="188">
        <v>0</v>
      </c>
      <c r="AP64" s="188">
        <v>0</v>
      </c>
      <c r="AQ64" s="188">
        <v>0</v>
      </c>
      <c r="AR64" s="188">
        <v>0</v>
      </c>
      <c r="AS64" s="188">
        <v>0</v>
      </c>
      <c r="AT64" s="188">
        <v>1127000</v>
      </c>
      <c r="AU64" s="188">
        <v>1462198</v>
      </c>
      <c r="AV64" s="188">
        <v>1516122</v>
      </c>
      <c r="AW64" s="188">
        <v>1021848</v>
      </c>
      <c r="AX64" s="188">
        <v>0</v>
      </c>
      <c r="AY64" s="188">
        <v>37882652</v>
      </c>
      <c r="AZ64" s="188">
        <v>65156526</v>
      </c>
      <c r="BA64" s="188">
        <v>55917085</v>
      </c>
      <c r="BB64" s="188">
        <v>36461679</v>
      </c>
      <c r="BC64" s="188">
        <v>59311389</v>
      </c>
      <c r="BD64" s="188">
        <v>57908964</v>
      </c>
      <c r="BE64" s="188">
        <v>55645628</v>
      </c>
      <c r="BF64" s="188">
        <v>86078260.450000003</v>
      </c>
      <c r="BG64" s="188">
        <v>100041760.19</v>
      </c>
      <c r="BH64" s="188">
        <v>25413529.010000002</v>
      </c>
      <c r="BI64" s="188">
        <v>88772649</v>
      </c>
      <c r="BJ64" s="188">
        <v>0</v>
      </c>
      <c r="BK64" s="188">
        <v>0</v>
      </c>
      <c r="BL64" s="188">
        <v>0</v>
      </c>
      <c r="BM64" s="188">
        <v>2463050</v>
      </c>
      <c r="BN64" s="188">
        <v>0</v>
      </c>
      <c r="BO64" s="188">
        <v>0</v>
      </c>
      <c r="BP64" s="188">
        <v>0</v>
      </c>
      <c r="BQ64" s="188">
        <v>0</v>
      </c>
      <c r="BR64" s="188">
        <v>0</v>
      </c>
      <c r="BS64" s="188">
        <v>0</v>
      </c>
      <c r="BT64" s="188">
        <v>0</v>
      </c>
      <c r="BU64" s="188">
        <v>0</v>
      </c>
      <c r="BV64" s="188">
        <v>10129749.539999999</v>
      </c>
      <c r="BW64" s="188">
        <v>0</v>
      </c>
      <c r="BX64" s="188">
        <v>0</v>
      </c>
      <c r="BY64" s="188">
        <v>0</v>
      </c>
      <c r="BZ64" s="188">
        <v>0</v>
      </c>
      <c r="CA64" s="188">
        <v>0</v>
      </c>
      <c r="CB64" s="188">
        <v>0</v>
      </c>
      <c r="CC64" s="188">
        <v>0</v>
      </c>
      <c r="CD64" s="188">
        <v>0</v>
      </c>
      <c r="CE64" s="188"/>
      <c r="CF64" s="188"/>
      <c r="CG64" s="188"/>
      <c r="CH64" s="188"/>
      <c r="CI64" s="188"/>
      <c r="CJ64" s="188"/>
      <c r="CK64" s="188"/>
      <c r="CL64" s="188"/>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4" t="s">
        <v>47</v>
      </c>
      <c r="B68" s="36">
        <f>SUM(B52:B64)-2*B63</f>
        <v>183128711885</v>
      </c>
      <c r="C68" s="36">
        <f t="shared" ref="C68:BN68" si="8">SUM(C52:C64)-2*C63</f>
        <v>169607824877</v>
      </c>
      <c r="D68" s="36">
        <f t="shared" si="8"/>
        <v>155848756096</v>
      </c>
      <c r="E68" s="36">
        <f t="shared" si="8"/>
        <v>146679724614</v>
      </c>
      <c r="F68" s="36">
        <f t="shared" si="8"/>
        <v>137976704853</v>
      </c>
      <c r="G68" s="36">
        <f t="shared" si="8"/>
        <v>130448003375</v>
      </c>
      <c r="H68" s="36">
        <f t="shared" si="8"/>
        <v>120839365118</v>
      </c>
      <c r="I68" s="36">
        <f t="shared" si="8"/>
        <v>110473010716</v>
      </c>
      <c r="J68" s="36">
        <f t="shared" si="8"/>
        <v>95901608120</v>
      </c>
      <c r="K68" s="36">
        <f t="shared" si="8"/>
        <v>87932979817</v>
      </c>
      <c r="L68" s="36">
        <f t="shared" si="8"/>
        <v>86697175233</v>
      </c>
      <c r="M68" s="36">
        <f t="shared" si="8"/>
        <v>85458366932</v>
      </c>
      <c r="N68" s="36">
        <f t="shared" si="8"/>
        <v>84105203454</v>
      </c>
      <c r="O68" s="36">
        <f t="shared" si="8"/>
        <v>79875880193</v>
      </c>
      <c r="P68" s="36">
        <f t="shared" si="8"/>
        <v>77320282634</v>
      </c>
      <c r="Q68" s="36">
        <f t="shared" si="8"/>
        <v>74992429519</v>
      </c>
      <c r="R68" s="36">
        <f t="shared" si="8"/>
        <v>69118948207</v>
      </c>
      <c r="S68" s="36">
        <f t="shared" si="8"/>
        <v>67544485708</v>
      </c>
      <c r="T68" s="36">
        <f t="shared" si="8"/>
        <v>60916023168</v>
      </c>
      <c r="U68" s="36">
        <f t="shared" si="8"/>
        <v>57981532910</v>
      </c>
      <c r="V68" s="36">
        <f t="shared" si="8"/>
        <v>53258803705</v>
      </c>
      <c r="W68" s="36">
        <f t="shared" si="8"/>
        <v>46225691683</v>
      </c>
      <c r="X68" s="36">
        <f t="shared" si="8"/>
        <v>38195374888</v>
      </c>
      <c r="Y68" s="36">
        <f t="shared" si="8"/>
        <v>38487710185</v>
      </c>
      <c r="Z68" s="36">
        <f t="shared" si="8"/>
        <v>38125004205</v>
      </c>
      <c r="AA68" s="36">
        <f t="shared" si="8"/>
        <v>38104895180</v>
      </c>
      <c r="AB68" s="36">
        <f t="shared" si="8"/>
        <v>37440366054</v>
      </c>
      <c r="AC68" s="36">
        <f t="shared" si="8"/>
        <v>38034829313</v>
      </c>
      <c r="AD68" s="36">
        <f t="shared" si="8"/>
        <v>37346195141</v>
      </c>
      <c r="AE68" s="36">
        <f t="shared" si="8"/>
        <v>34166914885</v>
      </c>
      <c r="AF68" s="36">
        <f t="shared" si="8"/>
        <v>29193714708</v>
      </c>
      <c r="AG68" s="36">
        <f t="shared" si="8"/>
        <v>24497925689</v>
      </c>
      <c r="AH68" s="36">
        <f t="shared" si="8"/>
        <v>20403915577</v>
      </c>
      <c r="AI68" s="36">
        <f t="shared" si="8"/>
        <v>16158360765</v>
      </c>
      <c r="AJ68" s="36">
        <f t="shared" si="8"/>
        <v>11184114018</v>
      </c>
      <c r="AK68" s="36">
        <f t="shared" si="8"/>
        <v>10288393663</v>
      </c>
      <c r="AL68" s="36">
        <f t="shared" si="8"/>
        <v>9122791290</v>
      </c>
      <c r="AM68" s="36">
        <f t="shared" si="8"/>
        <v>8955106133</v>
      </c>
      <c r="AN68" s="36">
        <f t="shared" si="8"/>
        <v>8087417124</v>
      </c>
      <c r="AO68" s="36">
        <f t="shared" si="8"/>
        <v>7770331746</v>
      </c>
      <c r="AP68" s="36">
        <f t="shared" si="8"/>
        <v>7866646211</v>
      </c>
      <c r="AQ68" s="36">
        <f t="shared" si="8"/>
        <v>7959518571</v>
      </c>
      <c r="AR68" s="36">
        <f t="shared" si="8"/>
        <v>7681871276</v>
      </c>
      <c r="AS68" s="36">
        <f t="shared" si="8"/>
        <v>7800289601</v>
      </c>
      <c r="AT68" s="36">
        <f t="shared" si="8"/>
        <v>8006731260</v>
      </c>
      <c r="AU68" s="36">
        <f t="shared" si="8"/>
        <v>8245769525</v>
      </c>
      <c r="AV68" s="36">
        <f t="shared" si="8"/>
        <v>8467882033</v>
      </c>
      <c r="AW68" s="36">
        <f t="shared" si="8"/>
        <v>8907946998</v>
      </c>
      <c r="AX68" s="36">
        <f t="shared" si="8"/>
        <v>9151027298</v>
      </c>
      <c r="AY68" s="36">
        <f t="shared" si="8"/>
        <v>11474742128</v>
      </c>
      <c r="AZ68" s="36">
        <f t="shared" si="8"/>
        <v>11770283302</v>
      </c>
      <c r="BA68" s="36">
        <f t="shared" si="8"/>
        <v>12001367056</v>
      </c>
      <c r="BB68" s="36">
        <f t="shared" si="8"/>
        <v>12372132871</v>
      </c>
      <c r="BC68" s="36">
        <f t="shared" si="8"/>
        <v>12642632548</v>
      </c>
      <c r="BD68" s="36">
        <f t="shared" si="8"/>
        <v>11126441261</v>
      </c>
      <c r="BE68" s="36">
        <f t="shared" si="8"/>
        <v>10356100962</v>
      </c>
      <c r="BF68" s="36">
        <f t="shared" si="8"/>
        <v>6201424898.4899998</v>
      </c>
      <c r="BG68" s="36">
        <f t="shared" si="8"/>
        <v>4628504563.2200003</v>
      </c>
      <c r="BH68" s="36">
        <f t="shared" si="8"/>
        <v>4579161833.5300007</v>
      </c>
      <c r="BI68" s="36">
        <f t="shared" si="8"/>
        <v>4416176342</v>
      </c>
      <c r="BJ68" s="36">
        <f t="shared" si="8"/>
        <v>4515727065.2600002</v>
      </c>
      <c r="BK68" s="36">
        <f t="shared" si="8"/>
        <v>4513840245.3599997</v>
      </c>
      <c r="BL68" s="36">
        <f t="shared" si="8"/>
        <v>4396993052.4499998</v>
      </c>
      <c r="BM68" s="36">
        <f t="shared" si="8"/>
        <v>1503327495</v>
      </c>
      <c r="BN68" s="36">
        <f t="shared" si="8"/>
        <v>1359360295.8500001</v>
      </c>
      <c r="BO68" s="36">
        <f t="shared" ref="BO68:CK68" si="9">SUM(BO52:BO64)-2*BO63</f>
        <v>1294931808.1299999</v>
      </c>
      <c r="BP68" s="36">
        <f t="shared" si="9"/>
        <v>1267707219.52</v>
      </c>
      <c r="BQ68" s="36">
        <f t="shared" si="9"/>
        <v>956966922</v>
      </c>
      <c r="BR68" s="36">
        <f t="shared" si="9"/>
        <v>729791801.98999989</v>
      </c>
      <c r="BS68" s="36">
        <f t="shared" si="9"/>
        <v>625148218</v>
      </c>
      <c r="BT68" s="36">
        <f t="shared" si="9"/>
        <v>572513866</v>
      </c>
      <c r="BU68" s="36">
        <f t="shared" si="9"/>
        <v>478710395</v>
      </c>
      <c r="BV68" s="36">
        <f t="shared" si="9"/>
        <v>464193311.31</v>
      </c>
      <c r="BW68" s="36">
        <f t="shared" si="9"/>
        <v>411909000</v>
      </c>
      <c r="BX68" s="36">
        <f t="shared" si="9"/>
        <v>175516846.34999999</v>
      </c>
      <c r="BY68" s="36">
        <f t="shared" si="9"/>
        <v>174244000</v>
      </c>
      <c r="BZ68" s="36">
        <f t="shared" si="9"/>
        <v>175413000</v>
      </c>
      <c r="CA68" s="36">
        <f t="shared" si="9"/>
        <v>168430000</v>
      </c>
      <c r="CB68" s="36">
        <f t="shared" si="9"/>
        <v>178694000</v>
      </c>
      <c r="CC68" s="36">
        <f t="shared" si="9"/>
        <v>182330000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5" t="s">
        <v>48</v>
      </c>
      <c r="B69" s="33">
        <f>B50+B68</f>
        <v>196914133713</v>
      </c>
      <c r="C69" s="33">
        <f t="shared" ref="C69:BN69" si="10">C50+C68</f>
        <v>171006107900</v>
      </c>
      <c r="D69" s="33">
        <f t="shared" si="10"/>
        <v>153441651237</v>
      </c>
      <c r="E69" s="33">
        <f t="shared" si="10"/>
        <v>150460663012</v>
      </c>
      <c r="F69" s="33">
        <f t="shared" si="10"/>
        <v>144117825752</v>
      </c>
      <c r="G69" s="33">
        <f t="shared" si="10"/>
        <v>133077741873</v>
      </c>
      <c r="H69" s="33">
        <f t="shared" si="10"/>
        <v>122525192806</v>
      </c>
      <c r="I69" s="33">
        <f t="shared" si="10"/>
        <v>108590223694</v>
      </c>
      <c r="J69" s="33">
        <f t="shared" si="10"/>
        <v>100099049243</v>
      </c>
      <c r="K69" s="33">
        <f t="shared" si="10"/>
        <v>98024551450</v>
      </c>
      <c r="L69" s="33">
        <f t="shared" si="10"/>
        <v>88583178766</v>
      </c>
      <c r="M69" s="33">
        <f t="shared" si="10"/>
        <v>86609784850</v>
      </c>
      <c r="N69" s="33">
        <f t="shared" si="10"/>
        <v>87199803584</v>
      </c>
      <c r="O69" s="33">
        <f t="shared" si="10"/>
        <v>83621944464</v>
      </c>
      <c r="P69" s="33">
        <f t="shared" si="10"/>
        <v>78387666603</v>
      </c>
      <c r="Q69" s="33">
        <f t="shared" si="10"/>
        <v>74212531258</v>
      </c>
      <c r="R69" s="33">
        <f t="shared" si="10"/>
        <v>69972787639</v>
      </c>
      <c r="S69" s="33">
        <f t="shared" si="10"/>
        <v>65951197827</v>
      </c>
      <c r="T69" s="33">
        <f t="shared" si="10"/>
        <v>59052763397</v>
      </c>
      <c r="U69" s="33">
        <f t="shared" si="10"/>
        <v>55615762312</v>
      </c>
      <c r="V69" s="33">
        <f t="shared" si="10"/>
        <v>52537032265</v>
      </c>
      <c r="W69" s="33">
        <f t="shared" si="10"/>
        <v>44254187572</v>
      </c>
      <c r="X69" s="33">
        <f t="shared" si="10"/>
        <v>39408027654</v>
      </c>
      <c r="Y69" s="33">
        <f t="shared" si="10"/>
        <v>39039344128</v>
      </c>
      <c r="Z69" s="33">
        <f t="shared" si="10"/>
        <v>41395455020</v>
      </c>
      <c r="AA69" s="33">
        <f t="shared" si="10"/>
        <v>39871522374</v>
      </c>
      <c r="AB69" s="33">
        <f t="shared" si="10"/>
        <v>39275546564</v>
      </c>
      <c r="AC69" s="33">
        <f t="shared" si="10"/>
        <v>36914849621</v>
      </c>
      <c r="AD69" s="33">
        <f t="shared" si="10"/>
        <v>35963203241</v>
      </c>
      <c r="AE69" s="33">
        <f t="shared" si="10"/>
        <v>32124304440</v>
      </c>
      <c r="AF69" s="33">
        <f t="shared" si="10"/>
        <v>27791581675</v>
      </c>
      <c r="AG69" s="33">
        <f t="shared" si="10"/>
        <v>22393006424</v>
      </c>
      <c r="AH69" s="33">
        <f t="shared" si="10"/>
        <v>20229547751</v>
      </c>
      <c r="AI69" s="33">
        <f t="shared" si="10"/>
        <v>16346371978</v>
      </c>
      <c r="AJ69" s="33">
        <f t="shared" si="10"/>
        <v>11580471048</v>
      </c>
      <c r="AK69" s="33">
        <f t="shared" si="10"/>
        <v>10381509935</v>
      </c>
      <c r="AL69" s="33">
        <f t="shared" si="10"/>
        <v>9729485823</v>
      </c>
      <c r="AM69" s="33">
        <f t="shared" si="10"/>
        <v>9304738280</v>
      </c>
      <c r="AN69" s="33">
        <f t="shared" si="10"/>
        <v>8162081368</v>
      </c>
      <c r="AO69" s="33">
        <f t="shared" si="10"/>
        <v>7784133222</v>
      </c>
      <c r="AP69" s="33">
        <f t="shared" si="10"/>
        <v>8327828039</v>
      </c>
      <c r="AQ69" s="33">
        <f t="shared" si="10"/>
        <v>8785077976</v>
      </c>
      <c r="AR69" s="33">
        <f t="shared" si="10"/>
        <v>8479978575</v>
      </c>
      <c r="AS69" s="33">
        <f t="shared" si="10"/>
        <v>8608311883</v>
      </c>
      <c r="AT69" s="33">
        <f t="shared" si="10"/>
        <v>7430133751</v>
      </c>
      <c r="AU69" s="33">
        <f t="shared" si="10"/>
        <v>7716816783</v>
      </c>
      <c r="AV69" s="33">
        <f t="shared" si="10"/>
        <v>8901392166</v>
      </c>
      <c r="AW69" s="33">
        <f t="shared" si="10"/>
        <v>9382845167</v>
      </c>
      <c r="AX69" s="33">
        <f t="shared" si="10"/>
        <v>9359685619</v>
      </c>
      <c r="AY69" s="33">
        <f t="shared" si="10"/>
        <v>12436584593</v>
      </c>
      <c r="AZ69" s="33">
        <f t="shared" si="10"/>
        <v>13508588072</v>
      </c>
      <c r="BA69" s="33">
        <f t="shared" si="10"/>
        <v>13559196447</v>
      </c>
      <c r="BB69" s="33">
        <f t="shared" si="10"/>
        <v>13865273637</v>
      </c>
      <c r="BC69" s="33">
        <f t="shared" si="10"/>
        <v>13442608309</v>
      </c>
      <c r="BD69" s="33">
        <f t="shared" si="10"/>
        <v>11492343282</v>
      </c>
      <c r="BE69" s="33">
        <f t="shared" si="10"/>
        <v>10760410397</v>
      </c>
      <c r="BF69" s="33">
        <f t="shared" si="10"/>
        <v>8294172785.2799997</v>
      </c>
      <c r="BG69" s="33">
        <f t="shared" si="10"/>
        <v>6458299787.2600002</v>
      </c>
      <c r="BH69" s="33">
        <f t="shared" si="10"/>
        <v>5815877477.8600006</v>
      </c>
      <c r="BI69" s="33">
        <f t="shared" si="10"/>
        <v>5699468384</v>
      </c>
      <c r="BJ69" s="33">
        <f t="shared" si="10"/>
        <v>5566723889.54</v>
      </c>
      <c r="BK69" s="33">
        <f t="shared" si="10"/>
        <v>5554879817.2099991</v>
      </c>
      <c r="BL69" s="33">
        <f t="shared" si="10"/>
        <v>4941033424.2199993</v>
      </c>
      <c r="BM69" s="33">
        <f t="shared" si="10"/>
        <v>2200556547</v>
      </c>
      <c r="BN69" s="33">
        <f t="shared" si="10"/>
        <v>2018940035.7400005</v>
      </c>
      <c r="BO69" s="33">
        <f t="shared" ref="BO69:CL69" si="11">BO50+BO68</f>
        <v>2034077642.79</v>
      </c>
      <c r="BP69" s="33">
        <f t="shared" si="11"/>
        <v>1658416637.8100002</v>
      </c>
      <c r="BQ69" s="33">
        <f t="shared" si="11"/>
        <v>1336764135</v>
      </c>
      <c r="BR69" s="33">
        <f t="shared" si="11"/>
        <v>1180743765.9499998</v>
      </c>
      <c r="BS69" s="33">
        <f t="shared" si="11"/>
        <v>1200562124</v>
      </c>
      <c r="BT69" s="33">
        <f t="shared" si="11"/>
        <v>943661329</v>
      </c>
      <c r="BU69" s="33">
        <f t="shared" si="11"/>
        <v>739124857</v>
      </c>
      <c r="BV69" s="33">
        <f t="shared" si="11"/>
        <v>527296663.41000003</v>
      </c>
      <c r="BW69" s="33">
        <f t="shared" si="11"/>
        <v>449802000</v>
      </c>
      <c r="BX69" s="33">
        <f t="shared" si="11"/>
        <v>231658883.96000001</v>
      </c>
      <c r="BY69" s="33">
        <f t="shared" si="11"/>
        <v>174333000</v>
      </c>
      <c r="BZ69" s="33">
        <f t="shared" si="11"/>
        <v>175413000</v>
      </c>
      <c r="CA69" s="33">
        <f t="shared" si="11"/>
        <v>252213000</v>
      </c>
      <c r="CB69" s="33">
        <f t="shared" si="11"/>
        <v>246318000</v>
      </c>
      <c r="CC69" s="33">
        <f t="shared" si="11"/>
        <v>243203000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6" t="s">
        <v>49</v>
      </c>
      <c r="B70" s="37">
        <f>B17+B19+B69</f>
        <v>256073007740</v>
      </c>
      <c r="C70" s="37">
        <f t="shared" ref="C70:BN70" si="12">C17+C19+C69</f>
        <v>227219897341</v>
      </c>
      <c r="D70" s="37">
        <f t="shared" si="12"/>
        <v>217387731431</v>
      </c>
      <c r="E70" s="37">
        <f t="shared" si="12"/>
        <v>216764367123</v>
      </c>
      <c r="F70" s="37">
        <f t="shared" si="12"/>
        <v>202213156586</v>
      </c>
      <c r="G70" s="37">
        <f t="shared" si="12"/>
        <v>187947626136</v>
      </c>
      <c r="H70" s="37">
        <f t="shared" si="12"/>
        <v>177836368844</v>
      </c>
      <c r="I70" s="37">
        <f t="shared" si="12"/>
        <v>170039729337</v>
      </c>
      <c r="J70" s="37">
        <f t="shared" si="12"/>
        <v>144920400960</v>
      </c>
      <c r="K70" s="37">
        <f t="shared" si="12"/>
        <v>146051555915</v>
      </c>
      <c r="L70" s="37">
        <f t="shared" si="12"/>
        <v>139791571743</v>
      </c>
      <c r="M70" s="37">
        <f t="shared" si="12"/>
        <v>128612663596</v>
      </c>
      <c r="N70" s="37">
        <f t="shared" si="12"/>
        <v>124539054703</v>
      </c>
      <c r="O70" s="37">
        <f t="shared" si="12"/>
        <v>121419983616</v>
      </c>
      <c r="P70" s="37">
        <f t="shared" si="12"/>
        <v>117525031231</v>
      </c>
      <c r="Q70" s="37">
        <f t="shared" si="12"/>
        <v>116874981695</v>
      </c>
      <c r="R70" s="37">
        <f t="shared" si="12"/>
        <v>113499242270</v>
      </c>
      <c r="S70" s="37">
        <f t="shared" si="12"/>
        <v>113247788855</v>
      </c>
      <c r="T70" s="37">
        <f t="shared" si="12"/>
        <v>112149471706</v>
      </c>
      <c r="U70" s="37">
        <f t="shared" si="12"/>
        <v>78718131869</v>
      </c>
      <c r="V70" s="37">
        <f t="shared" si="12"/>
        <v>78386032025</v>
      </c>
      <c r="W70" s="37">
        <f t="shared" si="12"/>
        <v>75278272596</v>
      </c>
      <c r="X70" s="37">
        <f t="shared" si="12"/>
        <v>58363970027</v>
      </c>
      <c r="Y70" s="37">
        <f t="shared" si="12"/>
        <v>56679617756</v>
      </c>
      <c r="Z70" s="37">
        <f t="shared" si="12"/>
        <v>57824113859</v>
      </c>
      <c r="AA70" s="37">
        <f t="shared" si="12"/>
        <v>57845898308</v>
      </c>
      <c r="AB70" s="37">
        <f t="shared" si="12"/>
        <v>57653343982</v>
      </c>
      <c r="AC70" s="37">
        <f t="shared" si="12"/>
        <v>59720145381</v>
      </c>
      <c r="AD70" s="37">
        <f t="shared" si="12"/>
        <v>57272210859</v>
      </c>
      <c r="AE70" s="37">
        <f t="shared" si="12"/>
        <v>56116570783</v>
      </c>
      <c r="AF70" s="37">
        <f t="shared" si="12"/>
        <v>50306495610</v>
      </c>
      <c r="AG70" s="37">
        <f t="shared" si="12"/>
        <v>48161321855</v>
      </c>
      <c r="AH70" s="37">
        <f t="shared" si="12"/>
        <v>38174207151</v>
      </c>
      <c r="AI70" s="37">
        <f t="shared" si="12"/>
        <v>35192200453</v>
      </c>
      <c r="AJ70" s="37">
        <f t="shared" si="12"/>
        <v>29354669054</v>
      </c>
      <c r="AK70" s="37">
        <f t="shared" si="12"/>
        <v>27706750515</v>
      </c>
      <c r="AL70" s="37">
        <f t="shared" si="12"/>
        <v>23685200020</v>
      </c>
      <c r="AM70" s="37">
        <f t="shared" si="12"/>
        <v>23855486363</v>
      </c>
      <c r="AN70" s="37">
        <f t="shared" si="12"/>
        <v>12812316105</v>
      </c>
      <c r="AO70" s="37">
        <f t="shared" si="12"/>
        <v>12263480470</v>
      </c>
      <c r="AP70" s="37">
        <f t="shared" si="12"/>
        <v>12040153499</v>
      </c>
      <c r="AQ70" s="37">
        <f t="shared" si="12"/>
        <v>11272726060</v>
      </c>
      <c r="AR70" s="37">
        <f t="shared" si="12"/>
        <v>10965108590</v>
      </c>
      <c r="AS70" s="37">
        <f t="shared" si="12"/>
        <v>11211394853</v>
      </c>
      <c r="AT70" s="37">
        <f t="shared" si="12"/>
        <v>11656106284</v>
      </c>
      <c r="AU70" s="37">
        <f t="shared" si="12"/>
        <v>11712514559</v>
      </c>
      <c r="AV70" s="37">
        <f t="shared" si="12"/>
        <v>12945179056</v>
      </c>
      <c r="AW70" s="37">
        <f t="shared" si="12"/>
        <v>14009841220</v>
      </c>
      <c r="AX70" s="37">
        <f t="shared" si="12"/>
        <v>14390186066</v>
      </c>
      <c r="AY70" s="37">
        <f t="shared" si="12"/>
        <v>16527938842</v>
      </c>
      <c r="AZ70" s="37">
        <f t="shared" si="12"/>
        <v>18027943749</v>
      </c>
      <c r="BA70" s="37">
        <f t="shared" si="12"/>
        <v>18245483579</v>
      </c>
      <c r="BB70" s="37">
        <f t="shared" si="12"/>
        <v>19841768142</v>
      </c>
      <c r="BC70" s="37">
        <f t="shared" si="12"/>
        <v>20503781532</v>
      </c>
      <c r="BD70" s="37">
        <f t="shared" si="12"/>
        <v>15456967302</v>
      </c>
      <c r="BE70" s="37">
        <f t="shared" si="12"/>
        <v>14819301448</v>
      </c>
      <c r="BF70" s="37">
        <f t="shared" si="12"/>
        <v>14097266260.259998</v>
      </c>
      <c r="BG70" s="37">
        <f t="shared" si="12"/>
        <v>11317204791.120001</v>
      </c>
      <c r="BH70" s="37">
        <f t="shared" si="12"/>
        <v>11359993965.030001</v>
      </c>
      <c r="BI70" s="37">
        <f t="shared" si="12"/>
        <v>9944539227</v>
      </c>
      <c r="BJ70" s="37">
        <f t="shared" si="12"/>
        <v>8242448616.3500004</v>
      </c>
      <c r="BK70" s="37">
        <f t="shared" si="12"/>
        <v>8229814380.2099991</v>
      </c>
      <c r="BL70" s="37">
        <f t="shared" si="12"/>
        <v>7973451025.0699997</v>
      </c>
      <c r="BM70" s="37">
        <f t="shared" si="12"/>
        <v>5380137695</v>
      </c>
      <c r="BN70" s="37">
        <f t="shared" si="12"/>
        <v>4136206097.1200008</v>
      </c>
      <c r="BO70" s="37">
        <f t="shared" ref="BO70:CL70" si="13">BO17+BO19+BO69</f>
        <v>3897499686.8800001</v>
      </c>
      <c r="BP70" s="37">
        <f t="shared" si="13"/>
        <v>3661917503.1599998</v>
      </c>
      <c r="BQ70" s="37">
        <f t="shared" si="13"/>
        <v>3394302625</v>
      </c>
      <c r="BR70" s="37">
        <f t="shared" si="13"/>
        <v>3292117734.6999998</v>
      </c>
      <c r="BS70" s="37">
        <f t="shared" si="13"/>
        <v>3370312680</v>
      </c>
      <c r="BT70" s="37">
        <f t="shared" si="13"/>
        <v>2165107736</v>
      </c>
      <c r="BU70" s="37">
        <f t="shared" si="13"/>
        <v>1799468331</v>
      </c>
      <c r="BV70" s="37">
        <f t="shared" si="13"/>
        <v>1577064443.01</v>
      </c>
      <c r="BW70" s="37">
        <f t="shared" si="13"/>
        <v>1448451000</v>
      </c>
      <c r="BX70" s="37">
        <f t="shared" si="13"/>
        <v>1239365906.0899999</v>
      </c>
      <c r="BY70" s="37">
        <f t="shared" si="13"/>
        <v>1236480000</v>
      </c>
      <c r="BZ70" s="37">
        <f t="shared" si="13"/>
        <v>699434000</v>
      </c>
      <c r="CA70" s="37">
        <f t="shared" si="13"/>
        <v>798959000</v>
      </c>
      <c r="CB70" s="37">
        <f t="shared" si="13"/>
        <v>696227000</v>
      </c>
      <c r="CC70" s="37">
        <f t="shared" si="13"/>
        <v>591017000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13207400127</v>
      </c>
      <c r="F72" s="28">
        <f t="shared" ref="F72:BQ72" si="14">SUM(F73:F77)</f>
        <v>13328827845</v>
      </c>
      <c r="G72" s="28">
        <f t="shared" si="14"/>
        <v>16389567655</v>
      </c>
      <c r="H72" s="28">
        <f t="shared" si="14"/>
        <v>9116422350</v>
      </c>
      <c r="I72" s="28">
        <f t="shared" si="14"/>
        <v>9277561190</v>
      </c>
      <c r="J72" s="28">
        <f t="shared" si="14"/>
        <v>5497523962</v>
      </c>
      <c r="K72" s="28">
        <f t="shared" si="14"/>
        <v>4695705197</v>
      </c>
      <c r="L72" s="28">
        <f t="shared" si="14"/>
        <v>3208967705</v>
      </c>
      <c r="M72" s="28">
        <f t="shared" si="14"/>
        <v>7723683792</v>
      </c>
      <c r="N72" s="28">
        <f t="shared" si="14"/>
        <v>2863395470</v>
      </c>
      <c r="O72" s="28">
        <f t="shared" si="14"/>
        <v>2887655695</v>
      </c>
      <c r="P72" s="28">
        <f t="shared" si="14"/>
        <v>2364745104</v>
      </c>
      <c r="Q72" s="28">
        <f t="shared" si="14"/>
        <v>2393396564</v>
      </c>
      <c r="R72" s="28">
        <f t="shared" si="14"/>
        <v>2568274339</v>
      </c>
      <c r="S72" s="28">
        <f t="shared" si="14"/>
        <v>3620067869</v>
      </c>
      <c r="T72" s="28">
        <f t="shared" si="14"/>
        <v>2521601000</v>
      </c>
      <c r="U72" s="28">
        <f t="shared" si="14"/>
        <v>12745403014</v>
      </c>
      <c r="V72" s="28">
        <f t="shared" si="14"/>
        <v>13682290812</v>
      </c>
      <c r="W72" s="28">
        <f t="shared" si="14"/>
        <v>10903753972</v>
      </c>
      <c r="X72" s="28">
        <f t="shared" si="14"/>
        <v>2470783348</v>
      </c>
      <c r="Y72" s="28">
        <f t="shared" si="14"/>
        <v>2369766584</v>
      </c>
      <c r="Z72" s="28">
        <f t="shared" si="14"/>
        <v>3558997468</v>
      </c>
      <c r="AA72" s="28">
        <f t="shared" si="14"/>
        <v>4179980854</v>
      </c>
      <c r="AB72" s="28">
        <f t="shared" si="14"/>
        <v>6300199919</v>
      </c>
      <c r="AC72" s="28">
        <f t="shared" si="14"/>
        <v>8314934341</v>
      </c>
      <c r="AD72" s="28">
        <f t="shared" si="14"/>
        <v>10203035250</v>
      </c>
      <c r="AE72" s="28">
        <f t="shared" si="14"/>
        <v>8785153206</v>
      </c>
      <c r="AF72" s="28">
        <f t="shared" si="14"/>
        <v>6257064737</v>
      </c>
      <c r="AG72" s="28">
        <f t="shared" si="14"/>
        <v>5280343336</v>
      </c>
      <c r="AH72" s="28">
        <f t="shared" si="14"/>
        <v>4457754992</v>
      </c>
      <c r="AI72" s="28">
        <f t="shared" si="14"/>
        <v>3372672599</v>
      </c>
      <c r="AJ72" s="28">
        <f t="shared" si="14"/>
        <v>1365612282</v>
      </c>
      <c r="AK72" s="28">
        <f t="shared" si="14"/>
        <v>1107596963</v>
      </c>
      <c r="AL72" s="28">
        <f t="shared" si="14"/>
        <v>1089473313</v>
      </c>
      <c r="AM72" s="28">
        <f t="shared" si="14"/>
        <v>1219226551</v>
      </c>
      <c r="AN72" s="28">
        <f t="shared" si="14"/>
        <v>3168954961</v>
      </c>
      <c r="AO72" s="28">
        <f t="shared" si="14"/>
        <v>2529997350</v>
      </c>
      <c r="AP72" s="28">
        <f t="shared" si="14"/>
        <v>1933654400</v>
      </c>
      <c r="AQ72" s="28">
        <f t="shared" si="14"/>
        <v>2724973547</v>
      </c>
      <c r="AR72" s="28">
        <f t="shared" si="14"/>
        <v>1292088569</v>
      </c>
      <c r="AS72" s="28">
        <f t="shared" si="14"/>
        <v>1141919296</v>
      </c>
      <c r="AT72" s="28">
        <f t="shared" si="14"/>
        <v>1723884508</v>
      </c>
      <c r="AU72" s="28">
        <f t="shared" si="14"/>
        <v>1789467072</v>
      </c>
      <c r="AV72" s="28">
        <f t="shared" si="14"/>
        <v>3549846998</v>
      </c>
      <c r="AW72" s="28">
        <f t="shared" si="14"/>
        <v>4557203894</v>
      </c>
      <c r="AX72" s="28">
        <f t="shared" si="14"/>
        <v>3711411081</v>
      </c>
      <c r="AY72" s="28">
        <f t="shared" si="14"/>
        <v>5376890313</v>
      </c>
      <c r="AZ72" s="28">
        <f t="shared" si="14"/>
        <v>4098486540</v>
      </c>
      <c r="BA72" s="28">
        <f t="shared" si="14"/>
        <v>3762956172</v>
      </c>
      <c r="BB72" s="28">
        <f t="shared" si="14"/>
        <v>3988677867</v>
      </c>
      <c r="BC72" s="28">
        <f t="shared" si="14"/>
        <v>4572812909</v>
      </c>
      <c r="BD72" s="28">
        <f t="shared" si="14"/>
        <v>6140622882</v>
      </c>
      <c r="BE72" s="28">
        <f t="shared" si="14"/>
        <v>5506258673</v>
      </c>
      <c r="BF72" s="28">
        <f t="shared" si="14"/>
        <v>5095153404.7800007</v>
      </c>
      <c r="BG72" s="28">
        <f t="shared" si="14"/>
        <v>3135202651.0599999</v>
      </c>
      <c r="BH72" s="28">
        <f t="shared" si="14"/>
        <v>3298845405.0900002</v>
      </c>
      <c r="BI72" s="28">
        <f t="shared" si="14"/>
        <v>4249482719</v>
      </c>
      <c r="BJ72" s="28">
        <f t="shared" si="14"/>
        <v>2939860161.6700001</v>
      </c>
      <c r="BK72" s="28">
        <f t="shared" si="14"/>
        <v>3004713964.4500003</v>
      </c>
      <c r="BL72" s="28">
        <f t="shared" si="14"/>
        <v>2997775743.3400002</v>
      </c>
      <c r="BM72" s="28">
        <f t="shared" si="14"/>
        <v>2277298941</v>
      </c>
      <c r="BN72" s="28">
        <f t="shared" si="14"/>
        <v>1016986027.6900001</v>
      </c>
      <c r="BO72" s="28">
        <f t="shared" si="14"/>
        <v>873059210.78999996</v>
      </c>
      <c r="BP72" s="28">
        <f t="shared" si="14"/>
        <v>745419299.59000003</v>
      </c>
      <c r="BQ72" s="28">
        <f t="shared" si="14"/>
        <v>705661490</v>
      </c>
      <c r="BR72" s="28">
        <f t="shared" ref="BR72:CL72" si="15">SUM(BR73:BR77)</f>
        <v>587443430</v>
      </c>
      <c r="BS72" s="28">
        <f t="shared" si="15"/>
        <v>793741715</v>
      </c>
      <c r="BT72" s="28">
        <f t="shared" si="15"/>
        <v>548565600</v>
      </c>
      <c r="BU72" s="28">
        <f t="shared" si="15"/>
        <v>357666575</v>
      </c>
      <c r="BV72" s="28">
        <f t="shared" si="15"/>
        <v>317508950</v>
      </c>
      <c r="BW72" s="28">
        <f t="shared" si="15"/>
        <v>226051000</v>
      </c>
      <c r="BX72" s="28">
        <f t="shared" si="15"/>
        <v>132811608.23</v>
      </c>
      <c r="BY72" s="28">
        <f t="shared" si="15"/>
        <v>130982000</v>
      </c>
      <c r="BZ72" s="28">
        <f t="shared" si="15"/>
        <v>0</v>
      </c>
      <c r="CA72" s="28">
        <f t="shared" si="15"/>
        <v>32655000</v>
      </c>
      <c r="CB72" s="28">
        <f t="shared" si="15"/>
        <v>38713000</v>
      </c>
      <c r="CC72" s="28">
        <f t="shared" si="15"/>
        <v>24862000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7" t="s">
        <v>52</v>
      </c>
      <c r="B73" s="188">
        <v>1563009194</v>
      </c>
      <c r="C73" s="188">
        <v>2213431454</v>
      </c>
      <c r="D73" s="188">
        <v>2270115119</v>
      </c>
      <c r="E73" s="188">
        <v>3249736430</v>
      </c>
      <c r="F73" s="188">
        <v>1678999556</v>
      </c>
      <c r="G73" s="188">
        <v>6088832994</v>
      </c>
      <c r="H73" s="188">
        <v>5084318876</v>
      </c>
      <c r="I73" s="188">
        <v>4916965507</v>
      </c>
      <c r="J73" s="188">
        <v>1508353191</v>
      </c>
      <c r="K73" s="188">
        <v>1675552145</v>
      </c>
      <c r="L73" s="188">
        <v>940198511</v>
      </c>
      <c r="M73" s="188">
        <v>5091974830</v>
      </c>
      <c r="N73" s="188">
        <v>1964934982</v>
      </c>
      <c r="O73" s="188">
        <v>1730844677</v>
      </c>
      <c r="P73" s="188">
        <v>1527493068</v>
      </c>
      <c r="Q73" s="188">
        <v>2158988600</v>
      </c>
      <c r="R73" s="188">
        <v>2484744030</v>
      </c>
      <c r="S73" s="188">
        <v>3275833980</v>
      </c>
      <c r="T73" s="188">
        <v>1701873299</v>
      </c>
      <c r="U73" s="188">
        <v>12122769840</v>
      </c>
      <c r="V73" s="188">
        <v>12402326012</v>
      </c>
      <c r="W73" s="188">
        <v>8864136518</v>
      </c>
      <c r="X73" s="188">
        <v>934233842</v>
      </c>
      <c r="Y73" s="188">
        <v>727267475</v>
      </c>
      <c r="Z73" s="188">
        <v>2293028459</v>
      </c>
      <c r="AA73" s="188">
        <v>2224836847</v>
      </c>
      <c r="AB73" s="188">
        <v>4896218228</v>
      </c>
      <c r="AC73" s="188">
        <v>6487193510</v>
      </c>
      <c r="AD73" s="188">
        <v>9134478561</v>
      </c>
      <c r="AE73" s="188">
        <v>7714268170</v>
      </c>
      <c r="AF73" s="188">
        <v>5740195094</v>
      </c>
      <c r="AG73" s="188">
        <v>4964412066</v>
      </c>
      <c r="AH73" s="188">
        <v>4158878078</v>
      </c>
      <c r="AI73" s="188">
        <v>3097795263</v>
      </c>
      <c r="AJ73" s="188">
        <v>1085689078</v>
      </c>
      <c r="AK73" s="188">
        <v>855912704</v>
      </c>
      <c r="AL73" s="188">
        <v>601327168</v>
      </c>
      <c r="AM73" s="188">
        <v>673534032</v>
      </c>
      <c r="AN73" s="188">
        <v>1127810634</v>
      </c>
      <c r="AO73" s="188">
        <v>509073028</v>
      </c>
      <c r="AP73" s="188">
        <v>500585480</v>
      </c>
      <c r="AQ73" s="188">
        <v>699470657</v>
      </c>
      <c r="AR73" s="188">
        <v>578115951</v>
      </c>
      <c r="AS73" s="188">
        <v>428011512</v>
      </c>
      <c r="AT73" s="188">
        <v>471092170</v>
      </c>
      <c r="AU73" s="188">
        <v>493199199</v>
      </c>
      <c r="AV73" s="188">
        <v>1435381588</v>
      </c>
      <c r="AW73" s="188">
        <v>2446176689</v>
      </c>
      <c r="AX73" s="188">
        <v>2771535118</v>
      </c>
      <c r="AY73" s="188">
        <v>3147203931</v>
      </c>
      <c r="AZ73" s="188">
        <v>3317919730</v>
      </c>
      <c r="BA73" s="188">
        <v>3268593622</v>
      </c>
      <c r="BB73" s="188">
        <v>3852467867</v>
      </c>
      <c r="BC73" s="188">
        <v>3909608657</v>
      </c>
      <c r="BD73" s="188">
        <v>5864337349</v>
      </c>
      <c r="BE73" s="188">
        <v>5221173140</v>
      </c>
      <c r="BF73" s="188">
        <v>4978202425.3900003</v>
      </c>
      <c r="BG73" s="188">
        <v>3014588261.8099999</v>
      </c>
      <c r="BH73" s="188">
        <v>3159999631.3299999</v>
      </c>
      <c r="BI73" s="188">
        <v>4129697516</v>
      </c>
      <c r="BJ73" s="188">
        <v>2832333226.2800002</v>
      </c>
      <c r="BK73" s="188">
        <v>2899434141.1700001</v>
      </c>
      <c r="BL73" s="188">
        <v>2910685326.8099999</v>
      </c>
      <c r="BM73" s="188">
        <v>2184494036</v>
      </c>
      <c r="BN73" s="188">
        <v>993986027.69000006</v>
      </c>
      <c r="BO73" s="188">
        <v>858859210.78999996</v>
      </c>
      <c r="BP73" s="188">
        <v>721719299.59000003</v>
      </c>
      <c r="BQ73" s="188">
        <v>649741490</v>
      </c>
      <c r="BR73" s="188">
        <v>535483430</v>
      </c>
      <c r="BS73" s="188">
        <v>739741715</v>
      </c>
      <c r="BT73" s="188">
        <v>505265600</v>
      </c>
      <c r="BU73" s="188">
        <v>344466575</v>
      </c>
      <c r="BV73" s="188">
        <v>266708950</v>
      </c>
      <c r="BW73" s="188">
        <v>164811000</v>
      </c>
      <c r="BX73" s="188">
        <v>132811608.23</v>
      </c>
      <c r="BY73" s="188">
        <v>130982000</v>
      </c>
      <c r="BZ73" s="188">
        <v>0</v>
      </c>
      <c r="CA73" s="188">
        <v>23515000</v>
      </c>
      <c r="CB73" s="188">
        <v>27371000</v>
      </c>
      <c r="CC73" s="188">
        <v>22522000</v>
      </c>
      <c r="CD73" s="188">
        <v>0</v>
      </c>
      <c r="CE73" s="188"/>
      <c r="CF73" s="188"/>
      <c r="CG73" s="188"/>
      <c r="CH73" s="188"/>
      <c r="CI73" s="188"/>
      <c r="CJ73" s="188"/>
      <c r="CK73" s="188"/>
      <c r="CL73" s="188"/>
    </row>
    <row r="74" spans="1:90" x14ac:dyDescent="0.25">
      <c r="A74" s="127" t="s">
        <v>77</v>
      </c>
      <c r="B74" s="188">
        <v>0</v>
      </c>
      <c r="C74" s="188">
        <v>822004488</v>
      </c>
      <c r="D74" s="188">
        <v>149746018</v>
      </c>
      <c r="E74" s="188">
        <v>847955186</v>
      </c>
      <c r="F74" s="188">
        <v>288651102</v>
      </c>
      <c r="G74" s="188">
        <v>551546168</v>
      </c>
      <c r="H74" s="188">
        <v>101756378</v>
      </c>
      <c r="I74" s="188">
        <v>676358748</v>
      </c>
      <c r="J74" s="188">
        <v>251667997</v>
      </c>
      <c r="K74" s="188">
        <v>464064882</v>
      </c>
      <c r="L74" s="188">
        <v>80519121</v>
      </c>
      <c r="M74" s="188">
        <v>348173849</v>
      </c>
      <c r="N74" s="188">
        <v>98100212</v>
      </c>
      <c r="O74" s="188">
        <v>275780996</v>
      </c>
      <c r="P74" s="188">
        <v>67141328</v>
      </c>
      <c r="Q74" s="188">
        <v>219407964</v>
      </c>
      <c r="R74" s="188">
        <v>68530309</v>
      </c>
      <c r="S74" s="188">
        <v>269081089</v>
      </c>
      <c r="T74" s="188">
        <v>367152858</v>
      </c>
      <c r="U74" s="188">
        <v>314004348</v>
      </c>
      <c r="V74" s="188">
        <v>185265015</v>
      </c>
      <c r="W74" s="188">
        <v>126052058</v>
      </c>
      <c r="X74" s="188">
        <v>55742687</v>
      </c>
      <c r="Y74" s="188">
        <v>98478461</v>
      </c>
      <c r="Z74" s="188">
        <v>91528737</v>
      </c>
      <c r="AA74" s="188">
        <v>120424129</v>
      </c>
      <c r="AB74" s="188">
        <v>81677753</v>
      </c>
      <c r="AC74" s="188">
        <v>110964115</v>
      </c>
      <c r="AD74" s="188">
        <v>90824059</v>
      </c>
      <c r="AE74" s="188">
        <v>105930306</v>
      </c>
      <c r="AF74" s="188">
        <v>67681243</v>
      </c>
      <c r="AG74" s="188">
        <v>55863170</v>
      </c>
      <c r="AH74" s="188">
        <v>38409495</v>
      </c>
      <c r="AI74" s="188">
        <v>14304636</v>
      </c>
      <c r="AJ74" s="188">
        <v>19244304</v>
      </c>
      <c r="AK74" s="188">
        <v>5999659</v>
      </c>
      <c r="AL74" s="188">
        <v>45446145</v>
      </c>
      <c r="AM74" s="188">
        <v>25492519</v>
      </c>
      <c r="AN74" s="188">
        <v>31854260</v>
      </c>
      <c r="AO74" s="188">
        <v>11781276</v>
      </c>
      <c r="AP74" s="188">
        <v>14452219</v>
      </c>
      <c r="AQ74" s="188">
        <v>13735972</v>
      </c>
      <c r="AR74" s="188">
        <v>23422775</v>
      </c>
      <c r="AS74" s="188">
        <v>21207784</v>
      </c>
      <c r="AT74" s="188">
        <v>16913487</v>
      </c>
      <c r="AU74" s="188">
        <v>17253593</v>
      </c>
      <c r="AV74" s="188">
        <v>20668839</v>
      </c>
      <c r="AW74" s="188">
        <v>0</v>
      </c>
      <c r="AX74" s="188">
        <v>0</v>
      </c>
      <c r="AY74" s="188">
        <v>0</v>
      </c>
      <c r="AZ74" s="188">
        <v>0</v>
      </c>
      <c r="BA74" s="188">
        <v>0</v>
      </c>
      <c r="BB74" s="188">
        <v>0</v>
      </c>
      <c r="BC74" s="188">
        <v>0</v>
      </c>
      <c r="BD74" s="188">
        <v>0</v>
      </c>
      <c r="BE74" s="188">
        <v>0</v>
      </c>
      <c r="BF74" s="188">
        <v>0</v>
      </c>
      <c r="BG74" s="188">
        <v>0</v>
      </c>
      <c r="BH74" s="188">
        <v>0</v>
      </c>
      <c r="BI74" s="188">
        <v>0</v>
      </c>
      <c r="BJ74" s="188">
        <v>0</v>
      </c>
      <c r="BK74" s="188">
        <v>0</v>
      </c>
      <c r="BL74" s="188">
        <v>0</v>
      </c>
      <c r="BM74" s="188">
        <v>0</v>
      </c>
      <c r="BN74" s="188">
        <v>0</v>
      </c>
      <c r="BO74" s="188">
        <v>0</v>
      </c>
      <c r="BP74" s="188">
        <v>0</v>
      </c>
      <c r="BQ74" s="188">
        <v>0</v>
      </c>
      <c r="BR74" s="188">
        <v>0</v>
      </c>
      <c r="BS74" s="188">
        <v>0</v>
      </c>
      <c r="BT74" s="188">
        <v>0</v>
      </c>
      <c r="BU74" s="188">
        <v>0</v>
      </c>
      <c r="BV74" s="188">
        <v>0</v>
      </c>
      <c r="BW74" s="188">
        <v>0</v>
      </c>
      <c r="BX74" s="188">
        <v>0</v>
      </c>
      <c r="BY74" s="188">
        <v>0</v>
      </c>
      <c r="BZ74" s="188">
        <v>0</v>
      </c>
      <c r="CA74" s="188">
        <v>0</v>
      </c>
      <c r="CB74" s="188">
        <v>0</v>
      </c>
      <c r="CC74" s="188">
        <v>0</v>
      </c>
      <c r="CD74" s="188">
        <v>0</v>
      </c>
      <c r="CE74" s="188"/>
      <c r="CF74" s="188"/>
      <c r="CG74" s="188"/>
      <c r="CH74" s="188"/>
      <c r="CI74" s="188"/>
      <c r="CJ74" s="188"/>
      <c r="CK74" s="188"/>
      <c r="CL74" s="188"/>
    </row>
    <row r="75" spans="1:90" x14ac:dyDescent="0.25">
      <c r="A75" s="127"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v>0</v>
      </c>
      <c r="BM75" s="188">
        <v>0</v>
      </c>
      <c r="BN75" s="188">
        <v>0</v>
      </c>
      <c r="BO75" s="188">
        <v>0</v>
      </c>
      <c r="BP75" s="188">
        <v>0</v>
      </c>
      <c r="BQ75" s="188">
        <v>0</v>
      </c>
      <c r="BR75" s="188">
        <v>0</v>
      </c>
      <c r="BS75" s="188">
        <v>0</v>
      </c>
      <c r="BT75" s="188">
        <v>0</v>
      </c>
      <c r="BU75" s="188">
        <v>0</v>
      </c>
      <c r="BV75" s="188">
        <v>0</v>
      </c>
      <c r="BW75" s="188">
        <v>0</v>
      </c>
      <c r="BX75" s="188">
        <v>0</v>
      </c>
      <c r="BY75" s="188">
        <v>0</v>
      </c>
      <c r="BZ75" s="188">
        <v>0</v>
      </c>
      <c r="CA75" s="188">
        <v>0</v>
      </c>
      <c r="CB75" s="188">
        <v>0</v>
      </c>
      <c r="CC75" s="188">
        <v>0</v>
      </c>
      <c r="CD75" s="188">
        <v>0</v>
      </c>
      <c r="CE75" s="188"/>
      <c r="CF75" s="188"/>
      <c r="CG75" s="188"/>
      <c r="CH75" s="188"/>
      <c r="CI75" s="188"/>
      <c r="CJ75" s="188"/>
      <c r="CK75" s="188"/>
      <c r="CL75" s="188"/>
    </row>
    <row r="76" spans="1:90" x14ac:dyDescent="0.25">
      <c r="A76" s="127" t="s">
        <v>54</v>
      </c>
      <c r="B76" s="188">
        <v>6068813097</v>
      </c>
      <c r="C76" s="188">
        <v>6402772896</v>
      </c>
      <c r="D76" s="188">
        <v>10923746679</v>
      </c>
      <c r="E76" s="188">
        <v>9109708511</v>
      </c>
      <c r="F76" s="188">
        <v>11361177187</v>
      </c>
      <c r="G76" s="188">
        <v>9749188493</v>
      </c>
      <c r="H76" s="188">
        <v>3930347096</v>
      </c>
      <c r="I76" s="188">
        <v>3684236935</v>
      </c>
      <c r="J76" s="188">
        <v>3737502774</v>
      </c>
      <c r="K76" s="188">
        <v>2556088170</v>
      </c>
      <c r="L76" s="188">
        <v>2188250073</v>
      </c>
      <c r="M76" s="188">
        <v>2283535113</v>
      </c>
      <c r="N76" s="188">
        <v>800360276</v>
      </c>
      <c r="O76" s="188">
        <v>881030022</v>
      </c>
      <c r="P76" s="188">
        <v>770110708</v>
      </c>
      <c r="Q76" s="188">
        <v>15000000</v>
      </c>
      <c r="R76" s="188">
        <v>15000000</v>
      </c>
      <c r="S76" s="188">
        <v>75152800</v>
      </c>
      <c r="T76" s="188">
        <v>452574843</v>
      </c>
      <c r="U76" s="188">
        <v>308628826</v>
      </c>
      <c r="V76" s="188">
        <v>1094699785</v>
      </c>
      <c r="W76" s="188">
        <v>1913565396</v>
      </c>
      <c r="X76" s="188">
        <v>1480806819</v>
      </c>
      <c r="Y76" s="188">
        <v>1544020648</v>
      </c>
      <c r="Z76" s="188">
        <v>1174440272</v>
      </c>
      <c r="AA76" s="188">
        <v>1834719878</v>
      </c>
      <c r="AB76" s="188">
        <v>1322303938</v>
      </c>
      <c r="AC76" s="188">
        <v>1716776716</v>
      </c>
      <c r="AD76" s="188">
        <v>977732630</v>
      </c>
      <c r="AE76" s="188">
        <v>964954730</v>
      </c>
      <c r="AF76" s="188">
        <v>449188400</v>
      </c>
      <c r="AG76" s="188">
        <v>260068100</v>
      </c>
      <c r="AH76" s="188">
        <v>260467419</v>
      </c>
      <c r="AI76" s="188">
        <v>260572700</v>
      </c>
      <c r="AJ76" s="188">
        <v>260678900</v>
      </c>
      <c r="AK76" s="188">
        <v>245684600</v>
      </c>
      <c r="AL76" s="188">
        <v>442700000</v>
      </c>
      <c r="AM76" s="188">
        <v>520200000</v>
      </c>
      <c r="AN76" s="188">
        <v>2009290067</v>
      </c>
      <c r="AO76" s="188">
        <v>2009143046</v>
      </c>
      <c r="AP76" s="188">
        <v>1418616701</v>
      </c>
      <c r="AQ76" s="188">
        <v>2011766918</v>
      </c>
      <c r="AR76" s="188">
        <v>690549843</v>
      </c>
      <c r="AS76" s="188">
        <v>692700000</v>
      </c>
      <c r="AT76" s="188">
        <v>1235878851</v>
      </c>
      <c r="AU76" s="188">
        <v>1279014280</v>
      </c>
      <c r="AV76" s="188">
        <v>2093796571</v>
      </c>
      <c r="AW76" s="188">
        <v>2111027205</v>
      </c>
      <c r="AX76" s="188">
        <v>939875963</v>
      </c>
      <c r="AY76" s="188">
        <v>2229686382</v>
      </c>
      <c r="AZ76" s="188">
        <v>780566810</v>
      </c>
      <c r="BA76" s="188">
        <v>494362550</v>
      </c>
      <c r="BB76" s="188">
        <v>136210000</v>
      </c>
      <c r="BC76" s="188">
        <v>663204252</v>
      </c>
      <c r="BD76" s="188">
        <v>276285533</v>
      </c>
      <c r="BE76" s="188">
        <v>285085533</v>
      </c>
      <c r="BF76" s="188">
        <v>116950979.39</v>
      </c>
      <c r="BG76" s="188">
        <v>120614389.25</v>
      </c>
      <c r="BH76" s="188">
        <v>138845773.75999999</v>
      </c>
      <c r="BI76" s="188">
        <v>119785203</v>
      </c>
      <c r="BJ76" s="188">
        <v>107526935.39</v>
      </c>
      <c r="BK76" s="188">
        <v>105279823.28</v>
      </c>
      <c r="BL76" s="188">
        <v>87090416.530000001</v>
      </c>
      <c r="BM76" s="188">
        <v>92804905</v>
      </c>
      <c r="BN76" s="188">
        <v>23000000</v>
      </c>
      <c r="BO76" s="188">
        <v>14200000</v>
      </c>
      <c r="BP76" s="188">
        <v>23700000</v>
      </c>
      <c r="BQ76" s="188">
        <v>55920000</v>
      </c>
      <c r="BR76" s="188">
        <v>51960000</v>
      </c>
      <c r="BS76" s="188">
        <v>54000000</v>
      </c>
      <c r="BT76" s="188">
        <v>43300000</v>
      </c>
      <c r="BU76" s="188">
        <v>13200000</v>
      </c>
      <c r="BV76" s="188">
        <v>50800000</v>
      </c>
      <c r="BW76" s="188">
        <v>61240000</v>
      </c>
      <c r="BX76" s="188">
        <v>0</v>
      </c>
      <c r="BY76" s="188">
        <v>0</v>
      </c>
      <c r="BZ76" s="188">
        <v>0</v>
      </c>
      <c r="CA76" s="188">
        <v>9140000</v>
      </c>
      <c r="CB76" s="188">
        <v>11342000</v>
      </c>
      <c r="CC76" s="188">
        <v>2340000</v>
      </c>
      <c r="CD76" s="188">
        <v>0</v>
      </c>
      <c r="CE76" s="188"/>
      <c r="CF76" s="188"/>
      <c r="CG76" s="188"/>
      <c r="CH76" s="188"/>
      <c r="CI76" s="188"/>
      <c r="CJ76" s="188"/>
      <c r="CK76" s="188"/>
      <c r="CL76" s="188"/>
    </row>
    <row r="77" spans="1:90" x14ac:dyDescent="0.25">
      <c r="A77" s="127"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v>0</v>
      </c>
      <c r="BM77" s="188">
        <v>0</v>
      </c>
      <c r="BN77" s="188">
        <v>0</v>
      </c>
      <c r="BO77" s="188">
        <v>0</v>
      </c>
      <c r="BP77" s="188">
        <v>0</v>
      </c>
      <c r="BQ77" s="188">
        <v>0</v>
      </c>
      <c r="BR77" s="188">
        <v>0</v>
      </c>
      <c r="BS77" s="188">
        <v>0</v>
      </c>
      <c r="BT77" s="188">
        <v>0</v>
      </c>
      <c r="BU77" s="188">
        <v>0</v>
      </c>
      <c r="BV77" s="188">
        <v>0</v>
      </c>
      <c r="BW77" s="188">
        <v>0</v>
      </c>
      <c r="BX77" s="188">
        <v>0</v>
      </c>
      <c r="BY77" s="188">
        <v>0</v>
      </c>
      <c r="BZ77" s="188">
        <v>0</v>
      </c>
      <c r="CA77" s="188">
        <v>0</v>
      </c>
      <c r="CB77" s="188">
        <v>0</v>
      </c>
      <c r="CC77" s="188">
        <v>0</v>
      </c>
      <c r="CD77" s="188">
        <v>0</v>
      </c>
      <c r="CE77" s="188"/>
      <c r="CF77" s="188"/>
      <c r="CG77" s="188"/>
      <c r="CH77" s="188"/>
      <c r="CI77" s="188"/>
      <c r="CJ77" s="188"/>
      <c r="CK77" s="188"/>
      <c r="CL77" s="188"/>
    </row>
    <row r="78" spans="1:90" hidden="1" x14ac:dyDescent="0.25">
      <c r="A78" s="127"/>
      <c r="B78" s="26"/>
      <c r="C78" s="26"/>
      <c r="D78" s="26"/>
      <c r="E78" s="26"/>
      <c r="F78" s="26"/>
      <c r="G78" s="26"/>
      <c r="H78" s="26"/>
      <c r="I78" s="26"/>
      <c r="J78" s="26"/>
      <c r="K78" s="26"/>
      <c r="L78" s="23"/>
    </row>
    <row r="79" spans="1:90" hidden="1" x14ac:dyDescent="0.25">
      <c r="A79" s="127"/>
      <c r="B79" s="26"/>
      <c r="C79" s="26"/>
      <c r="D79" s="26"/>
      <c r="E79" s="26"/>
      <c r="F79" s="26"/>
      <c r="G79" s="26"/>
      <c r="H79" s="26"/>
      <c r="I79" s="26"/>
      <c r="J79" s="26"/>
      <c r="K79" s="26"/>
      <c r="L79" s="23"/>
    </row>
    <row r="80" spans="1:90" hidden="1" x14ac:dyDescent="0.25">
      <c r="A80" s="127"/>
      <c r="B80" s="26"/>
      <c r="C80" s="26"/>
      <c r="D80" s="26"/>
      <c r="E80" s="26"/>
      <c r="F80" s="26"/>
      <c r="G80" s="26"/>
      <c r="H80" s="26"/>
      <c r="I80" s="26"/>
      <c r="J80" s="26"/>
      <c r="K80" s="26"/>
      <c r="L80" s="23"/>
    </row>
    <row r="81" spans="1:90" s="2" customFormat="1" x14ac:dyDescent="0.25">
      <c r="A81" s="20" t="s">
        <v>56</v>
      </c>
      <c r="B81" s="28"/>
      <c r="C81" s="28"/>
      <c r="D81" s="28"/>
      <c r="E81" s="28">
        <f>SUM(E82:E85)</f>
        <v>99246595983</v>
      </c>
      <c r="F81" s="28">
        <f t="shared" ref="F81:BQ81" si="16">SUM(F82:F85)</f>
        <v>84074465488</v>
      </c>
      <c r="G81" s="28">
        <f t="shared" si="16"/>
        <v>73008198095</v>
      </c>
      <c r="H81" s="28">
        <f t="shared" si="16"/>
        <v>72194657354</v>
      </c>
      <c r="I81" s="28">
        <f t="shared" si="16"/>
        <v>68720004807</v>
      </c>
      <c r="J81" s="28">
        <f t="shared" si="16"/>
        <v>57390990835</v>
      </c>
      <c r="K81" s="28">
        <f t="shared" si="16"/>
        <v>59412897255</v>
      </c>
      <c r="L81" s="28">
        <f t="shared" si="16"/>
        <v>55153271627</v>
      </c>
      <c r="M81" s="28">
        <f t="shared" si="16"/>
        <v>42512041805</v>
      </c>
      <c r="N81" s="28">
        <f t="shared" si="16"/>
        <v>42701196699</v>
      </c>
      <c r="O81" s="28">
        <f t="shared" si="16"/>
        <v>39603067801</v>
      </c>
      <c r="P81" s="28">
        <f t="shared" si="16"/>
        <v>37224172072</v>
      </c>
      <c r="Q81" s="28">
        <f t="shared" si="16"/>
        <v>37497670732</v>
      </c>
      <c r="R81" s="28">
        <f t="shared" si="16"/>
        <v>34333029751</v>
      </c>
      <c r="S81" s="28">
        <f t="shared" si="16"/>
        <v>33454202590</v>
      </c>
      <c r="T81" s="28">
        <f t="shared" si="16"/>
        <v>34438809638</v>
      </c>
      <c r="U81" s="28">
        <f t="shared" si="16"/>
        <v>27793957271</v>
      </c>
      <c r="V81" s="28">
        <f t="shared" si="16"/>
        <v>23627800355</v>
      </c>
      <c r="W81" s="28">
        <f t="shared" si="16"/>
        <v>23931018847</v>
      </c>
      <c r="X81" s="28">
        <f t="shared" si="16"/>
        <v>20200760697</v>
      </c>
      <c r="Y81" s="28">
        <f t="shared" si="16"/>
        <v>19020448745</v>
      </c>
      <c r="Z81" s="28">
        <f t="shared" si="16"/>
        <v>20097828786</v>
      </c>
      <c r="AA81" s="28">
        <f t="shared" si="16"/>
        <v>19647133891</v>
      </c>
      <c r="AB81" s="28">
        <f t="shared" si="16"/>
        <v>17000387187</v>
      </c>
      <c r="AC81" s="28">
        <f t="shared" si="16"/>
        <v>16323195120</v>
      </c>
      <c r="AD81" s="28">
        <f t="shared" si="16"/>
        <v>15129337147</v>
      </c>
      <c r="AE81" s="28">
        <f t="shared" si="16"/>
        <v>14359159446</v>
      </c>
      <c r="AF81" s="28">
        <f t="shared" si="16"/>
        <v>10469707999</v>
      </c>
      <c r="AG81" s="28">
        <f t="shared" si="16"/>
        <v>8577667259</v>
      </c>
      <c r="AH81" s="28">
        <f t="shared" si="16"/>
        <v>7279640443</v>
      </c>
      <c r="AI81" s="28">
        <f t="shared" si="16"/>
        <v>4859024872</v>
      </c>
      <c r="AJ81" s="28">
        <f t="shared" si="16"/>
        <v>4846602778</v>
      </c>
      <c r="AK81" s="28">
        <f t="shared" si="16"/>
        <v>4610363962</v>
      </c>
      <c r="AL81" s="28">
        <f t="shared" si="16"/>
        <v>4953459633</v>
      </c>
      <c r="AM81" s="28">
        <f t="shared" si="16"/>
        <v>4960758621</v>
      </c>
      <c r="AN81" s="28">
        <f t="shared" si="16"/>
        <v>3384411578</v>
      </c>
      <c r="AO81" s="28">
        <f t="shared" si="16"/>
        <v>3006587652</v>
      </c>
      <c r="AP81" s="28">
        <f t="shared" si="16"/>
        <v>2295540004</v>
      </c>
      <c r="AQ81" s="28">
        <f t="shared" si="16"/>
        <v>2415520611</v>
      </c>
      <c r="AR81" s="28">
        <f t="shared" si="16"/>
        <v>3794378885</v>
      </c>
      <c r="AS81" s="28">
        <f t="shared" si="16"/>
        <v>4541467418</v>
      </c>
      <c r="AT81" s="28">
        <f t="shared" si="16"/>
        <v>5054437752</v>
      </c>
      <c r="AU81" s="28">
        <f t="shared" si="16"/>
        <v>5581539796</v>
      </c>
      <c r="AV81" s="28">
        <f t="shared" si="16"/>
        <v>5197738552</v>
      </c>
      <c r="AW81" s="28">
        <f t="shared" si="16"/>
        <v>5088934829</v>
      </c>
      <c r="AX81" s="28">
        <f t="shared" si="16"/>
        <v>6340704650</v>
      </c>
      <c r="AY81" s="28">
        <f t="shared" si="16"/>
        <v>9184128889</v>
      </c>
      <c r="AZ81" s="28">
        <f t="shared" si="16"/>
        <v>10644245019</v>
      </c>
      <c r="BA81" s="28">
        <f t="shared" si="16"/>
        <v>10702730466</v>
      </c>
      <c r="BB81" s="28">
        <f t="shared" si="16"/>
        <v>11471141686</v>
      </c>
      <c r="BC81" s="28">
        <f t="shared" si="16"/>
        <v>11164908853</v>
      </c>
      <c r="BD81" s="28">
        <f t="shared" si="16"/>
        <v>4071883001</v>
      </c>
      <c r="BE81" s="28">
        <f t="shared" si="16"/>
        <v>3653888039</v>
      </c>
      <c r="BF81" s="28">
        <f t="shared" si="16"/>
        <v>3089947362.2400002</v>
      </c>
      <c r="BG81" s="28">
        <f t="shared" si="16"/>
        <v>2276833419.02</v>
      </c>
      <c r="BH81" s="28">
        <f t="shared" si="16"/>
        <v>2361987944.6700001</v>
      </c>
      <c r="BI81" s="28">
        <f t="shared" si="16"/>
        <v>2431118560</v>
      </c>
      <c r="BJ81" s="28">
        <f t="shared" si="16"/>
        <v>2170556114.8699999</v>
      </c>
      <c r="BK81" s="28">
        <f t="shared" si="16"/>
        <v>2252164508.29</v>
      </c>
      <c r="BL81" s="28">
        <f t="shared" si="16"/>
        <v>2176884391.5</v>
      </c>
      <c r="BM81" s="28">
        <f t="shared" si="16"/>
        <v>338621980</v>
      </c>
      <c r="BN81" s="28">
        <f t="shared" si="16"/>
        <v>350420380.73000002</v>
      </c>
      <c r="BO81" s="28">
        <f t="shared" si="16"/>
        <v>317635359.44</v>
      </c>
      <c r="BP81" s="28">
        <f t="shared" si="16"/>
        <v>308442927.63</v>
      </c>
      <c r="BQ81" s="28">
        <f t="shared" si="16"/>
        <v>227433533</v>
      </c>
      <c r="BR81" s="28">
        <f t="shared" ref="BR81:CG81" si="17">SUM(BR82:BR85)</f>
        <v>144573655.00999999</v>
      </c>
      <c r="BS81" s="28">
        <f t="shared" si="17"/>
        <v>205906912</v>
      </c>
      <c r="BT81" s="28">
        <f t="shared" si="17"/>
        <v>201697844</v>
      </c>
      <c r="BU81" s="28">
        <f t="shared" si="17"/>
        <v>100073135</v>
      </c>
      <c r="BV81" s="28">
        <f t="shared" si="17"/>
        <v>62774000</v>
      </c>
      <c r="BW81" s="28">
        <f t="shared" si="17"/>
        <v>63474000</v>
      </c>
      <c r="BX81" s="28">
        <f t="shared" si="17"/>
        <v>35714000</v>
      </c>
      <c r="BY81" s="28">
        <f t="shared" si="17"/>
        <v>35714000</v>
      </c>
      <c r="BZ81" s="28">
        <f t="shared" si="17"/>
        <v>0</v>
      </c>
      <c r="CA81" s="28">
        <f t="shared" si="17"/>
        <v>138081000</v>
      </c>
      <c r="CB81" s="28">
        <f t="shared" si="17"/>
        <v>143841000</v>
      </c>
      <c r="CC81" s="28">
        <f t="shared" si="17"/>
        <v>124668000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7" t="s">
        <v>57</v>
      </c>
      <c r="B82" s="188">
        <v>91696478647</v>
      </c>
      <c r="C82" s="188">
        <v>83261644214</v>
      </c>
      <c r="D82" s="188">
        <v>78426221039</v>
      </c>
      <c r="E82" s="188">
        <v>78973633010</v>
      </c>
      <c r="F82" s="188">
        <v>64350162666</v>
      </c>
      <c r="G82" s="188">
        <v>53462402931</v>
      </c>
      <c r="H82" s="188">
        <v>52615211431</v>
      </c>
      <c r="I82" s="188">
        <v>49885166211</v>
      </c>
      <c r="J82" s="188">
        <v>39984179941</v>
      </c>
      <c r="K82" s="188">
        <v>41917658001</v>
      </c>
      <c r="L82" s="188">
        <v>37544574931</v>
      </c>
      <c r="M82" s="188">
        <v>36341198145</v>
      </c>
      <c r="N82" s="188">
        <v>39160134497</v>
      </c>
      <c r="O82" s="188">
        <v>36049803922</v>
      </c>
      <c r="P82" s="188">
        <v>33580546293</v>
      </c>
      <c r="Q82" s="188">
        <v>33631104669</v>
      </c>
      <c r="R82" s="188">
        <v>27289336232</v>
      </c>
      <c r="S82" s="188">
        <v>26363575078</v>
      </c>
      <c r="T82" s="188">
        <v>27586775863</v>
      </c>
      <c r="U82" s="188">
        <v>20995628956</v>
      </c>
      <c r="V82" s="188">
        <v>21816560189</v>
      </c>
      <c r="W82" s="188">
        <v>22101430793</v>
      </c>
      <c r="X82" s="188">
        <v>18597386033</v>
      </c>
      <c r="Y82" s="188">
        <v>17373155700</v>
      </c>
      <c r="Z82" s="188">
        <v>18138480712</v>
      </c>
      <c r="AA82" s="188">
        <v>18094805396</v>
      </c>
      <c r="AB82" s="188">
        <v>15426481985</v>
      </c>
      <c r="AC82" s="188">
        <v>14700018374</v>
      </c>
      <c r="AD82" s="188">
        <v>14098653764</v>
      </c>
      <c r="AE82" s="188">
        <v>13324368363</v>
      </c>
      <c r="AF82" s="188">
        <v>9501605076</v>
      </c>
      <c r="AG82" s="188">
        <v>7504827507</v>
      </c>
      <c r="AH82" s="188">
        <v>6837136539</v>
      </c>
      <c r="AI82" s="188">
        <v>4413018963</v>
      </c>
      <c r="AJ82" s="188">
        <v>4433896022</v>
      </c>
      <c r="AK82" s="188">
        <v>4403729000</v>
      </c>
      <c r="AL82" s="188">
        <v>4872852426</v>
      </c>
      <c r="AM82" s="188">
        <v>4876752519</v>
      </c>
      <c r="AN82" s="188">
        <v>3312012581</v>
      </c>
      <c r="AO82" s="188">
        <v>2934127561</v>
      </c>
      <c r="AP82" s="188">
        <v>2252120379</v>
      </c>
      <c r="AQ82" s="188">
        <v>2372731591</v>
      </c>
      <c r="AR82" s="188">
        <v>3747275190</v>
      </c>
      <c r="AS82" s="188">
        <v>4494667804</v>
      </c>
      <c r="AT82" s="188">
        <v>4968479629</v>
      </c>
      <c r="AU82" s="188">
        <v>5496706673</v>
      </c>
      <c r="AV82" s="188">
        <v>5052347429</v>
      </c>
      <c r="AW82" s="188">
        <v>5088771029</v>
      </c>
      <c r="AX82" s="188">
        <v>5890540850</v>
      </c>
      <c r="AY82" s="188">
        <v>6881250916</v>
      </c>
      <c r="AZ82" s="188">
        <v>7910079807</v>
      </c>
      <c r="BA82" s="188">
        <v>7995289932</v>
      </c>
      <c r="BB82" s="188">
        <v>8772749300</v>
      </c>
      <c r="BC82" s="188">
        <v>8445759775</v>
      </c>
      <c r="BD82" s="188">
        <v>2955237251</v>
      </c>
      <c r="BE82" s="188">
        <v>2512169574</v>
      </c>
      <c r="BF82" s="188">
        <v>1876455130.1500001</v>
      </c>
      <c r="BG82" s="188">
        <v>1837800918.75</v>
      </c>
      <c r="BH82" s="188">
        <v>1749649293.3</v>
      </c>
      <c r="BI82" s="188">
        <v>1721009601</v>
      </c>
      <c r="BJ82" s="188">
        <v>1714449635.4100001</v>
      </c>
      <c r="BK82" s="188">
        <v>1718810533.73</v>
      </c>
      <c r="BL82" s="188">
        <v>1668738690.97</v>
      </c>
      <c r="BM82" s="188">
        <v>181427360</v>
      </c>
      <c r="BN82" s="188">
        <v>175100000</v>
      </c>
      <c r="BO82" s="188">
        <v>163600000</v>
      </c>
      <c r="BP82" s="188">
        <v>152100000</v>
      </c>
      <c r="BQ82" s="188">
        <v>162300000</v>
      </c>
      <c r="BR82" s="188">
        <v>115840000</v>
      </c>
      <c r="BS82" s="188">
        <v>178000000</v>
      </c>
      <c r="BT82" s="188">
        <v>170700000</v>
      </c>
      <c r="BU82" s="188">
        <v>84100000</v>
      </c>
      <c r="BV82" s="188">
        <v>12500000</v>
      </c>
      <c r="BW82" s="188">
        <v>13200000</v>
      </c>
      <c r="BX82" s="188">
        <v>0</v>
      </c>
      <c r="BY82" s="188">
        <v>0</v>
      </c>
      <c r="BZ82" s="188">
        <v>0</v>
      </c>
      <c r="CA82" s="188">
        <v>102367000</v>
      </c>
      <c r="CB82" s="188">
        <v>108127000</v>
      </c>
      <c r="CC82" s="188">
        <v>124668000</v>
      </c>
      <c r="CD82" s="188">
        <v>0</v>
      </c>
      <c r="CE82" s="188"/>
      <c r="CF82" s="188"/>
      <c r="CG82" s="188"/>
      <c r="CH82" s="188"/>
      <c r="CI82" s="188"/>
      <c r="CJ82" s="188"/>
      <c r="CK82" s="188"/>
      <c r="CL82" s="188"/>
    </row>
    <row r="83" spans="1:90" x14ac:dyDescent="0.25">
      <c r="A83" s="127" t="s">
        <v>58</v>
      </c>
      <c r="B83" s="188">
        <v>9973978795</v>
      </c>
      <c r="C83" s="188">
        <v>9971424165</v>
      </c>
      <c r="D83" s="188">
        <v>9968897303</v>
      </c>
      <c r="E83" s="188">
        <v>9966467496</v>
      </c>
      <c r="F83" s="188">
        <v>9963993556</v>
      </c>
      <c r="G83" s="188">
        <v>9961519616</v>
      </c>
      <c r="H83" s="188">
        <v>9959072567</v>
      </c>
      <c r="I83" s="188">
        <v>9956719508</v>
      </c>
      <c r="J83" s="188">
        <v>9954853649</v>
      </c>
      <c r="K83" s="188">
        <v>9954719298</v>
      </c>
      <c r="L83" s="188">
        <v>9952486839</v>
      </c>
      <c r="M83" s="188">
        <v>0</v>
      </c>
      <c r="N83" s="188">
        <v>0</v>
      </c>
      <c r="O83" s="188">
        <v>0</v>
      </c>
      <c r="P83" s="188">
        <v>0</v>
      </c>
      <c r="Q83" s="188">
        <v>0</v>
      </c>
      <c r="R83" s="188">
        <v>0</v>
      </c>
      <c r="S83" s="188">
        <v>0</v>
      </c>
      <c r="T83" s="188">
        <v>0</v>
      </c>
      <c r="U83" s="188">
        <v>0</v>
      </c>
      <c r="V83" s="188">
        <v>0</v>
      </c>
      <c r="W83" s="188">
        <v>0</v>
      </c>
      <c r="X83" s="188">
        <v>0</v>
      </c>
      <c r="Y83" s="188">
        <v>0</v>
      </c>
      <c r="Z83" s="188">
        <v>0</v>
      </c>
      <c r="AA83" s="188">
        <v>0</v>
      </c>
      <c r="AB83" s="188">
        <v>0</v>
      </c>
      <c r="AC83" s="188">
        <v>0</v>
      </c>
      <c r="AD83" s="188">
        <v>0</v>
      </c>
      <c r="AE83" s="188">
        <v>0</v>
      </c>
      <c r="AF83" s="188">
        <v>0</v>
      </c>
      <c r="AG83" s="188">
        <v>0</v>
      </c>
      <c r="AH83" s="188">
        <v>0</v>
      </c>
      <c r="AI83" s="188">
        <v>0</v>
      </c>
      <c r="AJ83" s="188">
        <v>0</v>
      </c>
      <c r="AK83" s="188">
        <v>0</v>
      </c>
      <c r="AL83" s="188">
        <v>0</v>
      </c>
      <c r="AM83" s="188">
        <v>0</v>
      </c>
      <c r="AN83" s="188">
        <v>0</v>
      </c>
      <c r="AO83" s="188">
        <v>0</v>
      </c>
      <c r="AP83" s="188">
        <v>0</v>
      </c>
      <c r="AQ83" s="188">
        <v>0</v>
      </c>
      <c r="AR83" s="188">
        <v>0</v>
      </c>
      <c r="AS83" s="188">
        <v>0</v>
      </c>
      <c r="AT83" s="188">
        <v>0</v>
      </c>
      <c r="AU83" s="188">
        <v>0</v>
      </c>
      <c r="AV83" s="188">
        <v>0</v>
      </c>
      <c r="AW83" s="188">
        <v>0</v>
      </c>
      <c r="AX83" s="188">
        <v>0</v>
      </c>
      <c r="AY83" s="188">
        <v>1161644358</v>
      </c>
      <c r="AZ83" s="188">
        <v>1596031288</v>
      </c>
      <c r="BA83" s="188">
        <v>1589753334</v>
      </c>
      <c r="BB83" s="188">
        <v>1582098948</v>
      </c>
      <c r="BC83" s="188">
        <v>1582098948</v>
      </c>
      <c r="BD83" s="188">
        <v>0</v>
      </c>
      <c r="BE83" s="188">
        <v>0</v>
      </c>
      <c r="BF83" s="188">
        <v>50483300.090000004</v>
      </c>
      <c r="BG83" s="188">
        <v>48484322.799999997</v>
      </c>
      <c r="BH83" s="188">
        <v>49563531.409999996</v>
      </c>
      <c r="BI83" s="188">
        <v>51637490</v>
      </c>
      <c r="BJ83" s="188">
        <v>91039894.950000003</v>
      </c>
      <c r="BK83" s="188">
        <v>88897354.099999994</v>
      </c>
      <c r="BL83" s="188">
        <v>82770289.659999996</v>
      </c>
      <c r="BM83" s="188">
        <v>87376302</v>
      </c>
      <c r="BN83" s="188">
        <v>84132153.980000004</v>
      </c>
      <c r="BO83" s="188">
        <v>74409744</v>
      </c>
      <c r="BP83" s="188">
        <v>72825774.530000001</v>
      </c>
      <c r="BQ83" s="188">
        <v>0</v>
      </c>
      <c r="BR83" s="188">
        <v>0</v>
      </c>
      <c r="BS83" s="188">
        <v>0</v>
      </c>
      <c r="BT83" s="188">
        <v>0</v>
      </c>
      <c r="BU83" s="188">
        <v>0</v>
      </c>
      <c r="BV83" s="188">
        <v>0</v>
      </c>
      <c r="BW83" s="188">
        <v>0</v>
      </c>
      <c r="BX83" s="188">
        <v>0</v>
      </c>
      <c r="BY83" s="188">
        <v>0</v>
      </c>
      <c r="BZ83" s="188">
        <v>0</v>
      </c>
      <c r="CA83" s="188">
        <v>0</v>
      </c>
      <c r="CB83" s="188">
        <v>0</v>
      </c>
      <c r="CC83" s="188">
        <v>0</v>
      </c>
      <c r="CD83" s="188">
        <v>0</v>
      </c>
      <c r="CE83" s="188"/>
      <c r="CF83" s="188"/>
      <c r="CG83" s="188"/>
      <c r="CH83" s="188"/>
      <c r="CI83" s="188"/>
      <c r="CJ83" s="188"/>
      <c r="CK83" s="188"/>
      <c r="CL83" s="188"/>
    </row>
    <row r="84" spans="1:90" x14ac:dyDescent="0.25">
      <c r="A84" s="127" t="s">
        <v>59</v>
      </c>
      <c r="B84" s="188">
        <v>1549439574</v>
      </c>
      <c r="C84" s="188">
        <v>1427376178</v>
      </c>
      <c r="D84" s="188">
        <v>1388617933</v>
      </c>
      <c r="E84" s="188">
        <v>1176250982</v>
      </c>
      <c r="F84" s="188">
        <v>2399693429</v>
      </c>
      <c r="G84" s="188">
        <v>2191493751</v>
      </c>
      <c r="H84" s="188">
        <v>2244953243</v>
      </c>
      <c r="I84" s="188">
        <v>1261446565</v>
      </c>
      <c r="J84" s="188">
        <v>10101807</v>
      </c>
      <c r="K84" s="188">
        <v>10423573</v>
      </c>
      <c r="L84" s="188">
        <v>0</v>
      </c>
      <c r="M84" s="188">
        <v>0</v>
      </c>
      <c r="N84" s="188">
        <v>0</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8">
        <v>0</v>
      </c>
      <c r="AJ84" s="188">
        <v>0</v>
      </c>
      <c r="AK84" s="188">
        <v>0</v>
      </c>
      <c r="AL84" s="188">
        <v>0</v>
      </c>
      <c r="AM84" s="188">
        <v>0</v>
      </c>
      <c r="AN84" s="188">
        <v>0</v>
      </c>
      <c r="AO84" s="188">
        <v>0</v>
      </c>
      <c r="AP84" s="188">
        <v>0</v>
      </c>
      <c r="AQ84" s="188">
        <v>0</v>
      </c>
      <c r="AR84" s="188">
        <v>0</v>
      </c>
      <c r="AS84" s="188">
        <v>0</v>
      </c>
      <c r="AT84" s="188">
        <v>0</v>
      </c>
      <c r="AU84" s="188">
        <v>0</v>
      </c>
      <c r="AV84" s="188">
        <v>0</v>
      </c>
      <c r="AW84" s="188">
        <v>0</v>
      </c>
      <c r="AX84" s="188">
        <v>450000000</v>
      </c>
      <c r="AY84" s="188">
        <v>1114116897</v>
      </c>
      <c r="AZ84" s="188">
        <v>1118837433</v>
      </c>
      <c r="BA84" s="188">
        <v>1099939408</v>
      </c>
      <c r="BB84" s="188">
        <v>1104400072</v>
      </c>
      <c r="BC84" s="188">
        <v>1106796231</v>
      </c>
      <c r="BD84" s="188">
        <v>1067161278</v>
      </c>
      <c r="BE84" s="188">
        <v>1109599966</v>
      </c>
      <c r="BF84" s="188">
        <v>1127958831.5599999</v>
      </c>
      <c r="BG84" s="188">
        <v>356551131.37</v>
      </c>
      <c r="BH84" s="188">
        <v>529758620.11000001</v>
      </c>
      <c r="BI84" s="188">
        <v>640638825</v>
      </c>
      <c r="BJ84" s="188">
        <v>20923286.870000001</v>
      </c>
      <c r="BK84" s="188">
        <v>65984427.649999999</v>
      </c>
      <c r="BL84" s="188">
        <v>72524446.530000001</v>
      </c>
      <c r="BM84" s="188">
        <v>60784973</v>
      </c>
      <c r="BN84" s="188">
        <v>71841436.010000005</v>
      </c>
      <c r="BO84" s="188">
        <v>71735153.010000005</v>
      </c>
      <c r="BP84" s="188">
        <v>77055153.010000005</v>
      </c>
      <c r="BQ84" s="188">
        <v>62935986</v>
      </c>
      <c r="BR84" s="188">
        <v>28733655.010000002</v>
      </c>
      <c r="BS84" s="188">
        <v>27906912</v>
      </c>
      <c r="BT84" s="188">
        <v>30997844</v>
      </c>
      <c r="BU84" s="188">
        <v>15973135</v>
      </c>
      <c r="BV84" s="188">
        <v>50274000</v>
      </c>
      <c r="BW84" s="188">
        <v>50274000</v>
      </c>
      <c r="BX84" s="188">
        <v>35714000</v>
      </c>
      <c r="BY84" s="188">
        <v>35714000</v>
      </c>
      <c r="BZ84" s="188">
        <v>0</v>
      </c>
      <c r="CA84" s="188">
        <v>35714000</v>
      </c>
      <c r="CB84" s="188">
        <v>35714000</v>
      </c>
      <c r="CC84" s="188">
        <v>0</v>
      </c>
      <c r="CD84" s="188">
        <v>0</v>
      </c>
      <c r="CE84" s="188"/>
      <c r="CF84" s="188"/>
      <c r="CG84" s="188"/>
      <c r="CH84" s="188"/>
      <c r="CI84" s="188"/>
      <c r="CJ84" s="188"/>
      <c r="CK84" s="188"/>
      <c r="CL84" s="188"/>
    </row>
    <row r="85" spans="1:90" x14ac:dyDescent="0.25">
      <c r="A85" s="127" t="s">
        <v>83</v>
      </c>
      <c r="B85" s="188">
        <v>10418882740</v>
      </c>
      <c r="C85" s="188">
        <v>10698441824</v>
      </c>
      <c r="D85" s="188">
        <v>7829151387</v>
      </c>
      <c r="E85" s="188">
        <v>9130244495</v>
      </c>
      <c r="F85" s="188">
        <v>7360615837</v>
      </c>
      <c r="G85" s="188">
        <v>7392781797</v>
      </c>
      <c r="H85" s="188">
        <v>7375420113</v>
      </c>
      <c r="I85" s="188">
        <v>7616672523</v>
      </c>
      <c r="J85" s="188">
        <v>7441855438</v>
      </c>
      <c r="K85" s="188">
        <v>7530096383</v>
      </c>
      <c r="L85" s="188">
        <v>7656209857</v>
      </c>
      <c r="M85" s="188">
        <v>6170843660</v>
      </c>
      <c r="N85" s="188">
        <v>3541062202</v>
      </c>
      <c r="O85" s="188">
        <v>3553263879</v>
      </c>
      <c r="P85" s="188">
        <v>3643625779</v>
      </c>
      <c r="Q85" s="188">
        <v>3866566063</v>
      </c>
      <c r="R85" s="188">
        <v>7043693519</v>
      </c>
      <c r="S85" s="188">
        <v>7090627512</v>
      </c>
      <c r="T85" s="188">
        <v>6852033775</v>
      </c>
      <c r="U85" s="188">
        <v>6798328315</v>
      </c>
      <c r="V85" s="188">
        <v>1811240166</v>
      </c>
      <c r="W85" s="188">
        <v>1829588054</v>
      </c>
      <c r="X85" s="188">
        <v>1603374664</v>
      </c>
      <c r="Y85" s="188">
        <v>1647293045</v>
      </c>
      <c r="Z85" s="188">
        <v>1959348074</v>
      </c>
      <c r="AA85" s="188">
        <v>1552328495</v>
      </c>
      <c r="AB85" s="188">
        <v>1573905202</v>
      </c>
      <c r="AC85" s="188">
        <v>1623176746</v>
      </c>
      <c r="AD85" s="188">
        <v>1030683383</v>
      </c>
      <c r="AE85" s="188">
        <v>1034791083</v>
      </c>
      <c r="AF85" s="188">
        <v>968102923</v>
      </c>
      <c r="AG85" s="188">
        <v>1072839752</v>
      </c>
      <c r="AH85" s="188">
        <v>442503904</v>
      </c>
      <c r="AI85" s="188">
        <v>446005909</v>
      </c>
      <c r="AJ85" s="188">
        <v>412706756</v>
      </c>
      <c r="AK85" s="188">
        <v>206634962</v>
      </c>
      <c r="AL85" s="188">
        <v>80607207</v>
      </c>
      <c r="AM85" s="188">
        <v>84006102</v>
      </c>
      <c r="AN85" s="188">
        <v>72398997</v>
      </c>
      <c r="AO85" s="188">
        <v>72460091</v>
      </c>
      <c r="AP85" s="188">
        <v>43419625</v>
      </c>
      <c r="AQ85" s="188">
        <v>42789020</v>
      </c>
      <c r="AR85" s="188">
        <v>47103695</v>
      </c>
      <c r="AS85" s="188">
        <v>46799614</v>
      </c>
      <c r="AT85" s="188">
        <v>85958123</v>
      </c>
      <c r="AU85" s="188">
        <v>84833123</v>
      </c>
      <c r="AV85" s="188">
        <v>145391123</v>
      </c>
      <c r="AW85" s="188">
        <v>163800</v>
      </c>
      <c r="AX85" s="188">
        <v>163800</v>
      </c>
      <c r="AY85" s="188">
        <v>27116718</v>
      </c>
      <c r="AZ85" s="188">
        <v>19296491</v>
      </c>
      <c r="BA85" s="188">
        <v>17747792</v>
      </c>
      <c r="BB85" s="188">
        <v>11893366</v>
      </c>
      <c r="BC85" s="188">
        <v>30253899</v>
      </c>
      <c r="BD85" s="188">
        <v>49484472</v>
      </c>
      <c r="BE85" s="188">
        <v>32118499</v>
      </c>
      <c r="BF85" s="188">
        <v>35050100.439999998</v>
      </c>
      <c r="BG85" s="188">
        <v>33997046.100000001</v>
      </c>
      <c r="BH85" s="188">
        <v>33016499.850000001</v>
      </c>
      <c r="BI85" s="188">
        <v>17832644</v>
      </c>
      <c r="BJ85" s="188">
        <v>344143297.63999999</v>
      </c>
      <c r="BK85" s="188">
        <v>378472192.81</v>
      </c>
      <c r="BL85" s="188">
        <v>352850964.33999997</v>
      </c>
      <c r="BM85" s="188">
        <v>9033345</v>
      </c>
      <c r="BN85" s="188">
        <v>19346790.739999998</v>
      </c>
      <c r="BO85" s="188">
        <v>7890462.4299999997</v>
      </c>
      <c r="BP85" s="188">
        <v>6462000.0899999999</v>
      </c>
      <c r="BQ85" s="188">
        <v>2197547</v>
      </c>
      <c r="BR85" s="188">
        <v>0</v>
      </c>
      <c r="BS85" s="188">
        <v>0</v>
      </c>
      <c r="BT85" s="188">
        <v>0</v>
      </c>
      <c r="BU85" s="188">
        <v>0</v>
      </c>
      <c r="BV85" s="188">
        <v>0</v>
      </c>
      <c r="BW85" s="188">
        <v>0</v>
      </c>
      <c r="BX85" s="188">
        <v>0</v>
      </c>
      <c r="BY85" s="188">
        <v>0</v>
      </c>
      <c r="BZ85" s="188">
        <v>0</v>
      </c>
      <c r="CA85" s="188">
        <v>0</v>
      </c>
      <c r="CB85" s="188">
        <v>0</v>
      </c>
      <c r="CC85" s="188">
        <v>0</v>
      </c>
      <c r="CD85" s="188">
        <v>0</v>
      </c>
      <c r="CE85" s="188"/>
      <c r="CF85" s="188"/>
      <c r="CG85" s="188"/>
      <c r="CH85" s="188"/>
      <c r="CI85" s="188"/>
      <c r="CJ85" s="188"/>
      <c r="CK85" s="188"/>
      <c r="CL85" s="188"/>
    </row>
    <row r="86" spans="1:90" hidden="1" x14ac:dyDescent="0.25">
      <c r="A86" s="127"/>
      <c r="B86" s="26"/>
      <c r="C86" s="26"/>
      <c r="D86" s="26"/>
      <c r="E86" s="26"/>
      <c r="F86" s="26"/>
      <c r="G86" s="26"/>
      <c r="H86" s="26"/>
      <c r="I86" s="26"/>
      <c r="J86" s="26"/>
      <c r="K86" s="26"/>
      <c r="L86" s="23"/>
    </row>
    <row r="87" spans="1:90" hidden="1" x14ac:dyDescent="0.25">
      <c r="A87" s="127"/>
      <c r="B87" s="26"/>
      <c r="C87" s="26"/>
      <c r="D87" s="26"/>
      <c r="E87" s="26"/>
      <c r="F87" s="26"/>
      <c r="G87" s="26"/>
      <c r="H87" s="26"/>
      <c r="I87" s="26"/>
      <c r="J87" s="26"/>
      <c r="K87" s="26"/>
      <c r="L87" s="23"/>
    </row>
    <row r="88" spans="1:90" hidden="1" x14ac:dyDescent="0.25">
      <c r="A88" s="127"/>
      <c r="B88" s="26"/>
      <c r="C88" s="26"/>
      <c r="D88" s="26"/>
      <c r="E88" s="26"/>
      <c r="F88" s="26"/>
      <c r="G88" s="26"/>
      <c r="H88" s="26"/>
      <c r="I88" s="26"/>
      <c r="J88" s="26"/>
      <c r="K88" s="26"/>
      <c r="L88" s="23"/>
    </row>
    <row r="89" spans="1:90" s="5" customFormat="1" x14ac:dyDescent="0.25">
      <c r="A89" s="128" t="s">
        <v>60</v>
      </c>
      <c r="B89" s="33">
        <f>SUM(B73:B85)</f>
        <v>121270602047</v>
      </c>
      <c r="C89" s="33">
        <f>SUM(C73:C85)</f>
        <v>114797095219</v>
      </c>
      <c r="D89" s="33">
        <f>SUM(D73:D85)</f>
        <v>110956495478</v>
      </c>
      <c r="E89" s="33">
        <f>E72+E81</f>
        <v>112453996110</v>
      </c>
      <c r="F89" s="33">
        <f t="shared" ref="F89:BQ89" si="18">F72+F81</f>
        <v>97403293333</v>
      </c>
      <c r="G89" s="33">
        <f t="shared" si="18"/>
        <v>89397765750</v>
      </c>
      <c r="H89" s="33">
        <f t="shared" si="18"/>
        <v>81311079704</v>
      </c>
      <c r="I89" s="33">
        <f t="shared" si="18"/>
        <v>77997565997</v>
      </c>
      <c r="J89" s="33">
        <f t="shared" si="18"/>
        <v>62888514797</v>
      </c>
      <c r="K89" s="33">
        <f t="shared" si="18"/>
        <v>64108602452</v>
      </c>
      <c r="L89" s="33">
        <f t="shared" si="18"/>
        <v>58362239332</v>
      </c>
      <c r="M89" s="33">
        <f t="shared" si="18"/>
        <v>50235725597</v>
      </c>
      <c r="N89" s="33">
        <f t="shared" si="18"/>
        <v>45564592169</v>
      </c>
      <c r="O89" s="33">
        <f t="shared" si="18"/>
        <v>42490723496</v>
      </c>
      <c r="P89" s="33">
        <f t="shared" si="18"/>
        <v>39588917176</v>
      </c>
      <c r="Q89" s="33">
        <f t="shared" si="18"/>
        <v>39891067296</v>
      </c>
      <c r="R89" s="33">
        <f t="shared" si="18"/>
        <v>36901304090</v>
      </c>
      <c r="S89" s="33">
        <f t="shared" si="18"/>
        <v>37074270459</v>
      </c>
      <c r="T89" s="33">
        <f t="shared" si="18"/>
        <v>36960410638</v>
      </c>
      <c r="U89" s="33">
        <f t="shared" si="18"/>
        <v>40539360285</v>
      </c>
      <c r="V89" s="33">
        <f t="shared" si="18"/>
        <v>37310091167</v>
      </c>
      <c r="W89" s="33">
        <f t="shared" si="18"/>
        <v>34834772819</v>
      </c>
      <c r="X89" s="33">
        <f t="shared" si="18"/>
        <v>22671544045</v>
      </c>
      <c r="Y89" s="33">
        <f t="shared" si="18"/>
        <v>21390215329</v>
      </c>
      <c r="Z89" s="33">
        <f t="shared" si="18"/>
        <v>23656826254</v>
      </c>
      <c r="AA89" s="33">
        <f t="shared" si="18"/>
        <v>23827114745</v>
      </c>
      <c r="AB89" s="33">
        <f t="shared" si="18"/>
        <v>23300587106</v>
      </c>
      <c r="AC89" s="33">
        <f t="shared" si="18"/>
        <v>24638129461</v>
      </c>
      <c r="AD89" s="33">
        <f t="shared" si="18"/>
        <v>25332372397</v>
      </c>
      <c r="AE89" s="33">
        <f t="shared" si="18"/>
        <v>23144312652</v>
      </c>
      <c r="AF89" s="33">
        <f t="shared" si="18"/>
        <v>16726772736</v>
      </c>
      <c r="AG89" s="33">
        <f t="shared" si="18"/>
        <v>13858010595</v>
      </c>
      <c r="AH89" s="33">
        <f t="shared" si="18"/>
        <v>11737395435</v>
      </c>
      <c r="AI89" s="33">
        <f t="shared" si="18"/>
        <v>8231697471</v>
      </c>
      <c r="AJ89" s="33">
        <f t="shared" si="18"/>
        <v>6212215060</v>
      </c>
      <c r="AK89" s="33">
        <f t="shared" si="18"/>
        <v>5717960925</v>
      </c>
      <c r="AL89" s="33">
        <f t="shared" si="18"/>
        <v>6042932946</v>
      </c>
      <c r="AM89" s="33">
        <f t="shared" si="18"/>
        <v>6179985172</v>
      </c>
      <c r="AN89" s="33">
        <f t="shared" si="18"/>
        <v>6553366539</v>
      </c>
      <c r="AO89" s="33">
        <f t="shared" si="18"/>
        <v>5536585002</v>
      </c>
      <c r="AP89" s="33">
        <f t="shared" si="18"/>
        <v>4229194404</v>
      </c>
      <c r="AQ89" s="33">
        <f t="shared" si="18"/>
        <v>5140494158</v>
      </c>
      <c r="AR89" s="33">
        <f t="shared" si="18"/>
        <v>5086467454</v>
      </c>
      <c r="AS89" s="33">
        <f t="shared" si="18"/>
        <v>5683386714</v>
      </c>
      <c r="AT89" s="33">
        <f t="shared" si="18"/>
        <v>6778322260</v>
      </c>
      <c r="AU89" s="33">
        <f t="shared" si="18"/>
        <v>7371006868</v>
      </c>
      <c r="AV89" s="33">
        <f t="shared" si="18"/>
        <v>8747585550</v>
      </c>
      <c r="AW89" s="33">
        <f t="shared" si="18"/>
        <v>9646138723</v>
      </c>
      <c r="AX89" s="33">
        <f t="shared" si="18"/>
        <v>10052115731</v>
      </c>
      <c r="AY89" s="33">
        <f t="shared" si="18"/>
        <v>14561019202</v>
      </c>
      <c r="AZ89" s="33">
        <f t="shared" si="18"/>
        <v>14742731559</v>
      </c>
      <c r="BA89" s="33">
        <f t="shared" si="18"/>
        <v>14465686638</v>
      </c>
      <c r="BB89" s="33">
        <f t="shared" si="18"/>
        <v>15459819553</v>
      </c>
      <c r="BC89" s="33">
        <f t="shared" si="18"/>
        <v>15737721762</v>
      </c>
      <c r="BD89" s="33">
        <f t="shared" si="18"/>
        <v>10212505883</v>
      </c>
      <c r="BE89" s="33">
        <f t="shared" si="18"/>
        <v>9160146712</v>
      </c>
      <c r="BF89" s="33">
        <f t="shared" si="18"/>
        <v>8185100767.0200005</v>
      </c>
      <c r="BG89" s="33">
        <f t="shared" si="18"/>
        <v>5412036070.0799999</v>
      </c>
      <c r="BH89" s="33">
        <f t="shared" si="18"/>
        <v>5660833349.7600002</v>
      </c>
      <c r="BI89" s="33">
        <f t="shared" si="18"/>
        <v>6680601279</v>
      </c>
      <c r="BJ89" s="33">
        <f t="shared" si="18"/>
        <v>5110416276.54</v>
      </c>
      <c r="BK89" s="33">
        <f t="shared" si="18"/>
        <v>5256878472.7399998</v>
      </c>
      <c r="BL89" s="33">
        <f t="shared" si="18"/>
        <v>5174660134.8400002</v>
      </c>
      <c r="BM89" s="33">
        <f t="shared" si="18"/>
        <v>2615920921</v>
      </c>
      <c r="BN89" s="33">
        <f t="shared" si="18"/>
        <v>1367406408.4200001</v>
      </c>
      <c r="BO89" s="33">
        <f t="shared" si="18"/>
        <v>1190694570.23</v>
      </c>
      <c r="BP89" s="33">
        <f t="shared" si="18"/>
        <v>1053862227.22</v>
      </c>
      <c r="BQ89" s="33">
        <f t="shared" si="18"/>
        <v>933095023</v>
      </c>
      <c r="BR89" s="33">
        <f t="shared" ref="BR89:CK89" si="19">BR72+BR81</f>
        <v>732017085.00999999</v>
      </c>
      <c r="BS89" s="33">
        <f t="shared" si="19"/>
        <v>999648627</v>
      </c>
      <c r="BT89" s="33">
        <f t="shared" si="19"/>
        <v>750263444</v>
      </c>
      <c r="BU89" s="33">
        <f t="shared" si="19"/>
        <v>457739710</v>
      </c>
      <c r="BV89" s="33">
        <f t="shared" si="19"/>
        <v>380282950</v>
      </c>
      <c r="BW89" s="33">
        <f t="shared" si="19"/>
        <v>289525000</v>
      </c>
      <c r="BX89" s="33">
        <f t="shared" si="19"/>
        <v>168525608.23000002</v>
      </c>
      <c r="BY89" s="33">
        <f t="shared" si="19"/>
        <v>166696000</v>
      </c>
      <c r="BZ89" s="33">
        <f t="shared" si="19"/>
        <v>0</v>
      </c>
      <c r="CA89" s="33">
        <f t="shared" si="19"/>
        <v>170736000</v>
      </c>
      <c r="CB89" s="33">
        <f t="shared" si="19"/>
        <v>182554000</v>
      </c>
      <c r="CC89" s="33">
        <f t="shared" si="19"/>
        <v>149530000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7" t="s">
        <v>62</v>
      </c>
      <c r="B91" s="188">
        <v>34798398763</v>
      </c>
      <c r="C91" s="188">
        <v>34798398763</v>
      </c>
      <c r="D91" s="188">
        <v>34798398763</v>
      </c>
      <c r="E91" s="188">
        <v>34798398763</v>
      </c>
      <c r="F91" s="188">
        <v>34798398763</v>
      </c>
      <c r="G91" s="188">
        <v>35153067743</v>
      </c>
      <c r="H91" s="188">
        <v>35153067743</v>
      </c>
      <c r="I91" s="188">
        <v>35153067743</v>
      </c>
      <c r="J91" s="188">
        <v>35153067743</v>
      </c>
      <c r="K91" s="188">
        <v>35153067743</v>
      </c>
      <c r="L91" s="188">
        <v>35153067743</v>
      </c>
      <c r="M91" s="188">
        <v>35153067743</v>
      </c>
      <c r="N91" s="188">
        <v>35153067743</v>
      </c>
      <c r="O91" s="188">
        <v>35289637574</v>
      </c>
      <c r="P91" s="188">
        <v>35289637574</v>
      </c>
      <c r="Q91" s="188">
        <v>35289637574</v>
      </c>
      <c r="R91" s="188">
        <v>35289637574</v>
      </c>
      <c r="S91" s="188">
        <v>35289637574</v>
      </c>
      <c r="T91" s="188">
        <v>13521542341</v>
      </c>
      <c r="U91" s="188">
        <v>13521542341</v>
      </c>
      <c r="V91" s="188">
        <v>13521542341</v>
      </c>
      <c r="W91" s="188">
        <v>13521542341</v>
      </c>
      <c r="X91" s="188">
        <v>13521542341</v>
      </c>
      <c r="Y91" s="188">
        <v>13521542341</v>
      </c>
      <c r="Z91" s="188">
        <v>13521542341</v>
      </c>
      <c r="AA91" s="188">
        <v>13521542341</v>
      </c>
      <c r="AB91" s="188">
        <v>13521542341</v>
      </c>
      <c r="AC91" s="188">
        <v>13521542341</v>
      </c>
      <c r="AD91" s="188">
        <v>13521542341</v>
      </c>
      <c r="AE91" s="188">
        <v>13521542341</v>
      </c>
      <c r="AF91" s="188">
        <v>11267951951</v>
      </c>
      <c r="AG91" s="188">
        <v>11267951951</v>
      </c>
      <c r="AH91" s="188">
        <v>8282902447</v>
      </c>
      <c r="AI91" s="188">
        <v>8282902447</v>
      </c>
      <c r="AJ91" s="188">
        <v>8282902447</v>
      </c>
      <c r="AK91" s="188">
        <v>8282902447</v>
      </c>
      <c r="AL91" s="188">
        <v>8282902447</v>
      </c>
      <c r="AM91" s="188">
        <v>8282902447</v>
      </c>
      <c r="AN91" s="188">
        <v>3282902447</v>
      </c>
      <c r="AO91" s="188">
        <v>3282902447</v>
      </c>
      <c r="AP91" s="188">
        <v>3282902447</v>
      </c>
      <c r="AQ91" s="188">
        <v>2871567895</v>
      </c>
      <c r="AR91" s="188">
        <v>2871567895</v>
      </c>
      <c r="AS91" s="188">
        <v>2871567895</v>
      </c>
      <c r="AT91" s="188">
        <v>2871567895</v>
      </c>
      <c r="AU91" s="188">
        <v>2871567895</v>
      </c>
      <c r="AV91" s="188">
        <v>2871567895</v>
      </c>
      <c r="AW91" s="188">
        <v>2871567895</v>
      </c>
      <c r="AX91" s="188">
        <v>2871567895</v>
      </c>
      <c r="AY91" s="188">
        <v>2195695800</v>
      </c>
      <c r="AZ91" s="188">
        <v>2195695800</v>
      </c>
      <c r="BA91" s="188">
        <v>2195695800</v>
      </c>
      <c r="BB91" s="188">
        <v>2195695800</v>
      </c>
      <c r="BC91" s="188">
        <v>1463797200</v>
      </c>
      <c r="BD91" s="188">
        <v>1463797200</v>
      </c>
      <c r="BE91" s="188">
        <v>1463797200</v>
      </c>
      <c r="BF91" s="188">
        <v>1463797200</v>
      </c>
      <c r="BG91" s="188">
        <v>1463797200</v>
      </c>
      <c r="BH91" s="188">
        <v>975864800</v>
      </c>
      <c r="BI91" s="188">
        <v>659464800</v>
      </c>
      <c r="BJ91" s="188">
        <v>659464800</v>
      </c>
      <c r="BK91" s="188">
        <v>659464800</v>
      </c>
      <c r="BL91" s="188">
        <v>549554000</v>
      </c>
      <c r="BM91" s="188">
        <v>549554000</v>
      </c>
      <c r="BN91" s="188">
        <v>549554000</v>
      </c>
      <c r="BO91" s="188">
        <v>549554000</v>
      </c>
      <c r="BP91" s="188">
        <v>549554000</v>
      </c>
      <c r="BQ91" s="188">
        <v>549554000</v>
      </c>
      <c r="BR91" s="188">
        <v>549554000</v>
      </c>
      <c r="BS91" s="188">
        <v>549554000</v>
      </c>
      <c r="BT91" s="188">
        <v>489554000</v>
      </c>
      <c r="BU91" s="188">
        <v>489554000</v>
      </c>
      <c r="BV91" s="188">
        <v>489554000</v>
      </c>
      <c r="BW91" s="188">
        <v>489554000</v>
      </c>
      <c r="BX91" s="188">
        <v>489554000</v>
      </c>
      <c r="BY91" s="188">
        <v>489554000</v>
      </c>
      <c r="BZ91" s="188">
        <v>376580000</v>
      </c>
      <c r="CA91" s="188">
        <v>261580000</v>
      </c>
      <c r="CB91" s="188">
        <v>261580000</v>
      </c>
      <c r="CC91" s="188">
        <v>261580000</v>
      </c>
      <c r="CD91" s="188">
        <v>0</v>
      </c>
      <c r="CE91" s="188"/>
      <c r="CF91" s="188"/>
      <c r="CG91" s="188"/>
      <c r="CH91" s="188"/>
      <c r="CI91" s="188"/>
      <c r="CJ91" s="188"/>
      <c r="CK91" s="188"/>
      <c r="CL91" s="188"/>
    </row>
    <row r="92" spans="1:90" x14ac:dyDescent="0.25">
      <c r="A92" s="127" t="s">
        <v>63</v>
      </c>
      <c r="B92" s="188">
        <v>38262622157</v>
      </c>
      <c r="C92" s="188">
        <v>38244761356</v>
      </c>
      <c r="D92" s="188">
        <v>38587939720</v>
      </c>
      <c r="E92" s="188">
        <v>38585515122</v>
      </c>
      <c r="F92" s="188">
        <v>38661932995</v>
      </c>
      <c r="G92" s="188">
        <v>39229235434</v>
      </c>
      <c r="H92" s="188">
        <v>39010484822</v>
      </c>
      <c r="I92" s="188">
        <v>39031357529</v>
      </c>
      <c r="J92" s="188">
        <v>39029109425</v>
      </c>
      <c r="K92" s="188">
        <v>39029109178</v>
      </c>
      <c r="L92" s="188">
        <v>39027961492</v>
      </c>
      <c r="M92" s="188">
        <v>39018900467</v>
      </c>
      <c r="N92" s="188">
        <v>38942111340</v>
      </c>
      <c r="O92" s="188">
        <v>39082597284</v>
      </c>
      <c r="P92" s="188">
        <v>39084913744</v>
      </c>
      <c r="Q92" s="188">
        <v>39084393441</v>
      </c>
      <c r="R92" s="188">
        <v>39079075389</v>
      </c>
      <c r="S92" s="188">
        <v>38702221956</v>
      </c>
      <c r="T92" s="188">
        <v>60422067315</v>
      </c>
      <c r="U92" s="188">
        <v>15407622455</v>
      </c>
      <c r="V92" s="188">
        <v>15351113725</v>
      </c>
      <c r="W92" s="188">
        <v>15354749995</v>
      </c>
      <c r="X92" s="188">
        <v>15346890862</v>
      </c>
      <c r="Y92" s="188">
        <v>15344798225</v>
      </c>
      <c r="Z92" s="188">
        <v>15311525173</v>
      </c>
      <c r="AA92" s="188">
        <v>15315956376</v>
      </c>
      <c r="AB92" s="188">
        <v>15285441357</v>
      </c>
      <c r="AC92" s="188">
        <v>15302948946</v>
      </c>
      <c r="AD92" s="188">
        <v>15165155571</v>
      </c>
      <c r="AE92" s="188">
        <v>15209462817</v>
      </c>
      <c r="AF92" s="188">
        <v>17483628655</v>
      </c>
      <c r="AG92" s="188">
        <v>17484354151</v>
      </c>
      <c r="AH92" s="188">
        <v>11518349253</v>
      </c>
      <c r="AI92" s="188">
        <v>11505532121</v>
      </c>
      <c r="AJ92" s="188">
        <v>11553680880</v>
      </c>
      <c r="AK92" s="188">
        <v>11541232692</v>
      </c>
      <c r="AL92" s="188">
        <v>11352947123</v>
      </c>
      <c r="AM92" s="188">
        <v>11323997180</v>
      </c>
      <c r="AN92" s="188">
        <v>4508098505</v>
      </c>
      <c r="AO92" s="188">
        <v>4504955589</v>
      </c>
      <c r="AP92" s="188">
        <v>4492257752</v>
      </c>
      <c r="AQ92" s="188">
        <v>2698473265</v>
      </c>
      <c r="AR92" s="188">
        <v>2712582395</v>
      </c>
      <c r="AS92" s="188">
        <v>2740627893</v>
      </c>
      <c r="AT92" s="188">
        <v>2944083353</v>
      </c>
      <c r="AU92" s="188">
        <v>2944083353</v>
      </c>
      <c r="AV92" s="188">
        <v>2944083352</v>
      </c>
      <c r="AW92" s="188">
        <v>2996016738</v>
      </c>
      <c r="AX92" s="188">
        <v>2797087782</v>
      </c>
      <c r="AY92" s="188">
        <v>1617652518</v>
      </c>
      <c r="AZ92" s="188">
        <v>1616639249</v>
      </c>
      <c r="BA92" s="188">
        <v>1616639249</v>
      </c>
      <c r="BB92" s="188">
        <v>1569744926</v>
      </c>
      <c r="BC92" s="188">
        <v>2301643526</v>
      </c>
      <c r="BD92" s="188">
        <v>2301643526</v>
      </c>
      <c r="BE92" s="188">
        <v>2301643526</v>
      </c>
      <c r="BF92" s="188">
        <v>2337439962.4400001</v>
      </c>
      <c r="BG92" s="188">
        <v>2302658869.1399999</v>
      </c>
      <c r="BH92" s="188">
        <v>2790591269.1399999</v>
      </c>
      <c r="BI92" s="188">
        <v>1084912330</v>
      </c>
      <c r="BJ92" s="188">
        <v>1055154273.97</v>
      </c>
      <c r="BK92" s="188">
        <v>1055154273.97</v>
      </c>
      <c r="BL92" s="188">
        <v>1165065073.97</v>
      </c>
      <c r="BM92" s="188">
        <v>1165065074</v>
      </c>
      <c r="BN92" s="188">
        <v>1160228715.96</v>
      </c>
      <c r="BO92" s="188">
        <v>1155264658.4400001</v>
      </c>
      <c r="BP92" s="188">
        <v>1155264658.4400001</v>
      </c>
      <c r="BQ92" s="188">
        <v>1155264658</v>
      </c>
      <c r="BR92" s="188">
        <v>1155276002.78</v>
      </c>
      <c r="BS92" s="188">
        <v>1155276002</v>
      </c>
      <c r="BT92" s="188">
        <v>247026725</v>
      </c>
      <c r="BU92" s="188">
        <v>240071484</v>
      </c>
      <c r="BV92" s="188">
        <v>239809448.47</v>
      </c>
      <c r="BW92" s="188">
        <v>239809000</v>
      </c>
      <c r="BX92" s="188">
        <v>239809448.47</v>
      </c>
      <c r="BY92" s="188">
        <v>239809000</v>
      </c>
      <c r="BZ92" s="188">
        <v>239537000</v>
      </c>
      <c r="CA92" s="188">
        <v>3541000</v>
      </c>
      <c r="CB92" s="188">
        <v>3541000</v>
      </c>
      <c r="CC92" s="188">
        <v>3541000</v>
      </c>
      <c r="CD92" s="188">
        <v>0</v>
      </c>
      <c r="CE92" s="188"/>
      <c r="CF92" s="188"/>
      <c r="CG92" s="188"/>
      <c r="CH92" s="188"/>
      <c r="CI92" s="188"/>
      <c r="CJ92" s="188"/>
      <c r="CK92" s="188"/>
      <c r="CL92" s="188"/>
    </row>
    <row r="93" spans="1:90" x14ac:dyDescent="0.25">
      <c r="A93" s="127" t="s">
        <v>64</v>
      </c>
      <c r="B93" s="188">
        <v>0</v>
      </c>
      <c r="C93" s="188">
        <v>0</v>
      </c>
      <c r="D93" s="188">
        <v>0</v>
      </c>
      <c r="E93" s="188">
        <v>0</v>
      </c>
      <c r="F93" s="188">
        <v>0</v>
      </c>
      <c r="G93" s="188">
        <v>666312967</v>
      </c>
      <c r="H93" s="188">
        <v>461876035</v>
      </c>
      <c r="I93" s="188">
        <v>314350824</v>
      </c>
      <c r="J93" s="188">
        <v>99980901</v>
      </c>
      <c r="K93" s="188">
        <v>0</v>
      </c>
      <c r="L93" s="188">
        <v>0</v>
      </c>
      <c r="M93" s="188">
        <v>0</v>
      </c>
      <c r="N93" s="188">
        <v>0</v>
      </c>
      <c r="O93" s="188">
        <v>277055776</v>
      </c>
      <c r="P93" s="188">
        <v>277055776</v>
      </c>
      <c r="Q93" s="188">
        <v>198004581</v>
      </c>
      <c r="R93" s="188">
        <v>80276700</v>
      </c>
      <c r="S93" s="188">
        <v>0</v>
      </c>
      <c r="T93" s="188">
        <v>0</v>
      </c>
      <c r="U93" s="188">
        <v>0</v>
      </c>
      <c r="V93" s="188">
        <v>0</v>
      </c>
      <c r="W93" s="188">
        <v>0</v>
      </c>
      <c r="X93" s="188">
        <v>0</v>
      </c>
      <c r="Y93" s="188">
        <v>0</v>
      </c>
      <c r="Z93" s="188">
        <v>0</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x14ac:dyDescent="0.25">
      <c r="A94" s="127" t="s">
        <v>65</v>
      </c>
      <c r="B94" s="188">
        <v>-156565476</v>
      </c>
      <c r="C94" s="188">
        <v>-87683584</v>
      </c>
      <c r="D94" s="188">
        <v>229889143</v>
      </c>
      <c r="E94" s="188">
        <v>150602933</v>
      </c>
      <c r="F94" s="188">
        <v>81085955</v>
      </c>
      <c r="G94" s="188">
        <v>85086899</v>
      </c>
      <c r="H94" s="188">
        <v>105498829</v>
      </c>
      <c r="I94" s="188">
        <v>75718703</v>
      </c>
      <c r="J94" s="188">
        <v>48211167</v>
      </c>
      <c r="K94" s="188">
        <v>63812600</v>
      </c>
      <c r="L94" s="188">
        <v>40127256</v>
      </c>
      <c r="M94" s="188">
        <v>90153009</v>
      </c>
      <c r="N94" s="188">
        <v>-9335577</v>
      </c>
      <c r="O94" s="188">
        <v>112148608</v>
      </c>
      <c r="P94" s="188">
        <v>94912394</v>
      </c>
      <c r="Q94" s="188">
        <v>40630611</v>
      </c>
      <c r="R94" s="188">
        <v>15792454</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x14ac:dyDescent="0.25">
      <c r="A95" s="127"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x14ac:dyDescent="0.25">
      <c r="A96" s="127" t="s">
        <v>67</v>
      </c>
      <c r="B96" s="188">
        <v>889640475</v>
      </c>
      <c r="C96" s="188">
        <v>889640475</v>
      </c>
      <c r="D96" s="188">
        <v>889640475</v>
      </c>
      <c r="E96" s="188">
        <v>889640475</v>
      </c>
      <c r="F96" s="188">
        <v>743139855</v>
      </c>
      <c r="G96" s="188">
        <v>743139855</v>
      </c>
      <c r="H96" s="188">
        <v>743139855</v>
      </c>
      <c r="I96" s="188">
        <v>743139855</v>
      </c>
      <c r="J96" s="188">
        <v>592242059</v>
      </c>
      <c r="K96" s="188">
        <v>592242059</v>
      </c>
      <c r="L96" s="188">
        <v>592242059</v>
      </c>
      <c r="M96" s="188">
        <v>592242059</v>
      </c>
      <c r="N96" s="188">
        <v>550734504</v>
      </c>
      <c r="O96" s="188">
        <v>550734504</v>
      </c>
      <c r="P96" s="188">
        <v>503668861</v>
      </c>
      <c r="Q96" s="188">
        <v>503668861</v>
      </c>
      <c r="R96" s="188">
        <v>499092613</v>
      </c>
      <c r="S96" s="188">
        <v>499092613</v>
      </c>
      <c r="T96" s="188">
        <v>499092613</v>
      </c>
      <c r="U96" s="188">
        <v>499092613</v>
      </c>
      <c r="V96" s="188">
        <v>499092613</v>
      </c>
      <c r="W96" s="188">
        <v>499092613</v>
      </c>
      <c r="X96" s="188">
        <v>499092613</v>
      </c>
      <c r="Y96" s="188">
        <v>499092613</v>
      </c>
      <c r="Z96" s="188">
        <v>499092613</v>
      </c>
      <c r="AA96" s="188">
        <v>499092613</v>
      </c>
      <c r="AB96" s="188">
        <v>499092613</v>
      </c>
      <c r="AC96" s="188">
        <v>499092613</v>
      </c>
      <c r="AD96" s="188">
        <v>499092613</v>
      </c>
      <c r="AE96" s="188">
        <v>499092613</v>
      </c>
      <c r="AF96" s="188">
        <v>499092613</v>
      </c>
      <c r="AG96" s="188">
        <v>499092613</v>
      </c>
      <c r="AH96" s="188">
        <v>499092613</v>
      </c>
      <c r="AI96" s="188">
        <v>499092613</v>
      </c>
      <c r="AJ96" s="188">
        <v>499092613</v>
      </c>
      <c r="AK96" s="188">
        <v>499092613</v>
      </c>
      <c r="AL96" s="188">
        <v>499092613</v>
      </c>
      <c r="AM96" s="188">
        <v>499092613</v>
      </c>
      <c r="AN96" s="188">
        <v>499092613</v>
      </c>
      <c r="AO96" s="188">
        <v>499092613</v>
      </c>
      <c r="AP96" s="188">
        <v>499092613</v>
      </c>
      <c r="AQ96" s="188">
        <v>499092613</v>
      </c>
      <c r="AR96" s="188">
        <v>499092613</v>
      </c>
      <c r="AS96" s="188">
        <v>499092613</v>
      </c>
      <c r="AT96" s="188">
        <v>494122613</v>
      </c>
      <c r="AU96" s="188">
        <v>494122613</v>
      </c>
      <c r="AV96" s="188">
        <v>494122613</v>
      </c>
      <c r="AW96" s="188">
        <v>494122613</v>
      </c>
      <c r="AX96" s="188">
        <v>494122613</v>
      </c>
      <c r="AY96" s="188">
        <v>494122613</v>
      </c>
      <c r="AZ96" s="188">
        <v>494122613</v>
      </c>
      <c r="BA96" s="188">
        <v>494122613</v>
      </c>
      <c r="BB96" s="188">
        <v>494122613</v>
      </c>
      <c r="BC96" s="188">
        <v>494122613</v>
      </c>
      <c r="BD96" s="188">
        <v>494122613</v>
      </c>
      <c r="BE96" s="188">
        <v>494122613</v>
      </c>
      <c r="BF96" s="188">
        <v>429294143</v>
      </c>
      <c r="BG96" s="188">
        <v>429294143</v>
      </c>
      <c r="BH96" s="188">
        <v>429294143</v>
      </c>
      <c r="BI96" s="188">
        <v>412486206</v>
      </c>
      <c r="BJ96" s="188">
        <v>268351151.63999999</v>
      </c>
      <c r="BK96" s="188">
        <v>268351151.63999999</v>
      </c>
      <c r="BL96" s="188">
        <v>268351151.63999999</v>
      </c>
      <c r="BM96" s="188">
        <v>268351152</v>
      </c>
      <c r="BN96" s="188">
        <v>235313423.78999999</v>
      </c>
      <c r="BO96" s="188">
        <v>235313423.78999999</v>
      </c>
      <c r="BP96" s="188">
        <v>235313423.78999999</v>
      </c>
      <c r="BQ96" s="188">
        <v>235313424</v>
      </c>
      <c r="BR96" s="188">
        <v>229474662.24000001</v>
      </c>
      <c r="BS96" s="188">
        <v>211710661</v>
      </c>
      <c r="BT96" s="188">
        <v>185316331</v>
      </c>
      <c r="BU96" s="188">
        <v>185316331</v>
      </c>
      <c r="BV96" s="188">
        <v>155513905.77000001</v>
      </c>
      <c r="BW96" s="188">
        <v>155515000</v>
      </c>
      <c r="BX96" s="188">
        <v>131225769.34</v>
      </c>
      <c r="BY96" s="188">
        <v>131227000</v>
      </c>
      <c r="BZ96" s="188">
        <v>54743000</v>
      </c>
      <c r="CA96" s="188">
        <v>54743000</v>
      </c>
      <c r="CB96" s="188">
        <v>38604000</v>
      </c>
      <c r="CC96" s="188">
        <v>23318000</v>
      </c>
      <c r="CD96" s="188">
        <v>0</v>
      </c>
      <c r="CE96" s="188">
        <v>34778000</v>
      </c>
      <c r="CF96" s="188">
        <v>10546287.800000001</v>
      </c>
      <c r="CG96" s="188">
        <v>1136843.69</v>
      </c>
      <c r="CH96" s="188">
        <v>0</v>
      </c>
      <c r="CI96" s="188">
        <v>0</v>
      </c>
      <c r="CJ96" s="188">
        <v>0</v>
      </c>
      <c r="CK96" s="188">
        <v>0</v>
      </c>
      <c r="CL96" s="188">
        <v>0</v>
      </c>
    </row>
    <row r="97" spans="1:90" x14ac:dyDescent="0.25">
      <c r="A97" s="127" t="s">
        <v>68</v>
      </c>
      <c r="B97" s="188">
        <v>0</v>
      </c>
      <c r="C97" s="188">
        <v>0</v>
      </c>
      <c r="D97" s="188">
        <v>0</v>
      </c>
      <c r="E97" s="188">
        <v>0</v>
      </c>
      <c r="F97" s="188">
        <v>0</v>
      </c>
      <c r="G97" s="188">
        <v>0</v>
      </c>
      <c r="H97" s="188">
        <v>0</v>
      </c>
      <c r="I97" s="188">
        <v>0</v>
      </c>
      <c r="J97" s="188">
        <v>0</v>
      </c>
      <c r="K97" s="188">
        <v>0</v>
      </c>
      <c r="L97" s="188">
        <v>0</v>
      </c>
      <c r="M97" s="188">
        <v>0</v>
      </c>
      <c r="N97" s="188">
        <v>0</v>
      </c>
      <c r="O97" s="188">
        <v>0</v>
      </c>
      <c r="P97" s="188">
        <v>0</v>
      </c>
      <c r="Q97" s="188">
        <v>0</v>
      </c>
      <c r="R97" s="188">
        <v>0</v>
      </c>
      <c r="S97" s="188">
        <v>0</v>
      </c>
      <c r="T97" s="188">
        <v>0</v>
      </c>
      <c r="U97" s="188">
        <v>0</v>
      </c>
      <c r="V97" s="188">
        <v>0</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x14ac:dyDescent="0.25">
      <c r="A98" s="127" t="s">
        <v>69</v>
      </c>
      <c r="B98" s="188">
        <v>12024709526</v>
      </c>
      <c r="C98" s="188">
        <v>11620075705</v>
      </c>
      <c r="D98" s="188">
        <v>12105470053</v>
      </c>
      <c r="E98" s="188">
        <v>10385659084</v>
      </c>
      <c r="F98" s="188">
        <v>9440144432</v>
      </c>
      <c r="G98" s="188">
        <v>7267082811</v>
      </c>
      <c r="H98" s="188">
        <v>6424071137</v>
      </c>
      <c r="I98" s="188">
        <v>4011055487</v>
      </c>
      <c r="J98" s="188">
        <v>2420049571</v>
      </c>
      <c r="K98" s="188">
        <v>1762909191</v>
      </c>
      <c r="L98" s="188">
        <v>2739237740</v>
      </c>
      <c r="M98" s="188">
        <v>2630912286</v>
      </c>
      <c r="N98" s="188">
        <v>3380067601</v>
      </c>
      <c r="O98" s="188">
        <v>3338850882</v>
      </c>
      <c r="P98" s="188">
        <v>2412886644</v>
      </c>
      <c r="Q98" s="188">
        <v>1434745673</v>
      </c>
      <c r="R98" s="188">
        <v>731914543</v>
      </c>
      <c r="S98" s="188">
        <v>-81171194</v>
      </c>
      <c r="T98" s="188">
        <v>-535154919</v>
      </c>
      <c r="U98" s="188">
        <v>-1122806908</v>
      </c>
      <c r="V98" s="188">
        <v>-2117058771</v>
      </c>
      <c r="W98" s="188">
        <v>-2616883709</v>
      </c>
      <c r="X98" s="188">
        <v>-3189269581</v>
      </c>
      <c r="Y98" s="188">
        <v>-3476172602</v>
      </c>
      <c r="Z98" s="188">
        <v>-4369578904</v>
      </c>
      <c r="AA98" s="188">
        <v>-4521188189</v>
      </c>
      <c r="AB98" s="188">
        <v>-4228868766</v>
      </c>
      <c r="AC98" s="188">
        <v>-3734305993</v>
      </c>
      <c r="AD98" s="188">
        <v>-6438261071</v>
      </c>
      <c r="AE98" s="188">
        <v>-5510656947</v>
      </c>
      <c r="AF98" s="188">
        <v>-4969954434</v>
      </c>
      <c r="AG98" s="188">
        <v>-4295172470</v>
      </c>
      <c r="AH98" s="188">
        <v>-3287094172</v>
      </c>
      <c r="AI98" s="188">
        <v>-2838956640</v>
      </c>
      <c r="AJ98" s="188">
        <v>-2595103749</v>
      </c>
      <c r="AK98" s="188">
        <v>-2298250413</v>
      </c>
      <c r="AL98" s="188">
        <v>-3104932448</v>
      </c>
      <c r="AM98" s="188">
        <v>-3097360310</v>
      </c>
      <c r="AN98" s="188">
        <v>-2758689310</v>
      </c>
      <c r="AO98" s="188">
        <v>-2347930741</v>
      </c>
      <c r="AP98" s="188">
        <v>-1432326733</v>
      </c>
      <c r="AQ98" s="188">
        <v>-1035442003</v>
      </c>
      <c r="AR98" s="188">
        <v>-1234981314</v>
      </c>
      <c r="AS98" s="188">
        <v>-1540405268</v>
      </c>
      <c r="AT98" s="188">
        <v>-2305241785</v>
      </c>
      <c r="AU98" s="188">
        <v>-2725773980</v>
      </c>
      <c r="AV98" s="188">
        <v>-2842254077</v>
      </c>
      <c r="AW98" s="188">
        <v>-2820980284</v>
      </c>
      <c r="AX98" s="188">
        <v>-2725696521</v>
      </c>
      <c r="AY98" s="188">
        <v>-2363174495</v>
      </c>
      <c r="AZ98" s="188">
        <v>-1589112621</v>
      </c>
      <c r="BA98" s="188">
        <v>-1095418183</v>
      </c>
      <c r="BB98" s="188">
        <v>-876143537</v>
      </c>
      <c r="BC98" s="188">
        <v>-497070688</v>
      </c>
      <c r="BD98" s="188">
        <v>71112774</v>
      </c>
      <c r="BE98" s="188">
        <v>521861116</v>
      </c>
      <c r="BF98" s="188">
        <v>899586050.04999995</v>
      </c>
      <c r="BG98" s="188">
        <v>945804566.76999998</v>
      </c>
      <c r="BH98" s="188">
        <v>699824394.11000001</v>
      </c>
      <c r="BI98" s="188">
        <v>409165155</v>
      </c>
      <c r="BJ98" s="188">
        <v>473479438.55000001</v>
      </c>
      <c r="BK98" s="188">
        <v>358133335.43000001</v>
      </c>
      <c r="BL98" s="188">
        <v>226365960.86000001</v>
      </c>
      <c r="BM98" s="188">
        <v>192962577</v>
      </c>
      <c r="BN98" s="188">
        <v>215612655.87</v>
      </c>
      <c r="BO98" s="188">
        <v>199922119.44999999</v>
      </c>
      <c r="BP98" s="188">
        <v>166995939.44999999</v>
      </c>
      <c r="BQ98" s="188">
        <v>143405981</v>
      </c>
      <c r="BR98" s="188">
        <v>212906272.71000001</v>
      </c>
      <c r="BS98" s="188">
        <v>135479535</v>
      </c>
      <c r="BT98" s="188">
        <v>201402029</v>
      </c>
      <c r="BU98" s="188">
        <v>151602964</v>
      </c>
      <c r="BV98" s="188">
        <v>122040732.16</v>
      </c>
      <c r="BW98" s="188">
        <v>106902000</v>
      </c>
      <c r="BX98" s="188">
        <v>102241387.09</v>
      </c>
      <c r="BY98" s="188">
        <v>70469000</v>
      </c>
      <c r="BZ98" s="188">
        <v>301085000</v>
      </c>
      <c r="CA98" s="188">
        <v>232365000</v>
      </c>
      <c r="CB98" s="188">
        <v>144365000</v>
      </c>
      <c r="CC98" s="188">
        <v>121788000</v>
      </c>
      <c r="CD98" s="188">
        <v>0</v>
      </c>
      <c r="CE98" s="188">
        <v>129889000</v>
      </c>
      <c r="CF98" s="188">
        <v>81321459.170000002</v>
      </c>
      <c r="CG98" s="188">
        <v>12975517.09</v>
      </c>
      <c r="CH98" s="188">
        <v>0</v>
      </c>
      <c r="CI98" s="188">
        <v>0</v>
      </c>
      <c r="CJ98" s="188">
        <v>0</v>
      </c>
      <c r="CK98" s="188">
        <v>0</v>
      </c>
      <c r="CL98" s="188">
        <v>0</v>
      </c>
    </row>
    <row r="99" spans="1:90" x14ac:dyDescent="0.25">
      <c r="A99" s="127" t="s">
        <v>70</v>
      </c>
      <c r="B99" s="188">
        <v>0</v>
      </c>
      <c r="C99" s="188">
        <v>12477033</v>
      </c>
      <c r="D99" s="188">
        <v>12286948</v>
      </c>
      <c r="E99" s="188">
        <v>9651170</v>
      </c>
      <c r="F99" s="188">
        <v>9651170</v>
      </c>
      <c r="G99" s="188">
        <v>1063292009</v>
      </c>
      <c r="H99" s="188">
        <v>17079422</v>
      </c>
      <c r="I99" s="188">
        <v>9651170</v>
      </c>
      <c r="J99" s="188">
        <v>9651170</v>
      </c>
      <c r="K99" s="188">
        <v>491253794</v>
      </c>
      <c r="L99" s="188">
        <v>9651170</v>
      </c>
      <c r="M99" s="188">
        <v>9651170</v>
      </c>
      <c r="N99" s="188">
        <v>9651170</v>
      </c>
      <c r="O99" s="188">
        <v>9651170</v>
      </c>
      <c r="P99" s="188">
        <v>9651170</v>
      </c>
      <c r="Q99" s="188">
        <v>8051170</v>
      </c>
      <c r="R99" s="188">
        <v>8051170</v>
      </c>
      <c r="S99" s="188">
        <v>8051170</v>
      </c>
      <c r="T99" s="188">
        <v>8051170</v>
      </c>
      <c r="U99" s="188">
        <v>8051170</v>
      </c>
      <c r="V99" s="188">
        <v>8051170</v>
      </c>
      <c r="W99" s="188">
        <v>8051170</v>
      </c>
      <c r="X99" s="188">
        <v>8051170</v>
      </c>
      <c r="Y99" s="188">
        <v>8051170</v>
      </c>
      <c r="Z99" s="188">
        <v>10270176</v>
      </c>
      <c r="AA99" s="188">
        <v>8051170</v>
      </c>
      <c r="AB99" s="188">
        <v>6451170</v>
      </c>
      <c r="AC99" s="188">
        <v>6451170</v>
      </c>
      <c r="AD99" s="188">
        <v>6451171</v>
      </c>
      <c r="AE99" s="188">
        <v>6453111</v>
      </c>
      <c r="AF99" s="188">
        <v>6453111</v>
      </c>
      <c r="AG99" s="188">
        <v>6453111</v>
      </c>
      <c r="AH99" s="188">
        <v>6453790</v>
      </c>
      <c r="AI99" s="188">
        <v>6667492</v>
      </c>
      <c r="AJ99" s="188">
        <v>6947101</v>
      </c>
      <c r="AK99" s="188">
        <v>6667492</v>
      </c>
      <c r="AL99" s="188">
        <v>7096544</v>
      </c>
      <c r="AM99" s="188">
        <v>7085412</v>
      </c>
      <c r="AN99" s="188">
        <v>7093998</v>
      </c>
      <c r="AO99" s="188">
        <v>8093845</v>
      </c>
      <c r="AP99" s="188">
        <v>7950585</v>
      </c>
      <c r="AQ99" s="188">
        <v>8888965</v>
      </c>
      <c r="AR99" s="188">
        <v>6668965</v>
      </c>
      <c r="AS99" s="188">
        <v>6668965</v>
      </c>
      <c r="AT99" s="188">
        <v>6668965</v>
      </c>
      <c r="AU99" s="188">
        <v>6668965</v>
      </c>
      <c r="AV99" s="188">
        <v>6668965</v>
      </c>
      <c r="AW99" s="188">
        <v>6668965</v>
      </c>
      <c r="AX99" s="188">
        <v>7748965</v>
      </c>
      <c r="AY99" s="188">
        <v>7748965</v>
      </c>
      <c r="AZ99" s="188">
        <v>7750411</v>
      </c>
      <c r="BA99" s="188">
        <v>6711906</v>
      </c>
      <c r="BB99" s="188">
        <v>7784658</v>
      </c>
      <c r="BC99" s="188">
        <v>19500102</v>
      </c>
      <c r="BD99" s="188">
        <v>8288206</v>
      </c>
      <c r="BE99" s="188">
        <v>7560958</v>
      </c>
      <c r="BF99" s="188">
        <v>6478661.6299999999</v>
      </c>
      <c r="BG99" s="188">
        <v>14756497.539999999</v>
      </c>
      <c r="BH99" s="188">
        <v>15583753.630000001</v>
      </c>
      <c r="BI99" s="188">
        <v>25869862</v>
      </c>
      <c r="BJ99" s="188">
        <v>15143753.630000001</v>
      </c>
      <c r="BK99" s="188">
        <v>21845021.809999999</v>
      </c>
      <c r="BL99" s="188">
        <v>27743753.629999999</v>
      </c>
      <c r="BM99" s="188">
        <v>30243004</v>
      </c>
      <c r="BN99" s="188">
        <v>31460546.940000001</v>
      </c>
      <c r="BO99" s="188">
        <v>53740006.329999998</v>
      </c>
      <c r="BP99" s="188">
        <v>43994974.899999999</v>
      </c>
      <c r="BQ99" s="188">
        <v>50100875</v>
      </c>
      <c r="BR99" s="188">
        <v>94315187.920000002</v>
      </c>
      <c r="BS99" s="188">
        <v>106015188</v>
      </c>
      <c r="BT99" s="188">
        <v>49447661</v>
      </c>
      <c r="BU99" s="188">
        <v>58288909</v>
      </c>
      <c r="BV99" s="188">
        <v>43582887.5</v>
      </c>
      <c r="BW99" s="188">
        <v>43583000</v>
      </c>
      <c r="BX99" s="188">
        <v>62466840</v>
      </c>
      <c r="BY99" s="188">
        <v>94205000</v>
      </c>
      <c r="BZ99" s="188">
        <v>0</v>
      </c>
      <c r="CA99" s="188">
        <v>29734000</v>
      </c>
      <c r="CB99" s="188">
        <v>27606000</v>
      </c>
      <c r="CC99" s="188">
        <v>347000</v>
      </c>
      <c r="CD99" s="188">
        <v>0</v>
      </c>
      <c r="CE99" s="188">
        <v>0</v>
      </c>
      <c r="CF99" s="188">
        <v>0</v>
      </c>
      <c r="CG99" s="188">
        <v>0</v>
      </c>
      <c r="CH99" s="188">
        <v>0</v>
      </c>
      <c r="CI99" s="188">
        <v>0</v>
      </c>
      <c r="CJ99" s="188">
        <v>0</v>
      </c>
      <c r="CK99" s="188">
        <v>0</v>
      </c>
      <c r="CL99" s="188">
        <v>0</v>
      </c>
    </row>
    <row r="100" spans="1:90" x14ac:dyDescent="0.25">
      <c r="A100" s="127"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7"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1220739234</v>
      </c>
      <c r="AX101" s="188">
        <v>1036550197</v>
      </c>
      <c r="AY101" s="188">
        <v>490073074</v>
      </c>
      <c r="AZ101" s="188">
        <v>0</v>
      </c>
      <c r="BA101" s="188">
        <v>0</v>
      </c>
      <c r="BB101" s="188">
        <v>0</v>
      </c>
      <c r="BC101" s="188">
        <v>0</v>
      </c>
      <c r="BD101" s="188">
        <v>0</v>
      </c>
      <c r="BE101" s="188">
        <v>0</v>
      </c>
      <c r="BF101" s="188">
        <v>0</v>
      </c>
      <c r="BG101" s="188">
        <v>0</v>
      </c>
      <c r="BH101" s="188">
        <v>0</v>
      </c>
      <c r="BI101" s="188">
        <v>0</v>
      </c>
      <c r="BJ101" s="188">
        <v>0</v>
      </c>
      <c r="BK101" s="188">
        <v>0</v>
      </c>
      <c r="BL101" s="188">
        <v>0</v>
      </c>
      <c r="BM101" s="188">
        <v>0</v>
      </c>
      <c r="BN101" s="188">
        <v>0</v>
      </c>
      <c r="BO101" s="188">
        <v>0</v>
      </c>
      <c r="BP101" s="188">
        <v>0</v>
      </c>
      <c r="BQ101" s="188">
        <v>0</v>
      </c>
      <c r="BR101" s="188">
        <v>0</v>
      </c>
      <c r="BS101" s="188">
        <v>0</v>
      </c>
      <c r="BT101" s="188">
        <v>0</v>
      </c>
      <c r="BU101" s="188">
        <v>0</v>
      </c>
      <c r="BV101" s="188"/>
      <c r="BW101" s="188"/>
      <c r="BX101" s="188"/>
      <c r="BY101" s="188"/>
      <c r="BZ101" s="188"/>
      <c r="CA101" s="188"/>
      <c r="CB101" s="188"/>
      <c r="CC101" s="188"/>
      <c r="CD101" s="188"/>
      <c r="CE101" s="188"/>
      <c r="CF101" s="188"/>
      <c r="CG101" s="188"/>
      <c r="CH101" s="188"/>
      <c r="CI101" s="188"/>
      <c r="CJ101" s="188"/>
      <c r="CK101" s="188"/>
      <c r="CL101" s="188"/>
    </row>
    <row r="102" spans="1:90" x14ac:dyDescent="0.25">
      <c r="A102" s="127" t="s">
        <v>72</v>
      </c>
      <c r="B102" s="188">
        <v>85818805445</v>
      </c>
      <c r="C102" s="188">
        <v>85465192715</v>
      </c>
      <c r="D102" s="188">
        <v>86611338154</v>
      </c>
      <c r="E102" s="188">
        <v>84809816377</v>
      </c>
      <c r="F102" s="188">
        <v>83724702000</v>
      </c>
      <c r="G102" s="188">
        <v>81811299775</v>
      </c>
      <c r="H102" s="188">
        <v>80974386351</v>
      </c>
      <c r="I102" s="188">
        <v>78699988493</v>
      </c>
      <c r="J102" s="188">
        <v>77142699064</v>
      </c>
      <c r="K102" s="188">
        <v>76601140771</v>
      </c>
      <c r="L102" s="188">
        <v>77552636290</v>
      </c>
      <c r="M102" s="188">
        <v>77485275564</v>
      </c>
      <c r="N102" s="188">
        <v>78016645611</v>
      </c>
      <c r="O102" s="188">
        <v>78096913076</v>
      </c>
      <c r="P102" s="188">
        <v>77108963441</v>
      </c>
      <c r="Q102" s="188">
        <v>76155071579</v>
      </c>
      <c r="R102" s="188">
        <v>75535235873</v>
      </c>
      <c r="S102" s="188">
        <v>74357433156</v>
      </c>
      <c r="T102" s="188">
        <v>73853872881</v>
      </c>
      <c r="U102" s="188">
        <v>28251815361</v>
      </c>
      <c r="V102" s="188">
        <v>27250068430</v>
      </c>
      <c r="W102" s="188">
        <v>26755768815</v>
      </c>
      <c r="X102" s="188">
        <v>26176757398</v>
      </c>
      <c r="Y102" s="188">
        <v>25886959650</v>
      </c>
      <c r="Z102" s="188">
        <v>24960741954</v>
      </c>
      <c r="AA102" s="188">
        <v>24813084260</v>
      </c>
      <c r="AB102" s="188">
        <v>25074364454</v>
      </c>
      <c r="AC102" s="188">
        <v>25585892264</v>
      </c>
      <c r="AD102" s="188">
        <v>22743662796</v>
      </c>
      <c r="AE102" s="188">
        <v>23718541750</v>
      </c>
      <c r="AF102" s="188">
        <v>24273733409</v>
      </c>
      <c r="AG102" s="188">
        <v>24955013046</v>
      </c>
      <c r="AH102" s="188">
        <v>17011268021</v>
      </c>
      <c r="AI102" s="188">
        <v>17446345227</v>
      </c>
      <c r="AJ102" s="188">
        <v>17738455110</v>
      </c>
      <c r="AK102" s="188">
        <v>18022804672</v>
      </c>
      <c r="AL102" s="188">
        <v>17027805999</v>
      </c>
      <c r="AM102" s="188">
        <v>17006385905</v>
      </c>
      <c r="AN102" s="188">
        <v>5528585367</v>
      </c>
      <c r="AO102" s="188">
        <v>5936222532</v>
      </c>
      <c r="AP102" s="188">
        <v>6839164186</v>
      </c>
      <c r="AQ102" s="188">
        <v>5031035436</v>
      </c>
      <c r="AR102" s="188">
        <v>4847503292</v>
      </c>
      <c r="AS102" s="188">
        <v>4570579149</v>
      </c>
      <c r="AT102" s="188">
        <v>4004255414</v>
      </c>
      <c r="AU102" s="188">
        <v>3583824618</v>
      </c>
      <c r="AV102" s="188">
        <v>3467470623</v>
      </c>
      <c r="AW102" s="188">
        <v>3540702703</v>
      </c>
      <c r="AX102" s="188">
        <v>3437081769</v>
      </c>
      <c r="AY102" s="188">
        <v>1608062582</v>
      </c>
      <c r="AZ102" s="188">
        <v>2874625638</v>
      </c>
      <c r="BA102" s="188">
        <v>3377859054</v>
      </c>
      <c r="BB102" s="188">
        <v>3573676780</v>
      </c>
      <c r="BC102" s="188">
        <v>4006925358</v>
      </c>
      <c r="BD102" s="188">
        <v>4566117197</v>
      </c>
      <c r="BE102" s="188">
        <v>4956438845</v>
      </c>
      <c r="BF102" s="188">
        <v>5213867307.1999998</v>
      </c>
      <c r="BG102" s="188">
        <v>5220095533.4700003</v>
      </c>
      <c r="BH102" s="188">
        <v>4985289967.8599997</v>
      </c>
      <c r="BI102" s="188">
        <v>2554930411</v>
      </c>
      <c r="BJ102" s="188">
        <v>2525307177.0100002</v>
      </c>
      <c r="BK102" s="188">
        <v>2327450427.3499999</v>
      </c>
      <c r="BL102" s="188">
        <v>2088377761.95</v>
      </c>
      <c r="BM102" s="188">
        <v>2183379141</v>
      </c>
      <c r="BN102" s="188">
        <v>2160708795.6199999</v>
      </c>
      <c r="BO102" s="188">
        <v>2140054201.6800001</v>
      </c>
      <c r="BP102" s="188">
        <v>2107128021.6800001</v>
      </c>
      <c r="BQ102" s="188">
        <v>2083538063</v>
      </c>
      <c r="BR102" s="188">
        <v>2147210937.73</v>
      </c>
      <c r="BS102" s="188">
        <v>2052020198</v>
      </c>
      <c r="BT102" s="188">
        <v>1123299085</v>
      </c>
      <c r="BU102" s="188">
        <v>1066544779</v>
      </c>
      <c r="BV102" s="188">
        <v>1006918086.4</v>
      </c>
      <c r="BW102" s="188">
        <v>991780000</v>
      </c>
      <c r="BX102" s="188">
        <v>962830604.89999998</v>
      </c>
      <c r="BY102" s="188">
        <v>931059000</v>
      </c>
      <c r="BZ102" s="188">
        <v>971945000</v>
      </c>
      <c r="CA102" s="188">
        <v>552229000</v>
      </c>
      <c r="CB102" s="188">
        <v>448090000</v>
      </c>
      <c r="CC102" s="188">
        <v>410227000</v>
      </c>
      <c r="CD102" s="188">
        <v>0</v>
      </c>
      <c r="CE102" s="188">
        <v>1079642000</v>
      </c>
      <c r="CF102" s="188">
        <v>1003922431.86</v>
      </c>
      <c r="CG102" s="188">
        <v>492362941.67000002</v>
      </c>
      <c r="CH102" s="188">
        <v>203800000</v>
      </c>
      <c r="CI102" s="188">
        <v>162870000</v>
      </c>
      <c r="CJ102" s="188">
        <v>92660000</v>
      </c>
      <c r="CK102" s="188">
        <v>75420000</v>
      </c>
      <c r="CL102" s="188">
        <v>0</v>
      </c>
    </row>
    <row r="103" spans="1:90" x14ac:dyDescent="0.25">
      <c r="A103" s="127" t="s">
        <v>73</v>
      </c>
      <c r="B103" s="188">
        <v>26870673190</v>
      </c>
      <c r="C103" s="188">
        <v>26928675364</v>
      </c>
      <c r="D103" s="188">
        <v>19791109299</v>
      </c>
      <c r="E103" s="188">
        <v>19474446456</v>
      </c>
      <c r="F103" s="188">
        <v>21059053073</v>
      </c>
      <c r="G103" s="188">
        <v>15658811592</v>
      </c>
      <c r="H103" s="188">
        <v>15517366357</v>
      </c>
      <c r="I103" s="188">
        <v>13316066667</v>
      </c>
      <c r="J103" s="188">
        <v>4863395864</v>
      </c>
      <c r="K103" s="188">
        <v>4834498629</v>
      </c>
      <c r="L103" s="188">
        <v>3850587941</v>
      </c>
      <c r="M103" s="188">
        <v>865554255</v>
      </c>
      <c r="N103" s="188">
        <v>928174245</v>
      </c>
      <c r="O103" s="188">
        <v>806238864</v>
      </c>
      <c r="P103" s="188">
        <v>801042434</v>
      </c>
      <c r="Q103" s="188">
        <v>804334640</v>
      </c>
      <c r="R103" s="188">
        <v>1034786360</v>
      </c>
      <c r="S103" s="188">
        <v>1791577060</v>
      </c>
      <c r="T103" s="188">
        <v>1310680007</v>
      </c>
      <c r="U103" s="188">
        <v>9902448043</v>
      </c>
      <c r="V103" s="188">
        <v>13801364249</v>
      </c>
      <c r="W103" s="188">
        <v>13663142987</v>
      </c>
      <c r="X103" s="188">
        <v>9491080608</v>
      </c>
      <c r="Y103" s="188">
        <v>9377854802</v>
      </c>
      <c r="Z103" s="188">
        <v>9167738669</v>
      </c>
      <c r="AA103" s="188">
        <v>9167567289</v>
      </c>
      <c r="AB103" s="188">
        <v>9243666933</v>
      </c>
      <c r="AC103" s="188">
        <v>9459591642</v>
      </c>
      <c r="AD103" s="188">
        <v>9153441884</v>
      </c>
      <c r="AE103" s="188">
        <v>9210980659</v>
      </c>
      <c r="AF103" s="188">
        <v>9262486458</v>
      </c>
      <c r="AG103" s="188">
        <v>9304795207</v>
      </c>
      <c r="AH103" s="188">
        <v>9374743757</v>
      </c>
      <c r="AI103" s="188">
        <v>9465158954</v>
      </c>
      <c r="AJ103" s="188">
        <v>5351081639</v>
      </c>
      <c r="AK103" s="188">
        <v>3913347282</v>
      </c>
      <c r="AL103" s="188">
        <v>607364531</v>
      </c>
      <c r="AM103" s="188">
        <v>662029874</v>
      </c>
      <c r="AN103" s="188">
        <v>723270201</v>
      </c>
      <c r="AO103" s="188">
        <v>782579091</v>
      </c>
      <c r="AP103" s="188">
        <v>963844324</v>
      </c>
      <c r="AQ103" s="188">
        <v>1092307501</v>
      </c>
      <c r="AR103" s="188">
        <v>1024468879</v>
      </c>
      <c r="AS103" s="188">
        <v>950760025</v>
      </c>
      <c r="AT103" s="188">
        <v>810992931</v>
      </c>
      <c r="AU103" s="188">
        <v>702883858</v>
      </c>
      <c r="AV103" s="188">
        <v>682203322</v>
      </c>
      <c r="AW103" s="188">
        <v>756748838</v>
      </c>
      <c r="AX103" s="188">
        <v>796635866</v>
      </c>
      <c r="AY103" s="188">
        <v>226699162</v>
      </c>
      <c r="AZ103" s="188">
        <v>194272632</v>
      </c>
      <c r="BA103" s="188">
        <v>233662540</v>
      </c>
      <c r="BB103" s="188">
        <v>565204054</v>
      </c>
      <c r="BC103" s="188">
        <v>521370567</v>
      </c>
      <c r="BD103" s="188">
        <v>522163194</v>
      </c>
      <c r="BE103" s="188">
        <v>524755858</v>
      </c>
      <c r="BF103" s="188">
        <v>561882724.12</v>
      </c>
      <c r="BG103" s="188">
        <v>528738730.98000002</v>
      </c>
      <c r="BH103" s="188">
        <v>552759436.97000003</v>
      </c>
      <c r="BI103" s="188">
        <v>525250437</v>
      </c>
      <c r="BJ103" s="188">
        <v>467121739.12</v>
      </c>
      <c r="BK103" s="188">
        <v>493954423.87</v>
      </c>
      <c r="BL103" s="188">
        <v>490212932.26999998</v>
      </c>
      <c r="BM103" s="188">
        <v>457511373</v>
      </c>
      <c r="BN103" s="188">
        <v>466320237.73000002</v>
      </c>
      <c r="BO103" s="188">
        <v>406570993.47000003</v>
      </c>
      <c r="BP103" s="188">
        <v>362045799.80000001</v>
      </c>
      <c r="BQ103" s="188">
        <v>252245284</v>
      </c>
      <c r="BR103" s="188">
        <v>252996645.74000001</v>
      </c>
      <c r="BS103" s="188">
        <v>175160663</v>
      </c>
      <c r="BT103" s="188">
        <v>210459055</v>
      </c>
      <c r="BU103" s="188">
        <v>187617363</v>
      </c>
      <c r="BV103" s="188">
        <v>128836905.78</v>
      </c>
      <c r="BW103" s="188">
        <v>100652000</v>
      </c>
      <c r="BX103" s="188">
        <v>27736693.57</v>
      </c>
      <c r="BY103" s="188">
        <v>26950000</v>
      </c>
      <c r="BZ103" s="188">
        <v>22004000</v>
      </c>
      <c r="CA103" s="188">
        <v>22724000</v>
      </c>
      <c r="CB103" s="188">
        <v>18562000</v>
      </c>
      <c r="CC103" s="188">
        <v>13893000</v>
      </c>
      <c r="CD103" s="188">
        <v>0</v>
      </c>
      <c r="CE103" s="188">
        <v>96000</v>
      </c>
      <c r="CF103" s="188">
        <v>305920.90000000002</v>
      </c>
      <c r="CG103" s="188">
        <v>326958.7</v>
      </c>
      <c r="CH103" s="188">
        <v>0</v>
      </c>
      <c r="CI103" s="188">
        <v>0</v>
      </c>
      <c r="CJ103" s="188">
        <v>0</v>
      </c>
      <c r="CK103" s="188">
        <v>0</v>
      </c>
      <c r="CL103" s="188">
        <v>0</v>
      </c>
    </row>
    <row r="104" spans="1:90" hidden="1" x14ac:dyDescent="0.25">
      <c r="A104" s="127"/>
      <c r="B104" s="26"/>
      <c r="C104" s="26"/>
      <c r="D104" s="26"/>
      <c r="E104" s="26"/>
      <c r="F104" s="26"/>
      <c r="G104" s="26"/>
      <c r="H104" s="26"/>
      <c r="I104" s="26"/>
      <c r="J104" s="26"/>
      <c r="K104" s="26"/>
      <c r="L104" s="23"/>
    </row>
    <row r="105" spans="1:90" hidden="1" x14ac:dyDescent="0.25">
      <c r="A105" s="127"/>
      <c r="B105" s="26"/>
      <c r="C105" s="26"/>
      <c r="D105" s="26"/>
      <c r="E105" s="26"/>
      <c r="F105" s="26"/>
      <c r="G105" s="26"/>
      <c r="H105" s="26"/>
      <c r="I105" s="26"/>
      <c r="J105" s="26"/>
      <c r="K105" s="26"/>
      <c r="L105" s="23"/>
    </row>
    <row r="106" spans="1:90" hidden="1" x14ac:dyDescent="0.25">
      <c r="A106" s="127"/>
      <c r="B106" s="26"/>
      <c r="C106" s="26"/>
      <c r="D106" s="26"/>
      <c r="E106" s="26"/>
      <c r="F106" s="26"/>
      <c r="G106" s="26"/>
      <c r="H106" s="26"/>
      <c r="I106" s="26"/>
      <c r="J106" s="26"/>
      <c r="K106" s="26"/>
      <c r="L106" s="23"/>
    </row>
    <row r="107" spans="1:90" s="5" customFormat="1" x14ac:dyDescent="0.25">
      <c r="A107" s="128" t="s">
        <v>74</v>
      </c>
      <c r="B107" s="33">
        <f>B102+B103</f>
        <v>112689478635</v>
      </c>
      <c r="C107" s="33">
        <f>C102+C103</f>
        <v>112393868079</v>
      </c>
      <c r="D107" s="33">
        <f>D102+D103</f>
        <v>106402447453</v>
      </c>
      <c r="E107" s="33">
        <f>E102+E103</f>
        <v>104284262833</v>
      </c>
      <c r="F107" s="33">
        <f t="shared" ref="F107:BQ107" si="20">F102+F103</f>
        <v>104783755073</v>
      </c>
      <c r="G107" s="33">
        <f t="shared" si="20"/>
        <v>97470111367</v>
      </c>
      <c r="H107" s="33">
        <f t="shared" si="20"/>
        <v>96491752708</v>
      </c>
      <c r="I107" s="33">
        <f t="shared" si="20"/>
        <v>92016055160</v>
      </c>
      <c r="J107" s="33">
        <f t="shared" si="20"/>
        <v>82006094928</v>
      </c>
      <c r="K107" s="33">
        <f t="shared" si="20"/>
        <v>81435639400</v>
      </c>
      <c r="L107" s="33">
        <f t="shared" si="20"/>
        <v>81403224231</v>
      </c>
      <c r="M107" s="33">
        <f t="shared" si="20"/>
        <v>78350829819</v>
      </c>
      <c r="N107" s="33">
        <f t="shared" si="20"/>
        <v>78944819856</v>
      </c>
      <c r="O107" s="33">
        <f t="shared" si="20"/>
        <v>78903151940</v>
      </c>
      <c r="P107" s="33">
        <f t="shared" si="20"/>
        <v>77910005875</v>
      </c>
      <c r="Q107" s="33">
        <f t="shared" si="20"/>
        <v>76959406219</v>
      </c>
      <c r="R107" s="33">
        <f t="shared" si="20"/>
        <v>76570022233</v>
      </c>
      <c r="S107" s="33">
        <f t="shared" si="20"/>
        <v>76149010216</v>
      </c>
      <c r="T107" s="33">
        <f t="shared" si="20"/>
        <v>75164552888</v>
      </c>
      <c r="U107" s="33">
        <f t="shared" si="20"/>
        <v>38154263404</v>
      </c>
      <c r="V107" s="33">
        <f t="shared" si="20"/>
        <v>41051432679</v>
      </c>
      <c r="W107" s="33">
        <f t="shared" si="20"/>
        <v>40418911802</v>
      </c>
      <c r="X107" s="33">
        <f t="shared" si="20"/>
        <v>35667838006</v>
      </c>
      <c r="Y107" s="33">
        <f t="shared" si="20"/>
        <v>35264814452</v>
      </c>
      <c r="Z107" s="33">
        <f t="shared" si="20"/>
        <v>34128480623</v>
      </c>
      <c r="AA107" s="33">
        <f t="shared" si="20"/>
        <v>33980651549</v>
      </c>
      <c r="AB107" s="33">
        <f t="shared" si="20"/>
        <v>34318031387</v>
      </c>
      <c r="AC107" s="33">
        <f t="shared" si="20"/>
        <v>35045483906</v>
      </c>
      <c r="AD107" s="33">
        <f t="shared" si="20"/>
        <v>31897104680</v>
      </c>
      <c r="AE107" s="33">
        <f t="shared" si="20"/>
        <v>32929522409</v>
      </c>
      <c r="AF107" s="33">
        <f t="shared" si="20"/>
        <v>33536219867</v>
      </c>
      <c r="AG107" s="33">
        <f t="shared" si="20"/>
        <v>34259808253</v>
      </c>
      <c r="AH107" s="33">
        <f t="shared" si="20"/>
        <v>26386011778</v>
      </c>
      <c r="AI107" s="33">
        <f t="shared" si="20"/>
        <v>26911504181</v>
      </c>
      <c r="AJ107" s="33">
        <f t="shared" si="20"/>
        <v>23089536749</v>
      </c>
      <c r="AK107" s="33">
        <f t="shared" si="20"/>
        <v>21936151954</v>
      </c>
      <c r="AL107" s="33">
        <f t="shared" si="20"/>
        <v>17635170530</v>
      </c>
      <c r="AM107" s="33">
        <f t="shared" si="20"/>
        <v>17668415779</v>
      </c>
      <c r="AN107" s="33">
        <f t="shared" si="20"/>
        <v>6251855568</v>
      </c>
      <c r="AO107" s="33">
        <f t="shared" si="20"/>
        <v>6718801623</v>
      </c>
      <c r="AP107" s="33">
        <f t="shared" si="20"/>
        <v>7803008510</v>
      </c>
      <c r="AQ107" s="33">
        <f t="shared" si="20"/>
        <v>6123342937</v>
      </c>
      <c r="AR107" s="33">
        <f t="shared" si="20"/>
        <v>5871972171</v>
      </c>
      <c r="AS107" s="33">
        <f t="shared" si="20"/>
        <v>5521339174</v>
      </c>
      <c r="AT107" s="33">
        <f t="shared" si="20"/>
        <v>4815248345</v>
      </c>
      <c r="AU107" s="33">
        <f t="shared" si="20"/>
        <v>4286708476</v>
      </c>
      <c r="AV107" s="33">
        <f t="shared" si="20"/>
        <v>4149673945</v>
      </c>
      <c r="AW107" s="33">
        <f t="shared" si="20"/>
        <v>4297451541</v>
      </c>
      <c r="AX107" s="33">
        <f t="shared" si="20"/>
        <v>4233717635</v>
      </c>
      <c r="AY107" s="33">
        <f t="shared" si="20"/>
        <v>1834761744</v>
      </c>
      <c r="AZ107" s="33">
        <f t="shared" si="20"/>
        <v>3068898270</v>
      </c>
      <c r="BA107" s="33">
        <f t="shared" si="20"/>
        <v>3611521594</v>
      </c>
      <c r="BB107" s="33">
        <f t="shared" si="20"/>
        <v>4138880834</v>
      </c>
      <c r="BC107" s="33">
        <f t="shared" si="20"/>
        <v>4528295925</v>
      </c>
      <c r="BD107" s="33">
        <f t="shared" si="20"/>
        <v>5088280391</v>
      </c>
      <c r="BE107" s="33">
        <f t="shared" si="20"/>
        <v>5481194703</v>
      </c>
      <c r="BF107" s="33">
        <f t="shared" si="20"/>
        <v>5775750031.3199997</v>
      </c>
      <c r="BG107" s="33">
        <f t="shared" si="20"/>
        <v>5748834264.4500008</v>
      </c>
      <c r="BH107" s="33">
        <f t="shared" si="20"/>
        <v>5538049404.8299999</v>
      </c>
      <c r="BI107" s="33">
        <f t="shared" si="20"/>
        <v>3080180848</v>
      </c>
      <c r="BJ107" s="33">
        <f t="shared" si="20"/>
        <v>2992428916.1300001</v>
      </c>
      <c r="BK107" s="33">
        <f t="shared" si="20"/>
        <v>2821404851.2199998</v>
      </c>
      <c r="BL107" s="33">
        <f t="shared" si="20"/>
        <v>2578590694.2200003</v>
      </c>
      <c r="BM107" s="33">
        <f t="shared" si="20"/>
        <v>2640890514</v>
      </c>
      <c r="BN107" s="33">
        <f t="shared" si="20"/>
        <v>2627029033.3499999</v>
      </c>
      <c r="BO107" s="33">
        <f t="shared" si="20"/>
        <v>2546625195.1500001</v>
      </c>
      <c r="BP107" s="33">
        <f t="shared" si="20"/>
        <v>2469173821.48</v>
      </c>
      <c r="BQ107" s="33">
        <f t="shared" si="20"/>
        <v>2335783347</v>
      </c>
      <c r="BR107" s="33">
        <f t="shared" ref="BR107:CK107" si="21">BR102+BR103</f>
        <v>2400207583.4700003</v>
      </c>
      <c r="BS107" s="33">
        <f t="shared" si="21"/>
        <v>2227180861</v>
      </c>
      <c r="BT107" s="33">
        <f t="shared" si="21"/>
        <v>1333758140</v>
      </c>
      <c r="BU107" s="33">
        <f t="shared" si="21"/>
        <v>1254162142</v>
      </c>
      <c r="BV107" s="33">
        <f t="shared" si="21"/>
        <v>1135754992.1800001</v>
      </c>
      <c r="BW107" s="33">
        <f t="shared" si="21"/>
        <v>1092432000</v>
      </c>
      <c r="BX107" s="33">
        <f t="shared" si="21"/>
        <v>990567298.47000003</v>
      </c>
      <c r="BY107" s="33">
        <f t="shared" si="21"/>
        <v>958009000</v>
      </c>
      <c r="BZ107" s="33">
        <f t="shared" si="21"/>
        <v>993949000</v>
      </c>
      <c r="CA107" s="33">
        <f t="shared" si="21"/>
        <v>574953000</v>
      </c>
      <c r="CB107" s="33">
        <f t="shared" si="21"/>
        <v>466652000</v>
      </c>
      <c r="CC107" s="33">
        <f t="shared" si="21"/>
        <v>424120000</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29" t="s">
        <v>75</v>
      </c>
      <c r="B108" s="38">
        <f>SUM(B89+B107)</f>
        <v>233960080682</v>
      </c>
      <c r="C108" s="38">
        <f t="shared" ref="C108:BN108" si="22">SUM(C89+C107)</f>
        <v>227190963298</v>
      </c>
      <c r="D108" s="38">
        <f t="shared" si="22"/>
        <v>217358942931</v>
      </c>
      <c r="E108" s="38">
        <f>SUM(E107+E89)</f>
        <v>216738258943</v>
      </c>
      <c r="F108" s="38">
        <f t="shared" si="22"/>
        <v>202187048406</v>
      </c>
      <c r="G108" s="38">
        <f t="shared" si="22"/>
        <v>186867877117</v>
      </c>
      <c r="H108" s="38">
        <f t="shared" si="22"/>
        <v>177802832412</v>
      </c>
      <c r="I108" s="38">
        <f t="shared" si="22"/>
        <v>170013621157</v>
      </c>
      <c r="J108" s="38">
        <f t="shared" si="22"/>
        <v>144894609725</v>
      </c>
      <c r="K108" s="38">
        <f t="shared" si="22"/>
        <v>145544241852</v>
      </c>
      <c r="L108" s="38">
        <f t="shared" si="22"/>
        <v>139765463563</v>
      </c>
      <c r="M108" s="38">
        <f t="shared" si="22"/>
        <v>128586555416</v>
      </c>
      <c r="N108" s="38">
        <f t="shared" si="22"/>
        <v>124509412025</v>
      </c>
      <c r="O108" s="38">
        <f t="shared" si="22"/>
        <v>121393875436</v>
      </c>
      <c r="P108" s="38">
        <f t="shared" si="22"/>
        <v>117498923051</v>
      </c>
      <c r="Q108" s="38">
        <f t="shared" si="22"/>
        <v>116850473515</v>
      </c>
      <c r="R108" s="38">
        <f t="shared" si="22"/>
        <v>113471326323</v>
      </c>
      <c r="S108" s="38">
        <f t="shared" si="22"/>
        <v>113223280675</v>
      </c>
      <c r="T108" s="38">
        <f t="shared" si="22"/>
        <v>112124963526</v>
      </c>
      <c r="U108" s="38">
        <f t="shared" si="22"/>
        <v>78693623689</v>
      </c>
      <c r="V108" s="38">
        <f t="shared" si="22"/>
        <v>78361523846</v>
      </c>
      <c r="W108" s="38">
        <f t="shared" si="22"/>
        <v>75253684621</v>
      </c>
      <c r="X108" s="38">
        <f t="shared" si="22"/>
        <v>58339382051</v>
      </c>
      <c r="Y108" s="38">
        <f t="shared" si="22"/>
        <v>56655029781</v>
      </c>
      <c r="Z108" s="38">
        <f t="shared" si="22"/>
        <v>57785306877</v>
      </c>
      <c r="AA108" s="38">
        <f t="shared" si="22"/>
        <v>57807766294</v>
      </c>
      <c r="AB108" s="38">
        <f t="shared" si="22"/>
        <v>57618618493</v>
      </c>
      <c r="AC108" s="38">
        <f t="shared" si="22"/>
        <v>59683613367</v>
      </c>
      <c r="AD108" s="38">
        <f t="shared" si="22"/>
        <v>57229477077</v>
      </c>
      <c r="AE108" s="38">
        <f t="shared" si="22"/>
        <v>56073835061</v>
      </c>
      <c r="AF108" s="38">
        <f t="shared" si="22"/>
        <v>50262992603</v>
      </c>
      <c r="AG108" s="38">
        <f t="shared" si="22"/>
        <v>48117818848</v>
      </c>
      <c r="AH108" s="38">
        <f t="shared" si="22"/>
        <v>38123407213</v>
      </c>
      <c r="AI108" s="38">
        <f t="shared" si="22"/>
        <v>35143201652</v>
      </c>
      <c r="AJ108" s="38">
        <f t="shared" si="22"/>
        <v>29301751809</v>
      </c>
      <c r="AK108" s="38">
        <f t="shared" si="22"/>
        <v>27654112879</v>
      </c>
      <c r="AL108" s="38">
        <f t="shared" si="22"/>
        <v>23678103476</v>
      </c>
      <c r="AM108" s="38">
        <f t="shared" si="22"/>
        <v>23848400951</v>
      </c>
      <c r="AN108" s="38">
        <f t="shared" si="22"/>
        <v>12805222107</v>
      </c>
      <c r="AO108" s="38">
        <f t="shared" si="22"/>
        <v>12255386625</v>
      </c>
      <c r="AP108" s="38">
        <f t="shared" si="22"/>
        <v>12032202914</v>
      </c>
      <c r="AQ108" s="38">
        <f t="shared" si="22"/>
        <v>11263837095</v>
      </c>
      <c r="AR108" s="38">
        <f t="shared" si="22"/>
        <v>10958439625</v>
      </c>
      <c r="AS108" s="38">
        <f t="shared" si="22"/>
        <v>11204725888</v>
      </c>
      <c r="AT108" s="38">
        <f t="shared" si="22"/>
        <v>11593570605</v>
      </c>
      <c r="AU108" s="38">
        <f t="shared" si="22"/>
        <v>11657715344</v>
      </c>
      <c r="AV108" s="38">
        <f t="shared" si="22"/>
        <v>12897259495</v>
      </c>
      <c r="AW108" s="38">
        <f t="shared" si="22"/>
        <v>13943590264</v>
      </c>
      <c r="AX108" s="38">
        <f t="shared" si="22"/>
        <v>14285833366</v>
      </c>
      <c r="AY108" s="38">
        <f t="shared" si="22"/>
        <v>16395780946</v>
      </c>
      <c r="AZ108" s="38">
        <f t="shared" si="22"/>
        <v>17811629829</v>
      </c>
      <c r="BA108" s="38">
        <f t="shared" si="22"/>
        <v>18077208232</v>
      </c>
      <c r="BB108" s="38">
        <f t="shared" si="22"/>
        <v>19598700387</v>
      </c>
      <c r="BC108" s="38">
        <f t="shared" si="22"/>
        <v>20266017687</v>
      </c>
      <c r="BD108" s="38">
        <f t="shared" si="22"/>
        <v>15300786274</v>
      </c>
      <c r="BE108" s="38">
        <f t="shared" si="22"/>
        <v>14641341415</v>
      </c>
      <c r="BF108" s="38">
        <f t="shared" si="22"/>
        <v>13960850798.34</v>
      </c>
      <c r="BG108" s="38">
        <f t="shared" si="22"/>
        <v>11160870334.530001</v>
      </c>
      <c r="BH108" s="38">
        <f t="shared" si="22"/>
        <v>11198882754.59</v>
      </c>
      <c r="BI108" s="38">
        <f t="shared" si="22"/>
        <v>9760782127</v>
      </c>
      <c r="BJ108" s="38">
        <f t="shared" si="22"/>
        <v>8102845192.6700001</v>
      </c>
      <c r="BK108" s="38">
        <f t="shared" si="22"/>
        <v>8078283323.9599991</v>
      </c>
      <c r="BL108" s="38">
        <f t="shared" si="22"/>
        <v>7753250829.0600004</v>
      </c>
      <c r="BM108" s="38">
        <f t="shared" si="22"/>
        <v>5256811435</v>
      </c>
      <c r="BN108" s="38">
        <f t="shared" si="22"/>
        <v>3994435441.77</v>
      </c>
      <c r="BO108" s="38">
        <f t="shared" ref="BO108:CK108" si="23">SUM(BO89+BO107)</f>
        <v>3737319765.3800001</v>
      </c>
      <c r="BP108" s="38">
        <f t="shared" si="23"/>
        <v>3523036048.6999998</v>
      </c>
      <c r="BQ108" s="38">
        <f t="shared" si="23"/>
        <v>3268878370</v>
      </c>
      <c r="BR108" s="38">
        <f t="shared" si="23"/>
        <v>3132224668.4800005</v>
      </c>
      <c r="BS108" s="38">
        <f t="shared" si="23"/>
        <v>3226829488</v>
      </c>
      <c r="BT108" s="38">
        <f t="shared" si="23"/>
        <v>2084021584</v>
      </c>
      <c r="BU108" s="38">
        <f t="shared" si="23"/>
        <v>1711901852</v>
      </c>
      <c r="BV108" s="38">
        <f t="shared" si="23"/>
        <v>1516037942.1800001</v>
      </c>
      <c r="BW108" s="38">
        <f t="shared" si="23"/>
        <v>1381957000</v>
      </c>
      <c r="BX108" s="38">
        <f t="shared" si="23"/>
        <v>1159092906.7</v>
      </c>
      <c r="BY108" s="38">
        <f t="shared" si="23"/>
        <v>1124705000</v>
      </c>
      <c r="BZ108" s="38">
        <f t="shared" si="23"/>
        <v>993949000</v>
      </c>
      <c r="CA108" s="38">
        <f t="shared" si="23"/>
        <v>745689000</v>
      </c>
      <c r="CB108" s="38">
        <f t="shared" si="23"/>
        <v>649206000</v>
      </c>
      <c r="CC108" s="38">
        <f t="shared" si="23"/>
        <v>573650000</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11" workbookViewId="0">
      <selection activeCell="E17" sqref="E17"/>
    </sheetView>
  </sheetViews>
  <sheetFormatPr defaultRowHeight="14.4" x14ac:dyDescent="0.25"/>
  <cols>
    <col min="1" max="1" width="57.21875" style="17" bestFit="1" customWidth="1"/>
    <col min="2" max="4" width="22.664062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1.441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2" width="20.21875" hidden="1" customWidth="1"/>
    <col min="43" max="43" width="19.33203125" hidden="1" customWidth="1"/>
    <col min="44" max="44" width="19" hidden="1" customWidth="1"/>
    <col min="45" max="45" width="21.44140625" bestFit="1" customWidth="1"/>
    <col min="46" max="46" width="19" hidden="1" customWidth="1"/>
    <col min="47" max="48" width="20.21875" hidden="1" customWidth="1"/>
    <col min="49" max="49" width="22.6640625" bestFit="1" customWidth="1"/>
    <col min="50" max="51" width="22.6640625" hidden="1" customWidth="1"/>
    <col min="52" max="52" width="20.21875" hidden="1" customWidth="1"/>
    <col min="53" max="53" width="22.6640625" bestFit="1" customWidth="1"/>
    <col min="54" max="55" width="22.6640625" hidden="1" customWidth="1"/>
    <col min="56" max="56" width="20.21875" hidden="1" customWidth="1"/>
    <col min="57" max="57" width="20.21875" bestFit="1" customWidth="1"/>
    <col min="58" max="59" width="19.33203125" hidden="1" customWidth="1"/>
    <col min="60" max="60" width="20.21875" hidden="1" customWidth="1"/>
    <col min="61" max="61" width="19.33203125" bestFit="1" customWidth="1"/>
    <col min="62" max="62" width="19.33203125" hidden="1" customWidth="1"/>
    <col min="63" max="63" width="19" hidden="1" customWidth="1"/>
    <col min="64" max="64" width="20.21875" hidden="1" customWidth="1"/>
    <col min="65" max="65" width="19" bestFit="1" customWidth="1"/>
    <col min="66" max="67" width="19" hidden="1" customWidth="1"/>
    <col min="68" max="68" width="20.21875" hidden="1" customWidth="1"/>
    <col min="69" max="69" width="19" bestFit="1" customWidth="1"/>
    <col min="70" max="70" width="20.21875" hidden="1" customWidth="1"/>
    <col min="71" max="71" width="19" bestFit="1" customWidth="1"/>
    <col min="72" max="72" width="19" hidden="1" customWidth="1"/>
    <col min="73" max="73" width="19" bestFit="1" customWidth="1"/>
    <col min="74" max="74" width="19" hidden="1" customWidth="1"/>
    <col min="75" max="75" width="19" bestFit="1" customWidth="1"/>
    <col min="76" max="76" width="19" hidden="1" customWidth="1"/>
    <col min="77" max="77" width="19" bestFit="1" customWidth="1"/>
    <col min="78" max="78" width="19" hidden="1" customWidth="1"/>
    <col min="79" max="81" width="19" bestFit="1" customWidth="1"/>
    <col min="82" max="82" width="9.5546875" hidden="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725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x14ac:dyDescent="0.25">
      <c r="A2" s="17" t="s">
        <v>84</v>
      </c>
    </row>
    <row r="3" spans="1:89" s="6" customFormat="1" x14ac:dyDescent="0.25">
      <c r="A3" s="18" t="s">
        <v>85</v>
      </c>
    </row>
    <row r="4" spans="1:89" x14ac:dyDescent="0.25">
      <c r="A4" s="17" t="s">
        <v>384</v>
      </c>
      <c r="B4" s="188">
        <v>69464413289</v>
      </c>
      <c r="C4" s="188">
        <v>43473904966</v>
      </c>
      <c r="D4" s="188">
        <v>21566813037</v>
      </c>
      <c r="E4" s="188">
        <v>93800479215</v>
      </c>
      <c r="F4" s="188">
        <v>69408356144</v>
      </c>
      <c r="G4" s="188">
        <v>44605027995</v>
      </c>
      <c r="H4" s="188">
        <v>21854974362</v>
      </c>
      <c r="I4" s="188">
        <v>68895658963</v>
      </c>
      <c r="J4" s="188">
        <v>45841905735</v>
      </c>
      <c r="K4" s="188">
        <v>26448310717</v>
      </c>
      <c r="L4" s="188">
        <v>12297738830</v>
      </c>
      <c r="M4" s="188">
        <v>48623732312</v>
      </c>
      <c r="N4" s="188">
        <v>36420446042</v>
      </c>
      <c r="O4" s="188">
        <v>22970848112</v>
      </c>
      <c r="P4" s="188">
        <v>11582854379</v>
      </c>
      <c r="Q4" s="188">
        <v>36816316676</v>
      </c>
      <c r="R4" s="188">
        <v>25288069384</v>
      </c>
      <c r="S4" s="188">
        <v>16113171584</v>
      </c>
      <c r="T4" s="188">
        <v>8091679315</v>
      </c>
      <c r="U4" s="188">
        <v>33774285620</v>
      </c>
      <c r="V4" s="188">
        <v>24773771714</v>
      </c>
      <c r="W4" s="188">
        <v>16254326067</v>
      </c>
      <c r="X4" s="188">
        <v>8058663697</v>
      </c>
      <c r="Y4" s="188">
        <v>25771583386</v>
      </c>
      <c r="Z4" s="188">
        <v>17122908001</v>
      </c>
      <c r="AA4" s="188">
        <v>9608882013</v>
      </c>
      <c r="AB4" s="188">
        <v>4147641280</v>
      </c>
      <c r="AC4" s="188">
        <v>12741413562</v>
      </c>
      <c r="AD4" s="188">
        <v>8514636554</v>
      </c>
      <c r="AE4" s="188">
        <v>4940033997</v>
      </c>
      <c r="AF4" s="188">
        <v>1969646222</v>
      </c>
      <c r="AG4" s="188">
        <v>8025290848</v>
      </c>
      <c r="AH4" s="188">
        <v>6202063899</v>
      </c>
      <c r="AI4" s="188">
        <v>4186429883</v>
      </c>
      <c r="AJ4" s="188">
        <v>1893639353</v>
      </c>
      <c r="AK4" s="188">
        <v>6249194126</v>
      </c>
      <c r="AL4" s="188">
        <v>4344512321</v>
      </c>
      <c r="AM4" s="188">
        <v>2298113686</v>
      </c>
      <c r="AN4" s="188">
        <v>720895076</v>
      </c>
      <c r="AO4" s="188">
        <v>8334015771</v>
      </c>
      <c r="AP4" s="188">
        <v>7271976208</v>
      </c>
      <c r="AQ4" s="188">
        <v>5505901872</v>
      </c>
      <c r="AR4" s="188">
        <v>2936720597</v>
      </c>
      <c r="AS4" s="188">
        <v>11170448855</v>
      </c>
      <c r="AT4" s="188">
        <v>7926095410</v>
      </c>
      <c r="AU4" s="188">
        <v>4689192282</v>
      </c>
      <c r="AV4" s="188">
        <v>2152839364</v>
      </c>
      <c r="AW4" s="188">
        <v>8781394325</v>
      </c>
      <c r="AX4" s="188">
        <v>6660072468</v>
      </c>
      <c r="AY4" s="188">
        <v>4291008928</v>
      </c>
      <c r="AZ4" s="188">
        <v>2404770586</v>
      </c>
      <c r="BA4" s="188">
        <v>13461793093</v>
      </c>
      <c r="BB4" s="188">
        <v>8547810470</v>
      </c>
      <c r="BC4" s="188">
        <v>4321710751</v>
      </c>
      <c r="BD4" s="188">
        <v>2081864602</v>
      </c>
      <c r="BE4" s="188">
        <v>12441707566</v>
      </c>
      <c r="BF4" s="188">
        <v>9310845738</v>
      </c>
      <c r="BG4" s="188">
        <v>6234212244.3900003</v>
      </c>
      <c r="BH4" s="188">
        <v>3694043772.3099999</v>
      </c>
      <c r="BI4" s="188">
        <v>11180106328</v>
      </c>
      <c r="BJ4" s="188">
        <v>7650456631.9200001</v>
      </c>
      <c r="BK4" s="188">
        <v>4697949372.4700003</v>
      </c>
      <c r="BL4" s="188">
        <v>2253527850.46</v>
      </c>
      <c r="BM4" s="188">
        <v>4782587489</v>
      </c>
      <c r="BN4" s="188">
        <v>3419585621.9699998</v>
      </c>
      <c r="BO4" s="188">
        <v>2012328199.5899999</v>
      </c>
      <c r="BP4" s="188">
        <v>1039368764.79</v>
      </c>
      <c r="BQ4" s="188">
        <v>2669543128</v>
      </c>
      <c r="BR4" s="188">
        <v>1276281504.5799999</v>
      </c>
      <c r="BS4" s="188">
        <v>2234822478</v>
      </c>
      <c r="BT4" s="188">
        <v>993215204</v>
      </c>
      <c r="BU4" s="188">
        <v>741886971</v>
      </c>
      <c r="BV4" s="188">
        <v>200737099.93000001</v>
      </c>
      <c r="BW4" s="188">
        <v>237497000</v>
      </c>
      <c r="BX4" s="188">
        <v>105801107.16</v>
      </c>
      <c r="BY4" s="188">
        <v>275100000</v>
      </c>
      <c r="BZ4" s="188">
        <v>111102000</v>
      </c>
      <c r="CA4" s="188">
        <v>191165000</v>
      </c>
      <c r="CB4" s="188">
        <v>183819000</v>
      </c>
      <c r="CC4" s="188">
        <v>134792000</v>
      </c>
      <c r="CD4" s="188">
        <v>0</v>
      </c>
      <c r="CE4" s="188"/>
      <c r="CF4" s="188"/>
      <c r="CG4" s="188"/>
      <c r="CH4" s="188"/>
      <c r="CI4" s="188"/>
      <c r="CJ4" s="188"/>
      <c r="CK4" s="188"/>
    </row>
    <row r="5" spans="1:89" x14ac:dyDescent="0.25">
      <c r="A5" s="19" t="s">
        <v>385</v>
      </c>
      <c r="B5" s="188">
        <v>56390002852</v>
      </c>
      <c r="C5" s="188">
        <v>35144582131</v>
      </c>
      <c r="D5" s="188">
        <v>17087543193</v>
      </c>
      <c r="E5" s="188">
        <v>70282477585</v>
      </c>
      <c r="F5" s="188">
        <v>51275396814</v>
      </c>
      <c r="G5" s="188">
        <v>32235266589</v>
      </c>
      <c r="H5" s="188">
        <v>15597540474</v>
      </c>
      <c r="I5" s="188">
        <v>56585696091</v>
      </c>
      <c r="J5" s="188">
        <v>39817142861</v>
      </c>
      <c r="K5" s="188">
        <v>23987091158</v>
      </c>
      <c r="L5" s="188">
        <v>11522931968</v>
      </c>
      <c r="M5" s="188">
        <v>38755090666</v>
      </c>
      <c r="N5" s="188">
        <v>28386284793</v>
      </c>
      <c r="O5" s="188">
        <v>17509610448</v>
      </c>
      <c r="P5" s="188">
        <v>8699864739</v>
      </c>
      <c r="Q5" s="188">
        <v>28504880729</v>
      </c>
      <c r="R5" s="188">
        <v>19643200578</v>
      </c>
      <c r="S5" s="188">
        <v>12630118473</v>
      </c>
      <c r="T5" s="188">
        <v>6483118788</v>
      </c>
      <c r="U5" s="188">
        <v>25703823432</v>
      </c>
      <c r="V5" s="188">
        <v>18776181716</v>
      </c>
      <c r="W5" s="188">
        <v>12461334555</v>
      </c>
      <c r="X5" s="188">
        <v>6359705018</v>
      </c>
      <c r="Y5" s="188">
        <v>22790332463</v>
      </c>
      <c r="Z5" s="188">
        <v>16258480034</v>
      </c>
      <c r="AA5" s="188">
        <v>9502396703</v>
      </c>
      <c r="AB5" s="188">
        <v>4187777170</v>
      </c>
      <c r="AC5" s="188">
        <v>13441228862</v>
      </c>
      <c r="AD5" s="188">
        <v>9278104413</v>
      </c>
      <c r="AE5" s="188">
        <v>5344717781</v>
      </c>
      <c r="AF5" s="188">
        <v>2225369739</v>
      </c>
      <c r="AG5" s="188">
        <v>8288153030</v>
      </c>
      <c r="AH5" s="188">
        <v>6250732367</v>
      </c>
      <c r="AI5" s="188">
        <v>4125238491</v>
      </c>
      <c r="AJ5" s="188">
        <v>1879557273</v>
      </c>
      <c r="AK5" s="188">
        <v>6276649382</v>
      </c>
      <c r="AL5" s="188">
        <v>4483096549</v>
      </c>
      <c r="AM5" s="188">
        <v>2596443022</v>
      </c>
      <c r="AN5" s="188">
        <v>864438099</v>
      </c>
      <c r="AO5" s="188">
        <v>7681521839</v>
      </c>
      <c r="AP5" s="188">
        <v>6334419307</v>
      </c>
      <c r="AQ5" s="188">
        <v>4461221959</v>
      </c>
      <c r="AR5" s="188">
        <v>2340069636</v>
      </c>
      <c r="AS5" s="188">
        <v>9263870340</v>
      </c>
      <c r="AT5" s="188">
        <v>7055169892</v>
      </c>
      <c r="AU5" s="188">
        <v>4559930634</v>
      </c>
      <c r="AV5" s="188">
        <v>2298574208</v>
      </c>
      <c r="AW5" s="188">
        <v>9958263062</v>
      </c>
      <c r="AX5" s="188">
        <v>7987072496</v>
      </c>
      <c r="AY5" s="188">
        <v>5046171459</v>
      </c>
      <c r="AZ5" s="188">
        <v>2562019366</v>
      </c>
      <c r="BA5" s="188">
        <v>13250486579</v>
      </c>
      <c r="BB5" s="188">
        <v>8754813390</v>
      </c>
      <c r="BC5" s="188">
        <v>4592833526</v>
      </c>
      <c r="BD5" s="188">
        <v>2296752692</v>
      </c>
      <c r="BE5" s="188">
        <v>11151104716</v>
      </c>
      <c r="BF5" s="188">
        <v>8095466503.5600004</v>
      </c>
      <c r="BG5" s="188">
        <v>5164393136.5600004</v>
      </c>
      <c r="BH5" s="188">
        <v>3158979241.0700002</v>
      </c>
      <c r="BI5" s="188">
        <v>9445961407</v>
      </c>
      <c r="BJ5" s="188">
        <v>6456890472.2799997</v>
      </c>
      <c r="BK5" s="188">
        <v>3928513999.0300002</v>
      </c>
      <c r="BL5" s="188">
        <v>1876042908.7</v>
      </c>
      <c r="BM5" s="188">
        <v>4141952515</v>
      </c>
      <c r="BN5" s="188">
        <v>2916862326.29</v>
      </c>
      <c r="BO5" s="188">
        <v>1700945401.3199999</v>
      </c>
      <c r="BP5" s="188">
        <v>873828706.37</v>
      </c>
      <c r="BQ5" s="188">
        <v>2343508878</v>
      </c>
      <c r="BR5" s="188">
        <v>1111152298.53</v>
      </c>
      <c r="BS5" s="188">
        <v>1972761161</v>
      </c>
      <c r="BT5" s="188">
        <v>878889537</v>
      </c>
      <c r="BU5" s="188">
        <v>597255179</v>
      </c>
      <c r="BV5" s="188">
        <v>148145536.46000001</v>
      </c>
      <c r="BW5" s="188">
        <v>180067000</v>
      </c>
      <c r="BX5" s="188">
        <v>76726659.079999998</v>
      </c>
      <c r="BY5" s="188">
        <v>185375000</v>
      </c>
      <c r="BZ5" s="188">
        <v>0</v>
      </c>
      <c r="CA5" s="188">
        <v>124991000</v>
      </c>
      <c r="CB5" s="188">
        <v>125252000</v>
      </c>
      <c r="CC5" s="188">
        <v>96360000</v>
      </c>
      <c r="CD5" s="188">
        <v>0</v>
      </c>
      <c r="CE5" s="188"/>
      <c r="CF5" s="188"/>
      <c r="CG5" s="188"/>
      <c r="CH5" s="188"/>
      <c r="CI5" s="188"/>
      <c r="CJ5" s="188"/>
      <c r="CK5" s="188"/>
    </row>
    <row r="6" spans="1:89" s="3" customFormat="1" x14ac:dyDescent="0.25">
      <c r="A6" s="20" t="s">
        <v>386</v>
      </c>
      <c r="B6" s="27">
        <f>B4-B5</f>
        <v>13074410437</v>
      </c>
      <c r="C6" s="27">
        <f t="shared" ref="C6:BN6" si="0">C4-C5</f>
        <v>8329322835</v>
      </c>
      <c r="D6" s="27">
        <f t="shared" si="0"/>
        <v>4479269844</v>
      </c>
      <c r="E6" s="27">
        <f t="shared" si="0"/>
        <v>23518001630</v>
      </c>
      <c r="F6" s="27">
        <f t="shared" si="0"/>
        <v>18132959330</v>
      </c>
      <c r="G6" s="27">
        <f t="shared" si="0"/>
        <v>12369761406</v>
      </c>
      <c r="H6" s="27">
        <f t="shared" si="0"/>
        <v>6257433888</v>
      </c>
      <c r="I6" s="27">
        <f t="shared" si="0"/>
        <v>12309962872</v>
      </c>
      <c r="J6" s="27">
        <f t="shared" si="0"/>
        <v>6024762874</v>
      </c>
      <c r="K6" s="27">
        <f t="shared" si="0"/>
        <v>2461219559</v>
      </c>
      <c r="L6" s="27">
        <f t="shared" si="0"/>
        <v>774806862</v>
      </c>
      <c r="M6" s="27">
        <f t="shared" si="0"/>
        <v>9868641646</v>
      </c>
      <c r="N6" s="27">
        <f t="shared" si="0"/>
        <v>8034161249</v>
      </c>
      <c r="O6" s="27">
        <f t="shared" si="0"/>
        <v>5461237664</v>
      </c>
      <c r="P6" s="27">
        <f t="shared" si="0"/>
        <v>2882989640</v>
      </c>
      <c r="Q6" s="27">
        <f t="shared" si="0"/>
        <v>8311435947</v>
      </c>
      <c r="R6" s="27">
        <f t="shared" si="0"/>
        <v>5644868806</v>
      </c>
      <c r="S6" s="27">
        <f t="shared" si="0"/>
        <v>3483053111</v>
      </c>
      <c r="T6" s="27">
        <f t="shared" si="0"/>
        <v>1608560527</v>
      </c>
      <c r="U6" s="27">
        <f t="shared" si="0"/>
        <v>8070462188</v>
      </c>
      <c r="V6" s="27">
        <f t="shared" si="0"/>
        <v>5997589998</v>
      </c>
      <c r="W6" s="27">
        <f t="shared" si="0"/>
        <v>3792991512</v>
      </c>
      <c r="X6" s="27">
        <f t="shared" si="0"/>
        <v>1698958679</v>
      </c>
      <c r="Y6" s="27">
        <f t="shared" si="0"/>
        <v>2981250923</v>
      </c>
      <c r="Z6" s="27">
        <f t="shared" si="0"/>
        <v>864427967</v>
      </c>
      <c r="AA6" s="27">
        <f t="shared" si="0"/>
        <v>106485310</v>
      </c>
      <c r="AB6" s="27">
        <f t="shared" si="0"/>
        <v>-40135890</v>
      </c>
      <c r="AC6" s="27">
        <f t="shared" si="0"/>
        <v>-699815300</v>
      </c>
      <c r="AD6" s="27">
        <f t="shared" si="0"/>
        <v>-763467859</v>
      </c>
      <c r="AE6" s="27">
        <f t="shared" si="0"/>
        <v>-404683784</v>
      </c>
      <c r="AF6" s="27">
        <f t="shared" si="0"/>
        <v>-255723517</v>
      </c>
      <c r="AG6" s="27">
        <f t="shared" si="0"/>
        <v>-262862182</v>
      </c>
      <c r="AH6" s="27">
        <f t="shared" si="0"/>
        <v>-48668468</v>
      </c>
      <c r="AI6" s="27">
        <f t="shared" si="0"/>
        <v>61191392</v>
      </c>
      <c r="AJ6" s="27">
        <f t="shared" si="0"/>
        <v>14082080</v>
      </c>
      <c r="AK6" s="27">
        <f t="shared" si="0"/>
        <v>-27455256</v>
      </c>
      <c r="AL6" s="27">
        <f t="shared" si="0"/>
        <v>-138584228</v>
      </c>
      <c r="AM6" s="27">
        <f t="shared" si="0"/>
        <v>-298329336</v>
      </c>
      <c r="AN6" s="27">
        <f t="shared" si="0"/>
        <v>-143543023</v>
      </c>
      <c r="AO6" s="27">
        <f t="shared" si="0"/>
        <v>652493932</v>
      </c>
      <c r="AP6" s="27">
        <f t="shared" si="0"/>
        <v>937556901</v>
      </c>
      <c r="AQ6" s="27">
        <f t="shared" si="0"/>
        <v>1044679913</v>
      </c>
      <c r="AR6" s="27">
        <f t="shared" si="0"/>
        <v>596650961</v>
      </c>
      <c r="AS6" s="27">
        <f t="shared" si="0"/>
        <v>1906578515</v>
      </c>
      <c r="AT6" s="27">
        <f t="shared" si="0"/>
        <v>870925518</v>
      </c>
      <c r="AU6" s="27">
        <f t="shared" si="0"/>
        <v>129261648</v>
      </c>
      <c r="AV6" s="27">
        <f t="shared" si="0"/>
        <v>-145734844</v>
      </c>
      <c r="AW6" s="27">
        <f t="shared" si="0"/>
        <v>-1176868737</v>
      </c>
      <c r="AX6" s="27">
        <f t="shared" si="0"/>
        <v>-1327000028</v>
      </c>
      <c r="AY6" s="27">
        <f t="shared" si="0"/>
        <v>-755162531</v>
      </c>
      <c r="AZ6" s="27">
        <f t="shared" si="0"/>
        <v>-157248780</v>
      </c>
      <c r="BA6" s="27">
        <f t="shared" si="0"/>
        <v>211306514</v>
      </c>
      <c r="BB6" s="27">
        <f t="shared" si="0"/>
        <v>-207002920</v>
      </c>
      <c r="BC6" s="27">
        <f t="shared" si="0"/>
        <v>-271122775</v>
      </c>
      <c r="BD6" s="27">
        <f t="shared" si="0"/>
        <v>-214888090</v>
      </c>
      <c r="BE6" s="27">
        <f t="shared" si="0"/>
        <v>1290602850</v>
      </c>
      <c r="BF6" s="27">
        <f t="shared" si="0"/>
        <v>1215379234.4399996</v>
      </c>
      <c r="BG6" s="27">
        <f t="shared" si="0"/>
        <v>1069819107.8299999</v>
      </c>
      <c r="BH6" s="27">
        <f t="shared" si="0"/>
        <v>535064531.23999977</v>
      </c>
      <c r="BI6" s="27">
        <f t="shared" si="0"/>
        <v>1734144921</v>
      </c>
      <c r="BJ6" s="27">
        <f t="shared" si="0"/>
        <v>1193566159.6400003</v>
      </c>
      <c r="BK6" s="27">
        <f t="shared" si="0"/>
        <v>769435373.44000006</v>
      </c>
      <c r="BL6" s="27">
        <f t="shared" si="0"/>
        <v>377484941.75999999</v>
      </c>
      <c r="BM6" s="27">
        <f t="shared" si="0"/>
        <v>640634974</v>
      </c>
      <c r="BN6" s="27">
        <f t="shared" si="0"/>
        <v>502723295.67999983</v>
      </c>
      <c r="BO6" s="27">
        <f t="shared" ref="BO6:CK6" si="1">BO4-BO5</f>
        <v>311382798.26999998</v>
      </c>
      <c r="BP6" s="27">
        <f t="shared" si="1"/>
        <v>165540058.41999996</v>
      </c>
      <c r="BQ6" s="27">
        <f t="shared" si="1"/>
        <v>326034250</v>
      </c>
      <c r="BR6" s="27">
        <f t="shared" si="1"/>
        <v>165129206.04999995</v>
      </c>
      <c r="BS6" s="27">
        <f t="shared" si="1"/>
        <v>262061317</v>
      </c>
      <c r="BT6" s="27">
        <f t="shared" si="1"/>
        <v>114325667</v>
      </c>
      <c r="BU6" s="27">
        <f t="shared" si="1"/>
        <v>144631792</v>
      </c>
      <c r="BV6" s="27">
        <f t="shared" si="1"/>
        <v>52591563.469999999</v>
      </c>
      <c r="BW6" s="27">
        <f t="shared" si="1"/>
        <v>57430000</v>
      </c>
      <c r="BX6" s="27">
        <f t="shared" si="1"/>
        <v>29074448.079999998</v>
      </c>
      <c r="BY6" s="27">
        <f t="shared" si="1"/>
        <v>89725000</v>
      </c>
      <c r="BZ6" s="27">
        <f t="shared" si="1"/>
        <v>111102000</v>
      </c>
      <c r="CA6" s="27">
        <f t="shared" si="1"/>
        <v>66174000</v>
      </c>
      <c r="CB6" s="27">
        <f t="shared" si="1"/>
        <v>58567000</v>
      </c>
      <c r="CC6" s="27">
        <f t="shared" si="1"/>
        <v>38432000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18.82173881265674</v>
      </c>
      <c r="C7" s="57">
        <f t="shared" ref="C7:D7" si="2">C6/C4*100</f>
        <v>19.159362016166213</v>
      </c>
      <c r="D7" s="57">
        <f t="shared" si="2"/>
        <v>20.769270992034706</v>
      </c>
      <c r="E7" s="57">
        <f>E6/E4</f>
        <v>0.25072368314978871</v>
      </c>
      <c r="F7" s="57">
        <f t="shared" ref="F7:BQ7" si="3">F6/F4</f>
        <v>0.26125037873508983</v>
      </c>
      <c r="G7" s="57">
        <f t="shared" si="3"/>
        <v>0.2773176469564505</v>
      </c>
      <c r="H7" s="57">
        <f t="shared" si="3"/>
        <v>0.28631623100322717</v>
      </c>
      <c r="I7" s="57">
        <f t="shared" si="3"/>
        <v>0.17867545005427687</v>
      </c>
      <c r="J7" s="57">
        <f t="shared" si="3"/>
        <v>0.13142479086335479</v>
      </c>
      <c r="K7" s="57">
        <f t="shared" si="3"/>
        <v>9.3057722488794667E-2</v>
      </c>
      <c r="L7" s="57">
        <f t="shared" si="3"/>
        <v>6.3004010144521824E-2</v>
      </c>
      <c r="M7" s="57">
        <f t="shared" si="3"/>
        <v>0.20295936113412025</v>
      </c>
      <c r="N7" s="57">
        <f t="shared" si="3"/>
        <v>0.22059480654726243</v>
      </c>
      <c r="O7" s="57">
        <f t="shared" si="3"/>
        <v>0.23774645312930534</v>
      </c>
      <c r="P7" s="57">
        <f t="shared" si="3"/>
        <v>0.24890148366424525</v>
      </c>
      <c r="Q7" s="57">
        <f t="shared" si="3"/>
        <v>0.22575414102785843</v>
      </c>
      <c r="R7" s="57">
        <f t="shared" si="3"/>
        <v>0.22322260826963572</v>
      </c>
      <c r="S7" s="57">
        <f t="shared" si="3"/>
        <v>0.21616185819423595</v>
      </c>
      <c r="T7" s="57">
        <f t="shared" si="3"/>
        <v>0.19879192740845786</v>
      </c>
      <c r="U7" s="57">
        <f t="shared" si="3"/>
        <v>0.2389528613218378</v>
      </c>
      <c r="V7" s="57">
        <f t="shared" si="3"/>
        <v>0.24209434345480302</v>
      </c>
      <c r="W7" s="57">
        <f t="shared" si="3"/>
        <v>0.23335273922556779</v>
      </c>
      <c r="X7" s="57">
        <f t="shared" si="3"/>
        <v>0.21082387141089801</v>
      </c>
      <c r="Y7" s="57">
        <f t="shared" si="3"/>
        <v>0.11567977327382674</v>
      </c>
      <c r="Z7" s="57">
        <f t="shared" si="3"/>
        <v>5.0483712635115266E-2</v>
      </c>
      <c r="AA7" s="57">
        <f t="shared" si="3"/>
        <v>1.1081966648766676E-2</v>
      </c>
      <c r="AB7" s="57">
        <f t="shared" si="3"/>
        <v>-9.6767987611503375E-3</v>
      </c>
      <c r="AC7" s="57">
        <f t="shared" si="3"/>
        <v>-5.4924463176293847E-2</v>
      </c>
      <c r="AD7" s="57">
        <f t="shared" si="3"/>
        <v>-8.9665349091305441E-2</v>
      </c>
      <c r="AE7" s="57">
        <f t="shared" si="3"/>
        <v>-8.1919230565165688E-2</v>
      </c>
      <c r="AF7" s="57">
        <f t="shared" si="3"/>
        <v>-0.12983220750188101</v>
      </c>
      <c r="AG7" s="57">
        <f t="shared" si="3"/>
        <v>-3.2754224984320471E-2</v>
      </c>
      <c r="AH7" s="57">
        <f t="shared" si="3"/>
        <v>-7.8471406926083325E-3</v>
      </c>
      <c r="AI7" s="57">
        <f t="shared" si="3"/>
        <v>1.4616605009552957E-2</v>
      </c>
      <c r="AJ7" s="57">
        <f t="shared" si="3"/>
        <v>7.4365163449367751E-3</v>
      </c>
      <c r="AK7" s="57">
        <f t="shared" si="3"/>
        <v>-4.3934074452530456E-3</v>
      </c>
      <c r="AL7" s="57">
        <f t="shared" si="3"/>
        <v>-3.1898684538222533E-2</v>
      </c>
      <c r="AM7" s="57">
        <f t="shared" si="3"/>
        <v>-0.12981487287483132</v>
      </c>
      <c r="AN7" s="57">
        <f t="shared" si="3"/>
        <v>-0.19911777424874519</v>
      </c>
      <c r="AO7" s="57">
        <f t="shared" si="3"/>
        <v>7.8292860240376905E-2</v>
      </c>
      <c r="AP7" s="57">
        <f t="shared" si="3"/>
        <v>0.12892738839939835</v>
      </c>
      <c r="AQ7" s="57">
        <f t="shared" si="3"/>
        <v>0.18973820044136086</v>
      </c>
      <c r="AR7" s="57">
        <f t="shared" si="3"/>
        <v>0.20316912736251019</v>
      </c>
      <c r="AS7" s="57">
        <f t="shared" si="3"/>
        <v>0.17068056438453655</v>
      </c>
      <c r="AT7" s="57">
        <f t="shared" si="3"/>
        <v>0.1098807764667067</v>
      </c>
      <c r="AU7" s="57">
        <f t="shared" si="3"/>
        <v>2.7565866406499388E-2</v>
      </c>
      <c r="AV7" s="57">
        <f t="shared" si="3"/>
        <v>-6.7694249016899716E-2</v>
      </c>
      <c r="AW7" s="57">
        <f t="shared" si="3"/>
        <v>-0.13401843641727135</v>
      </c>
      <c r="AX7" s="57">
        <f t="shared" si="3"/>
        <v>-0.19924708542976172</v>
      </c>
      <c r="AY7" s="57">
        <f t="shared" si="3"/>
        <v>-0.17598717310336018</v>
      </c>
      <c r="AZ7" s="57">
        <f t="shared" si="3"/>
        <v>-6.5390345721735299E-2</v>
      </c>
      <c r="BA7" s="57">
        <f t="shared" si="3"/>
        <v>1.5696758413994441E-2</v>
      </c>
      <c r="BB7" s="57">
        <f t="shared" si="3"/>
        <v>-2.42170694736988E-2</v>
      </c>
      <c r="BC7" s="57">
        <f t="shared" si="3"/>
        <v>-6.2735058087185713E-2</v>
      </c>
      <c r="BD7" s="57">
        <f t="shared" si="3"/>
        <v>-0.10321905170661046</v>
      </c>
      <c r="BE7" s="57">
        <f t="shared" si="3"/>
        <v>0.10373197112644626</v>
      </c>
      <c r="BF7" s="57">
        <f t="shared" si="3"/>
        <v>0.13053370968006897</v>
      </c>
      <c r="BG7" s="57">
        <f t="shared" si="3"/>
        <v>0.17160453733231512</v>
      </c>
      <c r="BH7" s="57">
        <f t="shared" si="3"/>
        <v>0.14484520601806711</v>
      </c>
      <c r="BI7" s="57">
        <f t="shared" si="3"/>
        <v>0.15510987732352091</v>
      </c>
      <c r="BJ7" s="57">
        <f t="shared" si="3"/>
        <v>0.15601240776401298</v>
      </c>
      <c r="BK7" s="57">
        <f t="shared" si="3"/>
        <v>0.16378111223354044</v>
      </c>
      <c r="BL7" s="57">
        <f t="shared" si="3"/>
        <v>0.16750844312083657</v>
      </c>
      <c r="BM7" s="57">
        <f t="shared" si="3"/>
        <v>0.13395154306606349</v>
      </c>
      <c r="BN7" s="57">
        <f t="shared" si="3"/>
        <v>0.14701292824783385</v>
      </c>
      <c r="BO7" s="57">
        <f t="shared" si="3"/>
        <v>0.15473758124218623</v>
      </c>
      <c r="BP7" s="57">
        <f t="shared" si="3"/>
        <v>0.1592698030072576</v>
      </c>
      <c r="BQ7" s="57">
        <f t="shared" si="3"/>
        <v>0.12213110422541186</v>
      </c>
      <c r="BR7" s="57">
        <f t="shared" ref="BR7:CK7" si="4">BR6/BR4</f>
        <v>0.12938305965997748</v>
      </c>
      <c r="BS7" s="57">
        <f t="shared" si="4"/>
        <v>0.11726269964607006</v>
      </c>
      <c r="BT7" s="57">
        <f t="shared" si="4"/>
        <v>0.11510664208479032</v>
      </c>
      <c r="BU7" s="57">
        <f t="shared" si="4"/>
        <v>0.19495124952126974</v>
      </c>
      <c r="BV7" s="57">
        <f t="shared" si="4"/>
        <v>0.26199224502266621</v>
      </c>
      <c r="BW7" s="57">
        <f t="shared" si="4"/>
        <v>0.24181358080312593</v>
      </c>
      <c r="BX7" s="57">
        <f t="shared" si="4"/>
        <v>0.27480287173206552</v>
      </c>
      <c r="BY7" s="57">
        <f t="shared" si="4"/>
        <v>0.3261541257724464</v>
      </c>
      <c r="BZ7" s="57">
        <f t="shared" si="4"/>
        <v>1</v>
      </c>
      <c r="CA7" s="57">
        <f t="shared" si="4"/>
        <v>0.34616169277848979</v>
      </c>
      <c r="CB7" s="57">
        <f t="shared" si="4"/>
        <v>0.31861233060782618</v>
      </c>
      <c r="CC7" s="57">
        <f t="shared" si="4"/>
        <v>0.28512077868122737</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8">
        <v>502623237</v>
      </c>
      <c r="C8" s="188">
        <v>302565754</v>
      </c>
      <c r="D8" s="188">
        <v>126606726</v>
      </c>
      <c r="E8" s="188">
        <v>708381529</v>
      </c>
      <c r="F8" s="188">
        <v>500036766</v>
      </c>
      <c r="G8" s="188">
        <v>355700992</v>
      </c>
      <c r="H8" s="188">
        <v>164990714</v>
      </c>
      <c r="I8" s="188">
        <v>459263933</v>
      </c>
      <c r="J8" s="188">
        <v>128940793</v>
      </c>
      <c r="K8" s="188">
        <v>92930181</v>
      </c>
      <c r="L8" s="188">
        <v>44346672</v>
      </c>
      <c r="M8" s="188">
        <v>275798416</v>
      </c>
      <c r="N8" s="188">
        <v>170970012</v>
      </c>
      <c r="O8" s="188">
        <v>114336421</v>
      </c>
      <c r="P8" s="188">
        <v>37064077</v>
      </c>
      <c r="Q8" s="188">
        <v>118087384</v>
      </c>
      <c r="R8" s="188">
        <v>70514559</v>
      </c>
      <c r="S8" s="188">
        <v>37970365</v>
      </c>
      <c r="T8" s="188">
        <v>11732346</v>
      </c>
      <c r="U8" s="188">
        <v>183485959</v>
      </c>
      <c r="V8" s="188">
        <v>93873199</v>
      </c>
      <c r="W8" s="188">
        <v>65939290</v>
      </c>
      <c r="X8" s="188">
        <v>16345710</v>
      </c>
      <c r="Y8" s="188">
        <v>93799557</v>
      </c>
      <c r="Z8" s="188">
        <v>23800903</v>
      </c>
      <c r="AA8" s="188">
        <v>15264131</v>
      </c>
      <c r="AB8" s="188">
        <v>7702861</v>
      </c>
      <c r="AC8" s="188">
        <v>29565342</v>
      </c>
      <c r="AD8" s="188">
        <v>17587636</v>
      </c>
      <c r="AE8" s="188">
        <v>10971045</v>
      </c>
      <c r="AF8" s="188">
        <v>4430424</v>
      </c>
      <c r="AG8" s="188">
        <v>20192402</v>
      </c>
      <c r="AH8" s="188">
        <v>13582943</v>
      </c>
      <c r="AI8" s="188">
        <v>9167917</v>
      </c>
      <c r="AJ8" s="188">
        <v>4100445</v>
      </c>
      <c r="AK8" s="188">
        <v>16062625</v>
      </c>
      <c r="AL8" s="188">
        <v>11942628</v>
      </c>
      <c r="AM8" s="188">
        <v>7330781</v>
      </c>
      <c r="AN8" s="188">
        <v>3704183</v>
      </c>
      <c r="AO8" s="188">
        <v>27616539</v>
      </c>
      <c r="AP8" s="188">
        <v>15954118</v>
      </c>
      <c r="AQ8" s="188">
        <v>11330331</v>
      </c>
      <c r="AR8" s="188">
        <v>7065669</v>
      </c>
      <c r="AS8" s="188">
        <v>16445071</v>
      </c>
      <c r="AT8" s="188">
        <v>7966100</v>
      </c>
      <c r="AU8" s="188">
        <v>5278833</v>
      </c>
      <c r="AV8" s="188">
        <v>2514506</v>
      </c>
      <c r="AW8" s="188">
        <v>11427851</v>
      </c>
      <c r="AX8" s="188">
        <v>6922451</v>
      </c>
      <c r="AY8" s="188">
        <v>4643460</v>
      </c>
      <c r="AZ8" s="188">
        <v>2083310</v>
      </c>
      <c r="BA8" s="188">
        <v>12080073</v>
      </c>
      <c r="BB8" s="188">
        <v>6293803</v>
      </c>
      <c r="BC8" s="188">
        <v>3932284</v>
      </c>
      <c r="BD8" s="188">
        <v>2211347</v>
      </c>
      <c r="BE8" s="188">
        <v>6735003</v>
      </c>
      <c r="BF8" s="188">
        <v>4852424.3600000003</v>
      </c>
      <c r="BG8" s="188">
        <v>3122219.34</v>
      </c>
      <c r="BH8" s="188">
        <v>1365231.55</v>
      </c>
      <c r="BI8" s="188">
        <v>3179080</v>
      </c>
      <c r="BJ8" s="188">
        <v>2981773.4</v>
      </c>
      <c r="BK8" s="188">
        <v>1850101.33</v>
      </c>
      <c r="BL8" s="188">
        <v>1129045.3999999999</v>
      </c>
      <c r="BM8" s="188">
        <v>5083711</v>
      </c>
      <c r="BN8" s="188">
        <v>3695711.98</v>
      </c>
      <c r="BO8" s="188">
        <v>2476144.21</v>
      </c>
      <c r="BP8" s="188">
        <v>1388557.82</v>
      </c>
      <c r="BQ8" s="188">
        <v>5628198</v>
      </c>
      <c r="BR8" s="188">
        <v>1963435.25</v>
      </c>
      <c r="BS8" s="188">
        <v>3849421</v>
      </c>
      <c r="BT8" s="188">
        <v>1497757</v>
      </c>
      <c r="BU8" s="188">
        <v>3043816</v>
      </c>
      <c r="BV8" s="188">
        <v>1671132.22</v>
      </c>
      <c r="BW8" s="188">
        <v>925000</v>
      </c>
      <c r="BX8" s="188">
        <v>913812.65</v>
      </c>
      <c r="BY8" s="188">
        <v>2505000</v>
      </c>
      <c r="BZ8" s="188">
        <v>0</v>
      </c>
      <c r="CA8" s="188">
        <v>1126000</v>
      </c>
      <c r="CB8" s="188">
        <v>907000</v>
      </c>
      <c r="CC8" s="188">
        <v>859000</v>
      </c>
      <c r="CD8" s="188">
        <v>0</v>
      </c>
      <c r="CE8" s="188"/>
      <c r="CF8" s="188"/>
      <c r="CG8" s="188"/>
      <c r="CH8" s="188"/>
      <c r="CI8" s="188"/>
      <c r="CJ8" s="188"/>
      <c r="CK8" s="188"/>
    </row>
    <row r="9" spans="1:89" x14ac:dyDescent="0.25">
      <c r="A9" s="17" t="s">
        <v>389</v>
      </c>
      <c r="B9" s="188">
        <v>2046342664</v>
      </c>
      <c r="C9" s="188">
        <v>1294782594</v>
      </c>
      <c r="D9" s="188">
        <v>645056446</v>
      </c>
      <c r="E9" s="188">
        <v>2591925798</v>
      </c>
      <c r="F9" s="188">
        <v>1988692991</v>
      </c>
      <c r="G9" s="188">
        <v>1228560863</v>
      </c>
      <c r="H9" s="188">
        <v>692246016</v>
      </c>
      <c r="I9" s="188">
        <v>1984361921</v>
      </c>
      <c r="J9" s="188">
        <v>1172795371</v>
      </c>
      <c r="K9" s="188">
        <v>696216454</v>
      </c>
      <c r="L9" s="188">
        <v>311709165</v>
      </c>
      <c r="M9" s="188">
        <v>1290038686</v>
      </c>
      <c r="N9" s="188">
        <v>909331602</v>
      </c>
      <c r="O9" s="188">
        <v>532688703</v>
      </c>
      <c r="P9" s="188">
        <v>292575878</v>
      </c>
      <c r="Q9" s="188">
        <v>998114416</v>
      </c>
      <c r="R9" s="188">
        <v>746885192</v>
      </c>
      <c r="S9" s="188">
        <v>481663833</v>
      </c>
      <c r="T9" s="188">
        <v>236028598</v>
      </c>
      <c r="U9" s="188">
        <v>1044684152</v>
      </c>
      <c r="V9" s="188">
        <v>829423848</v>
      </c>
      <c r="W9" s="188">
        <v>516250043</v>
      </c>
      <c r="X9" s="188">
        <v>276288031</v>
      </c>
      <c r="Y9" s="188">
        <v>651287241</v>
      </c>
      <c r="Z9" s="188">
        <v>421173934</v>
      </c>
      <c r="AA9" s="188">
        <v>254457109</v>
      </c>
      <c r="AB9" s="188">
        <v>122244706</v>
      </c>
      <c r="AC9" s="188">
        <v>439290894</v>
      </c>
      <c r="AD9" s="188">
        <v>272911852</v>
      </c>
      <c r="AE9" s="188">
        <v>169760957</v>
      </c>
      <c r="AF9" s="188">
        <v>71767816</v>
      </c>
      <c r="AG9" s="188">
        <v>201473551</v>
      </c>
      <c r="AH9" s="188">
        <v>151517241</v>
      </c>
      <c r="AI9" s="188">
        <v>96902691</v>
      </c>
      <c r="AJ9" s="188">
        <v>43182256</v>
      </c>
      <c r="AK9" s="188">
        <v>121024350</v>
      </c>
      <c r="AL9" s="188">
        <v>80638895</v>
      </c>
      <c r="AM9" s="188">
        <v>48281242</v>
      </c>
      <c r="AN9" s="188">
        <v>21607257</v>
      </c>
      <c r="AO9" s="188">
        <v>160568845</v>
      </c>
      <c r="AP9" s="188">
        <v>129853731</v>
      </c>
      <c r="AQ9" s="188">
        <v>95740202</v>
      </c>
      <c r="AR9" s="188">
        <v>53506650</v>
      </c>
      <c r="AS9" s="188">
        <v>197845776</v>
      </c>
      <c r="AT9" s="188">
        <v>155033175</v>
      </c>
      <c r="AU9" s="188">
        <v>97019148</v>
      </c>
      <c r="AV9" s="188">
        <v>47143839</v>
      </c>
      <c r="AW9" s="188">
        <v>227074656</v>
      </c>
      <c r="AX9" s="188">
        <v>144323834</v>
      </c>
      <c r="AY9" s="188">
        <v>104038629</v>
      </c>
      <c r="AZ9" s="188">
        <v>49357203</v>
      </c>
      <c r="BA9" s="188">
        <v>322747515</v>
      </c>
      <c r="BB9" s="188">
        <v>194137207</v>
      </c>
      <c r="BC9" s="188">
        <v>136715718</v>
      </c>
      <c r="BD9" s="188">
        <v>46121350</v>
      </c>
      <c r="BE9" s="188">
        <v>315449047</v>
      </c>
      <c r="BF9" s="188">
        <v>165680117.30000001</v>
      </c>
      <c r="BG9" s="188">
        <v>128361654.23999999</v>
      </c>
      <c r="BH9" s="188">
        <v>59623674.009999998</v>
      </c>
      <c r="BI9" s="188">
        <v>288021247</v>
      </c>
      <c r="BJ9" s="188">
        <v>207509814.50999999</v>
      </c>
      <c r="BK9" s="188">
        <v>131500096.73</v>
      </c>
      <c r="BL9" s="188">
        <v>50078162.030000001</v>
      </c>
      <c r="BM9" s="188">
        <v>160302381</v>
      </c>
      <c r="BN9" s="188">
        <v>110090703.59999999</v>
      </c>
      <c r="BO9" s="188">
        <v>68635490.280000001</v>
      </c>
      <c r="BP9" s="188">
        <v>28636270.23</v>
      </c>
      <c r="BQ9" s="188">
        <v>72966442</v>
      </c>
      <c r="BR9" s="188">
        <v>43138137.799999997</v>
      </c>
      <c r="BS9" s="188">
        <v>65355965</v>
      </c>
      <c r="BT9" s="188">
        <v>27656135</v>
      </c>
      <c r="BU9" s="188">
        <v>12341138</v>
      </c>
      <c r="BV9" s="188">
        <v>5990075.5300000003</v>
      </c>
      <c r="BW9" s="188">
        <v>5175000</v>
      </c>
      <c r="BX9" s="188">
        <v>1744189.72</v>
      </c>
      <c r="BY9" s="188">
        <v>4079000</v>
      </c>
      <c r="BZ9" s="188">
        <v>0</v>
      </c>
      <c r="CA9" s="188">
        <v>4082000</v>
      </c>
      <c r="CB9" s="188">
        <v>3669000</v>
      </c>
      <c r="CC9" s="188">
        <v>2900000</v>
      </c>
      <c r="CD9" s="188">
        <v>0</v>
      </c>
      <c r="CE9" s="188"/>
      <c r="CF9" s="188"/>
      <c r="CG9" s="188"/>
      <c r="CH9" s="188"/>
      <c r="CI9" s="188"/>
      <c r="CJ9" s="188"/>
      <c r="CK9" s="188"/>
    </row>
    <row r="10" spans="1:89" x14ac:dyDescent="0.25">
      <c r="A10" s="17" t="s">
        <v>390</v>
      </c>
      <c r="B10" s="188">
        <v>3615086182</v>
      </c>
      <c r="C10" s="188">
        <v>3743903273</v>
      </c>
      <c r="D10" s="188">
        <v>1810493873</v>
      </c>
      <c r="E10" s="188">
        <v>7246543340</v>
      </c>
      <c r="F10" s="188">
        <v>4885486924</v>
      </c>
      <c r="G10" s="188">
        <v>3052661575</v>
      </c>
      <c r="H10" s="188">
        <v>1502882338</v>
      </c>
      <c r="I10" s="188">
        <v>5618443652</v>
      </c>
      <c r="J10" s="188">
        <v>3877791881</v>
      </c>
      <c r="K10" s="188">
        <v>2311090435</v>
      </c>
      <c r="L10" s="188">
        <v>1197906250</v>
      </c>
      <c r="M10" s="188">
        <v>4675778199</v>
      </c>
      <c r="N10" s="188">
        <v>3512957536</v>
      </c>
      <c r="O10" s="188">
        <v>2252419046</v>
      </c>
      <c r="P10" s="188">
        <v>1125646463</v>
      </c>
      <c r="Q10" s="188">
        <v>3876636817</v>
      </c>
      <c r="R10" s="188">
        <v>2632839349</v>
      </c>
      <c r="S10" s="188">
        <v>1698855995</v>
      </c>
      <c r="T10" s="188">
        <v>774557649</v>
      </c>
      <c r="U10" s="188">
        <v>3276324892</v>
      </c>
      <c r="V10" s="188">
        <v>2240233597</v>
      </c>
      <c r="W10" s="188">
        <v>1449893803</v>
      </c>
      <c r="X10" s="188">
        <v>683539722</v>
      </c>
      <c r="Y10" s="188">
        <v>2224171078</v>
      </c>
      <c r="Z10" s="188">
        <v>1509435881</v>
      </c>
      <c r="AA10" s="188">
        <v>950037835</v>
      </c>
      <c r="AB10" s="188">
        <v>469276557</v>
      </c>
      <c r="AC10" s="188">
        <v>1800963588</v>
      </c>
      <c r="AD10" s="188">
        <v>1181463915</v>
      </c>
      <c r="AE10" s="188">
        <v>817952938</v>
      </c>
      <c r="AF10" s="188">
        <v>465049868</v>
      </c>
      <c r="AG10" s="188">
        <v>1458739829</v>
      </c>
      <c r="AH10" s="188">
        <v>917230556</v>
      </c>
      <c r="AI10" s="188">
        <v>529994057</v>
      </c>
      <c r="AJ10" s="188">
        <v>253948969</v>
      </c>
      <c r="AK10" s="188">
        <v>873064864</v>
      </c>
      <c r="AL10" s="188">
        <v>678440756</v>
      </c>
      <c r="AM10" s="188">
        <v>519834580</v>
      </c>
      <c r="AN10" s="188">
        <v>346168324</v>
      </c>
      <c r="AO10" s="188">
        <v>814893919</v>
      </c>
      <c r="AP10" s="188">
        <v>512388390</v>
      </c>
      <c r="AQ10" s="188">
        <v>343636500</v>
      </c>
      <c r="AR10" s="188">
        <v>170400163</v>
      </c>
      <c r="AS10" s="188">
        <v>559821122</v>
      </c>
      <c r="AT10" s="188">
        <v>346709887</v>
      </c>
      <c r="AU10" s="188">
        <v>222899365</v>
      </c>
      <c r="AV10" s="188">
        <v>123429748</v>
      </c>
      <c r="AW10" s="188">
        <v>1033154825</v>
      </c>
      <c r="AX10" s="188">
        <v>913729278</v>
      </c>
      <c r="AY10" s="188">
        <v>753656800</v>
      </c>
      <c r="AZ10" s="188">
        <v>247626532</v>
      </c>
      <c r="BA10" s="188">
        <v>1063188303</v>
      </c>
      <c r="BB10" s="188">
        <v>686269241</v>
      </c>
      <c r="BC10" s="188">
        <v>419849719</v>
      </c>
      <c r="BD10" s="188">
        <v>163677555</v>
      </c>
      <c r="BE10" s="188">
        <v>952426798</v>
      </c>
      <c r="BF10" s="188">
        <v>660987814.63999999</v>
      </c>
      <c r="BG10" s="188">
        <v>493425750.63999999</v>
      </c>
      <c r="BH10" s="188">
        <v>207663216.22</v>
      </c>
      <c r="BI10" s="188">
        <v>792860866</v>
      </c>
      <c r="BJ10" s="188">
        <v>490308910.43000001</v>
      </c>
      <c r="BK10" s="188">
        <v>304038688.27999997</v>
      </c>
      <c r="BL10" s="188">
        <v>129116278.90000001</v>
      </c>
      <c r="BM10" s="188">
        <v>272542389</v>
      </c>
      <c r="BN10" s="188">
        <v>185740915.27000001</v>
      </c>
      <c r="BO10" s="188">
        <v>87496595.129999995</v>
      </c>
      <c r="BP10" s="188">
        <v>54918136.380000003</v>
      </c>
      <c r="BQ10" s="188">
        <v>106699811</v>
      </c>
      <c r="BR10" s="188">
        <v>44333713.030000001</v>
      </c>
      <c r="BS10" s="188">
        <v>87894282</v>
      </c>
      <c r="BT10" s="188">
        <v>33845084</v>
      </c>
      <c r="BU10" s="188">
        <v>67191857</v>
      </c>
      <c r="BV10" s="188">
        <v>29194987.050000001</v>
      </c>
      <c r="BW10" s="188">
        <v>30728000</v>
      </c>
      <c r="BX10" s="188">
        <v>11184765.08</v>
      </c>
      <c r="BY10" s="188">
        <v>26634000</v>
      </c>
      <c r="BZ10" s="188">
        <v>0</v>
      </c>
      <c r="CA10" s="188">
        <v>34475000</v>
      </c>
      <c r="CB10" s="188">
        <v>40570000</v>
      </c>
      <c r="CC10" s="188">
        <v>22818000</v>
      </c>
      <c r="CD10" s="188">
        <v>0</v>
      </c>
      <c r="CE10" s="188"/>
      <c r="CF10" s="188"/>
      <c r="CG10" s="188"/>
      <c r="CH10" s="188"/>
      <c r="CI10" s="188"/>
      <c r="CJ10" s="188"/>
      <c r="CK10" s="188"/>
    </row>
    <row r="11" spans="1:89" x14ac:dyDescent="0.25">
      <c r="A11" s="17" t="s">
        <v>391</v>
      </c>
      <c r="B11" s="188">
        <v>783454658</v>
      </c>
      <c r="C11" s="188">
        <v>458149260</v>
      </c>
      <c r="D11" s="188">
        <v>219215222</v>
      </c>
      <c r="E11" s="188">
        <v>2229524682</v>
      </c>
      <c r="F11" s="188">
        <v>1757042642</v>
      </c>
      <c r="G11" s="188">
        <v>1423446130</v>
      </c>
      <c r="H11" s="188">
        <v>471780755</v>
      </c>
      <c r="I11" s="188">
        <v>1594488553</v>
      </c>
      <c r="J11" s="188">
        <v>778634001</v>
      </c>
      <c r="K11" s="188">
        <v>514822946</v>
      </c>
      <c r="L11" s="188">
        <v>203349636</v>
      </c>
      <c r="M11" s="188">
        <v>1364500152</v>
      </c>
      <c r="N11" s="188">
        <v>680466112</v>
      </c>
      <c r="O11" s="188">
        <v>497321170</v>
      </c>
      <c r="P11" s="188">
        <v>189081451</v>
      </c>
      <c r="Q11" s="188">
        <v>1211771939</v>
      </c>
      <c r="R11" s="188">
        <v>645515924</v>
      </c>
      <c r="S11" s="188">
        <v>385176764</v>
      </c>
      <c r="T11" s="188">
        <v>72796877</v>
      </c>
      <c r="U11" s="188">
        <v>913797501</v>
      </c>
      <c r="V11" s="188">
        <v>764266092</v>
      </c>
      <c r="W11" s="188">
        <v>519695005</v>
      </c>
      <c r="X11" s="188">
        <v>262050065</v>
      </c>
      <c r="Y11" s="188">
        <v>438799442</v>
      </c>
      <c r="Z11" s="188">
        <v>-80813690</v>
      </c>
      <c r="AA11" s="188">
        <v>-11889069</v>
      </c>
      <c r="AB11" s="188">
        <v>171363867</v>
      </c>
      <c r="AC11" s="188">
        <v>1380457807</v>
      </c>
      <c r="AD11" s="188">
        <v>128907232</v>
      </c>
      <c r="AE11" s="188">
        <v>58778909</v>
      </c>
      <c r="AF11" s="188">
        <v>49058481</v>
      </c>
      <c r="AG11" s="188">
        <v>454631810</v>
      </c>
      <c r="AH11" s="188">
        <v>35269421</v>
      </c>
      <c r="AI11" s="188">
        <v>26528431</v>
      </c>
      <c r="AJ11" s="188">
        <v>66579150</v>
      </c>
      <c r="AK11" s="188">
        <v>89200303</v>
      </c>
      <c r="AL11" s="188">
        <v>-150984444</v>
      </c>
      <c r="AM11" s="188">
        <v>-136237477</v>
      </c>
      <c r="AN11" s="188">
        <v>-36159362</v>
      </c>
      <c r="AO11" s="188">
        <v>312504311</v>
      </c>
      <c r="AP11" s="188">
        <v>187750497</v>
      </c>
      <c r="AQ11" s="188">
        <v>2568398</v>
      </c>
      <c r="AR11" s="188">
        <v>-917853</v>
      </c>
      <c r="AS11" s="188">
        <v>119783374</v>
      </c>
      <c r="AT11" s="188">
        <v>-58824986</v>
      </c>
      <c r="AU11" s="188">
        <v>-65480802</v>
      </c>
      <c r="AV11" s="188">
        <v>-17260118</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v>0</v>
      </c>
      <c r="BP11" s="188">
        <v>0</v>
      </c>
      <c r="BQ11" s="188">
        <v>0</v>
      </c>
      <c r="BR11" s="188">
        <v>0</v>
      </c>
      <c r="BS11" s="188">
        <v>-757907</v>
      </c>
      <c r="BT11" s="188">
        <v>0</v>
      </c>
      <c r="BU11" s="188">
        <v>0</v>
      </c>
      <c r="BV11" s="188">
        <v>0</v>
      </c>
      <c r="BW11" s="188">
        <v>3200000</v>
      </c>
      <c r="BX11" s="188">
        <v>0</v>
      </c>
      <c r="BY11" s="188">
        <v>0</v>
      </c>
      <c r="BZ11" s="188">
        <v>0</v>
      </c>
      <c r="CA11" s="188">
        <v>0</v>
      </c>
      <c r="CB11" s="188">
        <v>0</v>
      </c>
      <c r="CC11" s="188">
        <v>0</v>
      </c>
      <c r="CD11" s="188">
        <v>0</v>
      </c>
      <c r="CE11" s="188"/>
      <c r="CF11" s="188"/>
      <c r="CG11" s="188"/>
      <c r="CH11" s="188"/>
      <c r="CI11" s="188"/>
      <c r="CJ11" s="188"/>
      <c r="CK11" s="188"/>
    </row>
    <row r="12" spans="1:89" s="7" customFormat="1" x14ac:dyDescent="0.25">
      <c r="A12" s="21" t="s">
        <v>392</v>
      </c>
      <c r="B12" s="29">
        <f>B55</f>
        <v>463</v>
      </c>
      <c r="C12" s="29">
        <f t="shared" ref="C12:BN12" si="5">C55</f>
        <v>603</v>
      </c>
      <c r="D12" s="29">
        <f t="shared" si="5"/>
        <v>653</v>
      </c>
      <c r="E12" s="29">
        <f t="shared" si="5"/>
        <v>113842472</v>
      </c>
      <c r="F12" s="29">
        <f t="shared" si="5"/>
        <v>1204</v>
      </c>
      <c r="G12" s="29">
        <f t="shared" si="5"/>
        <v>868</v>
      </c>
      <c r="H12" s="29">
        <f t="shared" si="5"/>
        <v>644</v>
      </c>
      <c r="I12" s="29">
        <f t="shared" si="5"/>
        <v>54957942</v>
      </c>
      <c r="J12" s="29">
        <f t="shared" si="5"/>
        <v>0</v>
      </c>
      <c r="K12" s="29">
        <f t="shared" si="5"/>
        <v>0</v>
      </c>
      <c r="L12" s="29">
        <f t="shared" si="5"/>
        <v>0</v>
      </c>
      <c r="M12" s="29">
        <f t="shared" si="5"/>
        <v>54754420</v>
      </c>
      <c r="N12" s="29">
        <f t="shared" si="5"/>
        <v>0</v>
      </c>
      <c r="O12" s="29">
        <f t="shared" si="5"/>
        <v>0</v>
      </c>
      <c r="P12" s="29">
        <f t="shared" si="5"/>
        <v>0</v>
      </c>
      <c r="Q12" s="29">
        <f t="shared" si="5"/>
        <v>32453425</v>
      </c>
      <c r="R12" s="29">
        <f t="shared" si="5"/>
        <v>0</v>
      </c>
      <c r="S12" s="29">
        <f t="shared" si="5"/>
        <v>0</v>
      </c>
      <c r="T12" s="29">
        <f t="shared" si="5"/>
        <v>0</v>
      </c>
      <c r="U12" s="29">
        <f t="shared" si="5"/>
        <v>29921456</v>
      </c>
      <c r="V12" s="29">
        <f t="shared" si="5"/>
        <v>0</v>
      </c>
      <c r="W12" s="29">
        <f t="shared" si="5"/>
        <v>0</v>
      </c>
      <c r="X12" s="29">
        <f t="shared" si="5"/>
        <v>0</v>
      </c>
      <c r="Y12" s="29">
        <f t="shared" si="5"/>
        <v>17139458</v>
      </c>
      <c r="Z12" s="29">
        <f t="shared" si="5"/>
        <v>0</v>
      </c>
      <c r="AA12" s="29">
        <f t="shared" si="5"/>
        <v>0</v>
      </c>
      <c r="AB12" s="29">
        <f t="shared" si="5"/>
        <v>0</v>
      </c>
      <c r="AC12" s="29">
        <f t="shared" si="5"/>
        <v>11064910</v>
      </c>
      <c r="AD12" s="29">
        <f t="shared" si="5"/>
        <v>0</v>
      </c>
      <c r="AE12" s="29">
        <f t="shared" si="5"/>
        <v>0</v>
      </c>
      <c r="AF12" s="29">
        <f t="shared" si="5"/>
        <v>0</v>
      </c>
      <c r="AG12" s="29">
        <f t="shared" si="5"/>
        <v>10799614</v>
      </c>
      <c r="AH12" s="29">
        <f t="shared" si="5"/>
        <v>0</v>
      </c>
      <c r="AI12" s="29">
        <f t="shared" si="5"/>
        <v>0</v>
      </c>
      <c r="AJ12" s="29">
        <f t="shared" si="5"/>
        <v>0</v>
      </c>
      <c r="AK12" s="29">
        <f t="shared" si="5"/>
        <v>9414962</v>
      </c>
      <c r="AL12" s="29">
        <f t="shared" si="5"/>
        <v>0</v>
      </c>
      <c r="AM12" s="29">
        <f t="shared" si="5"/>
        <v>0</v>
      </c>
      <c r="AN12" s="29">
        <f t="shared" si="5"/>
        <v>0</v>
      </c>
      <c r="AO12" s="29">
        <f t="shared" si="5"/>
        <v>8961441</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8">
        <v>128856936</v>
      </c>
      <c r="C13" s="188">
        <v>96641868</v>
      </c>
      <c r="D13" s="188">
        <v>36995667</v>
      </c>
      <c r="E13" s="188">
        <v>180418858</v>
      </c>
      <c r="F13" s="188">
        <v>99629003</v>
      </c>
      <c r="G13" s="188">
        <v>54506578</v>
      </c>
      <c r="H13" s="188">
        <v>145846521</v>
      </c>
      <c r="I13" s="188">
        <v>2085966318</v>
      </c>
      <c r="J13" s="188">
        <v>1933773186</v>
      </c>
      <c r="K13" s="188">
        <v>1793732882</v>
      </c>
      <c r="L13" s="188">
        <v>1444402211</v>
      </c>
      <c r="M13" s="188">
        <v>1082717233</v>
      </c>
      <c r="N13" s="188">
        <v>655288420</v>
      </c>
      <c r="O13" s="188">
        <v>424771458</v>
      </c>
      <c r="P13" s="188">
        <v>117948521</v>
      </c>
      <c r="Q13" s="188">
        <v>904242732</v>
      </c>
      <c r="R13" s="188">
        <v>691373237</v>
      </c>
      <c r="S13" s="188">
        <v>548360205</v>
      </c>
      <c r="T13" s="188">
        <v>427416825</v>
      </c>
      <c r="U13" s="188">
        <v>886872685</v>
      </c>
      <c r="V13" s="188">
        <v>305814323</v>
      </c>
      <c r="W13" s="188">
        <v>205996429</v>
      </c>
      <c r="X13" s="188">
        <v>83456055</v>
      </c>
      <c r="Y13" s="188">
        <v>957650034</v>
      </c>
      <c r="Z13" s="188">
        <v>413757481</v>
      </c>
      <c r="AA13" s="188">
        <v>160092355</v>
      </c>
      <c r="AB13" s="188">
        <v>60403765</v>
      </c>
      <c r="AC13" s="188">
        <v>698222373</v>
      </c>
      <c r="AD13" s="188">
        <v>120083345</v>
      </c>
      <c r="AE13" s="188">
        <v>73239677</v>
      </c>
      <c r="AF13" s="188">
        <v>18919093</v>
      </c>
      <c r="AG13" s="188">
        <v>93168069</v>
      </c>
      <c r="AH13" s="188">
        <v>55247602</v>
      </c>
      <c r="AI13" s="188">
        <v>30705091</v>
      </c>
      <c r="AJ13" s="188">
        <v>19217767</v>
      </c>
      <c r="AK13" s="188">
        <v>1226330345</v>
      </c>
      <c r="AL13" s="188">
        <v>60117051</v>
      </c>
      <c r="AM13" s="188">
        <v>14063040</v>
      </c>
      <c r="AN13" s="188">
        <v>5096184</v>
      </c>
      <c r="AO13" s="188">
        <v>136176234</v>
      </c>
      <c r="AP13" s="188">
        <v>96870700</v>
      </c>
      <c r="AQ13" s="188">
        <v>56443357</v>
      </c>
      <c r="AR13" s="188">
        <v>37201977</v>
      </c>
      <c r="AS13" s="188">
        <v>278274136</v>
      </c>
      <c r="AT13" s="188">
        <v>158539306</v>
      </c>
      <c r="AU13" s="188">
        <v>126197857</v>
      </c>
      <c r="AV13" s="188">
        <v>79348592</v>
      </c>
      <c r="AW13" s="188">
        <v>28811136</v>
      </c>
      <c r="AX13" s="188">
        <v>42808343</v>
      </c>
      <c r="AY13" s="188">
        <v>28629435</v>
      </c>
      <c r="AZ13" s="188">
        <v>3326034</v>
      </c>
      <c r="BA13" s="188">
        <v>13290713</v>
      </c>
      <c r="BB13" s="188">
        <v>12777158</v>
      </c>
      <c r="BC13" s="188">
        <v>6701574</v>
      </c>
      <c r="BD13" s="188">
        <v>3347030</v>
      </c>
      <c r="BE13" s="188">
        <v>6189142</v>
      </c>
      <c r="BF13" s="188">
        <v>6200243.6799999997</v>
      </c>
      <c r="BG13" s="188">
        <v>2761757.67</v>
      </c>
      <c r="BH13" s="188">
        <v>1595509.09</v>
      </c>
      <c r="BI13" s="188">
        <v>1628938</v>
      </c>
      <c r="BJ13" s="188">
        <v>32007445.300000001</v>
      </c>
      <c r="BK13" s="188">
        <v>24524414.600000001</v>
      </c>
      <c r="BL13" s="188">
        <v>2241867.15</v>
      </c>
      <c r="BM13" s="188">
        <v>3050361</v>
      </c>
      <c r="BN13" s="188">
        <v>1318452.78</v>
      </c>
      <c r="BO13" s="188">
        <v>765758.15</v>
      </c>
      <c r="BP13" s="188">
        <v>73584.08</v>
      </c>
      <c r="BQ13" s="188">
        <v>8647518</v>
      </c>
      <c r="BR13" s="188">
        <v>6477495.3399999999</v>
      </c>
      <c r="BS13" s="188">
        <v>2841741</v>
      </c>
      <c r="BT13" s="188">
        <v>1929362</v>
      </c>
      <c r="BU13" s="188">
        <v>11196149</v>
      </c>
      <c r="BV13" s="188">
        <v>24179.23</v>
      </c>
      <c r="BW13" s="188">
        <v>3824000</v>
      </c>
      <c r="BX13" s="188">
        <v>666083.18999999994</v>
      </c>
      <c r="BY13" s="188">
        <v>18018000</v>
      </c>
      <c r="BZ13" s="188">
        <v>0</v>
      </c>
      <c r="CA13" s="188">
        <v>93000</v>
      </c>
      <c r="CB13" s="188">
        <v>0</v>
      </c>
      <c r="CC13" s="188">
        <v>0</v>
      </c>
      <c r="CD13" s="188">
        <v>0</v>
      </c>
      <c r="CE13" s="188"/>
      <c r="CF13" s="188"/>
      <c r="CG13" s="188"/>
      <c r="CH13" s="188"/>
      <c r="CI13" s="188"/>
      <c r="CJ13" s="188"/>
      <c r="CK13" s="188"/>
    </row>
    <row r="14" spans="1:89" x14ac:dyDescent="0.25">
      <c r="A14" s="17" t="s">
        <v>394</v>
      </c>
      <c r="B14" s="188">
        <v>33563330</v>
      </c>
      <c r="C14" s="188">
        <v>7653811</v>
      </c>
      <c r="D14" s="188">
        <v>6417967</v>
      </c>
      <c r="E14" s="188">
        <v>113080601</v>
      </c>
      <c r="F14" s="188">
        <v>60377719</v>
      </c>
      <c r="G14" s="188">
        <v>24426637</v>
      </c>
      <c r="H14" s="188">
        <v>18929735</v>
      </c>
      <c r="I14" s="188">
        <v>78861768</v>
      </c>
      <c r="J14" s="188">
        <v>14844397</v>
      </c>
      <c r="K14" s="188">
        <v>5876931</v>
      </c>
      <c r="L14" s="188">
        <v>2629891</v>
      </c>
      <c r="M14" s="188">
        <v>23178815</v>
      </c>
      <c r="N14" s="188">
        <v>15688276</v>
      </c>
      <c r="O14" s="188">
        <v>13347411</v>
      </c>
      <c r="P14" s="188">
        <v>8158910</v>
      </c>
      <c r="Q14" s="188">
        <v>35961283</v>
      </c>
      <c r="R14" s="188">
        <v>23662699</v>
      </c>
      <c r="S14" s="188">
        <v>9012209</v>
      </c>
      <c r="T14" s="188">
        <v>3207936</v>
      </c>
      <c r="U14" s="188">
        <v>122303353</v>
      </c>
      <c r="V14" s="188">
        <v>90927961</v>
      </c>
      <c r="W14" s="188">
        <v>66850527</v>
      </c>
      <c r="X14" s="188">
        <v>583111</v>
      </c>
      <c r="Y14" s="188">
        <v>47423203</v>
      </c>
      <c r="Z14" s="188">
        <v>13946806</v>
      </c>
      <c r="AA14" s="188">
        <v>2506337</v>
      </c>
      <c r="AB14" s="188">
        <v>803185</v>
      </c>
      <c r="AC14" s="188">
        <v>9041110</v>
      </c>
      <c r="AD14" s="188">
        <v>10903506</v>
      </c>
      <c r="AE14" s="188">
        <v>7549088</v>
      </c>
      <c r="AF14" s="188">
        <v>816270</v>
      </c>
      <c r="AG14" s="188">
        <v>14268778</v>
      </c>
      <c r="AH14" s="188">
        <v>9496871</v>
      </c>
      <c r="AI14" s="188">
        <v>5883841</v>
      </c>
      <c r="AJ14" s="188">
        <v>249756</v>
      </c>
      <c r="AK14" s="188">
        <v>2937077</v>
      </c>
      <c r="AL14" s="188">
        <v>2294796</v>
      </c>
      <c r="AM14" s="188">
        <v>1797266</v>
      </c>
      <c r="AN14" s="188">
        <v>599886</v>
      </c>
      <c r="AO14" s="188">
        <v>5224158</v>
      </c>
      <c r="AP14" s="188">
        <v>2713080</v>
      </c>
      <c r="AQ14" s="188">
        <v>1976265</v>
      </c>
      <c r="AR14" s="188">
        <v>449227</v>
      </c>
      <c r="AS14" s="188">
        <v>31993914</v>
      </c>
      <c r="AT14" s="188">
        <v>7268760</v>
      </c>
      <c r="AU14" s="188">
        <v>1285061</v>
      </c>
      <c r="AV14" s="188">
        <v>1130814</v>
      </c>
      <c r="AW14" s="188">
        <v>187031037</v>
      </c>
      <c r="AX14" s="188">
        <v>1954976</v>
      </c>
      <c r="AY14" s="188">
        <v>1436972</v>
      </c>
      <c r="AZ14" s="188">
        <v>1133754</v>
      </c>
      <c r="BA14" s="188">
        <v>29825979</v>
      </c>
      <c r="BB14" s="188">
        <v>23401093</v>
      </c>
      <c r="BC14" s="188">
        <v>22941411</v>
      </c>
      <c r="BD14" s="188">
        <v>2068559</v>
      </c>
      <c r="BE14" s="188">
        <v>16304617</v>
      </c>
      <c r="BF14" s="188">
        <v>16928575.359999999</v>
      </c>
      <c r="BG14" s="188">
        <v>13710129.109999999</v>
      </c>
      <c r="BH14" s="188">
        <v>22869710.460000001</v>
      </c>
      <c r="BI14" s="188">
        <v>20544268</v>
      </c>
      <c r="BJ14" s="188">
        <v>19284409.57</v>
      </c>
      <c r="BK14" s="188">
        <v>6582641</v>
      </c>
      <c r="BL14" s="188">
        <v>1660944.34</v>
      </c>
      <c r="BM14" s="188">
        <v>4300528</v>
      </c>
      <c r="BN14" s="188">
        <v>5346129.9400000004</v>
      </c>
      <c r="BO14" s="188">
        <v>1038757.46</v>
      </c>
      <c r="BP14" s="188">
        <v>643248.42000000004</v>
      </c>
      <c r="BQ14" s="188">
        <v>2334715</v>
      </c>
      <c r="BR14" s="188">
        <v>268288.15999999997</v>
      </c>
      <c r="BS14" s="188">
        <v>4054754</v>
      </c>
      <c r="BT14" s="188">
        <v>486071</v>
      </c>
      <c r="BU14" s="188">
        <v>1931795</v>
      </c>
      <c r="BV14" s="188">
        <v>694494.84</v>
      </c>
      <c r="BW14" s="188">
        <v>469000</v>
      </c>
      <c r="BX14" s="188">
        <v>951301.6</v>
      </c>
      <c r="BY14" s="188">
        <v>275000</v>
      </c>
      <c r="BZ14" s="188">
        <v>0</v>
      </c>
      <c r="CA14" s="188">
        <v>0</v>
      </c>
      <c r="CB14" s="188">
        <v>49000</v>
      </c>
      <c r="CC14" s="188">
        <v>201000</v>
      </c>
      <c r="CD14" s="188">
        <v>0</v>
      </c>
      <c r="CE14" s="188"/>
      <c r="CF14" s="188"/>
      <c r="CG14" s="188"/>
      <c r="CH14" s="188"/>
      <c r="CI14" s="188"/>
      <c r="CJ14" s="188"/>
      <c r="CK14" s="188"/>
    </row>
    <row r="15" spans="1:89" s="2" customFormat="1" x14ac:dyDescent="0.25">
      <c r="A15" s="20" t="s">
        <v>396</v>
      </c>
      <c r="B15" s="28">
        <f>B6-(B8+B9+B10+B11+B12)+B13-B14</f>
        <v>6222196839</v>
      </c>
      <c r="C15" s="28">
        <f t="shared" ref="C15:BN15" si="7">C6-(C8+C9+C10+C11+C12)+C13-C14</f>
        <v>2618909408</v>
      </c>
      <c r="D15" s="28">
        <f t="shared" si="7"/>
        <v>1708474624</v>
      </c>
      <c r="E15" s="28">
        <f t="shared" si="7"/>
        <v>10695122066</v>
      </c>
      <c r="F15" s="28">
        <f t="shared" si="7"/>
        <v>9040950087</v>
      </c>
      <c r="G15" s="28">
        <f t="shared" si="7"/>
        <v>6339470919</v>
      </c>
      <c r="H15" s="28">
        <f t="shared" si="7"/>
        <v>3552450207</v>
      </c>
      <c r="I15" s="28">
        <f t="shared" si="7"/>
        <v>4605551421</v>
      </c>
      <c r="J15" s="28">
        <f t="shared" si="7"/>
        <v>1985529617</v>
      </c>
      <c r="K15" s="28">
        <f t="shared" si="7"/>
        <v>634015494</v>
      </c>
      <c r="L15" s="28">
        <f t="shared" si="7"/>
        <v>459267459</v>
      </c>
      <c r="M15" s="28">
        <f t="shared" si="7"/>
        <v>3267310191</v>
      </c>
      <c r="N15" s="28">
        <f t="shared" si="7"/>
        <v>3400036131</v>
      </c>
      <c r="O15" s="28">
        <f t="shared" si="7"/>
        <v>2475896371</v>
      </c>
      <c r="P15" s="28">
        <f t="shared" si="7"/>
        <v>1348411382</v>
      </c>
      <c r="Q15" s="28">
        <f t="shared" si="7"/>
        <v>2942653415</v>
      </c>
      <c r="R15" s="28">
        <f t="shared" si="7"/>
        <v>2216824320</v>
      </c>
      <c r="S15" s="28">
        <f t="shared" si="7"/>
        <v>1418734150</v>
      </c>
      <c r="T15" s="28">
        <f t="shared" si="7"/>
        <v>937653946</v>
      </c>
      <c r="U15" s="28">
        <f t="shared" si="7"/>
        <v>3386817560</v>
      </c>
      <c r="V15" s="28">
        <f t="shared" si="7"/>
        <v>2284679624</v>
      </c>
      <c r="W15" s="28">
        <f t="shared" si="7"/>
        <v>1380359273</v>
      </c>
      <c r="X15" s="28">
        <f t="shared" si="7"/>
        <v>543608095</v>
      </c>
      <c r="Y15" s="28">
        <f t="shared" si="7"/>
        <v>466280978</v>
      </c>
      <c r="Z15" s="28">
        <f t="shared" si="7"/>
        <v>-609358386</v>
      </c>
      <c r="AA15" s="28">
        <f t="shared" si="7"/>
        <v>-943798678</v>
      </c>
      <c r="AB15" s="28">
        <f t="shared" si="7"/>
        <v>-751123301</v>
      </c>
      <c r="AC15" s="28">
        <f t="shared" si="7"/>
        <v>-3671976578</v>
      </c>
      <c r="AD15" s="28">
        <f t="shared" si="7"/>
        <v>-2255158655</v>
      </c>
      <c r="AE15" s="28">
        <f t="shared" si="7"/>
        <v>-1396457044</v>
      </c>
      <c r="AF15" s="28">
        <f t="shared" si="7"/>
        <v>-827927283</v>
      </c>
      <c r="AG15" s="28">
        <f t="shared" si="7"/>
        <v>-2329800097</v>
      </c>
      <c r="AH15" s="28">
        <f t="shared" si="7"/>
        <v>-1120517898</v>
      </c>
      <c r="AI15" s="28">
        <f t="shared" si="7"/>
        <v>-576580454</v>
      </c>
      <c r="AJ15" s="28">
        <f t="shared" si="7"/>
        <v>-334760729</v>
      </c>
      <c r="AK15" s="28">
        <f t="shared" si="7"/>
        <v>87170908</v>
      </c>
      <c r="AL15" s="28">
        <f t="shared" si="7"/>
        <v>-700799808</v>
      </c>
      <c r="AM15" s="28">
        <f t="shared" si="7"/>
        <v>-725272688</v>
      </c>
      <c r="AN15" s="28">
        <f t="shared" si="7"/>
        <v>-474367127</v>
      </c>
      <c r="AO15" s="28">
        <f t="shared" si="7"/>
        <v>-541099047</v>
      </c>
      <c r="AP15" s="28">
        <f t="shared" si="7"/>
        <v>185767785</v>
      </c>
      <c r="AQ15" s="28">
        <f t="shared" si="7"/>
        <v>645871574</v>
      </c>
      <c r="AR15" s="28">
        <f t="shared" si="7"/>
        <v>403349082</v>
      </c>
      <c r="AS15" s="28">
        <f t="shared" si="7"/>
        <v>1258963394</v>
      </c>
      <c r="AT15" s="28">
        <f t="shared" si="7"/>
        <v>571311888</v>
      </c>
      <c r="AU15" s="28">
        <f t="shared" si="7"/>
        <v>-5542100</v>
      </c>
      <c r="AV15" s="28">
        <f t="shared" si="7"/>
        <v>-223345041</v>
      </c>
      <c r="AW15" s="28">
        <f t="shared" si="7"/>
        <v>-2606745970</v>
      </c>
      <c r="AX15" s="28">
        <f t="shared" si="7"/>
        <v>-2351122224</v>
      </c>
      <c r="AY15" s="28">
        <f t="shared" si="7"/>
        <v>-1590308957</v>
      </c>
      <c r="AZ15" s="28">
        <f t="shared" si="7"/>
        <v>-454123545</v>
      </c>
      <c r="BA15" s="28">
        <f t="shared" si="7"/>
        <v>-1203244643</v>
      </c>
      <c r="BB15" s="28">
        <f t="shared" si="7"/>
        <v>-1104327106</v>
      </c>
      <c r="BC15" s="28">
        <f t="shared" si="7"/>
        <v>-847860333</v>
      </c>
      <c r="BD15" s="28">
        <f t="shared" si="7"/>
        <v>-425619871</v>
      </c>
      <c r="BE15" s="28">
        <f t="shared" si="7"/>
        <v>5876527</v>
      </c>
      <c r="BF15" s="28">
        <f t="shared" si="7"/>
        <v>373130546.45999962</v>
      </c>
      <c r="BG15" s="28">
        <f t="shared" si="7"/>
        <v>433961112.1699999</v>
      </c>
      <c r="BH15" s="28">
        <f t="shared" si="7"/>
        <v>245138208.08999979</v>
      </c>
      <c r="BI15" s="28">
        <f t="shared" si="7"/>
        <v>631168398</v>
      </c>
      <c r="BJ15" s="28">
        <f t="shared" si="7"/>
        <v>505488697.03000033</v>
      </c>
      <c r="BK15" s="28">
        <f t="shared" si="7"/>
        <v>349988260.70000011</v>
      </c>
      <c r="BL15" s="28">
        <f t="shared" si="7"/>
        <v>197742378.23999998</v>
      </c>
      <c r="BM15" s="28">
        <f t="shared" si="7"/>
        <v>201456326</v>
      </c>
      <c r="BN15" s="28">
        <f t="shared" si="7"/>
        <v>199168287.66999981</v>
      </c>
      <c r="BO15" s="28">
        <f t="shared" ref="BO15:CJ15" si="8">BO6-(BO8+BO9+BO10+BO11+BO12)+BO13-BO14</f>
        <v>152501569.33999997</v>
      </c>
      <c r="BP15" s="28">
        <f t="shared" si="8"/>
        <v>80027429.649999946</v>
      </c>
      <c r="BQ15" s="28">
        <f t="shared" si="8"/>
        <v>147052602</v>
      </c>
      <c r="BR15" s="28">
        <f t="shared" si="8"/>
        <v>81903127.149999961</v>
      </c>
      <c r="BS15" s="28">
        <f t="shared" si="8"/>
        <v>104506543</v>
      </c>
      <c r="BT15" s="28">
        <f t="shared" si="8"/>
        <v>52769982</v>
      </c>
      <c r="BU15" s="28">
        <f t="shared" si="8"/>
        <v>71319335</v>
      </c>
      <c r="BV15" s="28">
        <f t="shared" si="8"/>
        <v>15065053.060000002</v>
      </c>
      <c r="BW15" s="28">
        <f t="shared" si="8"/>
        <v>20757000</v>
      </c>
      <c r="BX15" s="28">
        <f t="shared" si="8"/>
        <v>14946462.219999999</v>
      </c>
      <c r="BY15" s="28">
        <f t="shared" si="8"/>
        <v>74250000</v>
      </c>
      <c r="BZ15" s="28">
        <f t="shared" si="8"/>
        <v>111102000</v>
      </c>
      <c r="CA15" s="28">
        <f t="shared" si="8"/>
        <v>26584000</v>
      </c>
      <c r="CB15" s="28">
        <f t="shared" si="8"/>
        <v>13372000</v>
      </c>
      <c r="CC15" s="28">
        <f t="shared" si="8"/>
        <v>11654000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1462813020.7977779</v>
      </c>
      <c r="C16" s="26">
        <f t="shared" ref="C16:BN16" si="9">C15*C41</f>
        <v>1268812045.5976632</v>
      </c>
      <c r="D16" s="26">
        <f t="shared" si="9"/>
        <v>534970313.17870617</v>
      </c>
      <c r="E16" s="26">
        <f t="shared" si="9"/>
        <v>2255119261.7810826</v>
      </c>
      <c r="F16" s="26">
        <f t="shared" si="9"/>
        <v>1598283236.6494327</v>
      </c>
      <c r="G16" s="26">
        <f t="shared" si="9"/>
        <v>1136353135.1479278</v>
      </c>
      <c r="H16" s="26">
        <f t="shared" si="9"/>
        <v>543415501.5484221</v>
      </c>
      <c r="I16" s="26">
        <f t="shared" si="9"/>
        <v>1240441311.905273</v>
      </c>
      <c r="J16" s="26">
        <f t="shared" si="9"/>
        <v>926924671.17233729</v>
      </c>
      <c r="K16" s="26">
        <f t="shared" si="9"/>
        <v>-63969795.163763471</v>
      </c>
      <c r="L16" s="26">
        <f t="shared" si="9"/>
        <v>94511376.916584566</v>
      </c>
      <c r="M16" s="26">
        <f t="shared" si="9"/>
        <v>1027661293.7306923</v>
      </c>
      <c r="N16" s="26">
        <f t="shared" si="9"/>
        <v>691636378.64565909</v>
      </c>
      <c r="O16" s="26">
        <f t="shared" si="9"/>
        <v>417851677.76270521</v>
      </c>
      <c r="P16" s="26">
        <f t="shared" si="9"/>
        <v>246678622.29572007</v>
      </c>
      <c r="Q16" s="26">
        <f t="shared" si="9"/>
        <v>404890034.12564468</v>
      </c>
      <c r="R16" s="26">
        <f t="shared" si="9"/>
        <v>275793838.06482577</v>
      </c>
      <c r="S16" s="26">
        <f t="shared" si="9"/>
        <v>171354472.59870523</v>
      </c>
      <c r="T16" s="26">
        <f t="shared" si="9"/>
        <v>83619882.727785856</v>
      </c>
      <c r="U16" s="26">
        <f t="shared" si="9"/>
        <v>51980617.475104228</v>
      </c>
      <c r="V16" s="26">
        <f t="shared" si="9"/>
        <v>89104178.246351048</v>
      </c>
      <c r="W16" s="26">
        <f t="shared" si="9"/>
        <v>26834103.515520476</v>
      </c>
      <c r="X16" s="26">
        <f t="shared" si="9"/>
        <v>6082538.4516740823</v>
      </c>
      <c r="Y16" s="26">
        <f t="shared" si="9"/>
        <v>1995770.0693538913</v>
      </c>
      <c r="Z16" s="26">
        <f t="shared" si="9"/>
        <v>4895673.6370420437</v>
      </c>
      <c r="AA16" s="26">
        <f t="shared" si="9"/>
        <v>7385102.5078696618</v>
      </c>
      <c r="AB16" s="26">
        <f t="shared" si="9"/>
        <v>1989619.125222069</v>
      </c>
      <c r="AC16" s="26">
        <f t="shared" si="9"/>
        <v>-542357714.43185127</v>
      </c>
      <c r="AD16" s="26">
        <f t="shared" si="9"/>
        <v>-1635879.9755446126</v>
      </c>
      <c r="AE16" s="26">
        <f t="shared" si="9"/>
        <v>-2802460.3972884468</v>
      </c>
      <c r="AF16" s="26">
        <f t="shared" si="9"/>
        <v>-906245.26011248108</v>
      </c>
      <c r="AG16" s="26">
        <f t="shared" si="9"/>
        <v>27707075.066343978</v>
      </c>
      <c r="AH16" s="26">
        <f t="shared" si="9"/>
        <v>15817475.370801169</v>
      </c>
      <c r="AI16" s="26">
        <f t="shared" si="9"/>
        <v>13532602.976367384</v>
      </c>
      <c r="AJ16" s="26">
        <f t="shared" si="9"/>
        <v>-1744699.9318151276</v>
      </c>
      <c r="AK16" s="26">
        <f t="shared" si="9"/>
        <v>-8481972.9386848174</v>
      </c>
      <c r="AL16" s="26">
        <f t="shared" si="9"/>
        <v>7137747.9899588423</v>
      </c>
      <c r="AM16" s="26">
        <f t="shared" si="9"/>
        <v>5409056.3836857304</v>
      </c>
      <c r="AN16" s="26">
        <f t="shared" si="9"/>
        <v>1914741.0588328242</v>
      </c>
      <c r="AO16" s="26">
        <f t="shared" si="9"/>
        <v>41138622.799214028</v>
      </c>
      <c r="AP16" s="26">
        <f t="shared" si="9"/>
        <v>69054707.82297197</v>
      </c>
      <c r="AQ16" s="26">
        <f t="shared" si="9"/>
        <v>53553337.556960933</v>
      </c>
      <c r="AR16" s="26">
        <f t="shared" si="9"/>
        <v>32398673.74635293</v>
      </c>
      <c r="AS16" s="26">
        <f t="shared" si="9"/>
        <v>-84312141.652731284</v>
      </c>
      <c r="AT16" s="26">
        <f t="shared" si="9"/>
        <v>11777212.37393892</v>
      </c>
      <c r="AU16" s="26">
        <f t="shared" si="9"/>
        <v>-1211299.3575520096</v>
      </c>
      <c r="AV16" s="26">
        <f t="shared" si="9"/>
        <v>6242144.7836642675</v>
      </c>
      <c r="AW16" s="26">
        <f t="shared" si="9"/>
        <v>11307530.96901877</v>
      </c>
      <c r="AX16" s="26">
        <f t="shared" si="9"/>
        <v>4614329.7320807157</v>
      </c>
      <c r="AY16" s="26">
        <f t="shared" si="9"/>
        <v>3138096.4566586344</v>
      </c>
      <c r="AZ16" s="26">
        <f t="shared" si="9"/>
        <v>1050365.8852500143</v>
      </c>
      <c r="BA16" s="26">
        <f t="shared" si="9"/>
        <v>32357877.795625653</v>
      </c>
      <c r="BB16" s="26">
        <f t="shared" si="9"/>
        <v>28591693.463069312</v>
      </c>
      <c r="BC16" s="26">
        <f t="shared" si="9"/>
        <v>19714487.856484167</v>
      </c>
      <c r="BD16" s="26">
        <f t="shared" si="9"/>
        <v>2985417.4288252508</v>
      </c>
      <c r="BE16" s="26">
        <f t="shared" si="9"/>
        <v>277091.63584984798</v>
      </c>
      <c r="BF16" s="26">
        <f t="shared" si="9"/>
        <v>21648977.169121116</v>
      </c>
      <c r="BG16" s="26">
        <f t="shared" si="9"/>
        <v>24004760.31415898</v>
      </c>
      <c r="BH16" s="26">
        <f t="shared" si="9"/>
        <v>10870496.668877045</v>
      </c>
      <c r="BI16" s="26">
        <f t="shared" si="9"/>
        <v>28248830.753609974</v>
      </c>
      <c r="BJ16" s="26">
        <f t="shared" si="9"/>
        <v>30516606.549082186</v>
      </c>
      <c r="BK16" s="26">
        <f t="shared" si="9"/>
        <v>19614825.158984523</v>
      </c>
      <c r="BL16" s="26">
        <f t="shared" si="9"/>
        <v>34101172.057544917</v>
      </c>
      <c r="BM16" s="26">
        <f t="shared" si="9"/>
        <v>47223965.435352691</v>
      </c>
      <c r="BN16" s="26">
        <f t="shared" si="9"/>
        <v>45007621.500013515</v>
      </c>
      <c r="BO16" s="26">
        <f t="shared" ref="BO16:CK16" si="10">BO15*BO41</f>
        <v>30520881.733433604</v>
      </c>
      <c r="BP16" s="26">
        <f t="shared" si="10"/>
        <v>17669247.569211949</v>
      </c>
      <c r="BQ16" s="26">
        <f t="shared" si="10"/>
        <v>27235297.752745964</v>
      </c>
      <c r="BR16" s="26">
        <f t="shared" si="10"/>
        <v>7258916.3870891426</v>
      </c>
      <c r="BS16" s="26">
        <f t="shared" si="10"/>
        <v>12735857.314032262</v>
      </c>
      <c r="BT16" s="26">
        <f t="shared" si="10"/>
        <v>6624522.6213046592</v>
      </c>
      <c r="BU16" s="26">
        <f t="shared" si="10"/>
        <v>6226320.95492562</v>
      </c>
      <c r="BV16" s="26">
        <f t="shared" si="10"/>
        <v>2975138.1615906353</v>
      </c>
      <c r="BW16" s="26">
        <f t="shared" si="10"/>
        <v>1741211.5797651147</v>
      </c>
      <c r="BX16" s="26">
        <f t="shared" si="10"/>
        <v>1484037.0074335712</v>
      </c>
      <c r="BY16" s="26">
        <f t="shared" si="10"/>
        <v>7194186.1026273882</v>
      </c>
      <c r="BZ16" s="26">
        <f t="shared" si="10"/>
        <v>6130741.0247031683</v>
      </c>
      <c r="CA16" s="26">
        <f t="shared" si="10"/>
        <v>664328.19848681067</v>
      </c>
      <c r="CB16" s="26">
        <f t="shared" si="10"/>
        <v>98539.991341273577</v>
      </c>
      <c r="CC16" s="26">
        <f t="shared" si="10"/>
        <v>53627.475235277234</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755</v>
      </c>
      <c r="B17" s="27">
        <f>B15-B16</f>
        <v>4759383818.2022219</v>
      </c>
      <c r="C17" s="27">
        <f t="shared" ref="C17:BN17" si="11">C15-C16</f>
        <v>1350097362.4023368</v>
      </c>
      <c r="D17" s="27">
        <f t="shared" si="11"/>
        <v>1173504310.8212938</v>
      </c>
      <c r="E17" s="27">
        <f t="shared" si="11"/>
        <v>8440002804.2189178</v>
      </c>
      <c r="F17" s="27">
        <f t="shared" si="11"/>
        <v>7442666850.3505669</v>
      </c>
      <c r="G17" s="27">
        <f t="shared" si="11"/>
        <v>5203117783.8520718</v>
      </c>
      <c r="H17" s="27">
        <f t="shared" si="11"/>
        <v>3009034705.4515781</v>
      </c>
      <c r="I17" s="27">
        <f t="shared" si="11"/>
        <v>3365110109.094727</v>
      </c>
      <c r="J17" s="27">
        <f t="shared" si="11"/>
        <v>1058604945.8276627</v>
      </c>
      <c r="K17" s="27">
        <f t="shared" si="11"/>
        <v>697985289.16376352</v>
      </c>
      <c r="L17" s="27">
        <f t="shared" si="11"/>
        <v>364756082.08341545</v>
      </c>
      <c r="M17" s="27">
        <f t="shared" si="11"/>
        <v>2239648897.2693076</v>
      </c>
      <c r="N17" s="27">
        <f t="shared" si="11"/>
        <v>2708399752.354341</v>
      </c>
      <c r="O17" s="27">
        <f t="shared" si="11"/>
        <v>2058044693.2372947</v>
      </c>
      <c r="P17" s="27">
        <f t="shared" si="11"/>
        <v>1101732759.7042799</v>
      </c>
      <c r="Q17" s="27">
        <f t="shared" si="11"/>
        <v>2537763380.8743553</v>
      </c>
      <c r="R17" s="27">
        <f t="shared" si="11"/>
        <v>1941030481.9351742</v>
      </c>
      <c r="S17" s="27">
        <f t="shared" si="11"/>
        <v>1247379677.4012947</v>
      </c>
      <c r="T17" s="27">
        <f t="shared" si="11"/>
        <v>854034063.27221417</v>
      </c>
      <c r="U17" s="27">
        <f t="shared" si="11"/>
        <v>3334836942.5248957</v>
      </c>
      <c r="V17" s="27">
        <f t="shared" si="11"/>
        <v>2195575445.7536488</v>
      </c>
      <c r="W17" s="27">
        <f t="shared" si="11"/>
        <v>1353525169.4844794</v>
      </c>
      <c r="X17" s="27">
        <f t="shared" si="11"/>
        <v>537525556.5483259</v>
      </c>
      <c r="Y17" s="27">
        <f t="shared" si="11"/>
        <v>464285207.93064612</v>
      </c>
      <c r="Z17" s="27">
        <f t="shared" si="11"/>
        <v>-614254059.63704205</v>
      </c>
      <c r="AA17" s="27">
        <f t="shared" si="11"/>
        <v>-951183780.50786972</v>
      </c>
      <c r="AB17" s="27">
        <f t="shared" si="11"/>
        <v>-753112920.12522209</v>
      </c>
      <c r="AC17" s="27">
        <f t="shared" si="11"/>
        <v>-3129618863.5681486</v>
      </c>
      <c r="AD17" s="27">
        <f t="shared" si="11"/>
        <v>-2253522775.0244555</v>
      </c>
      <c r="AE17" s="27">
        <f t="shared" si="11"/>
        <v>-1393654583.6027114</v>
      </c>
      <c r="AF17" s="27">
        <f t="shared" si="11"/>
        <v>-827021037.73988748</v>
      </c>
      <c r="AG17" s="27">
        <f t="shared" si="11"/>
        <v>-2357507172.0663438</v>
      </c>
      <c r="AH17" s="27">
        <f t="shared" si="11"/>
        <v>-1136335373.3708012</v>
      </c>
      <c r="AI17" s="27">
        <f t="shared" si="11"/>
        <v>-590113056.97636735</v>
      </c>
      <c r="AJ17" s="27">
        <f t="shared" si="11"/>
        <v>-333016029.06818485</v>
      </c>
      <c r="AK17" s="27">
        <f t="shared" si="11"/>
        <v>95652880.938684821</v>
      </c>
      <c r="AL17" s="27">
        <f t="shared" si="11"/>
        <v>-707937555.98995888</v>
      </c>
      <c r="AM17" s="27">
        <f t="shared" si="11"/>
        <v>-730681744.38368571</v>
      </c>
      <c r="AN17" s="27">
        <f t="shared" si="11"/>
        <v>-476281868.05883282</v>
      </c>
      <c r="AO17" s="27">
        <f t="shared" si="11"/>
        <v>-582237669.79921401</v>
      </c>
      <c r="AP17" s="27">
        <f t="shared" si="11"/>
        <v>116713077.17702803</v>
      </c>
      <c r="AQ17" s="27">
        <f t="shared" si="11"/>
        <v>592318236.44303906</v>
      </c>
      <c r="AR17" s="27">
        <f t="shared" si="11"/>
        <v>370950408.25364709</v>
      </c>
      <c r="AS17" s="27">
        <f t="shared" si="11"/>
        <v>1343275535.6527312</v>
      </c>
      <c r="AT17" s="27">
        <f t="shared" si="11"/>
        <v>559534675.62606108</v>
      </c>
      <c r="AU17" s="27">
        <f t="shared" si="11"/>
        <v>-4330800.6424479904</v>
      </c>
      <c r="AV17" s="27">
        <f t="shared" si="11"/>
        <v>-229587185.78366426</v>
      </c>
      <c r="AW17" s="27">
        <f t="shared" si="11"/>
        <v>-2618053500.9690189</v>
      </c>
      <c r="AX17" s="27">
        <f t="shared" si="11"/>
        <v>-2355736553.7320809</v>
      </c>
      <c r="AY17" s="27">
        <f t="shared" si="11"/>
        <v>-1593447053.4566586</v>
      </c>
      <c r="AZ17" s="27">
        <f t="shared" si="11"/>
        <v>-455173910.88525003</v>
      </c>
      <c r="BA17" s="27">
        <f t="shared" si="11"/>
        <v>-1235602520.7956257</v>
      </c>
      <c r="BB17" s="27">
        <f t="shared" si="11"/>
        <v>-1132918799.4630692</v>
      </c>
      <c r="BC17" s="27">
        <f t="shared" si="11"/>
        <v>-867574820.85648417</v>
      </c>
      <c r="BD17" s="27">
        <f t="shared" si="11"/>
        <v>-428605288.42882526</v>
      </c>
      <c r="BE17" s="27">
        <f t="shared" si="11"/>
        <v>5599435.3641501516</v>
      </c>
      <c r="BF17" s="27">
        <f t="shared" si="11"/>
        <v>351481569.29087853</v>
      </c>
      <c r="BG17" s="27">
        <f t="shared" si="11"/>
        <v>409956351.85584092</v>
      </c>
      <c r="BH17" s="27">
        <f t="shared" si="11"/>
        <v>234267711.42112276</v>
      </c>
      <c r="BI17" s="27">
        <f t="shared" si="11"/>
        <v>602919567.24638999</v>
      </c>
      <c r="BJ17" s="27">
        <f t="shared" si="11"/>
        <v>474972090.48091817</v>
      </c>
      <c r="BK17" s="27">
        <f t="shared" si="11"/>
        <v>330373435.54101557</v>
      </c>
      <c r="BL17" s="27">
        <f t="shared" si="11"/>
        <v>163641206.18245506</v>
      </c>
      <c r="BM17" s="27">
        <f t="shared" si="11"/>
        <v>154232360.56464732</v>
      </c>
      <c r="BN17" s="27">
        <f t="shared" si="11"/>
        <v>154160666.16998631</v>
      </c>
      <c r="BO17" s="27">
        <f t="shared" ref="BO17:CJ17" si="12">BO15-BO16</f>
        <v>121980687.60656637</v>
      </c>
      <c r="BP17" s="27">
        <f t="shared" si="12"/>
        <v>62358182.080788001</v>
      </c>
      <c r="BQ17" s="27">
        <f t="shared" si="12"/>
        <v>119817304.24725404</v>
      </c>
      <c r="BR17" s="27">
        <f t="shared" si="12"/>
        <v>74644210.762910813</v>
      </c>
      <c r="BS17" s="27">
        <f t="shared" si="12"/>
        <v>91770685.685967743</v>
      </c>
      <c r="BT17" s="27">
        <f t="shared" si="12"/>
        <v>46145459.378695339</v>
      </c>
      <c r="BU17" s="27">
        <f t="shared" si="12"/>
        <v>65093014.045074381</v>
      </c>
      <c r="BV17" s="27">
        <f t="shared" si="12"/>
        <v>12089914.898409367</v>
      </c>
      <c r="BW17" s="27">
        <f t="shared" si="12"/>
        <v>19015788.420234885</v>
      </c>
      <c r="BX17" s="27">
        <f t="shared" si="12"/>
        <v>13462425.212566428</v>
      </c>
      <c r="BY17" s="27">
        <f t="shared" si="12"/>
        <v>67055813.897372611</v>
      </c>
      <c r="BZ17" s="27">
        <f t="shared" si="12"/>
        <v>104971258.97529683</v>
      </c>
      <c r="CA17" s="27">
        <f t="shared" si="12"/>
        <v>25919671.801513188</v>
      </c>
      <c r="CB17" s="27">
        <f t="shared" si="12"/>
        <v>13273460.008658726</v>
      </c>
      <c r="CC17" s="27">
        <f t="shared" si="12"/>
        <v>11600372.524764722</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397</v>
      </c>
      <c r="B18" s="57">
        <f>B17/B4*100</f>
        <v>6.8515425278282622</v>
      </c>
      <c r="C18" s="57">
        <f t="shared" ref="C18:D18" si="13">C17/C4*100</f>
        <v>3.1055350639842882</v>
      </c>
      <c r="D18" s="57">
        <f t="shared" si="13"/>
        <v>5.4412504471941734</v>
      </c>
      <c r="E18" s="57">
        <f>E17/E4</f>
        <v>8.9978248244058479E-2</v>
      </c>
      <c r="F18" s="57">
        <f t="shared" ref="F18:BQ18" si="14">F17/F4</f>
        <v>0.1072301270888685</v>
      </c>
      <c r="G18" s="57">
        <f t="shared" si="14"/>
        <v>0.11664868329272914</v>
      </c>
      <c r="H18" s="57">
        <f t="shared" si="14"/>
        <v>0.13768191422285495</v>
      </c>
      <c r="I18" s="57">
        <f t="shared" si="14"/>
        <v>4.8843572436137656E-2</v>
      </c>
      <c r="J18" s="57">
        <f t="shared" si="14"/>
        <v>2.3092516091001526E-2</v>
      </c>
      <c r="K18" s="57">
        <f t="shared" si="14"/>
        <v>2.6390543299051772E-2</v>
      </c>
      <c r="L18" s="57">
        <f t="shared" si="14"/>
        <v>2.9660418644897782E-2</v>
      </c>
      <c r="M18" s="57">
        <f t="shared" si="14"/>
        <v>4.6060818262537565E-2</v>
      </c>
      <c r="N18" s="57">
        <f t="shared" si="14"/>
        <v>7.4364815555279545E-2</v>
      </c>
      <c r="O18" s="57">
        <f t="shared" si="14"/>
        <v>8.9593761762856702E-2</v>
      </c>
      <c r="P18" s="57">
        <f t="shared" si="14"/>
        <v>9.5117552518120971E-2</v>
      </c>
      <c r="Q18" s="57">
        <f t="shared" si="14"/>
        <v>6.8930398529755285E-2</v>
      </c>
      <c r="R18" s="57">
        <f t="shared" si="14"/>
        <v>7.6756768279166554E-2</v>
      </c>
      <c r="S18" s="57">
        <f t="shared" si="14"/>
        <v>7.7413665639849166E-2</v>
      </c>
      <c r="T18" s="57">
        <f t="shared" si="14"/>
        <v>0.10554472440461689</v>
      </c>
      <c r="U18" s="57">
        <f t="shared" si="14"/>
        <v>9.8738933520184272E-2</v>
      </c>
      <c r="V18" s="57">
        <f t="shared" si="14"/>
        <v>8.8624997077570503E-2</v>
      </c>
      <c r="W18" s="57">
        <f t="shared" si="14"/>
        <v>8.3271688035866653E-2</v>
      </c>
      <c r="X18" s="57">
        <f t="shared" si="14"/>
        <v>6.6701574449425233E-2</v>
      </c>
      <c r="Y18" s="57">
        <f t="shared" si="14"/>
        <v>1.8015393193996053E-2</v>
      </c>
      <c r="Z18" s="57">
        <f t="shared" si="14"/>
        <v>-3.5873232490717631E-2</v>
      </c>
      <c r="AA18" s="57">
        <f t="shared" si="14"/>
        <v>-9.8990057242975715E-2</v>
      </c>
      <c r="AB18" s="57">
        <f t="shared" si="14"/>
        <v>-0.18157619458479834</v>
      </c>
      <c r="AC18" s="57">
        <f t="shared" si="14"/>
        <v>-0.24562571871161343</v>
      </c>
      <c r="AD18" s="57">
        <f t="shared" si="14"/>
        <v>-0.26466458794013903</v>
      </c>
      <c r="AE18" s="57">
        <f t="shared" si="14"/>
        <v>-0.28211437096365216</v>
      </c>
      <c r="AF18" s="57">
        <f t="shared" si="14"/>
        <v>-0.41988303711725522</v>
      </c>
      <c r="AG18" s="57">
        <f t="shared" si="14"/>
        <v>-0.29375971746293322</v>
      </c>
      <c r="AH18" s="57">
        <f t="shared" si="14"/>
        <v>-0.18321890775005079</v>
      </c>
      <c r="AI18" s="57">
        <f t="shared" si="14"/>
        <v>-0.14095854307094993</v>
      </c>
      <c r="AJ18" s="57">
        <f t="shared" si="14"/>
        <v>-0.17586032342462882</v>
      </c>
      <c r="AK18" s="57">
        <f t="shared" si="14"/>
        <v>1.5306434559412633E-2</v>
      </c>
      <c r="AL18" s="57">
        <f t="shared" si="14"/>
        <v>-0.16294983272760269</v>
      </c>
      <c r="AM18" s="57">
        <f t="shared" si="14"/>
        <v>-0.31794847610671501</v>
      </c>
      <c r="AN18" s="57">
        <f t="shared" si="14"/>
        <v>-0.66068126127529936</v>
      </c>
      <c r="AO18" s="57">
        <f t="shared" si="14"/>
        <v>-6.9862799135230247E-2</v>
      </c>
      <c r="AP18" s="57">
        <f t="shared" si="14"/>
        <v>1.6049705587406954E-2</v>
      </c>
      <c r="AQ18" s="57">
        <f t="shared" si="14"/>
        <v>0.10757878549475156</v>
      </c>
      <c r="AR18" s="57">
        <f t="shared" si="14"/>
        <v>0.12631450490475349</v>
      </c>
      <c r="AS18" s="57">
        <f t="shared" si="14"/>
        <v>0.12025260158202758</v>
      </c>
      <c r="AT18" s="57">
        <f t="shared" si="14"/>
        <v>7.059398691064471E-2</v>
      </c>
      <c r="AU18" s="57">
        <f t="shared" si="14"/>
        <v>-9.2357070941028862E-4</v>
      </c>
      <c r="AV18" s="57">
        <f t="shared" si="14"/>
        <v>-0.10664389996896409</v>
      </c>
      <c r="AW18" s="57">
        <f t="shared" si="14"/>
        <v>-0.29813642390657807</v>
      </c>
      <c r="AX18" s="57">
        <f t="shared" si="14"/>
        <v>-0.3537103485060879</v>
      </c>
      <c r="AY18" s="57">
        <f t="shared" si="14"/>
        <v>-0.37134554604605535</v>
      </c>
      <c r="AZ18" s="57">
        <f t="shared" si="14"/>
        <v>-0.18927955686715559</v>
      </c>
      <c r="BA18" s="57">
        <f t="shared" si="14"/>
        <v>-9.1785879656561264E-2</v>
      </c>
      <c r="BB18" s="57">
        <f t="shared" si="14"/>
        <v>-0.13253906406081897</v>
      </c>
      <c r="BC18" s="57">
        <f t="shared" si="14"/>
        <v>-0.20074800717649513</v>
      </c>
      <c r="BD18" s="57">
        <f t="shared" si="14"/>
        <v>-0.2058756789548532</v>
      </c>
      <c r="BE18" s="57">
        <f t="shared" si="14"/>
        <v>4.5005360674542572E-4</v>
      </c>
      <c r="BF18" s="57">
        <f t="shared" si="14"/>
        <v>3.774969311932537E-2</v>
      </c>
      <c r="BG18" s="57">
        <f t="shared" si="14"/>
        <v>6.5759126539964949E-2</v>
      </c>
      <c r="BH18" s="57">
        <f t="shared" si="14"/>
        <v>6.3417686919997676E-2</v>
      </c>
      <c r="BI18" s="57">
        <f t="shared" si="14"/>
        <v>5.3927892057377753E-2</v>
      </c>
      <c r="BJ18" s="57">
        <f t="shared" si="14"/>
        <v>6.2084149134208816E-2</v>
      </c>
      <c r="BK18" s="57">
        <f t="shared" si="14"/>
        <v>7.0322902472513868E-2</v>
      </c>
      <c r="BL18" s="57">
        <f t="shared" si="14"/>
        <v>7.2615568584631376E-2</v>
      </c>
      <c r="BM18" s="57">
        <f t="shared" si="14"/>
        <v>3.2248727476367825E-2</v>
      </c>
      <c r="BN18" s="57">
        <f t="shared" si="14"/>
        <v>4.5081680417516611E-2</v>
      </c>
      <c r="BO18" s="57">
        <f t="shared" si="14"/>
        <v>6.0616696437201058E-2</v>
      </c>
      <c r="BP18" s="57">
        <f t="shared" si="14"/>
        <v>5.9996205575205262E-2</v>
      </c>
      <c r="BQ18" s="57">
        <f t="shared" si="14"/>
        <v>4.4883074931634535E-2</v>
      </c>
      <c r="BR18" s="57">
        <f t="shared" ref="BR18:CK18" si="15">BR17/BR4</f>
        <v>5.8485694962315392E-2</v>
      </c>
      <c r="BS18" s="57">
        <f t="shared" si="15"/>
        <v>4.1063971115994718E-2</v>
      </c>
      <c r="BT18" s="57">
        <f t="shared" si="15"/>
        <v>4.646068565287019E-2</v>
      </c>
      <c r="BU18" s="57">
        <f t="shared" si="15"/>
        <v>8.7739799443215152E-2</v>
      </c>
      <c r="BV18" s="57">
        <f t="shared" si="15"/>
        <v>6.0227605672420789E-2</v>
      </c>
      <c r="BW18" s="57">
        <f t="shared" si="15"/>
        <v>8.0067488937691361E-2</v>
      </c>
      <c r="BX18" s="57">
        <f t="shared" si="15"/>
        <v>0.12724276308571691</v>
      </c>
      <c r="BY18" s="57">
        <f t="shared" si="15"/>
        <v>0.24375068664984592</v>
      </c>
      <c r="BZ18" s="57">
        <f t="shared" si="15"/>
        <v>0.94481880591975687</v>
      </c>
      <c r="CA18" s="57">
        <f t="shared" si="15"/>
        <v>0.13558795700841256</v>
      </c>
      <c r="CB18" s="57">
        <f t="shared" si="15"/>
        <v>7.2209401686761029E-2</v>
      </c>
      <c r="CC18" s="57">
        <f t="shared" si="15"/>
        <v>8.6061283494307694E-2</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398</v>
      </c>
      <c r="B20" s="188">
        <v>-31991268</v>
      </c>
      <c r="C20" s="188">
        <v>-29578579</v>
      </c>
      <c r="D20" s="188">
        <v>1295650</v>
      </c>
      <c r="E20" s="188">
        <v>169034</v>
      </c>
      <c r="F20" s="188">
        <v>-9369632</v>
      </c>
      <c r="G20" s="188">
        <v>-13690554</v>
      </c>
      <c r="H20" s="188">
        <v>1524106</v>
      </c>
      <c r="I20" s="188">
        <v>-15121347</v>
      </c>
      <c r="J20" s="188">
        <v>-9868958</v>
      </c>
      <c r="K20" s="188">
        <v>-11180961</v>
      </c>
      <c r="L20" s="188">
        <v>-10380596</v>
      </c>
      <c r="M20" s="188">
        <v>4748739</v>
      </c>
      <c r="N20" s="188">
        <v>13474267</v>
      </c>
      <c r="O20" s="188">
        <v>10557037</v>
      </c>
      <c r="P20" s="188">
        <v>2935706</v>
      </c>
      <c r="Q20" s="188">
        <v>3569978</v>
      </c>
      <c r="R20" s="188">
        <v>5849368</v>
      </c>
      <c r="S20" s="188">
        <v>4390960</v>
      </c>
      <c r="T20" s="188">
        <v>1374620</v>
      </c>
      <c r="U20" s="188">
        <v>87148</v>
      </c>
      <c r="V20" s="188">
        <v>-144028</v>
      </c>
      <c r="W20" s="188">
        <v>-545119</v>
      </c>
      <c r="X20" s="188">
        <v>565295</v>
      </c>
      <c r="Y20" s="188">
        <v>-5958382</v>
      </c>
      <c r="Z20" s="188">
        <v>-10993560</v>
      </c>
      <c r="AA20" s="188">
        <v>-5766868</v>
      </c>
      <c r="AB20" s="188">
        <v>0</v>
      </c>
      <c r="AC20" s="188">
        <v>-5205134</v>
      </c>
      <c r="AD20" s="188">
        <v>-3782614</v>
      </c>
      <c r="AE20" s="188">
        <v>0</v>
      </c>
      <c r="AF20" s="188">
        <v>0</v>
      </c>
      <c r="AG20" s="188">
        <v>-6676583</v>
      </c>
      <c r="AH20" s="188">
        <v>2011566</v>
      </c>
      <c r="AI20" s="188">
        <v>3414968</v>
      </c>
      <c r="AJ20" s="188">
        <v>0</v>
      </c>
      <c r="AK20" s="188">
        <v>-204544825</v>
      </c>
      <c r="AL20" s="188">
        <v>0</v>
      </c>
      <c r="AM20" s="188">
        <v>-124597880</v>
      </c>
      <c r="AN20" s="188">
        <v>-14285911</v>
      </c>
      <c r="AO20" s="188">
        <v>-281318326</v>
      </c>
      <c r="AP20" s="188">
        <v>0</v>
      </c>
      <c r="AQ20" s="188">
        <v>0</v>
      </c>
      <c r="AR20" s="188">
        <v>0</v>
      </c>
      <c r="AS20" s="188">
        <v>-83656078</v>
      </c>
      <c r="AT20" s="188">
        <v>62470022</v>
      </c>
      <c r="AU20" s="188">
        <v>0</v>
      </c>
      <c r="AV20" s="188">
        <v>0</v>
      </c>
      <c r="AW20" s="188">
        <v>0</v>
      </c>
      <c r="AX20" s="188">
        <v>0</v>
      </c>
      <c r="AY20" s="188">
        <v>0</v>
      </c>
      <c r="AZ20" s="188">
        <v>0</v>
      </c>
      <c r="BA20" s="188">
        <v>0</v>
      </c>
      <c r="BB20" s="188">
        <v>0</v>
      </c>
      <c r="BC20" s="188">
        <v>0</v>
      </c>
      <c r="BD20" s="188">
        <v>0</v>
      </c>
      <c r="BE20" s="188">
        <v>0</v>
      </c>
      <c r="BF20" s="188">
        <v>0</v>
      </c>
      <c r="BG20" s="188">
        <v>0</v>
      </c>
      <c r="BH20" s="188">
        <v>0</v>
      </c>
      <c r="BI20" s="188">
        <v>0</v>
      </c>
      <c r="BJ20" s="188">
        <v>0</v>
      </c>
      <c r="BK20" s="188">
        <v>0</v>
      </c>
      <c r="BL20" s="188">
        <v>0</v>
      </c>
      <c r="BM20" s="188">
        <v>0</v>
      </c>
      <c r="BN20" s="188">
        <v>0</v>
      </c>
      <c r="BO20" s="188">
        <v>0</v>
      </c>
      <c r="BP20" s="188">
        <v>0</v>
      </c>
      <c r="BQ20" s="188">
        <v>0</v>
      </c>
      <c r="BR20" s="188">
        <v>0</v>
      </c>
      <c r="BS20" s="188">
        <v>0</v>
      </c>
      <c r="BT20" s="188">
        <v>0</v>
      </c>
      <c r="BU20" s="188">
        <v>0</v>
      </c>
      <c r="BV20" s="188">
        <v>0</v>
      </c>
      <c r="BW20" s="188">
        <v>0</v>
      </c>
      <c r="BX20" s="188">
        <v>0</v>
      </c>
      <c r="BY20" s="188">
        <v>0</v>
      </c>
      <c r="BZ20" s="188">
        <v>0</v>
      </c>
      <c r="CA20" s="188">
        <v>0</v>
      </c>
      <c r="CB20" s="188">
        <v>0</v>
      </c>
      <c r="CC20" s="188">
        <v>0</v>
      </c>
      <c r="CD20" s="188">
        <v>0</v>
      </c>
      <c r="CE20" s="188"/>
      <c r="CF20" s="188"/>
      <c r="CG20" s="188"/>
      <c r="CH20" s="188"/>
      <c r="CI20" s="188"/>
      <c r="CJ20" s="188"/>
      <c r="CK20" s="188"/>
    </row>
    <row r="21" spans="1:89" s="16" customFormat="1" x14ac:dyDescent="0.25">
      <c r="A21" s="18" t="s">
        <v>87</v>
      </c>
      <c r="B21" s="30"/>
      <c r="C21" s="30"/>
      <c r="D21" s="30"/>
      <c r="E21" s="30"/>
      <c r="F21" s="30"/>
      <c r="G21" s="30"/>
      <c r="H21" s="30"/>
      <c r="I21" s="30"/>
      <c r="J21" s="30"/>
      <c r="K21" s="30"/>
    </row>
    <row r="22" spans="1:89" x14ac:dyDescent="0.25">
      <c r="A22" s="17" t="s">
        <v>399</v>
      </c>
      <c r="B22" s="188">
        <v>0</v>
      </c>
      <c r="C22" s="188">
        <v>0</v>
      </c>
      <c r="D22" s="188">
        <v>339163</v>
      </c>
      <c r="E22" s="188">
        <v>32048211</v>
      </c>
      <c r="F22" s="188">
        <v>0</v>
      </c>
      <c r="G22" s="188">
        <v>0</v>
      </c>
      <c r="H22" s="188">
        <v>371955</v>
      </c>
      <c r="I22" s="188">
        <v>0</v>
      </c>
      <c r="J22" s="188">
        <v>21846353</v>
      </c>
      <c r="K22" s="188">
        <v>4623937</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-67794013</v>
      </c>
      <c r="AD22" s="188">
        <v>-8670137</v>
      </c>
      <c r="AE22" s="188">
        <v>-8670137</v>
      </c>
      <c r="AF22" s="188">
        <v>-8670137</v>
      </c>
      <c r="AG22" s="188">
        <v>67794013</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v>0</v>
      </c>
      <c r="BP22" s="188">
        <v>0</v>
      </c>
      <c r="BQ22" s="188">
        <v>0</v>
      </c>
      <c r="BR22" s="188">
        <v>0</v>
      </c>
      <c r="BS22" s="188">
        <v>0</v>
      </c>
      <c r="BT22" s="188">
        <v>0</v>
      </c>
      <c r="BU22" s="188">
        <v>0</v>
      </c>
      <c r="BV22" s="188">
        <v>0</v>
      </c>
      <c r="BW22" s="188">
        <v>0</v>
      </c>
      <c r="BX22" s="188">
        <v>0</v>
      </c>
      <c r="BY22" s="188">
        <v>0</v>
      </c>
      <c r="BZ22" s="188">
        <v>0</v>
      </c>
      <c r="CA22" s="188">
        <v>0</v>
      </c>
      <c r="CB22" s="188">
        <v>0</v>
      </c>
      <c r="CC22" s="188">
        <v>0</v>
      </c>
      <c r="CD22" s="188">
        <v>0</v>
      </c>
      <c r="CE22" s="188"/>
      <c r="CF22" s="188"/>
      <c r="CG22" s="188"/>
      <c r="CH22" s="188"/>
      <c r="CI22" s="188"/>
      <c r="CJ22" s="188"/>
      <c r="CK22" s="188"/>
    </row>
    <row r="23" spans="1:89" s="7" customFormat="1" x14ac:dyDescent="0.25">
      <c r="A23" s="21" t="s">
        <v>400</v>
      </c>
      <c r="B23" s="29">
        <f>-B52</f>
        <v>25636</v>
      </c>
      <c r="C23" s="29">
        <f t="shared" ref="C23:BN23" si="16">-C52</f>
        <v>27718</v>
      </c>
      <c r="D23" s="29">
        <f t="shared" si="16"/>
        <v>35317</v>
      </c>
      <c r="E23" s="29">
        <f t="shared" si="16"/>
        <v>665076391</v>
      </c>
      <c r="F23" s="29">
        <f t="shared" si="16"/>
        <v>34414</v>
      </c>
      <c r="G23" s="29">
        <f t="shared" si="16"/>
        <v>23309</v>
      </c>
      <c r="H23" s="29">
        <f t="shared" si="16"/>
        <v>16814</v>
      </c>
      <c r="I23" s="29">
        <f t="shared" si="16"/>
        <v>533341012</v>
      </c>
      <c r="J23" s="29">
        <f t="shared" si="16"/>
        <v>0</v>
      </c>
      <c r="K23" s="29">
        <f t="shared" si="16"/>
        <v>0</v>
      </c>
      <c r="L23" s="29">
        <f t="shared" si="16"/>
        <v>0</v>
      </c>
      <c r="M23" s="29">
        <f t="shared" si="16"/>
        <v>725634009</v>
      </c>
      <c r="N23" s="29">
        <f t="shared" si="16"/>
        <v>0</v>
      </c>
      <c r="O23" s="29">
        <f t="shared" si="16"/>
        <v>0</v>
      </c>
      <c r="P23" s="29">
        <f t="shared" si="16"/>
        <v>0</v>
      </c>
      <c r="Q23" s="29">
        <f t="shared" si="16"/>
        <v>890184658</v>
      </c>
      <c r="R23" s="29">
        <f t="shared" si="16"/>
        <v>0</v>
      </c>
      <c r="S23" s="29">
        <f t="shared" si="16"/>
        <v>0</v>
      </c>
      <c r="T23" s="29">
        <f t="shared" si="16"/>
        <v>0</v>
      </c>
      <c r="U23" s="29">
        <f t="shared" si="16"/>
        <v>352776862</v>
      </c>
      <c r="V23" s="29">
        <f t="shared" si="16"/>
        <v>0</v>
      </c>
      <c r="W23" s="29">
        <f t="shared" si="16"/>
        <v>0</v>
      </c>
      <c r="X23" s="29">
        <f t="shared" si="16"/>
        <v>0</v>
      </c>
      <c r="Y23" s="29">
        <f t="shared" si="16"/>
        <v>286076138</v>
      </c>
      <c r="Z23" s="29">
        <f t="shared" si="16"/>
        <v>0</v>
      </c>
      <c r="AA23" s="29">
        <f t="shared" si="16"/>
        <v>0</v>
      </c>
      <c r="AB23" s="29">
        <f t="shared" si="16"/>
        <v>0</v>
      </c>
      <c r="AC23" s="29">
        <f t="shared" si="16"/>
        <v>344569323</v>
      </c>
      <c r="AD23" s="29">
        <f t="shared" si="16"/>
        <v>0</v>
      </c>
      <c r="AE23" s="29">
        <f t="shared" si="16"/>
        <v>0</v>
      </c>
      <c r="AF23" s="29">
        <f t="shared" si="16"/>
        <v>0</v>
      </c>
      <c r="AG23" s="29">
        <f t="shared" si="16"/>
        <v>230719396</v>
      </c>
      <c r="AH23" s="29">
        <f t="shared" si="16"/>
        <v>0</v>
      </c>
      <c r="AI23" s="29">
        <f t="shared" si="16"/>
        <v>0</v>
      </c>
      <c r="AJ23" s="29">
        <f t="shared" si="16"/>
        <v>0</v>
      </c>
      <c r="AK23" s="29">
        <f t="shared" si="16"/>
        <v>147677321</v>
      </c>
      <c r="AL23" s="29">
        <f t="shared" si="16"/>
        <v>0</v>
      </c>
      <c r="AM23" s="29">
        <f t="shared" si="16"/>
        <v>0</v>
      </c>
      <c r="AN23" s="29">
        <f t="shared" si="16"/>
        <v>0</v>
      </c>
      <c r="AO23" s="29">
        <f t="shared" si="16"/>
        <v>53497635</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401</v>
      </c>
      <c r="B24" s="26">
        <f>B67</f>
        <v>290557043</v>
      </c>
      <c r="C24" s="26">
        <f t="shared" ref="C24:BN24" si="18">C67</f>
        <v>196502592</v>
      </c>
      <c r="D24" s="26">
        <f t="shared" si="18"/>
        <v>82303158</v>
      </c>
      <c r="E24" s="26">
        <f>E67</f>
        <v>115433649</v>
      </c>
      <c r="F24" s="26">
        <f t="shared" si="18"/>
        <v>70517572</v>
      </c>
      <c r="G24" s="26">
        <f t="shared" si="18"/>
        <v>32852705</v>
      </c>
      <c r="H24" s="26">
        <f t="shared" si="18"/>
        <v>3927038</v>
      </c>
      <c r="I24" s="26">
        <f t="shared" si="18"/>
        <v>166127956</v>
      </c>
      <c r="J24" s="26">
        <f t="shared" si="18"/>
        <v>120811934</v>
      </c>
      <c r="K24" s="26">
        <f t="shared" si="18"/>
        <v>76175283</v>
      </c>
      <c r="L24" s="26">
        <f t="shared" si="18"/>
        <v>37683600</v>
      </c>
      <c r="M24" s="26">
        <f t="shared" si="18"/>
        <v>182442947</v>
      </c>
      <c r="N24" s="26">
        <f t="shared" si="18"/>
        <v>120224201</v>
      </c>
      <c r="O24" s="26">
        <f t="shared" si="18"/>
        <v>54102113</v>
      </c>
      <c r="P24" s="26">
        <f t="shared" si="18"/>
        <v>28449171</v>
      </c>
      <c r="Q24" s="26">
        <f t="shared" si="18"/>
        <v>9877400</v>
      </c>
      <c r="R24" s="26">
        <f t="shared" si="18"/>
        <v>7794282</v>
      </c>
      <c r="S24" s="26">
        <f t="shared" si="18"/>
        <v>2533429</v>
      </c>
      <c r="T24" s="26">
        <f t="shared" si="18"/>
        <v>0</v>
      </c>
      <c r="U24" s="26">
        <f t="shared" si="18"/>
        <v>7513378</v>
      </c>
      <c r="V24" s="26">
        <f t="shared" si="18"/>
        <v>2170108</v>
      </c>
      <c r="W24" s="26">
        <f t="shared" si="18"/>
        <v>2170108</v>
      </c>
      <c r="X24" s="26">
        <f t="shared" si="18"/>
        <v>0</v>
      </c>
      <c r="Y24" s="26">
        <f t="shared" si="18"/>
        <v>483127</v>
      </c>
      <c r="Z24" s="26">
        <f t="shared" si="18"/>
        <v>1669314</v>
      </c>
      <c r="AA24" s="26">
        <f t="shared" si="18"/>
        <v>2014099</v>
      </c>
      <c r="AB24" s="26">
        <f t="shared" si="18"/>
        <v>-1354925</v>
      </c>
      <c r="AC24" s="26">
        <f t="shared" si="18"/>
        <v>4609680260</v>
      </c>
      <c r="AD24" s="26">
        <f t="shared" si="18"/>
        <v>3430033</v>
      </c>
      <c r="AE24" s="26">
        <f t="shared" si="18"/>
        <v>597349</v>
      </c>
      <c r="AF24" s="26">
        <f t="shared" si="18"/>
        <v>-1283192</v>
      </c>
      <c r="AG24" s="26">
        <f t="shared" si="18"/>
        <v>3359569</v>
      </c>
      <c r="AH24" s="26">
        <f t="shared" si="18"/>
        <v>2158357</v>
      </c>
      <c r="AI24" s="26">
        <f t="shared" si="18"/>
        <v>2095545</v>
      </c>
      <c r="AJ24" s="26">
        <f t="shared" si="18"/>
        <v>-1957005</v>
      </c>
      <c r="AK24" s="26">
        <f t="shared" si="18"/>
        <v>88987068</v>
      </c>
      <c r="AL24" s="26">
        <f t="shared" si="18"/>
        <v>-137049817</v>
      </c>
      <c r="AM24" s="26">
        <f t="shared" si="18"/>
        <v>830515</v>
      </c>
      <c r="AN24" s="26">
        <f t="shared" si="18"/>
        <v>0</v>
      </c>
      <c r="AO24" s="26">
        <f t="shared" si="18"/>
        <v>75290672</v>
      </c>
      <c r="AP24" s="26">
        <f t="shared" si="18"/>
        <v>28784091</v>
      </c>
      <c r="AQ24" s="26">
        <f t="shared" si="18"/>
        <v>50906440</v>
      </c>
      <c r="AR24" s="26">
        <f t="shared" si="18"/>
        <v>43814249</v>
      </c>
      <c r="AS24" s="26">
        <f t="shared" si="18"/>
        <v>-44659784</v>
      </c>
      <c r="AT24" s="26">
        <f t="shared" si="18"/>
        <v>200263335</v>
      </c>
      <c r="AU24" s="26">
        <f t="shared" si="18"/>
        <v>221606916</v>
      </c>
      <c r="AV24" s="26">
        <f t="shared" si="18"/>
        <v>217868111</v>
      </c>
      <c r="AW24" s="26">
        <f t="shared" si="18"/>
        <v>157168368</v>
      </c>
      <c r="AX24" s="26">
        <f t="shared" si="18"/>
        <v>138057057</v>
      </c>
      <c r="AY24" s="26">
        <f t="shared" si="18"/>
        <v>87479921</v>
      </c>
      <c r="AZ24" s="26">
        <f t="shared" si="18"/>
        <v>38948566</v>
      </c>
      <c r="BA24" s="26">
        <f t="shared" si="18"/>
        <v>113301589</v>
      </c>
      <c r="BB24" s="26">
        <f t="shared" si="18"/>
        <v>89939587</v>
      </c>
      <c r="BC24" s="26">
        <f t="shared" si="18"/>
        <v>66406176</v>
      </c>
      <c r="BD24" s="26">
        <f t="shared" si="18"/>
        <v>32739923</v>
      </c>
      <c r="BE24" s="26">
        <f t="shared" si="18"/>
        <v>286112046</v>
      </c>
      <c r="BF24" s="26">
        <f t="shared" si="18"/>
        <v>206559792.81999999</v>
      </c>
      <c r="BG24" s="26">
        <f t="shared" si="18"/>
        <v>165179911.53</v>
      </c>
      <c r="BH24" s="26">
        <f t="shared" si="18"/>
        <v>78125625.650000006</v>
      </c>
      <c r="BI24" s="26">
        <f t="shared" si="18"/>
        <v>53204161</v>
      </c>
      <c r="BJ24" s="26">
        <f t="shared" si="18"/>
        <v>4681908.37</v>
      </c>
      <c r="BK24" s="26">
        <f t="shared" si="18"/>
        <v>6034700.5800000001</v>
      </c>
      <c r="BL24" s="26">
        <f t="shared" si="18"/>
        <v>15558077.91</v>
      </c>
      <c r="BM24" s="26">
        <f t="shared" si="18"/>
        <v>65379188</v>
      </c>
      <c r="BN24" s="26">
        <f t="shared" si="18"/>
        <v>39136404.890000001</v>
      </c>
      <c r="BO24" s="26">
        <f t="shared" ref="BO24:CJ24" si="19">BO67</f>
        <v>17808258.879999999</v>
      </c>
      <c r="BP24" s="26">
        <f t="shared" si="19"/>
        <v>2808093.15</v>
      </c>
      <c r="BQ24" s="26">
        <f t="shared" si="19"/>
        <v>-15965737</v>
      </c>
      <c r="BR24" s="26">
        <f t="shared" si="19"/>
        <v>10466286.75</v>
      </c>
      <c r="BS24" s="26">
        <f t="shared" si="19"/>
        <v>58008092</v>
      </c>
      <c r="BT24" s="26">
        <f t="shared" si="19"/>
        <v>31267187</v>
      </c>
      <c r="BU24" s="26">
        <f t="shared" si="19"/>
        <v>52262841</v>
      </c>
      <c r="BV24" s="26">
        <f t="shared" si="19"/>
        <v>15953986.210000001</v>
      </c>
      <c r="BW24" s="26">
        <f t="shared" si="19"/>
        <v>40708000</v>
      </c>
      <c r="BX24" s="26">
        <f t="shared" si="19"/>
        <v>19592366.059999999</v>
      </c>
      <c r="BY24" s="26">
        <f t="shared" si="19"/>
        <v>61388000</v>
      </c>
      <c r="BZ24" s="26">
        <f t="shared" si="19"/>
        <v>31066000</v>
      </c>
      <c r="CA24" s="26">
        <f t="shared" si="19"/>
        <v>106110000</v>
      </c>
      <c r="CB24" s="26">
        <f t="shared" si="19"/>
        <v>106170000</v>
      </c>
      <c r="CC24" s="26">
        <f t="shared" si="19"/>
        <v>100099000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402</v>
      </c>
      <c r="B25" s="29">
        <f>-B54</f>
        <v>-3104</v>
      </c>
      <c r="C25" s="29">
        <f t="shared" ref="C25:BN25" si="20">-C54</f>
        <v>1424</v>
      </c>
      <c r="D25" s="29">
        <f t="shared" si="20"/>
        <v>340</v>
      </c>
      <c r="E25" s="29">
        <f t="shared" si="20"/>
        <v>-19922620</v>
      </c>
      <c r="F25" s="29">
        <f t="shared" si="20"/>
        <v>-2684</v>
      </c>
      <c r="G25" s="29">
        <f t="shared" si="20"/>
        <v>377</v>
      </c>
      <c r="H25" s="29">
        <f t="shared" si="20"/>
        <v>-1008</v>
      </c>
      <c r="I25" s="29">
        <f t="shared" si="20"/>
        <v>-754759625</v>
      </c>
      <c r="J25" s="29">
        <f t="shared" si="20"/>
        <v>0</v>
      </c>
      <c r="K25" s="29">
        <f t="shared" si="20"/>
        <v>0</v>
      </c>
      <c r="L25" s="29">
        <f t="shared" si="20"/>
        <v>0</v>
      </c>
      <c r="M25" s="29">
        <f t="shared" si="20"/>
        <v>-815250986</v>
      </c>
      <c r="N25" s="29">
        <f t="shared" si="20"/>
        <v>0</v>
      </c>
      <c r="O25" s="29">
        <f t="shared" si="20"/>
        <v>0</v>
      </c>
      <c r="P25" s="29">
        <f t="shared" si="20"/>
        <v>0</v>
      </c>
      <c r="Q25" s="29">
        <f t="shared" si="20"/>
        <v>165040224</v>
      </c>
      <c r="R25" s="29">
        <f t="shared" si="20"/>
        <v>0</v>
      </c>
      <c r="S25" s="29">
        <f t="shared" si="20"/>
        <v>0</v>
      </c>
      <c r="T25" s="29">
        <f t="shared" si="20"/>
        <v>0</v>
      </c>
      <c r="U25" s="29">
        <f t="shared" si="20"/>
        <v>317309778</v>
      </c>
      <c r="V25" s="29">
        <f t="shared" si="20"/>
        <v>0</v>
      </c>
      <c r="W25" s="29">
        <f t="shared" si="20"/>
        <v>0</v>
      </c>
      <c r="X25" s="29">
        <f t="shared" si="20"/>
        <v>0</v>
      </c>
      <c r="Y25" s="29">
        <f t="shared" si="20"/>
        <v>178032656</v>
      </c>
      <c r="Z25" s="29">
        <f t="shared" si="20"/>
        <v>0</v>
      </c>
      <c r="AA25" s="29">
        <f t="shared" si="20"/>
        <v>0</v>
      </c>
      <c r="AB25" s="29">
        <f t="shared" si="20"/>
        <v>0</v>
      </c>
      <c r="AC25" s="29">
        <f t="shared" si="20"/>
        <v>148107305</v>
      </c>
      <c r="AD25" s="29">
        <f t="shared" si="20"/>
        <v>0</v>
      </c>
      <c r="AE25" s="29">
        <f t="shared" si="20"/>
        <v>0</v>
      </c>
      <c r="AF25" s="29">
        <f t="shared" si="20"/>
        <v>0</v>
      </c>
      <c r="AG25" s="29">
        <f t="shared" si="20"/>
        <v>18397080</v>
      </c>
      <c r="AH25" s="29">
        <f t="shared" si="20"/>
        <v>0</v>
      </c>
      <c r="AI25" s="29">
        <f t="shared" si="20"/>
        <v>0</v>
      </c>
      <c r="AJ25" s="29">
        <f t="shared" si="20"/>
        <v>0</v>
      </c>
      <c r="AK25" s="29">
        <f t="shared" si="20"/>
        <v>-11965419</v>
      </c>
      <c r="AL25" s="29">
        <f t="shared" si="20"/>
        <v>0</v>
      </c>
      <c r="AM25" s="29">
        <f t="shared" si="20"/>
        <v>0</v>
      </c>
      <c r="AN25" s="29">
        <f t="shared" si="20"/>
        <v>0</v>
      </c>
      <c r="AO25" s="29">
        <f t="shared" si="20"/>
        <v>51535615</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403</v>
      </c>
      <c r="B26" s="188">
        <v>-242834533</v>
      </c>
      <c r="C26" s="188">
        <v>-223269396</v>
      </c>
      <c r="D26" s="188">
        <v>26569758</v>
      </c>
      <c r="E26" s="188">
        <v>44387083</v>
      </c>
      <c r="F26" s="188">
        <v>-35115613</v>
      </c>
      <c r="G26" s="188">
        <v>-14001966</v>
      </c>
      <c r="H26" s="188">
        <v>22533903</v>
      </c>
      <c r="I26" s="188">
        <v>32059196</v>
      </c>
      <c r="J26" s="188">
        <v>-20926500</v>
      </c>
      <c r="K26" s="188">
        <v>-26340409</v>
      </c>
      <c r="L26" s="188">
        <v>-50025753</v>
      </c>
      <c r="M26" s="188">
        <v>49447550</v>
      </c>
      <c r="N26" s="188">
        <v>-50041037</v>
      </c>
      <c r="O26" s="188">
        <v>71443148</v>
      </c>
      <c r="P26" s="188">
        <v>54206935</v>
      </c>
      <c r="Q26" s="188">
        <v>34637336</v>
      </c>
      <c r="R26" s="188">
        <v>9724331</v>
      </c>
      <c r="S26" s="188">
        <v>-27145356</v>
      </c>
      <c r="T26" s="188">
        <v>-31101945</v>
      </c>
      <c r="U26" s="188">
        <v>-33512719</v>
      </c>
      <c r="V26" s="188">
        <v>3994949</v>
      </c>
      <c r="W26" s="188">
        <v>9520272</v>
      </c>
      <c r="X26" s="188">
        <v>2894727</v>
      </c>
      <c r="Y26" s="188">
        <v>42966485</v>
      </c>
      <c r="Z26" s="188">
        <v>10122601</v>
      </c>
      <c r="AA26" s="188">
        <v>14074192</v>
      </c>
      <c r="AB26" s="188">
        <v>-16965037</v>
      </c>
      <c r="AC26" s="188">
        <v>48746243</v>
      </c>
      <c r="AD26" s="188">
        <v>-68261649</v>
      </c>
      <c r="AE26" s="188">
        <v>-20986819</v>
      </c>
      <c r="AF26" s="188">
        <v>-6497673</v>
      </c>
      <c r="AG26" s="188">
        <v>-9050182</v>
      </c>
      <c r="AH26" s="188">
        <v>-22692892</v>
      </c>
      <c r="AI26" s="188">
        <v>-35753218</v>
      </c>
      <c r="AJ26" s="188">
        <v>12448188</v>
      </c>
      <c r="AK26" s="188">
        <v>274786073</v>
      </c>
      <c r="AL26" s="188">
        <v>0</v>
      </c>
      <c r="AM26" s="188">
        <v>0</v>
      </c>
      <c r="AN26" s="188">
        <v>0</v>
      </c>
      <c r="AO26" s="188">
        <v>0</v>
      </c>
      <c r="AP26" s="188">
        <v>0</v>
      </c>
      <c r="AQ26" s="188">
        <v>0</v>
      </c>
      <c r="AR26" s="188">
        <v>0</v>
      </c>
      <c r="AS26" s="188">
        <v>0</v>
      </c>
      <c r="AT26" s="188">
        <v>0</v>
      </c>
      <c r="AU26" s="188">
        <v>0</v>
      </c>
      <c r="AV26" s="188">
        <v>0</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c r="BO26" s="188">
        <v>0</v>
      </c>
      <c r="BP26" s="188">
        <v>0</v>
      </c>
      <c r="BQ26" s="188">
        <v>0</v>
      </c>
      <c r="BR26" s="188">
        <v>0</v>
      </c>
      <c r="BS26" s="188">
        <v>0</v>
      </c>
      <c r="BT26" s="188">
        <v>0</v>
      </c>
      <c r="BU26" s="188">
        <v>0</v>
      </c>
      <c r="BV26" s="188">
        <v>0</v>
      </c>
      <c r="BW26" s="188">
        <v>0</v>
      </c>
      <c r="BX26" s="188">
        <v>0</v>
      </c>
      <c r="BY26" s="188">
        <v>0</v>
      </c>
      <c r="BZ26" s="188">
        <v>0</v>
      </c>
      <c r="CA26" s="188">
        <v>0</v>
      </c>
      <c r="CB26" s="188">
        <v>0</v>
      </c>
      <c r="CC26" s="188">
        <v>0</v>
      </c>
      <c r="CD26" s="188">
        <v>0</v>
      </c>
      <c r="CE26" s="188"/>
      <c r="CF26" s="188"/>
      <c r="CG26" s="188"/>
      <c r="CH26" s="188"/>
      <c r="CI26" s="188"/>
      <c r="CJ26" s="188"/>
      <c r="CK26" s="188"/>
    </row>
    <row r="27" spans="1:89" x14ac:dyDescent="0.25">
      <c r="A27" s="17" t="s">
        <v>404</v>
      </c>
      <c r="B27" s="26">
        <f>SUM(B22:B26)</f>
        <v>47745042</v>
      </c>
      <c r="C27" s="26">
        <f t="shared" ref="C27:BN27" si="22">SUM(C22:C26)</f>
        <v>-26737662</v>
      </c>
      <c r="D27" s="26">
        <f t="shared" si="22"/>
        <v>109247736</v>
      </c>
      <c r="E27" s="26">
        <f t="shared" si="22"/>
        <v>837022714</v>
      </c>
      <c r="F27" s="26">
        <f t="shared" si="22"/>
        <v>35433689</v>
      </c>
      <c r="G27" s="26">
        <f t="shared" si="22"/>
        <v>18874425</v>
      </c>
      <c r="H27" s="26">
        <f t="shared" si="22"/>
        <v>26848702</v>
      </c>
      <c r="I27" s="26">
        <f t="shared" si="22"/>
        <v>-23231461</v>
      </c>
      <c r="J27" s="26">
        <f t="shared" si="22"/>
        <v>121731787</v>
      </c>
      <c r="K27" s="26">
        <f t="shared" si="22"/>
        <v>54458811</v>
      </c>
      <c r="L27" s="26">
        <f t="shared" si="22"/>
        <v>-12342153</v>
      </c>
      <c r="M27" s="26">
        <f t="shared" si="22"/>
        <v>142273520</v>
      </c>
      <c r="N27" s="26">
        <f t="shared" si="22"/>
        <v>70183164</v>
      </c>
      <c r="O27" s="26">
        <f t="shared" si="22"/>
        <v>125545261</v>
      </c>
      <c r="P27" s="26">
        <f t="shared" si="22"/>
        <v>82656106</v>
      </c>
      <c r="Q27" s="26">
        <f t="shared" si="22"/>
        <v>1099739618</v>
      </c>
      <c r="R27" s="26">
        <f t="shared" si="22"/>
        <v>17518613</v>
      </c>
      <c r="S27" s="26">
        <f t="shared" si="22"/>
        <v>-24611927</v>
      </c>
      <c r="T27" s="26">
        <f t="shared" si="22"/>
        <v>-31101945</v>
      </c>
      <c r="U27" s="26">
        <f t="shared" si="22"/>
        <v>644087299</v>
      </c>
      <c r="V27" s="26">
        <f t="shared" si="22"/>
        <v>6165057</v>
      </c>
      <c r="W27" s="26">
        <f t="shared" si="22"/>
        <v>11690380</v>
      </c>
      <c r="X27" s="26">
        <f t="shared" si="22"/>
        <v>2894727</v>
      </c>
      <c r="Y27" s="26">
        <f t="shared" si="22"/>
        <v>507558406</v>
      </c>
      <c r="Z27" s="26">
        <f t="shared" si="22"/>
        <v>11791915</v>
      </c>
      <c r="AA27" s="26">
        <f t="shared" si="22"/>
        <v>16088291</v>
      </c>
      <c r="AB27" s="26">
        <f t="shared" si="22"/>
        <v>-18319962</v>
      </c>
      <c r="AC27" s="26">
        <f t="shared" si="22"/>
        <v>5083309118</v>
      </c>
      <c r="AD27" s="26">
        <f t="shared" si="22"/>
        <v>-73501753</v>
      </c>
      <c r="AE27" s="26">
        <f t="shared" si="22"/>
        <v>-29059607</v>
      </c>
      <c r="AF27" s="26">
        <f t="shared" si="22"/>
        <v>-16451002</v>
      </c>
      <c r="AG27" s="26">
        <f t="shared" si="22"/>
        <v>311219876</v>
      </c>
      <c r="AH27" s="26">
        <f t="shared" si="22"/>
        <v>-20534535</v>
      </c>
      <c r="AI27" s="26">
        <f t="shared" si="22"/>
        <v>-33657673</v>
      </c>
      <c r="AJ27" s="26">
        <f t="shared" si="22"/>
        <v>10491183</v>
      </c>
      <c r="AK27" s="26">
        <f t="shared" si="22"/>
        <v>499485043</v>
      </c>
      <c r="AL27" s="26">
        <f t="shared" si="22"/>
        <v>-137049817</v>
      </c>
      <c r="AM27" s="26">
        <f t="shared" si="22"/>
        <v>830515</v>
      </c>
      <c r="AN27" s="26">
        <f t="shared" si="22"/>
        <v>0</v>
      </c>
      <c r="AO27" s="26">
        <f t="shared" si="22"/>
        <v>180323922</v>
      </c>
      <c r="AP27" s="26">
        <f t="shared" si="22"/>
        <v>28784091</v>
      </c>
      <c r="AQ27" s="26">
        <f t="shared" si="22"/>
        <v>50906440</v>
      </c>
      <c r="AR27" s="26">
        <f t="shared" si="22"/>
        <v>43814249</v>
      </c>
      <c r="AS27" s="26">
        <f t="shared" si="22"/>
        <v>-44659784</v>
      </c>
      <c r="AT27" s="26">
        <f t="shared" si="22"/>
        <v>200263335</v>
      </c>
      <c r="AU27" s="26">
        <f t="shared" si="22"/>
        <v>221606916</v>
      </c>
      <c r="AV27" s="26">
        <f t="shared" si="22"/>
        <v>217868111</v>
      </c>
      <c r="AW27" s="26">
        <f t="shared" si="22"/>
        <v>157168368</v>
      </c>
      <c r="AX27" s="26">
        <f t="shared" si="22"/>
        <v>138057057</v>
      </c>
      <c r="AY27" s="26">
        <f t="shared" si="22"/>
        <v>87479921</v>
      </c>
      <c r="AZ27" s="26">
        <f t="shared" si="22"/>
        <v>38948566</v>
      </c>
      <c r="BA27" s="26">
        <f t="shared" si="22"/>
        <v>113301589</v>
      </c>
      <c r="BB27" s="26">
        <f t="shared" si="22"/>
        <v>89939587</v>
      </c>
      <c r="BC27" s="26">
        <f t="shared" si="22"/>
        <v>66406176</v>
      </c>
      <c r="BD27" s="26">
        <f t="shared" si="22"/>
        <v>32739923</v>
      </c>
      <c r="BE27" s="26">
        <f t="shared" si="22"/>
        <v>286112046</v>
      </c>
      <c r="BF27" s="26">
        <f t="shared" si="22"/>
        <v>206559792.81999999</v>
      </c>
      <c r="BG27" s="26">
        <f t="shared" si="22"/>
        <v>165179911.53</v>
      </c>
      <c r="BH27" s="26">
        <f t="shared" si="22"/>
        <v>78125625.650000006</v>
      </c>
      <c r="BI27" s="26">
        <f t="shared" si="22"/>
        <v>53204161</v>
      </c>
      <c r="BJ27" s="26">
        <f t="shared" si="22"/>
        <v>4681908.37</v>
      </c>
      <c r="BK27" s="26">
        <f t="shared" si="22"/>
        <v>6034700.5800000001</v>
      </c>
      <c r="BL27" s="26">
        <f t="shared" si="22"/>
        <v>15558077.91</v>
      </c>
      <c r="BM27" s="26">
        <f t="shared" si="22"/>
        <v>65379188</v>
      </c>
      <c r="BN27" s="26">
        <f t="shared" si="22"/>
        <v>39136404.890000001</v>
      </c>
      <c r="BO27" s="26">
        <f t="shared" ref="BO27:CJ27" si="23">SUM(BO22:BO26)</f>
        <v>17808258.879999999</v>
      </c>
      <c r="BP27" s="26">
        <f t="shared" si="23"/>
        <v>2808093.15</v>
      </c>
      <c r="BQ27" s="26">
        <f t="shared" si="23"/>
        <v>-15965737</v>
      </c>
      <c r="BR27" s="26">
        <f t="shared" si="23"/>
        <v>10466286.75</v>
      </c>
      <c r="BS27" s="26">
        <f t="shared" si="23"/>
        <v>58008092</v>
      </c>
      <c r="BT27" s="26">
        <f t="shared" si="23"/>
        <v>31267187</v>
      </c>
      <c r="BU27" s="26">
        <f t="shared" si="23"/>
        <v>52262841</v>
      </c>
      <c r="BV27" s="26">
        <f t="shared" si="23"/>
        <v>15953986.210000001</v>
      </c>
      <c r="BW27" s="26">
        <f t="shared" si="23"/>
        <v>40708000</v>
      </c>
      <c r="BX27" s="26">
        <f t="shared" si="23"/>
        <v>19592366.059999999</v>
      </c>
      <c r="BY27" s="26">
        <f t="shared" si="23"/>
        <v>61388000</v>
      </c>
      <c r="BZ27" s="26">
        <f t="shared" si="23"/>
        <v>31066000</v>
      </c>
      <c r="CA27" s="26">
        <f t="shared" si="23"/>
        <v>106110000</v>
      </c>
      <c r="CB27" s="26">
        <f t="shared" si="23"/>
        <v>106170000</v>
      </c>
      <c r="CC27" s="26">
        <f t="shared" si="23"/>
        <v>100099000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405</v>
      </c>
      <c r="B28" s="26">
        <f>SUM(B22:B25)*B41</f>
        <v>68314069.272710204</v>
      </c>
      <c r="C28" s="26">
        <f t="shared" ref="C28:BN28" si="24">SUM(C22:C25)*C41</f>
        <v>95215905.781112</v>
      </c>
      <c r="D28" s="26">
        <f t="shared" si="24"/>
        <v>25888744.943771653</v>
      </c>
      <c r="E28" s="26">
        <f t="shared" si="24"/>
        <v>167131133.98906976</v>
      </c>
      <c r="F28" s="26">
        <f t="shared" si="24"/>
        <v>12471893.513277205</v>
      </c>
      <c r="G28" s="26">
        <f t="shared" si="24"/>
        <v>5893108.5042491555</v>
      </c>
      <c r="H28" s="26">
        <f t="shared" si="24"/>
        <v>660031.39411930682</v>
      </c>
      <c r="I28" s="26">
        <f t="shared" si="24"/>
        <v>-14891770.568982746</v>
      </c>
      <c r="J28" s="26">
        <f t="shared" si="24"/>
        <v>66598596.482927158</v>
      </c>
      <c r="K28" s="26">
        <f t="shared" si="24"/>
        <v>-8152339.4959679972</v>
      </c>
      <c r="L28" s="26">
        <f t="shared" si="24"/>
        <v>7754803.5537475478</v>
      </c>
      <c r="M28" s="26">
        <f t="shared" si="24"/>
        <v>29196388.113003142</v>
      </c>
      <c r="N28" s="26">
        <f t="shared" si="24"/>
        <v>24456043.348207533</v>
      </c>
      <c r="O28" s="26">
        <f t="shared" si="24"/>
        <v>9130696.6447980888</v>
      </c>
      <c r="P28" s="26">
        <f t="shared" si="24"/>
        <v>5204496.4922547303</v>
      </c>
      <c r="Q28" s="26">
        <f t="shared" si="24"/>
        <v>146551169.46766973</v>
      </c>
      <c r="R28" s="26">
        <f t="shared" si="24"/>
        <v>969682.13869991573</v>
      </c>
      <c r="S28" s="26">
        <f t="shared" si="24"/>
        <v>305987.12955578405</v>
      </c>
      <c r="T28" s="26">
        <f t="shared" si="24"/>
        <v>0</v>
      </c>
      <c r="U28" s="26">
        <f t="shared" si="24"/>
        <v>10399753.371061929</v>
      </c>
      <c r="V28" s="26">
        <f t="shared" si="24"/>
        <v>84635.801017601407</v>
      </c>
      <c r="W28" s="26">
        <f t="shared" si="24"/>
        <v>42186.772567766937</v>
      </c>
      <c r="X28" s="26">
        <f t="shared" si="24"/>
        <v>0</v>
      </c>
      <c r="Y28" s="26">
        <f t="shared" si="24"/>
        <v>1988540.5884934634</v>
      </c>
      <c r="Z28" s="26">
        <f t="shared" si="24"/>
        <v>-13411.51074557494</v>
      </c>
      <c r="AA28" s="26">
        <f t="shared" si="24"/>
        <v>-15760.064008055093</v>
      </c>
      <c r="AB28" s="26">
        <f t="shared" si="24"/>
        <v>3589.0042149571286</v>
      </c>
      <c r="AC28" s="26">
        <f t="shared" si="24"/>
        <v>743614224.12331367</v>
      </c>
      <c r="AD28" s="26">
        <f t="shared" si="24"/>
        <v>-3801.1432962224235</v>
      </c>
      <c r="AE28" s="26">
        <f t="shared" si="24"/>
        <v>-16200.762324133048</v>
      </c>
      <c r="AF28" s="26">
        <f t="shared" si="24"/>
        <v>-10894.866510384223</v>
      </c>
      <c r="AG28" s="26">
        <f t="shared" si="24"/>
        <v>-3808801.6864342759</v>
      </c>
      <c r="AH28" s="26">
        <f t="shared" si="24"/>
        <v>-30467.838800104826</v>
      </c>
      <c r="AI28" s="26">
        <f t="shared" si="24"/>
        <v>-49183.385089415104</v>
      </c>
      <c r="AJ28" s="26">
        <f t="shared" si="24"/>
        <v>-10199.483375070151</v>
      </c>
      <c r="AK28" s="26">
        <f t="shared" si="24"/>
        <v>-21863837.679542717</v>
      </c>
      <c r="AL28" s="26">
        <f t="shared" si="24"/>
        <v>1395872.3228074531</v>
      </c>
      <c r="AM28" s="26">
        <f t="shared" si="24"/>
        <v>-6193.9495817561437</v>
      </c>
      <c r="AN28" s="26">
        <f t="shared" si="24"/>
        <v>0</v>
      </c>
      <c r="AO28" s="26">
        <f t="shared" si="24"/>
        <v>-13709648.630803987</v>
      </c>
      <c r="AP28" s="26">
        <f t="shared" si="24"/>
        <v>10699793.798773222</v>
      </c>
      <c r="AQ28" s="26">
        <f t="shared" si="24"/>
        <v>4220978.0936158346</v>
      </c>
      <c r="AR28" s="26">
        <f t="shared" si="24"/>
        <v>3519342.4805971668</v>
      </c>
      <c r="AS28" s="26">
        <f t="shared" si="24"/>
        <v>2990843.1434412161</v>
      </c>
      <c r="AT28" s="26">
        <f t="shared" si="24"/>
        <v>4128294.6785246576</v>
      </c>
      <c r="AU28" s="26">
        <f t="shared" si="24"/>
        <v>48435126.572938442</v>
      </c>
      <c r="AV28" s="26">
        <f t="shared" si="24"/>
        <v>-6089073.1511940649</v>
      </c>
      <c r="AW28" s="26">
        <f t="shared" si="24"/>
        <v>-681764.24130431807</v>
      </c>
      <c r="AX28" s="26">
        <f t="shared" si="24"/>
        <v>-270951.79329080344</v>
      </c>
      <c r="AY28" s="26">
        <f t="shared" si="24"/>
        <v>-172620.81616941889</v>
      </c>
      <c r="AZ28" s="26">
        <f t="shared" si="24"/>
        <v>-90086.157073861046</v>
      </c>
      <c r="BA28" s="26">
        <f t="shared" si="24"/>
        <v>-3046927.3162699663</v>
      </c>
      <c r="BB28" s="26">
        <f t="shared" si="24"/>
        <v>-2328590.0415986474</v>
      </c>
      <c r="BC28" s="26">
        <f t="shared" si="24"/>
        <v>-1544079.4897377873</v>
      </c>
      <c r="BD28" s="26">
        <f t="shared" si="24"/>
        <v>-229647.02402862362</v>
      </c>
      <c r="BE28" s="26">
        <f t="shared" si="24"/>
        <v>13490834.784301504</v>
      </c>
      <c r="BF28" s="26">
        <f t="shared" si="24"/>
        <v>11984567.549464768</v>
      </c>
      <c r="BG28" s="26">
        <f t="shared" si="24"/>
        <v>9137003.4636613838</v>
      </c>
      <c r="BH28" s="26">
        <f t="shared" si="24"/>
        <v>3464430.7796786297</v>
      </c>
      <c r="BI28" s="26">
        <f t="shared" si="24"/>
        <v>2381227.1720816041</v>
      </c>
      <c r="BJ28" s="26">
        <f t="shared" si="24"/>
        <v>282649.16004178254</v>
      </c>
      <c r="BK28" s="26">
        <f t="shared" si="24"/>
        <v>338210.19175550435</v>
      </c>
      <c r="BL28" s="26">
        <f t="shared" si="24"/>
        <v>2683029.7906585895</v>
      </c>
      <c r="BM28" s="26">
        <f t="shared" si="24"/>
        <v>15325726.303096708</v>
      </c>
      <c r="BN28" s="26">
        <f t="shared" si="24"/>
        <v>8843960.6463801451</v>
      </c>
      <c r="BO28" s="26">
        <f t="shared" ref="BO28:CJ28" si="25">SUM(BO22:BO25)*BO41</f>
        <v>3564053.5733968127</v>
      </c>
      <c r="BP28" s="26">
        <f t="shared" si="25"/>
        <v>619998.58400748053</v>
      </c>
      <c r="BQ28" s="26">
        <f t="shared" si="25"/>
        <v>-2956979.9862299142</v>
      </c>
      <c r="BR28" s="26">
        <f t="shared" si="25"/>
        <v>927606.83316044789</v>
      </c>
      <c r="BS28" s="26">
        <f t="shared" si="25"/>
        <v>7069249.0782252392</v>
      </c>
      <c r="BT28" s="26">
        <f t="shared" si="25"/>
        <v>3925151.7574150958</v>
      </c>
      <c r="BU28" s="26">
        <f t="shared" si="25"/>
        <v>4562650.8166718865</v>
      </c>
      <c r="BV28" s="26">
        <f t="shared" si="25"/>
        <v>3150690.0781444535</v>
      </c>
      <c r="BW28" s="26">
        <f t="shared" si="25"/>
        <v>3414811.4365793844</v>
      </c>
      <c r="BX28" s="26">
        <f t="shared" si="25"/>
        <v>1945329.6618459234</v>
      </c>
      <c r="BY28" s="26">
        <f t="shared" si="25"/>
        <v>5947968.9760012133</v>
      </c>
      <c r="BZ28" s="26">
        <f t="shared" si="25"/>
        <v>1714258.9752968319</v>
      </c>
      <c r="CA28" s="26">
        <f t="shared" si="25"/>
        <v>2651665.1046281778</v>
      </c>
      <c r="CB28" s="26">
        <f t="shared" si="25"/>
        <v>782380.41285544529</v>
      </c>
      <c r="CC28" s="26">
        <f t="shared" si="25"/>
        <v>460619.2417690077</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406</v>
      </c>
      <c r="B29" s="28">
        <f>B27-B28</f>
        <v>-20569027.272710204</v>
      </c>
      <c r="C29" s="28">
        <f t="shared" ref="C29:BN29" si="26">C27-C28</f>
        <v>-121953567.781112</v>
      </c>
      <c r="D29" s="28">
        <f t="shared" si="26"/>
        <v>83358991.05622834</v>
      </c>
      <c r="E29" s="28">
        <f t="shared" si="26"/>
        <v>669891580.0109303</v>
      </c>
      <c r="F29" s="28">
        <f t="shared" si="26"/>
        <v>22961795.486722797</v>
      </c>
      <c r="G29" s="28">
        <f t="shared" si="26"/>
        <v>12981316.495750844</v>
      </c>
      <c r="H29" s="28">
        <f t="shared" si="26"/>
        <v>26188670.605880693</v>
      </c>
      <c r="I29" s="28">
        <f t="shared" si="26"/>
        <v>-8339690.4310172535</v>
      </c>
      <c r="J29" s="28">
        <f t="shared" si="26"/>
        <v>55133190.517072842</v>
      </c>
      <c r="K29" s="28">
        <f t="shared" si="26"/>
        <v>62611150.495967999</v>
      </c>
      <c r="L29" s="28">
        <f t="shared" si="26"/>
        <v>-20096956.55374755</v>
      </c>
      <c r="M29" s="28">
        <f t="shared" si="26"/>
        <v>113077131.88699687</v>
      </c>
      <c r="N29" s="28">
        <f t="shared" si="26"/>
        <v>45727120.651792467</v>
      </c>
      <c r="O29" s="28">
        <f t="shared" si="26"/>
        <v>116414564.35520191</v>
      </c>
      <c r="P29" s="28">
        <f t="shared" si="26"/>
        <v>77451609.507745266</v>
      </c>
      <c r="Q29" s="28">
        <f t="shared" si="26"/>
        <v>953188448.53233027</v>
      </c>
      <c r="R29" s="28">
        <f t="shared" si="26"/>
        <v>16548930.861300085</v>
      </c>
      <c r="S29" s="28">
        <f t="shared" si="26"/>
        <v>-24917914.129555784</v>
      </c>
      <c r="T29" s="28">
        <f t="shared" si="26"/>
        <v>-31101945</v>
      </c>
      <c r="U29" s="28">
        <f t="shared" si="26"/>
        <v>633687545.62893808</v>
      </c>
      <c r="V29" s="28">
        <f t="shared" si="26"/>
        <v>6080421.198982399</v>
      </c>
      <c r="W29" s="28">
        <f t="shared" si="26"/>
        <v>11648193.227432232</v>
      </c>
      <c r="X29" s="28">
        <f t="shared" si="26"/>
        <v>2894727</v>
      </c>
      <c r="Y29" s="28">
        <f t="shared" si="26"/>
        <v>505569865.41150653</v>
      </c>
      <c r="Z29" s="28">
        <f t="shared" si="26"/>
        <v>11805326.510745576</v>
      </c>
      <c r="AA29" s="28">
        <f t="shared" si="26"/>
        <v>16104051.064008055</v>
      </c>
      <c r="AB29" s="28">
        <f t="shared" si="26"/>
        <v>-18323551.004214957</v>
      </c>
      <c r="AC29" s="28">
        <f t="shared" si="26"/>
        <v>4339694893.8766861</v>
      </c>
      <c r="AD29" s="28">
        <f t="shared" si="26"/>
        <v>-73497951.856703773</v>
      </c>
      <c r="AE29" s="28">
        <f t="shared" si="26"/>
        <v>-29043406.237675868</v>
      </c>
      <c r="AF29" s="28">
        <f t="shared" si="26"/>
        <v>-16440107.133489616</v>
      </c>
      <c r="AG29" s="28">
        <f t="shared" si="26"/>
        <v>315028677.68643427</v>
      </c>
      <c r="AH29" s="28">
        <f t="shared" si="26"/>
        <v>-20504067.161199894</v>
      </c>
      <c r="AI29" s="28">
        <f t="shared" si="26"/>
        <v>-33608489.614910588</v>
      </c>
      <c r="AJ29" s="28">
        <f t="shared" si="26"/>
        <v>10501382.483375071</v>
      </c>
      <c r="AK29" s="28">
        <f t="shared" si="26"/>
        <v>521348880.67954272</v>
      </c>
      <c r="AL29" s="28">
        <f t="shared" si="26"/>
        <v>-138445689.32280746</v>
      </c>
      <c r="AM29" s="28">
        <f t="shared" si="26"/>
        <v>836708.94958175614</v>
      </c>
      <c r="AN29" s="28">
        <f t="shared" si="26"/>
        <v>0</v>
      </c>
      <c r="AO29" s="28">
        <f t="shared" si="26"/>
        <v>194033570.630804</v>
      </c>
      <c r="AP29" s="28">
        <f t="shared" si="26"/>
        <v>18084297.201226778</v>
      </c>
      <c r="AQ29" s="28">
        <f t="shared" si="26"/>
        <v>46685461.906384163</v>
      </c>
      <c r="AR29" s="28">
        <f t="shared" si="26"/>
        <v>40294906.519402832</v>
      </c>
      <c r="AS29" s="28">
        <f t="shared" si="26"/>
        <v>-47650627.143441215</v>
      </c>
      <c r="AT29" s="28">
        <f t="shared" si="26"/>
        <v>196135040.32147536</v>
      </c>
      <c r="AU29" s="28">
        <f t="shared" si="26"/>
        <v>173171789.42706156</v>
      </c>
      <c r="AV29" s="28">
        <f t="shared" si="26"/>
        <v>223957184.15119407</v>
      </c>
      <c r="AW29" s="28">
        <f t="shared" si="26"/>
        <v>157850132.24130431</v>
      </c>
      <c r="AX29" s="28">
        <f t="shared" si="26"/>
        <v>138328008.79329079</v>
      </c>
      <c r="AY29" s="28">
        <f t="shared" si="26"/>
        <v>87652541.816169426</v>
      </c>
      <c r="AZ29" s="28">
        <f t="shared" si="26"/>
        <v>39038652.157073863</v>
      </c>
      <c r="BA29" s="28">
        <f t="shared" si="26"/>
        <v>116348516.31626996</v>
      </c>
      <c r="BB29" s="28">
        <f t="shared" si="26"/>
        <v>92268177.041598648</v>
      </c>
      <c r="BC29" s="28">
        <f t="shared" si="26"/>
        <v>67950255.489737794</v>
      </c>
      <c r="BD29" s="28">
        <f t="shared" si="26"/>
        <v>32969570.024028625</v>
      </c>
      <c r="BE29" s="28">
        <f t="shared" si="26"/>
        <v>272621211.21569848</v>
      </c>
      <c r="BF29" s="28">
        <f t="shared" si="26"/>
        <v>194575225.27053523</v>
      </c>
      <c r="BG29" s="28">
        <f t="shared" si="26"/>
        <v>156042908.06633863</v>
      </c>
      <c r="BH29" s="28">
        <f t="shared" si="26"/>
        <v>74661194.870321378</v>
      </c>
      <c r="BI29" s="28">
        <f t="shared" si="26"/>
        <v>50822933.827918395</v>
      </c>
      <c r="BJ29" s="28">
        <f t="shared" si="26"/>
        <v>4399259.209958218</v>
      </c>
      <c r="BK29" s="28">
        <f t="shared" si="26"/>
        <v>5696490.3882444957</v>
      </c>
      <c r="BL29" s="28">
        <f t="shared" si="26"/>
        <v>12875048.119341411</v>
      </c>
      <c r="BM29" s="28">
        <f t="shared" si="26"/>
        <v>50053461.696903288</v>
      </c>
      <c r="BN29" s="28">
        <f t="shared" si="26"/>
        <v>30292444.243619855</v>
      </c>
      <c r="BO29" s="28">
        <f t="shared" ref="BO29:CK29" si="27">BO27-BO28</f>
        <v>14244205.306603186</v>
      </c>
      <c r="BP29" s="28">
        <f t="shared" si="27"/>
        <v>2188094.5659925193</v>
      </c>
      <c r="BQ29" s="28">
        <f t="shared" si="27"/>
        <v>-13008757.013770085</v>
      </c>
      <c r="BR29" s="28">
        <f t="shared" si="27"/>
        <v>9538679.9168395512</v>
      </c>
      <c r="BS29" s="28">
        <f t="shared" si="27"/>
        <v>50938842.92177476</v>
      </c>
      <c r="BT29" s="28">
        <f t="shared" si="27"/>
        <v>27342035.242584903</v>
      </c>
      <c r="BU29" s="28">
        <f t="shared" si="27"/>
        <v>47700190.183328114</v>
      </c>
      <c r="BV29" s="28">
        <f t="shared" si="27"/>
        <v>12803296.131855547</v>
      </c>
      <c r="BW29" s="28">
        <f t="shared" si="27"/>
        <v>37293188.563420616</v>
      </c>
      <c r="BX29" s="28">
        <f t="shared" si="27"/>
        <v>17647036.398154076</v>
      </c>
      <c r="BY29" s="28">
        <f t="shared" si="27"/>
        <v>55440031.023998789</v>
      </c>
      <c r="BZ29" s="28">
        <f t="shared" si="27"/>
        <v>29351741.024703167</v>
      </c>
      <c r="CA29" s="28">
        <f t="shared" si="27"/>
        <v>103458334.89537182</v>
      </c>
      <c r="CB29" s="28">
        <f t="shared" si="27"/>
        <v>105387619.58714455</v>
      </c>
      <c r="CC29" s="28">
        <f t="shared" si="27"/>
        <v>99638380.758230999</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407</v>
      </c>
      <c r="B31" s="26">
        <f>B15+B20+B27</f>
        <v>6237950613</v>
      </c>
      <c r="C31" s="26">
        <f t="shared" ref="C31:BN31" si="28">C15+C20+C27</f>
        <v>2562593167</v>
      </c>
      <c r="D31" s="26">
        <f t="shared" si="28"/>
        <v>1819018010</v>
      </c>
      <c r="E31" s="26">
        <f t="shared" si="28"/>
        <v>11532313814</v>
      </c>
      <c r="F31" s="26">
        <f t="shared" si="28"/>
        <v>9067014144</v>
      </c>
      <c r="G31" s="26">
        <f t="shared" si="28"/>
        <v>6344654790</v>
      </c>
      <c r="H31" s="26">
        <f t="shared" si="28"/>
        <v>3580823015</v>
      </c>
      <c r="I31" s="26">
        <f t="shared" si="28"/>
        <v>4567198613</v>
      </c>
      <c r="J31" s="26">
        <f t="shared" si="28"/>
        <v>2097392446</v>
      </c>
      <c r="K31" s="26">
        <f t="shared" si="28"/>
        <v>677293344</v>
      </c>
      <c r="L31" s="26">
        <f t="shared" si="28"/>
        <v>436544710</v>
      </c>
      <c r="M31" s="26">
        <f t="shared" si="28"/>
        <v>3414332450</v>
      </c>
      <c r="N31" s="26">
        <f t="shared" si="28"/>
        <v>3483693562</v>
      </c>
      <c r="O31" s="26">
        <f t="shared" si="28"/>
        <v>2611998669</v>
      </c>
      <c r="P31" s="26">
        <f t="shared" si="28"/>
        <v>1434003194</v>
      </c>
      <c r="Q31" s="26">
        <f t="shared" si="28"/>
        <v>4045963011</v>
      </c>
      <c r="R31" s="26">
        <f t="shared" si="28"/>
        <v>2240192301</v>
      </c>
      <c r="S31" s="26">
        <f t="shared" si="28"/>
        <v>1398513183</v>
      </c>
      <c r="T31" s="26">
        <f t="shared" si="28"/>
        <v>907926621</v>
      </c>
      <c r="U31" s="26">
        <f t="shared" si="28"/>
        <v>4030992007</v>
      </c>
      <c r="V31" s="26">
        <f t="shared" si="28"/>
        <v>2290700653</v>
      </c>
      <c r="W31" s="26">
        <f t="shared" si="28"/>
        <v>1391504534</v>
      </c>
      <c r="X31" s="26">
        <f t="shared" si="28"/>
        <v>547068117</v>
      </c>
      <c r="Y31" s="26">
        <f t="shared" si="28"/>
        <v>967881002</v>
      </c>
      <c r="Z31" s="26">
        <f t="shared" si="28"/>
        <v>-608560031</v>
      </c>
      <c r="AA31" s="26">
        <f t="shared" si="28"/>
        <v>-933477255</v>
      </c>
      <c r="AB31" s="26">
        <f t="shared" si="28"/>
        <v>-769443263</v>
      </c>
      <c r="AC31" s="26">
        <f t="shared" si="28"/>
        <v>1406127406</v>
      </c>
      <c r="AD31" s="26">
        <f t="shared" si="28"/>
        <v>-2332443022</v>
      </c>
      <c r="AE31" s="26">
        <f t="shared" si="28"/>
        <v>-1425516651</v>
      </c>
      <c r="AF31" s="26">
        <f t="shared" si="28"/>
        <v>-844378285</v>
      </c>
      <c r="AG31" s="26">
        <f t="shared" si="28"/>
        <v>-2025256804</v>
      </c>
      <c r="AH31" s="26">
        <f t="shared" si="28"/>
        <v>-1139040867</v>
      </c>
      <c r="AI31" s="26">
        <f t="shared" si="28"/>
        <v>-606823159</v>
      </c>
      <c r="AJ31" s="26">
        <f t="shared" si="28"/>
        <v>-324269546</v>
      </c>
      <c r="AK31" s="26">
        <f t="shared" si="28"/>
        <v>382111126</v>
      </c>
      <c r="AL31" s="26">
        <f t="shared" si="28"/>
        <v>-837849625</v>
      </c>
      <c r="AM31" s="26">
        <f t="shared" si="28"/>
        <v>-849040053</v>
      </c>
      <c r="AN31" s="26">
        <f t="shared" si="28"/>
        <v>-488653038</v>
      </c>
      <c r="AO31" s="26">
        <f t="shared" si="28"/>
        <v>-642093451</v>
      </c>
      <c r="AP31" s="26">
        <f t="shared" si="28"/>
        <v>214551876</v>
      </c>
      <c r="AQ31" s="26">
        <f t="shared" si="28"/>
        <v>696778014</v>
      </c>
      <c r="AR31" s="26">
        <f t="shared" si="28"/>
        <v>447163331</v>
      </c>
      <c r="AS31" s="26">
        <f t="shared" si="28"/>
        <v>1130647532</v>
      </c>
      <c r="AT31" s="26">
        <f t="shared" si="28"/>
        <v>834045245</v>
      </c>
      <c r="AU31" s="26">
        <f t="shared" si="28"/>
        <v>216064816</v>
      </c>
      <c r="AV31" s="26">
        <f t="shared" si="28"/>
        <v>-5476930</v>
      </c>
      <c r="AW31" s="26">
        <f t="shared" si="28"/>
        <v>-2449577602</v>
      </c>
      <c r="AX31" s="26">
        <f t="shared" si="28"/>
        <v>-2213065167</v>
      </c>
      <c r="AY31" s="26">
        <f t="shared" si="28"/>
        <v>-1502829036</v>
      </c>
      <c r="AZ31" s="26">
        <f t="shared" si="28"/>
        <v>-415174979</v>
      </c>
      <c r="BA31" s="26">
        <f t="shared" si="28"/>
        <v>-1089943054</v>
      </c>
      <c r="BB31" s="26">
        <f t="shared" si="28"/>
        <v>-1014387519</v>
      </c>
      <c r="BC31" s="26">
        <f t="shared" si="28"/>
        <v>-781454157</v>
      </c>
      <c r="BD31" s="26">
        <f t="shared" si="28"/>
        <v>-392879948</v>
      </c>
      <c r="BE31" s="26">
        <f t="shared" si="28"/>
        <v>291988573</v>
      </c>
      <c r="BF31" s="26">
        <f t="shared" si="28"/>
        <v>579690339.27999961</v>
      </c>
      <c r="BG31" s="26">
        <f t="shared" si="28"/>
        <v>599141023.69999993</v>
      </c>
      <c r="BH31" s="26">
        <f t="shared" si="28"/>
        <v>323263833.73999977</v>
      </c>
      <c r="BI31" s="26">
        <f t="shared" si="28"/>
        <v>684372559</v>
      </c>
      <c r="BJ31" s="26">
        <f t="shared" si="28"/>
        <v>510170605.40000033</v>
      </c>
      <c r="BK31" s="26">
        <f t="shared" si="28"/>
        <v>356022961.28000009</v>
      </c>
      <c r="BL31" s="26">
        <f t="shared" si="28"/>
        <v>213300456.14999998</v>
      </c>
      <c r="BM31" s="26">
        <f t="shared" si="28"/>
        <v>266835514</v>
      </c>
      <c r="BN31" s="26">
        <f t="shared" si="28"/>
        <v>238304692.55999982</v>
      </c>
      <c r="BO31" s="26">
        <f t="shared" ref="BO31:CJ31" si="29">BO15+BO20+BO27</f>
        <v>170309828.21999997</v>
      </c>
      <c r="BP31" s="26">
        <f t="shared" si="29"/>
        <v>82835522.799999952</v>
      </c>
      <c r="BQ31" s="26">
        <f t="shared" si="29"/>
        <v>131086865</v>
      </c>
      <c r="BR31" s="26">
        <f t="shared" si="29"/>
        <v>92369413.899999961</v>
      </c>
      <c r="BS31" s="26">
        <f t="shared" si="29"/>
        <v>162514635</v>
      </c>
      <c r="BT31" s="26">
        <f t="shared" si="29"/>
        <v>84037169</v>
      </c>
      <c r="BU31" s="26">
        <f t="shared" si="29"/>
        <v>123582176</v>
      </c>
      <c r="BV31" s="26">
        <f t="shared" si="29"/>
        <v>31019039.270000003</v>
      </c>
      <c r="BW31" s="26">
        <f t="shared" si="29"/>
        <v>61465000</v>
      </c>
      <c r="BX31" s="26">
        <f t="shared" si="29"/>
        <v>34538828.280000001</v>
      </c>
      <c r="BY31" s="26">
        <f t="shared" si="29"/>
        <v>135638000</v>
      </c>
      <c r="BZ31" s="26">
        <f t="shared" si="29"/>
        <v>142168000</v>
      </c>
      <c r="CA31" s="26">
        <f t="shared" si="29"/>
        <v>132694000</v>
      </c>
      <c r="CB31" s="26">
        <f t="shared" si="29"/>
        <v>119542000</v>
      </c>
      <c r="CC31" s="26">
        <f t="shared" si="29"/>
        <v>111753000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408</v>
      </c>
      <c r="B32" s="57">
        <f>B31/B4*100</f>
        <v>8.9800666523268653</v>
      </c>
      <c r="C32" s="57">
        <f t="shared" ref="C32:D32" si="30">C31/C4*100</f>
        <v>5.8945548346856551</v>
      </c>
      <c r="D32" s="57">
        <f t="shared" si="30"/>
        <v>8.4343384758763147</v>
      </c>
      <c r="E32" s="57">
        <f>E31/E4</f>
        <v>0.12294514815395338</v>
      </c>
      <c r="F32" s="57">
        <f t="shared" ref="F32:BQ32" si="31">F31/F4</f>
        <v>0.13063288986687516</v>
      </c>
      <c r="G32" s="57">
        <f t="shared" si="31"/>
        <v>0.14224079829545683</v>
      </c>
      <c r="H32" s="57">
        <f t="shared" si="31"/>
        <v>0.16384475935263967</v>
      </c>
      <c r="I32" s="57">
        <f t="shared" si="31"/>
        <v>6.6291529564334178E-2</v>
      </c>
      <c r="J32" s="57">
        <f t="shared" si="31"/>
        <v>4.5752732404374157E-2</v>
      </c>
      <c r="K32" s="57">
        <f t="shared" si="31"/>
        <v>2.5608189167433699E-2</v>
      </c>
      <c r="L32" s="57">
        <f t="shared" si="31"/>
        <v>3.5497965604462264E-2</v>
      </c>
      <c r="M32" s="57">
        <f t="shared" si="31"/>
        <v>7.0219464604064682E-2</v>
      </c>
      <c r="N32" s="57">
        <f t="shared" si="31"/>
        <v>9.565213885581221E-2</v>
      </c>
      <c r="O32" s="57">
        <f t="shared" si="31"/>
        <v>0.11370928301230152</v>
      </c>
      <c r="P32" s="57">
        <f t="shared" si="31"/>
        <v>0.12380395600931347</v>
      </c>
      <c r="Q32" s="57">
        <f t="shared" si="31"/>
        <v>0.10989592051280628</v>
      </c>
      <c r="R32" s="57">
        <f t="shared" si="31"/>
        <v>8.8586924805631503E-2</v>
      </c>
      <c r="S32" s="57">
        <f t="shared" si="31"/>
        <v>8.6793166429673635E-2</v>
      </c>
      <c r="T32" s="57">
        <f t="shared" si="31"/>
        <v>0.11220496829587963</v>
      </c>
      <c r="U32" s="57">
        <f t="shared" si="31"/>
        <v>0.11935091839849254</v>
      </c>
      <c r="V32" s="57">
        <f t="shared" si="31"/>
        <v>9.2464751812720278E-2</v>
      </c>
      <c r="W32" s="57">
        <f t="shared" si="31"/>
        <v>8.5608257657945747E-2</v>
      </c>
      <c r="X32" s="57">
        <f t="shared" si="31"/>
        <v>6.7885711275388894E-2</v>
      </c>
      <c r="Y32" s="57">
        <f t="shared" si="31"/>
        <v>3.7556132562882649E-2</v>
      </c>
      <c r="Z32" s="57">
        <f t="shared" si="31"/>
        <v>-3.5540693845020913E-2</v>
      </c>
      <c r="AA32" s="57">
        <f t="shared" si="31"/>
        <v>-9.7147332409439999E-2</v>
      </c>
      <c r="AB32" s="57">
        <f t="shared" si="31"/>
        <v>-0.18551345477012901</v>
      </c>
      <c r="AC32" s="57">
        <f t="shared" si="31"/>
        <v>0.11035882315237261</v>
      </c>
      <c r="AD32" s="57">
        <f t="shared" si="31"/>
        <v>-0.27393336253492423</v>
      </c>
      <c r="AE32" s="57">
        <f t="shared" si="31"/>
        <v>-0.28856413779048734</v>
      </c>
      <c r="AF32" s="57">
        <f t="shared" si="31"/>
        <v>-0.4286954050776739</v>
      </c>
      <c r="AG32" s="57">
        <f t="shared" si="31"/>
        <v>-0.25235930290360986</v>
      </c>
      <c r="AH32" s="57">
        <f t="shared" si="31"/>
        <v>-0.18365513247673168</v>
      </c>
      <c r="AI32" s="57">
        <f t="shared" si="31"/>
        <v>-0.14495003522312666</v>
      </c>
      <c r="AJ32" s="57">
        <f t="shared" si="31"/>
        <v>-0.17124144863501894</v>
      </c>
      <c r="AK32" s="57">
        <f t="shared" si="31"/>
        <v>6.114566427216795E-2</v>
      </c>
      <c r="AL32" s="57">
        <f t="shared" si="31"/>
        <v>-0.19285239932456852</v>
      </c>
      <c r="AM32" s="57">
        <f t="shared" si="31"/>
        <v>-0.36945084926490446</v>
      </c>
      <c r="AN32" s="57">
        <f t="shared" si="31"/>
        <v>-0.67784210805179645</v>
      </c>
      <c r="AO32" s="57">
        <f t="shared" si="31"/>
        <v>-7.7044904718599427E-2</v>
      </c>
      <c r="AP32" s="57">
        <f t="shared" si="31"/>
        <v>2.9503929862142366E-2</v>
      </c>
      <c r="AQ32" s="57">
        <f t="shared" si="31"/>
        <v>0.12655111373187219</v>
      </c>
      <c r="AR32" s="57">
        <f t="shared" si="31"/>
        <v>0.15226621540258159</v>
      </c>
      <c r="AS32" s="57">
        <f t="shared" si="31"/>
        <v>0.10121773499673752</v>
      </c>
      <c r="AT32" s="57">
        <f t="shared" si="31"/>
        <v>0.10522775740848671</v>
      </c>
      <c r="AU32" s="57">
        <f t="shared" si="31"/>
        <v>4.6077192617882075E-2</v>
      </c>
      <c r="AV32" s="57">
        <f t="shared" si="31"/>
        <v>-2.5440495429365439E-3</v>
      </c>
      <c r="AW32" s="57">
        <f t="shared" si="31"/>
        <v>-0.27895087173414229</v>
      </c>
      <c r="AX32" s="57">
        <f t="shared" si="31"/>
        <v>-0.33228845145953451</v>
      </c>
      <c r="AY32" s="57">
        <f t="shared" si="31"/>
        <v>-0.35022743164052444</v>
      </c>
      <c r="AZ32" s="57">
        <f t="shared" si="31"/>
        <v>-0.17264639771338255</v>
      </c>
      <c r="BA32" s="57">
        <f t="shared" si="31"/>
        <v>-8.0965666792691959E-2</v>
      </c>
      <c r="BB32" s="57">
        <f t="shared" si="31"/>
        <v>-0.11867220530452402</v>
      </c>
      <c r="BC32" s="57">
        <f t="shared" si="31"/>
        <v>-0.180820559733013</v>
      </c>
      <c r="BD32" s="57">
        <f t="shared" si="31"/>
        <v>-0.18871541771860148</v>
      </c>
      <c r="BE32" s="57">
        <f t="shared" si="31"/>
        <v>2.3468528853541774E-2</v>
      </c>
      <c r="BF32" s="57">
        <f t="shared" si="31"/>
        <v>6.2259686777338764E-2</v>
      </c>
      <c r="BG32" s="57">
        <f t="shared" si="31"/>
        <v>9.6105329785515531E-2</v>
      </c>
      <c r="BH32" s="57">
        <f t="shared" si="31"/>
        <v>8.7509475703330092E-2</v>
      </c>
      <c r="BI32" s="57">
        <f t="shared" si="31"/>
        <v>6.1213421314788768E-2</v>
      </c>
      <c r="BJ32" s="57">
        <f t="shared" si="31"/>
        <v>6.6684987569423704E-2</v>
      </c>
      <c r="BK32" s="57">
        <f t="shared" si="31"/>
        <v>7.5782630474116194E-2</v>
      </c>
      <c r="BL32" s="57">
        <f t="shared" si="31"/>
        <v>9.4651795009527015E-2</v>
      </c>
      <c r="BM32" s="57">
        <f t="shared" si="31"/>
        <v>5.579312759332148E-2</v>
      </c>
      <c r="BN32" s="57">
        <f t="shared" si="31"/>
        <v>6.968817830702953E-2</v>
      </c>
      <c r="BO32" s="57">
        <f t="shared" si="31"/>
        <v>8.4633226456151442E-2</v>
      </c>
      <c r="BP32" s="57">
        <f t="shared" si="31"/>
        <v>7.9697914355485289E-2</v>
      </c>
      <c r="BQ32" s="57">
        <f t="shared" si="31"/>
        <v>4.9104606561726244E-2</v>
      </c>
      <c r="BR32" s="57">
        <f t="shared" ref="BR32:CK32" si="32">BR31/BR4</f>
        <v>7.2373856056463806E-2</v>
      </c>
      <c r="BS32" s="57">
        <f t="shared" si="32"/>
        <v>7.2719259180460058E-2</v>
      </c>
      <c r="BT32" s="57">
        <f t="shared" si="32"/>
        <v>8.4611238995894386E-2</v>
      </c>
      <c r="BU32" s="57">
        <f t="shared" si="32"/>
        <v>0.16657817272814729</v>
      </c>
      <c r="BV32" s="57">
        <f t="shared" si="32"/>
        <v>0.15452569196634205</v>
      </c>
      <c r="BW32" s="57">
        <f t="shared" si="32"/>
        <v>0.25880326909392537</v>
      </c>
      <c r="BX32" s="57">
        <f t="shared" si="32"/>
        <v>0.32645053730645668</v>
      </c>
      <c r="BY32" s="57">
        <f t="shared" si="32"/>
        <v>0.49304980007270083</v>
      </c>
      <c r="BZ32" s="57">
        <f t="shared" si="32"/>
        <v>1.2796169285881442</v>
      </c>
      <c r="CA32" s="57">
        <f t="shared" si="32"/>
        <v>0.6941333403081108</v>
      </c>
      <c r="CB32" s="57">
        <f t="shared" si="32"/>
        <v>0.65032450399577846</v>
      </c>
      <c r="CC32" s="57">
        <f t="shared" si="32"/>
        <v>0.82907739331711083</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409</v>
      </c>
      <c r="B33" s="26">
        <f>B17+B20+B29</f>
        <v>4706823522.929512</v>
      </c>
      <c r="C33" s="26">
        <f t="shared" ref="C33:BN33" si="33">C17+C20+C29</f>
        <v>1198565215.6212249</v>
      </c>
      <c r="D33" s="26">
        <f t="shared" si="33"/>
        <v>1258158951.8775222</v>
      </c>
      <c r="E33" s="26">
        <f t="shared" si="33"/>
        <v>9110063418.2298489</v>
      </c>
      <c r="F33" s="26">
        <f t="shared" si="33"/>
        <v>7456259013.8372898</v>
      </c>
      <c r="G33" s="26">
        <f t="shared" si="33"/>
        <v>5202408546.3478222</v>
      </c>
      <c r="H33" s="26">
        <f t="shared" si="33"/>
        <v>3036747482.0574589</v>
      </c>
      <c r="I33" s="26">
        <f t="shared" si="33"/>
        <v>3341649071.6637096</v>
      </c>
      <c r="J33" s="26">
        <f t="shared" si="33"/>
        <v>1103869178.3447356</v>
      </c>
      <c r="K33" s="26">
        <f t="shared" si="33"/>
        <v>749415478.65973151</v>
      </c>
      <c r="L33" s="26">
        <f t="shared" si="33"/>
        <v>334278529.52966791</v>
      </c>
      <c r="M33" s="26">
        <f t="shared" si="33"/>
        <v>2357474768.1563044</v>
      </c>
      <c r="N33" s="26">
        <f t="shared" si="33"/>
        <v>2767601140.0061336</v>
      </c>
      <c r="O33" s="26">
        <f t="shared" si="33"/>
        <v>2185016294.5924964</v>
      </c>
      <c r="P33" s="26">
        <f t="shared" si="33"/>
        <v>1182120075.2120252</v>
      </c>
      <c r="Q33" s="26">
        <f t="shared" si="33"/>
        <v>3494521807.4066858</v>
      </c>
      <c r="R33" s="26">
        <f t="shared" si="33"/>
        <v>1963428780.7964742</v>
      </c>
      <c r="S33" s="26">
        <f t="shared" si="33"/>
        <v>1226852723.271739</v>
      </c>
      <c r="T33" s="26">
        <f t="shared" si="33"/>
        <v>824306738.27221417</v>
      </c>
      <c r="U33" s="26">
        <f t="shared" si="33"/>
        <v>3968611636.1538339</v>
      </c>
      <c r="V33" s="26">
        <f t="shared" si="33"/>
        <v>2201511838.952631</v>
      </c>
      <c r="W33" s="26">
        <f t="shared" si="33"/>
        <v>1364628243.7119117</v>
      </c>
      <c r="X33" s="26">
        <f t="shared" si="33"/>
        <v>540985578.5483259</v>
      </c>
      <c r="Y33" s="26">
        <f t="shared" si="33"/>
        <v>963896691.3421526</v>
      </c>
      <c r="Z33" s="26">
        <f t="shared" si="33"/>
        <v>-613442293.12629652</v>
      </c>
      <c r="AA33" s="26">
        <f t="shared" si="33"/>
        <v>-940846597.44386172</v>
      </c>
      <c r="AB33" s="26">
        <f t="shared" si="33"/>
        <v>-771436471.12943709</v>
      </c>
      <c r="AC33" s="26">
        <f t="shared" si="33"/>
        <v>1204870896.3085375</v>
      </c>
      <c r="AD33" s="26">
        <f t="shared" si="33"/>
        <v>-2330803340.8811593</v>
      </c>
      <c r="AE33" s="26">
        <f t="shared" si="33"/>
        <v>-1422697989.8403873</v>
      </c>
      <c r="AF33" s="26">
        <f t="shared" si="33"/>
        <v>-843461144.87337708</v>
      </c>
      <c r="AG33" s="26">
        <f t="shared" si="33"/>
        <v>-2049155077.3799095</v>
      </c>
      <c r="AH33" s="26">
        <f t="shared" si="33"/>
        <v>-1154827874.532001</v>
      </c>
      <c r="AI33" s="26">
        <f t="shared" si="33"/>
        <v>-620306578.59127796</v>
      </c>
      <c r="AJ33" s="26">
        <f t="shared" si="33"/>
        <v>-322514646.58480978</v>
      </c>
      <c r="AK33" s="26">
        <f t="shared" si="33"/>
        <v>412456936.61822754</v>
      </c>
      <c r="AL33" s="26">
        <f t="shared" si="33"/>
        <v>-846383245.31276631</v>
      </c>
      <c r="AM33" s="26">
        <f t="shared" si="33"/>
        <v>-854442915.43410397</v>
      </c>
      <c r="AN33" s="26">
        <f t="shared" si="33"/>
        <v>-490567779.05883282</v>
      </c>
      <c r="AO33" s="26">
        <f t="shared" si="33"/>
        <v>-669522425.16841006</v>
      </c>
      <c r="AP33" s="26">
        <f t="shared" si="33"/>
        <v>134797374.3782548</v>
      </c>
      <c r="AQ33" s="26">
        <f t="shared" si="33"/>
        <v>639003698.34942317</v>
      </c>
      <c r="AR33" s="26">
        <f t="shared" si="33"/>
        <v>411245314.77304995</v>
      </c>
      <c r="AS33" s="26">
        <f t="shared" si="33"/>
        <v>1211968830.50929</v>
      </c>
      <c r="AT33" s="26">
        <f t="shared" si="33"/>
        <v>818139737.94753647</v>
      </c>
      <c r="AU33" s="26">
        <f t="shared" si="33"/>
        <v>168840988.78461358</v>
      </c>
      <c r="AV33" s="26">
        <f t="shared" si="33"/>
        <v>-5630001.6324701905</v>
      </c>
      <c r="AW33" s="26">
        <f t="shared" si="33"/>
        <v>-2460203368.7277145</v>
      </c>
      <c r="AX33" s="26">
        <f t="shared" si="33"/>
        <v>-2217408544.9387903</v>
      </c>
      <c r="AY33" s="26">
        <f t="shared" si="33"/>
        <v>-1505794511.6404891</v>
      </c>
      <c r="AZ33" s="26">
        <f t="shared" si="33"/>
        <v>-416135258.72817618</v>
      </c>
      <c r="BA33" s="26">
        <f t="shared" si="33"/>
        <v>-1119254004.4793558</v>
      </c>
      <c r="BB33" s="26">
        <f t="shared" si="33"/>
        <v>-1040650622.4214705</v>
      </c>
      <c r="BC33" s="26">
        <f t="shared" si="33"/>
        <v>-799624565.36674643</v>
      </c>
      <c r="BD33" s="26">
        <f t="shared" si="33"/>
        <v>-395635718.40479666</v>
      </c>
      <c r="BE33" s="26">
        <f t="shared" si="33"/>
        <v>278220646.57984865</v>
      </c>
      <c r="BF33" s="26">
        <f t="shared" si="33"/>
        <v>546056794.56141376</v>
      </c>
      <c r="BG33" s="26">
        <f t="shared" si="33"/>
        <v>565999259.92217958</v>
      </c>
      <c r="BH33" s="26">
        <f t="shared" si="33"/>
        <v>308928906.29144412</v>
      </c>
      <c r="BI33" s="26">
        <f t="shared" si="33"/>
        <v>653742501.0743084</v>
      </c>
      <c r="BJ33" s="26">
        <f t="shared" si="33"/>
        <v>479371349.69087636</v>
      </c>
      <c r="BK33" s="26">
        <f t="shared" si="33"/>
        <v>336069925.92926008</v>
      </c>
      <c r="BL33" s="26">
        <f t="shared" si="33"/>
        <v>176516254.30179647</v>
      </c>
      <c r="BM33" s="26">
        <f t="shared" si="33"/>
        <v>204285822.26155061</v>
      </c>
      <c r="BN33" s="26">
        <f t="shared" si="33"/>
        <v>184453110.41360617</v>
      </c>
      <c r="BO33" s="26">
        <f t="shared" ref="BO33:CJ33" si="34">BO17+BO20+BO29</f>
        <v>136224892.91316956</v>
      </c>
      <c r="BP33" s="26">
        <f t="shared" si="34"/>
        <v>64546276.646780521</v>
      </c>
      <c r="BQ33" s="26">
        <f t="shared" si="34"/>
        <v>106808547.23348396</v>
      </c>
      <c r="BR33" s="26">
        <f t="shared" si="34"/>
        <v>84182890.679750368</v>
      </c>
      <c r="BS33" s="26">
        <f t="shared" si="34"/>
        <v>142709528.60774249</v>
      </c>
      <c r="BT33" s="26">
        <f t="shared" si="34"/>
        <v>73487494.621280238</v>
      </c>
      <c r="BU33" s="26">
        <f t="shared" si="34"/>
        <v>112793204.2284025</v>
      </c>
      <c r="BV33" s="26">
        <f t="shared" si="34"/>
        <v>24893211.030264914</v>
      </c>
      <c r="BW33" s="26">
        <f t="shared" si="34"/>
        <v>56308976.983655497</v>
      </c>
      <c r="BX33" s="26">
        <f t="shared" si="34"/>
        <v>31109461.610720504</v>
      </c>
      <c r="BY33" s="26">
        <f t="shared" si="34"/>
        <v>122495844.9213714</v>
      </c>
      <c r="BZ33" s="26">
        <f t="shared" si="34"/>
        <v>134323000</v>
      </c>
      <c r="CA33" s="26">
        <f t="shared" si="34"/>
        <v>129378006.69688502</v>
      </c>
      <c r="CB33" s="26">
        <f t="shared" si="34"/>
        <v>118661079.59580328</v>
      </c>
      <c r="CC33" s="26">
        <f t="shared" si="34"/>
        <v>111238753.28299572</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410</v>
      </c>
      <c r="B34" s="57">
        <f>B33/B4*100</f>
        <v>6.7758774602287737</v>
      </c>
      <c r="C34" s="57">
        <f t="shared" ref="C34:D34" si="35">C33/C4*100</f>
        <v>2.756976205745945</v>
      </c>
      <c r="D34" s="57">
        <f t="shared" si="35"/>
        <v>5.8337731667586965</v>
      </c>
      <c r="E34" s="57">
        <f>E33/E4</f>
        <v>9.7121715096451483E-2</v>
      </c>
      <c r="F34" s="57">
        <f t="shared" ref="F34:BQ34" si="36">F33/F4</f>
        <v>0.10742595600979156</v>
      </c>
      <c r="G34" s="57">
        <f t="shared" si="36"/>
        <v>0.11663278289907107</v>
      </c>
      <c r="H34" s="57">
        <f t="shared" si="36"/>
        <v>0.13894994483899084</v>
      </c>
      <c r="I34" s="57">
        <f t="shared" si="36"/>
        <v>4.8503042455233965E-2</v>
      </c>
      <c r="J34" s="57">
        <f t="shared" si="36"/>
        <v>2.4079914668598486E-2</v>
      </c>
      <c r="K34" s="57">
        <f t="shared" si="36"/>
        <v>2.8335098096758021E-2</v>
      </c>
      <c r="L34" s="57">
        <f t="shared" si="36"/>
        <v>2.7182113244607578E-2</v>
      </c>
      <c r="M34" s="57">
        <f t="shared" si="36"/>
        <v>4.8484035594579318E-2</v>
      </c>
      <c r="N34" s="57">
        <f t="shared" si="36"/>
        <v>7.5990314254101674E-2</v>
      </c>
      <c r="O34" s="57">
        <f t="shared" si="36"/>
        <v>9.5121272141930238E-2</v>
      </c>
      <c r="P34" s="57">
        <f t="shared" si="36"/>
        <v>0.10205775161563267</v>
      </c>
      <c r="Q34" s="57">
        <f t="shared" si="36"/>
        <v>9.4917746339484077E-2</v>
      </c>
      <c r="R34" s="57">
        <f t="shared" si="36"/>
        <v>7.7642494212656427E-2</v>
      </c>
      <c r="S34" s="57">
        <f t="shared" si="36"/>
        <v>7.6139741755743159E-2</v>
      </c>
      <c r="T34" s="57">
        <f t="shared" si="36"/>
        <v>0.10187091037383927</v>
      </c>
      <c r="U34" s="57">
        <f t="shared" si="36"/>
        <v>0.11750394015154994</v>
      </c>
      <c r="V34" s="57">
        <f t="shared" si="36"/>
        <v>8.8864621195670679E-2</v>
      </c>
      <c r="W34" s="57">
        <f t="shared" si="36"/>
        <v>8.3954772291815846E-2</v>
      </c>
      <c r="X34" s="57">
        <f t="shared" si="36"/>
        <v>6.7130928760523748E-2</v>
      </c>
      <c r="Y34" s="57">
        <f t="shared" si="36"/>
        <v>3.7401531636809482E-2</v>
      </c>
      <c r="Z34" s="57">
        <f t="shared" si="36"/>
        <v>-3.5825824275319981E-2</v>
      </c>
      <c r="AA34" s="57">
        <f t="shared" si="36"/>
        <v>-9.7914262676029984E-2</v>
      </c>
      <c r="AB34" s="57">
        <f t="shared" si="36"/>
        <v>-0.18599401902216509</v>
      </c>
      <c r="AC34" s="57">
        <f t="shared" si="36"/>
        <v>9.456336147050004E-2</v>
      </c>
      <c r="AD34" s="57">
        <f t="shared" si="36"/>
        <v>-0.27374079047287064</v>
      </c>
      <c r="AE34" s="57">
        <f t="shared" si="36"/>
        <v>-0.28799356253506919</v>
      </c>
      <c r="AF34" s="57">
        <f t="shared" si="36"/>
        <v>-0.42822976809353996</v>
      </c>
      <c r="AG34" s="57">
        <f t="shared" si="36"/>
        <v>-0.25533717296870106</v>
      </c>
      <c r="AH34" s="57">
        <f t="shared" si="36"/>
        <v>-0.18620057666903458</v>
      </c>
      <c r="AI34" s="57">
        <f t="shared" si="36"/>
        <v>-0.14817077938177856</v>
      </c>
      <c r="AJ34" s="57">
        <f t="shared" si="36"/>
        <v>-0.17031471492914721</v>
      </c>
      <c r="AK34" s="57">
        <f t="shared" si="36"/>
        <v>6.6001620097251482E-2</v>
      </c>
      <c r="AL34" s="57">
        <f t="shared" si="36"/>
        <v>-0.19481662906596378</v>
      </c>
      <c r="AM34" s="57">
        <f t="shared" si="36"/>
        <v>-0.3718018480283764</v>
      </c>
      <c r="AN34" s="57">
        <f t="shared" si="36"/>
        <v>-0.6804981687221745</v>
      </c>
      <c r="AO34" s="57">
        <f t="shared" si="36"/>
        <v>-8.0336112093542869E-2</v>
      </c>
      <c r="AP34" s="57">
        <f t="shared" si="36"/>
        <v>1.8536553272817693E-2</v>
      </c>
      <c r="AQ34" s="57">
        <f t="shared" si="36"/>
        <v>0.11605795257613395</v>
      </c>
      <c r="AR34" s="57">
        <f t="shared" si="36"/>
        <v>0.14003556047965771</v>
      </c>
      <c r="AS34" s="57">
        <f t="shared" si="36"/>
        <v>0.10849777356679818</v>
      </c>
      <c r="AT34" s="57">
        <f t="shared" si="36"/>
        <v>0.10322103073795026</v>
      </c>
      <c r="AU34" s="57">
        <f t="shared" si="36"/>
        <v>3.6006411900132353E-2</v>
      </c>
      <c r="AV34" s="57">
        <f t="shared" si="36"/>
        <v>-2.615151751038955E-3</v>
      </c>
      <c r="AW34" s="57">
        <f t="shared" si="36"/>
        <v>-0.280160903573558</v>
      </c>
      <c r="AX34" s="57">
        <f t="shared" si="36"/>
        <v>-0.33294060321308661</v>
      </c>
      <c r="AY34" s="57">
        <f t="shared" si="36"/>
        <v>-0.35091852217196995</v>
      </c>
      <c r="AZ34" s="57">
        <f t="shared" si="36"/>
        <v>-0.17304572051521933</v>
      </c>
      <c r="BA34" s="57">
        <f t="shared" si="36"/>
        <v>-8.3143010499942757E-2</v>
      </c>
      <c r="BB34" s="57">
        <f t="shared" si="36"/>
        <v>-0.12174470012803998</v>
      </c>
      <c r="BC34" s="57">
        <f t="shared" si="36"/>
        <v>-0.18502500778926989</v>
      </c>
      <c r="BD34" s="57">
        <f t="shared" si="36"/>
        <v>-0.1900391207116536</v>
      </c>
      <c r="BE34" s="57">
        <f t="shared" si="36"/>
        <v>2.2361934252510034E-2</v>
      </c>
      <c r="BF34" s="57">
        <f t="shared" si="36"/>
        <v>5.8647389284177801E-2</v>
      </c>
      <c r="BG34" s="57">
        <f t="shared" si="36"/>
        <v>9.0789218867469115E-2</v>
      </c>
      <c r="BH34" s="57">
        <f t="shared" si="36"/>
        <v>8.3628924109435038E-2</v>
      </c>
      <c r="BI34" s="57">
        <f t="shared" si="36"/>
        <v>5.847372841500121E-2</v>
      </c>
      <c r="BJ34" s="57">
        <f t="shared" si="36"/>
        <v>6.2659181373670603E-2</v>
      </c>
      <c r="BK34" s="57">
        <f t="shared" si="36"/>
        <v>7.1535450743388379E-2</v>
      </c>
      <c r="BL34" s="57">
        <f t="shared" si="36"/>
        <v>7.8328854141192533E-2</v>
      </c>
      <c r="BM34" s="57">
        <f t="shared" si="36"/>
        <v>4.2714497692182336E-2</v>
      </c>
      <c r="BN34" s="57">
        <f t="shared" si="36"/>
        <v>5.3940193580339128E-2</v>
      </c>
      <c r="BO34" s="57">
        <f t="shared" si="36"/>
        <v>6.7695166693447217E-2</v>
      </c>
      <c r="BP34" s="57">
        <f t="shared" si="36"/>
        <v>6.2101420432642905E-2</v>
      </c>
      <c r="BQ34" s="57">
        <f t="shared" si="36"/>
        <v>4.0010047454638445E-2</v>
      </c>
      <c r="BR34" s="57">
        <f t="shared" ref="BR34:CK34" si="37">BR33/BR4</f>
        <v>6.5959500609901384E-2</v>
      </c>
      <c r="BS34" s="57">
        <f t="shared" si="37"/>
        <v>6.3857210142014009E-2</v>
      </c>
      <c r="BT34" s="57">
        <f t="shared" si="37"/>
        <v>7.3989498273206292E-2</v>
      </c>
      <c r="BU34" s="57">
        <f t="shared" si="37"/>
        <v>0.15203556422667314</v>
      </c>
      <c r="BV34" s="57">
        <f t="shared" si="37"/>
        <v>0.12400901995169575</v>
      </c>
      <c r="BW34" s="57">
        <f t="shared" si="37"/>
        <v>0.23709342426917182</v>
      </c>
      <c r="BX34" s="57">
        <f t="shared" si="37"/>
        <v>0.29403720287798646</v>
      </c>
      <c r="BY34" s="57">
        <f t="shared" si="37"/>
        <v>0.44527751698063034</v>
      </c>
      <c r="BZ34" s="57">
        <f t="shared" si="37"/>
        <v>1.2090061385033573</v>
      </c>
      <c r="CA34" s="57">
        <f t="shared" si="37"/>
        <v>0.67678710379454932</v>
      </c>
      <c r="CB34" s="57">
        <f t="shared" si="37"/>
        <v>0.64553217891405823</v>
      </c>
      <c r="CC34" s="57">
        <f t="shared" si="37"/>
        <v>0.82526228027624571</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411</v>
      </c>
      <c r="B35" s="26">
        <f>B23+B68</f>
        <v>2242686975</v>
      </c>
      <c r="C35" s="26">
        <f t="shared" ref="C35:BN35" si="38">C23+C68</f>
        <v>1201201373</v>
      </c>
      <c r="D35" s="26">
        <f t="shared" si="38"/>
        <v>374670030</v>
      </c>
      <c r="E35" s="26">
        <f t="shared" si="38"/>
        <v>2613101251</v>
      </c>
      <c r="F35" s="26">
        <f t="shared" si="38"/>
        <v>1413395455</v>
      </c>
      <c r="G35" s="26">
        <f t="shared" si="38"/>
        <v>1099136491</v>
      </c>
      <c r="H35" s="26">
        <f t="shared" si="38"/>
        <v>478929731</v>
      </c>
      <c r="I35" s="26">
        <f t="shared" si="38"/>
        <v>2832457909</v>
      </c>
      <c r="J35" s="26">
        <f t="shared" si="38"/>
        <v>1840072506</v>
      </c>
      <c r="K35" s="26">
        <f t="shared" si="38"/>
        <v>1234879010</v>
      </c>
      <c r="L35" s="26">
        <f t="shared" si="38"/>
        <v>370574464</v>
      </c>
      <c r="M35" s="26">
        <f t="shared" si="38"/>
        <v>2221647189</v>
      </c>
      <c r="N35" s="26">
        <f t="shared" si="38"/>
        <v>1049846691</v>
      </c>
      <c r="O35" s="26">
        <f t="shared" si="38"/>
        <v>176341089</v>
      </c>
      <c r="P35" s="26">
        <f t="shared" si="38"/>
        <v>171609882</v>
      </c>
      <c r="Q35" s="26">
        <f t="shared" si="38"/>
        <v>702831711</v>
      </c>
      <c r="R35" s="26">
        <f t="shared" si="38"/>
        <v>-48134640</v>
      </c>
      <c r="S35" s="26">
        <f t="shared" si="38"/>
        <v>106739572</v>
      </c>
      <c r="T35" s="26">
        <f t="shared" si="38"/>
        <v>184859104</v>
      </c>
      <c r="U35" s="26">
        <f t="shared" si="38"/>
        <v>754702979</v>
      </c>
      <c r="V35" s="26">
        <f t="shared" si="38"/>
        <v>400438707</v>
      </c>
      <c r="W35" s="26">
        <f t="shared" si="38"/>
        <v>193412657</v>
      </c>
      <c r="X35" s="26">
        <f t="shared" si="38"/>
        <v>139484024</v>
      </c>
      <c r="Y35" s="26">
        <f t="shared" si="38"/>
        <v>577969356</v>
      </c>
      <c r="Z35" s="26">
        <f t="shared" si="38"/>
        <v>297153768</v>
      </c>
      <c r="AA35" s="26">
        <f t="shared" si="38"/>
        <v>121301724</v>
      </c>
      <c r="AB35" s="26">
        <f t="shared" si="38"/>
        <v>-43866488</v>
      </c>
      <c r="AC35" s="26">
        <f t="shared" si="38"/>
        <v>374251472</v>
      </c>
      <c r="AD35" s="26">
        <f t="shared" si="38"/>
        <v>49227494</v>
      </c>
      <c r="AE35" s="26">
        <f t="shared" si="38"/>
        <v>-75281816</v>
      </c>
      <c r="AF35" s="26">
        <f t="shared" si="38"/>
        <v>-96207662</v>
      </c>
      <c r="AG35" s="26">
        <f t="shared" si="38"/>
        <v>217556135</v>
      </c>
      <c r="AH35" s="26">
        <f t="shared" si="38"/>
        <v>15039747</v>
      </c>
      <c r="AI35" s="26">
        <f t="shared" si="38"/>
        <v>31624579</v>
      </c>
      <c r="AJ35" s="26">
        <f t="shared" si="38"/>
        <v>-3037574</v>
      </c>
      <c r="AK35" s="26">
        <f t="shared" si="38"/>
        <v>210652710</v>
      </c>
      <c r="AL35" s="26">
        <f t="shared" si="38"/>
        <v>93834957</v>
      </c>
      <c r="AM35" s="26">
        <f t="shared" si="38"/>
        <v>63283810</v>
      </c>
      <c r="AN35" s="26">
        <f t="shared" si="38"/>
        <v>26282532</v>
      </c>
      <c r="AO35" s="26">
        <f t="shared" si="38"/>
        <v>244683671</v>
      </c>
      <c r="AP35" s="26">
        <f t="shared" si="38"/>
        <v>50125807</v>
      </c>
      <c r="AQ35" s="26">
        <f t="shared" si="38"/>
        <v>12684533</v>
      </c>
      <c r="AR35" s="26">
        <f t="shared" si="38"/>
        <v>34013184</v>
      </c>
      <c r="AS35" s="26">
        <f t="shared" si="38"/>
        <v>289848468</v>
      </c>
      <c r="AT35" s="26">
        <f t="shared" si="38"/>
        <v>259368386</v>
      </c>
      <c r="AU35" s="26">
        <f t="shared" si="38"/>
        <v>169596463</v>
      </c>
      <c r="AV35" s="26">
        <f t="shared" si="38"/>
        <v>109413896</v>
      </c>
      <c r="AW35" s="26">
        <f t="shared" si="38"/>
        <v>624295282</v>
      </c>
      <c r="AX35" s="26">
        <f t="shared" si="38"/>
        <v>544461462</v>
      </c>
      <c r="AY35" s="26">
        <f t="shared" si="38"/>
        <v>346310987</v>
      </c>
      <c r="AZ35" s="26">
        <f t="shared" si="38"/>
        <v>116102838</v>
      </c>
      <c r="BA35" s="26">
        <f t="shared" si="38"/>
        <v>461771456</v>
      </c>
      <c r="BB35" s="26">
        <f t="shared" si="38"/>
        <v>274233392</v>
      </c>
      <c r="BC35" s="26">
        <f t="shared" si="38"/>
        <v>170724742</v>
      </c>
      <c r="BD35" s="26">
        <f t="shared" si="38"/>
        <v>48799241</v>
      </c>
      <c r="BE35" s="26">
        <f t="shared" si="38"/>
        <v>13898998</v>
      </c>
      <c r="BF35" s="26">
        <f t="shared" si="38"/>
        <v>62914082.600000001</v>
      </c>
      <c r="BG35" s="26">
        <f t="shared" si="38"/>
        <v>36317209.140000001</v>
      </c>
      <c r="BH35" s="26">
        <f t="shared" si="38"/>
        <v>21251538.93</v>
      </c>
      <c r="BI35" s="26">
        <f t="shared" si="38"/>
        <v>262351790</v>
      </c>
      <c r="BJ35" s="26">
        <f t="shared" si="38"/>
        <v>178836456</v>
      </c>
      <c r="BK35" s="26">
        <f t="shared" si="38"/>
        <v>154474800.75</v>
      </c>
      <c r="BL35" s="26">
        <f t="shared" si="38"/>
        <v>151161715.66999999</v>
      </c>
      <c r="BM35" s="26">
        <f t="shared" si="38"/>
        <v>65542308</v>
      </c>
      <c r="BN35" s="26">
        <f t="shared" si="38"/>
        <v>58456682.579999998</v>
      </c>
      <c r="BO35" s="26">
        <f t="shared" ref="BO35:CJ35" si="39">BO23+BO68</f>
        <v>31838535.34</v>
      </c>
      <c r="BP35" s="26">
        <f t="shared" si="39"/>
        <v>15612268.470000001</v>
      </c>
      <c r="BQ35" s="26">
        <f t="shared" si="39"/>
        <v>20529527</v>
      </c>
      <c r="BR35" s="26">
        <f t="shared" si="39"/>
        <v>8697017.1899999995</v>
      </c>
      <c r="BS35" s="26">
        <f t="shared" si="39"/>
        <v>25949262</v>
      </c>
      <c r="BT35" s="26">
        <f t="shared" si="39"/>
        <v>9987623</v>
      </c>
      <c r="BU35" s="26">
        <f t="shared" si="39"/>
        <v>13298283</v>
      </c>
      <c r="BV35" s="26">
        <f t="shared" si="39"/>
        <v>6336127.2699999996</v>
      </c>
      <c r="BW35" s="26">
        <f t="shared" si="39"/>
        <v>-4184000</v>
      </c>
      <c r="BX35" s="26">
        <f t="shared" si="39"/>
        <v>-3446406.8</v>
      </c>
      <c r="BY35" s="26">
        <f t="shared" si="39"/>
        <v>-9411000</v>
      </c>
      <c r="BZ35" s="26">
        <f t="shared" si="39"/>
        <v>0</v>
      </c>
      <c r="CA35" s="26">
        <f t="shared" si="39"/>
        <v>15326000</v>
      </c>
      <c r="CB35" s="26">
        <f t="shared" si="39"/>
        <v>10981000</v>
      </c>
      <c r="CC35" s="26">
        <f t="shared" si="39"/>
        <v>10702000</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412</v>
      </c>
      <c r="B36" s="26">
        <f>B35*B41</f>
        <v>527246532.61384559</v>
      </c>
      <c r="C36" s="26">
        <f t="shared" ref="C36:BN36" si="40">C35*C41</f>
        <v>581959332.61195552</v>
      </c>
      <c r="D36" s="26">
        <f t="shared" si="40"/>
        <v>117319473.44848314</v>
      </c>
      <c r="E36" s="26">
        <f t="shared" si="40"/>
        <v>550985292.89795053</v>
      </c>
      <c r="F36" s="26">
        <f t="shared" si="40"/>
        <v>249863813.06664073</v>
      </c>
      <c r="G36" s="26">
        <f t="shared" si="40"/>
        <v>197020731.45567212</v>
      </c>
      <c r="H36" s="26">
        <f t="shared" si="40"/>
        <v>73261502.572220534</v>
      </c>
      <c r="I36" s="26">
        <f t="shared" si="40"/>
        <v>762883199.72628665</v>
      </c>
      <c r="J36" s="26">
        <f t="shared" si="40"/>
        <v>859019471.65833116</v>
      </c>
      <c r="K36" s="26">
        <f t="shared" si="40"/>
        <v>-124594679.57691744</v>
      </c>
      <c r="L36" s="26">
        <f t="shared" si="40"/>
        <v>76259491.406216308</v>
      </c>
      <c r="M36" s="26">
        <f t="shared" si="40"/>
        <v>698770759.73681116</v>
      </c>
      <c r="N36" s="26">
        <f t="shared" si="40"/>
        <v>213560131.57507479</v>
      </c>
      <c r="O36" s="26">
        <f t="shared" si="40"/>
        <v>29760704.349427927</v>
      </c>
      <c r="P36" s="26">
        <f t="shared" si="40"/>
        <v>31394342.875764225</v>
      </c>
      <c r="Q36" s="26">
        <f t="shared" si="40"/>
        <v>96705087.320443153</v>
      </c>
      <c r="R36" s="26">
        <f t="shared" si="40"/>
        <v>-5988402.8651709696</v>
      </c>
      <c r="S36" s="26">
        <f t="shared" si="40"/>
        <v>12891987.597162953</v>
      </c>
      <c r="T36" s="26">
        <f t="shared" si="40"/>
        <v>16485715.933459708</v>
      </c>
      <c r="U36" s="26">
        <f t="shared" si="40"/>
        <v>11583123.733042359</v>
      </c>
      <c r="V36" s="26">
        <f t="shared" si="40"/>
        <v>15617402.786127506</v>
      </c>
      <c r="W36" s="26">
        <f t="shared" si="40"/>
        <v>3759930.7373580094</v>
      </c>
      <c r="X36" s="26">
        <f t="shared" si="40"/>
        <v>1560714.3219127937</v>
      </c>
      <c r="Y36" s="26">
        <f t="shared" si="40"/>
        <v>2473817.2821378615</v>
      </c>
      <c r="Z36" s="26">
        <f t="shared" si="40"/>
        <v>-2387376.4627985405</v>
      </c>
      <c r="AA36" s="26">
        <f t="shared" si="40"/>
        <v>-949170.29129523062</v>
      </c>
      <c r="AB36" s="26">
        <f t="shared" si="40"/>
        <v>116196.10703719121</v>
      </c>
      <c r="AC36" s="26">
        <f t="shared" si="40"/>
        <v>55277632.813015178</v>
      </c>
      <c r="AD36" s="26">
        <f t="shared" si="40"/>
        <v>35709.359739411579</v>
      </c>
      <c r="AE36" s="26">
        <f t="shared" si="40"/>
        <v>-151078.26544498833</v>
      </c>
      <c r="AF36" s="26">
        <f t="shared" si="40"/>
        <v>-105308.4485367825</v>
      </c>
      <c r="AG36" s="26">
        <f t="shared" si="40"/>
        <v>-2587279.5573107335</v>
      </c>
      <c r="AH36" s="26">
        <f t="shared" si="40"/>
        <v>-212304.35335320345</v>
      </c>
      <c r="AI36" s="26">
        <f t="shared" si="40"/>
        <v>-742243.11443926522</v>
      </c>
      <c r="AJ36" s="26">
        <f t="shared" si="40"/>
        <v>-15831.173407091621</v>
      </c>
      <c r="AK36" s="26">
        <f t="shared" si="40"/>
        <v>-20497097.330689967</v>
      </c>
      <c r="AL36" s="26">
        <f t="shared" si="40"/>
        <v>-955722.68723370484</v>
      </c>
      <c r="AM36" s="26">
        <f t="shared" si="40"/>
        <v>-471968.27086980402</v>
      </c>
      <c r="AN36" s="26">
        <f t="shared" si="40"/>
        <v>-106087.12173785934</v>
      </c>
      <c r="AO36" s="26">
        <f t="shared" si="40"/>
        <v>-18602785.020975992</v>
      </c>
      <c r="AP36" s="26">
        <f t="shared" si="40"/>
        <v>18633063.621745199</v>
      </c>
      <c r="AQ36" s="26">
        <f t="shared" si="40"/>
        <v>1051755.6505767668</v>
      </c>
      <c r="AR36" s="26">
        <f t="shared" si="40"/>
        <v>2732080.2269500927</v>
      </c>
      <c r="AS36" s="26">
        <f t="shared" si="40"/>
        <v>-19411005.282845538</v>
      </c>
      <c r="AT36" s="26">
        <f t="shared" si="40"/>
        <v>5346705.7646939186</v>
      </c>
      <c r="AU36" s="26">
        <f t="shared" si="40"/>
        <v>37067553.215386435</v>
      </c>
      <c r="AV36" s="26">
        <f t="shared" si="40"/>
        <v>-3057947.3675297974</v>
      </c>
      <c r="AW36" s="26">
        <f t="shared" si="40"/>
        <v>-2708065.2722855485</v>
      </c>
      <c r="AX36" s="26">
        <f t="shared" si="40"/>
        <v>-1068564.0612100882</v>
      </c>
      <c r="AY36" s="26">
        <f t="shared" si="40"/>
        <v>-683362.35951078427</v>
      </c>
      <c r="AZ36" s="26">
        <f t="shared" si="40"/>
        <v>-268540.27182384691</v>
      </c>
      <c r="BA36" s="26">
        <f t="shared" si="40"/>
        <v>-12418043.520644313</v>
      </c>
      <c r="BB36" s="26">
        <f t="shared" si="40"/>
        <v>-7100067.5785293318</v>
      </c>
      <c r="BC36" s="26">
        <f t="shared" si="40"/>
        <v>-3969699.6332536205</v>
      </c>
      <c r="BD36" s="26">
        <f t="shared" si="40"/>
        <v>-342291.59520337282</v>
      </c>
      <c r="BE36" s="26">
        <f t="shared" si="40"/>
        <v>655369.4201513523</v>
      </c>
      <c r="BF36" s="26">
        <f t="shared" si="40"/>
        <v>3650265.4385858811</v>
      </c>
      <c r="BG36" s="26">
        <f t="shared" si="40"/>
        <v>2008903.2778203648</v>
      </c>
      <c r="BH36" s="26">
        <f t="shared" si="40"/>
        <v>942385.8685556734</v>
      </c>
      <c r="BI36" s="26">
        <f t="shared" si="40"/>
        <v>11741923.92569158</v>
      </c>
      <c r="BJ36" s="26">
        <f t="shared" si="40"/>
        <v>10796446.679123966</v>
      </c>
      <c r="BK36" s="26">
        <f t="shared" si="40"/>
        <v>8657422.4007400256</v>
      </c>
      <c r="BL36" s="26">
        <f t="shared" si="40"/>
        <v>26068219.268203504</v>
      </c>
      <c r="BM36" s="26">
        <f t="shared" si="40"/>
        <v>15363963.738449395</v>
      </c>
      <c r="BN36" s="26">
        <f t="shared" si="40"/>
        <v>13209915.466393666</v>
      </c>
      <c r="BO36" s="26">
        <f t="shared" ref="BO36:CJ36" si="41">BO35*BO41</f>
        <v>6372001.126830413</v>
      </c>
      <c r="BP36" s="26">
        <f t="shared" si="41"/>
        <v>3447031.0732194316</v>
      </c>
      <c r="BQ36" s="26">
        <f t="shared" si="41"/>
        <v>3802229.7665160494</v>
      </c>
      <c r="BR36" s="26">
        <f t="shared" si="41"/>
        <v>770799.88024959061</v>
      </c>
      <c r="BS36" s="26">
        <f t="shared" si="41"/>
        <v>3162348.3922575014</v>
      </c>
      <c r="BT36" s="26">
        <f t="shared" si="41"/>
        <v>1253804.3787197559</v>
      </c>
      <c r="BU36" s="26">
        <f t="shared" si="41"/>
        <v>1160966.7715975079</v>
      </c>
      <c r="BV36" s="26">
        <f t="shared" si="41"/>
        <v>1251296.8897350889</v>
      </c>
      <c r="BW36" s="26">
        <f t="shared" si="41"/>
        <v>-350976.98365550127</v>
      </c>
      <c r="BX36" s="26">
        <f t="shared" si="41"/>
        <v>-342194.37072050554</v>
      </c>
      <c r="BY36" s="26">
        <f t="shared" si="41"/>
        <v>-911844.92137139873</v>
      </c>
      <c r="BZ36" s="26">
        <f t="shared" si="41"/>
        <v>0</v>
      </c>
      <c r="CA36" s="26">
        <f t="shared" si="41"/>
        <v>382993.30311498872</v>
      </c>
      <c r="CB36" s="26">
        <f t="shared" si="41"/>
        <v>80920.404196718897</v>
      </c>
      <c r="CC36" s="26">
        <f t="shared" si="41"/>
        <v>49246.717004284961</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413</v>
      </c>
      <c r="B37" s="26">
        <f>B35-B36</f>
        <v>1715440442.3861544</v>
      </c>
      <c r="C37" s="26">
        <f t="shared" ref="C37:BN37" si="42">C35-C36</f>
        <v>619242040.38804448</v>
      </c>
      <c r="D37" s="26">
        <f t="shared" si="42"/>
        <v>257350556.55151686</v>
      </c>
      <c r="E37" s="26">
        <f t="shared" si="42"/>
        <v>2062115958.1020494</v>
      </c>
      <c r="F37" s="26">
        <f t="shared" si="42"/>
        <v>1163531641.9333591</v>
      </c>
      <c r="G37" s="26">
        <f t="shared" si="42"/>
        <v>902115759.54432786</v>
      </c>
      <c r="H37" s="26">
        <f t="shared" si="42"/>
        <v>405668228.42777944</v>
      </c>
      <c r="I37" s="26">
        <f t="shared" si="42"/>
        <v>2069574709.2737134</v>
      </c>
      <c r="J37" s="26">
        <f t="shared" si="42"/>
        <v>981053034.34166884</v>
      </c>
      <c r="K37" s="26">
        <f t="shared" si="42"/>
        <v>1359473689.5769174</v>
      </c>
      <c r="L37" s="26">
        <f t="shared" si="42"/>
        <v>294314972.59378368</v>
      </c>
      <c r="M37" s="26">
        <f t="shared" si="42"/>
        <v>1522876429.2631888</v>
      </c>
      <c r="N37" s="26">
        <f t="shared" si="42"/>
        <v>836286559.42492521</v>
      </c>
      <c r="O37" s="26">
        <f t="shared" si="42"/>
        <v>146580384.65057206</v>
      </c>
      <c r="P37" s="26">
        <f t="shared" si="42"/>
        <v>140215539.12423578</v>
      </c>
      <c r="Q37" s="26">
        <f t="shared" si="42"/>
        <v>606126623.67955685</v>
      </c>
      <c r="R37" s="26">
        <f t="shared" si="42"/>
        <v>-42146237.134829029</v>
      </c>
      <c r="S37" s="26">
        <f t="shared" si="42"/>
        <v>93847584.402837053</v>
      </c>
      <c r="T37" s="26">
        <f t="shared" si="42"/>
        <v>168373388.0665403</v>
      </c>
      <c r="U37" s="26">
        <f t="shared" si="42"/>
        <v>743119855.26695764</v>
      </c>
      <c r="V37" s="26">
        <f t="shared" si="42"/>
        <v>384821304.21387249</v>
      </c>
      <c r="W37" s="26">
        <f t="shared" si="42"/>
        <v>189652726.262642</v>
      </c>
      <c r="X37" s="26">
        <f t="shared" si="42"/>
        <v>137923309.6780872</v>
      </c>
      <c r="Y37" s="26">
        <f t="shared" si="42"/>
        <v>575495538.71786213</v>
      </c>
      <c r="Z37" s="26">
        <f t="shared" si="42"/>
        <v>299541144.46279854</v>
      </c>
      <c r="AA37" s="26">
        <f t="shared" si="42"/>
        <v>122250894.29129523</v>
      </c>
      <c r="AB37" s="26">
        <f t="shared" si="42"/>
        <v>-43982684.107037194</v>
      </c>
      <c r="AC37" s="26">
        <f t="shared" si="42"/>
        <v>318973839.18698484</v>
      </c>
      <c r="AD37" s="26">
        <f t="shared" si="42"/>
        <v>49191784.640260592</v>
      </c>
      <c r="AE37" s="26">
        <f t="shared" si="42"/>
        <v>-75130737.734555006</v>
      </c>
      <c r="AF37" s="26">
        <f t="shared" si="42"/>
        <v>-96102353.551463217</v>
      </c>
      <c r="AG37" s="26">
        <f t="shared" si="42"/>
        <v>220143414.55731073</v>
      </c>
      <c r="AH37" s="26">
        <f t="shared" si="42"/>
        <v>15252051.353353204</v>
      </c>
      <c r="AI37" s="26">
        <f t="shared" si="42"/>
        <v>32366822.114439264</v>
      </c>
      <c r="AJ37" s="26">
        <f t="shared" si="42"/>
        <v>-3021742.8265929082</v>
      </c>
      <c r="AK37" s="26">
        <f t="shared" si="42"/>
        <v>231149807.33068997</v>
      </c>
      <c r="AL37" s="26">
        <f t="shared" si="42"/>
        <v>94790679.687233701</v>
      </c>
      <c r="AM37" s="26">
        <f t="shared" si="42"/>
        <v>63755778.270869806</v>
      </c>
      <c r="AN37" s="26">
        <f t="shared" si="42"/>
        <v>26388619.12173786</v>
      </c>
      <c r="AO37" s="26">
        <f t="shared" si="42"/>
        <v>263286456.02097601</v>
      </c>
      <c r="AP37" s="26">
        <f t="shared" si="42"/>
        <v>31492743.378254801</v>
      </c>
      <c r="AQ37" s="26">
        <f t="shared" si="42"/>
        <v>11632777.349423233</v>
      </c>
      <c r="AR37" s="26">
        <f t="shared" si="42"/>
        <v>31281103.773049906</v>
      </c>
      <c r="AS37" s="26">
        <f t="shared" si="42"/>
        <v>309259473.28284556</v>
      </c>
      <c r="AT37" s="26">
        <f t="shared" si="42"/>
        <v>254021680.23530608</v>
      </c>
      <c r="AU37" s="26">
        <f t="shared" si="42"/>
        <v>132528909.78461356</v>
      </c>
      <c r="AV37" s="26">
        <f t="shared" si="42"/>
        <v>112471843.36752979</v>
      </c>
      <c r="AW37" s="26">
        <f t="shared" si="42"/>
        <v>627003347.27228558</v>
      </c>
      <c r="AX37" s="26">
        <f t="shared" si="42"/>
        <v>545530026.06121004</v>
      </c>
      <c r="AY37" s="26">
        <f t="shared" si="42"/>
        <v>346994349.35951078</v>
      </c>
      <c r="AZ37" s="26">
        <f t="shared" si="42"/>
        <v>116371378.27182385</v>
      </c>
      <c r="BA37" s="26">
        <f t="shared" si="42"/>
        <v>474189499.52064431</v>
      </c>
      <c r="BB37" s="26">
        <f t="shared" si="42"/>
        <v>281333459.57852936</v>
      </c>
      <c r="BC37" s="26">
        <f t="shared" si="42"/>
        <v>174694441.63325363</v>
      </c>
      <c r="BD37" s="26">
        <f t="shared" si="42"/>
        <v>49141532.59520337</v>
      </c>
      <c r="BE37" s="26">
        <f t="shared" si="42"/>
        <v>13243628.579848647</v>
      </c>
      <c r="BF37" s="26">
        <f t="shared" si="42"/>
        <v>59263817.161414117</v>
      </c>
      <c r="BG37" s="26">
        <f t="shared" si="42"/>
        <v>34308305.862179637</v>
      </c>
      <c r="BH37" s="26">
        <f t="shared" si="42"/>
        <v>20309153.061444327</v>
      </c>
      <c r="BI37" s="26">
        <f t="shared" si="42"/>
        <v>250609866.07430843</v>
      </c>
      <c r="BJ37" s="26">
        <f t="shared" si="42"/>
        <v>168040009.32087603</v>
      </c>
      <c r="BK37" s="26">
        <f t="shared" si="42"/>
        <v>145817378.34925997</v>
      </c>
      <c r="BL37" s="26">
        <f t="shared" si="42"/>
        <v>125093496.40179649</v>
      </c>
      <c r="BM37" s="26">
        <f t="shared" si="42"/>
        <v>50178344.261550605</v>
      </c>
      <c r="BN37" s="26">
        <f t="shared" si="42"/>
        <v>45246767.113606334</v>
      </c>
      <c r="BO37" s="26">
        <f t="shared" ref="BO37:CJ37" si="43">BO35-BO36</f>
        <v>25466534.213169586</v>
      </c>
      <c r="BP37" s="26">
        <f t="shared" si="43"/>
        <v>12165237.396780569</v>
      </c>
      <c r="BQ37" s="26">
        <f t="shared" si="43"/>
        <v>16727297.233483952</v>
      </c>
      <c r="BR37" s="26">
        <f t="shared" si="43"/>
        <v>7926217.3097504089</v>
      </c>
      <c r="BS37" s="26">
        <f t="shared" si="43"/>
        <v>22786913.6077425</v>
      </c>
      <c r="BT37" s="26">
        <f t="shared" si="43"/>
        <v>8733818.6212802436</v>
      </c>
      <c r="BU37" s="26">
        <f t="shared" si="43"/>
        <v>12137316.228402492</v>
      </c>
      <c r="BV37" s="26">
        <f t="shared" si="43"/>
        <v>5084830.3802649109</v>
      </c>
      <c r="BW37" s="26">
        <f t="shared" si="43"/>
        <v>-3833023.0163444988</v>
      </c>
      <c r="BX37" s="26">
        <f t="shared" si="43"/>
        <v>-3104212.4292794941</v>
      </c>
      <c r="BY37" s="26">
        <f t="shared" si="43"/>
        <v>-8499155.0786286015</v>
      </c>
      <c r="BZ37" s="26">
        <f t="shared" si="43"/>
        <v>0</v>
      </c>
      <c r="CA37" s="26">
        <f t="shared" si="43"/>
        <v>14943006.696885012</v>
      </c>
      <c r="CB37" s="26">
        <f t="shared" si="43"/>
        <v>10900079.595803281</v>
      </c>
      <c r="CC37" s="26">
        <f t="shared" si="43"/>
        <v>10652753.282995716</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414</v>
      </c>
      <c r="B38" s="28">
        <f>B31-B35</f>
        <v>3995263638</v>
      </c>
      <c r="C38" s="28">
        <f t="shared" ref="C38:BN38" si="44">C31-C35</f>
        <v>1361391794</v>
      </c>
      <c r="D38" s="28">
        <f t="shared" si="44"/>
        <v>1444347980</v>
      </c>
      <c r="E38" s="28">
        <f t="shared" si="44"/>
        <v>8919212563</v>
      </c>
      <c r="F38" s="28">
        <f t="shared" si="44"/>
        <v>7653618689</v>
      </c>
      <c r="G38" s="28">
        <f t="shared" si="44"/>
        <v>5245518299</v>
      </c>
      <c r="H38" s="28">
        <f t="shared" si="44"/>
        <v>3101893284</v>
      </c>
      <c r="I38" s="28">
        <f t="shared" si="44"/>
        <v>1734740704</v>
      </c>
      <c r="J38" s="28">
        <f t="shared" si="44"/>
        <v>257319940</v>
      </c>
      <c r="K38" s="28">
        <f t="shared" si="44"/>
        <v>-557585666</v>
      </c>
      <c r="L38" s="28">
        <f t="shared" si="44"/>
        <v>65970246</v>
      </c>
      <c r="M38" s="28">
        <f t="shared" si="44"/>
        <v>1192685261</v>
      </c>
      <c r="N38" s="28">
        <f t="shared" si="44"/>
        <v>2433846871</v>
      </c>
      <c r="O38" s="28">
        <f t="shared" si="44"/>
        <v>2435657580</v>
      </c>
      <c r="P38" s="28">
        <f t="shared" si="44"/>
        <v>1262393312</v>
      </c>
      <c r="Q38" s="28">
        <f t="shared" si="44"/>
        <v>3343131300</v>
      </c>
      <c r="R38" s="28">
        <f t="shared" si="44"/>
        <v>2288326941</v>
      </c>
      <c r="S38" s="28">
        <f t="shared" si="44"/>
        <v>1291773611</v>
      </c>
      <c r="T38" s="28">
        <f t="shared" si="44"/>
        <v>723067517</v>
      </c>
      <c r="U38" s="28">
        <f t="shared" si="44"/>
        <v>3276289028</v>
      </c>
      <c r="V38" s="28">
        <f t="shared" si="44"/>
        <v>1890261946</v>
      </c>
      <c r="W38" s="28">
        <f t="shared" si="44"/>
        <v>1198091877</v>
      </c>
      <c r="X38" s="28">
        <f t="shared" si="44"/>
        <v>407584093</v>
      </c>
      <c r="Y38" s="28">
        <f t="shared" si="44"/>
        <v>389911646</v>
      </c>
      <c r="Z38" s="28">
        <f t="shared" si="44"/>
        <v>-905713799</v>
      </c>
      <c r="AA38" s="28">
        <f t="shared" si="44"/>
        <v>-1054778979</v>
      </c>
      <c r="AB38" s="28">
        <f t="shared" si="44"/>
        <v>-725576775</v>
      </c>
      <c r="AC38" s="28">
        <f t="shared" si="44"/>
        <v>1031875934</v>
      </c>
      <c r="AD38" s="28">
        <f t="shared" si="44"/>
        <v>-2381670516</v>
      </c>
      <c r="AE38" s="28">
        <f t="shared" si="44"/>
        <v>-1350234835</v>
      </c>
      <c r="AF38" s="28">
        <f t="shared" si="44"/>
        <v>-748170623</v>
      </c>
      <c r="AG38" s="28">
        <f t="shared" si="44"/>
        <v>-2242812939</v>
      </c>
      <c r="AH38" s="28">
        <f t="shared" si="44"/>
        <v>-1154080614</v>
      </c>
      <c r="AI38" s="28">
        <f t="shared" si="44"/>
        <v>-638447738</v>
      </c>
      <c r="AJ38" s="28">
        <f t="shared" si="44"/>
        <v>-321231972</v>
      </c>
      <c r="AK38" s="28">
        <f t="shared" si="44"/>
        <v>171458416</v>
      </c>
      <c r="AL38" s="28">
        <f t="shared" si="44"/>
        <v>-931684582</v>
      </c>
      <c r="AM38" s="28">
        <f t="shared" si="44"/>
        <v>-912323863</v>
      </c>
      <c r="AN38" s="28">
        <f t="shared" si="44"/>
        <v>-514935570</v>
      </c>
      <c r="AO38" s="28">
        <f t="shared" si="44"/>
        <v>-886777122</v>
      </c>
      <c r="AP38" s="28">
        <f t="shared" si="44"/>
        <v>164426069</v>
      </c>
      <c r="AQ38" s="28">
        <f t="shared" si="44"/>
        <v>684093481</v>
      </c>
      <c r="AR38" s="28">
        <f t="shared" si="44"/>
        <v>413150147</v>
      </c>
      <c r="AS38" s="28">
        <f t="shared" si="44"/>
        <v>840799064</v>
      </c>
      <c r="AT38" s="28">
        <f t="shared" si="44"/>
        <v>574676859</v>
      </c>
      <c r="AU38" s="28">
        <f t="shared" si="44"/>
        <v>46468353</v>
      </c>
      <c r="AV38" s="28">
        <f t="shared" si="44"/>
        <v>-114890826</v>
      </c>
      <c r="AW38" s="28">
        <f t="shared" si="44"/>
        <v>-3073872884</v>
      </c>
      <c r="AX38" s="28">
        <f t="shared" si="44"/>
        <v>-2757526629</v>
      </c>
      <c r="AY38" s="28">
        <f t="shared" si="44"/>
        <v>-1849140023</v>
      </c>
      <c r="AZ38" s="28">
        <f t="shared" si="44"/>
        <v>-531277817</v>
      </c>
      <c r="BA38" s="28">
        <f t="shared" si="44"/>
        <v>-1551714510</v>
      </c>
      <c r="BB38" s="28">
        <f t="shared" si="44"/>
        <v>-1288620911</v>
      </c>
      <c r="BC38" s="28">
        <f t="shared" si="44"/>
        <v>-952178899</v>
      </c>
      <c r="BD38" s="28">
        <f t="shared" si="44"/>
        <v>-441679189</v>
      </c>
      <c r="BE38" s="28">
        <f t="shared" si="44"/>
        <v>278089575</v>
      </c>
      <c r="BF38" s="28">
        <f t="shared" si="44"/>
        <v>516776256.67999959</v>
      </c>
      <c r="BG38" s="28">
        <f t="shared" si="44"/>
        <v>562823814.55999994</v>
      </c>
      <c r="BH38" s="28">
        <f t="shared" si="44"/>
        <v>302012294.80999976</v>
      </c>
      <c r="BI38" s="28">
        <f t="shared" si="44"/>
        <v>422020769</v>
      </c>
      <c r="BJ38" s="28">
        <f t="shared" si="44"/>
        <v>331334149.40000033</v>
      </c>
      <c r="BK38" s="28">
        <f t="shared" si="44"/>
        <v>201548160.53000009</v>
      </c>
      <c r="BL38" s="28">
        <f t="shared" si="44"/>
        <v>62138740.479999989</v>
      </c>
      <c r="BM38" s="28">
        <f t="shared" si="44"/>
        <v>201293206</v>
      </c>
      <c r="BN38" s="28">
        <f t="shared" si="44"/>
        <v>179848009.97999984</v>
      </c>
      <c r="BO38" s="28">
        <f t="shared" ref="BO38:CJ38" si="45">BO31-BO35</f>
        <v>138471292.87999997</v>
      </c>
      <c r="BP38" s="28">
        <f t="shared" si="45"/>
        <v>67223254.329999954</v>
      </c>
      <c r="BQ38" s="28">
        <f t="shared" si="45"/>
        <v>110557338</v>
      </c>
      <c r="BR38" s="28">
        <f t="shared" si="45"/>
        <v>83672396.709999964</v>
      </c>
      <c r="BS38" s="28">
        <f t="shared" si="45"/>
        <v>136565373</v>
      </c>
      <c r="BT38" s="28">
        <f t="shared" si="45"/>
        <v>74049546</v>
      </c>
      <c r="BU38" s="28">
        <f t="shared" si="45"/>
        <v>110283893</v>
      </c>
      <c r="BV38" s="28">
        <f t="shared" si="45"/>
        <v>24682912.000000004</v>
      </c>
      <c r="BW38" s="28">
        <f t="shared" si="45"/>
        <v>65649000</v>
      </c>
      <c r="BX38" s="28">
        <f t="shared" si="45"/>
        <v>37985235.079999998</v>
      </c>
      <c r="BY38" s="28">
        <f t="shared" si="45"/>
        <v>145049000</v>
      </c>
      <c r="BZ38" s="28">
        <f t="shared" si="45"/>
        <v>142168000</v>
      </c>
      <c r="CA38" s="28">
        <f t="shared" si="45"/>
        <v>117368000</v>
      </c>
      <c r="CB38" s="28">
        <f t="shared" si="45"/>
        <v>108561000</v>
      </c>
      <c r="CC38" s="28">
        <f t="shared" si="45"/>
        <v>101051000</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415</v>
      </c>
      <c r="B39" s="57">
        <f>B38/B4*100</f>
        <v>5.7515257796507839</v>
      </c>
      <c r="C39" s="57">
        <f t="shared" ref="C39:D39" si="46">C38/C4*100</f>
        <v>3.1315148594650397</v>
      </c>
      <c r="D39" s="57">
        <f t="shared" si="46"/>
        <v>6.6970858305400904</v>
      </c>
      <c r="E39" s="57">
        <f>E38/E4</f>
        <v>9.5087068186040721E-2</v>
      </c>
      <c r="F39" s="57">
        <f t="shared" ref="F39:BQ39" si="47">F38/F4</f>
        <v>0.11026941299576674</v>
      </c>
      <c r="G39" s="57">
        <f t="shared" si="47"/>
        <v>0.11759926032527088</v>
      </c>
      <c r="H39" s="57">
        <f t="shared" si="47"/>
        <v>0.14193076745920916</v>
      </c>
      <c r="I39" s="57">
        <f t="shared" si="47"/>
        <v>2.5179245399650392E-2</v>
      </c>
      <c r="J39" s="57">
        <f t="shared" si="47"/>
        <v>5.6132033752588489E-3</v>
      </c>
      <c r="K39" s="57">
        <f t="shared" si="47"/>
        <v>-2.1082089966585445E-2</v>
      </c>
      <c r="L39" s="57">
        <f t="shared" si="47"/>
        <v>5.3644208022264528E-3</v>
      </c>
      <c r="M39" s="57">
        <f t="shared" si="47"/>
        <v>2.4528871073635241E-2</v>
      </c>
      <c r="N39" s="57">
        <f t="shared" si="47"/>
        <v>6.6826388347723462E-2</v>
      </c>
      <c r="O39" s="57">
        <f t="shared" si="47"/>
        <v>0.10603254908675354</v>
      </c>
      <c r="P39" s="57">
        <f t="shared" si="47"/>
        <v>0.10898810178333504</v>
      </c>
      <c r="Q39" s="57">
        <f t="shared" si="47"/>
        <v>9.0805697088631815E-2</v>
      </c>
      <c r="R39" s="57">
        <f t="shared" si="47"/>
        <v>9.0490377349559392E-2</v>
      </c>
      <c r="S39" s="57">
        <f t="shared" si="47"/>
        <v>8.0168798815665854E-2</v>
      </c>
      <c r="T39" s="57">
        <f t="shared" si="47"/>
        <v>8.9359388682100777E-2</v>
      </c>
      <c r="U39" s="57">
        <f t="shared" si="47"/>
        <v>9.70054278826816E-2</v>
      </c>
      <c r="V39" s="57">
        <f t="shared" si="47"/>
        <v>7.6300935030082118E-2</v>
      </c>
      <c r="W39" s="57">
        <f t="shared" si="47"/>
        <v>7.3709108089839576E-2</v>
      </c>
      <c r="X39" s="57">
        <f t="shared" si="47"/>
        <v>5.0577131435790207E-2</v>
      </c>
      <c r="Y39" s="57">
        <f t="shared" si="47"/>
        <v>1.5129518437420235E-2</v>
      </c>
      <c r="Z39" s="57">
        <f t="shared" si="47"/>
        <v>-5.2894858685633608E-2</v>
      </c>
      <c r="AA39" s="57">
        <f t="shared" si="47"/>
        <v>-0.10977124888961835</v>
      </c>
      <c r="AB39" s="57">
        <f t="shared" si="47"/>
        <v>-0.17493720551455211</v>
      </c>
      <c r="AC39" s="57">
        <f t="shared" si="47"/>
        <v>8.0985985501441329E-2</v>
      </c>
      <c r="AD39" s="57">
        <f t="shared" si="47"/>
        <v>-0.27971487695280906</v>
      </c>
      <c r="AE39" s="57">
        <f t="shared" si="47"/>
        <v>-0.2733250086578301</v>
      </c>
      <c r="AF39" s="57">
        <f t="shared" si="47"/>
        <v>-0.37985025668228861</v>
      </c>
      <c r="AG39" s="57">
        <f t="shared" si="47"/>
        <v>-0.27946811915968583</v>
      </c>
      <c r="AH39" s="57">
        <f t="shared" si="47"/>
        <v>-0.18608009088491978</v>
      </c>
      <c r="AI39" s="57">
        <f t="shared" si="47"/>
        <v>-0.15250410393652353</v>
      </c>
      <c r="AJ39" s="57">
        <f t="shared" si="47"/>
        <v>-0.16963735543998276</v>
      </c>
      <c r="AK39" s="57">
        <f t="shared" si="47"/>
        <v>2.7436884267467546E-2</v>
      </c>
      <c r="AL39" s="57">
        <f t="shared" si="47"/>
        <v>-0.21445090108193066</v>
      </c>
      <c r="AM39" s="57">
        <f t="shared" si="47"/>
        <v>-0.39698813359749513</v>
      </c>
      <c r="AN39" s="57">
        <f t="shared" si="47"/>
        <v>-0.71430030131042255</v>
      </c>
      <c r="AO39" s="57">
        <f t="shared" si="47"/>
        <v>-0.10640454090400593</v>
      </c>
      <c r="AP39" s="57">
        <f t="shared" si="47"/>
        <v>2.2610919548817093E-2</v>
      </c>
      <c r="AQ39" s="57">
        <f t="shared" si="47"/>
        <v>0.12424730714488839</v>
      </c>
      <c r="AR39" s="57">
        <f t="shared" si="47"/>
        <v>0.14068418610270672</v>
      </c>
      <c r="AS39" s="57">
        <f t="shared" si="47"/>
        <v>7.5269944378613785E-2</v>
      </c>
      <c r="AT39" s="57">
        <f t="shared" si="47"/>
        <v>7.2504408447437552E-2</v>
      </c>
      <c r="AU39" s="57">
        <f t="shared" si="47"/>
        <v>9.9096710489723523E-3</v>
      </c>
      <c r="AV39" s="57">
        <f t="shared" si="47"/>
        <v>-5.336711503942939E-2</v>
      </c>
      <c r="AW39" s="57">
        <f t="shared" si="47"/>
        <v>-0.35004382792023181</v>
      </c>
      <c r="AX39" s="57">
        <f t="shared" si="47"/>
        <v>-0.41403853220054782</v>
      </c>
      <c r="AY39" s="57">
        <f t="shared" si="47"/>
        <v>-0.43093362284423564</v>
      </c>
      <c r="AZ39" s="57">
        <f t="shared" si="47"/>
        <v>-0.22092661150006265</v>
      </c>
      <c r="BA39" s="57">
        <f t="shared" si="47"/>
        <v>-0.11526804039254446</v>
      </c>
      <c r="BB39" s="57">
        <f t="shared" si="47"/>
        <v>-0.15075450204735294</v>
      </c>
      <c r="BC39" s="57">
        <f t="shared" si="47"/>
        <v>-0.22032453208018965</v>
      </c>
      <c r="BD39" s="57">
        <f t="shared" si="47"/>
        <v>-0.21215557850192987</v>
      </c>
      <c r="BE39" s="57">
        <f t="shared" si="47"/>
        <v>2.2351399397936952E-2</v>
      </c>
      <c r="BF39" s="57">
        <f t="shared" si="47"/>
        <v>5.5502611816550709E-2</v>
      </c>
      <c r="BG39" s="57">
        <f t="shared" si="47"/>
        <v>9.0279860950590818E-2</v>
      </c>
      <c r="BH39" s="57">
        <f t="shared" si="47"/>
        <v>8.1756555532405656E-2</v>
      </c>
      <c r="BI39" s="57">
        <f t="shared" si="47"/>
        <v>3.7747473648177272E-2</v>
      </c>
      <c r="BJ39" s="57">
        <f t="shared" si="47"/>
        <v>4.3309068378686685E-2</v>
      </c>
      <c r="BK39" s="57">
        <f t="shared" si="47"/>
        <v>4.2901305346343878E-2</v>
      </c>
      <c r="BL39" s="57">
        <f t="shared" si="47"/>
        <v>2.7573983817114112E-2</v>
      </c>
      <c r="BM39" s="57">
        <f t="shared" si="47"/>
        <v>4.2088766062926483E-2</v>
      </c>
      <c r="BN39" s="57">
        <f t="shared" si="47"/>
        <v>5.2593509817248162E-2</v>
      </c>
      <c r="BO39" s="57">
        <f t="shared" si="47"/>
        <v>6.8811485575868137E-2</v>
      </c>
      <c r="BP39" s="57">
        <f t="shared" si="47"/>
        <v>6.4677000702038731E-2</v>
      </c>
      <c r="BQ39" s="57">
        <f t="shared" si="47"/>
        <v>4.1414329231245148E-2</v>
      </c>
      <c r="BR39" s="57">
        <f t="shared" ref="BR39:CK39" si="48">BR38/BR4</f>
        <v>6.5559515208625518E-2</v>
      </c>
      <c r="BS39" s="57">
        <f t="shared" si="48"/>
        <v>6.1107928859842085E-2</v>
      </c>
      <c r="BT39" s="57">
        <f t="shared" si="48"/>
        <v>7.4555389105783368E-2</v>
      </c>
      <c r="BU39" s="57">
        <f t="shared" si="48"/>
        <v>0.14865322793221017</v>
      </c>
      <c r="BV39" s="57">
        <f t="shared" si="48"/>
        <v>0.12296138585546618</v>
      </c>
      <c r="BW39" s="57">
        <f t="shared" si="48"/>
        <v>0.27642033373053132</v>
      </c>
      <c r="BX39" s="57">
        <f t="shared" si="48"/>
        <v>0.35902492988618739</v>
      </c>
      <c r="BY39" s="57">
        <f t="shared" si="48"/>
        <v>0.52725917848055248</v>
      </c>
      <c r="BZ39" s="57">
        <f t="shared" si="48"/>
        <v>1.2796169285881442</v>
      </c>
      <c r="CA39" s="57">
        <f t="shared" si="48"/>
        <v>0.61396176078257003</v>
      </c>
      <c r="CB39" s="57">
        <f t="shared" si="48"/>
        <v>0.59058639204870012</v>
      </c>
      <c r="CC39" s="57">
        <f t="shared" si="48"/>
        <v>0.74968098996973109</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416</v>
      </c>
      <c r="B40" s="26">
        <f>B60</f>
        <v>939270136</v>
      </c>
      <c r="C40" s="26">
        <f t="shared" ref="C40:BN40" si="49">C60</f>
        <v>659568560</v>
      </c>
      <c r="D40" s="26">
        <f t="shared" si="49"/>
        <v>452265009</v>
      </c>
      <c r="E40" s="26">
        <f t="shared" si="49"/>
        <v>1880659980</v>
      </c>
      <c r="F40" s="26">
        <f t="shared" si="49"/>
        <v>1353027097</v>
      </c>
      <c r="G40" s="26">
        <f t="shared" si="49"/>
        <v>940261615</v>
      </c>
      <c r="H40" s="26">
        <f t="shared" si="49"/>
        <v>474494165</v>
      </c>
      <c r="I40" s="26">
        <f t="shared" si="49"/>
        <v>467228316</v>
      </c>
      <c r="J40" s="26">
        <f t="shared" si="49"/>
        <v>120127244</v>
      </c>
      <c r="K40" s="26">
        <f t="shared" si="49"/>
        <v>56258311</v>
      </c>
      <c r="L40" s="26">
        <f t="shared" si="49"/>
        <v>13575834</v>
      </c>
      <c r="M40" s="26">
        <f t="shared" si="49"/>
        <v>375133185</v>
      </c>
      <c r="N40" s="26">
        <f t="shared" si="49"/>
        <v>495093867</v>
      </c>
      <c r="O40" s="26">
        <f t="shared" si="49"/>
        <v>411060664</v>
      </c>
      <c r="P40" s="26">
        <f t="shared" si="49"/>
        <v>230942461</v>
      </c>
      <c r="Q40" s="26">
        <f t="shared" si="49"/>
        <v>459993195</v>
      </c>
      <c r="R40" s="26">
        <f t="shared" si="49"/>
        <v>284689438</v>
      </c>
      <c r="S40" s="26">
        <f t="shared" si="49"/>
        <v>156020200</v>
      </c>
      <c r="T40" s="26">
        <f t="shared" si="49"/>
        <v>64483087</v>
      </c>
      <c r="U40" s="26">
        <f t="shared" si="49"/>
        <v>50284234</v>
      </c>
      <c r="V40" s="26">
        <f t="shared" si="49"/>
        <v>73721600</v>
      </c>
      <c r="W40" s="26">
        <f t="shared" si="49"/>
        <v>23290836</v>
      </c>
      <c r="X40" s="26">
        <f t="shared" si="49"/>
        <v>4560539</v>
      </c>
      <c r="Y40" s="26">
        <f t="shared" si="49"/>
        <v>1668895</v>
      </c>
      <c r="Z40" s="26">
        <f t="shared" si="49"/>
        <v>7276636</v>
      </c>
      <c r="AA40" s="26">
        <f t="shared" si="49"/>
        <v>8253509</v>
      </c>
      <c r="AB40" s="26">
        <f t="shared" si="49"/>
        <v>1921950</v>
      </c>
      <c r="AC40" s="26">
        <f t="shared" si="49"/>
        <v>152409979</v>
      </c>
      <c r="AD40" s="26">
        <f t="shared" si="49"/>
        <v>-1727651</v>
      </c>
      <c r="AE40" s="26">
        <f t="shared" si="49"/>
        <v>-2709700</v>
      </c>
      <c r="AF40" s="26">
        <f t="shared" si="49"/>
        <v>-818944</v>
      </c>
      <c r="AG40" s="26">
        <f t="shared" si="49"/>
        <v>26672583</v>
      </c>
      <c r="AH40" s="26">
        <f t="shared" si="49"/>
        <v>16291254</v>
      </c>
      <c r="AI40" s="26">
        <f t="shared" si="49"/>
        <v>14984656</v>
      </c>
      <c r="AJ40" s="26">
        <f t="shared" si="49"/>
        <v>-1674191</v>
      </c>
      <c r="AK40" s="26">
        <f t="shared" si="49"/>
        <v>-16683383</v>
      </c>
      <c r="AL40" s="26">
        <f t="shared" si="49"/>
        <v>9489343</v>
      </c>
      <c r="AM40" s="26">
        <f t="shared" si="49"/>
        <v>6804077</v>
      </c>
      <c r="AN40" s="26">
        <f t="shared" si="49"/>
        <v>2078492</v>
      </c>
      <c r="AO40" s="26">
        <f t="shared" si="49"/>
        <v>67419800</v>
      </c>
      <c r="AP40" s="26">
        <f t="shared" si="49"/>
        <v>61121438</v>
      </c>
      <c r="AQ40" s="26">
        <f t="shared" si="49"/>
        <v>56722560</v>
      </c>
      <c r="AR40" s="26">
        <f t="shared" si="49"/>
        <v>33185936</v>
      </c>
      <c r="AS40" s="26">
        <f t="shared" si="49"/>
        <v>-56307888</v>
      </c>
      <c r="AT40" s="26">
        <f t="shared" si="49"/>
        <v>11846579</v>
      </c>
      <c r="AU40" s="26">
        <f t="shared" si="49"/>
        <v>10156274</v>
      </c>
      <c r="AV40" s="26">
        <f t="shared" si="49"/>
        <v>3211019</v>
      </c>
      <c r="AW40" s="26">
        <f t="shared" si="49"/>
        <v>13333832</v>
      </c>
      <c r="AX40" s="26">
        <f t="shared" si="49"/>
        <v>5411942</v>
      </c>
      <c r="AY40" s="26">
        <f t="shared" si="49"/>
        <v>3648838</v>
      </c>
      <c r="AZ40" s="26">
        <f t="shared" si="49"/>
        <v>1228820</v>
      </c>
      <c r="BA40" s="26">
        <f t="shared" si="49"/>
        <v>41728994</v>
      </c>
      <c r="BB40" s="26">
        <f t="shared" si="49"/>
        <v>33363171</v>
      </c>
      <c r="BC40" s="26">
        <f t="shared" si="49"/>
        <v>22140108</v>
      </c>
      <c r="BD40" s="26">
        <f t="shared" si="49"/>
        <v>3098062</v>
      </c>
      <c r="BE40" s="26">
        <f t="shared" si="49"/>
        <v>13112557</v>
      </c>
      <c r="BF40" s="26">
        <f t="shared" si="49"/>
        <v>29983279.280000001</v>
      </c>
      <c r="BG40" s="26">
        <f t="shared" si="49"/>
        <v>31132860.5</v>
      </c>
      <c r="BH40" s="26">
        <f t="shared" si="49"/>
        <v>13392541.58</v>
      </c>
      <c r="BI40" s="26">
        <f t="shared" si="49"/>
        <v>18888134</v>
      </c>
      <c r="BJ40" s="26">
        <f t="shared" si="49"/>
        <v>20002809.030000001</v>
      </c>
      <c r="BK40" s="26">
        <f t="shared" si="49"/>
        <v>11295612.949999999</v>
      </c>
      <c r="BL40" s="26">
        <f t="shared" si="49"/>
        <v>10715982.58</v>
      </c>
      <c r="BM40" s="26">
        <f t="shared" si="49"/>
        <v>47185728</v>
      </c>
      <c r="BN40" s="26">
        <f t="shared" si="49"/>
        <v>40641666.68</v>
      </c>
      <c r="BO40" s="26">
        <f t="shared" ref="BO40:CJ40" si="50">BO60</f>
        <v>27712934.18</v>
      </c>
      <c r="BP40" s="26">
        <f t="shared" si="50"/>
        <v>14842215.08</v>
      </c>
      <c r="BQ40" s="26">
        <f t="shared" si="50"/>
        <v>20476088</v>
      </c>
      <c r="BR40" s="26">
        <f t="shared" si="50"/>
        <v>7415723.3399999999</v>
      </c>
      <c r="BS40" s="26">
        <f t="shared" si="50"/>
        <v>16642758</v>
      </c>
      <c r="BT40" s="26">
        <f t="shared" si="50"/>
        <v>9295870</v>
      </c>
      <c r="BU40" s="26">
        <f t="shared" si="50"/>
        <v>9628005</v>
      </c>
      <c r="BV40" s="26">
        <f t="shared" si="50"/>
        <v>4874531.3499999996</v>
      </c>
      <c r="BW40" s="26">
        <f t="shared" si="50"/>
        <v>5507000</v>
      </c>
      <c r="BX40" s="26">
        <f t="shared" si="50"/>
        <v>3771561.04</v>
      </c>
      <c r="BY40" s="26">
        <f t="shared" si="50"/>
        <v>14054000</v>
      </c>
      <c r="BZ40" s="26">
        <f t="shared" si="50"/>
        <v>7845000</v>
      </c>
      <c r="CA40" s="26">
        <f t="shared" si="50"/>
        <v>2933000</v>
      </c>
      <c r="CB40" s="26">
        <f t="shared" si="50"/>
        <v>800000</v>
      </c>
      <c r="CC40" s="26">
        <f t="shared" si="50"/>
        <v>465000</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606</v>
      </c>
      <c r="B41" s="57">
        <f>B40/B38</f>
        <v>0.2350959088322371</v>
      </c>
      <c r="C41" s="57">
        <f t="shared" ref="C41:BN41" si="51">C40/C38</f>
        <v>0.48448107510775845</v>
      </c>
      <c r="D41" s="57">
        <f t="shared" si="51"/>
        <v>0.31312745630730898</v>
      </c>
      <c r="E41" s="57">
        <f t="shared" si="51"/>
        <v>0.21085493441446082</v>
      </c>
      <c r="F41" s="57">
        <f t="shared" si="51"/>
        <v>0.17678266346670879</v>
      </c>
      <c r="G41" s="57">
        <f t="shared" si="51"/>
        <v>0.1792504689535161</v>
      </c>
      <c r="H41" s="57">
        <f t="shared" si="51"/>
        <v>0.15296920994913246</v>
      </c>
      <c r="I41" s="57">
        <f t="shared" si="51"/>
        <v>0.26933611168669502</v>
      </c>
      <c r="J41" s="57">
        <f t="shared" si="51"/>
        <v>0.46684001247629703</v>
      </c>
      <c r="K41" s="57">
        <f t="shared" si="51"/>
        <v>-0.10089626479027888</v>
      </c>
      <c r="L41" s="57">
        <f t="shared" si="51"/>
        <v>0.20578722716904829</v>
      </c>
      <c r="M41" s="57">
        <f t="shared" si="51"/>
        <v>0.31452823076347214</v>
      </c>
      <c r="N41" s="57">
        <f t="shared" si="51"/>
        <v>0.20342030260785457</v>
      </c>
      <c r="O41" s="57">
        <f t="shared" si="51"/>
        <v>0.16876783804725129</v>
      </c>
      <c r="P41" s="57">
        <f t="shared" si="51"/>
        <v>0.18294018100754958</v>
      </c>
      <c r="Q41" s="57">
        <f t="shared" si="51"/>
        <v>0.13759351749062324</v>
      </c>
      <c r="R41" s="57">
        <f t="shared" si="51"/>
        <v>0.12440942458842466</v>
      </c>
      <c r="S41" s="57">
        <f t="shared" si="51"/>
        <v>0.12077983221782969</v>
      </c>
      <c r="T41" s="57">
        <f t="shared" si="51"/>
        <v>8.9179897428582733E-2</v>
      </c>
      <c r="U41" s="57">
        <f t="shared" si="51"/>
        <v>1.5347923693623528E-2</v>
      </c>
      <c r="V41" s="57">
        <f t="shared" si="51"/>
        <v>3.9000732229732993E-2</v>
      </c>
      <c r="W41" s="57">
        <f t="shared" si="51"/>
        <v>1.9439941499578332E-2</v>
      </c>
      <c r="X41" s="57">
        <f t="shared" si="51"/>
        <v>1.1189197709931237E-2</v>
      </c>
      <c r="Y41" s="57">
        <f t="shared" si="51"/>
        <v>4.2801876197357796E-3</v>
      </c>
      <c r="Z41" s="57">
        <f t="shared" si="51"/>
        <v>-8.0341450114088421E-3</v>
      </c>
      <c r="AA41" s="57">
        <f t="shared" si="51"/>
        <v>-7.8248705788817197E-3</v>
      </c>
      <c r="AB41" s="57">
        <f t="shared" si="51"/>
        <v>-2.6488582135226145E-3</v>
      </c>
      <c r="AC41" s="57">
        <f t="shared" si="51"/>
        <v>0.14770184474522302</v>
      </c>
      <c r="AD41" s="57">
        <f t="shared" si="51"/>
        <v>7.2539462885134022E-4</v>
      </c>
      <c r="AE41" s="57">
        <f t="shared" si="51"/>
        <v>2.0068360923305613E-3</v>
      </c>
      <c r="AF41" s="57">
        <f t="shared" si="51"/>
        <v>1.0945952364665352E-3</v>
      </c>
      <c r="AG41" s="57">
        <f t="shared" si="51"/>
        <v>-1.1892468844010001E-2</v>
      </c>
      <c r="AH41" s="57">
        <f t="shared" si="51"/>
        <v>-1.4116218401360306E-2</v>
      </c>
      <c r="AI41" s="57">
        <f t="shared" si="51"/>
        <v>-2.3470450450558258E-2</v>
      </c>
      <c r="AJ41" s="57">
        <f t="shared" si="51"/>
        <v>5.2117819704447102E-3</v>
      </c>
      <c r="AK41" s="57">
        <f t="shared" si="51"/>
        <v>-9.730279439884712E-2</v>
      </c>
      <c r="AL41" s="57">
        <f t="shared" si="51"/>
        <v>-1.0185145470186605E-2</v>
      </c>
      <c r="AM41" s="57">
        <f t="shared" si="51"/>
        <v>-7.4579623266962597E-3</v>
      </c>
      <c r="AN41" s="57">
        <f t="shared" si="51"/>
        <v>-4.0364117786619398E-3</v>
      </c>
      <c r="AO41" s="57">
        <f t="shared" si="51"/>
        <v>-7.6027897345777487E-2</v>
      </c>
      <c r="AP41" s="57">
        <f t="shared" si="51"/>
        <v>0.37172595788323565</v>
      </c>
      <c r="AQ41" s="57">
        <f t="shared" si="51"/>
        <v>8.291638727076249E-2</v>
      </c>
      <c r="AR41" s="57">
        <f t="shared" si="51"/>
        <v>8.032415392072946E-2</v>
      </c>
      <c r="AS41" s="57">
        <f t="shared" si="51"/>
        <v>-6.6969494152529174E-2</v>
      </c>
      <c r="AT41" s="57">
        <f t="shared" si="51"/>
        <v>2.061433101832973E-2</v>
      </c>
      <c r="AU41" s="57">
        <f t="shared" si="51"/>
        <v>0.21856324453763187</v>
      </c>
      <c r="AV41" s="57">
        <f t="shared" si="51"/>
        <v>-2.7948436892602721E-2</v>
      </c>
      <c r="AW41" s="57">
        <f t="shared" si="51"/>
        <v>-4.3377955117808314E-3</v>
      </c>
      <c r="AX41" s="57">
        <f t="shared" si="51"/>
        <v>-1.9626073391583558E-3</v>
      </c>
      <c r="AY41" s="57">
        <f t="shared" si="51"/>
        <v>-1.973262140570736E-3</v>
      </c>
      <c r="AZ41" s="57">
        <f t="shared" si="51"/>
        <v>-2.3129518317532164E-3</v>
      </c>
      <c r="BA41" s="57">
        <f t="shared" si="51"/>
        <v>-2.6892185212600738E-2</v>
      </c>
      <c r="BB41" s="57">
        <f t="shared" si="51"/>
        <v>-2.5890601894787969E-2</v>
      </c>
      <c r="BC41" s="57">
        <f t="shared" si="51"/>
        <v>-2.3252046462331866E-2</v>
      </c>
      <c r="BD41" s="57">
        <f t="shared" si="51"/>
        <v>-7.0142811279251824E-3</v>
      </c>
      <c r="BE41" s="57">
        <f t="shared" si="51"/>
        <v>4.7152278182308702E-2</v>
      </c>
      <c r="BF41" s="57">
        <f t="shared" si="51"/>
        <v>5.8019846872659972E-2</v>
      </c>
      <c r="BG41" s="57">
        <f t="shared" si="51"/>
        <v>5.5315464084153596E-2</v>
      </c>
      <c r="BH41" s="57">
        <f t="shared" si="51"/>
        <v>4.4344358856070541E-2</v>
      </c>
      <c r="BI41" s="57">
        <f t="shared" si="51"/>
        <v>4.4756408659119805E-2</v>
      </c>
      <c r="BJ41" s="57">
        <f t="shared" si="51"/>
        <v>6.0370502304764789E-2</v>
      </c>
      <c r="BK41" s="57">
        <f t="shared" si="51"/>
        <v>5.6044237368857885E-2</v>
      </c>
      <c r="BL41" s="57">
        <f t="shared" si="51"/>
        <v>0.17245252313166939</v>
      </c>
      <c r="BM41" s="57">
        <f t="shared" si="51"/>
        <v>0.23441291903314412</v>
      </c>
      <c r="BN41" s="57">
        <f t="shared" si="51"/>
        <v>0.225977850322167</v>
      </c>
      <c r="BO41" s="57">
        <f t="shared" ref="BO41:CJ41" si="52">BO40/BO38</f>
        <v>0.2001348698608324</v>
      </c>
      <c r="BP41" s="57">
        <f t="shared" si="52"/>
        <v>0.22078989224680118</v>
      </c>
      <c r="BQ41" s="57">
        <f t="shared" si="52"/>
        <v>0.18520786019648916</v>
      </c>
      <c r="BR41" s="57">
        <f t="shared" si="52"/>
        <v>8.8628073672876187E-2</v>
      </c>
      <c r="BS41" s="57">
        <f t="shared" si="52"/>
        <v>0.12186660230481705</v>
      </c>
      <c r="BT41" s="57">
        <f t="shared" si="52"/>
        <v>0.12553581354840446</v>
      </c>
      <c r="BU41" s="57">
        <f t="shared" si="52"/>
        <v>8.7302005198528848E-2</v>
      </c>
      <c r="BV41" s="57">
        <f t="shared" si="52"/>
        <v>0.19748607255092102</v>
      </c>
      <c r="BW41" s="57">
        <f t="shared" si="52"/>
        <v>8.3885512345961102E-2</v>
      </c>
      <c r="BX41" s="57">
        <f t="shared" si="52"/>
        <v>9.9290185569650566E-2</v>
      </c>
      <c r="BY41" s="57">
        <f t="shared" si="52"/>
        <v>9.6891395321580989E-2</v>
      </c>
      <c r="BZ41" s="57">
        <f t="shared" si="52"/>
        <v>5.5181194080243093E-2</v>
      </c>
      <c r="CA41" s="57">
        <f t="shared" si="52"/>
        <v>2.4989775748074431E-2</v>
      </c>
      <c r="CB41" s="57">
        <f t="shared" si="52"/>
        <v>7.3691288768526451E-3</v>
      </c>
      <c r="CC41" s="57">
        <f t="shared" si="52"/>
        <v>4.6016367972607887E-3</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418</v>
      </c>
      <c r="B42" s="28">
        <f>B38-B40</f>
        <v>3055993502</v>
      </c>
      <c r="C42" s="28">
        <f t="shared" ref="C42:BN42" si="53">C38-C40</f>
        <v>701823234</v>
      </c>
      <c r="D42" s="28">
        <f t="shared" si="53"/>
        <v>992082971</v>
      </c>
      <c r="E42" s="28">
        <f t="shared" si="53"/>
        <v>7038552583</v>
      </c>
      <c r="F42" s="28">
        <f t="shared" si="53"/>
        <v>6300591592</v>
      </c>
      <c r="G42" s="28">
        <f t="shared" si="53"/>
        <v>4305256684</v>
      </c>
      <c r="H42" s="28">
        <f t="shared" si="53"/>
        <v>2627399119</v>
      </c>
      <c r="I42" s="28">
        <f t="shared" si="53"/>
        <v>1267512388</v>
      </c>
      <c r="J42" s="28">
        <f t="shared" si="53"/>
        <v>137192696</v>
      </c>
      <c r="K42" s="28">
        <f t="shared" si="53"/>
        <v>-613843977</v>
      </c>
      <c r="L42" s="28">
        <f t="shared" si="53"/>
        <v>52394412</v>
      </c>
      <c r="M42" s="28">
        <f t="shared" si="53"/>
        <v>817552076</v>
      </c>
      <c r="N42" s="28">
        <f t="shared" si="53"/>
        <v>1938753004</v>
      </c>
      <c r="O42" s="28">
        <f t="shared" si="53"/>
        <v>2024596916</v>
      </c>
      <c r="P42" s="28">
        <f t="shared" si="53"/>
        <v>1031450851</v>
      </c>
      <c r="Q42" s="28">
        <f t="shared" si="53"/>
        <v>2883138105</v>
      </c>
      <c r="R42" s="28">
        <f t="shared" si="53"/>
        <v>2003637503</v>
      </c>
      <c r="S42" s="28">
        <f t="shared" si="53"/>
        <v>1135753411</v>
      </c>
      <c r="T42" s="28">
        <f t="shared" si="53"/>
        <v>658584430</v>
      </c>
      <c r="U42" s="28">
        <f t="shared" si="53"/>
        <v>3226004794</v>
      </c>
      <c r="V42" s="28">
        <f t="shared" si="53"/>
        <v>1816540346</v>
      </c>
      <c r="W42" s="28">
        <f t="shared" si="53"/>
        <v>1174801041</v>
      </c>
      <c r="X42" s="28">
        <f t="shared" si="53"/>
        <v>403023554</v>
      </c>
      <c r="Y42" s="28">
        <f t="shared" si="53"/>
        <v>388242751</v>
      </c>
      <c r="Z42" s="28">
        <f t="shared" si="53"/>
        <v>-912990435</v>
      </c>
      <c r="AA42" s="28">
        <f t="shared" si="53"/>
        <v>-1063032488</v>
      </c>
      <c r="AB42" s="28">
        <f t="shared" si="53"/>
        <v>-727498725</v>
      </c>
      <c r="AC42" s="28">
        <f t="shared" si="53"/>
        <v>879465955</v>
      </c>
      <c r="AD42" s="28">
        <f t="shared" si="53"/>
        <v>-2379942865</v>
      </c>
      <c r="AE42" s="28">
        <f t="shared" si="53"/>
        <v>-1347525135</v>
      </c>
      <c r="AF42" s="28">
        <f t="shared" si="53"/>
        <v>-747351679</v>
      </c>
      <c r="AG42" s="28">
        <f t="shared" si="53"/>
        <v>-2269485522</v>
      </c>
      <c r="AH42" s="28">
        <f t="shared" si="53"/>
        <v>-1170371868</v>
      </c>
      <c r="AI42" s="28">
        <f t="shared" si="53"/>
        <v>-653432394</v>
      </c>
      <c r="AJ42" s="28">
        <f t="shared" si="53"/>
        <v>-319557781</v>
      </c>
      <c r="AK42" s="28">
        <f t="shared" si="53"/>
        <v>188141799</v>
      </c>
      <c r="AL42" s="28">
        <f t="shared" si="53"/>
        <v>-941173925</v>
      </c>
      <c r="AM42" s="28">
        <f t="shared" si="53"/>
        <v>-919127940</v>
      </c>
      <c r="AN42" s="28">
        <f t="shared" si="53"/>
        <v>-517014062</v>
      </c>
      <c r="AO42" s="28">
        <f t="shared" si="53"/>
        <v>-954196922</v>
      </c>
      <c r="AP42" s="28">
        <f t="shared" si="53"/>
        <v>103304631</v>
      </c>
      <c r="AQ42" s="28">
        <f t="shared" si="53"/>
        <v>627370921</v>
      </c>
      <c r="AR42" s="28">
        <f t="shared" si="53"/>
        <v>379964211</v>
      </c>
      <c r="AS42" s="28">
        <f t="shared" si="53"/>
        <v>897106952</v>
      </c>
      <c r="AT42" s="28">
        <f t="shared" si="53"/>
        <v>562830280</v>
      </c>
      <c r="AU42" s="28">
        <f t="shared" si="53"/>
        <v>36312079</v>
      </c>
      <c r="AV42" s="28">
        <f t="shared" si="53"/>
        <v>-118101845</v>
      </c>
      <c r="AW42" s="28">
        <f t="shared" si="53"/>
        <v>-3087206716</v>
      </c>
      <c r="AX42" s="28">
        <f t="shared" si="53"/>
        <v>-2762938571</v>
      </c>
      <c r="AY42" s="28">
        <f t="shared" si="53"/>
        <v>-1852788861</v>
      </c>
      <c r="AZ42" s="28">
        <f t="shared" si="53"/>
        <v>-532506637</v>
      </c>
      <c r="BA42" s="28">
        <f t="shared" si="53"/>
        <v>-1593443504</v>
      </c>
      <c r="BB42" s="28">
        <f t="shared" si="53"/>
        <v>-1321984082</v>
      </c>
      <c r="BC42" s="28">
        <f t="shared" si="53"/>
        <v>-974319007</v>
      </c>
      <c r="BD42" s="28">
        <f t="shared" si="53"/>
        <v>-444777251</v>
      </c>
      <c r="BE42" s="28">
        <f t="shared" si="53"/>
        <v>264977018</v>
      </c>
      <c r="BF42" s="28">
        <f t="shared" si="53"/>
        <v>486792977.39999962</v>
      </c>
      <c r="BG42" s="28">
        <f t="shared" si="53"/>
        <v>531690954.05999994</v>
      </c>
      <c r="BH42" s="28">
        <f t="shared" si="53"/>
        <v>288619753.22999978</v>
      </c>
      <c r="BI42" s="28">
        <f t="shared" si="53"/>
        <v>403132635</v>
      </c>
      <c r="BJ42" s="28">
        <f t="shared" si="53"/>
        <v>311331340.37000036</v>
      </c>
      <c r="BK42" s="28">
        <f t="shared" si="53"/>
        <v>190252547.5800001</v>
      </c>
      <c r="BL42" s="28">
        <f t="shared" si="53"/>
        <v>51422757.899999991</v>
      </c>
      <c r="BM42" s="28">
        <f t="shared" si="53"/>
        <v>154107478</v>
      </c>
      <c r="BN42" s="28">
        <f t="shared" si="53"/>
        <v>139206343.29999983</v>
      </c>
      <c r="BO42" s="28">
        <f t="shared" ref="BO42:CK42" si="54">BO38-BO40</f>
        <v>110758358.69999996</v>
      </c>
      <c r="BP42" s="28">
        <f t="shared" si="54"/>
        <v>52381039.249999955</v>
      </c>
      <c r="BQ42" s="28">
        <f t="shared" si="54"/>
        <v>90081250</v>
      </c>
      <c r="BR42" s="28">
        <f t="shared" si="54"/>
        <v>76256673.36999996</v>
      </c>
      <c r="BS42" s="28">
        <f t="shared" si="54"/>
        <v>119922615</v>
      </c>
      <c r="BT42" s="28">
        <f t="shared" si="54"/>
        <v>64753676</v>
      </c>
      <c r="BU42" s="28">
        <f t="shared" si="54"/>
        <v>100655888</v>
      </c>
      <c r="BV42" s="28">
        <f t="shared" si="54"/>
        <v>19808380.650000006</v>
      </c>
      <c r="BW42" s="28">
        <f t="shared" si="54"/>
        <v>60142000</v>
      </c>
      <c r="BX42" s="28">
        <f t="shared" si="54"/>
        <v>34213674.039999999</v>
      </c>
      <c r="BY42" s="28">
        <f t="shared" si="54"/>
        <v>130995000</v>
      </c>
      <c r="BZ42" s="28">
        <f t="shared" si="54"/>
        <v>134323000</v>
      </c>
      <c r="CA42" s="28">
        <f t="shared" si="54"/>
        <v>114435000</v>
      </c>
      <c r="CB42" s="28">
        <f t="shared" si="54"/>
        <v>107761000</v>
      </c>
      <c r="CC42" s="28">
        <f t="shared" si="54"/>
        <v>100586000</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417</v>
      </c>
      <c r="B43" s="57">
        <f>B42/B4*100</f>
        <v>4.3993655993117411</v>
      </c>
      <c r="C43" s="57">
        <f t="shared" ref="C43:D43" si="55">C42/C4*100</f>
        <v>1.6143551736354966</v>
      </c>
      <c r="D43" s="57">
        <f t="shared" si="55"/>
        <v>4.6000443797513499</v>
      </c>
      <c r="E43" s="57">
        <f>E42/E4</f>
        <v>7.503749066000974E-2</v>
      </c>
      <c r="F43" s="57">
        <f t="shared" ref="F43:BQ43" si="56">F42/F4</f>
        <v>9.0775692467464586E-2</v>
      </c>
      <c r="G43" s="57">
        <f t="shared" si="56"/>
        <v>9.6519537763379445E-2</v>
      </c>
      <c r="H43" s="57">
        <f t="shared" si="56"/>
        <v>0.12021973009349989</v>
      </c>
      <c r="I43" s="57">
        <f t="shared" si="56"/>
        <v>1.8397565348503449E-2</v>
      </c>
      <c r="J43" s="57">
        <f t="shared" si="56"/>
        <v>2.9927354415210158E-3</v>
      </c>
      <c r="K43" s="57">
        <f t="shared" si="56"/>
        <v>-2.3209194098186531E-2</v>
      </c>
      <c r="L43" s="57">
        <f t="shared" si="56"/>
        <v>4.2604915199683097E-3</v>
      </c>
      <c r="M43" s="57">
        <f t="shared" si="56"/>
        <v>1.6813848652219441E-2</v>
      </c>
      <c r="N43" s="57">
        <f t="shared" si="56"/>
        <v>5.3232544207839551E-2</v>
      </c>
      <c r="O43" s="57">
        <f t="shared" si="56"/>
        <v>8.81376650147431E-2</v>
      </c>
      <c r="P43" s="57">
        <f t="shared" si="56"/>
        <v>8.9049798715422498E-2</v>
      </c>
      <c r="Q43" s="57">
        <f t="shared" si="56"/>
        <v>7.8311421818018909E-2</v>
      </c>
      <c r="R43" s="57">
        <f t="shared" si="56"/>
        <v>7.9232521572711295E-2</v>
      </c>
      <c r="S43" s="57">
        <f t="shared" si="56"/>
        <v>7.0486024745604794E-2</v>
      </c>
      <c r="T43" s="57">
        <f t="shared" si="56"/>
        <v>8.1390327565150175E-2</v>
      </c>
      <c r="U43" s="57">
        <f t="shared" si="56"/>
        <v>9.5516595977670898E-2</v>
      </c>
      <c r="V43" s="57">
        <f t="shared" si="56"/>
        <v>7.3325142694095624E-2</v>
      </c>
      <c r="W43" s="57">
        <f t="shared" si="56"/>
        <v>7.2276207340586998E-2</v>
      </c>
      <c r="X43" s="57">
        <f t="shared" si="56"/>
        <v>5.0011213912553969E-2</v>
      </c>
      <c r="Y43" s="57">
        <f t="shared" si="56"/>
        <v>1.5064761259911824E-2</v>
      </c>
      <c r="Z43" s="57">
        <f t="shared" si="56"/>
        <v>-5.3319823650671963E-2</v>
      </c>
      <c r="AA43" s="57">
        <f t="shared" si="56"/>
        <v>-0.11063019470546183</v>
      </c>
      <c r="AB43" s="57">
        <f t="shared" si="56"/>
        <v>-0.17540058936823003</v>
      </c>
      <c r="AC43" s="57">
        <f t="shared" si="56"/>
        <v>6.9024206044368569E-2</v>
      </c>
      <c r="AD43" s="57">
        <f t="shared" si="56"/>
        <v>-0.27951197328345767</v>
      </c>
      <c r="AE43" s="57">
        <f t="shared" si="56"/>
        <v>-0.27277649016551897</v>
      </c>
      <c r="AF43" s="57">
        <f t="shared" si="56"/>
        <v>-0.37943447440075356</v>
      </c>
      <c r="AG43" s="57">
        <f t="shared" si="56"/>
        <v>-0.28279168505968644</v>
      </c>
      <c r="AH43" s="57">
        <f t="shared" si="56"/>
        <v>-0.18870683808799629</v>
      </c>
      <c r="AI43" s="57">
        <f t="shared" si="56"/>
        <v>-0.15608344395147247</v>
      </c>
      <c r="AJ43" s="57">
        <f t="shared" si="56"/>
        <v>-0.16875324252938675</v>
      </c>
      <c r="AK43" s="57">
        <f t="shared" si="56"/>
        <v>3.0106569776289904E-2</v>
      </c>
      <c r="AL43" s="57">
        <f t="shared" si="56"/>
        <v>-0.21663511470566271</v>
      </c>
      <c r="AM43" s="57">
        <f t="shared" si="56"/>
        <v>-0.3999488561420107</v>
      </c>
      <c r="AN43" s="57">
        <f t="shared" si="56"/>
        <v>-0.71718351146013382</v>
      </c>
      <c r="AO43" s="57">
        <f t="shared" si="56"/>
        <v>-0.11449425441698027</v>
      </c>
      <c r="AP43" s="57">
        <f t="shared" si="56"/>
        <v>1.4205853820912282E-2</v>
      </c>
      <c r="AQ43" s="57">
        <f t="shared" si="56"/>
        <v>0.11394516930831346</v>
      </c>
      <c r="AR43" s="57">
        <f t="shared" si="56"/>
        <v>0.12938384788398036</v>
      </c>
      <c r="AS43" s="57">
        <f t="shared" si="56"/>
        <v>8.0310734478538551E-2</v>
      </c>
      <c r="AT43" s="57">
        <f t="shared" si="56"/>
        <v>7.1009778571413898E-2</v>
      </c>
      <c r="AU43" s="57">
        <f t="shared" si="56"/>
        <v>7.7437811922083169E-3</v>
      </c>
      <c r="AV43" s="57">
        <f t="shared" si="56"/>
        <v>-5.4858642486249151E-2</v>
      </c>
      <c r="AW43" s="57">
        <f t="shared" si="56"/>
        <v>-0.35156224646591078</v>
      </c>
      <c r="AX43" s="57">
        <f t="shared" si="56"/>
        <v>-0.41485112726253898</v>
      </c>
      <c r="AY43" s="57">
        <f t="shared" si="56"/>
        <v>-0.43178396784729317</v>
      </c>
      <c r="AZ43" s="57">
        <f t="shared" si="56"/>
        <v>-0.22143760411081476</v>
      </c>
      <c r="BA43" s="57">
        <f t="shared" si="56"/>
        <v>-0.1183678498838743</v>
      </c>
      <c r="BB43" s="57">
        <f t="shared" si="56"/>
        <v>-0.15465762684370796</v>
      </c>
      <c r="BC43" s="57">
        <f t="shared" si="56"/>
        <v>-0.22544752833690976</v>
      </c>
      <c r="BD43" s="57">
        <f t="shared" si="56"/>
        <v>-0.21364369737240002</v>
      </c>
      <c r="BE43" s="57">
        <f t="shared" si="56"/>
        <v>2.129747999576154E-2</v>
      </c>
      <c r="BF43" s="57">
        <f t="shared" si="56"/>
        <v>5.2282358777921749E-2</v>
      </c>
      <c r="BG43" s="57">
        <f t="shared" si="56"/>
        <v>8.5285988544656036E-2</v>
      </c>
      <c r="BH43" s="57">
        <f t="shared" si="56"/>
        <v>7.81311134950404E-2</v>
      </c>
      <c r="BI43" s="57">
        <f t="shared" si="56"/>
        <v>3.6058032291730095E-2</v>
      </c>
      <c r="BJ43" s="57">
        <f t="shared" si="56"/>
        <v>4.0694478166313969E-2</v>
      </c>
      <c r="BK43" s="57">
        <f t="shared" si="56"/>
        <v>4.0496934406079529E-2</v>
      </c>
      <c r="BL43" s="57">
        <f t="shared" si="56"/>
        <v>2.2818780735060964E-2</v>
      </c>
      <c r="BM43" s="57">
        <f t="shared" si="56"/>
        <v>3.2222615551612759E-2</v>
      </c>
      <c r="BN43" s="57">
        <f t="shared" si="56"/>
        <v>4.0708541527848634E-2</v>
      </c>
      <c r="BO43" s="57">
        <f t="shared" si="56"/>
        <v>5.5039907865211214E-2</v>
      </c>
      <c r="BP43" s="57">
        <f t="shared" si="56"/>
        <v>5.0396972686189319E-2</v>
      </c>
      <c r="BQ43" s="57">
        <f t="shared" si="56"/>
        <v>3.3744069932853317E-2</v>
      </c>
      <c r="BR43" s="57">
        <f t="shared" ref="BR43:CK43" si="57">BR42/BR4</f>
        <v>5.9749101664757408E-2</v>
      </c>
      <c r="BS43" s="57">
        <f t="shared" si="57"/>
        <v>5.3660913195808659E-2</v>
      </c>
      <c r="BT43" s="57">
        <f t="shared" si="57"/>
        <v>6.5196017679970991E-2</v>
      </c>
      <c r="BU43" s="57">
        <f t="shared" si="57"/>
        <v>0.13567550305449427</v>
      </c>
      <c r="BV43" s="57">
        <f t="shared" si="57"/>
        <v>9.8678224687451799E-2</v>
      </c>
      <c r="BW43" s="57">
        <f t="shared" si="57"/>
        <v>0.25323267241270414</v>
      </c>
      <c r="BX43" s="57">
        <f t="shared" si="57"/>
        <v>0.32337727797365706</v>
      </c>
      <c r="BY43" s="57">
        <f t="shared" si="57"/>
        <v>0.47617230098146129</v>
      </c>
      <c r="BZ43" s="57">
        <f t="shared" si="57"/>
        <v>1.2090061385033573</v>
      </c>
      <c r="CA43" s="57">
        <f t="shared" si="57"/>
        <v>0.59861899406272068</v>
      </c>
      <c r="CB43" s="57">
        <f t="shared" si="57"/>
        <v>0.58623428481277784</v>
      </c>
      <c r="CC43" s="57">
        <f t="shared" si="57"/>
        <v>0.74623123034007954</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419</v>
      </c>
      <c r="B45" s="26">
        <f>B70*B69</f>
        <v>9015158290.7999992</v>
      </c>
      <c r="C45" s="26">
        <f t="shared" ref="C45:BN45" si="58">C70*C69</f>
        <v>8991509446.3199997</v>
      </c>
      <c r="D45" s="26">
        <f t="shared" si="58"/>
        <v>8512195796.2399998</v>
      </c>
      <c r="E45" s="26">
        <f t="shared" si="58"/>
        <v>8342741026.6400003</v>
      </c>
      <c r="F45" s="26">
        <f t="shared" si="58"/>
        <v>8382700405.8400002</v>
      </c>
      <c r="G45" s="26">
        <f t="shared" si="58"/>
        <v>7797608909.3600006</v>
      </c>
      <c r="H45" s="26">
        <f t="shared" si="58"/>
        <v>7719340216.6400003</v>
      </c>
      <c r="I45" s="26">
        <f t="shared" si="58"/>
        <v>7361284412.8000002</v>
      </c>
      <c r="J45" s="26">
        <f t="shared" si="58"/>
        <v>6560487594.2399998</v>
      </c>
      <c r="K45" s="26">
        <f t="shared" si="58"/>
        <v>6514851152</v>
      </c>
      <c r="L45" s="26">
        <f t="shared" si="58"/>
        <v>6512257938.4800005</v>
      </c>
      <c r="M45" s="26">
        <f t="shared" si="58"/>
        <v>6268066385.5200005</v>
      </c>
      <c r="N45" s="26">
        <f t="shared" si="58"/>
        <v>6315585588.4800005</v>
      </c>
      <c r="O45" s="26">
        <f t="shared" si="58"/>
        <v>6312252155.1999998</v>
      </c>
      <c r="P45" s="26">
        <f t="shared" si="58"/>
        <v>6232800470</v>
      </c>
      <c r="Q45" s="26">
        <f t="shared" si="58"/>
        <v>6156752497.5200005</v>
      </c>
      <c r="R45" s="26">
        <f t="shared" si="58"/>
        <v>6125601778.6400003</v>
      </c>
      <c r="S45" s="26">
        <f t="shared" si="58"/>
        <v>6091920817.2799997</v>
      </c>
      <c r="T45" s="26">
        <f t="shared" si="58"/>
        <v>6013164231.04</v>
      </c>
      <c r="U45" s="26">
        <f t="shared" si="58"/>
        <v>3052341072.3200002</v>
      </c>
      <c r="V45" s="26">
        <f t="shared" si="58"/>
        <v>3284114614.3200002</v>
      </c>
      <c r="W45" s="26">
        <f t="shared" si="58"/>
        <v>3233512944.1599998</v>
      </c>
      <c r="X45" s="26">
        <f t="shared" si="58"/>
        <v>2853427040.48</v>
      </c>
      <c r="Y45" s="26">
        <f t="shared" si="58"/>
        <v>2821185156.1599998</v>
      </c>
      <c r="Z45" s="26">
        <f t="shared" si="58"/>
        <v>2730278449.8400002</v>
      </c>
      <c r="AA45" s="26">
        <f t="shared" si="58"/>
        <v>2718452123.9200001</v>
      </c>
      <c r="AB45" s="26">
        <f t="shared" si="58"/>
        <v>2745442510.96</v>
      </c>
      <c r="AC45" s="26">
        <f t="shared" si="58"/>
        <v>2803638712.48</v>
      </c>
      <c r="AD45" s="26">
        <f t="shared" si="58"/>
        <v>2551768374.4000001</v>
      </c>
      <c r="AE45" s="26">
        <f t="shared" si="58"/>
        <v>2634361792.7200003</v>
      </c>
      <c r="AF45" s="26">
        <f t="shared" si="58"/>
        <v>2682897589.3600001</v>
      </c>
      <c r="AG45" s="26">
        <f t="shared" si="58"/>
        <v>2740784660.2400002</v>
      </c>
      <c r="AH45" s="26">
        <f t="shared" si="58"/>
        <v>2110880942.24</v>
      </c>
      <c r="AI45" s="26">
        <f t="shared" si="58"/>
        <v>2152920334.48</v>
      </c>
      <c r="AJ45" s="26">
        <f t="shared" si="58"/>
        <v>1847162939.9200001</v>
      </c>
      <c r="AK45" s="26">
        <f t="shared" si="58"/>
        <v>1754892156.3199999</v>
      </c>
      <c r="AL45" s="26">
        <f t="shared" si="58"/>
        <v>1410813642.4000001</v>
      </c>
      <c r="AM45" s="26">
        <f t="shared" si="58"/>
        <v>1413473262.3199999</v>
      </c>
      <c r="AN45" s="26">
        <f t="shared" si="58"/>
        <v>500148445.44</v>
      </c>
      <c r="AO45" s="26">
        <f t="shared" si="58"/>
        <v>537504129.84000003</v>
      </c>
      <c r="AP45" s="26">
        <f t="shared" si="58"/>
        <v>624240680.80000007</v>
      </c>
      <c r="AQ45" s="26">
        <f t="shared" si="58"/>
        <v>489867434.96000004</v>
      </c>
      <c r="AR45" s="26">
        <f t="shared" si="58"/>
        <v>469757773.68000001</v>
      </c>
      <c r="AS45" s="26">
        <f t="shared" si="58"/>
        <v>441707133.92000002</v>
      </c>
      <c r="AT45" s="26">
        <f t="shared" si="58"/>
        <v>385219867.60000002</v>
      </c>
      <c r="AU45" s="26">
        <f t="shared" si="58"/>
        <v>342936678.07999998</v>
      </c>
      <c r="AV45" s="26">
        <f t="shared" si="58"/>
        <v>331973915.60000002</v>
      </c>
      <c r="AW45" s="26">
        <f t="shared" si="58"/>
        <v>343796123.28000003</v>
      </c>
      <c r="AX45" s="26">
        <f t="shared" si="58"/>
        <v>338697410.80000001</v>
      </c>
      <c r="AY45" s="26">
        <f t="shared" si="58"/>
        <v>146780939.52000001</v>
      </c>
      <c r="AZ45" s="26">
        <f t="shared" si="58"/>
        <v>245511861.59999999</v>
      </c>
      <c r="BA45" s="26">
        <f t="shared" si="58"/>
        <v>288921727.51999998</v>
      </c>
      <c r="BB45" s="26">
        <f t="shared" si="58"/>
        <v>331110466.72000003</v>
      </c>
      <c r="BC45" s="26">
        <f t="shared" si="58"/>
        <v>362263674</v>
      </c>
      <c r="BD45" s="26">
        <f t="shared" si="58"/>
        <v>407062431.28000003</v>
      </c>
      <c r="BE45" s="26">
        <f t="shared" si="58"/>
        <v>438495576.24000001</v>
      </c>
      <c r="BF45" s="26">
        <f t="shared" si="58"/>
        <v>462060002.50559998</v>
      </c>
      <c r="BG45" s="26">
        <f t="shared" si="58"/>
        <v>459906741.15600002</v>
      </c>
      <c r="BH45" s="26">
        <f t="shared" si="58"/>
        <v>443043952.38639998</v>
      </c>
      <c r="BI45" s="26">
        <f t="shared" si="58"/>
        <v>246414467.84</v>
      </c>
      <c r="BJ45" s="26">
        <f t="shared" si="58"/>
        <v>239394313.29040003</v>
      </c>
      <c r="BK45" s="26">
        <f t="shared" si="58"/>
        <v>225712388.09759998</v>
      </c>
      <c r="BL45" s="26">
        <f t="shared" si="58"/>
        <v>206287255.53759998</v>
      </c>
      <c r="BM45" s="26">
        <f t="shared" si="58"/>
        <v>211271241.12</v>
      </c>
      <c r="BN45" s="26">
        <f t="shared" si="58"/>
        <v>210162322.66799998</v>
      </c>
      <c r="BO45" s="26">
        <f t="shared" ref="BO45:CJ45" si="59">BO70*BO69</f>
        <v>203730015.61200002</v>
      </c>
      <c r="BP45" s="26">
        <f t="shared" si="59"/>
        <v>197533905.7184</v>
      </c>
      <c r="BQ45" s="26">
        <f t="shared" si="59"/>
        <v>186862667.75999999</v>
      </c>
      <c r="BR45" s="26">
        <f t="shared" si="59"/>
        <v>192016606.6776</v>
      </c>
      <c r="BS45" s="26">
        <f t="shared" si="59"/>
        <v>178174468.88</v>
      </c>
      <c r="BT45" s="26">
        <f t="shared" si="59"/>
        <v>106700651.2</v>
      </c>
      <c r="BU45" s="26">
        <f t="shared" si="59"/>
        <v>100332971.36</v>
      </c>
      <c r="BV45" s="26">
        <f t="shared" si="59"/>
        <v>90860399.374400005</v>
      </c>
      <c r="BW45" s="26">
        <f t="shared" si="59"/>
        <v>87394560</v>
      </c>
      <c r="BX45" s="26">
        <f t="shared" si="59"/>
        <v>79245383.877599999</v>
      </c>
      <c r="BY45" s="26">
        <f t="shared" si="59"/>
        <v>76640720</v>
      </c>
      <c r="BZ45" s="26">
        <f t="shared" si="59"/>
        <v>79515920</v>
      </c>
      <c r="CA45" s="26">
        <f t="shared" si="59"/>
        <v>45996240</v>
      </c>
      <c r="CB45" s="26">
        <f t="shared" si="59"/>
        <v>37332160</v>
      </c>
      <c r="CC45" s="26">
        <f t="shared" si="59"/>
        <v>33929600</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420</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421</v>
      </c>
      <c r="B47" s="28">
        <f>B42-B45</f>
        <v>-5959164788.7999992</v>
      </c>
      <c r="C47" s="28">
        <f t="shared" ref="C47:BN47" si="62">C42-C45</f>
        <v>-8289686212.3199997</v>
      </c>
      <c r="D47" s="28">
        <f t="shared" si="62"/>
        <v>-7520112825.2399998</v>
      </c>
      <c r="E47" s="28">
        <f t="shared" si="62"/>
        <v>-1304188443.6400003</v>
      </c>
      <c r="F47" s="28">
        <f t="shared" si="62"/>
        <v>-2082108813.8400002</v>
      </c>
      <c r="G47" s="28">
        <f t="shared" si="62"/>
        <v>-3492352225.3600006</v>
      </c>
      <c r="H47" s="28">
        <f t="shared" si="62"/>
        <v>-5091941097.6400003</v>
      </c>
      <c r="I47" s="28">
        <f t="shared" si="62"/>
        <v>-6093772024.8000002</v>
      </c>
      <c r="J47" s="28">
        <f t="shared" si="62"/>
        <v>-6423294898.2399998</v>
      </c>
      <c r="K47" s="28">
        <f t="shared" si="62"/>
        <v>-7128695129</v>
      </c>
      <c r="L47" s="28">
        <f t="shared" si="62"/>
        <v>-6459863526.4800005</v>
      </c>
      <c r="M47" s="28">
        <f t="shared" si="62"/>
        <v>-5450514309.5200005</v>
      </c>
      <c r="N47" s="28">
        <f t="shared" si="62"/>
        <v>-4376832584.4800005</v>
      </c>
      <c r="O47" s="28">
        <f t="shared" si="62"/>
        <v>-4287655239.1999998</v>
      </c>
      <c r="P47" s="28">
        <f t="shared" si="62"/>
        <v>-5201349619</v>
      </c>
      <c r="Q47" s="28">
        <f t="shared" si="62"/>
        <v>-3273614392.5200005</v>
      </c>
      <c r="R47" s="28">
        <f t="shared" si="62"/>
        <v>-4121964275.6400003</v>
      </c>
      <c r="S47" s="28">
        <f t="shared" si="62"/>
        <v>-4956167406.2799997</v>
      </c>
      <c r="T47" s="28">
        <f t="shared" si="62"/>
        <v>-5354579801.04</v>
      </c>
      <c r="U47" s="28">
        <f t="shared" si="62"/>
        <v>173663721.67999983</v>
      </c>
      <c r="V47" s="28">
        <f t="shared" si="62"/>
        <v>-1467574268.3200002</v>
      </c>
      <c r="W47" s="28">
        <f t="shared" si="62"/>
        <v>-2058711903.1599998</v>
      </c>
      <c r="X47" s="28">
        <f t="shared" si="62"/>
        <v>-2450403486.48</v>
      </c>
      <c r="Y47" s="28">
        <f t="shared" si="62"/>
        <v>-2432942405.1599998</v>
      </c>
      <c r="Z47" s="28">
        <f t="shared" si="62"/>
        <v>-3643268884.8400002</v>
      </c>
      <c r="AA47" s="28">
        <f t="shared" si="62"/>
        <v>-3781484611.9200001</v>
      </c>
      <c r="AB47" s="28">
        <f t="shared" si="62"/>
        <v>-3472941235.96</v>
      </c>
      <c r="AC47" s="28">
        <f t="shared" si="62"/>
        <v>-1924172757.48</v>
      </c>
      <c r="AD47" s="28">
        <f t="shared" si="62"/>
        <v>-4931711239.3999996</v>
      </c>
      <c r="AE47" s="28">
        <f t="shared" si="62"/>
        <v>-3981886927.7200003</v>
      </c>
      <c r="AF47" s="28">
        <f t="shared" si="62"/>
        <v>-3430249268.3600001</v>
      </c>
      <c r="AG47" s="28">
        <f t="shared" si="62"/>
        <v>-5010270182.2399998</v>
      </c>
      <c r="AH47" s="28">
        <f t="shared" si="62"/>
        <v>-3281252810.2399998</v>
      </c>
      <c r="AI47" s="28">
        <f t="shared" si="62"/>
        <v>-2806352728.48</v>
      </c>
      <c r="AJ47" s="28">
        <f t="shared" si="62"/>
        <v>-2166720720.9200001</v>
      </c>
      <c r="AK47" s="28">
        <f t="shared" si="62"/>
        <v>-1566750357.3199999</v>
      </c>
      <c r="AL47" s="28">
        <f t="shared" si="62"/>
        <v>-2351987567.4000001</v>
      </c>
      <c r="AM47" s="28">
        <f t="shared" si="62"/>
        <v>-2332601202.3199997</v>
      </c>
      <c r="AN47" s="28">
        <f t="shared" si="62"/>
        <v>-1017162507.4400001</v>
      </c>
      <c r="AO47" s="28">
        <f t="shared" si="62"/>
        <v>-1491701051.8400002</v>
      </c>
      <c r="AP47" s="28">
        <f t="shared" si="62"/>
        <v>-520936049.80000007</v>
      </c>
      <c r="AQ47" s="28">
        <f t="shared" si="62"/>
        <v>137503486.03999996</v>
      </c>
      <c r="AR47" s="28">
        <f t="shared" si="62"/>
        <v>-89793562.680000007</v>
      </c>
      <c r="AS47" s="28">
        <f t="shared" si="62"/>
        <v>455399818.07999998</v>
      </c>
      <c r="AT47" s="28">
        <f t="shared" si="62"/>
        <v>177610412.39999998</v>
      </c>
      <c r="AU47" s="28">
        <f t="shared" si="62"/>
        <v>-306624599.07999998</v>
      </c>
      <c r="AV47" s="28">
        <f t="shared" si="62"/>
        <v>-450075760.60000002</v>
      </c>
      <c r="AW47" s="28">
        <f t="shared" si="62"/>
        <v>-3431002839.2800002</v>
      </c>
      <c r="AX47" s="28">
        <f t="shared" si="62"/>
        <v>-3101635981.8000002</v>
      </c>
      <c r="AY47" s="28">
        <f t="shared" si="62"/>
        <v>-1999569800.52</v>
      </c>
      <c r="AZ47" s="28">
        <f t="shared" si="62"/>
        <v>-778018498.60000002</v>
      </c>
      <c r="BA47" s="28">
        <f t="shared" si="62"/>
        <v>-1882365231.52</v>
      </c>
      <c r="BB47" s="28">
        <f t="shared" si="62"/>
        <v>-1653094548.72</v>
      </c>
      <c r="BC47" s="28">
        <f t="shared" si="62"/>
        <v>-1336582681</v>
      </c>
      <c r="BD47" s="28">
        <f t="shared" si="62"/>
        <v>-851839682.27999997</v>
      </c>
      <c r="BE47" s="28">
        <f t="shared" si="62"/>
        <v>-173518558.24000001</v>
      </c>
      <c r="BF47" s="28">
        <f t="shared" si="62"/>
        <v>24732974.894399643</v>
      </c>
      <c r="BG47" s="28">
        <f t="shared" si="62"/>
        <v>71784212.903999925</v>
      </c>
      <c r="BH47" s="28">
        <f t="shared" si="62"/>
        <v>-154424199.1564002</v>
      </c>
      <c r="BI47" s="28">
        <f t="shared" si="62"/>
        <v>156718167.16</v>
      </c>
      <c r="BJ47" s="28">
        <f t="shared" si="62"/>
        <v>71937027.079600334</v>
      </c>
      <c r="BK47" s="28">
        <f t="shared" si="62"/>
        <v>-35459840.517599881</v>
      </c>
      <c r="BL47" s="28">
        <f t="shared" si="62"/>
        <v>-154864497.6376</v>
      </c>
      <c r="BM47" s="28">
        <f t="shared" si="62"/>
        <v>-57163763.120000005</v>
      </c>
      <c r="BN47" s="28">
        <f t="shared" si="62"/>
        <v>-70955979.36800015</v>
      </c>
      <c r="BO47" s="28">
        <f t="shared" ref="BO47:CJ47" si="63">BO42-BO45</f>
        <v>-92971656.91200006</v>
      </c>
      <c r="BP47" s="28">
        <f t="shared" si="63"/>
        <v>-145152866.46840006</v>
      </c>
      <c r="BQ47" s="28">
        <f t="shared" si="63"/>
        <v>-96781417.75999999</v>
      </c>
      <c r="BR47" s="28">
        <f t="shared" si="63"/>
        <v>-115759933.30760004</v>
      </c>
      <c r="BS47" s="28">
        <f t="shared" si="63"/>
        <v>-58251853.879999995</v>
      </c>
      <c r="BT47" s="28">
        <f t="shared" si="63"/>
        <v>-41946975.200000003</v>
      </c>
      <c r="BU47" s="28">
        <f t="shared" si="63"/>
        <v>322916.6400000006</v>
      </c>
      <c r="BV47" s="28">
        <f t="shared" si="63"/>
        <v>-71052018.724399999</v>
      </c>
      <c r="BW47" s="28">
        <f t="shared" si="63"/>
        <v>-27252560</v>
      </c>
      <c r="BX47" s="28">
        <f t="shared" si="63"/>
        <v>-45031709.8376</v>
      </c>
      <c r="BY47" s="28">
        <f t="shared" si="63"/>
        <v>54354280</v>
      </c>
      <c r="BZ47" s="28">
        <f t="shared" si="63"/>
        <v>54807080</v>
      </c>
      <c r="CA47" s="28">
        <f t="shared" si="63"/>
        <v>68438760</v>
      </c>
      <c r="CB47" s="28">
        <f t="shared" si="63"/>
        <v>70428840</v>
      </c>
      <c r="CC47" s="28">
        <f t="shared" si="63"/>
        <v>66656400</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8">
        <v>20180930</v>
      </c>
      <c r="C51" s="188">
        <v>20180630</v>
      </c>
      <c r="D51" s="188">
        <v>20180331</v>
      </c>
      <c r="E51" s="188">
        <v>20171231</v>
      </c>
      <c r="F51" s="188">
        <v>20170930</v>
      </c>
      <c r="G51" s="188">
        <v>20170630</v>
      </c>
      <c r="H51" s="188">
        <v>20170331</v>
      </c>
      <c r="I51" s="188">
        <v>20161231</v>
      </c>
      <c r="J51" s="188">
        <v>20160930</v>
      </c>
      <c r="K51" s="188">
        <v>20160630</v>
      </c>
      <c r="L51" s="188">
        <v>20160331</v>
      </c>
      <c r="M51" s="188">
        <v>20151231</v>
      </c>
      <c r="N51" s="188">
        <v>20150930</v>
      </c>
      <c r="O51" s="188">
        <v>20150630</v>
      </c>
      <c r="P51" s="188">
        <v>20150331</v>
      </c>
      <c r="Q51" s="188">
        <v>20141231</v>
      </c>
      <c r="R51" s="188">
        <v>20140930</v>
      </c>
      <c r="S51" s="188">
        <v>20140630</v>
      </c>
      <c r="T51" s="188">
        <v>20140331</v>
      </c>
      <c r="U51" s="188">
        <v>20131231</v>
      </c>
      <c r="V51" s="188">
        <v>20130930</v>
      </c>
      <c r="W51" s="188">
        <v>20130630</v>
      </c>
      <c r="X51" s="188">
        <v>20130331</v>
      </c>
      <c r="Y51" s="188">
        <v>20121231</v>
      </c>
      <c r="Z51" s="188">
        <v>20120930</v>
      </c>
      <c r="AA51" s="188">
        <v>20120630</v>
      </c>
      <c r="AB51" s="188">
        <v>20120331</v>
      </c>
      <c r="AC51" s="188">
        <v>20111231</v>
      </c>
      <c r="AD51" s="188">
        <v>20110930</v>
      </c>
      <c r="AE51" s="188">
        <v>20110630</v>
      </c>
      <c r="AF51" s="188">
        <v>20110331</v>
      </c>
      <c r="AG51" s="188">
        <v>20101231</v>
      </c>
      <c r="AH51" s="188">
        <v>20100930</v>
      </c>
      <c r="AI51" s="188">
        <v>20100630</v>
      </c>
      <c r="AJ51" s="188">
        <v>20100331</v>
      </c>
      <c r="AK51" s="188">
        <v>20091231</v>
      </c>
      <c r="AL51" s="188">
        <v>20090930</v>
      </c>
      <c r="AM51" s="188">
        <v>20090630</v>
      </c>
      <c r="AN51" s="188">
        <v>20090331</v>
      </c>
      <c r="AO51" s="188">
        <v>20081231</v>
      </c>
      <c r="AP51" s="188">
        <v>20080930</v>
      </c>
      <c r="AQ51" s="188">
        <v>20080630</v>
      </c>
      <c r="AR51" s="188">
        <v>20080331</v>
      </c>
      <c r="AS51" s="188">
        <v>20071231</v>
      </c>
      <c r="AT51" s="188">
        <v>20070930</v>
      </c>
      <c r="AU51" s="188">
        <v>20070630</v>
      </c>
      <c r="AV51" s="188">
        <v>20070331</v>
      </c>
      <c r="AW51" s="188">
        <v>20061231</v>
      </c>
      <c r="AX51" s="188">
        <v>20060930</v>
      </c>
      <c r="AY51" s="188">
        <v>20060630</v>
      </c>
      <c r="AZ51" s="188">
        <v>20060331</v>
      </c>
      <c r="BA51" s="188">
        <v>20051231</v>
      </c>
      <c r="BB51" s="188">
        <v>20050930</v>
      </c>
      <c r="BC51" s="188">
        <v>20050630</v>
      </c>
      <c r="BD51" s="188">
        <v>20050331</v>
      </c>
      <c r="BE51" s="188">
        <v>20041231</v>
      </c>
      <c r="BF51" s="188">
        <v>20040930</v>
      </c>
      <c r="BG51" s="188">
        <v>20040630</v>
      </c>
      <c r="BH51" s="188">
        <v>20040331</v>
      </c>
      <c r="BI51" s="188">
        <v>20031231</v>
      </c>
      <c r="BJ51" s="188">
        <v>20030930</v>
      </c>
      <c r="BK51" s="188">
        <v>20030630</v>
      </c>
      <c r="BL51" s="188">
        <v>20030331</v>
      </c>
      <c r="BM51" s="188">
        <v>20021231</v>
      </c>
      <c r="BN51" s="188">
        <v>20020930</v>
      </c>
      <c r="BO51" s="188">
        <v>20020630</v>
      </c>
      <c r="BP51" s="188">
        <v>20020331</v>
      </c>
      <c r="BQ51" s="188">
        <v>20011231</v>
      </c>
      <c r="BR51" s="188">
        <v>20010630</v>
      </c>
      <c r="BS51" s="188">
        <v>20001231</v>
      </c>
      <c r="BT51" s="188">
        <v>20000630</v>
      </c>
      <c r="BU51" s="188">
        <v>19991231</v>
      </c>
      <c r="BV51" s="188">
        <v>19990630</v>
      </c>
      <c r="BW51" s="188">
        <v>19981231</v>
      </c>
      <c r="BX51" s="188">
        <v>19980630</v>
      </c>
      <c r="BY51" s="188">
        <v>19971231</v>
      </c>
      <c r="BZ51" s="188">
        <v>19970630</v>
      </c>
      <c r="CA51" s="188">
        <v>19961231</v>
      </c>
      <c r="CB51" s="188">
        <v>19951231</v>
      </c>
      <c r="CC51" s="188">
        <v>19941231</v>
      </c>
      <c r="CD51" s="188">
        <v>19700101</v>
      </c>
      <c r="CE51" s="188">
        <v>19941231</v>
      </c>
      <c r="CF51" s="188">
        <v>19940630</v>
      </c>
      <c r="CG51" s="188">
        <v>19930630</v>
      </c>
      <c r="CH51" s="188">
        <v>19921231</v>
      </c>
      <c r="CI51" s="188">
        <v>19911231</v>
      </c>
      <c r="CJ51" s="188">
        <v>19901231</v>
      </c>
      <c r="CK51" s="188">
        <v>19700101</v>
      </c>
    </row>
    <row r="52" spans="1:89" s="43" customFormat="1" x14ac:dyDescent="0.25">
      <c r="A52" s="130" t="s">
        <v>568</v>
      </c>
      <c r="B52" s="42">
        <v>-25636</v>
      </c>
      <c r="C52" s="42">
        <v>-27718</v>
      </c>
      <c r="D52" s="42">
        <v>-35317</v>
      </c>
      <c r="E52" s="42">
        <v>-665076391</v>
      </c>
      <c r="F52" s="42">
        <v>-34414</v>
      </c>
      <c r="G52" s="42">
        <v>-23309</v>
      </c>
      <c r="H52" s="42">
        <v>-16814</v>
      </c>
      <c r="I52" s="42">
        <v>-533341012</v>
      </c>
      <c r="J52" s="42"/>
      <c r="K52" s="42"/>
      <c r="M52" s="43">
        <v>-725634009</v>
      </c>
      <c r="Q52" s="43">
        <v>-890184658</v>
      </c>
      <c r="U52" s="43">
        <v>-352776862</v>
      </c>
      <c r="Y52" s="43">
        <v>-286076138</v>
      </c>
      <c r="AC52" s="43">
        <v>-344569323</v>
      </c>
      <c r="AG52" s="43">
        <v>-230719396</v>
      </c>
      <c r="AK52" s="43">
        <v>-147677321</v>
      </c>
      <c r="AO52" s="43">
        <v>-53497635</v>
      </c>
    </row>
    <row r="53" spans="1:89" s="43" customFormat="1" x14ac:dyDescent="0.25">
      <c r="A53" s="131" t="s">
        <v>90</v>
      </c>
      <c r="B53" s="42">
        <v>217</v>
      </c>
      <c r="C53" s="42">
        <v>189</v>
      </c>
      <c r="D53" s="42"/>
      <c r="E53" s="42">
        <v>3143654626</v>
      </c>
      <c r="F53" s="42"/>
      <c r="G53" s="42"/>
      <c r="H53" s="42"/>
      <c r="I53" s="42">
        <v>2349432222</v>
      </c>
      <c r="J53" s="42"/>
      <c r="K53" s="42"/>
      <c r="M53" s="43">
        <v>1885066434</v>
      </c>
      <c r="Q53" s="43">
        <v>1676726384</v>
      </c>
      <c r="U53" s="43">
        <v>1585229243</v>
      </c>
      <c r="Y53" s="43">
        <v>1048405621</v>
      </c>
      <c r="AC53" s="43">
        <v>915332455</v>
      </c>
      <c r="AD53" s="42"/>
      <c r="AE53" s="42"/>
      <c r="AF53" s="42"/>
      <c r="AG53" s="42">
        <v>280567867</v>
      </c>
      <c r="AH53" s="42"/>
      <c r="AI53" s="42"/>
      <c r="AJ53" s="42"/>
      <c r="AK53" s="42">
        <v>251171674</v>
      </c>
      <c r="AL53" s="42"/>
      <c r="AM53" s="42"/>
      <c r="AN53" s="42"/>
      <c r="AO53" s="42">
        <v>289949122</v>
      </c>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1" t="s">
        <v>91</v>
      </c>
      <c r="B54" s="42">
        <v>3104</v>
      </c>
      <c r="C54" s="42">
        <v>-1424</v>
      </c>
      <c r="D54" s="42">
        <v>-340</v>
      </c>
      <c r="E54" s="42">
        <v>19922620</v>
      </c>
      <c r="F54" s="42">
        <v>2684</v>
      </c>
      <c r="G54" s="42">
        <v>-377</v>
      </c>
      <c r="H54" s="42">
        <v>1008</v>
      </c>
      <c r="I54" s="42">
        <v>754759625</v>
      </c>
      <c r="J54" s="42"/>
      <c r="K54" s="42"/>
      <c r="M54" s="43">
        <v>815250986</v>
      </c>
      <c r="Q54" s="43">
        <v>-165040224</v>
      </c>
      <c r="U54" s="43">
        <v>-317309778</v>
      </c>
      <c r="Y54" s="43">
        <v>-178032656</v>
      </c>
      <c r="AC54" s="43">
        <v>-148107305</v>
      </c>
      <c r="AG54" s="43">
        <v>-18397080</v>
      </c>
      <c r="AK54" s="43">
        <v>11965419</v>
      </c>
      <c r="AO54" s="43">
        <v>-51535615</v>
      </c>
    </row>
    <row r="55" spans="1:89" s="43" customFormat="1" x14ac:dyDescent="0.25">
      <c r="A55" s="131" t="s">
        <v>92</v>
      </c>
      <c r="B55" s="42">
        <v>463</v>
      </c>
      <c r="C55" s="42">
        <v>603</v>
      </c>
      <c r="D55" s="42">
        <v>653</v>
      </c>
      <c r="E55" s="42">
        <v>113842472</v>
      </c>
      <c r="F55" s="42">
        <v>1204</v>
      </c>
      <c r="G55" s="42">
        <v>868</v>
      </c>
      <c r="H55" s="42">
        <v>644</v>
      </c>
      <c r="I55" s="42">
        <v>54957942</v>
      </c>
      <c r="J55" s="42"/>
      <c r="K55" s="42"/>
      <c r="M55" s="43">
        <v>54754420</v>
      </c>
      <c r="Q55" s="43">
        <v>32453425</v>
      </c>
      <c r="U55" s="43">
        <v>29921456</v>
      </c>
      <c r="Y55" s="43">
        <v>17139458</v>
      </c>
      <c r="AC55" s="43">
        <v>11064910</v>
      </c>
      <c r="AG55" s="43">
        <v>10799614</v>
      </c>
      <c r="AK55" s="43">
        <v>9414962</v>
      </c>
      <c r="AO55" s="43">
        <v>8961441</v>
      </c>
    </row>
    <row r="56" spans="1:89" s="26" customFormat="1" x14ac:dyDescent="0.25">
      <c r="A56" s="132" t="s">
        <v>93</v>
      </c>
      <c r="B56" s="44">
        <f>SUM(B52:B55)</f>
        <v>-21852</v>
      </c>
      <c r="C56" s="44">
        <f t="shared" ref="C56:D56" si="64">SUM(C52:C55)</f>
        <v>-28350</v>
      </c>
      <c r="D56" s="44">
        <f t="shared" si="64"/>
        <v>-35004</v>
      </c>
      <c r="E56" s="44">
        <f>SUM(E52:E55)</f>
        <v>2612343327</v>
      </c>
      <c r="F56" s="44">
        <f t="shared" ref="F56:BQ56" si="65">SUM(F52:F55)</f>
        <v>-30526</v>
      </c>
      <c r="G56" s="44">
        <f t="shared" si="65"/>
        <v>-22818</v>
      </c>
      <c r="H56" s="44">
        <f t="shared" si="65"/>
        <v>-15162</v>
      </c>
      <c r="I56" s="44">
        <f t="shared" si="65"/>
        <v>2625808777</v>
      </c>
      <c r="J56" s="44">
        <f t="shared" si="65"/>
        <v>0</v>
      </c>
      <c r="K56" s="44">
        <f t="shared" si="65"/>
        <v>0</v>
      </c>
      <c r="L56" s="44">
        <f t="shared" si="65"/>
        <v>0</v>
      </c>
      <c r="M56" s="44">
        <f t="shared" si="65"/>
        <v>2029437831</v>
      </c>
      <c r="N56" s="44">
        <f t="shared" si="65"/>
        <v>0</v>
      </c>
      <c r="O56" s="44">
        <f t="shared" si="65"/>
        <v>0</v>
      </c>
      <c r="P56" s="44">
        <f t="shared" si="65"/>
        <v>0</v>
      </c>
      <c r="Q56" s="44">
        <f t="shared" si="65"/>
        <v>653954927</v>
      </c>
      <c r="R56" s="44">
        <f t="shared" si="65"/>
        <v>0</v>
      </c>
      <c r="S56" s="44">
        <f t="shared" si="65"/>
        <v>0</v>
      </c>
      <c r="T56" s="44">
        <f t="shared" si="65"/>
        <v>0</v>
      </c>
      <c r="U56" s="44">
        <f t="shared" si="65"/>
        <v>945064059</v>
      </c>
      <c r="V56" s="44">
        <f t="shared" si="65"/>
        <v>0</v>
      </c>
      <c r="W56" s="44">
        <f t="shared" si="65"/>
        <v>0</v>
      </c>
      <c r="X56" s="44">
        <f t="shared" si="65"/>
        <v>0</v>
      </c>
      <c r="Y56" s="44">
        <f t="shared" si="65"/>
        <v>601436285</v>
      </c>
      <c r="Z56" s="44">
        <f t="shared" si="65"/>
        <v>0</v>
      </c>
      <c r="AA56" s="44">
        <f t="shared" si="65"/>
        <v>0</v>
      </c>
      <c r="AB56" s="44">
        <f t="shared" si="65"/>
        <v>0</v>
      </c>
      <c r="AC56" s="44">
        <f t="shared" si="65"/>
        <v>433720737</v>
      </c>
      <c r="AD56" s="44">
        <f t="shared" si="65"/>
        <v>0</v>
      </c>
      <c r="AE56" s="44">
        <f t="shared" si="65"/>
        <v>0</v>
      </c>
      <c r="AF56" s="44">
        <f t="shared" si="65"/>
        <v>0</v>
      </c>
      <c r="AG56" s="44">
        <f t="shared" si="65"/>
        <v>42251005</v>
      </c>
      <c r="AH56" s="44">
        <f t="shared" si="65"/>
        <v>0</v>
      </c>
      <c r="AI56" s="44">
        <f t="shared" si="65"/>
        <v>0</v>
      </c>
      <c r="AJ56" s="44">
        <f t="shared" si="65"/>
        <v>0</v>
      </c>
      <c r="AK56" s="44">
        <f t="shared" si="65"/>
        <v>124874734</v>
      </c>
      <c r="AL56" s="44">
        <f t="shared" si="65"/>
        <v>0</v>
      </c>
      <c r="AM56" s="44">
        <f t="shared" si="65"/>
        <v>0</v>
      </c>
      <c r="AN56" s="44">
        <f t="shared" si="65"/>
        <v>0</v>
      </c>
      <c r="AO56" s="44">
        <f t="shared" si="65"/>
        <v>193877313</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3" t="s">
        <v>97</v>
      </c>
    </row>
    <row r="59" spans="1:89" x14ac:dyDescent="0.25">
      <c r="A59" s="22" t="s">
        <v>96</v>
      </c>
      <c r="B59" s="188">
        <v>2970218780</v>
      </c>
      <c r="C59" s="188">
        <v>2829093457</v>
      </c>
      <c r="D59" s="188">
        <v>1936821964</v>
      </c>
      <c r="E59" s="188">
        <v>7860411559</v>
      </c>
      <c r="F59" s="188">
        <v>6794028374</v>
      </c>
      <c r="G59" s="188">
        <v>4594562005</v>
      </c>
      <c r="H59" s="188">
        <v>2604866868</v>
      </c>
      <c r="I59" s="188">
        <v>2045170759</v>
      </c>
      <c r="J59" s="188">
        <v>158119196</v>
      </c>
      <c r="K59" s="188">
        <v>-587503568</v>
      </c>
      <c r="L59" s="188">
        <v>102420165</v>
      </c>
      <c r="M59" s="188">
        <v>1638109932</v>
      </c>
      <c r="N59" s="188">
        <v>1988794041</v>
      </c>
      <c r="O59" s="188">
        <v>1953153768</v>
      </c>
      <c r="P59" s="188">
        <v>977243916</v>
      </c>
      <c r="Q59" s="188">
        <v>2715913970</v>
      </c>
      <c r="R59" s="188">
        <v>1993913172</v>
      </c>
      <c r="S59" s="188">
        <v>1162898767</v>
      </c>
      <c r="T59" s="188">
        <v>689686375</v>
      </c>
      <c r="U59" s="188">
        <v>2972129191</v>
      </c>
      <c r="V59" s="188">
        <v>1812545397</v>
      </c>
      <c r="W59" s="188">
        <v>1165280769</v>
      </c>
      <c r="X59" s="188">
        <v>400128827</v>
      </c>
      <c r="Y59" s="188">
        <v>184383068</v>
      </c>
      <c r="Z59" s="188">
        <v>-923113036</v>
      </c>
      <c r="AA59" s="188">
        <v>-1077106680</v>
      </c>
      <c r="AB59" s="188">
        <v>-710533688</v>
      </c>
      <c r="AC59" s="188">
        <v>693677317</v>
      </c>
      <c r="AD59" s="188">
        <v>-2311681216</v>
      </c>
      <c r="AE59" s="188">
        <v>-1326538316</v>
      </c>
      <c r="AF59" s="188">
        <v>-740854006</v>
      </c>
      <c r="AG59" s="188">
        <v>-2268032806</v>
      </c>
      <c r="AH59" s="188">
        <v>-1147678976</v>
      </c>
      <c r="AI59" s="188">
        <v>-617679176</v>
      </c>
      <c r="AJ59" s="188">
        <v>-332005970</v>
      </c>
      <c r="AK59" s="188">
        <v>-65263893</v>
      </c>
      <c r="AL59" s="188">
        <v>-941173925</v>
      </c>
      <c r="AM59" s="188">
        <v>-919127940</v>
      </c>
      <c r="AN59" s="188">
        <v>-517014063</v>
      </c>
      <c r="AO59" s="188">
        <v>-996771096</v>
      </c>
      <c r="AP59" s="188">
        <v>103304631</v>
      </c>
      <c r="AQ59" s="188">
        <v>627370921</v>
      </c>
      <c r="AR59" s="188">
        <v>379964211</v>
      </c>
      <c r="AS59" s="188">
        <v>897106952</v>
      </c>
      <c r="AT59" s="188">
        <v>562830280</v>
      </c>
      <c r="AU59" s="188">
        <v>36312079</v>
      </c>
      <c r="AV59" s="188">
        <v>-118101845</v>
      </c>
      <c r="AW59" s="188">
        <v>-1740617968</v>
      </c>
      <c r="AX59" s="188">
        <v>-1648467131</v>
      </c>
      <c r="AY59" s="188">
        <v>-1304475470</v>
      </c>
      <c r="AZ59" s="188">
        <v>-525993696</v>
      </c>
      <c r="BA59" s="188">
        <v>-1496090749</v>
      </c>
      <c r="BB59" s="188">
        <v>-1310612038</v>
      </c>
      <c r="BC59" s="188">
        <v>-966928629</v>
      </c>
      <c r="BD59" s="188">
        <v>-441015307</v>
      </c>
      <c r="BE59" s="188">
        <v>287757476</v>
      </c>
      <c r="BF59" s="188">
        <v>505511676.56999999</v>
      </c>
      <c r="BG59" s="188">
        <v>544147642.49000001</v>
      </c>
      <c r="BH59" s="188">
        <v>293147285.19999999</v>
      </c>
      <c r="BI59" s="188">
        <v>439261704</v>
      </c>
      <c r="BJ59" s="188">
        <v>315122140.30000001</v>
      </c>
      <c r="BK59" s="188">
        <v>192715030.03</v>
      </c>
      <c r="BL59" s="188">
        <v>52750244.520000003</v>
      </c>
      <c r="BM59" s="188">
        <v>169036322</v>
      </c>
      <c r="BN59" s="188">
        <v>144442529.80000001</v>
      </c>
      <c r="BO59" s="188">
        <v>113852385.08</v>
      </c>
      <c r="BP59" s="188">
        <v>53921109.170000002</v>
      </c>
      <c r="BQ59" s="188">
        <v>104043937</v>
      </c>
      <c r="BR59" s="188">
        <v>76850102.709999993</v>
      </c>
      <c r="BS59" s="188">
        <v>123007430</v>
      </c>
      <c r="BT59" s="188">
        <v>65304257</v>
      </c>
      <c r="BU59" s="188">
        <v>96289841</v>
      </c>
      <c r="BV59" s="188">
        <v>19808380.649999999</v>
      </c>
      <c r="BW59" s="188">
        <v>67021000</v>
      </c>
      <c r="BX59" s="188">
        <v>34213674.039999999</v>
      </c>
      <c r="BY59" s="188">
        <v>130995000</v>
      </c>
      <c r="BZ59" s="188">
        <v>72491000</v>
      </c>
      <c r="CA59" s="188">
        <v>114435000</v>
      </c>
      <c r="CB59" s="188">
        <v>107761000</v>
      </c>
      <c r="CC59" s="188">
        <v>100586000</v>
      </c>
      <c r="CD59" s="188">
        <v>0</v>
      </c>
      <c r="CE59" s="188">
        <v>162135000</v>
      </c>
      <c r="CF59" s="188">
        <v>90056788.769999996</v>
      </c>
      <c r="CG59" s="188">
        <v>54430000</v>
      </c>
      <c r="CH59" s="188">
        <v>80440000</v>
      </c>
      <c r="CI59" s="188">
        <v>58950000</v>
      </c>
      <c r="CJ59" s="188">
        <v>67670000</v>
      </c>
      <c r="CK59" s="188">
        <v>0</v>
      </c>
    </row>
    <row r="60" spans="1:89" x14ac:dyDescent="0.25">
      <c r="A60" s="22" t="s">
        <v>95</v>
      </c>
      <c r="B60" s="188">
        <v>939270136</v>
      </c>
      <c r="C60" s="188">
        <v>659568560</v>
      </c>
      <c r="D60" s="188">
        <v>452265009</v>
      </c>
      <c r="E60" s="188">
        <v>1880659980</v>
      </c>
      <c r="F60" s="188">
        <v>1353027097</v>
      </c>
      <c r="G60" s="188">
        <v>940261615</v>
      </c>
      <c r="H60" s="188">
        <v>474494165</v>
      </c>
      <c r="I60" s="188">
        <v>467228316</v>
      </c>
      <c r="J60" s="188">
        <v>120127244</v>
      </c>
      <c r="K60" s="188">
        <v>56258311</v>
      </c>
      <c r="L60" s="188">
        <v>13575834</v>
      </c>
      <c r="M60" s="188">
        <v>375133185</v>
      </c>
      <c r="N60" s="188">
        <v>495093867</v>
      </c>
      <c r="O60" s="188">
        <v>411060664</v>
      </c>
      <c r="P60" s="188">
        <v>230942461</v>
      </c>
      <c r="Q60" s="188">
        <v>459993195</v>
      </c>
      <c r="R60" s="188">
        <v>284689438</v>
      </c>
      <c r="S60" s="188">
        <v>156020200</v>
      </c>
      <c r="T60" s="188">
        <v>64483087</v>
      </c>
      <c r="U60" s="188">
        <v>50284234</v>
      </c>
      <c r="V60" s="188">
        <v>73721600</v>
      </c>
      <c r="W60" s="188">
        <v>23290836</v>
      </c>
      <c r="X60" s="188">
        <v>4560539</v>
      </c>
      <c r="Y60" s="188">
        <v>1668895</v>
      </c>
      <c r="Z60" s="188">
        <v>7276636</v>
      </c>
      <c r="AA60" s="188">
        <v>8253509</v>
      </c>
      <c r="AB60" s="188">
        <v>1921950</v>
      </c>
      <c r="AC60" s="188">
        <v>152409979</v>
      </c>
      <c r="AD60" s="188">
        <v>-1727651</v>
      </c>
      <c r="AE60" s="188">
        <v>-2709700</v>
      </c>
      <c r="AF60" s="188">
        <v>-818944</v>
      </c>
      <c r="AG60" s="188">
        <v>26672583</v>
      </c>
      <c r="AH60" s="188">
        <v>16291254</v>
      </c>
      <c r="AI60" s="188">
        <v>14984656</v>
      </c>
      <c r="AJ60" s="188">
        <v>-1674191</v>
      </c>
      <c r="AK60" s="188">
        <v>-16683383</v>
      </c>
      <c r="AL60" s="188">
        <v>9489343</v>
      </c>
      <c r="AM60" s="188">
        <v>6804077</v>
      </c>
      <c r="AN60" s="188">
        <v>2078492</v>
      </c>
      <c r="AO60" s="188">
        <v>67419800</v>
      </c>
      <c r="AP60" s="188">
        <v>61121438</v>
      </c>
      <c r="AQ60" s="188">
        <v>56722560</v>
      </c>
      <c r="AR60" s="188">
        <v>33185936</v>
      </c>
      <c r="AS60" s="188">
        <v>-56307888</v>
      </c>
      <c r="AT60" s="188">
        <v>11846579</v>
      </c>
      <c r="AU60" s="188">
        <v>10156274</v>
      </c>
      <c r="AV60" s="188">
        <v>3211019</v>
      </c>
      <c r="AW60" s="188">
        <v>13333832</v>
      </c>
      <c r="AX60" s="188">
        <v>5411942</v>
      </c>
      <c r="AY60" s="188">
        <v>3648838</v>
      </c>
      <c r="AZ60" s="188">
        <v>1228820</v>
      </c>
      <c r="BA60" s="188">
        <v>41728994</v>
      </c>
      <c r="BB60" s="188">
        <v>33363171</v>
      </c>
      <c r="BC60" s="188">
        <v>22140108</v>
      </c>
      <c r="BD60" s="188">
        <v>3098062</v>
      </c>
      <c r="BE60" s="188">
        <v>13112557</v>
      </c>
      <c r="BF60" s="188">
        <v>29983279.280000001</v>
      </c>
      <c r="BG60" s="188">
        <v>31132860.5</v>
      </c>
      <c r="BH60" s="188">
        <v>13392541.58</v>
      </c>
      <c r="BI60" s="188">
        <v>18888134</v>
      </c>
      <c r="BJ60" s="188">
        <v>20002809.030000001</v>
      </c>
      <c r="BK60" s="188">
        <v>11295612.949999999</v>
      </c>
      <c r="BL60" s="188">
        <v>10715982.58</v>
      </c>
      <c r="BM60" s="188">
        <v>47185728</v>
      </c>
      <c r="BN60" s="188">
        <v>40641666.68</v>
      </c>
      <c r="BO60" s="188">
        <v>27712934.18</v>
      </c>
      <c r="BP60" s="188">
        <v>14842215.08</v>
      </c>
      <c r="BQ60" s="188">
        <v>20476088</v>
      </c>
      <c r="BR60" s="188">
        <v>7415723.3399999999</v>
      </c>
      <c r="BS60" s="188">
        <v>16642758</v>
      </c>
      <c r="BT60" s="188">
        <v>9295870</v>
      </c>
      <c r="BU60" s="188">
        <v>9628005</v>
      </c>
      <c r="BV60" s="188">
        <v>4874531.3499999996</v>
      </c>
      <c r="BW60" s="188">
        <v>5507000</v>
      </c>
      <c r="BX60" s="188">
        <v>3771561.04</v>
      </c>
      <c r="BY60" s="188">
        <v>14054000</v>
      </c>
      <c r="BZ60" s="188">
        <v>7845000</v>
      </c>
      <c r="CA60" s="188">
        <v>2933000</v>
      </c>
      <c r="CB60" s="188">
        <v>800000</v>
      </c>
      <c r="CC60" s="188">
        <v>465000</v>
      </c>
      <c r="CD60" s="188">
        <v>0</v>
      </c>
      <c r="CE60" s="188">
        <v>27810000</v>
      </c>
      <c r="CF60" s="188">
        <v>16447145.279999999</v>
      </c>
      <c r="CG60" s="188">
        <v>4330000</v>
      </c>
      <c r="CH60" s="188">
        <v>4220000</v>
      </c>
      <c r="CI60" s="188">
        <v>12510000</v>
      </c>
      <c r="CJ60" s="188">
        <v>3630000</v>
      </c>
      <c r="CK60" s="188">
        <v>0</v>
      </c>
    </row>
    <row r="61" spans="1:89" x14ac:dyDescent="0.25">
      <c r="A61" s="22" t="s">
        <v>94</v>
      </c>
      <c r="B61" s="188">
        <v>3909488916</v>
      </c>
      <c r="C61" s="188">
        <v>3488662017</v>
      </c>
      <c r="D61" s="188">
        <v>2389086973</v>
      </c>
      <c r="E61" s="188">
        <v>9741071539</v>
      </c>
      <c r="F61" s="188">
        <v>8147055471</v>
      </c>
      <c r="G61" s="188">
        <v>5534823620</v>
      </c>
      <c r="H61" s="188">
        <v>3079361033</v>
      </c>
      <c r="I61" s="188">
        <v>2512399075</v>
      </c>
      <c r="J61" s="188">
        <v>278246440</v>
      </c>
      <c r="K61" s="188">
        <v>-531245257</v>
      </c>
      <c r="L61" s="188">
        <v>115995999</v>
      </c>
      <c r="M61" s="188">
        <v>2013243117</v>
      </c>
      <c r="N61" s="188">
        <v>2483887908</v>
      </c>
      <c r="O61" s="188">
        <v>2364214432</v>
      </c>
      <c r="P61" s="188">
        <v>1208186377</v>
      </c>
      <c r="Q61" s="188">
        <v>3175907165</v>
      </c>
      <c r="R61" s="188">
        <v>2278602610</v>
      </c>
      <c r="S61" s="188">
        <v>1318918967</v>
      </c>
      <c r="T61" s="188">
        <v>754169462</v>
      </c>
      <c r="U61" s="188">
        <v>3022413425</v>
      </c>
      <c r="V61" s="188">
        <v>1886266997</v>
      </c>
      <c r="W61" s="188">
        <v>1188571605</v>
      </c>
      <c r="X61" s="188">
        <v>404689366</v>
      </c>
      <c r="Y61" s="188">
        <v>186051963</v>
      </c>
      <c r="Z61" s="188">
        <v>-915836400</v>
      </c>
      <c r="AA61" s="188">
        <v>-1068853171</v>
      </c>
      <c r="AB61" s="188">
        <v>-708611738</v>
      </c>
      <c r="AC61" s="188">
        <v>846087296</v>
      </c>
      <c r="AD61" s="188">
        <v>-2313408867</v>
      </c>
      <c r="AE61" s="188">
        <v>-1329248016</v>
      </c>
      <c r="AF61" s="188">
        <v>-741672950</v>
      </c>
      <c r="AG61" s="188">
        <v>-2241360223</v>
      </c>
      <c r="AH61" s="188">
        <v>-1131387722</v>
      </c>
      <c r="AI61" s="188">
        <v>-602694520</v>
      </c>
      <c r="AJ61" s="188">
        <v>-333680161</v>
      </c>
      <c r="AK61" s="188">
        <v>-81947276</v>
      </c>
      <c r="AL61" s="188">
        <v>-931684582</v>
      </c>
      <c r="AM61" s="188">
        <v>-912323863</v>
      </c>
      <c r="AN61" s="188">
        <v>-514935571</v>
      </c>
      <c r="AO61" s="188">
        <v>-929351296</v>
      </c>
      <c r="AP61" s="188">
        <v>164426069</v>
      </c>
      <c r="AQ61" s="188">
        <v>684093481</v>
      </c>
      <c r="AR61" s="188">
        <v>413150147</v>
      </c>
      <c r="AS61" s="188">
        <v>840799064</v>
      </c>
      <c r="AT61" s="188">
        <v>574676859</v>
      </c>
      <c r="AU61" s="188">
        <v>46468353</v>
      </c>
      <c r="AV61" s="188">
        <v>-114890826</v>
      </c>
      <c r="AW61" s="188">
        <v>-2948023370</v>
      </c>
      <c r="AX61" s="188">
        <v>-2679605385</v>
      </c>
      <c r="AY61" s="188">
        <v>-1790899706</v>
      </c>
      <c r="AZ61" s="188">
        <v>-524764876</v>
      </c>
      <c r="BA61" s="188">
        <v>-1454361755</v>
      </c>
      <c r="BB61" s="188">
        <v>-1277248867</v>
      </c>
      <c r="BC61" s="188">
        <v>-944788521</v>
      </c>
      <c r="BD61" s="188">
        <v>-437917245</v>
      </c>
      <c r="BE61" s="188">
        <v>300870033</v>
      </c>
      <c r="BF61" s="188">
        <v>535494955.85000002</v>
      </c>
      <c r="BG61" s="188">
        <v>575280502.99000001</v>
      </c>
      <c r="BH61" s="188">
        <v>306539826.77999997</v>
      </c>
      <c r="BI61" s="188">
        <v>458149838</v>
      </c>
      <c r="BJ61" s="188">
        <v>335124949.32999998</v>
      </c>
      <c r="BK61" s="188">
        <v>204010642.97999999</v>
      </c>
      <c r="BL61" s="188">
        <v>63466227.100000001</v>
      </c>
      <c r="BM61" s="188">
        <v>216222050</v>
      </c>
      <c r="BN61" s="188">
        <v>185084196.47999999</v>
      </c>
      <c r="BO61" s="188">
        <v>141565319.25999999</v>
      </c>
      <c r="BP61" s="188">
        <v>68763324.25</v>
      </c>
      <c r="BQ61" s="188">
        <v>124520025</v>
      </c>
      <c r="BR61" s="188">
        <v>84265826.049999997</v>
      </c>
      <c r="BS61" s="188">
        <v>139650188</v>
      </c>
      <c r="BT61" s="188">
        <v>74600127</v>
      </c>
      <c r="BU61" s="188">
        <v>105917846</v>
      </c>
      <c r="BV61" s="188">
        <v>24682912</v>
      </c>
      <c r="BW61" s="188">
        <v>72528000</v>
      </c>
      <c r="BX61" s="188">
        <v>37985235.079999998</v>
      </c>
      <c r="BY61" s="188">
        <v>145049000</v>
      </c>
      <c r="BZ61" s="188">
        <v>80336000</v>
      </c>
      <c r="CA61" s="188">
        <v>117368000</v>
      </c>
      <c r="CB61" s="188">
        <v>108561000</v>
      </c>
      <c r="CC61" s="188">
        <v>101051000</v>
      </c>
      <c r="CD61" s="188">
        <v>0</v>
      </c>
      <c r="CE61" s="188">
        <v>189945000</v>
      </c>
      <c r="CF61" s="188">
        <v>106503934.05</v>
      </c>
      <c r="CG61" s="188">
        <v>58750000</v>
      </c>
      <c r="CH61" s="188">
        <v>84660000</v>
      </c>
      <c r="CI61" s="188">
        <v>71460000</v>
      </c>
      <c r="CJ61" s="188">
        <v>71300000</v>
      </c>
      <c r="CK61" s="188">
        <v>0</v>
      </c>
    </row>
    <row r="62" spans="1:89" x14ac:dyDescent="0.25">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x14ac:dyDescent="0.25">
      <c r="A65" s="22" t="s">
        <v>98</v>
      </c>
      <c r="B65" s="188">
        <v>258565775</v>
      </c>
      <c r="C65" s="188">
        <v>166924013</v>
      </c>
      <c r="D65" s="188">
        <v>83598808</v>
      </c>
      <c r="E65" s="188">
        <v>115602683</v>
      </c>
      <c r="F65" s="188">
        <v>61147940</v>
      </c>
      <c r="G65" s="188">
        <v>19162151</v>
      </c>
      <c r="H65" s="188">
        <v>5451144</v>
      </c>
      <c r="I65" s="188">
        <v>151006609</v>
      </c>
      <c r="J65" s="188">
        <v>110942976</v>
      </c>
      <c r="K65" s="188">
        <v>64994322</v>
      </c>
      <c r="L65" s="188">
        <v>27303004</v>
      </c>
      <c r="M65" s="188">
        <v>187191686</v>
      </c>
      <c r="N65" s="188">
        <v>133698468</v>
      </c>
      <c r="O65" s="188">
        <v>64659150</v>
      </c>
      <c r="P65" s="188">
        <v>31384877</v>
      </c>
      <c r="Q65" s="188">
        <v>13447378</v>
      </c>
      <c r="R65" s="188">
        <v>13643650</v>
      </c>
      <c r="S65" s="188">
        <v>6924389</v>
      </c>
      <c r="T65" s="188">
        <v>1374620</v>
      </c>
      <c r="U65" s="188">
        <v>7600526</v>
      </c>
      <c r="V65" s="188">
        <v>2026080</v>
      </c>
      <c r="W65" s="188">
        <v>1624989</v>
      </c>
      <c r="X65" s="188">
        <v>565295</v>
      </c>
      <c r="Y65" s="188">
        <v>-5475255</v>
      </c>
      <c r="Z65" s="188">
        <v>-9324246</v>
      </c>
      <c r="AA65" s="188">
        <v>-3752769</v>
      </c>
      <c r="AB65" s="188">
        <v>-1354925</v>
      </c>
      <c r="AC65" s="188">
        <v>4604475126</v>
      </c>
      <c r="AD65" s="188">
        <v>-352581</v>
      </c>
      <c r="AE65" s="188">
        <v>597349</v>
      </c>
      <c r="AF65" s="188">
        <v>-1283192</v>
      </c>
      <c r="AG65" s="188">
        <v>-3317014</v>
      </c>
      <c r="AH65" s="188">
        <v>4169923</v>
      </c>
      <c r="AI65" s="188">
        <v>5510513</v>
      </c>
      <c r="AJ65" s="188">
        <v>-1957005</v>
      </c>
      <c r="AK65" s="188">
        <v>-115557757</v>
      </c>
      <c r="AL65" s="188">
        <v>-137049817</v>
      </c>
      <c r="AM65" s="188">
        <v>-123767365</v>
      </c>
      <c r="AN65" s="188">
        <v>-14285911</v>
      </c>
      <c r="AO65" s="188">
        <v>-206027654</v>
      </c>
      <c r="AP65" s="188">
        <v>28784091</v>
      </c>
      <c r="AQ65" s="188">
        <v>50906440</v>
      </c>
      <c r="AR65" s="188">
        <v>43814249</v>
      </c>
      <c r="AS65" s="188">
        <v>-128315862</v>
      </c>
      <c r="AT65" s="188">
        <v>262733357</v>
      </c>
      <c r="AU65" s="188">
        <v>221606916</v>
      </c>
      <c r="AV65" s="188">
        <v>217868111</v>
      </c>
      <c r="AW65" s="188">
        <v>157168368</v>
      </c>
      <c r="AX65" s="188">
        <v>138057057</v>
      </c>
      <c r="AY65" s="188">
        <v>87479921</v>
      </c>
      <c r="AZ65" s="188">
        <v>38948566</v>
      </c>
      <c r="BA65" s="188">
        <v>113301589</v>
      </c>
      <c r="BB65" s="188">
        <v>89939587</v>
      </c>
      <c r="BC65" s="188">
        <v>66406176</v>
      </c>
      <c r="BD65" s="188">
        <v>32739923</v>
      </c>
      <c r="BE65" s="188">
        <v>286112046</v>
      </c>
      <c r="BF65" s="188">
        <v>206559792.81999999</v>
      </c>
      <c r="BG65" s="188">
        <v>165179911.53</v>
      </c>
      <c r="BH65" s="188">
        <v>78125625.650000006</v>
      </c>
      <c r="BI65" s="188">
        <v>53204161</v>
      </c>
      <c r="BJ65" s="188">
        <v>4681908.37</v>
      </c>
      <c r="BK65" s="188">
        <v>6034700.5800000001</v>
      </c>
      <c r="BL65" s="188">
        <v>15558077.91</v>
      </c>
      <c r="BM65" s="188">
        <v>65379188</v>
      </c>
      <c r="BN65" s="188">
        <v>39136404.890000001</v>
      </c>
      <c r="BO65" s="188">
        <v>17808258.879999999</v>
      </c>
      <c r="BP65" s="188">
        <v>2808093.15</v>
      </c>
      <c r="BQ65" s="188">
        <v>-15965737</v>
      </c>
      <c r="BR65" s="188">
        <v>10466286.75</v>
      </c>
      <c r="BS65" s="188">
        <v>58008092</v>
      </c>
      <c r="BT65" s="188">
        <v>31267187</v>
      </c>
      <c r="BU65" s="188">
        <v>52262841</v>
      </c>
      <c r="BV65" s="188">
        <v>15953986.210000001</v>
      </c>
      <c r="BW65" s="188">
        <v>40708000</v>
      </c>
      <c r="BX65" s="188">
        <v>19592366.059999999</v>
      </c>
      <c r="BY65" s="188">
        <v>61388000</v>
      </c>
      <c r="BZ65" s="188">
        <v>31066000</v>
      </c>
      <c r="CA65" s="188">
        <v>106110000</v>
      </c>
      <c r="CB65" s="188">
        <v>106170000</v>
      </c>
      <c r="CC65" s="188">
        <v>100099000</v>
      </c>
      <c r="CD65" s="188">
        <v>0</v>
      </c>
      <c r="CE65" s="188">
        <v>7729000</v>
      </c>
      <c r="CF65" s="188">
        <v>2092581.44</v>
      </c>
      <c r="CG65" s="188">
        <v>0</v>
      </c>
      <c r="CH65" s="188">
        <v>0</v>
      </c>
      <c r="CI65" s="188">
        <v>0</v>
      </c>
      <c r="CJ65" s="188">
        <v>0</v>
      </c>
      <c r="CK65" s="188">
        <v>0</v>
      </c>
    </row>
    <row r="66" spans="1:89" x14ac:dyDescent="0.25">
      <c r="A66" s="22" t="s">
        <v>99</v>
      </c>
      <c r="B66" s="188">
        <v>-31991268</v>
      </c>
      <c r="C66" s="188">
        <v>-29578579</v>
      </c>
      <c r="D66" s="188">
        <v>1295650</v>
      </c>
      <c r="E66" s="188">
        <v>169034</v>
      </c>
      <c r="F66" s="188">
        <v>-9369632</v>
      </c>
      <c r="G66" s="188">
        <v>-13690554</v>
      </c>
      <c r="H66" s="188">
        <v>1524106</v>
      </c>
      <c r="I66" s="188">
        <v>-15121347</v>
      </c>
      <c r="J66" s="188">
        <v>-9868958</v>
      </c>
      <c r="K66" s="188">
        <v>-11180961</v>
      </c>
      <c r="L66" s="188">
        <v>-10380596</v>
      </c>
      <c r="M66" s="188">
        <v>4748739</v>
      </c>
      <c r="N66" s="188">
        <v>13474267</v>
      </c>
      <c r="O66" s="188">
        <v>10557037</v>
      </c>
      <c r="P66" s="188">
        <v>2935706</v>
      </c>
      <c r="Q66" s="188">
        <v>3569978</v>
      </c>
      <c r="R66" s="188">
        <v>5849368</v>
      </c>
      <c r="S66" s="188">
        <v>4390960</v>
      </c>
      <c r="T66" s="188">
        <v>1374620</v>
      </c>
      <c r="U66" s="188">
        <v>87148</v>
      </c>
      <c r="V66" s="188">
        <v>-144028</v>
      </c>
      <c r="W66" s="188">
        <v>-545119</v>
      </c>
      <c r="X66" s="188">
        <v>565295</v>
      </c>
      <c r="Y66" s="188">
        <v>-5958382</v>
      </c>
      <c r="Z66" s="188">
        <v>-10993560</v>
      </c>
      <c r="AA66" s="188">
        <v>-5766868</v>
      </c>
      <c r="AB66" s="188">
        <v>0</v>
      </c>
      <c r="AC66" s="188">
        <v>-5205134</v>
      </c>
      <c r="AD66" s="188">
        <v>-3782614</v>
      </c>
      <c r="AE66" s="188">
        <v>0</v>
      </c>
      <c r="AF66" s="188">
        <v>0</v>
      </c>
      <c r="AG66" s="188">
        <v>-6676583</v>
      </c>
      <c r="AH66" s="188">
        <v>2011566</v>
      </c>
      <c r="AI66" s="188">
        <v>3414968</v>
      </c>
      <c r="AJ66" s="188">
        <v>0</v>
      </c>
      <c r="AK66" s="188">
        <v>-204544825</v>
      </c>
      <c r="AL66" s="188">
        <v>0</v>
      </c>
      <c r="AM66" s="188">
        <v>-124597880</v>
      </c>
      <c r="AN66" s="188">
        <v>-14285911</v>
      </c>
      <c r="AO66" s="188">
        <v>-281318326</v>
      </c>
      <c r="AP66" s="188">
        <v>0</v>
      </c>
      <c r="AQ66" s="188">
        <v>0</v>
      </c>
      <c r="AR66" s="188">
        <v>0</v>
      </c>
      <c r="AS66" s="188">
        <v>-83656078</v>
      </c>
      <c r="AT66" s="188">
        <v>62470022</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x14ac:dyDescent="0.25">
      <c r="A67" s="22" t="s">
        <v>100</v>
      </c>
      <c r="B67" s="4">
        <f>B65-B66</f>
        <v>290557043</v>
      </c>
      <c r="C67" s="4">
        <f t="shared" ref="C67:BN67" si="67">C65-C66</f>
        <v>196502592</v>
      </c>
      <c r="D67" s="4">
        <f t="shared" si="67"/>
        <v>82303158</v>
      </c>
      <c r="E67" s="4">
        <f t="shared" si="67"/>
        <v>115433649</v>
      </c>
      <c r="F67" s="4">
        <f t="shared" si="67"/>
        <v>70517572</v>
      </c>
      <c r="G67" s="4">
        <f t="shared" si="67"/>
        <v>32852705</v>
      </c>
      <c r="H67" s="4">
        <f t="shared" si="67"/>
        <v>3927038</v>
      </c>
      <c r="I67" s="4">
        <f t="shared" si="67"/>
        <v>166127956</v>
      </c>
      <c r="J67" s="4">
        <f t="shared" si="67"/>
        <v>120811934</v>
      </c>
      <c r="K67" s="4">
        <f t="shared" si="67"/>
        <v>76175283</v>
      </c>
      <c r="L67" s="4">
        <f t="shared" si="67"/>
        <v>37683600</v>
      </c>
      <c r="M67" s="4">
        <f t="shared" si="67"/>
        <v>182442947</v>
      </c>
      <c r="N67" s="4">
        <f t="shared" si="67"/>
        <v>120224201</v>
      </c>
      <c r="O67" s="4">
        <f t="shared" si="67"/>
        <v>54102113</v>
      </c>
      <c r="P67" s="4">
        <f t="shared" si="67"/>
        <v>28449171</v>
      </c>
      <c r="Q67" s="4">
        <f t="shared" si="67"/>
        <v>9877400</v>
      </c>
      <c r="R67" s="4">
        <f t="shared" si="67"/>
        <v>7794282</v>
      </c>
      <c r="S67" s="4">
        <f t="shared" si="67"/>
        <v>2533429</v>
      </c>
      <c r="T67" s="4">
        <f t="shared" si="67"/>
        <v>0</v>
      </c>
      <c r="U67" s="4">
        <f t="shared" si="67"/>
        <v>7513378</v>
      </c>
      <c r="V67" s="4">
        <f t="shared" si="67"/>
        <v>2170108</v>
      </c>
      <c r="W67" s="4">
        <f t="shared" si="67"/>
        <v>2170108</v>
      </c>
      <c r="X67" s="4">
        <f t="shared" si="67"/>
        <v>0</v>
      </c>
      <c r="Y67" s="4">
        <f t="shared" si="67"/>
        <v>483127</v>
      </c>
      <c r="Z67" s="4">
        <f t="shared" si="67"/>
        <v>1669314</v>
      </c>
      <c r="AA67" s="4">
        <f t="shared" si="67"/>
        <v>2014099</v>
      </c>
      <c r="AB67" s="4">
        <f t="shared" si="67"/>
        <v>-1354925</v>
      </c>
      <c r="AC67" s="4">
        <f t="shared" si="67"/>
        <v>4609680260</v>
      </c>
      <c r="AD67" s="4">
        <f t="shared" si="67"/>
        <v>3430033</v>
      </c>
      <c r="AE67" s="4">
        <f t="shared" si="67"/>
        <v>597349</v>
      </c>
      <c r="AF67" s="4">
        <f t="shared" si="67"/>
        <v>-1283192</v>
      </c>
      <c r="AG67" s="4">
        <f t="shared" si="67"/>
        <v>3359569</v>
      </c>
      <c r="AH67" s="4">
        <f t="shared" si="67"/>
        <v>2158357</v>
      </c>
      <c r="AI67" s="4">
        <f t="shared" si="67"/>
        <v>2095545</v>
      </c>
      <c r="AJ67" s="4">
        <f t="shared" si="67"/>
        <v>-1957005</v>
      </c>
      <c r="AK67" s="4">
        <f t="shared" si="67"/>
        <v>88987068</v>
      </c>
      <c r="AL67" s="4">
        <f t="shared" si="67"/>
        <v>-137049817</v>
      </c>
      <c r="AM67" s="4">
        <f t="shared" si="67"/>
        <v>830515</v>
      </c>
      <c r="AN67" s="4">
        <f t="shared" si="67"/>
        <v>0</v>
      </c>
      <c r="AO67" s="4">
        <f t="shared" si="67"/>
        <v>75290672</v>
      </c>
      <c r="AP67" s="4">
        <f t="shared" si="67"/>
        <v>28784091</v>
      </c>
      <c r="AQ67" s="4">
        <f t="shared" si="67"/>
        <v>50906440</v>
      </c>
      <c r="AR67" s="4">
        <f t="shared" si="67"/>
        <v>43814249</v>
      </c>
      <c r="AS67" s="4">
        <f t="shared" si="67"/>
        <v>-44659784</v>
      </c>
      <c r="AT67" s="4">
        <f t="shared" si="67"/>
        <v>200263335</v>
      </c>
      <c r="AU67" s="4">
        <f t="shared" si="67"/>
        <v>221606916</v>
      </c>
      <c r="AV67" s="4">
        <f t="shared" si="67"/>
        <v>217868111</v>
      </c>
      <c r="AW67" s="4">
        <f t="shared" si="67"/>
        <v>157168368</v>
      </c>
      <c r="AX67" s="4">
        <f t="shared" si="67"/>
        <v>138057057</v>
      </c>
      <c r="AY67" s="4">
        <f t="shared" si="67"/>
        <v>87479921</v>
      </c>
      <c r="AZ67" s="4">
        <f t="shared" si="67"/>
        <v>38948566</v>
      </c>
      <c r="BA67" s="4">
        <f t="shared" si="67"/>
        <v>113301589</v>
      </c>
      <c r="BB67" s="4">
        <f t="shared" si="67"/>
        <v>89939587</v>
      </c>
      <c r="BC67" s="4">
        <f t="shared" si="67"/>
        <v>66406176</v>
      </c>
      <c r="BD67" s="4">
        <f t="shared" si="67"/>
        <v>32739923</v>
      </c>
      <c r="BE67" s="4">
        <f t="shared" si="67"/>
        <v>286112046</v>
      </c>
      <c r="BF67" s="4">
        <f t="shared" si="67"/>
        <v>206559792.81999999</v>
      </c>
      <c r="BG67" s="4">
        <f t="shared" si="67"/>
        <v>165179911.53</v>
      </c>
      <c r="BH67" s="4">
        <f t="shared" si="67"/>
        <v>78125625.650000006</v>
      </c>
      <c r="BI67" s="4">
        <f t="shared" si="67"/>
        <v>53204161</v>
      </c>
      <c r="BJ67" s="4">
        <f t="shared" si="67"/>
        <v>4681908.37</v>
      </c>
      <c r="BK67" s="4">
        <f t="shared" si="67"/>
        <v>6034700.5800000001</v>
      </c>
      <c r="BL67" s="4">
        <f t="shared" si="67"/>
        <v>15558077.91</v>
      </c>
      <c r="BM67" s="4">
        <f t="shared" si="67"/>
        <v>65379188</v>
      </c>
      <c r="BN67" s="4">
        <f t="shared" si="67"/>
        <v>39136404.890000001</v>
      </c>
      <c r="BO67" s="4">
        <f t="shared" ref="BO67:CJ67" si="68">BO65-BO66</f>
        <v>17808258.879999999</v>
      </c>
      <c r="BP67" s="4">
        <f t="shared" si="68"/>
        <v>2808093.15</v>
      </c>
      <c r="BQ67" s="4">
        <f t="shared" si="68"/>
        <v>-15965737</v>
      </c>
      <c r="BR67" s="4">
        <f t="shared" si="68"/>
        <v>10466286.75</v>
      </c>
      <c r="BS67" s="4">
        <f t="shared" si="68"/>
        <v>58008092</v>
      </c>
      <c r="BT67" s="4">
        <f t="shared" si="68"/>
        <v>31267187</v>
      </c>
      <c r="BU67" s="4">
        <f t="shared" si="68"/>
        <v>52262841</v>
      </c>
      <c r="BV67" s="4">
        <f t="shared" si="68"/>
        <v>15953986.210000001</v>
      </c>
      <c r="BW67" s="4">
        <f t="shared" si="68"/>
        <v>40708000</v>
      </c>
      <c r="BX67" s="4">
        <f t="shared" si="68"/>
        <v>19592366.059999999</v>
      </c>
      <c r="BY67" s="4">
        <f t="shared" si="68"/>
        <v>61388000</v>
      </c>
      <c r="BZ67" s="4">
        <f t="shared" si="68"/>
        <v>31066000</v>
      </c>
      <c r="CA67" s="4">
        <f t="shared" si="68"/>
        <v>106110000</v>
      </c>
      <c r="CB67" s="4">
        <f t="shared" si="68"/>
        <v>106170000</v>
      </c>
      <c r="CC67" s="4">
        <f t="shared" si="68"/>
        <v>100099000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8">
        <v>2242661339</v>
      </c>
      <c r="C68" s="188">
        <v>1201173655</v>
      </c>
      <c r="D68" s="188">
        <v>374634713</v>
      </c>
      <c r="E68" s="188">
        <v>1948024860</v>
      </c>
      <c r="F68" s="188">
        <v>1413361041</v>
      </c>
      <c r="G68" s="188">
        <v>1099113182</v>
      </c>
      <c r="H68" s="188">
        <v>478912917</v>
      </c>
      <c r="I68" s="188">
        <v>2299116897</v>
      </c>
      <c r="J68" s="188">
        <v>1840072506</v>
      </c>
      <c r="K68" s="188">
        <v>1234879010</v>
      </c>
      <c r="L68" s="188">
        <v>370574464</v>
      </c>
      <c r="M68" s="188">
        <v>1496013180</v>
      </c>
      <c r="N68" s="188">
        <v>1049846691</v>
      </c>
      <c r="O68" s="188">
        <v>176341089</v>
      </c>
      <c r="P68" s="188">
        <v>171609882</v>
      </c>
      <c r="Q68" s="188">
        <v>-187352947</v>
      </c>
      <c r="R68" s="188">
        <v>-48134640</v>
      </c>
      <c r="S68" s="188">
        <v>106739572</v>
      </c>
      <c r="T68" s="188">
        <v>184859104</v>
      </c>
      <c r="U68" s="188">
        <v>401926117</v>
      </c>
      <c r="V68" s="188">
        <v>400438707</v>
      </c>
      <c r="W68" s="188">
        <v>193412657</v>
      </c>
      <c r="X68" s="188">
        <v>139484024</v>
      </c>
      <c r="Y68" s="188">
        <v>291893218</v>
      </c>
      <c r="Z68" s="188">
        <v>297153768</v>
      </c>
      <c r="AA68" s="188">
        <v>121301724</v>
      </c>
      <c r="AB68" s="188">
        <v>-43866488</v>
      </c>
      <c r="AC68" s="188">
        <v>29682149</v>
      </c>
      <c r="AD68" s="188">
        <v>49227494</v>
      </c>
      <c r="AE68" s="188">
        <v>-75281816</v>
      </c>
      <c r="AF68" s="188">
        <v>-96207662</v>
      </c>
      <c r="AG68" s="188">
        <v>-13163261</v>
      </c>
      <c r="AH68" s="188">
        <v>15039747</v>
      </c>
      <c r="AI68" s="188">
        <v>31624579</v>
      </c>
      <c r="AJ68" s="188">
        <v>-3037574</v>
      </c>
      <c r="AK68" s="188">
        <v>62975389</v>
      </c>
      <c r="AL68" s="188">
        <v>93834957</v>
      </c>
      <c r="AM68" s="188">
        <v>63283810</v>
      </c>
      <c r="AN68" s="188">
        <v>26282532</v>
      </c>
      <c r="AO68" s="188">
        <v>191186036</v>
      </c>
      <c r="AP68" s="188">
        <v>50125807</v>
      </c>
      <c r="AQ68" s="188">
        <v>12684533</v>
      </c>
      <c r="AR68" s="188">
        <v>34013184</v>
      </c>
      <c r="AS68" s="188">
        <v>289848468</v>
      </c>
      <c r="AT68" s="188">
        <v>259368386</v>
      </c>
      <c r="AU68" s="188">
        <v>169596463</v>
      </c>
      <c r="AV68" s="188">
        <v>109413896</v>
      </c>
      <c r="AW68" s="188">
        <v>624295282</v>
      </c>
      <c r="AX68" s="188">
        <v>544461462</v>
      </c>
      <c r="AY68" s="188">
        <v>346310987</v>
      </c>
      <c r="AZ68" s="188">
        <v>116102838</v>
      </c>
      <c r="BA68" s="188">
        <v>461771456</v>
      </c>
      <c r="BB68" s="188">
        <v>274233392</v>
      </c>
      <c r="BC68" s="188">
        <v>170724742</v>
      </c>
      <c r="BD68" s="188">
        <v>48799241</v>
      </c>
      <c r="BE68" s="188">
        <v>13898998</v>
      </c>
      <c r="BF68" s="188">
        <v>62914082.600000001</v>
      </c>
      <c r="BG68" s="188">
        <v>36317209.140000001</v>
      </c>
      <c r="BH68" s="188">
        <v>21251538.93</v>
      </c>
      <c r="BI68" s="188">
        <v>262351790</v>
      </c>
      <c r="BJ68" s="188">
        <v>178836456</v>
      </c>
      <c r="BK68" s="188">
        <v>154474800.75</v>
      </c>
      <c r="BL68" s="188">
        <v>151161715.66999999</v>
      </c>
      <c r="BM68" s="188">
        <v>65542308</v>
      </c>
      <c r="BN68" s="188">
        <v>58456682.579999998</v>
      </c>
      <c r="BO68" s="188">
        <v>31838535.34</v>
      </c>
      <c r="BP68" s="188">
        <v>15612268.470000001</v>
      </c>
      <c r="BQ68" s="188">
        <v>20529527</v>
      </c>
      <c r="BR68" s="188">
        <v>8697017.1899999995</v>
      </c>
      <c r="BS68" s="188">
        <v>25949262</v>
      </c>
      <c r="BT68" s="188">
        <v>9987623</v>
      </c>
      <c r="BU68" s="188">
        <v>13298283</v>
      </c>
      <c r="BV68" s="188">
        <v>6336127.2699999996</v>
      </c>
      <c r="BW68" s="188">
        <v>-4184000</v>
      </c>
      <c r="BX68" s="188">
        <v>-3446406.8</v>
      </c>
      <c r="BY68" s="188">
        <v>-9411000</v>
      </c>
      <c r="BZ68" s="188">
        <v>0</v>
      </c>
      <c r="CA68" s="188">
        <v>15326000</v>
      </c>
      <c r="CB68" s="188">
        <v>10981000</v>
      </c>
      <c r="CC68" s="188">
        <v>10702000</v>
      </c>
      <c r="CD68" s="188">
        <v>0</v>
      </c>
      <c r="CE68" s="188">
        <v>0</v>
      </c>
      <c r="CF68" s="188">
        <v>0</v>
      </c>
      <c r="CG68" s="188">
        <v>0</v>
      </c>
      <c r="CH68" s="188">
        <v>0</v>
      </c>
      <c r="CI68" s="188">
        <v>0</v>
      </c>
      <c r="CJ68" s="188">
        <v>0</v>
      </c>
      <c r="CK68" s="188">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8">
        <v>112689478635</v>
      </c>
      <c r="C70" s="188">
        <v>112393868079</v>
      </c>
      <c r="D70" s="188">
        <v>106402447453</v>
      </c>
      <c r="E70" s="188">
        <v>104284262833</v>
      </c>
      <c r="F70" s="188">
        <v>104783755073</v>
      </c>
      <c r="G70" s="188">
        <v>97470111367</v>
      </c>
      <c r="H70" s="188">
        <v>96491752708</v>
      </c>
      <c r="I70" s="188">
        <v>92016055160</v>
      </c>
      <c r="J70" s="188">
        <v>82006094928</v>
      </c>
      <c r="K70" s="188">
        <v>81435639400</v>
      </c>
      <c r="L70" s="188">
        <v>81403224231</v>
      </c>
      <c r="M70" s="188">
        <v>78350829819</v>
      </c>
      <c r="N70" s="188">
        <v>78944819856</v>
      </c>
      <c r="O70" s="188">
        <v>78903151940</v>
      </c>
      <c r="P70" s="188">
        <v>77910005875</v>
      </c>
      <c r="Q70" s="188">
        <v>76959406219</v>
      </c>
      <c r="R70" s="188">
        <v>76570022233</v>
      </c>
      <c r="S70" s="188">
        <v>76149010216</v>
      </c>
      <c r="T70" s="188">
        <v>75164552888</v>
      </c>
      <c r="U70" s="188">
        <v>38154263404</v>
      </c>
      <c r="V70" s="188">
        <v>41051432679</v>
      </c>
      <c r="W70" s="188">
        <v>40418911802</v>
      </c>
      <c r="X70" s="188">
        <v>35667838006</v>
      </c>
      <c r="Y70" s="188">
        <v>35264814452</v>
      </c>
      <c r="Z70" s="188">
        <v>34128480623</v>
      </c>
      <c r="AA70" s="188">
        <v>33980651549</v>
      </c>
      <c r="AB70" s="188">
        <v>34318031387</v>
      </c>
      <c r="AC70" s="188">
        <v>35045483906</v>
      </c>
      <c r="AD70" s="188">
        <v>31897104680</v>
      </c>
      <c r="AE70" s="188">
        <v>32929522409</v>
      </c>
      <c r="AF70" s="188">
        <v>33536219867</v>
      </c>
      <c r="AG70" s="188">
        <v>34259808253</v>
      </c>
      <c r="AH70" s="188">
        <v>26386011778</v>
      </c>
      <c r="AI70" s="188">
        <v>26911504181</v>
      </c>
      <c r="AJ70" s="188">
        <v>23089536749</v>
      </c>
      <c r="AK70" s="188">
        <v>21936151954</v>
      </c>
      <c r="AL70" s="188">
        <v>17635170530</v>
      </c>
      <c r="AM70" s="188">
        <v>17668415779</v>
      </c>
      <c r="AN70" s="188">
        <v>6251855568</v>
      </c>
      <c r="AO70" s="188">
        <v>6718801623</v>
      </c>
      <c r="AP70" s="188">
        <v>7803008510</v>
      </c>
      <c r="AQ70" s="188">
        <v>6123342937</v>
      </c>
      <c r="AR70" s="188">
        <v>5871972171</v>
      </c>
      <c r="AS70" s="188">
        <v>5521339174</v>
      </c>
      <c r="AT70" s="188">
        <v>4815248345</v>
      </c>
      <c r="AU70" s="188">
        <v>4286708476</v>
      </c>
      <c r="AV70" s="188">
        <v>4149673945</v>
      </c>
      <c r="AW70" s="188">
        <v>4297451541</v>
      </c>
      <c r="AX70" s="188">
        <v>4233717635</v>
      </c>
      <c r="AY70" s="188">
        <v>1834761744</v>
      </c>
      <c r="AZ70" s="188">
        <v>3068898270</v>
      </c>
      <c r="BA70" s="188">
        <v>3611521594</v>
      </c>
      <c r="BB70" s="188">
        <v>4138880834</v>
      </c>
      <c r="BC70" s="188">
        <v>4528295925</v>
      </c>
      <c r="BD70" s="188">
        <v>5088280391</v>
      </c>
      <c r="BE70" s="188">
        <v>5481194703</v>
      </c>
      <c r="BF70" s="188">
        <v>5775750031.3199997</v>
      </c>
      <c r="BG70" s="188">
        <v>5748834264.4499998</v>
      </c>
      <c r="BH70" s="188">
        <v>5538049404.8299999</v>
      </c>
      <c r="BI70" s="188">
        <v>3080180848</v>
      </c>
      <c r="BJ70" s="188">
        <v>2992428916.1300001</v>
      </c>
      <c r="BK70" s="188">
        <v>2821404851.2199998</v>
      </c>
      <c r="BL70" s="188">
        <v>2578590694.2199998</v>
      </c>
      <c r="BM70" s="188">
        <v>2640890514</v>
      </c>
      <c r="BN70" s="188">
        <v>2627029033.3499999</v>
      </c>
      <c r="BO70" s="188">
        <v>2546625195.1500001</v>
      </c>
      <c r="BP70" s="188">
        <v>2469173821.48</v>
      </c>
      <c r="BQ70" s="188">
        <v>2335783347</v>
      </c>
      <c r="BR70" s="188">
        <v>2400207583.4699998</v>
      </c>
      <c r="BS70" s="188">
        <v>2227180861</v>
      </c>
      <c r="BT70" s="188">
        <v>1333758140</v>
      </c>
      <c r="BU70" s="188">
        <v>1254162142</v>
      </c>
      <c r="BV70" s="188">
        <v>1135754992.1800001</v>
      </c>
      <c r="BW70" s="188">
        <v>1092432000</v>
      </c>
      <c r="BX70" s="188">
        <v>990567298.47000003</v>
      </c>
      <c r="BY70" s="188">
        <v>958009000</v>
      </c>
      <c r="BZ70" s="188">
        <v>993949000</v>
      </c>
      <c r="CA70" s="188">
        <v>574953000</v>
      </c>
      <c r="CB70" s="188">
        <v>466652000</v>
      </c>
      <c r="CC70" s="188">
        <v>424120000</v>
      </c>
      <c r="CD70" s="188">
        <v>0</v>
      </c>
      <c r="CE70" s="188">
        <v>1079738000</v>
      </c>
      <c r="CF70" s="188">
        <v>1004228352.76</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zoomScale="95" zoomScaleNormal="95" workbookViewId="0">
      <selection activeCell="A45" sqref="A45"/>
    </sheetView>
  </sheetViews>
  <sheetFormatPr defaultRowHeight="14.4" x14ac:dyDescent="0.25"/>
  <cols>
    <col min="1" max="1" width="77.5546875" style="17" bestFit="1" customWidth="1"/>
    <col min="2" max="4" width="22.6640625" hidden="1" customWidth="1"/>
    <col min="5" max="5" width="22.6640625" bestFit="1" customWidth="1"/>
    <col min="6" max="8" width="22.6640625" hidden="1" customWidth="1"/>
    <col min="9" max="9" width="22.6640625" bestFit="1" customWidth="1"/>
    <col min="10" max="12" width="21.5546875" hidden="1" customWidth="1"/>
    <col min="13" max="13" width="22.5546875" bestFit="1" customWidth="1"/>
    <col min="14" max="16" width="21.5546875" hidden="1" customWidth="1"/>
    <col min="17" max="17" width="22.5546875" bestFit="1" customWidth="1"/>
    <col min="18" max="20" width="21.5546875" hidden="1" customWidth="1"/>
    <col min="21" max="21" width="22.5546875" bestFit="1" customWidth="1"/>
    <col min="22" max="24" width="21.5546875" hidden="1" customWidth="1"/>
    <col min="25" max="25" width="22.5546875" bestFit="1" customWidth="1"/>
    <col min="26" max="28" width="21.5546875" hidden="1" customWidth="1"/>
    <col min="29" max="29" width="21.5546875" bestFit="1" customWidth="1"/>
    <col min="30" max="32" width="21.5546875" hidden="1" customWidth="1"/>
    <col min="33" max="33" width="21.5546875" bestFit="1" customWidth="1"/>
    <col min="34" max="36" width="21.5546875" hidden="1" customWidth="1"/>
    <col min="37" max="37" width="21.5546875" bestFit="1" customWidth="1"/>
    <col min="38" max="39" width="21.5546875" hidden="1" customWidth="1"/>
    <col min="40" max="40" width="20.33203125" hidden="1" customWidth="1"/>
    <col min="41" max="41" width="20.33203125" bestFit="1" customWidth="1"/>
    <col min="42" max="44" width="21.5546875" hidden="1" customWidth="1"/>
    <col min="45" max="45" width="21.5546875" bestFit="1" customWidth="1"/>
    <col min="46" max="48" width="21.5546875" hidden="1" customWidth="1"/>
    <col min="49" max="49" width="21.5546875" bestFit="1" customWidth="1"/>
    <col min="50" max="52" width="21.5546875" hidden="1" customWidth="1"/>
    <col min="53" max="53" width="21.5546875" bestFit="1" customWidth="1"/>
    <col min="54" max="56" width="21.5546875" hidden="1" customWidth="1"/>
    <col min="57" max="57" width="21.5546875" bestFit="1" customWidth="1"/>
    <col min="58" max="59" width="20.33203125" hidden="1" customWidth="1"/>
    <col min="60" max="60" width="21.554687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18.109375" bestFit="1" customWidth="1"/>
    <col min="73" max="74" width="18.109375" hidden="1" customWidth="1"/>
  </cols>
  <sheetData>
    <row r="1" spans="1:74" s="6" customFormat="1" x14ac:dyDescent="0.25">
      <c r="A1" s="103">
        <v>725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row>
    <row r="2" spans="1:74" s="45" customFormat="1" x14ac:dyDescent="0.25">
      <c r="A2" s="46" t="s">
        <v>292</v>
      </c>
    </row>
    <row r="3" spans="1:74" s="191" customFormat="1" x14ac:dyDescent="0.25">
      <c r="A3" s="191" t="s">
        <v>320</v>
      </c>
      <c r="B3" s="191">
        <v>24665452</v>
      </c>
      <c r="C3" s="191">
        <v>6071367</v>
      </c>
      <c r="D3" s="191">
        <v>5615725</v>
      </c>
      <c r="E3" s="191">
        <v>6906760</v>
      </c>
      <c r="F3" s="191">
        <v>58162797</v>
      </c>
      <c r="G3" s="191">
        <v>58574338</v>
      </c>
      <c r="H3" s="191">
        <v>57346613</v>
      </c>
      <c r="I3" s="191">
        <v>214137335</v>
      </c>
      <c r="J3" s="191">
        <v>82066977</v>
      </c>
      <c r="K3" s="191">
        <v>81891572</v>
      </c>
      <c r="L3" s="191">
        <v>135071</v>
      </c>
      <c r="M3" s="191">
        <v>25777766</v>
      </c>
      <c r="N3" s="191">
        <v>1962487</v>
      </c>
      <c r="O3" s="191">
        <v>1358403</v>
      </c>
      <c r="P3" s="191">
        <v>431413</v>
      </c>
      <c r="Q3" s="191">
        <v>28820470</v>
      </c>
      <c r="R3" s="191">
        <v>217978465</v>
      </c>
      <c r="S3" s="191">
        <v>363662</v>
      </c>
      <c r="T3" s="191">
        <v>128324</v>
      </c>
      <c r="U3" s="191">
        <v>14808978</v>
      </c>
      <c r="V3" s="191">
        <v>730348</v>
      </c>
      <c r="W3" s="191">
        <v>172514</v>
      </c>
      <c r="X3" s="191">
        <v>57410</v>
      </c>
      <c r="Y3" s="191">
        <v>64767374</v>
      </c>
      <c r="Z3" s="191">
        <v>3119574</v>
      </c>
      <c r="AA3" s="191">
        <v>2038815</v>
      </c>
      <c r="AB3" s="191">
        <v>86500</v>
      </c>
      <c r="AC3" s="191">
        <v>45643801</v>
      </c>
      <c r="AD3" s="191">
        <v>1089108</v>
      </c>
      <c r="AE3" s="191">
        <v>1054188</v>
      </c>
      <c r="AF3" s="191">
        <v>992000</v>
      </c>
      <c r="AG3" s="191">
        <v>82453186</v>
      </c>
      <c r="AH3" s="191">
        <v>12006264</v>
      </c>
      <c r="AI3" s="191">
        <v>11620453</v>
      </c>
      <c r="AJ3" s="191">
        <v>24422174</v>
      </c>
      <c r="AK3" s="191">
        <v>31792777</v>
      </c>
      <c r="AL3" s="191">
        <v>26404184</v>
      </c>
      <c r="AM3" s="191">
        <v>275480</v>
      </c>
      <c r="AN3" s="191">
        <v>0</v>
      </c>
      <c r="AO3" s="191">
        <v>63499757</v>
      </c>
      <c r="AP3" s="191">
        <v>251516</v>
      </c>
      <c r="AQ3" s="191">
        <v>215640</v>
      </c>
      <c r="AR3" s="191">
        <v>1587188</v>
      </c>
      <c r="AS3" s="191">
        <v>64459631</v>
      </c>
      <c r="AT3" s="191">
        <v>158490</v>
      </c>
      <c r="AU3" s="191">
        <v>146700</v>
      </c>
      <c r="AV3" s="191">
        <v>56700</v>
      </c>
      <c r="AW3" s="191">
        <v>77611876</v>
      </c>
      <c r="AX3" s="191">
        <v>1979824</v>
      </c>
      <c r="AY3" s="191">
        <v>1919424</v>
      </c>
      <c r="AZ3" s="191">
        <v>1525643</v>
      </c>
      <c r="BA3" s="191">
        <v>37489569</v>
      </c>
      <c r="BB3" s="191">
        <v>11612137.300000001</v>
      </c>
      <c r="BC3" s="191">
        <v>242746</v>
      </c>
      <c r="BD3" s="191">
        <v>28600</v>
      </c>
      <c r="BE3" s="191">
        <v>107278722</v>
      </c>
      <c r="BF3" s="191">
        <v>53191457.869999997</v>
      </c>
      <c r="BG3" s="191">
        <v>2520544.85</v>
      </c>
      <c r="BH3" s="191">
        <v>63000</v>
      </c>
      <c r="BI3" s="191">
        <v>15716195</v>
      </c>
      <c r="BJ3" s="191">
        <v>120600</v>
      </c>
      <c r="BK3" s="191">
        <v>119600</v>
      </c>
      <c r="BL3" s="191">
        <v>106100</v>
      </c>
      <c r="BM3" s="191">
        <v>179186</v>
      </c>
      <c r="BN3" s="191">
        <v>9738.48</v>
      </c>
      <c r="BO3" s="191">
        <v>776221</v>
      </c>
      <c r="BP3" s="191">
        <v>6000</v>
      </c>
      <c r="BQ3" s="191">
        <v>1327733</v>
      </c>
      <c r="BR3" s="191">
        <v>181184</v>
      </c>
      <c r="BS3" s="191">
        <v>562141</v>
      </c>
      <c r="BT3" s="191">
        <v>686000</v>
      </c>
      <c r="BU3" s="191">
        <v>0</v>
      </c>
      <c r="BV3" s="191">
        <v>0</v>
      </c>
    </row>
    <row r="4" spans="1:74" s="191" customFormat="1" x14ac:dyDescent="0.25">
      <c r="A4" s="191" t="s">
        <v>304</v>
      </c>
      <c r="B4" s="191">
        <v>37753522657</v>
      </c>
      <c r="C4" s="191">
        <v>22369952658</v>
      </c>
      <c r="D4" s="191">
        <v>11114423433</v>
      </c>
      <c r="E4" s="191">
        <v>47741900710</v>
      </c>
      <c r="F4" s="191">
        <v>35760451600</v>
      </c>
      <c r="G4" s="191">
        <v>24969365239</v>
      </c>
      <c r="H4" s="191">
        <v>14048658723</v>
      </c>
      <c r="I4" s="191">
        <v>30702614717</v>
      </c>
      <c r="J4" s="191">
        <v>15462947784</v>
      </c>
      <c r="K4" s="191">
        <v>7098361611</v>
      </c>
      <c r="L4" s="191">
        <v>3388778286</v>
      </c>
      <c r="M4" s="191">
        <v>18607146447</v>
      </c>
      <c r="N4" s="191">
        <v>13708972589</v>
      </c>
      <c r="O4" s="191">
        <v>10480124471</v>
      </c>
      <c r="P4" s="191">
        <v>5519405867</v>
      </c>
      <c r="Q4" s="191">
        <v>21290003058</v>
      </c>
      <c r="R4" s="191">
        <v>14507066576</v>
      </c>
      <c r="S4" s="191">
        <v>9255316417</v>
      </c>
      <c r="T4" s="191">
        <v>4042846525</v>
      </c>
      <c r="U4" s="191">
        <v>18326663220</v>
      </c>
      <c r="V4" s="191">
        <v>12456769266</v>
      </c>
      <c r="W4" s="191">
        <v>8327919358</v>
      </c>
      <c r="X4" s="191">
        <v>1298473831</v>
      </c>
      <c r="Y4" s="191">
        <v>4233462922</v>
      </c>
      <c r="Z4" s="191">
        <v>2724901135</v>
      </c>
      <c r="AA4" s="191">
        <v>2349407153</v>
      </c>
      <c r="AB4" s="191">
        <v>2498938550</v>
      </c>
      <c r="AC4" s="191">
        <v>18331564138</v>
      </c>
      <c r="AD4" s="191">
        <v>15760161627</v>
      </c>
      <c r="AE4" s="191">
        <v>11595565436</v>
      </c>
      <c r="AF4" s="191">
        <v>6213351370</v>
      </c>
      <c r="AG4" s="191">
        <v>14114102183</v>
      </c>
      <c r="AH4" s="191">
        <v>10006820707</v>
      </c>
      <c r="AI4" s="191">
        <v>6271157329</v>
      </c>
      <c r="AJ4" s="191">
        <v>1345978645</v>
      </c>
      <c r="AK4" s="191">
        <v>3740444628</v>
      </c>
      <c r="AL4" s="191">
        <v>2588184295</v>
      </c>
      <c r="AM4" s="191">
        <v>1920930533</v>
      </c>
      <c r="AN4" s="191">
        <v>705476913</v>
      </c>
      <c r="AO4" s="191">
        <v>1085482340</v>
      </c>
      <c r="AP4" s="191">
        <v>812085642</v>
      </c>
      <c r="AQ4" s="191">
        <v>589489494</v>
      </c>
      <c r="AR4" s="191">
        <v>151794361</v>
      </c>
      <c r="AS4" s="191">
        <v>374009390</v>
      </c>
      <c r="AT4" s="191">
        <v>236743253</v>
      </c>
      <c r="AU4" s="191">
        <v>177682907</v>
      </c>
      <c r="AV4" s="191">
        <v>116124417</v>
      </c>
      <c r="AW4" s="191">
        <v>755763279</v>
      </c>
      <c r="AX4" s="191">
        <v>599147631</v>
      </c>
      <c r="AY4" s="191">
        <v>403945394</v>
      </c>
      <c r="AZ4" s="191">
        <v>312710474</v>
      </c>
      <c r="BA4" s="191">
        <v>3976390036</v>
      </c>
      <c r="BB4" s="191">
        <v>3714546927.1300001</v>
      </c>
      <c r="BC4" s="191">
        <v>3458678802</v>
      </c>
      <c r="BD4" s="191">
        <v>1210515309</v>
      </c>
      <c r="BE4" s="191">
        <v>5630154227</v>
      </c>
      <c r="BF4" s="191">
        <v>2666981814.77</v>
      </c>
      <c r="BG4" s="191">
        <v>838758270.36000001</v>
      </c>
      <c r="BH4" s="191">
        <v>201231333.41</v>
      </c>
      <c r="BI4" s="191">
        <v>660211384</v>
      </c>
      <c r="BJ4" s="191">
        <v>3263633275.7800002</v>
      </c>
      <c r="BK4" s="191">
        <v>3237270003.2399998</v>
      </c>
      <c r="BL4" s="191">
        <v>2764321273.96</v>
      </c>
      <c r="BM4" s="191">
        <v>290050265</v>
      </c>
      <c r="BN4" s="191">
        <v>371217117.67000002</v>
      </c>
      <c r="BO4" s="191">
        <v>321023405</v>
      </c>
      <c r="BP4" s="191">
        <v>75423887.909999996</v>
      </c>
      <c r="BQ4" s="191">
        <v>228808868</v>
      </c>
      <c r="BR4" s="191">
        <v>98603236</v>
      </c>
      <c r="BS4" s="191">
        <v>134315797</v>
      </c>
      <c r="BT4" s="191">
        <v>76584000</v>
      </c>
      <c r="BU4" s="191">
        <v>0</v>
      </c>
      <c r="BV4" s="191">
        <v>0</v>
      </c>
    </row>
    <row r="5" spans="1:74" s="47" customFormat="1" x14ac:dyDescent="0.25">
      <c r="A5" s="47" t="s">
        <v>295</v>
      </c>
      <c r="E5" s="47">
        <f>E4-E3</f>
        <v>47734993950</v>
      </c>
      <c r="F5" s="47">
        <f t="shared" ref="F5:AR5" si="0">F4-F3</f>
        <v>35702288803</v>
      </c>
      <c r="G5" s="47">
        <f t="shared" si="0"/>
        <v>24910790901</v>
      </c>
      <c r="H5" s="47">
        <f t="shared" si="0"/>
        <v>13991312110</v>
      </c>
      <c r="I5" s="47">
        <f t="shared" si="0"/>
        <v>30488477382</v>
      </c>
      <c r="J5" s="47">
        <f t="shared" si="0"/>
        <v>15380880807</v>
      </c>
      <c r="K5" s="47">
        <f t="shared" si="0"/>
        <v>7016470039</v>
      </c>
      <c r="L5" s="47">
        <f t="shared" si="0"/>
        <v>3388643215</v>
      </c>
      <c r="M5" s="47">
        <f t="shared" si="0"/>
        <v>18581368681</v>
      </c>
      <c r="N5" s="47">
        <f t="shared" si="0"/>
        <v>13707010102</v>
      </c>
      <c r="O5" s="47">
        <f t="shared" si="0"/>
        <v>10478766068</v>
      </c>
      <c r="P5" s="47">
        <f t="shared" si="0"/>
        <v>5518974454</v>
      </c>
      <c r="Q5" s="47">
        <f t="shared" si="0"/>
        <v>21261182588</v>
      </c>
      <c r="R5" s="47">
        <f t="shared" si="0"/>
        <v>14289088111</v>
      </c>
      <c r="S5" s="47">
        <f t="shared" si="0"/>
        <v>9254952755</v>
      </c>
      <c r="T5" s="47">
        <f t="shared" si="0"/>
        <v>4042718201</v>
      </c>
      <c r="U5" s="47">
        <f t="shared" si="0"/>
        <v>18311854242</v>
      </c>
      <c r="V5" s="47">
        <f t="shared" si="0"/>
        <v>12456038918</v>
      </c>
      <c r="W5" s="47">
        <f t="shared" si="0"/>
        <v>8327746844</v>
      </c>
      <c r="X5" s="47">
        <f t="shared" si="0"/>
        <v>1298416421</v>
      </c>
      <c r="Y5" s="47">
        <f t="shared" si="0"/>
        <v>4168695548</v>
      </c>
      <c r="Z5" s="47">
        <f t="shared" si="0"/>
        <v>2721781561</v>
      </c>
      <c r="AA5" s="47">
        <f t="shared" si="0"/>
        <v>2347368338</v>
      </c>
      <c r="AB5" s="47">
        <f t="shared" si="0"/>
        <v>2498852050</v>
      </c>
      <c r="AC5" s="47">
        <f t="shared" si="0"/>
        <v>18285920337</v>
      </c>
      <c r="AD5" s="47">
        <f t="shared" si="0"/>
        <v>15759072519</v>
      </c>
      <c r="AE5" s="47">
        <f t="shared" si="0"/>
        <v>11594511248</v>
      </c>
      <c r="AF5" s="47">
        <f t="shared" si="0"/>
        <v>6212359370</v>
      </c>
      <c r="AG5" s="47">
        <f t="shared" si="0"/>
        <v>14031648997</v>
      </c>
      <c r="AH5" s="47">
        <f t="shared" si="0"/>
        <v>9994814443</v>
      </c>
      <c r="AI5" s="47">
        <f t="shared" si="0"/>
        <v>6259536876</v>
      </c>
      <c r="AJ5" s="47">
        <f t="shared" si="0"/>
        <v>1321556471</v>
      </c>
      <c r="AK5" s="47">
        <f t="shared" si="0"/>
        <v>3708651851</v>
      </c>
      <c r="AL5" s="47">
        <f t="shared" si="0"/>
        <v>2561780111</v>
      </c>
      <c r="AM5" s="47">
        <f t="shared" si="0"/>
        <v>1920655053</v>
      </c>
      <c r="AN5" s="47">
        <f t="shared" si="0"/>
        <v>705476913</v>
      </c>
      <c r="AO5" s="47">
        <f t="shared" si="0"/>
        <v>1021982583</v>
      </c>
      <c r="AP5" s="47">
        <f t="shared" si="0"/>
        <v>811834126</v>
      </c>
      <c r="AQ5" s="47">
        <f t="shared" si="0"/>
        <v>589273854</v>
      </c>
      <c r="AR5" s="47">
        <f t="shared" si="0"/>
        <v>150207173</v>
      </c>
    </row>
    <row r="6" spans="1:74" s="104" customFormat="1" x14ac:dyDescent="0.25">
      <c r="A6" s="104" t="s">
        <v>305</v>
      </c>
      <c r="B6" s="191">
        <v>0</v>
      </c>
      <c r="C6" s="191">
        <v>6556160630</v>
      </c>
      <c r="D6" s="191">
        <v>0</v>
      </c>
      <c r="E6" s="191">
        <v>11582379561</v>
      </c>
      <c r="F6" s="191">
        <v>0</v>
      </c>
      <c r="G6" s="191">
        <v>5464374990</v>
      </c>
      <c r="H6" s="191">
        <v>0</v>
      </c>
      <c r="I6" s="191">
        <v>10043152205</v>
      </c>
      <c r="J6" s="191">
        <v>0</v>
      </c>
      <c r="K6" s="191">
        <v>4809870880</v>
      </c>
      <c r="L6" s="191">
        <v>0</v>
      </c>
      <c r="M6" s="191">
        <v>7799457709</v>
      </c>
      <c r="N6" s="191">
        <v>0</v>
      </c>
      <c r="O6" s="191">
        <v>3590977357</v>
      </c>
      <c r="P6" s="191">
        <v>0</v>
      </c>
      <c r="Q6" s="191">
        <v>5523726587</v>
      </c>
      <c r="R6" s="191">
        <v>0</v>
      </c>
      <c r="S6" s="191">
        <v>2318091904</v>
      </c>
      <c r="T6" s="191">
        <v>0</v>
      </c>
      <c r="U6" s="191">
        <v>4392643733</v>
      </c>
      <c r="V6" s="191">
        <v>0</v>
      </c>
      <c r="W6" s="191">
        <v>2144349551</v>
      </c>
      <c r="X6" s="191">
        <v>0</v>
      </c>
      <c r="Y6" s="191">
        <v>3765248130</v>
      </c>
      <c r="Z6" s="191">
        <v>0</v>
      </c>
      <c r="AA6" s="191">
        <v>1833011576</v>
      </c>
      <c r="AB6" s="191">
        <v>0</v>
      </c>
      <c r="AC6" s="191">
        <v>2801104086</v>
      </c>
      <c r="AD6" s="191">
        <v>0</v>
      </c>
      <c r="AE6" s="191">
        <v>1244059211</v>
      </c>
      <c r="AF6" s="191">
        <v>0</v>
      </c>
      <c r="AG6" s="191">
        <v>1681547740</v>
      </c>
      <c r="AH6" s="191">
        <v>0</v>
      </c>
      <c r="AI6" s="191">
        <v>757080608</v>
      </c>
      <c r="AJ6" s="191">
        <v>0</v>
      </c>
      <c r="AK6" s="191">
        <v>1215123651</v>
      </c>
      <c r="AL6" s="191">
        <v>0</v>
      </c>
      <c r="AM6" s="191">
        <v>579853714</v>
      </c>
      <c r="AN6" s="191">
        <v>0</v>
      </c>
      <c r="AO6" s="191">
        <v>1096143768</v>
      </c>
      <c r="AP6" s="191">
        <v>0</v>
      </c>
      <c r="AQ6" s="191">
        <v>536471809</v>
      </c>
      <c r="AR6" s="191">
        <v>0</v>
      </c>
      <c r="AS6" s="191">
        <v>1093023844</v>
      </c>
      <c r="AT6" s="191">
        <v>0</v>
      </c>
      <c r="AU6" s="191">
        <v>540837241</v>
      </c>
      <c r="AV6" s="191">
        <v>0</v>
      </c>
      <c r="AW6" s="191">
        <v>1565741427</v>
      </c>
      <c r="AX6" s="191">
        <v>1293820003</v>
      </c>
      <c r="AY6" s="191">
        <v>916200274</v>
      </c>
      <c r="AZ6" s="191">
        <v>504119199</v>
      </c>
      <c r="BA6" s="191">
        <v>1221156417</v>
      </c>
      <c r="BB6" s="191">
        <v>764430938.20000005</v>
      </c>
      <c r="BC6" s="191">
        <v>414714313</v>
      </c>
      <c r="BD6" s="191">
        <v>211183270</v>
      </c>
      <c r="BE6" s="191">
        <v>711936782</v>
      </c>
      <c r="BF6" s="191">
        <v>514992427.41000003</v>
      </c>
      <c r="BG6" s="191">
        <v>333154416.35000002</v>
      </c>
      <c r="BH6" s="191">
        <v>151576011.08000001</v>
      </c>
      <c r="BI6" s="191">
        <v>614559213</v>
      </c>
      <c r="BJ6" s="191">
        <v>414915940.26999998</v>
      </c>
      <c r="BK6" s="191">
        <v>277321185.56999999</v>
      </c>
      <c r="BL6" s="191">
        <v>112488230.64</v>
      </c>
      <c r="BM6" s="191">
        <v>134939692</v>
      </c>
      <c r="BN6" s="191">
        <v>66050526.939999998</v>
      </c>
      <c r="BO6" s="191">
        <v>60604503</v>
      </c>
      <c r="BP6" s="191">
        <v>30569773.710000001</v>
      </c>
      <c r="BQ6" s="191">
        <v>43994685</v>
      </c>
      <c r="BR6" s="191">
        <v>18120442</v>
      </c>
      <c r="BS6" s="191">
        <v>28873751</v>
      </c>
      <c r="BT6" s="191">
        <v>15701000</v>
      </c>
      <c r="BU6" s="191">
        <v>0</v>
      </c>
      <c r="BV6" s="191">
        <v>0</v>
      </c>
    </row>
    <row r="7" spans="1:74" s="191" customFormat="1" x14ac:dyDescent="0.25">
      <c r="A7" s="191" t="s">
        <v>306</v>
      </c>
      <c r="B7" s="191">
        <v>0</v>
      </c>
      <c r="C7" s="191">
        <v>258521192</v>
      </c>
      <c r="D7" s="191">
        <v>0</v>
      </c>
      <c r="E7" s="191">
        <v>283359395</v>
      </c>
      <c r="F7" s="191">
        <v>0</v>
      </c>
      <c r="G7" s="191">
        <v>143041546</v>
      </c>
      <c r="H7" s="191">
        <v>0</v>
      </c>
      <c r="I7" s="191">
        <v>263565131</v>
      </c>
      <c r="J7" s="191">
        <v>0</v>
      </c>
      <c r="K7" s="191">
        <v>122450569</v>
      </c>
      <c r="L7" s="191">
        <v>0</v>
      </c>
      <c r="M7" s="191">
        <v>239631840</v>
      </c>
      <c r="N7" s="191">
        <v>0</v>
      </c>
      <c r="O7" s="191">
        <v>122743131</v>
      </c>
      <c r="P7" s="191">
        <v>0</v>
      </c>
      <c r="Q7" s="191">
        <v>201846766</v>
      </c>
      <c r="R7" s="191">
        <v>0</v>
      </c>
      <c r="S7" s="191">
        <v>105142402</v>
      </c>
      <c r="T7" s="191">
        <v>0</v>
      </c>
      <c r="U7" s="191">
        <v>180124620</v>
      </c>
      <c r="V7" s="191">
        <v>0</v>
      </c>
      <c r="W7" s="191">
        <v>67677116</v>
      </c>
      <c r="X7" s="191">
        <v>0</v>
      </c>
      <c r="Y7" s="191">
        <v>125873106</v>
      </c>
      <c r="Z7" s="191">
        <v>0</v>
      </c>
      <c r="AA7" s="191">
        <v>61395795</v>
      </c>
      <c r="AB7" s="191">
        <v>0</v>
      </c>
      <c r="AC7" s="191">
        <v>96126570</v>
      </c>
      <c r="AD7" s="191">
        <v>0</v>
      </c>
      <c r="AE7" s="191">
        <v>40038496</v>
      </c>
      <c r="AF7" s="191">
        <v>0</v>
      </c>
      <c r="AG7" s="191">
        <v>68612026</v>
      </c>
      <c r="AH7" s="191">
        <v>0</v>
      </c>
      <c r="AI7" s="191">
        <v>31174676</v>
      </c>
      <c r="AJ7" s="191">
        <v>0</v>
      </c>
      <c r="AK7" s="191">
        <v>55751821</v>
      </c>
      <c r="AL7" s="191">
        <v>0</v>
      </c>
      <c r="AM7" s="191">
        <v>26851439</v>
      </c>
      <c r="AN7" s="191">
        <v>0</v>
      </c>
      <c r="AO7" s="191">
        <v>52222791</v>
      </c>
      <c r="AP7" s="191">
        <v>0</v>
      </c>
      <c r="AQ7" s="191">
        <v>25966451</v>
      </c>
      <c r="AR7" s="191">
        <v>0</v>
      </c>
      <c r="AS7" s="191">
        <v>51729826</v>
      </c>
      <c r="AT7" s="191">
        <v>0</v>
      </c>
      <c r="AU7" s="191">
        <v>25873685</v>
      </c>
      <c r="AV7" s="191">
        <v>0</v>
      </c>
      <c r="AW7" s="191">
        <v>55393375</v>
      </c>
      <c r="AX7" s="191">
        <v>31235927</v>
      </c>
      <c r="AY7" s="191">
        <v>20823951</v>
      </c>
      <c r="AZ7" s="191">
        <v>8368458</v>
      </c>
      <c r="BA7" s="191">
        <v>31044970</v>
      </c>
      <c r="BB7" s="191">
        <v>14488382.41</v>
      </c>
      <c r="BC7" s="191">
        <v>11480708</v>
      </c>
      <c r="BD7" s="191">
        <v>4420852</v>
      </c>
      <c r="BE7" s="191">
        <v>27596735</v>
      </c>
      <c r="BF7" s="191">
        <v>12821123.470000001</v>
      </c>
      <c r="BG7" s="191">
        <v>10207676.84</v>
      </c>
      <c r="BH7" s="191">
        <v>6777796.5899999999</v>
      </c>
      <c r="BI7" s="191">
        <v>20582387</v>
      </c>
      <c r="BJ7" s="191">
        <v>31992943.809999999</v>
      </c>
      <c r="BK7" s="191">
        <v>31914188.210000001</v>
      </c>
      <c r="BL7" s="191">
        <v>6374301.4199999999</v>
      </c>
      <c r="BM7" s="191">
        <v>13330391</v>
      </c>
      <c r="BN7" s="191">
        <v>6905802.79</v>
      </c>
      <c r="BO7" s="191">
        <v>4233921</v>
      </c>
      <c r="BP7" s="191">
        <v>1400782.34</v>
      </c>
      <c r="BQ7" s="191">
        <v>6695789</v>
      </c>
      <c r="BR7" s="191">
        <v>3643372</v>
      </c>
      <c r="BS7" s="191">
        <v>3672493</v>
      </c>
      <c r="BT7" s="191">
        <v>-120000</v>
      </c>
      <c r="BU7" s="191">
        <v>0</v>
      </c>
      <c r="BV7" s="191">
        <v>0</v>
      </c>
    </row>
    <row r="8" spans="1:74" s="191" customFormat="1" x14ac:dyDescent="0.25">
      <c r="A8" s="191" t="s">
        <v>307</v>
      </c>
      <c r="B8" s="191">
        <v>0</v>
      </c>
      <c r="C8" s="191">
        <v>49953934</v>
      </c>
      <c r="D8" s="191">
        <v>0</v>
      </c>
      <c r="E8" s="191">
        <v>78774292</v>
      </c>
      <c r="F8" s="191">
        <v>0</v>
      </c>
      <c r="G8" s="191">
        <v>42667113</v>
      </c>
      <c r="H8" s="191">
        <v>0</v>
      </c>
      <c r="I8" s="191">
        <v>66800461</v>
      </c>
      <c r="J8" s="191">
        <v>0</v>
      </c>
      <c r="K8" s="191">
        <v>30360640</v>
      </c>
      <c r="L8" s="191">
        <v>0</v>
      </c>
      <c r="M8" s="191">
        <v>56193811</v>
      </c>
      <c r="N8" s="191">
        <v>0</v>
      </c>
      <c r="O8" s="191">
        <v>47685498</v>
      </c>
      <c r="P8" s="191">
        <v>0</v>
      </c>
      <c r="Q8" s="191">
        <v>30155694</v>
      </c>
      <c r="R8" s="191">
        <v>0</v>
      </c>
      <c r="S8" s="191">
        <v>23631886</v>
      </c>
      <c r="T8" s="191">
        <v>0</v>
      </c>
      <c r="U8" s="191">
        <v>36466006</v>
      </c>
      <c r="V8" s="191">
        <v>0</v>
      </c>
      <c r="W8" s="191">
        <v>14394130</v>
      </c>
      <c r="X8" s="191">
        <v>0</v>
      </c>
      <c r="Y8" s="191">
        <v>25388492</v>
      </c>
      <c r="Z8" s="191">
        <v>0</v>
      </c>
      <c r="AA8" s="191">
        <v>9563362</v>
      </c>
      <c r="AB8" s="191">
        <v>0</v>
      </c>
      <c r="AC8" s="191">
        <v>12337685</v>
      </c>
      <c r="AD8" s="191">
        <v>0</v>
      </c>
      <c r="AE8" s="191">
        <v>7019080</v>
      </c>
      <c r="AF8" s="191">
        <v>0</v>
      </c>
      <c r="AG8" s="191">
        <v>6373241</v>
      </c>
      <c r="AH8" s="191">
        <v>0</v>
      </c>
      <c r="AI8" s="191">
        <v>2439423</v>
      </c>
      <c r="AJ8" s="191">
        <v>0</v>
      </c>
      <c r="AK8" s="191">
        <v>4093637</v>
      </c>
      <c r="AL8" s="191">
        <v>0</v>
      </c>
      <c r="AM8" s="191">
        <v>1929657</v>
      </c>
      <c r="AN8" s="191">
        <v>0</v>
      </c>
      <c r="AO8" s="191">
        <v>4436020</v>
      </c>
      <c r="AP8" s="191">
        <v>0</v>
      </c>
      <c r="AQ8" s="191">
        <v>2750760</v>
      </c>
      <c r="AR8" s="191">
        <v>0</v>
      </c>
      <c r="AS8" s="191">
        <v>3986830</v>
      </c>
      <c r="AT8" s="191">
        <v>0</v>
      </c>
      <c r="AU8" s="191">
        <v>1720893</v>
      </c>
      <c r="AV8" s="191">
        <v>0</v>
      </c>
      <c r="AW8" s="191">
        <v>13520850</v>
      </c>
      <c r="AX8" s="191">
        <v>9857576</v>
      </c>
      <c r="AY8" s="191">
        <v>2428690</v>
      </c>
      <c r="AZ8" s="191">
        <v>2051992</v>
      </c>
      <c r="BA8" s="191">
        <v>5393661</v>
      </c>
      <c r="BB8" s="191">
        <v>5287891.9400000004</v>
      </c>
      <c r="BC8" s="191">
        <v>3449955</v>
      </c>
      <c r="BD8" s="191">
        <v>290957</v>
      </c>
      <c r="BE8" s="191">
        <v>635148</v>
      </c>
      <c r="BF8" s="191">
        <v>514457.12</v>
      </c>
      <c r="BG8" s="191">
        <v>306814.5</v>
      </c>
      <c r="BH8" s="191">
        <v>1610901.75</v>
      </c>
      <c r="BI8" s="191">
        <v>771503</v>
      </c>
      <c r="BJ8" s="191">
        <v>6229760.2000000002</v>
      </c>
      <c r="BK8" s="191">
        <v>5639760.2000000002</v>
      </c>
      <c r="BL8" s="191">
        <v>0</v>
      </c>
      <c r="BM8" s="191">
        <v>7953461</v>
      </c>
      <c r="BN8" s="191">
        <v>3712499.32</v>
      </c>
      <c r="BO8" s="191">
        <v>28969992</v>
      </c>
      <c r="BP8" s="191">
        <v>1599692.9</v>
      </c>
      <c r="BQ8" s="191">
        <v>0</v>
      </c>
      <c r="BR8" s="191">
        <v>0</v>
      </c>
      <c r="BS8" s="191">
        <v>0</v>
      </c>
      <c r="BT8" s="191">
        <v>0</v>
      </c>
      <c r="BU8" s="191">
        <v>0</v>
      </c>
      <c r="BV8" s="191">
        <v>0</v>
      </c>
    </row>
    <row r="9" spans="1:74" s="191" customFormat="1" x14ac:dyDescent="0.25">
      <c r="A9" s="191" t="s">
        <v>308</v>
      </c>
      <c r="B9" s="191">
        <v>0</v>
      </c>
      <c r="C9" s="191">
        <v>421587</v>
      </c>
      <c r="D9" s="191">
        <v>0</v>
      </c>
      <c r="E9" s="191">
        <v>87930698</v>
      </c>
      <c r="F9" s="191">
        <v>0</v>
      </c>
      <c r="G9" s="191">
        <v>-9952741</v>
      </c>
      <c r="H9" s="191">
        <v>0</v>
      </c>
      <c r="I9" s="191">
        <v>52862289</v>
      </c>
      <c r="J9" s="191">
        <v>0</v>
      </c>
      <c r="K9" s="191">
        <v>-3840860</v>
      </c>
      <c r="L9" s="191">
        <v>0</v>
      </c>
      <c r="M9" s="191">
        <v>-3026374</v>
      </c>
      <c r="N9" s="191">
        <v>0</v>
      </c>
      <c r="O9" s="191">
        <v>7713598</v>
      </c>
      <c r="P9" s="191">
        <v>0</v>
      </c>
      <c r="Q9" s="191">
        <v>-3369650</v>
      </c>
      <c r="R9" s="191">
        <v>0</v>
      </c>
      <c r="S9" s="191">
        <v>-4215514</v>
      </c>
      <c r="T9" s="191">
        <v>0</v>
      </c>
      <c r="U9" s="191">
        <v>-1232151</v>
      </c>
      <c r="V9" s="191">
        <v>0</v>
      </c>
      <c r="W9" s="191">
        <v>62027597</v>
      </c>
      <c r="X9" s="191">
        <v>0</v>
      </c>
      <c r="Y9" s="191">
        <v>-2917346</v>
      </c>
      <c r="Z9" s="191">
        <v>0</v>
      </c>
      <c r="AA9" s="191">
        <v>-8537025</v>
      </c>
      <c r="AB9" s="191">
        <v>0</v>
      </c>
      <c r="AC9" s="191">
        <v>-13181161</v>
      </c>
      <c r="AD9" s="191">
        <v>0</v>
      </c>
      <c r="AE9" s="191">
        <v>131606</v>
      </c>
      <c r="AF9" s="191">
        <v>0</v>
      </c>
      <c r="AG9" s="191">
        <v>-3683496</v>
      </c>
      <c r="AH9" s="191">
        <v>0</v>
      </c>
      <c r="AI9" s="191">
        <v>1821295</v>
      </c>
      <c r="AJ9" s="191">
        <v>0</v>
      </c>
      <c r="AK9" s="191">
        <v>-6902206</v>
      </c>
      <c r="AL9" s="191">
        <v>0</v>
      </c>
      <c r="AM9" s="191">
        <v>-617849</v>
      </c>
      <c r="AN9" s="191">
        <v>0</v>
      </c>
      <c r="AO9" s="191">
        <v>-16507622</v>
      </c>
      <c r="AP9" s="191">
        <v>0</v>
      </c>
      <c r="AQ9" s="191">
        <v>25967</v>
      </c>
      <c r="AR9" s="191">
        <v>0</v>
      </c>
      <c r="AS9" s="191">
        <v>-23098476</v>
      </c>
      <c r="AT9" s="191">
        <v>0</v>
      </c>
      <c r="AU9" s="191">
        <v>-1106910</v>
      </c>
      <c r="AV9" s="191">
        <v>0</v>
      </c>
      <c r="AW9" s="191">
        <v>-25405331</v>
      </c>
      <c r="AX9" s="191">
        <v>-23113132</v>
      </c>
      <c r="AY9" s="191">
        <v>29345199</v>
      </c>
      <c r="AZ9" s="191">
        <v>6898</v>
      </c>
      <c r="BA9" s="191">
        <v>-6847925</v>
      </c>
      <c r="BB9" s="191">
        <v>715999.5</v>
      </c>
      <c r="BC9" s="191">
        <v>90028</v>
      </c>
      <c r="BD9" s="191">
        <v>-16881240</v>
      </c>
      <c r="BE9" s="191">
        <v>334044</v>
      </c>
      <c r="BF9" s="191">
        <v>107956.36</v>
      </c>
      <c r="BG9" s="191">
        <v>79956.36</v>
      </c>
      <c r="BH9" s="191">
        <v>-23256.2</v>
      </c>
      <c r="BI9" s="191">
        <v>6522835</v>
      </c>
      <c r="BJ9" s="191">
        <v>883887.36</v>
      </c>
      <c r="BK9" s="191">
        <v>895591.96</v>
      </c>
      <c r="BL9" s="191">
        <v>9462.94</v>
      </c>
      <c r="BM9" s="191">
        <v>187634</v>
      </c>
      <c r="BN9" s="191">
        <v>-1346.91</v>
      </c>
      <c r="BO9" s="191">
        <v>427992</v>
      </c>
      <c r="BP9" s="191">
        <v>204894.57</v>
      </c>
      <c r="BQ9" s="191">
        <v>1860140</v>
      </c>
      <c r="BR9" s="191">
        <v>-44751</v>
      </c>
      <c r="BS9" s="191">
        <v>1537003</v>
      </c>
      <c r="BT9" s="191">
        <v>380000</v>
      </c>
      <c r="BU9" s="191">
        <v>0</v>
      </c>
      <c r="BV9" s="191">
        <v>0</v>
      </c>
    </row>
    <row r="10" spans="1:74" s="191" customFormat="1" x14ac:dyDescent="0.25">
      <c r="A10" s="191" t="s">
        <v>309</v>
      </c>
      <c r="B10" s="188">
        <v>0</v>
      </c>
      <c r="C10" s="188">
        <v>329303</v>
      </c>
      <c r="D10" s="188">
        <v>0</v>
      </c>
      <c r="E10" s="188">
        <v>0</v>
      </c>
      <c r="F10" s="188">
        <v>0</v>
      </c>
      <c r="G10" s="188">
        <v>-294151</v>
      </c>
      <c r="H10" s="188">
        <v>0</v>
      </c>
      <c r="I10" s="188">
        <v>0</v>
      </c>
      <c r="J10" s="188">
        <v>0</v>
      </c>
      <c r="K10" s="188">
        <v>-684336</v>
      </c>
      <c r="L10" s="188">
        <v>0</v>
      </c>
      <c r="M10" s="188">
        <v>11376698</v>
      </c>
      <c r="N10" s="188">
        <v>0</v>
      </c>
      <c r="O10" s="188">
        <v>-731624</v>
      </c>
      <c r="P10" s="188">
        <v>0</v>
      </c>
      <c r="Q10" s="188">
        <v>18945517</v>
      </c>
      <c r="R10" s="188">
        <v>0</v>
      </c>
      <c r="S10" s="188">
        <v>-200112</v>
      </c>
      <c r="T10" s="188">
        <v>0</v>
      </c>
      <c r="U10" s="188">
        <v>113954871</v>
      </c>
      <c r="V10" s="188">
        <v>0</v>
      </c>
      <c r="W10" s="188">
        <v>539633</v>
      </c>
      <c r="X10" s="188">
        <v>0</v>
      </c>
      <c r="Y10" s="188">
        <v>44632767</v>
      </c>
      <c r="Z10" s="188">
        <v>0</v>
      </c>
      <c r="AA10" s="188">
        <v>-3064</v>
      </c>
      <c r="AB10" s="188">
        <v>0</v>
      </c>
      <c r="AC10" s="188">
        <v>2070499</v>
      </c>
      <c r="AD10" s="188">
        <v>0</v>
      </c>
      <c r="AE10" s="188">
        <v>0</v>
      </c>
      <c r="AF10" s="188">
        <v>0</v>
      </c>
      <c r="AG10" s="188">
        <v>11876443</v>
      </c>
      <c r="AH10" s="188">
        <v>0</v>
      </c>
      <c r="AI10" s="188">
        <v>0</v>
      </c>
      <c r="AJ10" s="188">
        <v>0</v>
      </c>
      <c r="AK10" s="188">
        <v>449979</v>
      </c>
      <c r="AL10" s="188">
        <v>0</v>
      </c>
      <c r="AM10" s="188">
        <v>0</v>
      </c>
      <c r="AN10" s="188">
        <v>0</v>
      </c>
      <c r="AO10" s="188">
        <v>0</v>
      </c>
      <c r="AP10" s="188">
        <v>0</v>
      </c>
      <c r="AQ10" s="188">
        <v>0</v>
      </c>
      <c r="AR10" s="188">
        <v>0</v>
      </c>
      <c r="AS10" s="188">
        <v>3078825</v>
      </c>
      <c r="AT10" s="188">
        <v>0</v>
      </c>
      <c r="AU10" s="188">
        <v>0</v>
      </c>
      <c r="AV10" s="188">
        <v>0</v>
      </c>
      <c r="AW10" s="188">
        <v>2905675</v>
      </c>
      <c r="AX10" s="188">
        <v>921227</v>
      </c>
      <c r="AY10" s="188">
        <v>920787</v>
      </c>
      <c r="AZ10" s="188">
        <v>593760</v>
      </c>
      <c r="BA10" s="188">
        <v>1150954</v>
      </c>
      <c r="BB10" s="188">
        <v>2152113.64</v>
      </c>
      <c r="BC10" s="188">
        <v>43035</v>
      </c>
      <c r="BD10" s="188">
        <v>18990305</v>
      </c>
      <c r="BE10" s="188">
        <v>166248</v>
      </c>
      <c r="BF10" s="188">
        <v>828695.79</v>
      </c>
      <c r="BG10" s="188">
        <v>828695.79</v>
      </c>
      <c r="BH10" s="188">
        <v>0</v>
      </c>
      <c r="BI10" s="188">
        <v>0</v>
      </c>
      <c r="BJ10" s="188">
        <v>1416928.8</v>
      </c>
      <c r="BK10" s="188">
        <v>1413828.8</v>
      </c>
      <c r="BL10" s="188">
        <v>5875.42</v>
      </c>
      <c r="BM10" s="188">
        <v>0</v>
      </c>
      <c r="BN10" s="188">
        <v>0</v>
      </c>
      <c r="BO10" s="188">
        <v>0</v>
      </c>
      <c r="BP10" s="188">
        <v>0</v>
      </c>
      <c r="BQ10" s="188">
        <v>0</v>
      </c>
      <c r="BR10" s="188">
        <v>0</v>
      </c>
      <c r="BS10" s="188">
        <v>0</v>
      </c>
      <c r="BT10" s="188">
        <v>0</v>
      </c>
      <c r="BU10" s="188">
        <v>0</v>
      </c>
      <c r="BV10" s="191">
        <v>0</v>
      </c>
    </row>
    <row r="11" spans="1:74" s="47" customFormat="1" x14ac:dyDescent="0.25">
      <c r="A11" s="134" t="s">
        <v>296</v>
      </c>
      <c r="E11" s="47">
        <f>E5-E6-E7-E8-E9-E10</f>
        <v>35702550004</v>
      </c>
      <c r="F11" s="47">
        <f t="shared" ref="F11:BQ11" si="1">F5-F6-F7-F8-F9-F10</f>
        <v>35702288803</v>
      </c>
      <c r="G11" s="47">
        <f t="shared" si="1"/>
        <v>19270954144</v>
      </c>
      <c r="H11" s="47">
        <f t="shared" si="1"/>
        <v>13991312110</v>
      </c>
      <c r="I11" s="47">
        <f t="shared" si="1"/>
        <v>20062097296</v>
      </c>
      <c r="J11" s="47">
        <f t="shared" si="1"/>
        <v>15380880807</v>
      </c>
      <c r="K11" s="47">
        <f t="shared" si="1"/>
        <v>2058313146</v>
      </c>
      <c r="L11" s="47">
        <f t="shared" si="1"/>
        <v>3388643215</v>
      </c>
      <c r="M11" s="47">
        <f t="shared" si="1"/>
        <v>10477734997</v>
      </c>
      <c r="N11" s="47">
        <f t="shared" si="1"/>
        <v>13707010102</v>
      </c>
      <c r="O11" s="47">
        <f t="shared" si="1"/>
        <v>6710378108</v>
      </c>
      <c r="P11" s="47">
        <f t="shared" si="1"/>
        <v>5518974454</v>
      </c>
      <c r="Q11" s="47">
        <f t="shared" si="1"/>
        <v>15489877674</v>
      </c>
      <c r="R11" s="47">
        <f t="shared" si="1"/>
        <v>14289088111</v>
      </c>
      <c r="S11" s="47">
        <f t="shared" si="1"/>
        <v>6812502189</v>
      </c>
      <c r="T11" s="47">
        <f t="shared" si="1"/>
        <v>4042718201</v>
      </c>
      <c r="U11" s="47">
        <f t="shared" si="1"/>
        <v>13589897163</v>
      </c>
      <c r="V11" s="47">
        <f t="shared" si="1"/>
        <v>12456038918</v>
      </c>
      <c r="W11" s="47">
        <f t="shared" si="1"/>
        <v>6038758817</v>
      </c>
      <c r="X11" s="47">
        <f t="shared" si="1"/>
        <v>1298416421</v>
      </c>
      <c r="Y11" s="47">
        <f t="shared" si="1"/>
        <v>210470399</v>
      </c>
      <c r="Z11" s="47">
        <f t="shared" si="1"/>
        <v>2721781561</v>
      </c>
      <c r="AA11" s="47">
        <f t="shared" si="1"/>
        <v>451937694</v>
      </c>
      <c r="AB11" s="47">
        <f t="shared" si="1"/>
        <v>2498852050</v>
      </c>
      <c r="AC11" s="47">
        <f t="shared" si="1"/>
        <v>15387462658</v>
      </c>
      <c r="AD11" s="47">
        <f t="shared" si="1"/>
        <v>15759072519</v>
      </c>
      <c r="AE11" s="47">
        <f t="shared" si="1"/>
        <v>10303262855</v>
      </c>
      <c r="AF11" s="47">
        <f t="shared" si="1"/>
        <v>6212359370</v>
      </c>
      <c r="AG11" s="47">
        <f t="shared" si="1"/>
        <v>12266923043</v>
      </c>
      <c r="AH11" s="47">
        <f t="shared" si="1"/>
        <v>9994814443</v>
      </c>
      <c r="AI11" s="47">
        <f t="shared" si="1"/>
        <v>5467020874</v>
      </c>
      <c r="AJ11" s="47">
        <f t="shared" si="1"/>
        <v>1321556471</v>
      </c>
      <c r="AK11" s="47">
        <f t="shared" si="1"/>
        <v>2440134969</v>
      </c>
      <c r="AL11" s="47">
        <f t="shared" si="1"/>
        <v>2561780111</v>
      </c>
      <c r="AM11" s="47">
        <f t="shared" si="1"/>
        <v>1312638092</v>
      </c>
      <c r="AN11" s="47">
        <f t="shared" si="1"/>
        <v>705476913</v>
      </c>
      <c r="AO11" s="47">
        <f t="shared" si="1"/>
        <v>-114312374</v>
      </c>
      <c r="AP11" s="47">
        <f t="shared" si="1"/>
        <v>811834126</v>
      </c>
      <c r="AQ11" s="47">
        <f t="shared" si="1"/>
        <v>24058867</v>
      </c>
      <c r="AR11" s="47">
        <f t="shared" si="1"/>
        <v>150207173</v>
      </c>
      <c r="AS11" s="47">
        <f t="shared" si="1"/>
        <v>-1128720849</v>
      </c>
      <c r="AT11" s="47">
        <f t="shared" si="1"/>
        <v>0</v>
      </c>
      <c r="AU11" s="47">
        <f t="shared" si="1"/>
        <v>-567324909</v>
      </c>
      <c r="AV11" s="47">
        <f t="shared" si="1"/>
        <v>0</v>
      </c>
      <c r="AW11" s="47">
        <f t="shared" si="1"/>
        <v>-1612155996</v>
      </c>
      <c r="AX11" s="47">
        <f t="shared" si="1"/>
        <v>-1312721601</v>
      </c>
      <c r="AY11" s="47">
        <f t="shared" si="1"/>
        <v>-969718901</v>
      </c>
      <c r="AZ11" s="47">
        <f t="shared" si="1"/>
        <v>-515140307</v>
      </c>
      <c r="BA11" s="47">
        <f t="shared" si="1"/>
        <v>-1251898077</v>
      </c>
      <c r="BB11" s="47">
        <f t="shared" si="1"/>
        <v>-787075325.69000006</v>
      </c>
      <c r="BC11" s="47">
        <f t="shared" si="1"/>
        <v>-429778039</v>
      </c>
      <c r="BD11" s="47">
        <f t="shared" si="1"/>
        <v>-218004144</v>
      </c>
      <c r="BE11" s="47">
        <f t="shared" si="1"/>
        <v>-740668957</v>
      </c>
      <c r="BF11" s="47">
        <f t="shared" si="1"/>
        <v>-529264660.1500001</v>
      </c>
      <c r="BG11" s="47">
        <f t="shared" si="1"/>
        <v>-344577559.84000003</v>
      </c>
      <c r="BH11" s="47">
        <f t="shared" si="1"/>
        <v>-159941453.22000003</v>
      </c>
      <c r="BI11" s="47">
        <f t="shared" si="1"/>
        <v>-642435938</v>
      </c>
      <c r="BJ11" s="47">
        <f t="shared" si="1"/>
        <v>-455439460.44</v>
      </c>
      <c r="BK11" s="47">
        <f t="shared" si="1"/>
        <v>-317184554.73999995</v>
      </c>
      <c r="BL11" s="47">
        <f t="shared" si="1"/>
        <v>-118877870.42</v>
      </c>
      <c r="BM11" s="47">
        <f t="shared" si="1"/>
        <v>-156411178</v>
      </c>
      <c r="BN11" s="47">
        <f t="shared" si="1"/>
        <v>-76667482.140000001</v>
      </c>
      <c r="BO11" s="47">
        <f t="shared" si="1"/>
        <v>-94236408</v>
      </c>
      <c r="BP11" s="47">
        <f t="shared" si="1"/>
        <v>-33775143.520000003</v>
      </c>
      <c r="BQ11" s="47">
        <f t="shared" si="1"/>
        <v>-52550614</v>
      </c>
      <c r="BR11" s="47">
        <f t="shared" ref="BR11:BS11" si="2">BR5-BR6-BR7-BR8-BR9-BR10</f>
        <v>-21719063</v>
      </c>
      <c r="BS11" s="47">
        <f t="shared" si="2"/>
        <v>-34083247</v>
      </c>
    </row>
    <row r="12" spans="1:74" s="26" customFormat="1" x14ac:dyDescent="0.25">
      <c r="A12" s="17" t="s">
        <v>297</v>
      </c>
      <c r="E12" s="26">
        <f t="shared" ref="E12:Q12" si="3">I34</f>
        <v>113272716373</v>
      </c>
      <c r="F12" s="26">
        <f t="shared" si="3"/>
        <v>99365789449</v>
      </c>
      <c r="G12" s="26">
        <f t="shared" si="3"/>
        <v>91096748246</v>
      </c>
      <c r="H12" s="26">
        <f t="shared" si="3"/>
        <v>89856421225</v>
      </c>
      <c r="I12" s="26">
        <f t="shared" si="3"/>
        <v>88183685845</v>
      </c>
      <c r="J12" s="26">
        <f t="shared" si="3"/>
        <v>86293405825</v>
      </c>
      <c r="K12" s="26">
        <f t="shared" si="3"/>
        <v>82090040774</v>
      </c>
      <c r="L12" s="26">
        <f t="shared" si="3"/>
        <v>79513526764</v>
      </c>
      <c r="M12" s="26">
        <f t="shared" si="3"/>
        <v>77179516789</v>
      </c>
      <c r="N12" s="26">
        <f t="shared" si="3"/>
        <v>71698941300</v>
      </c>
      <c r="O12" s="26">
        <f t="shared" si="3"/>
        <v>70146470356</v>
      </c>
      <c r="P12" s="26">
        <f t="shared" si="3"/>
        <v>63508040775</v>
      </c>
      <c r="Q12" s="26">
        <f t="shared" si="3"/>
        <v>60586342465</v>
      </c>
      <c r="R12" s="191">
        <f t="shared" ref="R12" si="4">V34</f>
        <v>55854867957</v>
      </c>
      <c r="S12" s="191">
        <f t="shared" ref="S12" si="5">W34</f>
        <v>48832766333</v>
      </c>
      <c r="T12" s="191">
        <f t="shared" ref="T12" si="6">X34</f>
        <v>40778094297</v>
      </c>
      <c r="U12" s="191">
        <f t="shared" ref="U12" si="7">Y34</f>
        <v>41106111370</v>
      </c>
      <c r="V12" s="191">
        <f t="shared" ref="V12" si="8">Z34</f>
        <v>40745667832</v>
      </c>
      <c r="W12" s="191">
        <f t="shared" ref="W12" si="9">AA34</f>
        <v>40729249789</v>
      </c>
      <c r="X12" s="191">
        <f t="shared" ref="X12" si="10">AB34</f>
        <v>40097341820</v>
      </c>
      <c r="Y12" s="191">
        <f t="shared" ref="Y12" si="11">AC34</f>
        <v>40697751963</v>
      </c>
      <c r="Z12" s="191">
        <f t="shared" ref="Z12" si="12">AD34</f>
        <v>39006874449</v>
      </c>
      <c r="AA12" s="191">
        <f t="shared" ref="AA12" si="13">AE34</f>
        <v>35841435009</v>
      </c>
      <c r="AB12" s="191">
        <f t="shared" ref="AB12" si="14">AF34</f>
        <v>30884481984</v>
      </c>
      <c r="AC12" s="191">
        <f t="shared" ref="AC12" si="15">AG34</f>
        <v>26207840977</v>
      </c>
      <c r="AD12" s="191">
        <f t="shared" ref="AD12" si="16">AH34</f>
        <v>21836663845</v>
      </c>
      <c r="AE12" s="191">
        <f t="shared" ref="AE12" si="17">AI34</f>
        <v>17600608361</v>
      </c>
      <c r="AF12" s="191">
        <f t="shared" ref="AF12" si="18">AJ34</f>
        <v>12652953250</v>
      </c>
      <c r="AG12" s="191">
        <f t="shared" ref="AG12" si="19">AK34</f>
        <v>11769777630</v>
      </c>
      <c r="AH12" s="191">
        <f t="shared" ref="AH12" si="20">AL34</f>
        <v>9620777006</v>
      </c>
      <c r="AI12" s="191">
        <f t="shared" ref="AI12" si="21">AM34</f>
        <v>9287103420</v>
      </c>
      <c r="AJ12" s="191">
        <f t="shared" ref="AJ12" si="22">AN34</f>
        <v>8532202868</v>
      </c>
      <c r="AK12" s="191">
        <f t="shared" ref="AK12" si="23">AO34</f>
        <v>8238304700</v>
      </c>
      <c r="AL12" s="191">
        <f t="shared" ref="AL12" si="24">AP34</f>
        <v>8499445696</v>
      </c>
      <c r="AM12" s="191">
        <f t="shared" ref="AM12" si="25">AQ34</f>
        <v>8698074350</v>
      </c>
      <c r="AN12" s="191">
        <f t="shared" ref="AN12" si="26">AR34</f>
        <v>8403371922</v>
      </c>
      <c r="AO12" s="191">
        <f t="shared" ref="AO12" si="27">AS34</f>
        <v>8540278559</v>
      </c>
      <c r="AP12" s="191">
        <f t="shared" ref="AP12" si="28">AT34</f>
        <v>10053956715</v>
      </c>
      <c r="AQ12" s="191">
        <f t="shared" ref="AQ12" si="29">AU34</f>
        <v>10262195864</v>
      </c>
      <c r="AR12" s="191">
        <f t="shared" ref="AR12" si="30">AV34</f>
        <v>10569353455</v>
      </c>
      <c r="AS12" s="191">
        <f t="shared" ref="AS12" si="31">AW34</f>
        <v>11725754090</v>
      </c>
      <c r="AT12" s="191">
        <f t="shared" ref="AT12" si="32">AX34</f>
        <v>11785581265</v>
      </c>
      <c r="AU12" s="191">
        <f t="shared" ref="AU12" si="33">AY34</f>
        <v>14055686914</v>
      </c>
      <c r="AV12" s="191">
        <f t="shared" ref="AV12" si="34">AZ34</f>
        <v>14395067906</v>
      </c>
      <c r="AW12" s="191">
        <f t="shared" ref="AW12" si="35">BA34</f>
        <v>14607732167</v>
      </c>
      <c r="AX12" s="191">
        <f t="shared" ref="AX12" si="36">BB34</f>
        <v>14643176446</v>
      </c>
      <c r="AY12" s="191">
        <f t="shared" ref="AY12" si="37">BC34</f>
        <v>14905621582</v>
      </c>
      <c r="AZ12" s="191">
        <f t="shared" ref="AZ12" si="38">BD34</f>
        <v>13376945399</v>
      </c>
      <c r="BA12" s="191">
        <f t="shared" ref="BA12" si="39">BE34</f>
        <v>12576086418</v>
      </c>
      <c r="BB12" s="191">
        <f t="shared" ref="BB12" si="40">BF34</f>
        <v>8384459595.5600004</v>
      </c>
      <c r="BC12" s="191">
        <f t="shared" ref="BC12" si="41">BG34</f>
        <v>6735689343.8299999</v>
      </c>
      <c r="BD12" s="191">
        <f t="shared" ref="BD12" si="42">BH34</f>
        <v>6653641717.5200005</v>
      </c>
      <c r="BE12" s="191">
        <f t="shared" ref="BE12" si="43">BI34</f>
        <v>6418171245</v>
      </c>
      <c r="BF12" s="191">
        <f t="shared" ref="BF12" si="44">BJ34</f>
        <v>5442187708.7399998</v>
      </c>
      <c r="BG12" s="191">
        <f t="shared" ref="BG12" si="45">BK34</f>
        <v>5370836546.21</v>
      </c>
      <c r="BH12" s="191">
        <f t="shared" ref="BH12" si="46">BL34</f>
        <v>5328764572.8900003</v>
      </c>
      <c r="BI12" s="191">
        <f t="shared" ref="BI12" si="47">BM34</f>
        <v>2398206104</v>
      </c>
      <c r="BJ12" s="191">
        <f t="shared" ref="BJ12" si="48">BN34</f>
        <v>2235497541.7199998</v>
      </c>
      <c r="BK12" s="191">
        <f t="shared" ref="BK12" si="49">BO34</f>
        <v>2150428180.9899998</v>
      </c>
      <c r="BL12" s="191">
        <f t="shared" ref="BL12" si="50">BP34</f>
        <v>2057084094.0699999</v>
      </c>
      <c r="BM12" s="191">
        <f t="shared" ref="BM12" si="51">BQ34</f>
        <v>8499445696</v>
      </c>
      <c r="BN12" s="191">
        <f t="shared" ref="BN12" si="52">BR34</f>
        <v>8698074350</v>
      </c>
    </row>
    <row r="13" spans="1:74" s="218" customFormat="1" x14ac:dyDescent="0.25">
      <c r="A13" s="218" t="s">
        <v>350</v>
      </c>
      <c r="E13" s="218">
        <f>E11/E12</f>
        <v>0.31519108172910526</v>
      </c>
      <c r="F13" s="218">
        <f t="shared" ref="F13:AR13" si="53">F11/F12</f>
        <v>0.35930161679361872</v>
      </c>
      <c r="G13" s="218">
        <f t="shared" si="53"/>
        <v>0.21154382033440119</v>
      </c>
      <c r="H13" s="218">
        <f t="shared" si="53"/>
        <v>0.15570742657295275</v>
      </c>
      <c r="I13" s="218">
        <f t="shared" si="53"/>
        <v>0.22750350139892137</v>
      </c>
      <c r="J13" s="218">
        <f t="shared" si="53"/>
        <v>0.17823935282137185</v>
      </c>
      <c r="K13" s="218">
        <f t="shared" si="53"/>
        <v>2.5073847285162026E-2</v>
      </c>
      <c r="L13" s="218">
        <f t="shared" si="53"/>
        <v>4.261719172710899E-2</v>
      </c>
      <c r="M13" s="218">
        <f t="shared" si="53"/>
        <v>0.13575797611748378</v>
      </c>
      <c r="N13" s="218">
        <f t="shared" si="53"/>
        <v>0.19117451183341252</v>
      </c>
      <c r="O13" s="218">
        <f t="shared" si="53"/>
        <v>9.5662377222178019E-2</v>
      </c>
      <c r="P13" s="218">
        <f t="shared" si="53"/>
        <v>8.6901979444665059E-2</v>
      </c>
      <c r="Q13" s="218">
        <f t="shared" si="53"/>
        <v>0.25566616243501272</v>
      </c>
      <c r="R13" s="218">
        <f t="shared" si="53"/>
        <v>0.2558252956931254</v>
      </c>
      <c r="S13" s="218">
        <f t="shared" si="53"/>
        <v>0.13950678408313469</v>
      </c>
      <c r="T13" s="218">
        <f t="shared" si="53"/>
        <v>9.9139458836785765E-2</v>
      </c>
      <c r="U13" s="218">
        <f t="shared" si="53"/>
        <v>0.33060527279450125</v>
      </c>
      <c r="V13" s="218">
        <f t="shared" si="53"/>
        <v>0.30570216616298851</v>
      </c>
      <c r="W13" s="218">
        <f t="shared" si="53"/>
        <v>0.14826589854426744</v>
      </c>
      <c r="X13" s="218">
        <f t="shared" si="53"/>
        <v>3.2381608407576978E-2</v>
      </c>
      <c r="Y13" s="218">
        <f t="shared" si="53"/>
        <v>5.1715485216811798E-3</v>
      </c>
      <c r="Z13" s="218">
        <f t="shared" si="53"/>
        <v>6.9776971353052789E-2</v>
      </c>
      <c r="AA13" s="218">
        <f t="shared" si="53"/>
        <v>1.2609363823923784E-2</v>
      </c>
      <c r="AB13" s="218">
        <f t="shared" si="53"/>
        <v>8.0909631292976E-2</v>
      </c>
      <c r="AC13" s="218">
        <f t="shared" si="53"/>
        <v>0.58713202172983403</v>
      </c>
      <c r="AD13" s="218">
        <f t="shared" si="53"/>
        <v>0.72167949421488198</v>
      </c>
      <c r="AE13" s="218">
        <f t="shared" si="53"/>
        <v>0.58539242756121457</v>
      </c>
      <c r="AF13" s="218">
        <f t="shared" si="53"/>
        <v>0.49098097868969837</v>
      </c>
      <c r="AG13" s="218">
        <f t="shared" si="53"/>
        <v>1.0422391508683075</v>
      </c>
      <c r="AH13" s="218">
        <f t="shared" si="53"/>
        <v>1.0388780902796866</v>
      </c>
      <c r="AI13" s="218">
        <f t="shared" si="53"/>
        <v>0.58866802992918543</v>
      </c>
      <c r="AJ13" s="218">
        <f t="shared" si="53"/>
        <v>0.15489041827128763</v>
      </c>
      <c r="AK13" s="218">
        <f t="shared" si="53"/>
        <v>0.29619382359091428</v>
      </c>
      <c r="AL13" s="218">
        <f t="shared" si="53"/>
        <v>0.30140555074145858</v>
      </c>
      <c r="AM13" s="218">
        <f t="shared" si="53"/>
        <v>0.15091134418734878</v>
      </c>
      <c r="AN13" s="218">
        <f t="shared" si="53"/>
        <v>8.3951646975550825E-2</v>
      </c>
      <c r="AO13" s="218">
        <f t="shared" si="53"/>
        <v>-1.3385087290804374E-2</v>
      </c>
      <c r="AP13" s="218">
        <f t="shared" si="53"/>
        <v>8.0747724404739499E-2</v>
      </c>
      <c r="AQ13" s="218">
        <f t="shared" si="53"/>
        <v>2.3444170544823662E-3</v>
      </c>
      <c r="AR13" s="218">
        <f t="shared" si="53"/>
        <v>1.4211576293622966E-2</v>
      </c>
    </row>
    <row r="14" spans="1:74" s="48" customFormat="1" x14ac:dyDescent="0.25">
      <c r="A14" s="46" t="s">
        <v>293</v>
      </c>
    </row>
    <row r="15" spans="1:74" s="191" customFormat="1" x14ac:dyDescent="0.25">
      <c r="A15" s="191" t="s">
        <v>313</v>
      </c>
      <c r="B15" s="191">
        <v>0</v>
      </c>
      <c r="C15" s="191">
        <v>0</v>
      </c>
      <c r="D15" s="191">
        <v>0</v>
      </c>
      <c r="E15" s="191">
        <v>0</v>
      </c>
      <c r="F15" s="191">
        <v>0</v>
      </c>
      <c r="G15" s="191">
        <v>0</v>
      </c>
      <c r="H15" s="191">
        <v>0</v>
      </c>
      <c r="I15" s="191">
        <v>2403114462</v>
      </c>
      <c r="J15" s="191">
        <v>0</v>
      </c>
      <c r="K15" s="191">
        <v>0</v>
      </c>
      <c r="L15" s="191">
        <v>0</v>
      </c>
      <c r="M15" s="191">
        <v>0</v>
      </c>
      <c r="N15" s="191">
        <v>0</v>
      </c>
      <c r="O15" s="191">
        <v>0</v>
      </c>
      <c r="P15" s="191">
        <v>0</v>
      </c>
      <c r="Q15" s="191">
        <v>0</v>
      </c>
      <c r="R15" s="191">
        <v>0</v>
      </c>
      <c r="S15" s="191">
        <v>0</v>
      </c>
      <c r="T15" s="191">
        <v>0</v>
      </c>
      <c r="U15" s="191">
        <v>0</v>
      </c>
      <c r="V15" s="191">
        <v>0</v>
      </c>
      <c r="W15" s="191">
        <v>0</v>
      </c>
      <c r="X15" s="191">
        <v>0</v>
      </c>
      <c r="Y15" s="191">
        <v>1399900000</v>
      </c>
      <c r="Z15" s="191">
        <v>0</v>
      </c>
      <c r="AA15" s="191">
        <v>0</v>
      </c>
      <c r="AB15" s="191">
        <v>0</v>
      </c>
      <c r="AC15" s="191">
        <v>1916282219</v>
      </c>
      <c r="AD15" s="191">
        <v>0</v>
      </c>
      <c r="AE15" s="191">
        <v>0</v>
      </c>
      <c r="AF15" s="191">
        <v>0</v>
      </c>
      <c r="AG15" s="191">
        <v>0</v>
      </c>
      <c r="AH15" s="191">
        <v>0</v>
      </c>
      <c r="AI15" s="191">
        <v>0</v>
      </c>
      <c r="AJ15" s="191">
        <v>0</v>
      </c>
      <c r="AK15" s="191">
        <v>272102501</v>
      </c>
      <c r="AL15" s="191">
        <v>0</v>
      </c>
      <c r="AM15" s="191">
        <v>0</v>
      </c>
      <c r="AN15" s="191">
        <v>95735577</v>
      </c>
      <c r="AO15" s="191">
        <v>0</v>
      </c>
      <c r="AP15" s="191">
        <v>0</v>
      </c>
      <c r="AQ15" s="191">
        <v>218993295</v>
      </c>
      <c r="AR15" s="191">
        <v>0</v>
      </c>
      <c r="AS15" s="191">
        <v>0</v>
      </c>
      <c r="AT15" s="191">
        <v>0</v>
      </c>
      <c r="AU15" s="191">
        <v>0</v>
      </c>
      <c r="AV15" s="191">
        <v>0</v>
      </c>
      <c r="AW15" s="191">
        <v>0</v>
      </c>
      <c r="AX15" s="191">
        <v>0</v>
      </c>
      <c r="AY15" s="191">
        <v>0</v>
      </c>
      <c r="AZ15" s="191">
        <v>0</v>
      </c>
      <c r="BA15" s="191">
        <v>0</v>
      </c>
      <c r="BB15" s="191">
        <v>0</v>
      </c>
      <c r="BC15" s="191">
        <v>0</v>
      </c>
      <c r="BD15" s="191">
        <v>0</v>
      </c>
      <c r="BE15" s="191">
        <v>0</v>
      </c>
      <c r="BF15" s="191">
        <v>0</v>
      </c>
      <c r="BG15" s="191">
        <v>0</v>
      </c>
      <c r="BH15" s="191">
        <v>0</v>
      </c>
      <c r="BI15" s="191">
        <v>0</v>
      </c>
      <c r="BJ15" s="191">
        <v>0</v>
      </c>
      <c r="BK15" s="191">
        <v>0</v>
      </c>
      <c r="BL15" s="191">
        <v>0</v>
      </c>
      <c r="BM15" s="191">
        <v>0</v>
      </c>
      <c r="BN15" s="191">
        <v>0</v>
      </c>
      <c r="BO15" s="191">
        <v>0</v>
      </c>
      <c r="BP15" s="191">
        <v>0</v>
      </c>
      <c r="BQ15" s="191">
        <v>0</v>
      </c>
      <c r="BR15" s="191">
        <v>0</v>
      </c>
      <c r="BS15" s="191">
        <v>0</v>
      </c>
      <c r="BT15" s="191">
        <v>0</v>
      </c>
      <c r="BU15" s="191">
        <v>0</v>
      </c>
      <c r="BV15" s="191">
        <v>0</v>
      </c>
    </row>
    <row r="16" spans="1:74" s="191" customFormat="1" x14ac:dyDescent="0.25">
      <c r="A16" s="191" t="s">
        <v>314</v>
      </c>
      <c r="B16" s="191">
        <v>0</v>
      </c>
      <c r="C16" s="191">
        <v>0</v>
      </c>
      <c r="D16" s="191">
        <v>0</v>
      </c>
      <c r="E16" s="191">
        <v>0</v>
      </c>
      <c r="F16" s="191">
        <v>8399081</v>
      </c>
      <c r="G16" s="191">
        <v>0</v>
      </c>
      <c r="H16" s="191">
        <v>0</v>
      </c>
      <c r="I16" s="191">
        <v>0</v>
      </c>
      <c r="J16" s="191">
        <v>0</v>
      </c>
      <c r="K16" s="191">
        <v>0</v>
      </c>
      <c r="L16" s="191">
        <v>0</v>
      </c>
      <c r="M16" s="191">
        <v>404844397</v>
      </c>
      <c r="N16" s="191">
        <v>404844377</v>
      </c>
      <c r="O16" s="191">
        <v>0</v>
      </c>
      <c r="P16" s="191">
        <v>4000000</v>
      </c>
      <c r="Q16" s="191">
        <v>809412435</v>
      </c>
      <c r="R16" s="191">
        <v>534815100</v>
      </c>
      <c r="S16" s="191">
        <v>534815100</v>
      </c>
      <c r="T16" s="191">
        <v>0</v>
      </c>
      <c r="U16" s="191">
        <v>377624956</v>
      </c>
      <c r="V16" s="191">
        <v>0</v>
      </c>
      <c r="W16" s="191">
        <v>0</v>
      </c>
      <c r="X16" s="191">
        <v>0</v>
      </c>
      <c r="Y16" s="191">
        <v>0</v>
      </c>
      <c r="Z16" s="191">
        <v>0</v>
      </c>
      <c r="AA16" s="191">
        <v>0</v>
      </c>
      <c r="AB16" s="191">
        <v>0</v>
      </c>
      <c r="AC16" s="191">
        <v>13650072</v>
      </c>
      <c r="AD16" s="191">
        <v>15306439</v>
      </c>
      <c r="AE16" s="191">
        <v>15306439</v>
      </c>
      <c r="AF16" s="191">
        <v>15306439</v>
      </c>
      <c r="AG16" s="191">
        <v>147250691</v>
      </c>
      <c r="AH16" s="191">
        <v>253900000</v>
      </c>
      <c r="AI16" s="191">
        <v>0</v>
      </c>
      <c r="AJ16" s="191">
        <v>0</v>
      </c>
      <c r="AK16" s="191">
        <v>0</v>
      </c>
      <c r="AL16" s="191">
        <v>0</v>
      </c>
      <c r="AM16" s="191">
        <v>0</v>
      </c>
      <c r="AN16" s="191">
        <v>0</v>
      </c>
      <c r="AO16" s="191">
        <v>12126325</v>
      </c>
      <c r="AP16" s="191">
        <v>0</v>
      </c>
      <c r="AQ16" s="191">
        <v>0</v>
      </c>
      <c r="AR16" s="191">
        <v>0</v>
      </c>
      <c r="AS16" s="191">
        <v>0</v>
      </c>
      <c r="AT16" s="191">
        <v>0</v>
      </c>
      <c r="AU16" s="191">
        <v>0</v>
      </c>
      <c r="AV16" s="191">
        <v>0</v>
      </c>
      <c r="AW16" s="191">
        <v>0</v>
      </c>
      <c r="AX16" s="191">
        <v>0</v>
      </c>
      <c r="AY16" s="191">
        <v>0</v>
      </c>
      <c r="AZ16" s="191">
        <v>0</v>
      </c>
      <c r="BA16" s="191">
        <v>0</v>
      </c>
      <c r="BB16" s="191">
        <v>0</v>
      </c>
      <c r="BC16" s="191">
        <v>0</v>
      </c>
      <c r="BD16" s="191">
        <v>0</v>
      </c>
      <c r="BE16" s="191">
        <v>0</v>
      </c>
      <c r="BF16" s="191">
        <v>0</v>
      </c>
      <c r="BG16" s="191">
        <v>0</v>
      </c>
      <c r="BH16" s="191">
        <v>0</v>
      </c>
      <c r="BI16" s="191">
        <v>0</v>
      </c>
      <c r="BJ16" s="191">
        <v>0</v>
      </c>
      <c r="BK16" s="191">
        <v>0</v>
      </c>
      <c r="BL16" s="191">
        <v>0</v>
      </c>
      <c r="BM16" s="191">
        <v>0</v>
      </c>
      <c r="BN16" s="191">
        <v>0</v>
      </c>
      <c r="BO16" s="191">
        <v>0</v>
      </c>
      <c r="BP16" s="191">
        <v>0</v>
      </c>
      <c r="BQ16" s="191">
        <v>0</v>
      </c>
      <c r="BR16" s="191">
        <v>0</v>
      </c>
      <c r="BS16" s="191">
        <v>0</v>
      </c>
      <c r="BT16" s="191">
        <v>0</v>
      </c>
      <c r="BU16" s="191">
        <v>0</v>
      </c>
      <c r="BV16" s="191">
        <v>0</v>
      </c>
    </row>
    <row r="17" spans="1:74" s="47" customFormat="1" x14ac:dyDescent="0.25">
      <c r="A17" s="134" t="s">
        <v>298</v>
      </c>
      <c r="E17" s="47">
        <f>E16-E15</f>
        <v>0</v>
      </c>
      <c r="F17" s="47">
        <f t="shared" ref="F17:AV17" si="54">F16-F15</f>
        <v>8399081</v>
      </c>
      <c r="G17" s="47">
        <f t="shared" si="54"/>
        <v>0</v>
      </c>
      <c r="H17" s="47">
        <f t="shared" si="54"/>
        <v>0</v>
      </c>
      <c r="I17" s="47">
        <f t="shared" si="54"/>
        <v>-2403114462</v>
      </c>
      <c r="J17" s="47">
        <f t="shared" si="54"/>
        <v>0</v>
      </c>
      <c r="K17" s="47">
        <f t="shared" si="54"/>
        <v>0</v>
      </c>
      <c r="L17" s="47">
        <f t="shared" si="54"/>
        <v>0</v>
      </c>
      <c r="M17" s="47">
        <f t="shared" si="54"/>
        <v>404844397</v>
      </c>
      <c r="N17" s="47">
        <f t="shared" si="54"/>
        <v>404844377</v>
      </c>
      <c r="O17" s="47">
        <f t="shared" si="54"/>
        <v>0</v>
      </c>
      <c r="P17" s="47">
        <f t="shared" si="54"/>
        <v>4000000</v>
      </c>
      <c r="Q17" s="47">
        <f t="shared" si="54"/>
        <v>809412435</v>
      </c>
      <c r="R17" s="47">
        <f t="shared" si="54"/>
        <v>534815100</v>
      </c>
      <c r="S17" s="47">
        <f t="shared" si="54"/>
        <v>534815100</v>
      </c>
      <c r="T17" s="47">
        <f t="shared" si="54"/>
        <v>0</v>
      </c>
      <c r="U17" s="47">
        <f t="shared" si="54"/>
        <v>377624956</v>
      </c>
      <c r="V17" s="47">
        <f t="shared" si="54"/>
        <v>0</v>
      </c>
      <c r="W17" s="47">
        <f t="shared" si="54"/>
        <v>0</v>
      </c>
      <c r="X17" s="47">
        <f t="shared" si="54"/>
        <v>0</v>
      </c>
      <c r="Y17" s="47">
        <f t="shared" si="54"/>
        <v>-1399900000</v>
      </c>
      <c r="Z17" s="47">
        <f t="shared" si="54"/>
        <v>0</v>
      </c>
      <c r="AA17" s="47">
        <f t="shared" si="54"/>
        <v>0</v>
      </c>
      <c r="AB17" s="47">
        <f t="shared" si="54"/>
        <v>0</v>
      </c>
      <c r="AC17" s="47">
        <f t="shared" si="54"/>
        <v>-1902632147</v>
      </c>
      <c r="AD17" s="47">
        <f t="shared" si="54"/>
        <v>15306439</v>
      </c>
      <c r="AE17" s="47">
        <f t="shared" si="54"/>
        <v>15306439</v>
      </c>
      <c r="AF17" s="47">
        <f t="shared" si="54"/>
        <v>15306439</v>
      </c>
      <c r="AG17" s="47">
        <f t="shared" si="54"/>
        <v>147250691</v>
      </c>
      <c r="AH17" s="47">
        <f t="shared" si="54"/>
        <v>253900000</v>
      </c>
      <c r="AI17" s="47">
        <f t="shared" si="54"/>
        <v>0</v>
      </c>
      <c r="AJ17" s="47">
        <f t="shared" si="54"/>
        <v>0</v>
      </c>
      <c r="AK17" s="47">
        <f t="shared" si="54"/>
        <v>-272102501</v>
      </c>
      <c r="AL17" s="47">
        <f t="shared" si="54"/>
        <v>0</v>
      </c>
      <c r="AM17" s="47">
        <f t="shared" si="54"/>
        <v>0</v>
      </c>
      <c r="AN17" s="47">
        <f t="shared" si="54"/>
        <v>-95735577</v>
      </c>
      <c r="AO17" s="47">
        <f t="shared" si="54"/>
        <v>12126325</v>
      </c>
      <c r="AP17" s="47">
        <f t="shared" si="54"/>
        <v>0</v>
      </c>
      <c r="AQ17" s="47">
        <f t="shared" si="54"/>
        <v>-218993295</v>
      </c>
      <c r="AR17" s="47">
        <f t="shared" si="54"/>
        <v>0</v>
      </c>
      <c r="AS17" s="47">
        <f t="shared" si="54"/>
        <v>0</v>
      </c>
      <c r="AT17" s="47">
        <f t="shared" si="54"/>
        <v>0</v>
      </c>
      <c r="AU17" s="47">
        <f t="shared" si="54"/>
        <v>0</v>
      </c>
      <c r="AV17" s="47">
        <f t="shared" si="54"/>
        <v>0</v>
      </c>
    </row>
    <row r="18" spans="1:74" s="48" customFormat="1" x14ac:dyDescent="0.25">
      <c r="A18" s="46" t="s">
        <v>294</v>
      </c>
    </row>
    <row r="19" spans="1:74" s="191" customFormat="1" x14ac:dyDescent="0.25">
      <c r="A19" s="191" t="s">
        <v>299</v>
      </c>
      <c r="E19" s="191">
        <f>E5+E17</f>
        <v>47734993950</v>
      </c>
      <c r="F19" s="191">
        <f t="shared" ref="F19:AS19" si="55">F5+F17</f>
        <v>35710687884</v>
      </c>
      <c r="G19" s="191">
        <f t="shared" si="55"/>
        <v>24910790901</v>
      </c>
      <c r="H19" s="191">
        <f t="shared" si="55"/>
        <v>13991312110</v>
      </c>
      <c r="I19" s="191">
        <f t="shared" si="55"/>
        <v>28085362920</v>
      </c>
      <c r="J19" s="191">
        <f t="shared" si="55"/>
        <v>15380880807</v>
      </c>
      <c r="K19" s="191">
        <f t="shared" si="55"/>
        <v>7016470039</v>
      </c>
      <c r="L19" s="191">
        <f t="shared" si="55"/>
        <v>3388643215</v>
      </c>
      <c r="M19" s="191">
        <f t="shared" si="55"/>
        <v>18986213078</v>
      </c>
      <c r="N19" s="191">
        <f t="shared" si="55"/>
        <v>14111854479</v>
      </c>
      <c r="O19" s="191">
        <f t="shared" si="55"/>
        <v>10478766068</v>
      </c>
      <c r="P19" s="191">
        <f t="shared" si="55"/>
        <v>5522974454</v>
      </c>
      <c r="Q19" s="191">
        <f t="shared" si="55"/>
        <v>22070595023</v>
      </c>
      <c r="R19" s="191">
        <f t="shared" si="55"/>
        <v>14823903211</v>
      </c>
      <c r="S19" s="191">
        <f t="shared" si="55"/>
        <v>9789767855</v>
      </c>
      <c r="T19" s="191">
        <f t="shared" si="55"/>
        <v>4042718201</v>
      </c>
      <c r="U19" s="191">
        <f t="shared" si="55"/>
        <v>18689479198</v>
      </c>
      <c r="V19" s="191">
        <f t="shared" si="55"/>
        <v>12456038918</v>
      </c>
      <c r="W19" s="191">
        <f t="shared" si="55"/>
        <v>8327746844</v>
      </c>
      <c r="X19" s="191">
        <f t="shared" si="55"/>
        <v>1298416421</v>
      </c>
      <c r="Y19" s="191">
        <f t="shared" si="55"/>
        <v>2768795548</v>
      </c>
      <c r="Z19" s="191">
        <f t="shared" si="55"/>
        <v>2721781561</v>
      </c>
      <c r="AA19" s="191">
        <f t="shared" si="55"/>
        <v>2347368338</v>
      </c>
      <c r="AB19" s="191">
        <f t="shared" si="55"/>
        <v>2498852050</v>
      </c>
      <c r="AC19" s="191">
        <f t="shared" si="55"/>
        <v>16383288190</v>
      </c>
      <c r="AD19" s="191">
        <f t="shared" si="55"/>
        <v>15774378958</v>
      </c>
      <c r="AE19" s="191">
        <f t="shared" si="55"/>
        <v>11609817687</v>
      </c>
      <c r="AF19" s="191">
        <f t="shared" si="55"/>
        <v>6227665809</v>
      </c>
      <c r="AG19" s="191">
        <f t="shared" si="55"/>
        <v>14178899688</v>
      </c>
      <c r="AH19" s="191">
        <f t="shared" si="55"/>
        <v>10248714443</v>
      </c>
      <c r="AI19" s="191">
        <f t="shared" si="55"/>
        <v>6259536876</v>
      </c>
      <c r="AJ19" s="191">
        <f t="shared" si="55"/>
        <v>1321556471</v>
      </c>
      <c r="AK19" s="191">
        <f t="shared" si="55"/>
        <v>3436549350</v>
      </c>
      <c r="AL19" s="191">
        <f t="shared" si="55"/>
        <v>2561780111</v>
      </c>
      <c r="AM19" s="191">
        <f t="shared" si="55"/>
        <v>1920655053</v>
      </c>
      <c r="AN19" s="191">
        <f t="shared" si="55"/>
        <v>609741336</v>
      </c>
      <c r="AO19" s="191">
        <f t="shared" si="55"/>
        <v>1034108908</v>
      </c>
      <c r="AP19" s="191">
        <f t="shared" si="55"/>
        <v>811834126</v>
      </c>
      <c r="AQ19" s="191">
        <f t="shared" si="55"/>
        <v>370280559</v>
      </c>
      <c r="AR19" s="191">
        <f t="shared" si="55"/>
        <v>150207173</v>
      </c>
      <c r="AS19" s="191">
        <f t="shared" si="55"/>
        <v>0</v>
      </c>
    </row>
    <row r="20" spans="1:74" s="191" customFormat="1" x14ac:dyDescent="0.25">
      <c r="A20" s="191" t="s">
        <v>300</v>
      </c>
      <c r="B20" s="191">
        <v>18297602412</v>
      </c>
      <c r="C20" s="191">
        <v>11439605846</v>
      </c>
      <c r="D20" s="191">
        <v>7198088816</v>
      </c>
      <c r="E20" s="191">
        <v>26266986015</v>
      </c>
      <c r="F20" s="191">
        <v>18491007288</v>
      </c>
      <c r="G20" s="191">
        <v>10638591266</v>
      </c>
      <c r="H20" s="191">
        <v>6216049821</v>
      </c>
      <c r="I20" s="191">
        <v>10073287120</v>
      </c>
      <c r="J20" s="191">
        <v>6548148538</v>
      </c>
      <c r="K20" s="191">
        <v>2734086955</v>
      </c>
      <c r="L20" s="191">
        <v>2767654463</v>
      </c>
      <c r="M20" s="191">
        <v>10493385445</v>
      </c>
      <c r="N20" s="191">
        <v>7833611103</v>
      </c>
      <c r="O20" s="191">
        <v>5453391488</v>
      </c>
      <c r="P20" s="191">
        <v>2302553649</v>
      </c>
      <c r="Q20" s="191">
        <v>8095825923</v>
      </c>
      <c r="R20" s="191">
        <v>4644103223</v>
      </c>
      <c r="S20" s="191">
        <v>3253640502</v>
      </c>
      <c r="T20" s="191">
        <v>1680084933</v>
      </c>
      <c r="U20" s="191">
        <v>8956439250</v>
      </c>
      <c r="V20" s="191">
        <v>4329984046</v>
      </c>
      <c r="W20" s="191">
        <v>3727889361</v>
      </c>
      <c r="X20" s="191">
        <v>1460591533</v>
      </c>
      <c r="Y20" s="191">
        <v>3088875525</v>
      </c>
      <c r="Z20" s="191">
        <v>402871706</v>
      </c>
      <c r="AA20" s="191">
        <v>121827560</v>
      </c>
      <c r="AB20" s="191">
        <v>-44245959</v>
      </c>
      <c r="AC20" s="191">
        <v>-778530727</v>
      </c>
      <c r="AD20" s="191">
        <v>-1045906306</v>
      </c>
      <c r="AE20" s="191">
        <v>-614189947</v>
      </c>
      <c r="AF20" s="191">
        <v>-366268678</v>
      </c>
      <c r="AG20" s="191">
        <v>-1053315294</v>
      </c>
      <c r="AH20" s="191">
        <v>-255425626</v>
      </c>
      <c r="AI20" s="191">
        <v>3312176</v>
      </c>
      <c r="AJ20" s="191">
        <v>33675569</v>
      </c>
      <c r="AK20" s="191">
        <v>810009035</v>
      </c>
      <c r="AL20" s="191">
        <v>-76465855</v>
      </c>
      <c r="AM20" s="191">
        <v>-175802392</v>
      </c>
      <c r="AN20" s="191">
        <v>-147403907</v>
      </c>
      <c r="AO20" s="191">
        <v>1127969877</v>
      </c>
      <c r="AP20" s="191">
        <v>1274196010</v>
      </c>
      <c r="AQ20" s="191">
        <v>1035562169</v>
      </c>
      <c r="AR20" s="191">
        <v>758765411</v>
      </c>
      <c r="AS20" s="191">
        <v>2292098399</v>
      </c>
      <c r="AT20" s="191">
        <v>1438522331</v>
      </c>
      <c r="AU20" s="191">
        <v>488345973</v>
      </c>
      <c r="AV20" s="191">
        <v>232372937</v>
      </c>
      <c r="AW20" s="191">
        <v>843112560</v>
      </c>
      <c r="AX20" s="191">
        <v>499295186</v>
      </c>
      <c r="AY20" s="191">
        <v>-1808814</v>
      </c>
      <c r="AZ20" s="191">
        <v>100878844</v>
      </c>
      <c r="BA20" s="191">
        <v>-983558625</v>
      </c>
      <c r="BB20" s="191">
        <v>-772876227.13</v>
      </c>
      <c r="BC20" s="191">
        <v>-427419682</v>
      </c>
      <c r="BD20" s="191">
        <v>-54020833</v>
      </c>
      <c r="BE20" s="191">
        <v>207720737</v>
      </c>
      <c r="BF20" s="191">
        <v>346642035.73000002</v>
      </c>
      <c r="BG20" s="191">
        <v>218019969.84999999</v>
      </c>
      <c r="BH20" s="191">
        <v>342671976.62</v>
      </c>
      <c r="BI20" s="191">
        <v>747537474</v>
      </c>
      <c r="BJ20" s="191">
        <v>931865451.95000005</v>
      </c>
      <c r="BK20" s="191">
        <v>628673055.54999995</v>
      </c>
      <c r="BL20" s="191">
        <v>240983682.55000001</v>
      </c>
      <c r="BM20" s="191">
        <v>217680290</v>
      </c>
      <c r="BN20" s="191">
        <v>43679844.140000001</v>
      </c>
      <c r="BO20" s="191">
        <v>396715256</v>
      </c>
      <c r="BP20" s="191">
        <v>290378402.95999998</v>
      </c>
      <c r="BQ20" s="191">
        <v>-176842472</v>
      </c>
      <c r="BR20" s="191">
        <v>-52555139</v>
      </c>
      <c r="BS20" s="191">
        <v>-44736342</v>
      </c>
      <c r="BT20" s="191">
        <v>46820000</v>
      </c>
      <c r="BU20" s="191">
        <v>0</v>
      </c>
      <c r="BV20" s="191">
        <v>0</v>
      </c>
    </row>
    <row r="21" spans="1:74" s="219" customFormat="1" x14ac:dyDescent="0.25">
      <c r="A21" s="219" t="s">
        <v>663</v>
      </c>
      <c r="E21" s="219">
        <f>E20/E19</f>
        <v>0.55026687638241545</v>
      </c>
      <c r="F21" s="219">
        <f t="shared" ref="F21:AS21" si="56">F20/F19</f>
        <v>0.517800366883574</v>
      </c>
      <c r="G21" s="219">
        <f t="shared" si="56"/>
        <v>0.4270675832124195</v>
      </c>
      <c r="H21" s="219">
        <f t="shared" si="56"/>
        <v>0.44427926216850006</v>
      </c>
      <c r="I21" s="219">
        <f t="shared" si="56"/>
        <v>0.35866679553664105</v>
      </c>
      <c r="J21" s="219">
        <f t="shared" si="56"/>
        <v>0.42573300061072372</v>
      </c>
      <c r="K21" s="219">
        <f t="shared" si="56"/>
        <v>0.38966701771731171</v>
      </c>
      <c r="L21" s="219">
        <f t="shared" si="56"/>
        <v>0.81674413250378142</v>
      </c>
      <c r="M21" s="219">
        <f t="shared" si="56"/>
        <v>0.5526844875221093</v>
      </c>
      <c r="N21" s="219">
        <f t="shared" si="56"/>
        <v>0.55510855179645446</v>
      </c>
      <c r="O21" s="219">
        <f t="shared" si="56"/>
        <v>0.52042305865129845</v>
      </c>
      <c r="P21" s="219">
        <f t="shared" si="56"/>
        <v>0.41690463502549452</v>
      </c>
      <c r="Q21" s="219">
        <f t="shared" si="56"/>
        <v>0.36681502762219387</v>
      </c>
      <c r="R21" s="219">
        <f t="shared" si="56"/>
        <v>0.31328477776041247</v>
      </c>
      <c r="S21" s="219">
        <f t="shared" si="56"/>
        <v>0.33235113949492112</v>
      </c>
      <c r="T21" s="219">
        <f t="shared" si="56"/>
        <v>0.41558299378482949</v>
      </c>
      <c r="U21" s="219">
        <f t="shared" si="56"/>
        <v>0.47922358644206881</v>
      </c>
      <c r="V21" s="219">
        <f t="shared" si="56"/>
        <v>0.34762126824626544</v>
      </c>
      <c r="W21" s="219">
        <f t="shared" si="56"/>
        <v>0.4476468162196694</v>
      </c>
      <c r="X21" s="219">
        <f t="shared" si="56"/>
        <v>1.124902234273268</v>
      </c>
      <c r="Y21" s="219">
        <f t="shared" si="56"/>
        <v>1.1156026046167278</v>
      </c>
      <c r="Z21" s="219">
        <f t="shared" si="56"/>
        <v>0.14801764835675585</v>
      </c>
      <c r="AA21" s="219">
        <f t="shared" si="56"/>
        <v>5.1899635020126102E-2</v>
      </c>
      <c r="AB21" s="219">
        <f t="shared" si="56"/>
        <v>-1.7706514077133938E-2</v>
      </c>
      <c r="AC21" s="219">
        <f t="shared" si="56"/>
        <v>-4.7519809086627562E-2</v>
      </c>
      <c r="AD21" s="219">
        <f t="shared" si="56"/>
        <v>-6.63041194068415E-2</v>
      </c>
      <c r="AE21" s="219">
        <f t="shared" si="56"/>
        <v>-5.2902634955907558E-2</v>
      </c>
      <c r="AF21" s="219">
        <f t="shared" si="56"/>
        <v>-5.8813155559934126E-2</v>
      </c>
      <c r="AG21" s="219">
        <f t="shared" si="56"/>
        <v>-7.4287519989400183E-2</v>
      </c>
      <c r="AH21" s="219">
        <f t="shared" si="56"/>
        <v>-2.4922699078074019E-2</v>
      </c>
      <c r="AI21" s="219">
        <f t="shared" si="56"/>
        <v>5.2914074405398552E-4</v>
      </c>
      <c r="AJ21" s="219">
        <f t="shared" si="56"/>
        <v>2.5481748028911889E-2</v>
      </c>
      <c r="AK21" s="219">
        <f t="shared" si="56"/>
        <v>0.2357041766328774</v>
      </c>
      <c r="AL21" s="219">
        <f t="shared" si="56"/>
        <v>-2.984871912763476E-2</v>
      </c>
      <c r="AM21" s="219">
        <f t="shared" si="56"/>
        <v>-9.1532517369739275E-2</v>
      </c>
      <c r="AN21" s="219">
        <f t="shared" si="56"/>
        <v>-0.2417482599539553</v>
      </c>
      <c r="AO21" s="219">
        <f t="shared" si="56"/>
        <v>1.090765071525716</v>
      </c>
      <c r="AP21" s="219">
        <f t="shared" si="56"/>
        <v>1.5695275293219197</v>
      </c>
      <c r="AQ21" s="219">
        <f t="shared" si="56"/>
        <v>2.7966960290777783</v>
      </c>
      <c r="AR21" s="219">
        <f t="shared" si="56"/>
        <v>5.0514592335746844</v>
      </c>
      <c r="AS21" s="219" t="e">
        <f t="shared" si="56"/>
        <v>#DIV/0!</v>
      </c>
    </row>
    <row r="22" spans="1:74" s="191" customFormat="1" x14ac:dyDescent="0.25">
      <c r="A22" s="191" t="s">
        <v>301</v>
      </c>
      <c r="E22" s="191">
        <f>I35</f>
        <v>60093394248</v>
      </c>
      <c r="F22" s="191">
        <f t="shared" ref="F22:Y22" si="57">J35</f>
        <v>42819125608</v>
      </c>
      <c r="G22" s="191">
        <f t="shared" si="57"/>
        <v>46326090357</v>
      </c>
      <c r="H22" s="191">
        <f t="shared" si="57"/>
        <v>49514470615</v>
      </c>
      <c r="I22" s="191">
        <f t="shared" si="57"/>
        <v>40742575787</v>
      </c>
      <c r="J22" s="191">
        <f t="shared" si="57"/>
        <v>36599354495</v>
      </c>
      <c r="K22" s="191">
        <f t="shared" si="57"/>
        <v>37139162680</v>
      </c>
      <c r="L22" s="191">
        <f t="shared" si="57"/>
        <v>38495609489</v>
      </c>
      <c r="M22" s="191">
        <f t="shared" si="57"/>
        <v>42023631002</v>
      </c>
      <c r="N22" s="191">
        <f t="shared" si="57"/>
        <v>42549231107</v>
      </c>
      <c r="O22" s="191">
        <f t="shared" si="57"/>
        <v>46308387880</v>
      </c>
      <c r="P22" s="191">
        <f t="shared" si="57"/>
        <v>52105485606</v>
      </c>
      <c r="Q22" s="191">
        <f t="shared" si="57"/>
        <v>22112521474</v>
      </c>
      <c r="R22" s="191">
        <f t="shared" si="57"/>
        <v>24856882853</v>
      </c>
      <c r="S22" s="191">
        <f t="shared" si="57"/>
        <v>30032369209</v>
      </c>
      <c r="T22" s="191">
        <f t="shared" si="57"/>
        <v>17983967257</v>
      </c>
      <c r="U22" s="191">
        <f t="shared" si="57"/>
        <v>16668863807</v>
      </c>
      <c r="V22" s="191">
        <f t="shared" si="57"/>
        <v>15469098010</v>
      </c>
      <c r="W22" s="191">
        <f t="shared" si="57"/>
        <v>17028082868</v>
      </c>
      <c r="X22" s="191">
        <f t="shared" si="57"/>
        <v>17420273137</v>
      </c>
      <c r="Y22" s="191">
        <f t="shared" si="57"/>
        <v>21846416555</v>
      </c>
      <c r="Z22" s="191">
        <f t="shared" ref="Z22" si="58">AD35</f>
        <v>21249625924</v>
      </c>
      <c r="AA22" s="191">
        <f t="shared" ref="AA22" si="59">AE35</f>
        <v>23931934720</v>
      </c>
      <c r="AB22" s="191">
        <f t="shared" ref="AB22" si="60">AF35</f>
        <v>22453032819</v>
      </c>
      <c r="AC22" s="191">
        <f t="shared" ref="AC22" si="61">AG35</f>
        <v>25705151124</v>
      </c>
      <c r="AD22" s="191">
        <f t="shared" ref="AD22" si="62">AH35</f>
        <v>17879635157</v>
      </c>
      <c r="AE22" s="191">
        <f t="shared" ref="AE22" si="63">AI35</f>
        <v>18778823642</v>
      </c>
      <c r="AF22" s="191">
        <f t="shared" ref="AF22" si="64">AJ35</f>
        <v>17711923925</v>
      </c>
      <c r="AG22" s="191">
        <f t="shared" ref="AG22" si="65">AK35</f>
        <v>17261009690</v>
      </c>
      <c r="AH22" s="191">
        <f t="shared" ref="AH22" si="66">AL35</f>
        <v>13559261026</v>
      </c>
      <c r="AI22" s="191">
        <f t="shared" ref="AI22" si="67">AM35</f>
        <v>14340909949</v>
      </c>
      <c r="AJ22" s="191">
        <f t="shared" ref="AJ22" si="68">AN35</f>
        <v>4330189598</v>
      </c>
      <c r="AK22" s="191">
        <f t="shared" ref="AK22" si="69">AO35</f>
        <v>4138563386</v>
      </c>
      <c r="AL22" s="191">
        <f t="shared" ref="AL22" si="70">AP35</f>
        <v>3159005078</v>
      </c>
      <c r="AM22" s="191">
        <f t="shared" ref="AM22" si="71">AQ35</f>
        <v>1875296997</v>
      </c>
      <c r="AN22" s="191">
        <f t="shared" ref="AN22" si="72">AR35</f>
        <v>1859663109</v>
      </c>
      <c r="AO22" s="191">
        <f t="shared" ref="AO22" si="73">AS35</f>
        <v>1961430313</v>
      </c>
      <c r="AP22" s="191">
        <f t="shared" ref="AP22" si="74">AT35</f>
        <v>2292816687</v>
      </c>
      <c r="AQ22" s="191">
        <f t="shared" ref="AQ22" si="75">AU35</f>
        <v>2096092797</v>
      </c>
      <c r="AR22" s="191">
        <f t="shared" ref="AR22" si="76">AV35</f>
        <v>2075826083</v>
      </c>
      <c r="AS22" s="191">
        <f t="shared" ref="AS22" si="77">AW35</f>
        <v>1809217235</v>
      </c>
    </row>
    <row r="23" spans="1:74" s="191" customFormat="1" x14ac:dyDescent="0.25">
      <c r="A23" s="191" t="s">
        <v>302</v>
      </c>
      <c r="E23" s="191">
        <f>E20+E22-E19</f>
        <v>38625386313</v>
      </c>
      <c r="F23" s="191">
        <f t="shared" ref="F23:AS23" si="78">F20+F22-F19</f>
        <v>25599445012</v>
      </c>
      <c r="G23" s="191">
        <f t="shared" si="78"/>
        <v>32053890722</v>
      </c>
      <c r="H23" s="191">
        <f t="shared" si="78"/>
        <v>41739208326</v>
      </c>
      <c r="I23" s="191">
        <f t="shared" si="78"/>
        <v>22730499987</v>
      </c>
      <c r="J23" s="191">
        <f t="shared" si="78"/>
        <v>27766622226</v>
      </c>
      <c r="K23" s="191">
        <f t="shared" si="78"/>
        <v>32856779596</v>
      </c>
      <c r="L23" s="191">
        <f t="shared" si="78"/>
        <v>37874620737</v>
      </c>
      <c r="M23" s="191">
        <f t="shared" si="78"/>
        <v>33530803369</v>
      </c>
      <c r="N23" s="191">
        <f t="shared" si="78"/>
        <v>36270987731</v>
      </c>
      <c r="O23" s="191">
        <f t="shared" si="78"/>
        <v>41283013300</v>
      </c>
      <c r="P23" s="191">
        <f t="shared" si="78"/>
        <v>48885064801</v>
      </c>
      <c r="Q23" s="191">
        <f t="shared" si="78"/>
        <v>8137752374</v>
      </c>
      <c r="R23" s="191">
        <f t="shared" si="78"/>
        <v>14677082865</v>
      </c>
      <c r="S23" s="191">
        <f t="shared" si="78"/>
        <v>23496241856</v>
      </c>
      <c r="T23" s="191">
        <f t="shared" si="78"/>
        <v>15621333989</v>
      </c>
      <c r="U23" s="191">
        <f t="shared" si="78"/>
        <v>6935823859</v>
      </c>
      <c r="V23" s="191">
        <f t="shared" si="78"/>
        <v>7343043138</v>
      </c>
      <c r="W23" s="191">
        <f t="shared" si="78"/>
        <v>12428225385</v>
      </c>
      <c r="X23" s="191">
        <f t="shared" si="78"/>
        <v>17582448249</v>
      </c>
      <c r="Y23" s="191">
        <f t="shared" si="78"/>
        <v>22166496532</v>
      </c>
      <c r="Z23" s="191">
        <f t="shared" si="78"/>
        <v>18930716069</v>
      </c>
      <c r="AA23" s="191">
        <f t="shared" si="78"/>
        <v>21706393942</v>
      </c>
      <c r="AB23" s="191">
        <f t="shared" si="78"/>
        <v>19909934810</v>
      </c>
      <c r="AC23" s="191">
        <f t="shared" si="78"/>
        <v>8543332207</v>
      </c>
      <c r="AD23" s="191">
        <f t="shared" si="78"/>
        <v>1059349893</v>
      </c>
      <c r="AE23" s="191">
        <f t="shared" si="78"/>
        <v>6554816008</v>
      </c>
      <c r="AF23" s="191">
        <f t="shared" si="78"/>
        <v>11117989438</v>
      </c>
      <c r="AG23" s="191">
        <f t="shared" si="78"/>
        <v>2028794708</v>
      </c>
      <c r="AH23" s="191">
        <f t="shared" si="78"/>
        <v>3055120957</v>
      </c>
      <c r="AI23" s="191">
        <f t="shared" si="78"/>
        <v>8084685249</v>
      </c>
      <c r="AJ23" s="191">
        <f t="shared" si="78"/>
        <v>3042308696</v>
      </c>
      <c r="AK23" s="191">
        <f t="shared" si="78"/>
        <v>1512023071</v>
      </c>
      <c r="AL23" s="191">
        <f t="shared" si="78"/>
        <v>520759112</v>
      </c>
      <c r="AM23" s="191">
        <f t="shared" si="78"/>
        <v>-221160448</v>
      </c>
      <c r="AN23" s="191">
        <f t="shared" si="78"/>
        <v>1102517866</v>
      </c>
      <c r="AO23" s="191">
        <f t="shared" si="78"/>
        <v>2055291282</v>
      </c>
      <c r="AP23" s="191">
        <f t="shared" si="78"/>
        <v>2755178571</v>
      </c>
      <c r="AQ23" s="191">
        <f t="shared" si="78"/>
        <v>2761374407</v>
      </c>
      <c r="AR23" s="191">
        <f t="shared" si="78"/>
        <v>2684384321</v>
      </c>
      <c r="AS23" s="191">
        <f t="shared" si="78"/>
        <v>4101315634</v>
      </c>
    </row>
    <row r="24" spans="1:74" s="219" customFormat="1" x14ac:dyDescent="0.25">
      <c r="A24" s="219" t="s">
        <v>303</v>
      </c>
      <c r="B24" s="191">
        <v>11681695994</v>
      </c>
      <c r="C24" s="191">
        <v>8148650744</v>
      </c>
      <c r="D24" s="191">
        <v>5740992442</v>
      </c>
      <c r="E24" s="191">
        <v>32925372189</v>
      </c>
      <c r="F24" s="191">
        <v>27057943017</v>
      </c>
      <c r="G24" s="191">
        <v>15249414489</v>
      </c>
      <c r="H24" s="191">
        <v>4695288730</v>
      </c>
      <c r="I24" s="191">
        <v>26141092801</v>
      </c>
      <c r="J24" s="191">
        <v>11139226214</v>
      </c>
      <c r="K24" s="191">
        <v>13870080988</v>
      </c>
      <c r="L24" s="191">
        <v>-2749465366</v>
      </c>
      <c r="M24" s="191">
        <v>8128927400</v>
      </c>
      <c r="N24" s="191">
        <v>3467008440</v>
      </c>
      <c r="O24" s="191">
        <v>1699283524</v>
      </c>
      <c r="P24" s="191">
        <v>-617996679</v>
      </c>
      <c r="Q24" s="191">
        <v>35641391214</v>
      </c>
      <c r="R24" s="191">
        <v>29987905055</v>
      </c>
      <c r="S24" s="191">
        <v>30604020368</v>
      </c>
      <c r="T24" s="191">
        <v>31848547346</v>
      </c>
      <c r="U24" s="191">
        <v>12263701432</v>
      </c>
      <c r="V24" s="191">
        <v>14317566601</v>
      </c>
      <c r="W24" s="191">
        <v>12752152132</v>
      </c>
      <c r="X24" s="191">
        <v>932143667</v>
      </c>
      <c r="Y24" s="191">
        <v>-297875942</v>
      </c>
      <c r="Z24" s="191">
        <v>-357324412</v>
      </c>
      <c r="AA24" s="191">
        <v>237770563</v>
      </c>
      <c r="AB24" s="191">
        <v>498880568</v>
      </c>
      <c r="AC24" s="191">
        <v>9978735216</v>
      </c>
      <c r="AD24" s="191">
        <v>9019903851</v>
      </c>
      <c r="AE24" s="191">
        <v>9216197370</v>
      </c>
      <c r="AF24" s="191">
        <v>3734908126</v>
      </c>
      <c r="AG24" s="191">
        <v>18050033902</v>
      </c>
      <c r="AH24" s="191">
        <v>10901223973</v>
      </c>
      <c r="AI24" s="191">
        <v>7596999614</v>
      </c>
      <c r="AJ24" s="191">
        <v>1732819708</v>
      </c>
      <c r="AK24" s="191">
        <v>14257008836</v>
      </c>
      <c r="AL24" s="191">
        <v>12131952999</v>
      </c>
      <c r="AM24" s="191">
        <v>12199595991</v>
      </c>
      <c r="AN24" s="191">
        <v>946911788</v>
      </c>
      <c r="AO24" s="191">
        <v>1933372006</v>
      </c>
      <c r="AP24" s="191">
        <v>771527021</v>
      </c>
      <c r="AQ24" s="191">
        <v>-505898251</v>
      </c>
      <c r="AR24" s="191">
        <v>-588962597</v>
      </c>
      <c r="AS24" s="191">
        <v>-4293200502</v>
      </c>
      <c r="AT24" s="191">
        <v>-3126883954</v>
      </c>
      <c r="AU24" s="191">
        <v>-2423175275</v>
      </c>
      <c r="AV24" s="191">
        <v>-1074583943</v>
      </c>
      <c r="AW24" s="191">
        <v>-334594446</v>
      </c>
      <c r="AX24" s="191">
        <v>529105655</v>
      </c>
      <c r="AY24" s="191">
        <v>-271301612</v>
      </c>
      <c r="AZ24" s="191">
        <v>29318502</v>
      </c>
      <c r="BA24" s="191">
        <v>5087772074</v>
      </c>
      <c r="BB24" s="191">
        <v>5925748911.0200005</v>
      </c>
      <c r="BC24" s="191">
        <v>6478505350</v>
      </c>
      <c r="BD24" s="191">
        <v>1097088132</v>
      </c>
      <c r="BE24" s="191">
        <v>4716385826</v>
      </c>
      <c r="BF24" s="191">
        <v>3837539025.46</v>
      </c>
      <c r="BG24" s="191">
        <v>1205182176.78</v>
      </c>
      <c r="BH24" s="191">
        <v>1196824407.01</v>
      </c>
      <c r="BI24" s="191">
        <v>3410208813</v>
      </c>
      <c r="BJ24" s="191">
        <v>1801791805.71</v>
      </c>
      <c r="BK24" s="191">
        <v>2093920944.8</v>
      </c>
      <c r="BL24" s="191">
        <v>2292563657.3899999</v>
      </c>
      <c r="BM24" s="191">
        <v>1662330154</v>
      </c>
      <c r="BN24" s="191">
        <v>217040345.68000001</v>
      </c>
      <c r="BO24" s="191">
        <v>-178621621</v>
      </c>
      <c r="BP24" s="191">
        <v>-301702338.36000001</v>
      </c>
      <c r="BQ24" s="191">
        <v>1463160347</v>
      </c>
      <c r="BR24" s="191">
        <v>257996357</v>
      </c>
      <c r="BS24" s="191">
        <v>240196122</v>
      </c>
      <c r="BT24" s="191">
        <v>38441000</v>
      </c>
      <c r="BU24" s="191">
        <v>0</v>
      </c>
      <c r="BV24" s="191">
        <v>0</v>
      </c>
    </row>
    <row r="25" spans="1:74" s="240" customFormat="1" ht="138.6" customHeight="1" x14ac:dyDescent="0.25">
      <c r="A25" s="273" t="s">
        <v>739</v>
      </c>
      <c r="B25" s="274"/>
      <c r="C25" s="274"/>
      <c r="D25" s="274"/>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4"/>
      <c r="AI25" s="274"/>
      <c r="AJ25" s="274"/>
      <c r="AK25" s="274"/>
    </row>
    <row r="26" spans="1:74" s="26" customFormat="1" x14ac:dyDescent="0.25">
      <c r="A26" s="17" t="s">
        <v>627</v>
      </c>
      <c r="E26" s="26">
        <f>现金流量表!E15</f>
        <v>29310620000</v>
      </c>
      <c r="F26" s="26">
        <f>现金流量表!F15</f>
        <v>16678325660</v>
      </c>
      <c r="G26" s="26">
        <f>现金流量表!G15</f>
        <v>8594039173</v>
      </c>
      <c r="H26" s="26">
        <f>现金流量表!H15</f>
        <v>1029221840</v>
      </c>
      <c r="I26" s="26">
        <f>现金流量表!I15</f>
        <v>31157802962</v>
      </c>
      <c r="J26" s="26">
        <f>现金流量表!J15</f>
        <v>27018296827</v>
      </c>
      <c r="K26" s="26">
        <f>现金流量表!K15</f>
        <v>15988345399</v>
      </c>
      <c r="L26" s="26">
        <f>现金流量表!L15</f>
        <v>3375161515</v>
      </c>
      <c r="M26" s="26">
        <f>现金流量表!M15</f>
        <v>12515000000</v>
      </c>
      <c r="N26" s="26">
        <f>现金流量表!N15</f>
        <v>7931535212</v>
      </c>
      <c r="O26" s="26">
        <f>现金流量表!O15</f>
        <v>3721672760</v>
      </c>
      <c r="P26" s="26">
        <f>现金流量表!P15</f>
        <v>1963618349</v>
      </c>
      <c r="Q26" s="26">
        <f>现金流量表!Q15</f>
        <v>444285709</v>
      </c>
      <c r="R26" s="26">
        <f>现金流量表!R15</f>
        <v>0</v>
      </c>
      <c r="S26" s="26">
        <f>现金流量表!S15</f>
        <v>0</v>
      </c>
      <c r="T26" s="26">
        <f>现金流量表!T15</f>
        <v>0</v>
      </c>
      <c r="U26" s="26">
        <f>现金流量表!U15</f>
        <v>4370000</v>
      </c>
      <c r="V26" s="26">
        <f>现金流量表!V15</f>
        <v>0</v>
      </c>
      <c r="W26" s="26">
        <f>现金流量表!W15</f>
        <v>0</v>
      </c>
      <c r="X26" s="26">
        <f>现金流量表!X15</f>
        <v>0</v>
      </c>
      <c r="Y26" s="26">
        <f>现金流量表!Y15</f>
        <v>7164056</v>
      </c>
      <c r="Z26" s="26">
        <f>现金流量表!Z15</f>
        <v>7170027</v>
      </c>
      <c r="AA26" s="26">
        <f>现金流量表!AA15</f>
        <v>7170127</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58927049</v>
      </c>
      <c r="AP26" s="26">
        <f>现金流量表!AP15</f>
        <v>58927049</v>
      </c>
      <c r="AQ26" s="26">
        <f>现金流量表!AQ15</f>
        <v>0</v>
      </c>
      <c r="AR26" s="26">
        <f>现金流量表!AR15</f>
        <v>102941</v>
      </c>
      <c r="AS26" s="26">
        <f>现金流量表!AS15</f>
        <v>2159086728</v>
      </c>
      <c r="AT26" s="26">
        <f>现金流量表!AT15</f>
        <v>1036658037</v>
      </c>
      <c r="AU26" s="26">
        <f>现金流量表!AU15</f>
        <v>1036658037</v>
      </c>
      <c r="AV26" s="26">
        <f>现金流量表!AV15</f>
        <v>1036658038</v>
      </c>
      <c r="AW26" s="26">
        <f>现金流量表!AW15</f>
        <v>2786771</v>
      </c>
      <c r="AX26" s="26">
        <f>现金流量表!AX15</f>
        <v>36522771</v>
      </c>
      <c r="AY26" s="26">
        <f>现金流量表!AY15</f>
        <v>2786771</v>
      </c>
      <c r="AZ26" s="26">
        <f>现金流量表!AZ15</f>
        <v>2786771</v>
      </c>
      <c r="BA26" s="26">
        <f>现金流量表!BA15</f>
        <v>31590034</v>
      </c>
      <c r="BB26" s="26">
        <f>现金流量表!BB15</f>
        <v>31303982.739999998</v>
      </c>
      <c r="BC26" s="26">
        <f>现金流量表!BC15</f>
        <v>26540975</v>
      </c>
      <c r="BD26" s="26">
        <f>现金流量表!BD15</f>
        <v>26070975</v>
      </c>
      <c r="BE26" s="26">
        <f>现金流量表!BE15</f>
        <v>100162844</v>
      </c>
      <c r="BF26" s="26">
        <f>现金流量表!BF15</f>
        <v>76697560.319999993</v>
      </c>
      <c r="BG26" s="26">
        <f>现金流量表!BG15</f>
        <v>62677871.130000003</v>
      </c>
      <c r="BH26" s="26">
        <f>现金流量表!BH15</f>
        <v>62527097.520000003</v>
      </c>
      <c r="BI26" s="26">
        <f>现金流量表!BI15</f>
        <v>1388700</v>
      </c>
      <c r="BJ26" s="26">
        <f>现金流量表!BJ15</f>
        <v>67003121.640000001</v>
      </c>
      <c r="BK26" s="26">
        <f>现金流量表!BK15</f>
        <v>729182.65</v>
      </c>
      <c r="BL26" s="26">
        <f>现金流量表!BL15</f>
        <v>60994878.030000001</v>
      </c>
      <c r="BM26" s="26">
        <f>现金流量表!BM15</f>
        <v>2704161</v>
      </c>
      <c r="BN26" s="26">
        <f>现金流量表!BN15</f>
        <v>300000</v>
      </c>
      <c r="BO26" s="26">
        <f>现金流量表!BO15</f>
        <v>300000</v>
      </c>
      <c r="BP26" s="26">
        <f>现金流量表!BP15</f>
        <v>0</v>
      </c>
      <c r="BQ26" s="26">
        <f>现金流量表!BQ15</f>
        <v>5345000</v>
      </c>
      <c r="BR26" s="26">
        <f>现金流量表!BR15</f>
        <v>5000000</v>
      </c>
      <c r="BS26" s="26">
        <f>现金流量表!BS15</f>
        <v>560000</v>
      </c>
      <c r="BT26" s="26">
        <f>现金流量表!BT15</f>
        <v>0</v>
      </c>
      <c r="BU26" s="26">
        <f>现金流量表!BU15</f>
        <v>0</v>
      </c>
      <c r="BV26" s="26">
        <f>现金流量表!BV15</f>
        <v>0</v>
      </c>
    </row>
    <row r="27" spans="1:74" s="26" customFormat="1" x14ac:dyDescent="0.25">
      <c r="A27" s="17" t="s">
        <v>628</v>
      </c>
      <c r="E27" s="26">
        <f>现金流量表!E22</f>
        <v>44667993985</v>
      </c>
      <c r="F27" s="26">
        <f>现金流量表!F22</f>
        <v>30495761172</v>
      </c>
      <c r="G27" s="26">
        <f>现金流量表!G22</f>
        <v>16940890821</v>
      </c>
      <c r="H27" s="26">
        <f>现金流量表!H22</f>
        <v>4742577876</v>
      </c>
      <c r="I27" s="26">
        <f>现金流量表!I22</f>
        <v>28468266548</v>
      </c>
      <c r="J27" s="26">
        <f>现金流量表!J22</f>
        <v>28109045928</v>
      </c>
      <c r="K27" s="26">
        <f>现金流量表!K22</f>
        <v>21154818990</v>
      </c>
      <c r="L27" s="26">
        <f>现金流量表!L22</f>
        <v>938110831</v>
      </c>
      <c r="M27" s="26">
        <f>现金流量表!M22</f>
        <v>14339727658</v>
      </c>
      <c r="N27" s="26">
        <f>现金流量表!N22</f>
        <v>10897679045</v>
      </c>
      <c r="O27" s="26">
        <f>现金流量表!O22</f>
        <v>5662064789</v>
      </c>
      <c r="P27" s="26">
        <f>现金流量表!P22</f>
        <v>1977564789</v>
      </c>
      <c r="Q27" s="26">
        <f>现金流量表!Q22</f>
        <v>3390171995</v>
      </c>
      <c r="R27" s="26">
        <f>现金流量表!R22</f>
        <v>1240835666</v>
      </c>
      <c r="S27" s="26">
        <f>现金流量表!S22</f>
        <v>6000461</v>
      </c>
      <c r="T27" s="26">
        <f>现金流量表!T22</f>
        <v>5971884</v>
      </c>
      <c r="U27" s="26">
        <f>现金流量表!U22</f>
        <v>209791275</v>
      </c>
      <c r="V27" s="26">
        <f>现金流量表!V22</f>
        <v>13633862</v>
      </c>
      <c r="W27" s="26">
        <f>现金流量表!W22</f>
        <v>33633862</v>
      </c>
      <c r="X27" s="26">
        <f>现金流量表!X22</f>
        <v>0</v>
      </c>
      <c r="Y27" s="26">
        <f>现金流量表!Y22</f>
        <v>32000000</v>
      </c>
      <c r="Z27" s="26">
        <f>现金流量表!Z22</f>
        <v>20000000</v>
      </c>
      <c r="AA27" s="26">
        <f>现金流量表!AA22</f>
        <v>0</v>
      </c>
      <c r="AB27" s="26">
        <f>现金流量表!AB22</f>
        <v>0</v>
      </c>
      <c r="AC27" s="26">
        <f>现金流量表!AC22</f>
        <v>350000</v>
      </c>
      <c r="AD27" s="26">
        <f>现金流量表!AD22</f>
        <v>24446914</v>
      </c>
      <c r="AE27" s="26">
        <f>现金流量表!AE22</f>
        <v>315135550</v>
      </c>
      <c r="AF27" s="26">
        <f>现金流量表!AF22</f>
        <v>0</v>
      </c>
      <c r="AG27" s="26">
        <f>现金流量表!AG22</f>
        <v>6250000</v>
      </c>
      <c r="AH27" s="26">
        <f>现金流量表!AH22</f>
        <v>28195991</v>
      </c>
      <c r="AI27" s="26">
        <f>现金流量表!AI22</f>
        <v>27695991</v>
      </c>
      <c r="AJ27" s="26">
        <f>现金流量表!AJ22</f>
        <v>27695991</v>
      </c>
      <c r="AK27" s="26">
        <f>现金流量表!AK22</f>
        <v>48000000</v>
      </c>
      <c r="AL27" s="26">
        <f>现金流量表!AL22</f>
        <v>272000000</v>
      </c>
      <c r="AM27" s="26">
        <f>现金流量表!AM22</f>
        <v>0</v>
      </c>
      <c r="AN27" s="26">
        <f>现金流量表!AN22</f>
        <v>0</v>
      </c>
      <c r="AO27" s="26">
        <f>现金流量表!AO22</f>
        <v>54500000</v>
      </c>
      <c r="AP27" s="26">
        <f>现金流量表!AP22</f>
        <v>240000000</v>
      </c>
      <c r="AQ27" s="26">
        <f>现金流量表!AQ22</f>
        <v>240000000</v>
      </c>
      <c r="AR27" s="26">
        <f>现金流量表!AR22</f>
        <v>0</v>
      </c>
      <c r="AS27" s="26">
        <f>现金流量表!AS22</f>
        <v>5454000</v>
      </c>
      <c r="AT27" s="26">
        <f>现金流量表!AT22</f>
        <v>0</v>
      </c>
      <c r="AU27" s="26">
        <f>现金流量表!AU22</f>
        <v>0</v>
      </c>
      <c r="AV27" s="26">
        <f>现金流量表!AV22</f>
        <v>0</v>
      </c>
      <c r="AW27" s="26">
        <f>现金流量表!AW22</f>
        <v>8000000</v>
      </c>
      <c r="AX27" s="26">
        <f>现金流量表!AX22</f>
        <v>8797400</v>
      </c>
      <c r="AY27" s="26">
        <f>现金流量表!AY22</f>
        <v>8000000</v>
      </c>
      <c r="AZ27" s="26">
        <f>现金流量表!AZ22</f>
        <v>0</v>
      </c>
      <c r="BA27" s="26">
        <f>现金流量表!BA22</f>
        <v>8576164</v>
      </c>
      <c r="BB27" s="26">
        <f>现金流量表!BB22</f>
        <v>0</v>
      </c>
      <c r="BC27" s="26">
        <f>现金流量表!BC22</f>
        <v>47493931</v>
      </c>
      <c r="BD27" s="26">
        <f>现金流量表!BD22</f>
        <v>0</v>
      </c>
      <c r="BE27" s="26">
        <f>现金流量表!BE22</f>
        <v>6834450</v>
      </c>
      <c r="BF27" s="26">
        <f>现金流量表!BF22</f>
        <v>22373185.98</v>
      </c>
      <c r="BG27" s="26">
        <f>现金流量表!BG22</f>
        <v>5773575.8799999999</v>
      </c>
      <c r="BH27" s="26">
        <f>现金流量表!BH22</f>
        <v>0</v>
      </c>
      <c r="BI27" s="26">
        <f>现金流量表!BI22</f>
        <v>1180267091</v>
      </c>
      <c r="BJ27" s="26">
        <f>现金流量表!BJ22</f>
        <v>125704443.41</v>
      </c>
      <c r="BK27" s="26">
        <f>现金流量表!BK22</f>
        <v>2200481.46</v>
      </c>
      <c r="BL27" s="26">
        <f>现金流量表!BL22</f>
        <v>28850295.460000001</v>
      </c>
      <c r="BM27" s="26">
        <f>现金流量表!BM22</f>
        <v>119730666</v>
      </c>
      <c r="BN27" s="26">
        <f>现金流量表!BN22</f>
        <v>51502269.299999997</v>
      </c>
      <c r="BO27" s="26">
        <f>现金流量表!BO22</f>
        <v>162555531</v>
      </c>
      <c r="BP27" s="26">
        <f>现金流量表!BP22</f>
        <v>86189252</v>
      </c>
      <c r="BQ27" s="26">
        <f>现金流量表!BQ22</f>
        <v>7036946</v>
      </c>
      <c r="BR27" s="26">
        <f>现金流量表!BR22</f>
        <v>2387105</v>
      </c>
      <c r="BS27" s="26">
        <f>现金流量表!BS22</f>
        <v>123060000</v>
      </c>
      <c r="BT27" s="26">
        <f>现金流量表!BT22</f>
        <v>24498000</v>
      </c>
      <c r="BU27" s="26">
        <f>现金流量表!BU22</f>
        <v>0</v>
      </c>
      <c r="BV27" s="26">
        <f>现金流量表!BV22</f>
        <v>0</v>
      </c>
    </row>
    <row r="28" spans="1:74" s="26" customFormat="1" x14ac:dyDescent="0.25">
      <c r="A28" s="17" t="s">
        <v>629</v>
      </c>
      <c r="E28" s="26">
        <f>E27-E26</f>
        <v>15357373985</v>
      </c>
      <c r="F28" s="26">
        <f t="shared" ref="F28:BQ28" si="79">F27-F26</f>
        <v>13817435512</v>
      </c>
      <c r="G28" s="26">
        <f t="shared" si="79"/>
        <v>8346851648</v>
      </c>
      <c r="H28" s="26">
        <f t="shared" si="79"/>
        <v>3713356036</v>
      </c>
      <c r="I28" s="26">
        <f t="shared" si="79"/>
        <v>-2689536414</v>
      </c>
      <c r="J28" s="26">
        <f t="shared" si="79"/>
        <v>1090749101</v>
      </c>
      <c r="K28" s="26">
        <f t="shared" si="79"/>
        <v>5166473591</v>
      </c>
      <c r="L28" s="26">
        <f t="shared" si="79"/>
        <v>-2437050684</v>
      </c>
      <c r="M28" s="26">
        <f t="shared" si="79"/>
        <v>1824727658</v>
      </c>
      <c r="N28" s="26">
        <f t="shared" si="79"/>
        <v>2966143833</v>
      </c>
      <c r="O28" s="26">
        <f t="shared" si="79"/>
        <v>1940392029</v>
      </c>
      <c r="P28" s="26">
        <f t="shared" si="79"/>
        <v>13946440</v>
      </c>
      <c r="Q28" s="26">
        <f t="shared" si="79"/>
        <v>2945886286</v>
      </c>
      <c r="R28" s="26">
        <f t="shared" si="79"/>
        <v>1240835666</v>
      </c>
      <c r="S28" s="26">
        <f t="shared" si="79"/>
        <v>6000461</v>
      </c>
      <c r="T28" s="26">
        <f t="shared" si="79"/>
        <v>5971884</v>
      </c>
      <c r="U28" s="26">
        <f t="shared" si="79"/>
        <v>205421275</v>
      </c>
      <c r="V28" s="26">
        <f t="shared" si="79"/>
        <v>13633862</v>
      </c>
      <c r="W28" s="26">
        <f t="shared" si="79"/>
        <v>33633862</v>
      </c>
      <c r="X28" s="26">
        <f t="shared" si="79"/>
        <v>0</v>
      </c>
      <c r="Y28" s="26">
        <f t="shared" si="79"/>
        <v>24835944</v>
      </c>
      <c r="Z28" s="26">
        <f t="shared" si="79"/>
        <v>12829973</v>
      </c>
      <c r="AA28" s="26">
        <f t="shared" si="79"/>
        <v>-7170127</v>
      </c>
      <c r="AB28" s="26">
        <f t="shared" si="79"/>
        <v>0</v>
      </c>
      <c r="AC28" s="26">
        <f t="shared" si="79"/>
        <v>350000</v>
      </c>
      <c r="AD28" s="26">
        <f t="shared" si="79"/>
        <v>24446914</v>
      </c>
      <c r="AE28" s="26">
        <f t="shared" si="79"/>
        <v>315135550</v>
      </c>
      <c r="AF28" s="26">
        <f t="shared" si="79"/>
        <v>0</v>
      </c>
      <c r="AG28" s="26">
        <f t="shared" si="79"/>
        <v>6250000</v>
      </c>
      <c r="AH28" s="26">
        <f t="shared" si="79"/>
        <v>28195991</v>
      </c>
      <c r="AI28" s="26">
        <f t="shared" si="79"/>
        <v>27695991</v>
      </c>
      <c r="AJ28" s="26">
        <f t="shared" si="79"/>
        <v>27695991</v>
      </c>
      <c r="AK28" s="26">
        <f t="shared" si="79"/>
        <v>48000000</v>
      </c>
      <c r="AL28" s="26">
        <f t="shared" si="79"/>
        <v>272000000</v>
      </c>
      <c r="AM28" s="26">
        <f t="shared" si="79"/>
        <v>0</v>
      </c>
      <c r="AN28" s="26">
        <f t="shared" si="79"/>
        <v>0</v>
      </c>
      <c r="AO28" s="26">
        <f t="shared" si="79"/>
        <v>-4427049</v>
      </c>
      <c r="AP28" s="26">
        <f t="shared" si="79"/>
        <v>181072951</v>
      </c>
      <c r="AQ28" s="26">
        <f t="shared" si="79"/>
        <v>240000000</v>
      </c>
      <c r="AR28" s="26">
        <f t="shared" si="79"/>
        <v>-102941</v>
      </c>
      <c r="AS28" s="26">
        <f t="shared" si="79"/>
        <v>-2153632728</v>
      </c>
      <c r="AT28" s="26">
        <f t="shared" si="79"/>
        <v>-1036658037</v>
      </c>
      <c r="AU28" s="26">
        <f t="shared" si="79"/>
        <v>-1036658037</v>
      </c>
      <c r="AV28" s="26">
        <f t="shared" si="79"/>
        <v>-1036658038</v>
      </c>
      <c r="AW28" s="26">
        <f t="shared" si="79"/>
        <v>5213229</v>
      </c>
      <c r="AX28" s="26">
        <f t="shared" si="79"/>
        <v>-27725371</v>
      </c>
      <c r="AY28" s="26">
        <f t="shared" si="79"/>
        <v>5213229</v>
      </c>
      <c r="AZ28" s="26">
        <f t="shared" si="79"/>
        <v>-2786771</v>
      </c>
      <c r="BA28" s="26">
        <f t="shared" si="79"/>
        <v>-23013870</v>
      </c>
      <c r="BB28" s="26">
        <f t="shared" si="79"/>
        <v>-31303982.739999998</v>
      </c>
      <c r="BC28" s="26">
        <f t="shared" si="79"/>
        <v>20952956</v>
      </c>
      <c r="BD28" s="26">
        <f t="shared" si="79"/>
        <v>-26070975</v>
      </c>
      <c r="BE28" s="26">
        <f t="shared" si="79"/>
        <v>-93328394</v>
      </c>
      <c r="BF28" s="26">
        <f t="shared" si="79"/>
        <v>-54324374.339999989</v>
      </c>
      <c r="BG28" s="26">
        <f t="shared" si="79"/>
        <v>-56904295.25</v>
      </c>
      <c r="BH28" s="26">
        <f t="shared" si="79"/>
        <v>-62527097.520000003</v>
      </c>
      <c r="BI28" s="26">
        <f t="shared" si="79"/>
        <v>1178878391</v>
      </c>
      <c r="BJ28" s="26">
        <f t="shared" si="79"/>
        <v>58701321.769999996</v>
      </c>
      <c r="BK28" s="26">
        <f t="shared" si="79"/>
        <v>1471298.81</v>
      </c>
      <c r="BL28" s="26">
        <f t="shared" si="79"/>
        <v>-32144582.57</v>
      </c>
      <c r="BM28" s="26">
        <f t="shared" si="79"/>
        <v>117026505</v>
      </c>
      <c r="BN28" s="26">
        <f t="shared" si="79"/>
        <v>51202269.299999997</v>
      </c>
      <c r="BO28" s="26">
        <f t="shared" si="79"/>
        <v>162255531</v>
      </c>
      <c r="BP28" s="26">
        <f t="shared" si="79"/>
        <v>86189252</v>
      </c>
      <c r="BQ28" s="26">
        <f t="shared" si="79"/>
        <v>1691946</v>
      </c>
      <c r="BR28" s="26">
        <f t="shared" ref="BR28:BV28" si="80">BR27-BR26</f>
        <v>-2612895</v>
      </c>
      <c r="BS28" s="26">
        <f t="shared" si="80"/>
        <v>122500000</v>
      </c>
      <c r="BT28" s="26">
        <f t="shared" si="80"/>
        <v>24498000</v>
      </c>
      <c r="BU28" s="26">
        <f t="shared" si="80"/>
        <v>0</v>
      </c>
      <c r="BV28" s="26">
        <f t="shared" si="80"/>
        <v>0</v>
      </c>
    </row>
    <row r="29" spans="1:74" s="26" customFormat="1" ht="16.2" customHeight="1" x14ac:dyDescent="0.25">
      <c r="A29" s="179" t="s">
        <v>630</v>
      </c>
      <c r="E29" s="180">
        <f>POWER(E28/U28,1/5)-1</f>
        <v>1.3699233939827908</v>
      </c>
    </row>
    <row r="30" spans="1:74" s="30" customFormat="1" ht="15" customHeight="1" thickBot="1" x14ac:dyDescent="0.3">
      <c r="A30" s="135"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36160</v>
      </c>
      <c r="BU30" s="1">
        <v>25569</v>
      </c>
      <c r="BV30" s="1">
        <v>25569</v>
      </c>
    </row>
    <row r="31" spans="1:74" s="51" customFormat="1" ht="17.399999999999999" customHeight="1" x14ac:dyDescent="0.25">
      <c r="A31" s="110" t="s">
        <v>310</v>
      </c>
      <c r="B31" s="188">
        <v>190541370182</v>
      </c>
      <c r="C31" s="188">
        <v>176393860788</v>
      </c>
      <c r="D31" s="188">
        <v>166514218566</v>
      </c>
      <c r="E31" s="188">
        <v>156328443500</v>
      </c>
      <c r="F31" s="188">
        <v>142942449344</v>
      </c>
      <c r="G31" s="188">
        <v>134926924224</v>
      </c>
      <c r="H31" s="188">
        <v>125278418499</v>
      </c>
      <c r="I31" s="188">
        <v>114093182617</v>
      </c>
      <c r="J31" s="188">
        <v>100068405785</v>
      </c>
      <c r="K31" s="188">
        <v>91741005703</v>
      </c>
      <c r="L31" s="188">
        <v>90467697236</v>
      </c>
      <c r="M31" s="188">
        <v>88835745779</v>
      </c>
      <c r="N31" s="188">
        <v>86734531820</v>
      </c>
      <c r="O31" s="188">
        <v>82533212951</v>
      </c>
      <c r="P31" s="188">
        <v>79951032475</v>
      </c>
      <c r="Q31" s="188">
        <v>77554550180</v>
      </c>
      <c r="R31" s="188">
        <v>72063978392</v>
      </c>
      <c r="S31" s="188">
        <v>70424047120</v>
      </c>
      <c r="T31" s="188">
        <v>63782888748</v>
      </c>
      <c r="U31" s="188">
        <v>60892351932</v>
      </c>
      <c r="V31" s="188">
        <v>56029287055</v>
      </c>
      <c r="W31" s="188">
        <v>49010821701</v>
      </c>
      <c r="X31" s="188">
        <v>40948290532</v>
      </c>
      <c r="Y31" s="188">
        <v>41274214968</v>
      </c>
      <c r="Z31" s="188">
        <v>40880465888</v>
      </c>
      <c r="AA31" s="188">
        <v>40868479048</v>
      </c>
      <c r="AB31" s="188">
        <v>40206056060</v>
      </c>
      <c r="AC31" s="188">
        <v>40823973792</v>
      </c>
      <c r="AD31" s="188">
        <v>39171092932</v>
      </c>
      <c r="AE31" s="188">
        <v>36049960738</v>
      </c>
      <c r="AF31" s="188">
        <v>31113583161</v>
      </c>
      <c r="AG31" s="188">
        <v>26437667650</v>
      </c>
      <c r="AH31" s="188">
        <v>22077866908</v>
      </c>
      <c r="AI31" s="188">
        <v>17802718470</v>
      </c>
      <c r="AJ31" s="188">
        <v>12896675298</v>
      </c>
      <c r="AK31" s="188">
        <v>12001051489</v>
      </c>
      <c r="AL31" s="188">
        <v>9771177385</v>
      </c>
      <c r="AM31" s="188">
        <v>9408553855</v>
      </c>
      <c r="AN31" s="188">
        <v>8630488260</v>
      </c>
      <c r="AO31" s="188">
        <v>8339376532</v>
      </c>
      <c r="AP31" s="188">
        <v>8608939981</v>
      </c>
      <c r="AQ31" s="188">
        <v>8844347092</v>
      </c>
      <c r="AR31" s="188">
        <v>8551800331</v>
      </c>
      <c r="AS31" s="188">
        <v>8716752466</v>
      </c>
      <c r="AT31" s="188">
        <v>10103679480</v>
      </c>
      <c r="AU31" s="188">
        <v>10311918629</v>
      </c>
      <c r="AV31" s="188">
        <v>10619076220</v>
      </c>
      <c r="AW31" s="188">
        <v>11725754090</v>
      </c>
      <c r="AX31" s="188">
        <v>11785581265</v>
      </c>
      <c r="AY31" s="188">
        <v>14055686914</v>
      </c>
      <c r="AZ31" s="188">
        <v>14395067906</v>
      </c>
      <c r="BA31" s="188">
        <v>14607732167</v>
      </c>
      <c r="BB31" s="188">
        <v>14643176446</v>
      </c>
      <c r="BC31" s="188">
        <v>14905621582</v>
      </c>
      <c r="BD31" s="188">
        <v>13376945399</v>
      </c>
      <c r="BE31" s="188">
        <v>12576086418</v>
      </c>
      <c r="BF31" s="188">
        <v>8384459595.5600004</v>
      </c>
      <c r="BG31" s="188">
        <v>6735689343.8299999</v>
      </c>
      <c r="BH31" s="188">
        <v>6653641717.5200005</v>
      </c>
      <c r="BI31" s="188">
        <v>6418171245</v>
      </c>
      <c r="BJ31" s="188">
        <v>5442187708.7399998</v>
      </c>
      <c r="BK31" s="188">
        <v>5370836546.21</v>
      </c>
      <c r="BL31" s="188">
        <v>5328764572.8900003</v>
      </c>
      <c r="BM31" s="188">
        <v>2398206104</v>
      </c>
      <c r="BN31" s="188">
        <v>2235497541.7199998</v>
      </c>
      <c r="BO31" s="188">
        <v>2150428180.9899998</v>
      </c>
      <c r="BP31" s="188">
        <v>2057084094.0699999</v>
      </c>
      <c r="BQ31" s="188">
        <v>1831907677</v>
      </c>
      <c r="BR31" s="188">
        <v>1567571128.8299999</v>
      </c>
      <c r="BS31" s="188">
        <v>1388404848</v>
      </c>
      <c r="BT31" s="188">
        <v>1334100190</v>
      </c>
      <c r="BU31" s="188">
        <v>1204582449</v>
      </c>
      <c r="BV31" s="188">
        <v>1686369507.6900001</v>
      </c>
    </row>
    <row r="32" spans="1:74" s="54" customFormat="1" ht="15" customHeight="1" x14ac:dyDescent="0.25">
      <c r="A32" s="136" t="s">
        <v>311</v>
      </c>
      <c r="B32" s="188">
        <v>841479045</v>
      </c>
      <c r="C32" s="188">
        <v>841479045</v>
      </c>
      <c r="D32" s="188">
        <v>727692724</v>
      </c>
      <c r="E32" s="188">
        <v>197963688</v>
      </c>
      <c r="F32" s="188">
        <v>197963688</v>
      </c>
      <c r="G32" s="188">
        <v>197963688</v>
      </c>
      <c r="H32" s="188">
        <v>197963688</v>
      </c>
      <c r="I32" s="188">
        <v>197963688</v>
      </c>
      <c r="J32" s="188">
        <v>197963688</v>
      </c>
      <c r="K32" s="188">
        <v>197963688</v>
      </c>
      <c r="L32" s="188">
        <v>197963688</v>
      </c>
      <c r="M32" s="188">
        <v>197963688</v>
      </c>
      <c r="N32" s="188">
        <v>155756341</v>
      </c>
      <c r="O32" s="188">
        <v>51502898</v>
      </c>
      <c r="P32" s="188">
        <v>51502898</v>
      </c>
      <c r="Q32" s="188">
        <v>51502898</v>
      </c>
      <c r="R32" s="188">
        <v>51502898</v>
      </c>
      <c r="S32" s="188">
        <v>51502898</v>
      </c>
      <c r="T32" s="188">
        <v>51502898</v>
      </c>
      <c r="U32" s="188">
        <v>51502898</v>
      </c>
      <c r="V32" s="188">
        <v>51502898</v>
      </c>
      <c r="W32" s="188">
        <v>51502898</v>
      </c>
      <c r="X32" s="188">
        <v>51502898</v>
      </c>
      <c r="Y32" s="188">
        <v>51502898</v>
      </c>
      <c r="Z32" s="188">
        <v>51502898</v>
      </c>
      <c r="AA32" s="188">
        <v>51502898</v>
      </c>
      <c r="AB32" s="188">
        <v>51502898</v>
      </c>
      <c r="AC32" s="188">
        <v>51502898</v>
      </c>
      <c r="AD32" s="188">
        <v>55926774</v>
      </c>
      <c r="AE32" s="188">
        <v>55926774</v>
      </c>
      <c r="AF32" s="188">
        <v>55926774</v>
      </c>
      <c r="AG32" s="188">
        <v>55926774</v>
      </c>
      <c r="AH32" s="188">
        <v>73743389</v>
      </c>
      <c r="AI32" s="188">
        <v>47364310</v>
      </c>
      <c r="AJ32" s="188">
        <v>47364310</v>
      </c>
      <c r="AK32" s="188">
        <v>47364310</v>
      </c>
      <c r="AL32" s="188">
        <v>47364310</v>
      </c>
      <c r="AM32" s="188">
        <v>47364310</v>
      </c>
      <c r="AN32" s="188">
        <v>47364310</v>
      </c>
      <c r="AO32" s="188">
        <v>47364310</v>
      </c>
      <c r="AP32" s="188">
        <v>59317773</v>
      </c>
      <c r="AQ32" s="188">
        <v>59317773</v>
      </c>
      <c r="AR32" s="188">
        <v>47364310</v>
      </c>
      <c r="AS32" s="188">
        <v>47364310</v>
      </c>
      <c r="AT32" s="188">
        <v>49722765</v>
      </c>
      <c r="AU32" s="188">
        <v>49722765</v>
      </c>
      <c r="AV32" s="188">
        <v>49722765</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c r="BR32" s="188">
        <v>0</v>
      </c>
      <c r="BS32" s="188">
        <v>0</v>
      </c>
      <c r="BT32" s="188">
        <v>0</v>
      </c>
      <c r="BU32" s="188">
        <v>0</v>
      </c>
      <c r="BV32" s="188">
        <v>0</v>
      </c>
    </row>
    <row r="33" spans="1:74" s="54" customFormat="1" ht="19.2" customHeight="1" x14ac:dyDescent="0.25">
      <c r="A33" s="136" t="s">
        <v>312</v>
      </c>
      <c r="B33" s="188">
        <v>766169370</v>
      </c>
      <c r="C33" s="188">
        <v>777023613</v>
      </c>
      <c r="D33" s="188">
        <v>831371804</v>
      </c>
      <c r="E33" s="188">
        <v>859899356</v>
      </c>
      <c r="F33" s="188">
        <v>850425725</v>
      </c>
      <c r="G33" s="188">
        <v>757249677</v>
      </c>
      <c r="H33" s="188">
        <v>787513973</v>
      </c>
      <c r="I33" s="188">
        <v>622502556</v>
      </c>
      <c r="J33" s="188">
        <v>504652648</v>
      </c>
      <c r="K33" s="188">
        <v>446293769</v>
      </c>
      <c r="L33" s="188">
        <v>413312323</v>
      </c>
      <c r="M33" s="188">
        <v>454096246</v>
      </c>
      <c r="N33" s="188">
        <v>285369654</v>
      </c>
      <c r="O33" s="188">
        <v>391669279</v>
      </c>
      <c r="P33" s="188">
        <v>386002813</v>
      </c>
      <c r="Q33" s="188">
        <v>323530493</v>
      </c>
      <c r="R33" s="188">
        <v>313534194</v>
      </c>
      <c r="S33" s="188">
        <v>226073866</v>
      </c>
      <c r="T33" s="188">
        <v>223345075</v>
      </c>
      <c r="U33" s="188">
        <v>254506569</v>
      </c>
      <c r="V33" s="188">
        <v>122916200</v>
      </c>
      <c r="W33" s="188">
        <v>126552470</v>
      </c>
      <c r="X33" s="188">
        <v>118693337</v>
      </c>
      <c r="Y33" s="188">
        <v>116600700</v>
      </c>
      <c r="Z33" s="188">
        <v>83295158</v>
      </c>
      <c r="AA33" s="188">
        <v>87726361</v>
      </c>
      <c r="AB33" s="188">
        <v>57211342</v>
      </c>
      <c r="AC33" s="188">
        <v>74718931</v>
      </c>
      <c r="AD33" s="188">
        <v>108291709</v>
      </c>
      <c r="AE33" s="188">
        <v>152598955</v>
      </c>
      <c r="AF33" s="188">
        <v>173174403</v>
      </c>
      <c r="AG33" s="188">
        <v>173899899</v>
      </c>
      <c r="AH33" s="188">
        <v>167459674</v>
      </c>
      <c r="AI33" s="188">
        <v>154745799</v>
      </c>
      <c r="AJ33" s="188">
        <v>196357738</v>
      </c>
      <c r="AK33" s="188">
        <v>183909549</v>
      </c>
      <c r="AL33" s="188">
        <v>103036069</v>
      </c>
      <c r="AM33" s="188">
        <v>74086125</v>
      </c>
      <c r="AN33" s="188">
        <v>50921082</v>
      </c>
      <c r="AO33" s="188">
        <v>53707522</v>
      </c>
      <c r="AP33" s="188">
        <v>50176512</v>
      </c>
      <c r="AQ33" s="188">
        <v>86954969</v>
      </c>
      <c r="AR33" s="188">
        <v>101064099</v>
      </c>
      <c r="AS33" s="188">
        <v>129109597</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c r="BL33" s="188">
        <v>0</v>
      </c>
      <c r="BM33" s="188">
        <v>0</v>
      </c>
      <c r="BN33" s="188">
        <v>0</v>
      </c>
      <c r="BO33" s="188">
        <v>0</v>
      </c>
      <c r="BP33" s="188">
        <v>0</v>
      </c>
      <c r="BQ33" s="188">
        <v>0</v>
      </c>
      <c r="BR33" s="188">
        <v>0</v>
      </c>
      <c r="BS33" s="188">
        <v>0</v>
      </c>
      <c r="BT33" s="188">
        <v>0</v>
      </c>
      <c r="BU33" s="188">
        <v>0</v>
      </c>
      <c r="BV33" s="188">
        <v>0</v>
      </c>
    </row>
    <row r="34" spans="1:74" s="44" customFormat="1" ht="15" thickBot="1" x14ac:dyDescent="0.3">
      <c r="A34" s="137" t="s">
        <v>315</v>
      </c>
      <c r="B34" s="49"/>
      <c r="C34" s="49"/>
      <c r="D34" s="49"/>
      <c r="E34" s="49">
        <f>E31-E32-E33</f>
        <v>155270580456</v>
      </c>
      <c r="F34" s="49">
        <f t="shared" ref="F34:BP34" si="81">F31-F32-F33</f>
        <v>141894059931</v>
      </c>
      <c r="G34" s="49">
        <f t="shared" si="81"/>
        <v>133971710859</v>
      </c>
      <c r="H34" s="49">
        <f t="shared" si="81"/>
        <v>124292940838</v>
      </c>
      <c r="I34" s="49">
        <f t="shared" si="81"/>
        <v>113272716373</v>
      </c>
      <c r="J34" s="49">
        <f t="shared" si="81"/>
        <v>99365789449</v>
      </c>
      <c r="K34" s="49">
        <f t="shared" si="81"/>
        <v>91096748246</v>
      </c>
      <c r="L34" s="49">
        <f t="shared" si="81"/>
        <v>89856421225</v>
      </c>
      <c r="M34" s="49">
        <f t="shared" si="81"/>
        <v>88183685845</v>
      </c>
      <c r="N34" s="49">
        <f t="shared" si="81"/>
        <v>86293405825</v>
      </c>
      <c r="O34" s="49">
        <f t="shared" si="81"/>
        <v>82090040774</v>
      </c>
      <c r="P34" s="49">
        <f t="shared" si="81"/>
        <v>79513526764</v>
      </c>
      <c r="Q34" s="49">
        <f t="shared" si="81"/>
        <v>77179516789</v>
      </c>
      <c r="R34" s="49">
        <f t="shared" si="81"/>
        <v>71698941300</v>
      </c>
      <c r="S34" s="49">
        <f t="shared" si="81"/>
        <v>70146470356</v>
      </c>
      <c r="T34" s="49">
        <f t="shared" si="81"/>
        <v>63508040775</v>
      </c>
      <c r="U34" s="49">
        <f t="shared" si="81"/>
        <v>60586342465</v>
      </c>
      <c r="V34" s="49">
        <f t="shared" si="81"/>
        <v>55854867957</v>
      </c>
      <c r="W34" s="49">
        <f t="shared" si="81"/>
        <v>48832766333</v>
      </c>
      <c r="X34" s="49">
        <f t="shared" si="81"/>
        <v>40778094297</v>
      </c>
      <c r="Y34" s="49">
        <f t="shared" si="81"/>
        <v>41106111370</v>
      </c>
      <c r="Z34" s="49">
        <f t="shared" si="81"/>
        <v>40745667832</v>
      </c>
      <c r="AA34" s="49">
        <f t="shared" si="81"/>
        <v>40729249789</v>
      </c>
      <c r="AB34" s="49">
        <f t="shared" si="81"/>
        <v>40097341820</v>
      </c>
      <c r="AC34" s="49">
        <f t="shared" si="81"/>
        <v>40697751963</v>
      </c>
      <c r="AD34" s="49">
        <f t="shared" si="81"/>
        <v>39006874449</v>
      </c>
      <c r="AE34" s="49">
        <f t="shared" si="81"/>
        <v>35841435009</v>
      </c>
      <c r="AF34" s="49">
        <f t="shared" si="81"/>
        <v>30884481984</v>
      </c>
      <c r="AG34" s="49">
        <f t="shared" si="81"/>
        <v>26207840977</v>
      </c>
      <c r="AH34" s="49">
        <f t="shared" si="81"/>
        <v>21836663845</v>
      </c>
      <c r="AI34" s="49">
        <f t="shared" si="81"/>
        <v>17600608361</v>
      </c>
      <c r="AJ34" s="49">
        <f t="shared" si="81"/>
        <v>12652953250</v>
      </c>
      <c r="AK34" s="49">
        <f t="shared" si="81"/>
        <v>11769777630</v>
      </c>
      <c r="AL34" s="49">
        <f t="shared" si="81"/>
        <v>9620777006</v>
      </c>
      <c r="AM34" s="49">
        <f t="shared" si="81"/>
        <v>9287103420</v>
      </c>
      <c r="AN34" s="49">
        <f t="shared" si="81"/>
        <v>8532202868</v>
      </c>
      <c r="AO34" s="49">
        <f t="shared" si="81"/>
        <v>8238304700</v>
      </c>
      <c r="AP34" s="49">
        <f t="shared" si="81"/>
        <v>8499445696</v>
      </c>
      <c r="AQ34" s="49">
        <f t="shared" si="81"/>
        <v>8698074350</v>
      </c>
      <c r="AR34" s="49">
        <f t="shared" si="81"/>
        <v>8403371922</v>
      </c>
      <c r="AS34" s="49">
        <f t="shared" si="81"/>
        <v>8540278559</v>
      </c>
      <c r="AT34" s="49">
        <f t="shared" si="81"/>
        <v>10053956715</v>
      </c>
      <c r="AU34" s="49">
        <f t="shared" si="81"/>
        <v>10262195864</v>
      </c>
      <c r="AV34" s="49">
        <f t="shared" si="81"/>
        <v>10569353455</v>
      </c>
      <c r="AW34" s="49">
        <f t="shared" si="81"/>
        <v>11725754090</v>
      </c>
      <c r="AX34" s="49">
        <f t="shared" si="81"/>
        <v>11785581265</v>
      </c>
      <c r="AY34" s="49">
        <f t="shared" si="81"/>
        <v>14055686914</v>
      </c>
      <c r="AZ34" s="49">
        <f t="shared" si="81"/>
        <v>14395067906</v>
      </c>
      <c r="BA34" s="49">
        <f t="shared" si="81"/>
        <v>14607732167</v>
      </c>
      <c r="BB34" s="49">
        <f t="shared" si="81"/>
        <v>14643176446</v>
      </c>
      <c r="BC34" s="49">
        <f t="shared" si="81"/>
        <v>14905621582</v>
      </c>
      <c r="BD34" s="49">
        <f t="shared" si="81"/>
        <v>13376945399</v>
      </c>
      <c r="BE34" s="49">
        <f t="shared" si="81"/>
        <v>12576086418</v>
      </c>
      <c r="BF34" s="49">
        <f t="shared" si="81"/>
        <v>8384459595.5600004</v>
      </c>
      <c r="BG34" s="49">
        <f t="shared" si="81"/>
        <v>6735689343.8299999</v>
      </c>
      <c r="BH34" s="49">
        <f t="shared" si="81"/>
        <v>6653641717.5200005</v>
      </c>
      <c r="BI34" s="49">
        <f t="shared" si="81"/>
        <v>6418171245</v>
      </c>
      <c r="BJ34" s="49">
        <f t="shared" si="81"/>
        <v>5442187708.7399998</v>
      </c>
      <c r="BK34" s="49">
        <f t="shared" si="81"/>
        <v>5370836546.21</v>
      </c>
      <c r="BL34" s="49">
        <f t="shared" si="81"/>
        <v>5328764572.8900003</v>
      </c>
      <c r="BM34" s="49">
        <f t="shared" si="81"/>
        <v>2398206104</v>
      </c>
      <c r="BN34" s="49">
        <f t="shared" si="81"/>
        <v>2235497541.7199998</v>
      </c>
      <c r="BO34" s="49">
        <f t="shared" si="81"/>
        <v>2150428180.9899998</v>
      </c>
      <c r="BP34" s="49">
        <f t="shared" si="81"/>
        <v>2057084094.0699999</v>
      </c>
      <c r="BQ34" s="49">
        <f>AP31-AP32-AP33</f>
        <v>8499445696</v>
      </c>
      <c r="BR34" s="49">
        <f>AQ31-AQ32-AQ33</f>
        <v>8698074350</v>
      </c>
      <c r="BS34" s="49">
        <f>AR31-AR32-AR33</f>
        <v>8403371922</v>
      </c>
      <c r="BT34" s="49"/>
      <c r="BU34" s="50"/>
    </row>
    <row r="35" spans="1:74" s="105" customFormat="1" ht="15" thickBot="1" x14ac:dyDescent="0.3">
      <c r="A35" s="138" t="s">
        <v>317</v>
      </c>
      <c r="B35" s="33">
        <f>SUM(B22:B31)</f>
        <v>202223109549</v>
      </c>
      <c r="C35" s="33">
        <f>SUM(C22:C31)</f>
        <v>184542554813</v>
      </c>
      <c r="D35" s="33">
        <f>SUM(D22:D31)</f>
        <v>172255254198</v>
      </c>
      <c r="E35" s="33">
        <f>资产资本表!E17</f>
        <v>59374849696</v>
      </c>
      <c r="F35" s="33">
        <f>资产资本表!F17</f>
        <v>55742126678</v>
      </c>
      <c r="G35" s="33">
        <f>资产资本表!G17</f>
        <v>52888853809</v>
      </c>
      <c r="H35" s="33">
        <f>资产资本表!H17</f>
        <v>53308603340</v>
      </c>
      <c r="I35" s="33">
        <f>资产资本表!I17</f>
        <v>60093394248</v>
      </c>
      <c r="J35" s="33">
        <f>资产资本表!J17</f>
        <v>42819125608</v>
      </c>
      <c r="K35" s="33">
        <f>资产资本表!K17</f>
        <v>46326090357</v>
      </c>
      <c r="L35" s="33">
        <f>资产资本表!L17</f>
        <v>49514470615</v>
      </c>
      <c r="M35" s="33">
        <f>资产资本表!M17</f>
        <v>40742575787</v>
      </c>
      <c r="N35" s="33">
        <f>资产资本表!N17</f>
        <v>36599354495</v>
      </c>
      <c r="O35" s="33">
        <f>资产资本表!O17</f>
        <v>37139162680</v>
      </c>
      <c r="P35" s="33">
        <f>资产资本表!P17</f>
        <v>38495609489</v>
      </c>
      <c r="Q35" s="33">
        <f>资产资本表!Q17</f>
        <v>42023631002</v>
      </c>
      <c r="R35" s="33">
        <f>资产资本表!R17</f>
        <v>42549231107</v>
      </c>
      <c r="S35" s="33">
        <f>资产资本表!S17</f>
        <v>46308387880</v>
      </c>
      <c r="T35" s="33">
        <f>资产资本表!T17</f>
        <v>52105485606</v>
      </c>
      <c r="U35" s="33">
        <f>资产资本表!U17</f>
        <v>22112521474</v>
      </c>
      <c r="V35" s="33">
        <f>资产资本表!V17</f>
        <v>24856882853</v>
      </c>
      <c r="W35" s="33">
        <f>资产资本表!W17</f>
        <v>30032369209</v>
      </c>
      <c r="X35" s="33">
        <f>资产资本表!X17</f>
        <v>17983967257</v>
      </c>
      <c r="Y35" s="33">
        <f>资产资本表!Y17</f>
        <v>16668863807</v>
      </c>
      <c r="Z35" s="33">
        <f>资产资本表!Z17</f>
        <v>15469098010</v>
      </c>
      <c r="AA35" s="33">
        <f>资产资本表!AA17</f>
        <v>17028082868</v>
      </c>
      <c r="AB35" s="33">
        <f>资产资本表!AB17</f>
        <v>17420273137</v>
      </c>
      <c r="AC35" s="33">
        <f>资产资本表!AC17</f>
        <v>21846416555</v>
      </c>
      <c r="AD35" s="33">
        <f>资产资本表!AD17</f>
        <v>21249625924</v>
      </c>
      <c r="AE35" s="33">
        <f>资产资本表!AE17</f>
        <v>23931934720</v>
      </c>
      <c r="AF35" s="33">
        <f>资产资本表!AF17</f>
        <v>22453032819</v>
      </c>
      <c r="AG35" s="33">
        <f>资产资本表!AG17</f>
        <v>25705151124</v>
      </c>
      <c r="AH35" s="33">
        <f>资产资本表!AH17</f>
        <v>17879635157</v>
      </c>
      <c r="AI35" s="33">
        <f>资产资本表!AI17</f>
        <v>18778823642</v>
      </c>
      <c r="AJ35" s="33">
        <f>资产资本表!AJ17</f>
        <v>17711923925</v>
      </c>
      <c r="AK35" s="33">
        <f>资产资本表!AK17</f>
        <v>17261009690</v>
      </c>
      <c r="AL35" s="33">
        <f>资产资本表!AL17</f>
        <v>13559261026</v>
      </c>
      <c r="AM35" s="33">
        <f>资产资本表!AM17</f>
        <v>14340909949</v>
      </c>
      <c r="AN35" s="33">
        <f>资产资本表!AN17</f>
        <v>4330189598</v>
      </c>
      <c r="AO35" s="33">
        <f>资产资本表!AO17</f>
        <v>4138563386</v>
      </c>
      <c r="AP35" s="33">
        <f>资产资本表!AP17</f>
        <v>3159005078</v>
      </c>
      <c r="AQ35" s="33">
        <f>资产资本表!AQ17</f>
        <v>1875296997</v>
      </c>
      <c r="AR35" s="33">
        <f>资产资本表!AR17</f>
        <v>1859663109</v>
      </c>
      <c r="AS35" s="33">
        <f>资产资本表!AS17</f>
        <v>1961430313</v>
      </c>
      <c r="AT35" s="33">
        <f>资产资本表!AT17</f>
        <v>2292816687</v>
      </c>
      <c r="AU35" s="33">
        <f>资产资本表!AU17</f>
        <v>2096092797</v>
      </c>
      <c r="AV35" s="33">
        <f>资产资本表!AV17</f>
        <v>2075826083</v>
      </c>
      <c r="AW35" s="33">
        <f>资产资本表!AW17</f>
        <v>1809217235</v>
      </c>
      <c r="AX35" s="33">
        <f>资产资本表!AX17</f>
        <v>2395946480</v>
      </c>
      <c r="AY35" s="33">
        <f>资产资本表!AY17</f>
        <v>1510409463</v>
      </c>
      <c r="AZ35" s="33">
        <f>资产资本表!AZ17</f>
        <v>1894735372</v>
      </c>
      <c r="BA35" s="33">
        <f>资产资本表!BA17</f>
        <v>2080680420</v>
      </c>
      <c r="BB35" s="33">
        <f>资产资本表!BB17</f>
        <v>3705622980</v>
      </c>
      <c r="BC35" s="33">
        <f>资产资本表!BC17</f>
        <v>4798356239</v>
      </c>
      <c r="BD35" s="33">
        <f>资产资本表!BD17</f>
        <v>1714290168</v>
      </c>
      <c r="BE35" s="33">
        <f>资产资本表!BE17</f>
        <v>1839091213</v>
      </c>
      <c r="BF35" s="33">
        <f>资产资本表!BF17</f>
        <v>3659739824</v>
      </c>
      <c r="BG35" s="33">
        <f>资产资本表!BG17</f>
        <v>2793219063.96</v>
      </c>
      <c r="BH35" s="33">
        <f>资产资本表!BH17</f>
        <v>3469664351.3799996</v>
      </c>
      <c r="BI35" s="33">
        <f>资产资本表!BI17</f>
        <v>2251632347</v>
      </c>
      <c r="BJ35" s="33">
        <f>资产资本表!BJ17</f>
        <v>1772545556.7500002</v>
      </c>
      <c r="BK35" s="33">
        <f>资产资本表!BK17</f>
        <v>1829053661.4300001</v>
      </c>
      <c r="BL35" s="33">
        <f>资产资本表!BL17</f>
        <v>2124166725.9399998</v>
      </c>
      <c r="BM35" s="33">
        <f>资产资本表!BM17</f>
        <v>2294247778</v>
      </c>
      <c r="BN35" s="33">
        <f>资产资本表!BN17</f>
        <v>1241128815.51</v>
      </c>
      <c r="BO35" s="33">
        <f>资产资本表!BO17</f>
        <v>1008225671.23</v>
      </c>
      <c r="BP35" s="33">
        <f>资产资本表!BP17</f>
        <v>1214423990.8</v>
      </c>
      <c r="BQ35" s="33">
        <f>资产资本表!BQ17</f>
        <v>1216749029</v>
      </c>
      <c r="BR35" s="33">
        <f>资产资本表!BR17</f>
        <v>1273594641.9100001</v>
      </c>
      <c r="BS35" s="33">
        <f>资产资本表!BS17</f>
        <v>1406562761</v>
      </c>
      <c r="BT35" s="33">
        <f>资产资本表!BT17</f>
        <v>461243462</v>
      </c>
      <c r="BU35" s="33">
        <f>资产资本表!BU17</f>
        <v>334471420</v>
      </c>
      <c r="BV35" s="33">
        <f>资产资本表!BV17</f>
        <v>365063684.08999997</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36160</v>
      </c>
      <c r="BU38" s="1">
        <v>25569</v>
      </c>
      <c r="BV38" s="1">
        <v>25569</v>
      </c>
    </row>
    <row r="39" spans="1:74" s="48" customFormat="1" x14ac:dyDescent="0.25">
      <c r="A39" s="46" t="s">
        <v>319</v>
      </c>
    </row>
    <row r="40" spans="1:74" s="191" customFormat="1" x14ac:dyDescent="0.25">
      <c r="A40" s="191" t="s">
        <v>740</v>
      </c>
      <c r="B40" s="191">
        <v>4212024400</v>
      </c>
      <c r="C40" s="191">
        <v>4211130000</v>
      </c>
      <c r="D40" s="191">
        <v>10800000</v>
      </c>
      <c r="E40" s="191">
        <v>9851250000</v>
      </c>
      <c r="F40" s="191">
        <v>11505150000</v>
      </c>
      <c r="G40" s="191">
        <v>6105150000</v>
      </c>
      <c r="H40" s="191">
        <v>2003250000</v>
      </c>
      <c r="I40" s="191">
        <v>4500000000</v>
      </c>
      <c r="J40" s="191">
        <v>3008499427</v>
      </c>
      <c r="K40" s="191">
        <v>3008499427</v>
      </c>
      <c r="L40" s="191">
        <v>0</v>
      </c>
      <c r="M40" s="191">
        <v>0</v>
      </c>
      <c r="N40" s="191">
        <v>0</v>
      </c>
      <c r="O40" s="191">
        <v>0</v>
      </c>
      <c r="P40" s="191">
        <v>0</v>
      </c>
      <c r="Q40" s="191">
        <v>30752700690</v>
      </c>
      <c r="R40" s="191">
        <v>30752700690</v>
      </c>
      <c r="S40" s="191">
        <v>30752700690</v>
      </c>
      <c r="T40" s="191">
        <v>30752700690</v>
      </c>
      <c r="U40" s="191">
        <v>14351281</v>
      </c>
      <c r="V40" s="191">
        <v>15042000</v>
      </c>
      <c r="W40" s="191">
        <v>35042000</v>
      </c>
      <c r="X40" s="191">
        <v>0</v>
      </c>
      <c r="Y40" s="191">
        <v>0</v>
      </c>
      <c r="Z40" s="191">
        <v>0</v>
      </c>
      <c r="AA40" s="191">
        <v>0</v>
      </c>
      <c r="AB40" s="191">
        <v>0</v>
      </c>
      <c r="AC40" s="191">
        <v>4000000</v>
      </c>
      <c r="AD40" s="191">
        <v>0</v>
      </c>
      <c r="AE40" s="191">
        <v>0</v>
      </c>
      <c r="AF40" s="191">
        <v>0</v>
      </c>
      <c r="AG40" s="191">
        <v>14665779297</v>
      </c>
      <c r="AH40" s="191">
        <v>5500000000</v>
      </c>
      <c r="AI40" s="191">
        <v>5500000000</v>
      </c>
      <c r="AJ40" s="191">
        <v>1500000000</v>
      </c>
      <c r="AK40" s="191">
        <v>14833252000</v>
      </c>
      <c r="AL40" s="191">
        <v>11857252000</v>
      </c>
      <c r="AM40" s="191">
        <v>11828252000</v>
      </c>
      <c r="AN40" s="191">
        <v>0</v>
      </c>
      <c r="AO40" s="191">
        <v>2248499999</v>
      </c>
      <c r="AP40" s="191">
        <v>2248499999</v>
      </c>
      <c r="AQ40" s="191">
        <v>0</v>
      </c>
      <c r="AR40" s="191">
        <v>0</v>
      </c>
      <c r="AS40" s="191">
        <v>0</v>
      </c>
      <c r="AT40" s="191">
        <v>0</v>
      </c>
      <c r="AU40" s="191">
        <v>0</v>
      </c>
      <c r="AV40" s="191">
        <v>0</v>
      </c>
      <c r="AW40" s="191">
        <v>1200000005</v>
      </c>
      <c r="AX40" s="191">
        <v>1200000005</v>
      </c>
      <c r="AY40" s="191">
        <v>0</v>
      </c>
      <c r="AZ40" s="191">
        <v>0</v>
      </c>
      <c r="BA40" s="191">
        <v>18529013</v>
      </c>
      <c r="BB40" s="191">
        <v>8938537.2400000002</v>
      </c>
      <c r="BC40" s="191">
        <v>8938537</v>
      </c>
      <c r="BD40" s="191">
        <v>8938537</v>
      </c>
      <c r="BE40" s="191">
        <v>2147568955</v>
      </c>
      <c r="BF40" s="191">
        <v>2072100539.26</v>
      </c>
      <c r="BG40" s="191">
        <v>2072100539.26</v>
      </c>
      <c r="BH40" s="191">
        <v>2072100539.26</v>
      </c>
      <c r="BI40" s="191">
        <v>0</v>
      </c>
      <c r="BJ40" s="191">
        <v>0</v>
      </c>
      <c r="BK40" s="191">
        <v>2069573.31</v>
      </c>
      <c r="BL40" s="191">
        <v>2069573.31</v>
      </c>
      <c r="BM40" s="191">
        <v>134511204</v>
      </c>
      <c r="BN40" s="191">
        <v>76212173.519999996</v>
      </c>
      <c r="BO40" s="191">
        <v>19002200</v>
      </c>
      <c r="BP40" s="191">
        <v>0</v>
      </c>
      <c r="BQ40" s="191">
        <v>1008000000</v>
      </c>
      <c r="BR40" s="191">
        <v>0</v>
      </c>
      <c r="BS40" s="191">
        <v>72720731</v>
      </c>
      <c r="BT40" s="191">
        <v>0</v>
      </c>
      <c r="BU40" s="191">
        <v>0</v>
      </c>
      <c r="BV40" s="191">
        <v>0</v>
      </c>
    </row>
    <row r="41" spans="1:74" s="53" customFormat="1" ht="21.75" customHeight="1" x14ac:dyDescent="0.25">
      <c r="A41" s="139" t="s">
        <v>631</v>
      </c>
      <c r="B41" s="53">
        <v>1419647033.29</v>
      </c>
      <c r="C41" s="53">
        <v>682396282.87</v>
      </c>
      <c r="D41" s="53">
        <v>73246783.790000007</v>
      </c>
      <c r="E41" s="53">
        <v>1739919938.1500001</v>
      </c>
      <c r="I41" s="53">
        <v>1046578275.99</v>
      </c>
      <c r="M41" s="53">
        <v>703061354.86000001</v>
      </c>
    </row>
    <row r="42" spans="1:74" s="26" customFormat="1" x14ac:dyDescent="0.25">
      <c r="A42" s="17" t="s">
        <v>322</v>
      </c>
      <c r="E42" s="26">
        <f>E40-E41</f>
        <v>8111330061.8500004</v>
      </c>
      <c r="F42" s="26">
        <f t="shared" ref="F42:Y42" si="82">F40-F41</f>
        <v>11505150000</v>
      </c>
      <c r="G42" s="26">
        <f t="shared" si="82"/>
        <v>6105150000</v>
      </c>
      <c r="H42" s="26">
        <f t="shared" si="82"/>
        <v>2003250000</v>
      </c>
      <c r="I42" s="26">
        <f>I40-I41</f>
        <v>3453421724.0100002</v>
      </c>
      <c r="J42" s="26">
        <f t="shared" si="82"/>
        <v>3008499427</v>
      </c>
      <c r="K42" s="26">
        <f t="shared" si="82"/>
        <v>3008499427</v>
      </c>
      <c r="L42" s="26">
        <f t="shared" si="82"/>
        <v>0</v>
      </c>
      <c r="M42" s="26">
        <f t="shared" si="82"/>
        <v>-703061354.86000001</v>
      </c>
      <c r="N42" s="26">
        <f t="shared" si="82"/>
        <v>0</v>
      </c>
      <c r="O42" s="26">
        <f t="shared" si="82"/>
        <v>0</v>
      </c>
      <c r="P42" s="26">
        <f t="shared" si="82"/>
        <v>0</v>
      </c>
      <c r="Q42" s="26">
        <f t="shared" si="82"/>
        <v>30752700690</v>
      </c>
      <c r="R42" s="26">
        <f t="shared" si="82"/>
        <v>30752700690</v>
      </c>
      <c r="S42" s="26">
        <f t="shared" si="82"/>
        <v>30752700690</v>
      </c>
      <c r="T42" s="26">
        <f t="shared" si="82"/>
        <v>30752700690</v>
      </c>
      <c r="U42" s="26">
        <f t="shared" si="82"/>
        <v>14351281</v>
      </c>
      <c r="V42" s="26">
        <f t="shared" si="82"/>
        <v>15042000</v>
      </c>
      <c r="W42" s="26">
        <f t="shared" si="82"/>
        <v>35042000</v>
      </c>
      <c r="X42" s="26">
        <f t="shared" si="82"/>
        <v>0</v>
      </c>
      <c r="Y42" s="26">
        <f t="shared" si="82"/>
        <v>0</v>
      </c>
      <c r="Z42" s="26">
        <f t="shared" ref="Z42:BQ42" si="83">Z40-Z41</f>
        <v>0</v>
      </c>
      <c r="AA42" s="26">
        <f t="shared" si="83"/>
        <v>0</v>
      </c>
      <c r="AB42" s="26">
        <f t="shared" si="83"/>
        <v>0</v>
      </c>
      <c r="AC42" s="26">
        <f t="shared" si="83"/>
        <v>4000000</v>
      </c>
      <c r="AD42" s="26">
        <f t="shared" si="83"/>
        <v>0</v>
      </c>
      <c r="AE42" s="26">
        <f t="shared" si="83"/>
        <v>0</v>
      </c>
      <c r="AF42" s="26">
        <f t="shared" si="83"/>
        <v>0</v>
      </c>
      <c r="AG42" s="26">
        <f t="shared" si="83"/>
        <v>14665779297</v>
      </c>
      <c r="AH42" s="26">
        <f t="shared" si="83"/>
        <v>5500000000</v>
      </c>
      <c r="AI42" s="26">
        <f t="shared" si="83"/>
        <v>5500000000</v>
      </c>
      <c r="AJ42" s="26">
        <f t="shared" si="83"/>
        <v>1500000000</v>
      </c>
      <c r="AK42" s="26">
        <f t="shared" si="83"/>
        <v>14833252000</v>
      </c>
      <c r="AL42" s="191">
        <f t="shared" si="83"/>
        <v>11857252000</v>
      </c>
      <c r="AM42" s="191">
        <f t="shared" si="83"/>
        <v>11828252000</v>
      </c>
      <c r="AN42" s="191">
        <f t="shared" si="83"/>
        <v>0</v>
      </c>
      <c r="AO42" s="191">
        <f t="shared" si="83"/>
        <v>2248499999</v>
      </c>
      <c r="AP42" s="191">
        <f t="shared" si="83"/>
        <v>2248499999</v>
      </c>
      <c r="AQ42" s="191">
        <f t="shared" si="83"/>
        <v>0</v>
      </c>
      <c r="AR42" s="191">
        <f t="shared" si="83"/>
        <v>0</v>
      </c>
      <c r="AS42" s="191">
        <f t="shared" si="83"/>
        <v>0</v>
      </c>
      <c r="AT42" s="191">
        <f t="shared" si="83"/>
        <v>0</v>
      </c>
      <c r="AU42" s="191">
        <f t="shared" si="83"/>
        <v>0</v>
      </c>
      <c r="AV42" s="191">
        <f t="shared" si="83"/>
        <v>0</v>
      </c>
      <c r="AW42" s="191">
        <f t="shared" si="83"/>
        <v>1200000005</v>
      </c>
      <c r="AX42" s="191">
        <f t="shared" si="83"/>
        <v>1200000005</v>
      </c>
      <c r="AY42" s="191">
        <f t="shared" si="83"/>
        <v>0</v>
      </c>
      <c r="AZ42" s="191">
        <f t="shared" si="83"/>
        <v>0</v>
      </c>
      <c r="BA42" s="26">
        <f t="shared" si="83"/>
        <v>18529013</v>
      </c>
      <c r="BB42" s="26">
        <f t="shared" si="83"/>
        <v>8938537.2400000002</v>
      </c>
      <c r="BC42" s="26">
        <f t="shared" si="83"/>
        <v>8938537</v>
      </c>
      <c r="BD42" s="26">
        <f t="shared" si="83"/>
        <v>8938537</v>
      </c>
      <c r="BE42" s="26">
        <f t="shared" si="83"/>
        <v>2147568955</v>
      </c>
      <c r="BF42" s="26">
        <f t="shared" si="83"/>
        <v>2072100539.26</v>
      </c>
      <c r="BG42" s="26">
        <f t="shared" si="83"/>
        <v>2072100539.26</v>
      </c>
      <c r="BH42" s="26">
        <f t="shared" si="83"/>
        <v>2072100539.26</v>
      </c>
      <c r="BI42" s="26">
        <f t="shared" si="83"/>
        <v>0</v>
      </c>
      <c r="BJ42" s="26">
        <f t="shared" si="83"/>
        <v>0</v>
      </c>
      <c r="BK42" s="26">
        <f t="shared" si="83"/>
        <v>2069573.31</v>
      </c>
      <c r="BL42" s="26">
        <f t="shared" si="83"/>
        <v>2069573.31</v>
      </c>
      <c r="BM42" s="26">
        <f t="shared" si="83"/>
        <v>134511204</v>
      </c>
      <c r="BN42" s="26">
        <f t="shared" si="83"/>
        <v>76212173.519999996</v>
      </c>
      <c r="BO42" s="26">
        <f t="shared" si="83"/>
        <v>19002200</v>
      </c>
      <c r="BP42" s="26">
        <f t="shared" si="83"/>
        <v>0</v>
      </c>
      <c r="BQ42" s="26">
        <f t="shared" si="83"/>
        <v>1008000000</v>
      </c>
      <c r="BR42" s="26">
        <f t="shared" ref="BR42:BV42" si="84">BR40-BR41</f>
        <v>0</v>
      </c>
      <c r="BS42" s="26">
        <f t="shared" si="84"/>
        <v>72720731</v>
      </c>
      <c r="BT42" s="26">
        <f t="shared" si="84"/>
        <v>0</v>
      </c>
      <c r="BU42" s="26">
        <f t="shared" si="84"/>
        <v>0</v>
      </c>
      <c r="BV42" s="26">
        <f t="shared" si="84"/>
        <v>0</v>
      </c>
    </row>
    <row r="43" spans="1:74" s="52" customFormat="1" ht="15" customHeight="1" x14ac:dyDescent="0.25">
      <c r="A43" s="140" t="s">
        <v>321</v>
      </c>
    </row>
    <row r="44" spans="1:74" s="191" customFormat="1" x14ac:dyDescent="0.25">
      <c r="A44" s="191" t="s">
        <v>324</v>
      </c>
      <c r="B44" s="191">
        <v>28080875769</v>
      </c>
      <c r="C44" s="191">
        <v>16019313696</v>
      </c>
      <c r="D44" s="191">
        <v>11080692010</v>
      </c>
      <c r="E44" s="191">
        <v>53106623454</v>
      </c>
      <c r="F44" s="191">
        <v>32033861904</v>
      </c>
      <c r="G44" s="191">
        <v>17478499523</v>
      </c>
      <c r="H44" s="191">
        <v>7178610681</v>
      </c>
      <c r="I44" s="191">
        <v>38124199131</v>
      </c>
      <c r="J44" s="191">
        <v>11438150450</v>
      </c>
      <c r="K44" s="191">
        <v>9321691631</v>
      </c>
      <c r="L44" s="191">
        <v>2595534651</v>
      </c>
      <c r="M44" s="191">
        <v>18383259217</v>
      </c>
      <c r="N44" s="191">
        <v>13230442064</v>
      </c>
      <c r="O44" s="191">
        <v>9068701432</v>
      </c>
      <c r="P44" s="191">
        <v>1566209834</v>
      </c>
      <c r="Q44" s="191">
        <v>23952128073</v>
      </c>
      <c r="R44" s="191">
        <v>15164084920</v>
      </c>
      <c r="S44" s="191">
        <v>12045540367</v>
      </c>
      <c r="T44" s="191">
        <v>7953942608</v>
      </c>
      <c r="U44" s="191">
        <v>20385558597</v>
      </c>
      <c r="V44" s="191">
        <v>19019933498</v>
      </c>
      <c r="W44" s="191">
        <v>14933910972</v>
      </c>
      <c r="X44" s="191">
        <v>1908751739</v>
      </c>
      <c r="Y44" s="191">
        <v>12544256450</v>
      </c>
      <c r="Z44" s="191">
        <v>8413066483</v>
      </c>
      <c r="AA44" s="191">
        <v>6111806234</v>
      </c>
      <c r="AB44" s="191">
        <v>1939588837</v>
      </c>
      <c r="AC44" s="191">
        <v>25603633022</v>
      </c>
      <c r="AD44" s="191">
        <v>19641916106</v>
      </c>
      <c r="AE44" s="191">
        <v>13076509060</v>
      </c>
      <c r="AF44" s="191">
        <v>5029205308</v>
      </c>
      <c r="AG44" s="191">
        <v>13229283415</v>
      </c>
      <c r="AH44" s="191">
        <v>8641057787</v>
      </c>
      <c r="AI44" s="191">
        <v>3346749917</v>
      </c>
      <c r="AJ44" s="191">
        <v>832060703</v>
      </c>
      <c r="AK44" s="191">
        <v>3910374042</v>
      </c>
      <c r="AL44" s="191">
        <v>3238152639</v>
      </c>
      <c r="AM44" s="191">
        <v>2731063940</v>
      </c>
      <c r="AN44" s="191">
        <v>1382403219</v>
      </c>
      <c r="AO44" s="191">
        <v>2671321134</v>
      </c>
      <c r="AP44" s="191">
        <v>1057240523</v>
      </c>
      <c r="AQ44" s="191">
        <v>757651132</v>
      </c>
      <c r="AR44" s="191">
        <v>359979101</v>
      </c>
      <c r="AS44" s="191">
        <v>1721033502</v>
      </c>
      <c r="AT44" s="191">
        <v>1544771359</v>
      </c>
      <c r="AU44" s="191">
        <v>1230061532</v>
      </c>
      <c r="AV44" s="191">
        <v>830387249</v>
      </c>
      <c r="AW44" s="191">
        <v>4367238900</v>
      </c>
      <c r="AX44" s="191">
        <v>2632916459</v>
      </c>
      <c r="AY44" s="191">
        <v>1455057216</v>
      </c>
      <c r="AZ44" s="191">
        <v>1101924440</v>
      </c>
      <c r="BA44" s="191">
        <v>14011294009</v>
      </c>
      <c r="BB44" s="191">
        <v>15320914684.299999</v>
      </c>
      <c r="BC44" s="191">
        <v>13584061419</v>
      </c>
      <c r="BD44" s="191">
        <v>3234014525</v>
      </c>
      <c r="BE44" s="191">
        <v>10399068580</v>
      </c>
      <c r="BF44" s="191">
        <v>7853363707.4899998</v>
      </c>
      <c r="BG44" s="191">
        <v>3452767661.5999999</v>
      </c>
      <c r="BH44" s="191">
        <v>978524524.17999995</v>
      </c>
      <c r="BI44" s="191">
        <v>8811082218</v>
      </c>
      <c r="BJ44" s="191">
        <v>5403968431.4399996</v>
      </c>
      <c r="BK44" s="191">
        <v>4126822881.25</v>
      </c>
      <c r="BL44" s="191">
        <v>3125174524.3800001</v>
      </c>
      <c r="BM44" s="191">
        <v>3463667526</v>
      </c>
      <c r="BN44" s="191">
        <v>658417736.50999999</v>
      </c>
      <c r="BO44" s="191">
        <v>826000000</v>
      </c>
      <c r="BP44" s="191">
        <v>189500000</v>
      </c>
      <c r="BQ44" s="191">
        <v>942800000</v>
      </c>
      <c r="BR44" s="191">
        <v>468700000</v>
      </c>
      <c r="BS44" s="191">
        <v>444557550</v>
      </c>
      <c r="BT44" s="191">
        <v>105827000</v>
      </c>
      <c r="BU44" s="191">
        <v>0</v>
      </c>
      <c r="BV44" s="191">
        <v>0</v>
      </c>
    </row>
    <row r="45" spans="1:74" s="191" customFormat="1" x14ac:dyDescent="0.25">
      <c r="A45" s="191" t="s">
        <v>323</v>
      </c>
      <c r="E45" s="191">
        <f>股权价值增加表!E53</f>
        <v>3143654626</v>
      </c>
      <c r="F45" s="191">
        <f>股权价值增加表!F53</f>
        <v>0</v>
      </c>
      <c r="G45" s="191">
        <f>股权价值增加表!G53</f>
        <v>0</v>
      </c>
      <c r="H45" s="191">
        <f>股权价值增加表!H53</f>
        <v>0</v>
      </c>
      <c r="I45" s="191">
        <f>股权价值增加表!I53</f>
        <v>2349432222</v>
      </c>
      <c r="J45" s="191">
        <f>股权价值增加表!J53</f>
        <v>0</v>
      </c>
      <c r="K45" s="191">
        <f>股权价值增加表!K53</f>
        <v>0</v>
      </c>
      <c r="L45" s="191">
        <f>股权价值增加表!L53</f>
        <v>0</v>
      </c>
      <c r="M45" s="191">
        <f>股权价值增加表!M53</f>
        <v>1885066434</v>
      </c>
      <c r="N45" s="191">
        <f>股权价值增加表!N53</f>
        <v>0</v>
      </c>
      <c r="O45" s="191">
        <f>股权价值增加表!O53</f>
        <v>0</v>
      </c>
      <c r="P45" s="191">
        <f>股权价值增加表!P53</f>
        <v>0</v>
      </c>
      <c r="Q45" s="191">
        <f>股权价值增加表!Q53</f>
        <v>1676726384</v>
      </c>
      <c r="R45" s="191">
        <f>股权价值增加表!R53</f>
        <v>0</v>
      </c>
      <c r="S45" s="191">
        <f>股权价值增加表!S53</f>
        <v>0</v>
      </c>
      <c r="T45" s="191">
        <f>股权价值增加表!T53</f>
        <v>0</v>
      </c>
      <c r="U45" s="191">
        <f>股权价值增加表!U53</f>
        <v>1585229243</v>
      </c>
      <c r="V45" s="191">
        <f>股权价值增加表!V53</f>
        <v>0</v>
      </c>
      <c r="W45" s="191">
        <f>股权价值增加表!W53</f>
        <v>0</v>
      </c>
      <c r="X45" s="191">
        <f>股权价值增加表!X53</f>
        <v>0</v>
      </c>
      <c r="Y45" s="191">
        <f>股权价值增加表!Y53</f>
        <v>1048405621</v>
      </c>
      <c r="Z45" s="191">
        <f>股权价值增加表!Z53</f>
        <v>0</v>
      </c>
      <c r="AA45" s="191">
        <f>股权价值增加表!AA53</f>
        <v>0</v>
      </c>
      <c r="AB45" s="191">
        <f>股权价值增加表!AB53</f>
        <v>0</v>
      </c>
      <c r="AC45" s="191">
        <f>股权价值增加表!AC53</f>
        <v>915332455</v>
      </c>
      <c r="AD45" s="191">
        <f>股权价值增加表!AD53</f>
        <v>0</v>
      </c>
      <c r="AE45" s="191">
        <f>股权价值增加表!AE53</f>
        <v>0</v>
      </c>
      <c r="AF45" s="191">
        <f>股权价值增加表!AF53</f>
        <v>0</v>
      </c>
      <c r="AG45" s="191">
        <f>股权价值增加表!AG53</f>
        <v>280567867</v>
      </c>
      <c r="AH45" s="191">
        <f>股权价值增加表!AH53</f>
        <v>0</v>
      </c>
      <c r="AI45" s="191">
        <f>股权价值增加表!AI53</f>
        <v>0</v>
      </c>
      <c r="AJ45" s="191">
        <f>股权价值增加表!AJ53</f>
        <v>0</v>
      </c>
      <c r="AK45" s="191">
        <f>股权价值增加表!AK53</f>
        <v>251171674</v>
      </c>
      <c r="AL45" s="191">
        <f>股权价值增加表!AL53</f>
        <v>0</v>
      </c>
      <c r="AM45" s="191">
        <f>股权价值增加表!AM53</f>
        <v>0</v>
      </c>
      <c r="AN45" s="191">
        <f>股权价值增加表!AN53</f>
        <v>0</v>
      </c>
      <c r="AO45" s="191">
        <f>股权价值增加表!AO53</f>
        <v>289949122</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x14ac:dyDescent="0.25">
      <c r="A46" s="191" t="s">
        <v>325</v>
      </c>
      <c r="B46" s="191">
        <v>0</v>
      </c>
      <c r="C46" s="191">
        <v>822004488</v>
      </c>
      <c r="D46" s="191">
        <v>149746018</v>
      </c>
      <c r="E46" s="191">
        <v>847955186</v>
      </c>
      <c r="F46" s="191">
        <v>288651102</v>
      </c>
      <c r="G46" s="191">
        <v>551546168</v>
      </c>
      <c r="H46" s="191">
        <v>101756378</v>
      </c>
      <c r="I46" s="191">
        <v>676358748</v>
      </c>
      <c r="J46" s="191">
        <v>251667997</v>
      </c>
      <c r="K46" s="191">
        <v>464064882</v>
      </c>
      <c r="L46" s="191">
        <v>80519121</v>
      </c>
      <c r="M46" s="191">
        <v>348173849</v>
      </c>
      <c r="N46" s="191">
        <v>98100212</v>
      </c>
      <c r="O46" s="191">
        <v>275780996</v>
      </c>
      <c r="P46" s="191">
        <v>67141328</v>
      </c>
      <c r="Q46" s="191">
        <v>219407964</v>
      </c>
      <c r="R46" s="191">
        <v>68530309</v>
      </c>
      <c r="S46" s="191">
        <v>269081089</v>
      </c>
      <c r="T46" s="191">
        <v>367152858</v>
      </c>
      <c r="U46" s="191">
        <v>314004348</v>
      </c>
      <c r="V46" s="191">
        <v>185265015</v>
      </c>
      <c r="W46" s="191">
        <v>126052058</v>
      </c>
      <c r="X46" s="191">
        <v>55742687</v>
      </c>
      <c r="Y46" s="191">
        <v>98478461</v>
      </c>
      <c r="Z46" s="191">
        <v>91528737</v>
      </c>
      <c r="AA46" s="191">
        <v>120424129</v>
      </c>
      <c r="AB46" s="191">
        <v>81677753</v>
      </c>
      <c r="AC46" s="191">
        <v>110964115</v>
      </c>
      <c r="AD46" s="191">
        <v>90824059</v>
      </c>
      <c r="AE46" s="191">
        <v>105930306</v>
      </c>
      <c r="AF46" s="191">
        <v>67681243</v>
      </c>
      <c r="AG46" s="191">
        <v>55863170</v>
      </c>
      <c r="AH46" s="191">
        <v>38409495</v>
      </c>
      <c r="AI46" s="191">
        <v>14304636</v>
      </c>
      <c r="AJ46" s="191">
        <v>19244304</v>
      </c>
      <c r="AK46" s="191">
        <v>5999659</v>
      </c>
      <c r="AL46" s="191">
        <v>45446145</v>
      </c>
      <c r="AM46" s="191">
        <v>25492519</v>
      </c>
      <c r="AN46" s="191">
        <v>31854260</v>
      </c>
      <c r="AO46" s="191">
        <v>11781276</v>
      </c>
      <c r="AP46" s="191">
        <v>14452219</v>
      </c>
      <c r="AQ46" s="191">
        <v>13735972</v>
      </c>
      <c r="AR46" s="191">
        <v>23422775</v>
      </c>
      <c r="AS46" s="191">
        <v>21207784</v>
      </c>
      <c r="AT46" s="191">
        <v>16913487</v>
      </c>
      <c r="AU46" s="191">
        <v>17253593</v>
      </c>
      <c r="AV46" s="191">
        <v>20668839</v>
      </c>
      <c r="AW46" s="191">
        <v>0</v>
      </c>
      <c r="AX46" s="191">
        <v>0</v>
      </c>
      <c r="AY46" s="191">
        <v>0</v>
      </c>
      <c r="AZ46" s="191">
        <v>0</v>
      </c>
      <c r="BA46" s="191">
        <v>0</v>
      </c>
      <c r="BB46" s="191">
        <v>0</v>
      </c>
      <c r="BC46" s="191">
        <v>0</v>
      </c>
      <c r="BD46" s="191">
        <v>0</v>
      </c>
      <c r="BE46" s="191">
        <v>0</v>
      </c>
      <c r="BF46" s="191">
        <v>0</v>
      </c>
      <c r="BG46" s="191">
        <v>0</v>
      </c>
      <c r="BH46" s="191">
        <v>0</v>
      </c>
      <c r="BI46" s="191">
        <v>0</v>
      </c>
      <c r="BJ46" s="191">
        <v>0</v>
      </c>
      <c r="BK46" s="191">
        <v>0</v>
      </c>
      <c r="BL46" s="191">
        <v>0</v>
      </c>
      <c r="BM46" s="191">
        <v>0</v>
      </c>
      <c r="BN46" s="191">
        <v>0</v>
      </c>
      <c r="BO46" s="191">
        <v>0</v>
      </c>
      <c r="BP46" s="191">
        <v>0</v>
      </c>
      <c r="BQ46" s="191">
        <v>0</v>
      </c>
      <c r="BR46" s="191">
        <v>0</v>
      </c>
      <c r="BS46" s="191">
        <v>0</v>
      </c>
      <c r="BT46" s="191">
        <v>0</v>
      </c>
      <c r="BU46" s="191">
        <v>0</v>
      </c>
      <c r="BV46" s="191">
        <v>0</v>
      </c>
    </row>
    <row r="47" spans="1:74" s="191" customFormat="1" x14ac:dyDescent="0.25">
      <c r="A47" s="191" t="s">
        <v>326</v>
      </c>
      <c r="B47" s="191">
        <v>16354302160</v>
      </c>
      <c r="C47" s="191">
        <v>9708459433</v>
      </c>
      <c r="D47" s="191">
        <v>4142696634</v>
      </c>
      <c r="E47" s="191">
        <v>18337522432</v>
      </c>
      <c r="F47" s="191">
        <v>11236228804</v>
      </c>
      <c r="G47" s="191">
        <v>5752923590</v>
      </c>
      <c r="H47" s="191">
        <v>4591781545</v>
      </c>
      <c r="I47" s="191">
        <v>15306109721</v>
      </c>
      <c r="J47" s="191">
        <v>10478692983</v>
      </c>
      <c r="K47" s="191">
        <v>7177513007</v>
      </c>
      <c r="L47" s="191">
        <v>5390276492</v>
      </c>
      <c r="M47" s="191">
        <v>11506938478</v>
      </c>
      <c r="N47" s="191">
        <v>8519532762</v>
      </c>
      <c r="O47" s="191">
        <v>6579675703</v>
      </c>
      <c r="P47" s="191">
        <v>1619177601</v>
      </c>
      <c r="Q47" s="191">
        <v>16602350426</v>
      </c>
      <c r="R47" s="191">
        <v>13817603713</v>
      </c>
      <c r="S47" s="191">
        <v>10518896513</v>
      </c>
      <c r="T47" s="191">
        <v>6139782895</v>
      </c>
      <c r="U47" s="191">
        <v>6482384302</v>
      </c>
      <c r="V47" s="191">
        <v>3377364032</v>
      </c>
      <c r="W47" s="191">
        <v>1559865258</v>
      </c>
      <c r="X47" s="191">
        <v>670908643</v>
      </c>
      <c r="Y47" s="191">
        <v>16200869653</v>
      </c>
      <c r="Z47" s="191">
        <v>9979481877</v>
      </c>
      <c r="AA47" s="191">
        <v>7111042789</v>
      </c>
      <c r="AB47" s="191">
        <v>3005378302</v>
      </c>
      <c r="AC47" s="191">
        <v>15026115531</v>
      </c>
      <c r="AD47" s="191">
        <v>8167198497</v>
      </c>
      <c r="AE47" s="191">
        <v>3657302209</v>
      </c>
      <c r="AF47" s="191">
        <v>1822557682</v>
      </c>
      <c r="AG47" s="191">
        <v>6181125174</v>
      </c>
      <c r="AH47" s="191">
        <v>3180806064</v>
      </c>
      <c r="AI47" s="191">
        <v>1142673283</v>
      </c>
      <c r="AJ47" s="191">
        <v>556316663</v>
      </c>
      <c r="AK47" s="191">
        <v>3926703218</v>
      </c>
      <c r="AL47" s="191">
        <v>2731731036</v>
      </c>
      <c r="AM47" s="191">
        <v>2224097103</v>
      </c>
      <c r="AN47" s="191">
        <v>400268706</v>
      </c>
      <c r="AO47" s="191">
        <v>2677373775</v>
      </c>
      <c r="AP47" s="191">
        <v>2308332818</v>
      </c>
      <c r="AQ47" s="191">
        <v>1106101147</v>
      </c>
      <c r="AR47" s="191">
        <v>859482591</v>
      </c>
      <c r="AS47" s="191">
        <v>5493863572</v>
      </c>
      <c r="AT47" s="191">
        <v>4283473554</v>
      </c>
      <c r="AU47" s="191">
        <v>3381796981</v>
      </c>
      <c r="AV47" s="191">
        <v>1767548149</v>
      </c>
      <c r="AW47" s="191">
        <v>5095271585</v>
      </c>
      <c r="AX47" s="191">
        <v>2757303594</v>
      </c>
      <c r="AY47" s="191">
        <v>1326762763</v>
      </c>
      <c r="AZ47" s="191">
        <v>871261246</v>
      </c>
      <c r="BA47" s="191">
        <v>8288466861</v>
      </c>
      <c r="BB47" s="191">
        <v>8954897927.9699993</v>
      </c>
      <c r="BC47" s="191">
        <v>6880643264</v>
      </c>
      <c r="BD47" s="191">
        <v>2033085778</v>
      </c>
      <c r="BE47" s="191">
        <v>7902354598</v>
      </c>
      <c r="BF47" s="191">
        <v>6124783203.1300001</v>
      </c>
      <c r="BG47" s="191">
        <v>4413973244.1899996</v>
      </c>
      <c r="BH47" s="191">
        <v>1991113172.29</v>
      </c>
      <c r="BI47" s="191">
        <v>5352147807</v>
      </c>
      <c r="BJ47" s="191">
        <v>3401375832</v>
      </c>
      <c r="BK47" s="191">
        <v>1892166232.3</v>
      </c>
      <c r="BL47" s="191">
        <v>746884715.02999997</v>
      </c>
      <c r="BM47" s="191">
        <v>1787367383</v>
      </c>
      <c r="BN47" s="191">
        <v>476300000</v>
      </c>
      <c r="BO47" s="191">
        <v>943200000</v>
      </c>
      <c r="BP47" s="191">
        <v>463700000</v>
      </c>
      <c r="BQ47" s="191">
        <v>407083145</v>
      </c>
      <c r="BR47" s="191">
        <v>191300000</v>
      </c>
      <c r="BS47" s="191">
        <v>268041758</v>
      </c>
      <c r="BT47" s="191">
        <v>96000000</v>
      </c>
      <c r="BU47" s="191">
        <v>0</v>
      </c>
      <c r="BV47" s="191">
        <v>0</v>
      </c>
    </row>
    <row r="48" spans="1:74" s="191" customFormat="1" x14ac:dyDescent="0.25">
      <c r="A48" s="191" t="s">
        <v>595</v>
      </c>
      <c r="B48" s="188">
        <v>0</v>
      </c>
      <c r="C48" s="188">
        <v>0</v>
      </c>
      <c r="D48" s="188">
        <v>0</v>
      </c>
      <c r="E48" s="188">
        <v>0</v>
      </c>
      <c r="F48" s="188">
        <v>0</v>
      </c>
      <c r="G48" s="188">
        <v>0</v>
      </c>
      <c r="H48" s="188">
        <v>0</v>
      </c>
      <c r="I48" s="188">
        <v>0</v>
      </c>
      <c r="J48" s="188">
        <v>10000000000</v>
      </c>
      <c r="K48" s="188">
        <v>10000000000</v>
      </c>
      <c r="L48" s="188">
        <v>0</v>
      </c>
      <c r="M48" s="188">
        <v>0</v>
      </c>
      <c r="N48" s="188">
        <v>0</v>
      </c>
      <c r="O48" s="188">
        <v>0</v>
      </c>
      <c r="P48" s="188">
        <v>0</v>
      </c>
      <c r="Q48" s="188">
        <v>0</v>
      </c>
      <c r="R48" s="188">
        <v>0</v>
      </c>
      <c r="S48" s="188">
        <v>0</v>
      </c>
      <c r="T48" s="188">
        <v>0</v>
      </c>
      <c r="U48" s="188">
        <v>0</v>
      </c>
      <c r="V48" s="188">
        <v>0</v>
      </c>
      <c r="W48" s="188">
        <v>0</v>
      </c>
      <c r="X48" s="188">
        <v>0</v>
      </c>
      <c r="Y48" s="188">
        <v>0</v>
      </c>
      <c r="Z48" s="188">
        <v>0</v>
      </c>
      <c r="AA48" s="188">
        <v>0</v>
      </c>
      <c r="AB48" s="188">
        <v>0</v>
      </c>
      <c r="AC48" s="188">
        <v>0</v>
      </c>
      <c r="AD48" s="188">
        <v>0</v>
      </c>
      <c r="AE48" s="188">
        <v>0</v>
      </c>
      <c r="AF48" s="188">
        <v>0</v>
      </c>
      <c r="AG48" s="188">
        <v>0</v>
      </c>
      <c r="AH48" s="188">
        <v>0</v>
      </c>
      <c r="AI48" s="188">
        <v>0</v>
      </c>
      <c r="AJ48" s="188">
        <v>0</v>
      </c>
      <c r="AK48" s="188">
        <v>0</v>
      </c>
      <c r="AL48" s="188">
        <v>0</v>
      </c>
      <c r="AM48" s="188">
        <v>0</v>
      </c>
      <c r="AN48" s="188">
        <v>0</v>
      </c>
      <c r="AO48" s="188">
        <v>0</v>
      </c>
      <c r="AP48" s="188">
        <v>0</v>
      </c>
      <c r="AQ48" s="188">
        <v>0</v>
      </c>
      <c r="AR48" s="188">
        <v>0</v>
      </c>
      <c r="AS48" s="188">
        <v>0</v>
      </c>
      <c r="AT48" s="188">
        <v>0</v>
      </c>
      <c r="AU48" s="188">
        <v>0</v>
      </c>
      <c r="AV48" s="188">
        <v>0</v>
      </c>
      <c r="AW48" s="188">
        <v>0</v>
      </c>
      <c r="AX48" s="188">
        <v>0</v>
      </c>
      <c r="AY48" s="188">
        <v>0</v>
      </c>
      <c r="AZ48" s="188">
        <v>0</v>
      </c>
      <c r="BA48" s="188">
        <v>0</v>
      </c>
      <c r="BB48" s="188">
        <v>0</v>
      </c>
      <c r="BC48" s="188">
        <v>0</v>
      </c>
      <c r="BD48" s="188">
        <v>0</v>
      </c>
      <c r="BE48" s="188">
        <v>0</v>
      </c>
      <c r="BF48" s="188">
        <v>0</v>
      </c>
      <c r="BG48" s="188">
        <v>0</v>
      </c>
      <c r="BH48" s="188">
        <v>0</v>
      </c>
      <c r="BI48" s="188">
        <v>0</v>
      </c>
      <c r="BJ48" s="188">
        <v>0</v>
      </c>
      <c r="BK48" s="188">
        <v>0</v>
      </c>
      <c r="BL48" s="188">
        <v>0</v>
      </c>
      <c r="BM48" s="188">
        <v>0</v>
      </c>
      <c r="BN48" s="188">
        <v>0</v>
      </c>
      <c r="BO48" s="188">
        <v>0</v>
      </c>
      <c r="BP48" s="188">
        <v>0</v>
      </c>
      <c r="BQ48" s="188">
        <v>0</v>
      </c>
      <c r="BR48" s="188">
        <v>0</v>
      </c>
      <c r="BS48" s="188">
        <v>0</v>
      </c>
      <c r="BT48" s="188">
        <v>0</v>
      </c>
      <c r="BU48" s="188">
        <v>0</v>
      </c>
      <c r="BV48" s="188">
        <v>0</v>
      </c>
    </row>
    <row r="49" spans="1:74" s="191" customFormat="1" x14ac:dyDescent="0.25">
      <c r="A49" s="191" t="s">
        <v>596</v>
      </c>
      <c r="E49" s="191">
        <f>E44+E48-E45-E46-E47</f>
        <v>30777491210</v>
      </c>
      <c r="F49" s="191">
        <f t="shared" ref="F49:BQ49" si="85">F44+F48-F45-F46-F47</f>
        <v>20508981998</v>
      </c>
      <c r="G49" s="191">
        <f t="shared" si="85"/>
        <v>11174029765</v>
      </c>
      <c r="H49" s="191">
        <f t="shared" si="85"/>
        <v>2485072758</v>
      </c>
      <c r="I49" s="191">
        <f t="shared" si="85"/>
        <v>19792298440</v>
      </c>
      <c r="J49" s="191">
        <f t="shared" si="85"/>
        <v>10707789470</v>
      </c>
      <c r="K49" s="191">
        <f t="shared" si="85"/>
        <v>11680113742</v>
      </c>
      <c r="L49" s="191">
        <f t="shared" si="85"/>
        <v>-2875260962</v>
      </c>
      <c r="M49" s="191">
        <f t="shared" si="85"/>
        <v>4643080456</v>
      </c>
      <c r="N49" s="191">
        <f t="shared" si="85"/>
        <v>4612809090</v>
      </c>
      <c r="O49" s="191">
        <f t="shared" si="85"/>
        <v>2213244733</v>
      </c>
      <c r="P49" s="191">
        <f t="shared" si="85"/>
        <v>-120109095</v>
      </c>
      <c r="Q49" s="191">
        <f t="shared" si="85"/>
        <v>5453643299</v>
      </c>
      <c r="R49" s="191">
        <f t="shared" si="85"/>
        <v>1277950898</v>
      </c>
      <c r="S49" s="191">
        <f t="shared" si="85"/>
        <v>1257562765</v>
      </c>
      <c r="T49" s="191">
        <f t="shared" si="85"/>
        <v>1447006855</v>
      </c>
      <c r="U49" s="191">
        <f t="shared" si="85"/>
        <v>12003940704</v>
      </c>
      <c r="V49" s="191">
        <f t="shared" si="85"/>
        <v>15457304451</v>
      </c>
      <c r="W49" s="191">
        <f t="shared" si="85"/>
        <v>13247993656</v>
      </c>
      <c r="X49" s="191">
        <f t="shared" si="85"/>
        <v>1182100409</v>
      </c>
      <c r="Y49" s="191">
        <f t="shared" si="85"/>
        <v>-4803497285</v>
      </c>
      <c r="Z49" s="191">
        <f t="shared" si="85"/>
        <v>-1657944131</v>
      </c>
      <c r="AA49" s="191">
        <f t="shared" si="85"/>
        <v>-1119660684</v>
      </c>
      <c r="AB49" s="191">
        <f t="shared" si="85"/>
        <v>-1147467218</v>
      </c>
      <c r="AC49" s="191">
        <f t="shared" si="85"/>
        <v>9551220921</v>
      </c>
      <c r="AD49" s="191">
        <f t="shared" si="85"/>
        <v>11383893550</v>
      </c>
      <c r="AE49" s="191">
        <f t="shared" si="85"/>
        <v>9313276545</v>
      </c>
      <c r="AF49" s="191">
        <f t="shared" si="85"/>
        <v>3138966383</v>
      </c>
      <c r="AG49" s="191">
        <f t="shared" si="85"/>
        <v>6711727204</v>
      </c>
      <c r="AH49" s="191">
        <f t="shared" si="85"/>
        <v>5421842228</v>
      </c>
      <c r="AI49" s="191">
        <f t="shared" si="85"/>
        <v>2189771998</v>
      </c>
      <c r="AJ49" s="191">
        <f t="shared" si="85"/>
        <v>256499736</v>
      </c>
      <c r="AK49" s="191">
        <f t="shared" si="85"/>
        <v>-273500509</v>
      </c>
      <c r="AL49" s="191">
        <f t="shared" si="85"/>
        <v>460975458</v>
      </c>
      <c r="AM49" s="191">
        <f t="shared" si="85"/>
        <v>481474318</v>
      </c>
      <c r="AN49" s="191">
        <f t="shared" si="85"/>
        <v>950280253</v>
      </c>
      <c r="AO49" s="191">
        <f t="shared" si="85"/>
        <v>-307783039</v>
      </c>
      <c r="AP49" s="191">
        <f t="shared" si="85"/>
        <v>-1265544514</v>
      </c>
      <c r="AQ49" s="191">
        <f t="shared" si="85"/>
        <v>-362185987</v>
      </c>
      <c r="AR49" s="191">
        <f t="shared" si="85"/>
        <v>-522926265</v>
      </c>
      <c r="AS49" s="191">
        <f t="shared" si="85"/>
        <v>-3794037854</v>
      </c>
      <c r="AT49" s="191">
        <f t="shared" si="85"/>
        <v>-2755615682</v>
      </c>
      <c r="AU49" s="191">
        <f t="shared" si="85"/>
        <v>-2168989042</v>
      </c>
      <c r="AV49" s="191">
        <f t="shared" si="85"/>
        <v>-957829739</v>
      </c>
      <c r="AW49" s="191">
        <f t="shared" si="85"/>
        <v>-728032685</v>
      </c>
      <c r="AX49" s="191">
        <f t="shared" si="85"/>
        <v>-124387135</v>
      </c>
      <c r="AY49" s="191">
        <f t="shared" si="85"/>
        <v>128294453</v>
      </c>
      <c r="AZ49" s="191">
        <f t="shared" si="85"/>
        <v>230663194</v>
      </c>
      <c r="BA49" s="191">
        <f t="shared" si="85"/>
        <v>5722827148</v>
      </c>
      <c r="BB49" s="191">
        <f t="shared" si="85"/>
        <v>6366016756.3299999</v>
      </c>
      <c r="BC49" s="191">
        <f t="shared" si="85"/>
        <v>6703418155</v>
      </c>
      <c r="BD49" s="191">
        <f t="shared" si="85"/>
        <v>1200928747</v>
      </c>
      <c r="BE49" s="191">
        <f t="shared" si="85"/>
        <v>2496713982</v>
      </c>
      <c r="BF49" s="191">
        <f t="shared" si="85"/>
        <v>1728580504.3599997</v>
      </c>
      <c r="BG49" s="191">
        <f t="shared" si="85"/>
        <v>-961205582.58999968</v>
      </c>
      <c r="BH49" s="191">
        <f t="shared" si="85"/>
        <v>-1012588648.11</v>
      </c>
      <c r="BI49" s="191">
        <f t="shared" si="85"/>
        <v>3458934411</v>
      </c>
      <c r="BJ49" s="191">
        <f t="shared" si="85"/>
        <v>2002592599.4399996</v>
      </c>
      <c r="BK49" s="191">
        <f t="shared" si="85"/>
        <v>2234656648.9499998</v>
      </c>
      <c r="BL49" s="191">
        <f t="shared" si="85"/>
        <v>2378289809.3500004</v>
      </c>
      <c r="BM49" s="191">
        <f t="shared" si="85"/>
        <v>1676300143</v>
      </c>
      <c r="BN49" s="191">
        <f t="shared" si="85"/>
        <v>182117736.50999999</v>
      </c>
      <c r="BO49" s="191">
        <f t="shared" si="85"/>
        <v>-117200000</v>
      </c>
      <c r="BP49" s="191">
        <f t="shared" si="85"/>
        <v>-274200000</v>
      </c>
      <c r="BQ49" s="191">
        <f t="shared" si="85"/>
        <v>535716855</v>
      </c>
      <c r="BR49" s="191">
        <f t="shared" ref="BR49:BV49" si="86">BR44+BR48-BR45-BR46-BR47</f>
        <v>277400000</v>
      </c>
      <c r="BS49" s="191">
        <f t="shared" si="86"/>
        <v>176515792</v>
      </c>
      <c r="BT49" s="191">
        <f t="shared" si="86"/>
        <v>9827000</v>
      </c>
      <c r="BU49" s="191">
        <f t="shared" si="86"/>
        <v>0</v>
      </c>
      <c r="BV49" s="191">
        <f t="shared" si="86"/>
        <v>0</v>
      </c>
    </row>
    <row r="50" spans="1:74" s="26" customFormat="1" x14ac:dyDescent="0.25"/>
    <row r="51" spans="1:74" s="16" customFormat="1" ht="120" customHeight="1" x14ac:dyDescent="0.25">
      <c r="A51" s="275" t="s">
        <v>664</v>
      </c>
      <c r="B51" s="276"/>
      <c r="C51" s="276"/>
      <c r="D51" s="276"/>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6"/>
      <c r="AI51" s="276"/>
      <c r="AJ51" s="276"/>
      <c r="AK51" s="27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topLeftCell="A31" workbookViewId="0">
      <selection activeCell="E3" sqref="E3"/>
    </sheetView>
  </sheetViews>
  <sheetFormatPr defaultRowHeight="14.4" x14ac:dyDescent="0.25"/>
  <cols>
    <col min="1" max="1" width="63.6640625" style="17" bestFit="1" customWidth="1"/>
    <col min="2" max="4" width="9.554687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2" width="20.44140625" hidden="1" customWidth="1"/>
    <col min="53" max="53" width="20.44140625" bestFit="1" customWidth="1"/>
    <col min="54" max="56" width="20.44140625" hidden="1" customWidth="1"/>
    <col min="57" max="57" width="20.44140625" bestFit="1" customWidth="1"/>
    <col min="58" max="60" width="20.441406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2" width="19.33203125" bestFit="1" customWidth="1"/>
    <col min="73" max="73" width="19.33203125" hidden="1" customWidth="1"/>
    <col min="74" max="74" width="17.21875" hidden="1" customWidth="1"/>
  </cols>
  <sheetData>
    <row r="1" spans="1:74" x14ac:dyDescent="0.25">
      <c r="A1" s="17">
        <v>725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row>
    <row r="2" spans="1:74" s="48" customFormat="1" x14ac:dyDescent="0.25">
      <c r="A2" s="46" t="s">
        <v>327</v>
      </c>
    </row>
    <row r="3" spans="1:74" s="26" customFormat="1" x14ac:dyDescent="0.25">
      <c r="A3" s="17" t="s">
        <v>328</v>
      </c>
      <c r="B3" s="26">
        <f>平均资本成本表!E53</f>
        <v>0</v>
      </c>
      <c r="E3" s="26">
        <f>股权价值增加表!E53</f>
        <v>3143654626</v>
      </c>
      <c r="F3" s="26">
        <f>股权价值增加表!F53</f>
        <v>0</v>
      </c>
      <c r="G3" s="26">
        <f>股权价值增加表!G53</f>
        <v>0</v>
      </c>
      <c r="H3" s="26">
        <f>股权价值增加表!H53</f>
        <v>0</v>
      </c>
      <c r="I3" s="26">
        <f>股权价值增加表!I53</f>
        <v>2349432222</v>
      </c>
      <c r="J3" s="26">
        <f>股权价值增加表!J53</f>
        <v>0</v>
      </c>
      <c r="K3" s="26">
        <f>股权价值增加表!K53</f>
        <v>0</v>
      </c>
      <c r="L3" s="26">
        <f>股权价值增加表!L53</f>
        <v>0</v>
      </c>
      <c r="M3" s="26">
        <f>股权价值增加表!M53</f>
        <v>1885066434</v>
      </c>
      <c r="N3" s="26">
        <f>股权价值增加表!N53</f>
        <v>0</v>
      </c>
      <c r="O3" s="26">
        <f>股权价值增加表!O53</f>
        <v>0</v>
      </c>
      <c r="P3" s="26">
        <f>股权价值增加表!P53</f>
        <v>0</v>
      </c>
      <c r="Q3" s="26">
        <f>股权价值增加表!Q53</f>
        <v>1676726384</v>
      </c>
      <c r="R3" s="26">
        <f>股权价值增加表!R53</f>
        <v>0</v>
      </c>
      <c r="S3" s="26">
        <f>股权价值增加表!S53</f>
        <v>0</v>
      </c>
      <c r="T3" s="26">
        <f>股权价值增加表!T53</f>
        <v>0</v>
      </c>
      <c r="U3" s="26">
        <f>股权价值增加表!U53</f>
        <v>1585229243</v>
      </c>
      <c r="V3" s="26">
        <f>股权价值增加表!V53</f>
        <v>0</v>
      </c>
      <c r="W3" s="26">
        <f>股权价值增加表!W53</f>
        <v>0</v>
      </c>
      <c r="X3" s="26">
        <f>股权价值增加表!X53</f>
        <v>0</v>
      </c>
      <c r="Y3" s="26">
        <f>股权价值增加表!Y53</f>
        <v>1048405621</v>
      </c>
      <c r="Z3" s="26">
        <f>股权价值增加表!Z53</f>
        <v>0</v>
      </c>
      <c r="AA3" s="26">
        <f>股权价值增加表!AA53</f>
        <v>0</v>
      </c>
      <c r="AB3" s="26">
        <f>股权价值增加表!AB53</f>
        <v>0</v>
      </c>
      <c r="AC3" s="26">
        <f>股权价值增加表!AC53</f>
        <v>915332455</v>
      </c>
      <c r="AD3" s="26">
        <f>股权价值增加表!AD53</f>
        <v>0</v>
      </c>
      <c r="AE3" s="26">
        <f>股权价值增加表!AE53</f>
        <v>0</v>
      </c>
      <c r="AF3" s="26">
        <f>股权价值增加表!AF53</f>
        <v>0</v>
      </c>
      <c r="AG3" s="26">
        <f>股权价值增加表!AG53</f>
        <v>280567867</v>
      </c>
      <c r="AH3" s="26">
        <f>股权价值增加表!AH53</f>
        <v>0</v>
      </c>
      <c r="AI3" s="26">
        <f>股权价值增加表!AI53</f>
        <v>0</v>
      </c>
      <c r="AJ3" s="26">
        <f>股权价值增加表!AJ53</f>
        <v>0</v>
      </c>
      <c r="AK3" s="26">
        <f>股权价值增加表!AK53</f>
        <v>251171674</v>
      </c>
      <c r="AL3" s="26">
        <f>股权价值增加表!AL53</f>
        <v>0</v>
      </c>
      <c r="AM3" s="26">
        <f>股权价值增加表!AM53</f>
        <v>0</v>
      </c>
      <c r="AN3" s="26">
        <f>股权价值增加表!AN53</f>
        <v>0</v>
      </c>
      <c r="AO3" s="26">
        <f>股权价值增加表!AO53</f>
        <v>289949122</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112453996110</v>
      </c>
      <c r="F4" s="26">
        <f>资产资本表!F89</f>
        <v>97403293333</v>
      </c>
      <c r="G4" s="26">
        <f>资产资本表!G89</f>
        <v>89397765750</v>
      </c>
      <c r="H4" s="26">
        <f>资产资本表!H89</f>
        <v>81311079704</v>
      </c>
      <c r="I4" s="26">
        <f>资产资本表!I89</f>
        <v>77997565997</v>
      </c>
      <c r="J4" s="26">
        <f>资产资本表!J89</f>
        <v>62888514797</v>
      </c>
      <c r="K4" s="26">
        <f>资产资本表!K89</f>
        <v>64108602452</v>
      </c>
      <c r="L4" s="26">
        <f>资产资本表!L89</f>
        <v>58362239332</v>
      </c>
      <c r="M4" s="26">
        <f>资产资本表!M89</f>
        <v>50235725597</v>
      </c>
      <c r="N4" s="26">
        <f>资产资本表!N89</f>
        <v>45564592169</v>
      </c>
      <c r="O4" s="26">
        <f>资产资本表!O89</f>
        <v>42490723496</v>
      </c>
      <c r="P4" s="26">
        <f>资产资本表!P89</f>
        <v>39588917176</v>
      </c>
      <c r="Q4" s="26">
        <f>资产资本表!Q89</f>
        <v>39891067296</v>
      </c>
      <c r="R4" s="26">
        <f>资产资本表!R89</f>
        <v>36901304090</v>
      </c>
      <c r="S4" s="26">
        <f>资产资本表!S89</f>
        <v>37074270459</v>
      </c>
      <c r="T4" s="26">
        <f>资产资本表!T89</f>
        <v>36960410638</v>
      </c>
      <c r="U4" s="26">
        <f>资产资本表!U89</f>
        <v>40539360285</v>
      </c>
      <c r="V4" s="26">
        <f>资产资本表!V89</f>
        <v>37310091167</v>
      </c>
      <c r="W4" s="26">
        <f>资产资本表!W89</f>
        <v>34834772819</v>
      </c>
      <c r="X4" s="26">
        <f>资产资本表!X89</f>
        <v>22671544045</v>
      </c>
      <c r="Y4" s="26">
        <f>资产资本表!Y89</f>
        <v>21390215329</v>
      </c>
      <c r="Z4" s="26">
        <f>资产资本表!Z89</f>
        <v>23656826254</v>
      </c>
      <c r="AA4" s="26">
        <f>资产资本表!AA89</f>
        <v>23827114745</v>
      </c>
      <c r="AB4" s="26">
        <f>资产资本表!AB89</f>
        <v>23300587106</v>
      </c>
      <c r="AC4" s="26">
        <f>资产资本表!AC89</f>
        <v>24638129461</v>
      </c>
      <c r="AD4" s="26">
        <f>资产资本表!AD89</f>
        <v>25332372397</v>
      </c>
      <c r="AE4" s="26">
        <f>资产资本表!AE89</f>
        <v>23144312652</v>
      </c>
      <c r="AF4" s="26">
        <f>资产资本表!AF89</f>
        <v>16726772736</v>
      </c>
      <c r="AG4" s="26">
        <f>资产资本表!AG89</f>
        <v>13858010595</v>
      </c>
      <c r="AH4" s="26">
        <f>资产资本表!AH89</f>
        <v>11737395435</v>
      </c>
      <c r="AI4" s="26">
        <f>资产资本表!AI89</f>
        <v>8231697471</v>
      </c>
      <c r="AJ4" s="26">
        <f>资产资本表!AJ89</f>
        <v>6212215060</v>
      </c>
      <c r="AK4" s="26">
        <f>资产资本表!AK89</f>
        <v>5717960925</v>
      </c>
      <c r="AL4" s="26">
        <f>资产资本表!AL89</f>
        <v>6042932946</v>
      </c>
      <c r="AM4" s="26">
        <f>资产资本表!AM89</f>
        <v>6179985172</v>
      </c>
      <c r="AN4" s="26">
        <f>资产资本表!AN89</f>
        <v>6553366539</v>
      </c>
      <c r="AO4" s="26">
        <f>资产资本表!AO89</f>
        <v>5536585002</v>
      </c>
      <c r="AP4" s="26">
        <f>资产资本表!AP89</f>
        <v>4229194404</v>
      </c>
      <c r="AQ4" s="26">
        <f>资产资本表!AQ89</f>
        <v>5140494158</v>
      </c>
      <c r="AR4" s="26">
        <f>资产资本表!AR89</f>
        <v>5086467454</v>
      </c>
      <c r="AS4" s="26">
        <f>资产资本表!AS89</f>
        <v>5683386714</v>
      </c>
      <c r="AT4" s="26">
        <f>资产资本表!AT89</f>
        <v>6778322260</v>
      </c>
      <c r="AU4" s="26">
        <f>资产资本表!AU89</f>
        <v>7371006868</v>
      </c>
      <c r="AV4" s="26">
        <f>资产资本表!AV89</f>
        <v>8747585550</v>
      </c>
      <c r="AW4" s="26">
        <f>资产资本表!AW89</f>
        <v>9646138723</v>
      </c>
      <c r="AX4" s="26">
        <f>资产资本表!AX89</f>
        <v>10052115731</v>
      </c>
      <c r="AY4" s="26">
        <f>资产资本表!AY89</f>
        <v>14561019202</v>
      </c>
      <c r="AZ4" s="26">
        <f>资产资本表!AZ89</f>
        <v>14742731559</v>
      </c>
      <c r="BA4" s="26">
        <f>资产资本表!BA89</f>
        <v>14465686638</v>
      </c>
      <c r="BB4" s="26">
        <f>资产资本表!BB89</f>
        <v>15459819553</v>
      </c>
      <c r="BC4" s="26">
        <f>资产资本表!BC89</f>
        <v>15737721762</v>
      </c>
      <c r="BD4" s="26">
        <f>资产资本表!BD89</f>
        <v>10212505883</v>
      </c>
      <c r="BE4" s="26">
        <f>资产资本表!BE89</f>
        <v>9160146712</v>
      </c>
      <c r="BF4" s="26">
        <f>资产资本表!BF89</f>
        <v>8185100767.0200005</v>
      </c>
      <c r="BG4" s="26">
        <f>资产资本表!BG89</f>
        <v>5412036070.0799999</v>
      </c>
      <c r="BH4" s="26">
        <f>资产资本表!BH89</f>
        <v>5660833349.7600002</v>
      </c>
      <c r="BI4" s="26">
        <f>资产资本表!BI89</f>
        <v>6680601279</v>
      </c>
      <c r="BJ4" s="26">
        <f>资产资本表!BJ89</f>
        <v>5110416276.54</v>
      </c>
      <c r="BK4" s="26">
        <f>资产资本表!BK89</f>
        <v>5256878472.7399998</v>
      </c>
      <c r="BL4" s="26">
        <f>资产资本表!BL89</f>
        <v>5174660134.8400002</v>
      </c>
      <c r="BM4" s="26">
        <f>资产资本表!BM89</f>
        <v>2615920921</v>
      </c>
      <c r="BN4" s="26">
        <f>资产资本表!BN89</f>
        <v>1367406408.4200001</v>
      </c>
      <c r="BO4" s="26">
        <f>资产资本表!BO89</f>
        <v>1190694570.23</v>
      </c>
      <c r="BP4" s="26">
        <f>资产资本表!BP89</f>
        <v>1053862227.22</v>
      </c>
      <c r="BQ4" s="26">
        <f>资产资本表!BQ89</f>
        <v>933095023</v>
      </c>
      <c r="BR4" s="26">
        <f>资产资本表!BR89</f>
        <v>732017085.00999999</v>
      </c>
      <c r="BS4" s="26">
        <f>资产资本表!BS89</f>
        <v>999648627</v>
      </c>
      <c r="BT4" s="26">
        <f>资产资本表!BT89</f>
        <v>750263444</v>
      </c>
      <c r="BU4" s="26">
        <f>资产资本表!BU89</f>
        <v>457739710</v>
      </c>
      <c r="BV4" s="26">
        <f>资产资本表!BV89</f>
        <v>380282950</v>
      </c>
    </row>
    <row r="5" spans="1:74" s="63" customFormat="1" x14ac:dyDescent="0.25">
      <c r="A5" s="63" t="s">
        <v>333</v>
      </c>
      <c r="E5" s="63">
        <f>IF(E4+I4=0,0,E3/((E4+I4)/2))</f>
        <v>3.3012642072568814E-2</v>
      </c>
      <c r="F5" s="63">
        <f t="shared" ref="F5:BQ5" si="0">IF(F4+J4=0,0,F3/((F4+J4)/2))</f>
        <v>0</v>
      </c>
      <c r="G5" s="63">
        <f t="shared" si="0"/>
        <v>0</v>
      </c>
      <c r="H5" s="63">
        <f t="shared" si="0"/>
        <v>0</v>
      </c>
      <c r="I5" s="63">
        <f t="shared" si="0"/>
        <v>3.6643093112489818E-2</v>
      </c>
      <c r="J5" s="63">
        <f t="shared" si="0"/>
        <v>0</v>
      </c>
      <c r="K5" s="63">
        <f t="shared" si="0"/>
        <v>0</v>
      </c>
      <c r="L5" s="63">
        <f t="shared" si="0"/>
        <v>0</v>
      </c>
      <c r="M5" s="63">
        <f t="shared" si="0"/>
        <v>4.1831432662604154E-2</v>
      </c>
      <c r="N5" s="63">
        <f t="shared" si="0"/>
        <v>0</v>
      </c>
      <c r="O5" s="63">
        <f t="shared" si="0"/>
        <v>0</v>
      </c>
      <c r="P5" s="63">
        <f t="shared" si="0"/>
        <v>0</v>
      </c>
      <c r="Q5" s="63">
        <f t="shared" si="0"/>
        <v>4.1693832407179478E-2</v>
      </c>
      <c r="R5" s="63">
        <f t="shared" si="0"/>
        <v>0</v>
      </c>
      <c r="S5" s="63">
        <f t="shared" si="0"/>
        <v>0</v>
      </c>
      <c r="T5" s="63">
        <f t="shared" si="0"/>
        <v>0</v>
      </c>
      <c r="U5" s="63">
        <f t="shared" si="0"/>
        <v>5.1194577947071801E-2</v>
      </c>
      <c r="V5" s="63">
        <f t="shared" si="0"/>
        <v>0</v>
      </c>
      <c r="W5" s="63">
        <f t="shared" si="0"/>
        <v>0</v>
      </c>
      <c r="X5" s="63">
        <f t="shared" si="0"/>
        <v>0</v>
      </c>
      <c r="Y5" s="63">
        <f t="shared" si="0"/>
        <v>4.5554782635928021E-2</v>
      </c>
      <c r="Z5" s="63">
        <f t="shared" si="0"/>
        <v>0</v>
      </c>
      <c r="AA5" s="63">
        <f t="shared" si="0"/>
        <v>0</v>
      </c>
      <c r="AB5" s="63">
        <f t="shared" si="0"/>
        <v>0</v>
      </c>
      <c r="AC5" s="63">
        <f t="shared" si="0"/>
        <v>4.7554505655292914E-2</v>
      </c>
      <c r="AD5" s="63">
        <f t="shared" si="0"/>
        <v>0</v>
      </c>
      <c r="AE5" s="63">
        <f t="shared" si="0"/>
        <v>0</v>
      </c>
      <c r="AF5" s="63">
        <f t="shared" si="0"/>
        <v>0</v>
      </c>
      <c r="AG5" s="63">
        <f t="shared" si="0"/>
        <v>2.866451524138711E-2</v>
      </c>
      <c r="AH5" s="63">
        <f t="shared" si="0"/>
        <v>0</v>
      </c>
      <c r="AI5" s="63">
        <f t="shared" si="0"/>
        <v>0</v>
      </c>
      <c r="AJ5" s="63">
        <f t="shared" si="0"/>
        <v>0</v>
      </c>
      <c r="AK5" s="63">
        <f t="shared" si="0"/>
        <v>4.4634705945342759E-2</v>
      </c>
      <c r="AL5" s="63">
        <f t="shared" si="0"/>
        <v>0</v>
      </c>
      <c r="AM5" s="63">
        <f t="shared" si="0"/>
        <v>0</v>
      </c>
      <c r="AN5" s="63">
        <f t="shared" si="0"/>
        <v>0</v>
      </c>
      <c r="AO5" s="63">
        <f t="shared" si="0"/>
        <v>5.1684465761446488E-2</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0.21085493441446082</v>
      </c>
      <c r="F6" s="63">
        <f>股权价值增加表!F41</f>
        <v>0.17678266346670879</v>
      </c>
      <c r="G6" s="63">
        <f>股权价值增加表!G41</f>
        <v>0.1792504689535161</v>
      </c>
      <c r="H6" s="63">
        <f>股权价值增加表!H41</f>
        <v>0.15296920994913246</v>
      </c>
      <c r="I6" s="63">
        <f>股权价值增加表!I41</f>
        <v>0.26933611168669502</v>
      </c>
      <c r="J6" s="63">
        <f>股权价值增加表!J41</f>
        <v>0.46684001247629703</v>
      </c>
      <c r="K6" s="63">
        <f>股权价值增加表!K41</f>
        <v>-0.10089626479027888</v>
      </c>
      <c r="L6" s="63">
        <f>股权价值增加表!L41</f>
        <v>0.20578722716904829</v>
      </c>
      <c r="M6" s="63">
        <f>股权价值增加表!M41</f>
        <v>0.31452823076347214</v>
      </c>
      <c r="N6" s="63">
        <f>股权价值增加表!N41</f>
        <v>0.20342030260785457</v>
      </c>
      <c r="O6" s="63">
        <f>股权价值增加表!O41</f>
        <v>0.16876783804725129</v>
      </c>
      <c r="P6" s="63">
        <f>股权价值增加表!P41</f>
        <v>0.18294018100754958</v>
      </c>
      <c r="Q6" s="63">
        <f>股权价值增加表!Q41</f>
        <v>0.13759351749062324</v>
      </c>
      <c r="R6" s="63">
        <f>股权价值增加表!R41</f>
        <v>0.12440942458842466</v>
      </c>
      <c r="S6" s="63">
        <f>股权价值增加表!S41</f>
        <v>0.12077983221782969</v>
      </c>
      <c r="T6" s="63">
        <f>股权价值增加表!T41</f>
        <v>8.9179897428582733E-2</v>
      </c>
      <c r="U6" s="63">
        <f>股权价值增加表!U41</f>
        <v>1.5347923693623528E-2</v>
      </c>
      <c r="V6" s="63">
        <f>股权价值增加表!V41</f>
        <v>3.9000732229732993E-2</v>
      </c>
      <c r="W6" s="63">
        <f>股权价值增加表!W41</f>
        <v>1.9439941499578332E-2</v>
      </c>
      <c r="X6" s="63">
        <f>股权价值增加表!X41</f>
        <v>1.1189197709931237E-2</v>
      </c>
      <c r="Y6" s="63">
        <f>股权价值增加表!Y41</f>
        <v>4.2801876197357796E-3</v>
      </c>
      <c r="Z6" s="63">
        <f>股权价值增加表!Z41</f>
        <v>-8.0341450114088421E-3</v>
      </c>
      <c r="AA6" s="63">
        <f>股权价值增加表!AA41</f>
        <v>-7.8248705788817197E-3</v>
      </c>
      <c r="AB6" s="63">
        <f>股权价值增加表!AB41</f>
        <v>-2.6488582135226145E-3</v>
      </c>
      <c r="AC6" s="63">
        <f>股权价值增加表!AC41</f>
        <v>0.14770184474522302</v>
      </c>
      <c r="AD6" s="63">
        <f>股权价值增加表!AD41</f>
        <v>7.2539462885134022E-4</v>
      </c>
      <c r="AE6" s="63">
        <f>股权价值增加表!AE41</f>
        <v>2.0068360923305613E-3</v>
      </c>
      <c r="AF6" s="63">
        <f>股权价值增加表!AF41</f>
        <v>1.0945952364665352E-3</v>
      </c>
      <c r="AG6" s="63">
        <f>股权价值增加表!AG41</f>
        <v>-1.1892468844010001E-2</v>
      </c>
      <c r="AH6" s="63">
        <f>股权价值增加表!AH41</f>
        <v>-1.4116218401360306E-2</v>
      </c>
      <c r="AI6" s="63">
        <f>股权价值增加表!AI41</f>
        <v>-2.3470450450558258E-2</v>
      </c>
      <c r="AJ6" s="63">
        <f>股权价值增加表!AJ41</f>
        <v>5.2117819704447102E-3</v>
      </c>
      <c r="AK6" s="63">
        <f>股权价值增加表!AK41</f>
        <v>-9.730279439884712E-2</v>
      </c>
      <c r="AL6" s="63">
        <f>股权价值增加表!AL41</f>
        <v>-1.0185145470186605E-2</v>
      </c>
      <c r="AM6" s="63">
        <f>股权价值增加表!AM41</f>
        <v>-7.4579623266962597E-3</v>
      </c>
      <c r="AN6" s="63">
        <f>股权价值增加表!AN41</f>
        <v>-4.0364117786619398E-3</v>
      </c>
      <c r="AO6" s="63">
        <f>股权价值增加表!AO41</f>
        <v>-7.6027897345777487E-2</v>
      </c>
      <c r="AP6" s="63">
        <f>股权价值增加表!AP41</f>
        <v>0.37172595788323565</v>
      </c>
      <c r="AQ6" s="63">
        <f>股权价值增加表!AQ41</f>
        <v>8.291638727076249E-2</v>
      </c>
      <c r="AR6" s="63">
        <f>股权价值增加表!AR41</f>
        <v>8.032415392072946E-2</v>
      </c>
      <c r="AS6" s="63">
        <f>股权价值增加表!AS41</f>
        <v>-6.6969494152529174E-2</v>
      </c>
      <c r="AT6" s="63">
        <f>股权价值增加表!AT41</f>
        <v>2.061433101832973E-2</v>
      </c>
      <c r="AU6" s="63">
        <f>股权价值增加表!AU41</f>
        <v>0.21856324453763187</v>
      </c>
      <c r="AV6" s="63">
        <f>股权价值增加表!AV41</f>
        <v>-2.7948436892602721E-2</v>
      </c>
      <c r="AW6" s="63">
        <f>股权价值增加表!AW41</f>
        <v>-4.3377955117808314E-3</v>
      </c>
      <c r="AX6" s="63">
        <f>股权价值增加表!AX41</f>
        <v>-1.9626073391583558E-3</v>
      </c>
      <c r="AY6" s="63">
        <f>股权价值增加表!AY41</f>
        <v>-1.973262140570736E-3</v>
      </c>
      <c r="AZ6" s="63">
        <f>股权价值增加表!AZ41</f>
        <v>-2.3129518317532164E-3</v>
      </c>
      <c r="BA6" s="63">
        <f>股权价值增加表!BA41</f>
        <v>-2.6892185212600738E-2</v>
      </c>
      <c r="BB6" s="63">
        <f>股权价值增加表!BB41</f>
        <v>-2.5890601894787969E-2</v>
      </c>
      <c r="BC6" s="63">
        <f>股权价值增加表!BC41</f>
        <v>-2.3252046462331866E-2</v>
      </c>
      <c r="BD6" s="63">
        <f>股权价值增加表!BD41</f>
        <v>-7.0142811279251824E-3</v>
      </c>
      <c r="BE6" s="63">
        <f>股权价值增加表!BE41</f>
        <v>4.7152278182308702E-2</v>
      </c>
      <c r="BF6" s="63">
        <f>股权价值增加表!BF41</f>
        <v>5.8019846872659972E-2</v>
      </c>
      <c r="BG6" s="63">
        <f>股权价值增加表!BG41</f>
        <v>5.5315464084153596E-2</v>
      </c>
      <c r="BH6" s="63">
        <f>股权价值增加表!BH41</f>
        <v>4.4344358856070541E-2</v>
      </c>
      <c r="BI6" s="63">
        <f>股权价值增加表!BI41</f>
        <v>4.4756408659119805E-2</v>
      </c>
      <c r="BJ6" s="63">
        <f>股权价值增加表!BJ41</f>
        <v>6.0370502304764789E-2</v>
      </c>
      <c r="BK6" s="63">
        <f>股权价值增加表!BK41</f>
        <v>5.6044237368857885E-2</v>
      </c>
      <c r="BL6" s="63">
        <f>股权价值增加表!BL41</f>
        <v>0.17245252313166939</v>
      </c>
      <c r="BM6" s="63">
        <f>股权价值增加表!BM41</f>
        <v>0.23441291903314412</v>
      </c>
      <c r="BN6" s="63">
        <f>股权价值增加表!BN41</f>
        <v>0.225977850322167</v>
      </c>
      <c r="BO6" s="63">
        <f>股权价值增加表!BO41</f>
        <v>0.2001348698608324</v>
      </c>
      <c r="BP6" s="63">
        <f>股权价值增加表!BP41</f>
        <v>0.22078989224680118</v>
      </c>
      <c r="BQ6" s="63">
        <f>股权价值增加表!BQ41</f>
        <v>0.18520786019648916</v>
      </c>
      <c r="BR6" s="63">
        <f>股权价值增加表!BR41</f>
        <v>8.8628073672876187E-2</v>
      </c>
      <c r="BS6" s="63">
        <f>股权价值增加表!BS41</f>
        <v>0.12186660230481705</v>
      </c>
      <c r="BT6" s="63">
        <f>股权价值增加表!BT41</f>
        <v>0.12553581354840446</v>
      </c>
      <c r="BU6" s="63">
        <f>股权价值增加表!BU41</f>
        <v>8.7302005198528848E-2</v>
      </c>
    </row>
    <row r="7" spans="1:74" s="63" customFormat="1" x14ac:dyDescent="0.25">
      <c r="A7" s="63" t="s">
        <v>330</v>
      </c>
      <c r="E7" s="63">
        <f>E5*(1-E6)</f>
        <v>2.6051763593509247E-2</v>
      </c>
      <c r="F7" s="63">
        <f t="shared" ref="F7:BQ7" si="2">F5*(1-F6)</f>
        <v>0</v>
      </c>
      <c r="G7" s="63">
        <f t="shared" si="2"/>
        <v>0</v>
      </c>
      <c r="H7" s="63">
        <f t="shared" si="2"/>
        <v>0</v>
      </c>
      <c r="I7" s="63">
        <f t="shared" si="2"/>
        <v>2.6773784893398295E-2</v>
      </c>
      <c r="J7" s="63">
        <f t="shared" si="2"/>
        <v>0</v>
      </c>
      <c r="K7" s="63">
        <f t="shared" si="2"/>
        <v>0</v>
      </c>
      <c r="L7" s="63">
        <f t="shared" si="2"/>
        <v>0</v>
      </c>
      <c r="M7" s="63">
        <f t="shared" si="2"/>
        <v>2.8674266156933949E-2</v>
      </c>
      <c r="N7" s="63">
        <f t="shared" si="2"/>
        <v>0</v>
      </c>
      <c r="O7" s="63">
        <f t="shared" si="2"/>
        <v>0</v>
      </c>
      <c r="P7" s="63">
        <f t="shared" si="2"/>
        <v>0</v>
      </c>
      <c r="Q7" s="63">
        <f t="shared" si="2"/>
        <v>3.5957031348611113E-2</v>
      </c>
      <c r="R7" s="63">
        <f t="shared" si="2"/>
        <v>0</v>
      </c>
      <c r="S7" s="63">
        <f t="shared" si="2"/>
        <v>0</v>
      </c>
      <c r="T7" s="63">
        <f t="shared" si="2"/>
        <v>0</v>
      </c>
      <c r="U7" s="63">
        <f t="shared" si="2"/>
        <v>5.0408847471212881E-2</v>
      </c>
      <c r="V7" s="63">
        <f t="shared" si="2"/>
        <v>0</v>
      </c>
      <c r="W7" s="63">
        <f t="shared" si="2"/>
        <v>0</v>
      </c>
      <c r="X7" s="63">
        <f t="shared" si="2"/>
        <v>0</v>
      </c>
      <c r="Y7" s="63">
        <f t="shared" si="2"/>
        <v>4.5359799619269968E-2</v>
      </c>
      <c r="Z7" s="63">
        <f t="shared" si="2"/>
        <v>0</v>
      </c>
      <c r="AA7" s="63">
        <f t="shared" si="2"/>
        <v>0</v>
      </c>
      <c r="AB7" s="63">
        <f t="shared" si="2"/>
        <v>0</v>
      </c>
      <c r="AC7" s="63">
        <f t="shared" si="2"/>
        <v>4.053061744405901E-2</v>
      </c>
      <c r="AD7" s="63">
        <f t="shared" si="2"/>
        <v>0</v>
      </c>
      <c r="AE7" s="63">
        <f t="shared" si="2"/>
        <v>0</v>
      </c>
      <c r="AF7" s="63">
        <f t="shared" si="2"/>
        <v>0</v>
      </c>
      <c r="AG7" s="63">
        <f t="shared" si="2"/>
        <v>2.9005407095823957E-2</v>
      </c>
      <c r="AH7" s="63">
        <f t="shared" si="2"/>
        <v>0</v>
      </c>
      <c r="AI7" s="63">
        <f t="shared" si="2"/>
        <v>0</v>
      </c>
      <c r="AJ7" s="63">
        <f t="shared" si="2"/>
        <v>0</v>
      </c>
      <c r="AK7" s="63">
        <f t="shared" si="2"/>
        <v>4.8977787560995446E-2</v>
      </c>
      <c r="AL7" s="63">
        <f t="shared" si="2"/>
        <v>0</v>
      </c>
      <c r="AM7" s="63">
        <f t="shared" si="2"/>
        <v>0</v>
      </c>
      <c r="AN7" s="63">
        <f t="shared" si="2"/>
        <v>0</v>
      </c>
      <c r="AO7" s="63">
        <f t="shared" si="2"/>
        <v>5.5613927018729095E-2</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104284262833</v>
      </c>
      <c r="F8" s="26">
        <f>资产资本表!F107</f>
        <v>104783755073</v>
      </c>
      <c r="G8" s="26">
        <f>资产资本表!G107</f>
        <v>97470111367</v>
      </c>
      <c r="H8" s="26">
        <f>资产资本表!H107</f>
        <v>96491752708</v>
      </c>
      <c r="I8" s="26">
        <f>资产资本表!I107</f>
        <v>92016055160</v>
      </c>
      <c r="J8" s="26">
        <f>资产资本表!J107</f>
        <v>82006094928</v>
      </c>
      <c r="K8" s="26">
        <f>资产资本表!K107</f>
        <v>81435639400</v>
      </c>
      <c r="L8" s="26">
        <f>资产资本表!L107</f>
        <v>81403224231</v>
      </c>
      <c r="M8" s="26">
        <f>资产资本表!M107</f>
        <v>78350829819</v>
      </c>
      <c r="N8" s="26">
        <f>资产资本表!N107</f>
        <v>78944819856</v>
      </c>
      <c r="O8" s="26">
        <f>资产资本表!O107</f>
        <v>78903151940</v>
      </c>
      <c r="P8" s="26">
        <f>资产资本表!P107</f>
        <v>77910005875</v>
      </c>
      <c r="Q8" s="26">
        <f>资产资本表!Q107</f>
        <v>76959406219</v>
      </c>
      <c r="R8" s="26">
        <f>资产资本表!R107</f>
        <v>76570022233</v>
      </c>
      <c r="S8" s="26">
        <f>资产资本表!S107</f>
        <v>76149010216</v>
      </c>
      <c r="T8" s="26">
        <f>资产资本表!T107</f>
        <v>75164552888</v>
      </c>
      <c r="U8" s="26">
        <f>资产资本表!U107</f>
        <v>38154263404</v>
      </c>
      <c r="V8" s="26">
        <f>资产资本表!V107</f>
        <v>41051432679</v>
      </c>
      <c r="W8" s="26">
        <f>资产资本表!W107</f>
        <v>40418911802</v>
      </c>
      <c r="X8" s="26">
        <f>资产资本表!X107</f>
        <v>35667838006</v>
      </c>
      <c r="Y8" s="26">
        <f>资产资本表!Y107</f>
        <v>35264814452</v>
      </c>
      <c r="Z8" s="26">
        <f>资产资本表!Z107</f>
        <v>34128480623</v>
      </c>
      <c r="AA8" s="26">
        <f>资产资本表!AA107</f>
        <v>33980651549</v>
      </c>
      <c r="AB8" s="26">
        <f>资产资本表!AB107</f>
        <v>34318031387</v>
      </c>
      <c r="AC8" s="26">
        <f>资产资本表!AC107</f>
        <v>35045483906</v>
      </c>
      <c r="AD8" s="26">
        <f>资产资本表!AD107</f>
        <v>31897104680</v>
      </c>
      <c r="AE8" s="26">
        <f>资产资本表!AE107</f>
        <v>32929522409</v>
      </c>
      <c r="AF8" s="26">
        <f>资产资本表!AF107</f>
        <v>33536219867</v>
      </c>
      <c r="AG8" s="26">
        <f>资产资本表!AG107</f>
        <v>34259808253</v>
      </c>
      <c r="AH8" s="26">
        <f>资产资本表!AH107</f>
        <v>26386011778</v>
      </c>
      <c r="AI8" s="26">
        <f>资产资本表!AI107</f>
        <v>26911504181</v>
      </c>
      <c r="AJ8" s="26">
        <f>资产资本表!AJ107</f>
        <v>23089536749</v>
      </c>
      <c r="AK8" s="26">
        <f>资产资本表!AK107</f>
        <v>21936151954</v>
      </c>
      <c r="AL8" s="26">
        <f>资产资本表!AL107</f>
        <v>17635170530</v>
      </c>
      <c r="AM8" s="26">
        <f>资产资本表!AM107</f>
        <v>17668415779</v>
      </c>
      <c r="AN8" s="26">
        <f>资产资本表!AN107</f>
        <v>6251855568</v>
      </c>
      <c r="AO8" s="26">
        <f>资产资本表!AO107</f>
        <v>6718801623</v>
      </c>
      <c r="AP8" s="26">
        <f>资产资本表!AP107</f>
        <v>7803008510</v>
      </c>
      <c r="AQ8" s="26">
        <f>资产资本表!AQ107</f>
        <v>6123342937</v>
      </c>
      <c r="AR8" s="26">
        <f>资产资本表!AR107</f>
        <v>5871972171</v>
      </c>
      <c r="AS8" s="26">
        <f>资产资本表!AS107</f>
        <v>5521339174</v>
      </c>
      <c r="AT8" s="26">
        <f>资产资本表!AT107</f>
        <v>4815248345</v>
      </c>
      <c r="AU8" s="26">
        <f>资产资本表!AU107</f>
        <v>4286708476</v>
      </c>
      <c r="AV8" s="26">
        <f>资产资本表!AV107</f>
        <v>4149673945</v>
      </c>
      <c r="AW8" s="26">
        <f>资产资本表!AW107</f>
        <v>4297451541</v>
      </c>
      <c r="AX8" s="26">
        <f>资产资本表!AX107</f>
        <v>4233717635</v>
      </c>
      <c r="AY8" s="26">
        <f>资产资本表!AY107</f>
        <v>1834761744</v>
      </c>
      <c r="AZ8" s="26">
        <f>资产资本表!AZ107</f>
        <v>3068898270</v>
      </c>
      <c r="BA8" s="26">
        <f>资产资本表!BA107</f>
        <v>3611521594</v>
      </c>
      <c r="BB8" s="26">
        <f>资产资本表!BB107</f>
        <v>4138880834</v>
      </c>
      <c r="BC8" s="26">
        <f>资产资本表!BC107</f>
        <v>4528295925</v>
      </c>
      <c r="BD8" s="26">
        <f>资产资本表!BD107</f>
        <v>5088280391</v>
      </c>
      <c r="BE8" s="26">
        <f>资产资本表!BE107</f>
        <v>5481194703</v>
      </c>
      <c r="BF8" s="26">
        <f>资产资本表!BF107</f>
        <v>5775750031.3199997</v>
      </c>
      <c r="BG8" s="26">
        <f>资产资本表!BG107</f>
        <v>5748834264.4500008</v>
      </c>
      <c r="BH8" s="26">
        <f>资产资本表!BH107</f>
        <v>5538049404.8299999</v>
      </c>
      <c r="BI8" s="26">
        <f>资产资本表!BI107</f>
        <v>3080180848</v>
      </c>
      <c r="BJ8" s="26">
        <f>资产资本表!BJ107</f>
        <v>2992428916.1300001</v>
      </c>
      <c r="BK8" s="26">
        <f>资产资本表!BK107</f>
        <v>2821404851.2199998</v>
      </c>
      <c r="BL8" s="26">
        <f>资产资本表!BL107</f>
        <v>2578590694.2200003</v>
      </c>
      <c r="BM8" s="26">
        <f>资产资本表!BM107</f>
        <v>2640890514</v>
      </c>
      <c r="BN8" s="26">
        <f>资产资本表!BN107</f>
        <v>2627029033.3499999</v>
      </c>
      <c r="BO8" s="26">
        <f>资产资本表!BO107</f>
        <v>2546625195.1500001</v>
      </c>
      <c r="BP8" s="26">
        <f>资产资本表!BP107</f>
        <v>2469173821.48</v>
      </c>
      <c r="BQ8" s="26">
        <f>资产资本表!BQ107</f>
        <v>2335783347</v>
      </c>
      <c r="BR8" s="26">
        <f>资产资本表!BR107</f>
        <v>2400207583.4700003</v>
      </c>
      <c r="BS8" s="26">
        <f>资产资本表!BS107</f>
        <v>2227180861</v>
      </c>
      <c r="BT8" s="26">
        <f>资产资本表!BT107</f>
        <v>1333758140</v>
      </c>
      <c r="BU8" s="26">
        <f>资产资本表!BU107</f>
        <v>1254162142</v>
      </c>
    </row>
    <row r="9" spans="1:74" s="63" customFormat="1" x14ac:dyDescent="0.25">
      <c r="A9" s="63" t="s">
        <v>738</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股东权益回报率分析表!BV14</f>
        <v>1.7440716339691575E-2</v>
      </c>
    </row>
    <row r="10" spans="1:74" s="26" customFormat="1" x14ac:dyDescent="0.25">
      <c r="A10" s="17" t="s">
        <v>332</v>
      </c>
      <c r="E10" s="26">
        <f>资产资本表!E70</f>
        <v>216764367123</v>
      </c>
      <c r="F10" s="26">
        <f>资产资本表!F70</f>
        <v>202213156586</v>
      </c>
      <c r="G10" s="26">
        <f>资产资本表!G70</f>
        <v>187947626136</v>
      </c>
      <c r="H10" s="26">
        <f>资产资本表!H70</f>
        <v>177836368844</v>
      </c>
      <c r="I10" s="26">
        <f>资产资本表!I70</f>
        <v>170039729337</v>
      </c>
      <c r="J10" s="26">
        <f>资产资本表!J70</f>
        <v>144920400960</v>
      </c>
      <c r="K10" s="26">
        <f>资产资本表!K70</f>
        <v>146051555915</v>
      </c>
      <c r="L10" s="26">
        <f>资产资本表!L70</f>
        <v>139791571743</v>
      </c>
      <c r="M10" s="26">
        <f>资产资本表!M70</f>
        <v>128612663596</v>
      </c>
      <c r="N10" s="26">
        <f>资产资本表!N70</f>
        <v>124539054703</v>
      </c>
      <c r="O10" s="26">
        <f>资产资本表!O70</f>
        <v>121419983616</v>
      </c>
      <c r="P10" s="26">
        <f>资产资本表!P70</f>
        <v>117525031231</v>
      </c>
      <c r="Q10" s="26">
        <f>资产资本表!Q70</f>
        <v>116874981695</v>
      </c>
      <c r="R10" s="26">
        <f>资产资本表!R70</f>
        <v>113499242270</v>
      </c>
      <c r="S10" s="26">
        <f>资产资本表!S70</f>
        <v>113247788855</v>
      </c>
      <c r="T10" s="26">
        <f>资产资本表!T70</f>
        <v>112149471706</v>
      </c>
      <c r="U10" s="26">
        <f>资产资本表!U70</f>
        <v>78718131869</v>
      </c>
      <c r="V10" s="26">
        <f>资产资本表!V70</f>
        <v>78386032025</v>
      </c>
      <c r="W10" s="26">
        <f>资产资本表!W70</f>
        <v>75278272596</v>
      </c>
      <c r="X10" s="26">
        <f>资产资本表!X70</f>
        <v>58363970027</v>
      </c>
      <c r="Y10" s="26">
        <f>资产资本表!Y70</f>
        <v>56679617756</v>
      </c>
      <c r="Z10" s="26">
        <f>资产资本表!Z70</f>
        <v>57824113859</v>
      </c>
      <c r="AA10" s="26">
        <f>资产资本表!AA70</f>
        <v>57845898308</v>
      </c>
      <c r="AB10" s="26">
        <f>资产资本表!AB70</f>
        <v>57653343982</v>
      </c>
      <c r="AC10" s="26">
        <f>资产资本表!AC70</f>
        <v>59720145381</v>
      </c>
      <c r="AD10" s="26">
        <f>资产资本表!AD70</f>
        <v>57272210859</v>
      </c>
      <c r="AE10" s="26">
        <f>资产资本表!AE70</f>
        <v>56116570783</v>
      </c>
      <c r="AF10" s="26">
        <f>资产资本表!AF70</f>
        <v>50306495610</v>
      </c>
      <c r="AG10" s="26">
        <f>资产资本表!AG70</f>
        <v>48161321855</v>
      </c>
      <c r="AH10" s="26">
        <f>资产资本表!AH70</f>
        <v>38174207151</v>
      </c>
      <c r="AI10" s="26">
        <f>资产资本表!AI70</f>
        <v>35192200453</v>
      </c>
      <c r="AJ10" s="26">
        <f>资产资本表!AJ70</f>
        <v>29354669054</v>
      </c>
      <c r="AK10" s="26">
        <f>资产资本表!AK70</f>
        <v>27706750515</v>
      </c>
      <c r="AL10" s="26">
        <f>资产资本表!AL70</f>
        <v>23685200020</v>
      </c>
      <c r="AM10" s="26">
        <f>资产资本表!AM70</f>
        <v>23855486363</v>
      </c>
      <c r="AN10" s="26">
        <f>资产资本表!AN70</f>
        <v>12812316105</v>
      </c>
      <c r="AO10" s="26">
        <f>资产资本表!AO70</f>
        <v>12263480470</v>
      </c>
      <c r="AP10" s="26">
        <f>资产资本表!AP70</f>
        <v>12040153499</v>
      </c>
      <c r="AQ10" s="26">
        <f>资产资本表!AQ70</f>
        <v>11272726060</v>
      </c>
      <c r="AR10" s="26">
        <f>资产资本表!AR70</f>
        <v>10965108590</v>
      </c>
      <c r="AS10" s="26">
        <f>资产资本表!AS70</f>
        <v>11211394853</v>
      </c>
      <c r="AT10" s="26">
        <f>资产资本表!AT70</f>
        <v>11656106284</v>
      </c>
      <c r="AU10" s="26">
        <f>资产资本表!AU70</f>
        <v>11712514559</v>
      </c>
      <c r="AV10" s="26">
        <f>资产资本表!AV70</f>
        <v>12945179056</v>
      </c>
      <c r="AW10" s="26">
        <f>资产资本表!AW70</f>
        <v>14009841220</v>
      </c>
      <c r="AX10" s="26">
        <f>资产资本表!AX70</f>
        <v>14390186066</v>
      </c>
      <c r="AY10" s="26">
        <f>资产资本表!AY70</f>
        <v>16527938842</v>
      </c>
      <c r="AZ10" s="26">
        <f>资产资本表!AZ70</f>
        <v>18027943749</v>
      </c>
      <c r="BA10" s="26">
        <f>资产资本表!BA70</f>
        <v>18245483579</v>
      </c>
      <c r="BB10" s="26">
        <f>资产资本表!BB70</f>
        <v>19841768142</v>
      </c>
      <c r="BC10" s="26">
        <f>资产资本表!BC70</f>
        <v>20503781532</v>
      </c>
      <c r="BD10" s="26">
        <f>资产资本表!BD70</f>
        <v>15456967302</v>
      </c>
      <c r="BE10" s="26">
        <f>资产资本表!BE70</f>
        <v>14819301448</v>
      </c>
      <c r="BF10" s="26">
        <f>资产资本表!BF70</f>
        <v>14097266260.259998</v>
      </c>
      <c r="BG10" s="26">
        <f>资产资本表!BG70</f>
        <v>11317204791.120001</v>
      </c>
      <c r="BH10" s="26">
        <f>资产资本表!BH70</f>
        <v>11359993965.030001</v>
      </c>
      <c r="BI10" s="26">
        <f>资产资本表!BI70</f>
        <v>9944539227</v>
      </c>
      <c r="BJ10" s="26">
        <f>资产资本表!BJ70</f>
        <v>8242448616.3500004</v>
      </c>
      <c r="BK10" s="26">
        <f>资产资本表!BK70</f>
        <v>8229814380.2099991</v>
      </c>
      <c r="BL10" s="26">
        <f>资产资本表!BL70</f>
        <v>7973451025.0699997</v>
      </c>
      <c r="BM10" s="26">
        <f>资产资本表!BM70</f>
        <v>5380137695</v>
      </c>
      <c r="BN10" s="26">
        <f>资产资本表!BN70</f>
        <v>4136206097.1200008</v>
      </c>
      <c r="BO10" s="26">
        <f>资产资本表!BO70</f>
        <v>3897499686.8800001</v>
      </c>
      <c r="BP10" s="26">
        <f>资产资本表!BP70</f>
        <v>3661917503.1599998</v>
      </c>
      <c r="BQ10" s="26">
        <f>资产资本表!BQ70</f>
        <v>3394302625</v>
      </c>
      <c r="BR10" s="26">
        <f>资产资本表!BR70</f>
        <v>3292117734.6999998</v>
      </c>
      <c r="BS10" s="26">
        <f>资产资本表!BS70</f>
        <v>3370312680</v>
      </c>
      <c r="BT10" s="26">
        <f>资产资本表!BT70</f>
        <v>2165107736</v>
      </c>
      <c r="BU10" s="26">
        <f>资产资本表!BU70</f>
        <v>1799468331</v>
      </c>
    </row>
    <row r="11" spans="1:74" s="63" customFormat="1" x14ac:dyDescent="0.25">
      <c r="A11" s="17" t="s">
        <v>347</v>
      </c>
      <c r="E11" s="63">
        <f>E4/E10</f>
        <v>0.51878451058420272</v>
      </c>
      <c r="F11" s="63">
        <f t="shared" ref="F11:BQ11" si="3">F4/F10</f>
        <v>0.48168623138808964</v>
      </c>
      <c r="G11" s="63">
        <f t="shared" si="3"/>
        <v>0.47565253995446188</v>
      </c>
      <c r="H11" s="63">
        <f t="shared" si="3"/>
        <v>0.4572241338065498</v>
      </c>
      <c r="I11" s="63">
        <f t="shared" si="3"/>
        <v>0.45870201217750367</v>
      </c>
      <c r="J11" s="63">
        <f t="shared" si="3"/>
        <v>0.43395211702704362</v>
      </c>
      <c r="K11" s="63">
        <f t="shared" si="3"/>
        <v>0.43894501534314584</v>
      </c>
      <c r="L11" s="63">
        <f t="shared" si="3"/>
        <v>0.41749469302266762</v>
      </c>
      <c r="M11" s="63">
        <f t="shared" si="3"/>
        <v>0.39059703914383737</v>
      </c>
      <c r="N11" s="63">
        <f t="shared" si="3"/>
        <v>0.36586589064500424</v>
      </c>
      <c r="O11" s="63">
        <f t="shared" si="3"/>
        <v>0.34994835471548214</v>
      </c>
      <c r="P11" s="63">
        <f t="shared" si="3"/>
        <v>0.33685519383684698</v>
      </c>
      <c r="Q11" s="63">
        <f t="shared" si="3"/>
        <v>0.34131399823531755</v>
      </c>
      <c r="R11" s="63">
        <f t="shared" si="3"/>
        <v>0.32512379247622269</v>
      </c>
      <c r="S11" s="63">
        <f t="shared" si="3"/>
        <v>0.32737301835066368</v>
      </c>
      <c r="T11" s="63">
        <f t="shared" si="3"/>
        <v>0.32956384079001078</v>
      </c>
      <c r="U11" s="63">
        <f t="shared" si="3"/>
        <v>0.51499393243305369</v>
      </c>
      <c r="V11" s="63">
        <f t="shared" si="3"/>
        <v>0.47597882177657019</v>
      </c>
      <c r="W11" s="63">
        <f t="shared" si="3"/>
        <v>0.46274670788408856</v>
      </c>
      <c r="X11" s="63">
        <f t="shared" si="3"/>
        <v>0.38845102611271681</v>
      </c>
      <c r="Y11" s="63">
        <f t="shared" si="3"/>
        <v>0.37738813661522391</v>
      </c>
      <c r="Z11" s="63">
        <f t="shared" si="3"/>
        <v>0.40911696998393254</v>
      </c>
      <c r="AA11" s="63">
        <f t="shared" si="3"/>
        <v>0.41190672877327839</v>
      </c>
      <c r="AB11" s="63">
        <f t="shared" si="3"/>
        <v>0.40414979421271202</v>
      </c>
      <c r="AC11" s="63">
        <f t="shared" si="3"/>
        <v>0.41255977030555985</v>
      </c>
      <c r="AD11" s="63">
        <f t="shared" si="3"/>
        <v>0.44231525231960139</v>
      </c>
      <c r="AE11" s="63">
        <f t="shared" si="3"/>
        <v>0.41243276859339661</v>
      </c>
      <c r="AF11" s="63">
        <f t="shared" si="3"/>
        <v>0.33249727561374853</v>
      </c>
      <c r="AG11" s="63">
        <f t="shared" si="3"/>
        <v>0.28774149174564845</v>
      </c>
      <c r="AH11" s="63">
        <f t="shared" si="3"/>
        <v>0.30746926553240883</v>
      </c>
      <c r="AI11" s="63">
        <f t="shared" si="3"/>
        <v>0.23390687041560879</v>
      </c>
      <c r="AJ11" s="63">
        <f t="shared" si="3"/>
        <v>0.21162613172617237</v>
      </c>
      <c r="AK11" s="63">
        <f t="shared" si="3"/>
        <v>0.20637428852959086</v>
      </c>
      <c r="AL11" s="63">
        <f t="shared" si="3"/>
        <v>0.25513539851456996</v>
      </c>
      <c r="AM11" s="63">
        <f t="shared" si="3"/>
        <v>0.25905928212745194</v>
      </c>
      <c r="AN11" s="63">
        <f t="shared" si="3"/>
        <v>0.51148960775659846</v>
      </c>
      <c r="AO11" s="63">
        <f t="shared" si="3"/>
        <v>0.4514693047821195</v>
      </c>
      <c r="AP11" s="63">
        <f t="shared" si="3"/>
        <v>0.35125751547530165</v>
      </c>
      <c r="AQ11" s="63">
        <f t="shared" si="3"/>
        <v>0.45601162759028319</v>
      </c>
      <c r="AR11" s="63">
        <f t="shared" si="3"/>
        <v>0.46387752681617539</v>
      </c>
      <c r="AS11" s="63">
        <f t="shared" si="3"/>
        <v>0.50692949347682736</v>
      </c>
      <c r="AT11" s="63">
        <f t="shared" si="3"/>
        <v>0.58152543352357788</v>
      </c>
      <c r="AU11" s="63">
        <f t="shared" si="3"/>
        <v>0.62932744551732944</v>
      </c>
      <c r="AV11" s="63">
        <f t="shared" si="3"/>
        <v>0.67574079216351624</v>
      </c>
      <c r="AW11" s="63">
        <f t="shared" si="3"/>
        <v>0.68852591342930292</v>
      </c>
      <c r="AX11" s="63">
        <f t="shared" si="3"/>
        <v>0.69853966341341123</v>
      </c>
      <c r="AY11" s="63">
        <f t="shared" si="3"/>
        <v>0.88099425713012935</v>
      </c>
      <c r="AZ11" s="63">
        <f t="shared" si="3"/>
        <v>0.81777110935448594</v>
      </c>
      <c r="BA11" s="63">
        <f t="shared" si="3"/>
        <v>0.79283657105419603</v>
      </c>
      <c r="BB11" s="63">
        <f t="shared" si="3"/>
        <v>0.7791553374860517</v>
      </c>
      <c r="BC11" s="63">
        <f t="shared" si="3"/>
        <v>0.7675521579977006</v>
      </c>
      <c r="BD11" s="63">
        <f t="shared" si="3"/>
        <v>0.66070566647822238</v>
      </c>
      <c r="BE11" s="63">
        <f t="shared" si="3"/>
        <v>0.61812270599544661</v>
      </c>
      <c r="BF11" s="63">
        <f t="shared" si="3"/>
        <v>0.58061617166823953</v>
      </c>
      <c r="BG11" s="63">
        <f t="shared" si="3"/>
        <v>0.47821314272995502</v>
      </c>
      <c r="BH11" s="63">
        <f t="shared" si="3"/>
        <v>0.49831305960073635</v>
      </c>
      <c r="BI11" s="63">
        <f t="shared" si="3"/>
        <v>0.67178590445515873</v>
      </c>
      <c r="BJ11" s="63">
        <f t="shared" si="3"/>
        <v>0.62001190597692113</v>
      </c>
      <c r="BK11" s="63">
        <f t="shared" si="3"/>
        <v>0.63876027208840414</v>
      </c>
      <c r="BL11" s="63">
        <f t="shared" si="3"/>
        <v>0.64898625683783784</v>
      </c>
      <c r="BM11" s="63">
        <f t="shared" si="3"/>
        <v>0.48621821025716333</v>
      </c>
      <c r="BN11" s="63">
        <f t="shared" si="3"/>
        <v>0.33059436022110011</v>
      </c>
      <c r="BO11" s="63">
        <f t="shared" si="3"/>
        <v>0.30550215930438385</v>
      </c>
      <c r="BP11" s="63">
        <f t="shared" si="3"/>
        <v>0.28778972391119806</v>
      </c>
      <c r="BQ11" s="63">
        <f t="shared" si="3"/>
        <v>0.27490036278070523</v>
      </c>
      <c r="BR11" s="63">
        <f>BR4/BR10</f>
        <v>0.22235446724590072</v>
      </c>
      <c r="BS11" s="63">
        <f>BS4/BS10</f>
        <v>0.29660412012573267</v>
      </c>
      <c r="BT11" s="63">
        <f>BT4/BT10</f>
        <v>0.34652476249800807</v>
      </c>
      <c r="BU11" s="63">
        <f>BU4/BU10</f>
        <v>0.254374974048932</v>
      </c>
      <c r="BV11" s="63" t="e">
        <f>BV4/BV10*100</f>
        <v>#DIV/0!</v>
      </c>
    </row>
    <row r="12" spans="1:74" s="63" customFormat="1" x14ac:dyDescent="0.25">
      <c r="A12" s="17" t="s">
        <v>348</v>
      </c>
      <c r="E12" s="63">
        <f>E8/E10</f>
        <v>0.48109504443516454</v>
      </c>
      <c r="F12" s="63">
        <f t="shared" ref="F12:BQ12" si="4">F8/F10</f>
        <v>0.51818465643918732</v>
      </c>
      <c r="G12" s="63">
        <f t="shared" si="4"/>
        <v>0.51860251374747379</v>
      </c>
      <c r="H12" s="63">
        <f t="shared" si="4"/>
        <v>0.54258728591474792</v>
      </c>
      <c r="I12" s="63">
        <f t="shared" si="4"/>
        <v>0.54114444617607171</v>
      </c>
      <c r="J12" s="63">
        <f t="shared" si="4"/>
        <v>0.565869914689477</v>
      </c>
      <c r="K12" s="63">
        <f t="shared" si="4"/>
        <v>0.55758145738203857</v>
      </c>
      <c r="L12" s="63">
        <f t="shared" si="4"/>
        <v>0.582318541926518</v>
      </c>
      <c r="M12" s="63">
        <f t="shared" si="4"/>
        <v>0.60919996233898699</v>
      </c>
      <c r="N12" s="63">
        <f t="shared" si="4"/>
        <v>0.6338960902205909</v>
      </c>
      <c r="O12" s="63">
        <f t="shared" si="4"/>
        <v>0.64983662153618194</v>
      </c>
      <c r="P12" s="63">
        <f t="shared" si="4"/>
        <v>0.66292265621155089</v>
      </c>
      <c r="Q12" s="63">
        <f t="shared" si="4"/>
        <v>0.6584763060740858</v>
      </c>
      <c r="R12" s="63">
        <f t="shared" si="4"/>
        <v>0.67463025040158275</v>
      </c>
      <c r="S12" s="63">
        <f t="shared" si="4"/>
        <v>0.6724105696535897</v>
      </c>
      <c r="T12" s="63">
        <f t="shared" si="4"/>
        <v>0.67021762781945138</v>
      </c>
      <c r="U12" s="63">
        <f t="shared" si="4"/>
        <v>0.48469472659100965</v>
      </c>
      <c r="V12" s="63">
        <f t="shared" si="4"/>
        <v>0.52370851819501829</v>
      </c>
      <c r="W12" s="63">
        <f t="shared" si="4"/>
        <v>0.53692666433671199</v>
      </c>
      <c r="X12" s="63">
        <f t="shared" si="4"/>
        <v>0.61112768698735798</v>
      </c>
      <c r="Y12" s="63">
        <f t="shared" si="4"/>
        <v>0.62217805708943641</v>
      </c>
      <c r="Z12" s="63">
        <f t="shared" si="4"/>
        <v>0.59021190893162456</v>
      </c>
      <c r="AA12" s="63">
        <f t="shared" si="4"/>
        <v>0.58743407126414227</v>
      </c>
      <c r="AB12" s="63">
        <f t="shared" si="4"/>
        <v>0.59524789052503979</v>
      </c>
      <c r="AC12" s="63">
        <f t="shared" si="4"/>
        <v>0.58682850958279387</v>
      </c>
      <c r="AD12" s="63">
        <f t="shared" si="4"/>
        <v>0.55693859555253322</v>
      </c>
      <c r="AE12" s="63">
        <f t="shared" si="4"/>
        <v>0.58680567877778622</v>
      </c>
      <c r="AF12" s="63">
        <f t="shared" si="4"/>
        <v>0.66663796514447771</v>
      </c>
      <c r="AG12" s="63">
        <f t="shared" si="4"/>
        <v>0.71135523140636603</v>
      </c>
      <c r="AH12" s="63">
        <f t="shared" si="4"/>
        <v>0.69119999463587545</v>
      </c>
      <c r="AI12" s="63">
        <f t="shared" si="4"/>
        <v>0.76470080968483167</v>
      </c>
      <c r="AJ12" s="63">
        <f t="shared" si="4"/>
        <v>0.78657118247612179</v>
      </c>
      <c r="AK12" s="63">
        <f t="shared" si="4"/>
        <v>0.79172589878860433</v>
      </c>
      <c r="AL12" s="63">
        <f t="shared" si="4"/>
        <v>0.74456498214533551</v>
      </c>
      <c r="AM12" s="63">
        <f t="shared" si="4"/>
        <v>0.74064370393235068</v>
      </c>
      <c r="AN12" s="63">
        <f t="shared" si="4"/>
        <v>0.48795670640378724</v>
      </c>
      <c r="AO12" s="63">
        <f t="shared" si="4"/>
        <v>0.54787069946709832</v>
      </c>
      <c r="AP12" s="63">
        <f t="shared" si="4"/>
        <v>0.64808214535205733</v>
      </c>
      <c r="AQ12" s="63">
        <f t="shared" si="4"/>
        <v>0.54319983510714354</v>
      </c>
      <c r="AR12" s="63">
        <f t="shared" si="4"/>
        <v>0.53551427446465438</v>
      </c>
      <c r="AS12" s="63">
        <f t="shared" si="4"/>
        <v>0.49247566840646712</v>
      </c>
      <c r="AT12" s="63">
        <f t="shared" si="4"/>
        <v>0.41310950909994293</v>
      </c>
      <c r="AU12" s="63">
        <f t="shared" si="4"/>
        <v>0.36599386531443456</v>
      </c>
      <c r="AV12" s="63">
        <f t="shared" si="4"/>
        <v>0.32055747757901076</v>
      </c>
      <c r="AW12" s="63">
        <f t="shared" si="4"/>
        <v>0.30674519957193347</v>
      </c>
      <c r="AX12" s="63">
        <f t="shared" si="4"/>
        <v>0.2942086791360603</v>
      </c>
      <c r="AY12" s="63">
        <f t="shared" si="4"/>
        <v>0.11100971279840363</v>
      </c>
      <c r="AZ12" s="63">
        <f t="shared" si="4"/>
        <v>0.17023007796827799</v>
      </c>
      <c r="BA12" s="63">
        <f t="shared" si="4"/>
        <v>0.19794057956111133</v>
      </c>
      <c r="BB12" s="63">
        <f t="shared" si="4"/>
        <v>0.20859435532053403</v>
      </c>
      <c r="BC12" s="63">
        <f t="shared" si="4"/>
        <v>0.22085174473463562</v>
      </c>
      <c r="BD12" s="63">
        <f t="shared" si="4"/>
        <v>0.32919008571245539</v>
      </c>
      <c r="BE12" s="63">
        <f t="shared" si="4"/>
        <v>0.36986862857423941</v>
      </c>
      <c r="BF12" s="63">
        <f t="shared" si="4"/>
        <v>0.40970709672993555</v>
      </c>
      <c r="BG12" s="63">
        <f t="shared" si="4"/>
        <v>0.50797298189397444</v>
      </c>
      <c r="BH12" s="63">
        <f t="shared" si="4"/>
        <v>0.48750460800226092</v>
      </c>
      <c r="BI12" s="63">
        <f t="shared" si="4"/>
        <v>0.30973590406653839</v>
      </c>
      <c r="BJ12" s="63">
        <f t="shared" si="4"/>
        <v>0.36305096402956238</v>
      </c>
      <c r="BK12" s="63">
        <f t="shared" si="4"/>
        <v>0.34282727663998741</v>
      </c>
      <c r="BL12" s="63">
        <f t="shared" si="4"/>
        <v>0.32339706936337048</v>
      </c>
      <c r="BM12" s="63">
        <f t="shared" si="4"/>
        <v>0.49085927976421428</v>
      </c>
      <c r="BN12" s="63">
        <f t="shared" si="4"/>
        <v>0.63513010997667019</v>
      </c>
      <c r="BO12" s="63">
        <f t="shared" si="4"/>
        <v>0.65339971770173688</v>
      </c>
      <c r="BP12" s="63">
        <f t="shared" si="4"/>
        <v>0.67428439317632405</v>
      </c>
      <c r="BQ12" s="63">
        <f t="shared" si="4"/>
        <v>0.68814823103759049</v>
      </c>
      <c r="BR12" s="63">
        <f>BR8/BR10</f>
        <v>0.72907707952574896</v>
      </c>
      <c r="BS12" s="63">
        <f>BS8/BS10</f>
        <v>0.66082321507332664</v>
      </c>
      <c r="BT12" s="63">
        <f>BT8/BT10</f>
        <v>0.61602391318599958</v>
      </c>
      <c r="BU12" s="63">
        <f>BU8/BU10</f>
        <v>0.69696260856285108</v>
      </c>
      <c r="BV12" s="63" t="e">
        <f>BV8/BV10*100</f>
        <v>#DIV/0!</v>
      </c>
    </row>
    <row r="13" spans="1:74" s="63" customFormat="1" x14ac:dyDescent="0.25">
      <c r="A13" s="63" t="s">
        <v>349</v>
      </c>
      <c r="E13" s="63">
        <f>E5*E11*(1-E6)+E9*E12</f>
        <v>5.2002854980527209E-2</v>
      </c>
      <c r="F13" s="63">
        <f t="shared" ref="F13:J13" si="5">F5*F11*(1-F6)+F9*F12</f>
        <v>4.1454772515134984E-2</v>
      </c>
      <c r="G13" s="63">
        <f t="shared" si="5"/>
        <v>4.1488201099797901E-2</v>
      </c>
      <c r="H13" s="63">
        <f t="shared" si="5"/>
        <v>4.3406982873179838E-2</v>
      </c>
      <c r="I13" s="63">
        <f t="shared" si="5"/>
        <v>5.5572744698295186E-2</v>
      </c>
      <c r="J13" s="63">
        <f t="shared" si="5"/>
        <v>4.5269593175158163E-2</v>
      </c>
      <c r="K13" s="63">
        <f t="shared" ref="K13" si="6">K5*K11*(1-K6)+K9*K12</f>
        <v>4.4606516590563083E-2</v>
      </c>
      <c r="L13" s="63">
        <f t="shared" ref="L13" si="7">L5*L11*(1-L6)+L9*L12</f>
        <v>4.6585483354121437E-2</v>
      </c>
      <c r="M13" s="63">
        <f t="shared" ref="M13" si="8">M5*M11*(1-M6)+M9*M12</f>
        <v>5.9936080447639699E-2</v>
      </c>
      <c r="N13" s="63">
        <f t="shared" ref="N13:O13" si="9">N5*N11*(1-N6)+N9*N12</f>
        <v>5.0711687217647274E-2</v>
      </c>
      <c r="O13" s="63">
        <f t="shared" si="9"/>
        <v>5.1986929722894558E-2</v>
      </c>
      <c r="P13" s="63">
        <f t="shared" ref="P13" si="10">P5*P11*(1-P6)+P9*P12</f>
        <v>5.3033812496924071E-2</v>
      </c>
      <c r="Q13" s="63">
        <f t="shared" ref="Q13" si="11">Q5*Q11*(1-Q6)+Q9*Q12</f>
        <v>6.4950742620193971E-2</v>
      </c>
      <c r="R13" s="63">
        <f t="shared" ref="R13" si="12">R5*R11*(1-R6)+R9*R12</f>
        <v>5.3970420032126619E-2</v>
      </c>
      <c r="S13" s="63">
        <f t="shared" ref="S13:T13" si="13">S5*S11*(1-S6)+S9*S12</f>
        <v>5.3792845572287175E-2</v>
      </c>
      <c r="T13" s="63">
        <f t="shared" si="13"/>
        <v>5.3617410225556113E-2</v>
      </c>
      <c r="U13" s="63">
        <f t="shared" ref="U13" si="14">U5*U11*(1-U6)+U9*U12</f>
        <v>6.4735828715898697E-2</v>
      </c>
      <c r="V13" s="63">
        <f t="shared" ref="V13" si="15">V5*V11*(1-V6)+V9*V12</f>
        <v>4.1896681455601464E-2</v>
      </c>
      <c r="W13" s="63">
        <f t="shared" ref="W13" si="16">W5*W11*(1-W6)+W9*W12</f>
        <v>4.2954133146936961E-2</v>
      </c>
      <c r="X13" s="63">
        <f t="shared" ref="X13:Y13" si="17">X5*X11*(1-X6)+X9*X12</f>
        <v>4.889021495898864E-2</v>
      </c>
      <c r="Y13" s="63">
        <f t="shared" si="17"/>
        <v>6.6892494822711146E-2</v>
      </c>
      <c r="Z13" s="63">
        <f t="shared" ref="Z13" si="18">Z5*Z11*(1-Z6)+Z9*Z12</f>
        <v>4.7216952714529969E-2</v>
      </c>
      <c r="AA13" s="63">
        <f t="shared" ref="AA13" si="19">AA5*AA11*(1-AA6)+AA9*AA12</f>
        <v>4.6994725701131383E-2</v>
      </c>
      <c r="AB13" s="63">
        <f t="shared" ref="AB13" si="20">AB5*AB11*(1-AB6)+AB9*AB12</f>
        <v>4.7619831242003183E-2</v>
      </c>
      <c r="AC13" s="63">
        <f t="shared" ref="AC13:AD13" si="21">AC5*AC11*(1-AC6)+AC9*AC12</f>
        <v>6.3667582989687013E-2</v>
      </c>
      <c r="AD13" s="63">
        <f t="shared" si="21"/>
        <v>4.4555087644202657E-2</v>
      </c>
      <c r="AE13" s="63">
        <f t="shared" ref="AE13" si="22">AE5*AE11*(1-AE6)+AE9*AE12</f>
        <v>4.6944454302222896E-2</v>
      </c>
      <c r="AF13" s="63">
        <f t="shared" ref="AF13" si="23">AF5*AF11*(1-AF6)+AF9*AF12</f>
        <v>5.333103721155822E-2</v>
      </c>
      <c r="AG13" s="63">
        <f t="shared" ref="AG13" si="24">AG5*AG11*(1-AG6)+AG9*AG12</f>
        <v>6.5254477618951479E-2</v>
      </c>
      <c r="AH13" s="63">
        <f t="shared" ref="AH13:AI13" si="25">AH5*AH11*(1-AH6)+AH9*AH12</f>
        <v>5.5295999570870037E-2</v>
      </c>
      <c r="AI13" s="63">
        <f t="shared" si="25"/>
        <v>6.1176064774786536E-2</v>
      </c>
      <c r="AJ13" s="63">
        <f t="shared" ref="AJ13" si="26">AJ5*AJ11*(1-AJ6)+AJ9*AJ12</f>
        <v>6.2925694598089749E-2</v>
      </c>
      <c r="AK13" s="63">
        <f t="shared" ref="AK13" si="27">AK5*AK11*(1-AK6)+AK9*AK12</f>
        <v>7.3445827964742236E-2</v>
      </c>
      <c r="AL13" s="63">
        <f t="shared" ref="AL13" si="28">AL5*AL11*(1-AL6)+AL9*AL12</f>
        <v>5.9565198571626843E-2</v>
      </c>
      <c r="AM13" s="63">
        <f t="shared" ref="AM13:AN13" si="29">AM5*AM11*(1-AM6)+AM9*AM12</f>
        <v>5.9251496314588058E-2</v>
      </c>
      <c r="AN13" s="63">
        <f t="shared" si="29"/>
        <v>3.9036536512302981E-2</v>
      </c>
      <c r="AO13" s="63">
        <f t="shared" ref="AO13" si="30">AO5*AO11*(1-AO6)+AO9*AO12</f>
        <v>6.8937636924717022E-2</v>
      </c>
      <c r="AP13" s="63">
        <f t="shared" ref="AP13" si="31">AP5*AP11*(1-AP6)+AP9*AP12</f>
        <v>5.1846571628164584E-2</v>
      </c>
      <c r="AQ13" s="63">
        <f t="shared" ref="AQ13" si="32">AQ5*AQ11*(1-AQ6)+AQ9*AQ12</f>
        <v>4.3455986808571483E-2</v>
      </c>
      <c r="AR13" s="63">
        <f t="shared" ref="AR13:AS13" si="33">AR5*AR11*(1-AR6)+AR9*AR12</f>
        <v>4.2841141957172355E-2</v>
      </c>
      <c r="AS13" s="63">
        <f t="shared" si="33"/>
        <v>3.9398053472517368E-2</v>
      </c>
      <c r="AT13" s="63">
        <f t="shared" ref="AT13" si="34">AT5*AT11*(1-AT6)+AT9*AT12</f>
        <v>3.3048760727995438E-2</v>
      </c>
      <c r="AU13" s="63">
        <f t="shared" ref="AU13" si="35">AU5*AU11*(1-AU6)+AU9*AU12</f>
        <v>2.9279509225154765E-2</v>
      </c>
      <c r="AV13" s="63">
        <f t="shared" ref="AV13" si="36">AV5*AV11*(1-AV6)+AV9*AV12</f>
        <v>2.5644598206320861E-2</v>
      </c>
      <c r="AW13" s="63">
        <f t="shared" ref="AW13:AX13" si="37">AW5*AW11*(1-AW6)+AW9*AW12</f>
        <v>2.4539615965754678E-2</v>
      </c>
      <c r="AX13" s="63">
        <f t="shared" si="37"/>
        <v>2.3536694330884823E-2</v>
      </c>
      <c r="AY13" s="63">
        <f t="shared" ref="AY13" si="38">AY5*AY11*(1-AY6)+AY9*AY12</f>
        <v>8.8807770238722907E-3</v>
      </c>
      <c r="AZ13" s="63">
        <f t="shared" ref="AZ13" si="39">AZ5*AZ11*(1-AZ6)+AZ9*AZ12</f>
        <v>1.361840623746224E-2</v>
      </c>
      <c r="BA13" s="63">
        <f t="shared" ref="BA13" si="40">BA5*BA11*(1-BA6)+BA9*BA12</f>
        <v>1.5835246364888908E-2</v>
      </c>
      <c r="BB13" s="63">
        <f t="shared" ref="BB13:BC13" si="41">BB5*BB11*(1-BB6)+BB9*BB12</f>
        <v>1.6687548425642722E-2</v>
      </c>
      <c r="BC13" s="63">
        <f t="shared" si="41"/>
        <v>1.766813957877085E-2</v>
      </c>
      <c r="BD13" s="63">
        <f t="shared" ref="BD13" si="42">BD5*BD11*(1-BD6)+BD9*BD12</f>
        <v>2.6335206856996432E-2</v>
      </c>
      <c r="BE13" s="63">
        <f t="shared" ref="BE13" si="43">BE5*BE11*(1-BE6)+BE9*BE12</f>
        <v>2.9589490285939154E-2</v>
      </c>
      <c r="BF13" s="63">
        <f t="shared" ref="BF13" si="44">BF5*BF11*(1-BF6)+BF9*BF12</f>
        <v>3.2776567738394845E-2</v>
      </c>
      <c r="BG13" s="63">
        <f t="shared" ref="BG13:BH13" si="45">BG5*BG11*(1-BG6)+BG9*BG12</f>
        <v>4.0637838551517959E-2</v>
      </c>
      <c r="BH13" s="63">
        <f t="shared" si="45"/>
        <v>3.9000368640180874E-2</v>
      </c>
      <c r="BI13" s="63">
        <f t="shared" ref="BI13" si="46">BI5*BI11*(1-BI6)+BI9*BI12</f>
        <v>2.4778872325323071E-2</v>
      </c>
      <c r="BJ13" s="63">
        <f t="shared" ref="BJ13" si="47">BJ5*BJ11*(1-BJ6)+BJ9*BJ12</f>
        <v>2.9044077122364991E-2</v>
      </c>
      <c r="BK13" s="63">
        <f t="shared" ref="BK13" si="48">BK5*BK11*(1-BK6)+BK9*BK12</f>
        <v>2.7426182131198993E-2</v>
      </c>
      <c r="BL13" s="63">
        <f t="shared" ref="BL13:BM13" si="49">BL5*BL11*(1-BL6)+BL9*BL12</f>
        <v>2.5871765549069638E-2</v>
      </c>
      <c r="BM13" s="63">
        <f t="shared" si="49"/>
        <v>3.9268742381137145E-2</v>
      </c>
      <c r="BN13" s="63">
        <f t="shared" ref="BN13" si="50">BN5*BN11*(1-BN6)+BN9*BN12</f>
        <v>5.0810408798133616E-2</v>
      </c>
      <c r="BO13" s="63">
        <f t="shared" ref="BO13" si="51">BO5*BO11*(1-BO6)+BO9*BO12</f>
        <v>5.2271977416138954E-2</v>
      </c>
      <c r="BP13" s="63">
        <f t="shared" ref="BP13" si="52">BP5*BP11*(1-BP6)+BP9*BP12</f>
        <v>5.3942751454105924E-2</v>
      </c>
      <c r="BQ13" s="63">
        <f t="shared" ref="BQ13:BR13" si="53">BQ5*BQ11*(1-BQ6)+BQ9*BQ12</f>
        <v>5.505185848300724E-2</v>
      </c>
      <c r="BR13" s="63">
        <f t="shared" si="53"/>
        <v>5.8326166362059916E-2</v>
      </c>
      <c r="BS13" s="63">
        <f t="shared" ref="BS13" si="54">BS5*BS11*(1-BS6)+BS9*BS12</f>
        <v>5.2865857205866132E-2</v>
      </c>
      <c r="BT13" s="63">
        <f t="shared" ref="BT13" si="55">BT5*BT11*(1-BT6)+BT9*BT12</f>
        <v>4.9281913054879965E-2</v>
      </c>
      <c r="BU13" s="63">
        <f t="shared" ref="BU13" si="56">BU5*BU11*(1-BU6)+BU9*BU12</f>
        <v>5.5757008685028087E-2</v>
      </c>
      <c r="BV13" s="63" t="e">
        <f t="shared" ref="BV13" si="57">BV5*BV11*(1-BV6)+BV9*BV12</f>
        <v>#DIV/0!</v>
      </c>
    </row>
    <row r="14" spans="1:74" s="16" customFormat="1" ht="56.4" customHeight="1" x14ac:dyDescent="0.25">
      <c r="A14" s="277" t="s">
        <v>665</v>
      </c>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6"/>
      <c r="Z14" s="276"/>
      <c r="AA14" s="276"/>
      <c r="AB14" s="276"/>
      <c r="AC14" s="276"/>
      <c r="AD14" s="276"/>
      <c r="AE14" s="276"/>
      <c r="AF14" s="276"/>
      <c r="AG14" s="276"/>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3.88671875" bestFit="1" customWidth="1"/>
    <col min="6" max="8" width="23.88671875" hidden="1" customWidth="1"/>
    <col min="9" max="9" width="23.88671875" bestFit="1" customWidth="1"/>
    <col min="10" max="12" width="23.88671875" hidden="1" customWidth="1"/>
    <col min="13" max="13" width="23.88671875" bestFit="1" customWidth="1"/>
    <col min="14" max="16" width="23.88671875" hidden="1" customWidth="1"/>
    <col min="17" max="17" width="23.88671875" bestFit="1" customWidth="1"/>
    <col min="18" max="20" width="23.8867187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4" width="22.6640625" hidden="1" customWidth="1"/>
    <col min="45" max="45" width="22.6640625" bestFit="1" customWidth="1"/>
    <col min="46" max="48" width="22.6640625" hidden="1" customWidth="1"/>
    <col min="49" max="49" width="22.6640625" bestFit="1" customWidth="1"/>
    <col min="50" max="52" width="22.6640625" hidden="1" customWidth="1"/>
    <col min="53" max="53" width="22.6640625" bestFit="1" customWidth="1"/>
    <col min="54" max="56" width="22.6640625" hidden="1" customWidth="1"/>
    <col min="57" max="57" width="22.6640625" bestFit="1" customWidth="1"/>
    <col min="58" max="60" width="22.66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21.44140625" hidden="1" customWidth="1"/>
    <col min="71" max="71" width="21.44140625" bestFit="1" customWidth="1"/>
    <col min="72" max="72" width="21.44140625" hidden="1" customWidth="1"/>
    <col min="73" max="73" width="21.44140625" bestFit="1" customWidth="1"/>
    <col min="74" max="74" width="21.44140625" hidden="1" customWidth="1"/>
    <col min="75" max="75" width="21.44140625" bestFit="1" customWidth="1"/>
    <col min="76" max="76" width="21.44140625" hidden="1" customWidth="1"/>
    <col min="77" max="77" width="21.44140625" bestFit="1" customWidth="1"/>
    <col min="78" max="78" width="19" hidden="1" customWidth="1"/>
    <col min="79" max="81" width="19" bestFit="1" customWidth="1"/>
    <col min="82" max="82" width="9.5546875" hidden="1" customWidth="1"/>
    <col min="83" max="90" width="8.5546875" bestFit="1" customWidth="1"/>
  </cols>
  <sheetData>
    <row r="1" spans="1:90" s="26" customFormat="1" x14ac:dyDescent="0.25">
      <c r="A1" s="17">
        <v>725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88"/>
      <c r="CF1" s="188"/>
      <c r="CG1" s="188"/>
      <c r="CH1" s="188"/>
      <c r="CI1" s="188"/>
      <c r="CJ1" s="188"/>
      <c r="CK1" s="188"/>
      <c r="CL1" s="188"/>
    </row>
    <row r="2" spans="1:90" s="26" customFormat="1" x14ac:dyDescent="0.25">
      <c r="A2" s="41" t="s">
        <v>549</v>
      </c>
      <c r="E2" s="26">
        <f>资产资本表!E17</f>
        <v>59374849696</v>
      </c>
      <c r="F2" s="26">
        <f>资产资本表!F17</f>
        <v>55742126678</v>
      </c>
      <c r="G2" s="26">
        <f>资产资本表!G17</f>
        <v>52888853809</v>
      </c>
      <c r="H2" s="26">
        <f>资产资本表!H17</f>
        <v>53308603340</v>
      </c>
      <c r="I2" s="26">
        <f>资产资本表!I17</f>
        <v>60093394248</v>
      </c>
      <c r="J2" s="26">
        <f>资产资本表!J17</f>
        <v>42819125608</v>
      </c>
      <c r="K2" s="26">
        <f>资产资本表!K17</f>
        <v>46326090357</v>
      </c>
      <c r="L2" s="26">
        <f>资产资本表!L17</f>
        <v>49514470615</v>
      </c>
      <c r="M2" s="26">
        <f>资产资本表!M17</f>
        <v>40742575787</v>
      </c>
      <c r="N2" s="26">
        <f>资产资本表!N17</f>
        <v>36599354495</v>
      </c>
      <c r="O2" s="26">
        <f>资产资本表!O17</f>
        <v>37139162680</v>
      </c>
      <c r="P2" s="26">
        <f>资产资本表!P17</f>
        <v>38495609489</v>
      </c>
      <c r="Q2" s="26">
        <f>资产资本表!Q17</f>
        <v>42023631002</v>
      </c>
      <c r="R2" s="26">
        <f>资产资本表!R17</f>
        <v>42549231107</v>
      </c>
      <c r="S2" s="26">
        <f>资产资本表!S17</f>
        <v>46308387880</v>
      </c>
      <c r="T2" s="26">
        <f>资产资本表!T17</f>
        <v>52105485606</v>
      </c>
      <c r="U2" s="26">
        <f>资产资本表!U17</f>
        <v>22112521474</v>
      </c>
      <c r="V2" s="26">
        <f>资产资本表!V17</f>
        <v>24856882853</v>
      </c>
      <c r="W2" s="26">
        <f>资产资本表!W17</f>
        <v>30032369209</v>
      </c>
      <c r="X2" s="26">
        <f>资产资本表!X17</f>
        <v>17983967257</v>
      </c>
      <c r="Y2" s="26">
        <f>资产资本表!Y17</f>
        <v>16668863807</v>
      </c>
      <c r="Z2" s="26">
        <f>资产资本表!Z17</f>
        <v>15469098010</v>
      </c>
      <c r="AA2" s="26">
        <f>资产资本表!AA17</f>
        <v>17028082868</v>
      </c>
      <c r="AB2" s="26">
        <f>资产资本表!AB17</f>
        <v>17420273137</v>
      </c>
      <c r="AC2" s="26">
        <f>资产资本表!AC17</f>
        <v>21846416555</v>
      </c>
      <c r="AD2" s="26">
        <f>资产资本表!AD17</f>
        <v>21249625924</v>
      </c>
      <c r="AE2" s="26">
        <f>资产资本表!AE17</f>
        <v>23931934720</v>
      </c>
      <c r="AF2" s="26">
        <f>资产资本表!AF17</f>
        <v>22453032819</v>
      </c>
      <c r="AG2" s="26">
        <f>资产资本表!AG17</f>
        <v>25705151124</v>
      </c>
      <c r="AH2" s="26">
        <f>资产资本表!AH17</f>
        <v>17879635157</v>
      </c>
      <c r="AI2" s="26">
        <f>资产资本表!AI17</f>
        <v>18778823642</v>
      </c>
      <c r="AJ2" s="26">
        <f>资产资本表!AJ17</f>
        <v>17711923925</v>
      </c>
      <c r="AK2" s="26">
        <f>资产资本表!AK17</f>
        <v>17261009690</v>
      </c>
      <c r="AL2" s="26">
        <f>资产资本表!AL17</f>
        <v>13559261026</v>
      </c>
      <c r="AM2" s="26">
        <f>资产资本表!AM17</f>
        <v>14340909949</v>
      </c>
      <c r="AN2" s="26">
        <f>资产资本表!AN17</f>
        <v>4330189598</v>
      </c>
      <c r="AO2" s="26">
        <f>资产资本表!AO17</f>
        <v>4138563386</v>
      </c>
      <c r="AP2" s="26">
        <f>资产资本表!AP17</f>
        <v>3159005078</v>
      </c>
      <c r="AQ2" s="26">
        <f>资产资本表!AQ17</f>
        <v>1875296997</v>
      </c>
      <c r="AR2" s="26">
        <f>资产资本表!AR17</f>
        <v>1859663109</v>
      </c>
      <c r="AS2" s="26">
        <f>资产资本表!AS17</f>
        <v>1961430313</v>
      </c>
      <c r="AT2" s="26">
        <f>资产资本表!AT17</f>
        <v>2292816687</v>
      </c>
      <c r="AU2" s="26">
        <f>资产资本表!AU17</f>
        <v>2096092797</v>
      </c>
      <c r="AV2" s="26">
        <f>资产资本表!AV17</f>
        <v>2075826083</v>
      </c>
      <c r="AW2" s="26">
        <f>资产资本表!AW17</f>
        <v>1809217235</v>
      </c>
      <c r="AX2" s="26">
        <f>资产资本表!AX17</f>
        <v>2395946480</v>
      </c>
      <c r="AY2" s="26">
        <f>资产资本表!AY17</f>
        <v>1510409463</v>
      </c>
      <c r="AZ2" s="26">
        <f>资产资本表!AZ17</f>
        <v>1894735372</v>
      </c>
      <c r="BA2" s="26">
        <f>资产资本表!BA17</f>
        <v>2080680420</v>
      </c>
      <c r="BB2" s="26">
        <f>资产资本表!BB17</f>
        <v>3705622980</v>
      </c>
      <c r="BC2" s="26">
        <f>资产资本表!BC17</f>
        <v>4798356239</v>
      </c>
      <c r="BD2" s="26">
        <f>资产资本表!BD17</f>
        <v>1714290168</v>
      </c>
      <c r="BE2" s="26">
        <f>资产资本表!BE17</f>
        <v>1839091213</v>
      </c>
      <c r="BF2" s="26">
        <f>资产资本表!BF17</f>
        <v>3659739824</v>
      </c>
      <c r="BG2" s="26">
        <f>资产资本表!BG17</f>
        <v>2793219063.96</v>
      </c>
      <c r="BH2" s="26">
        <f>资产资本表!BH17</f>
        <v>3469664351.3799996</v>
      </c>
      <c r="BI2" s="26">
        <f>资产资本表!BI17</f>
        <v>2251632347</v>
      </c>
      <c r="BJ2" s="26">
        <f>资产资本表!BJ17</f>
        <v>1772545556.7500002</v>
      </c>
      <c r="BK2" s="26">
        <f>资产资本表!BK17</f>
        <v>1829053661.4300001</v>
      </c>
      <c r="BL2" s="26">
        <f>资产资本表!BL17</f>
        <v>2124166725.9399998</v>
      </c>
      <c r="BM2" s="26">
        <f>资产资本表!BM17</f>
        <v>2294247778</v>
      </c>
      <c r="BN2" s="26">
        <f>资产资本表!BN17</f>
        <v>1241128815.51</v>
      </c>
      <c r="BO2" s="26">
        <f>资产资本表!BO17</f>
        <v>1008225671.23</v>
      </c>
      <c r="BP2" s="26">
        <f>资产资本表!BP17</f>
        <v>1214423990.8</v>
      </c>
      <c r="BQ2" s="26">
        <f>资产资本表!BQ17</f>
        <v>1216749029</v>
      </c>
      <c r="BR2" s="26">
        <f>资产资本表!BR17</f>
        <v>1273594641.9100001</v>
      </c>
      <c r="BS2" s="26">
        <f>资产资本表!BS17</f>
        <v>1406562761</v>
      </c>
      <c r="BT2" s="26">
        <f>资产资本表!BT17</f>
        <v>461243462</v>
      </c>
      <c r="BU2" s="26">
        <f>资产资本表!BU17</f>
        <v>334471420</v>
      </c>
      <c r="BV2" s="26">
        <f>资产资本表!BV17</f>
        <v>365063684.08999997</v>
      </c>
      <c r="BW2" s="26">
        <f>资产资本表!BW17</f>
        <v>333875000</v>
      </c>
      <c r="BX2" s="26">
        <f>资产资本表!BX17</f>
        <v>326620877.75</v>
      </c>
      <c r="BY2" s="26">
        <f>资产资本表!BY17</f>
        <v>412086000</v>
      </c>
      <c r="BZ2" s="26">
        <f>资产资本表!BZ17</f>
        <v>0</v>
      </c>
      <c r="CA2" s="26">
        <f>资产资本表!CA17</f>
        <v>47734000</v>
      </c>
      <c r="CB2" s="26">
        <f>资产资本表!CB17</f>
        <v>41349000</v>
      </c>
      <c r="CC2" s="26">
        <f>资产资本表!CC17</f>
        <v>27882000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550</v>
      </c>
      <c r="E3" s="26">
        <f>资产资本表!E19</f>
        <v>6928854415</v>
      </c>
      <c r="F3" s="26">
        <f>资产资本表!F19</f>
        <v>2353204156</v>
      </c>
      <c r="G3" s="26">
        <f>资产资本表!G19</f>
        <v>1981030454</v>
      </c>
      <c r="H3" s="26">
        <f>资产资本表!H19</f>
        <v>2002572698</v>
      </c>
      <c r="I3" s="26">
        <f>资产资本表!I19</f>
        <v>1356111395</v>
      </c>
      <c r="J3" s="26">
        <f>资产资本表!J19</f>
        <v>2002226109</v>
      </c>
      <c r="K3" s="26">
        <f>资产资本表!K19</f>
        <v>1700914108</v>
      </c>
      <c r="L3" s="26">
        <f>资产资本表!L19</f>
        <v>1693922362</v>
      </c>
      <c r="M3" s="26">
        <f>资产资本表!M19</f>
        <v>1260302959</v>
      </c>
      <c r="N3" s="26">
        <f>资产资本表!N19</f>
        <v>739896624</v>
      </c>
      <c r="O3" s="26">
        <f>资产资本表!O19</f>
        <v>658876472</v>
      </c>
      <c r="P3" s="26">
        <f>资产资本表!P19</f>
        <v>641755139</v>
      </c>
      <c r="Q3" s="26">
        <f>资产资本表!Q19</f>
        <v>638819435</v>
      </c>
      <c r="R3" s="26">
        <f>资产资本表!R19</f>
        <v>977223524</v>
      </c>
      <c r="S3" s="26">
        <f>资产资本表!S19</f>
        <v>988203148</v>
      </c>
      <c r="T3" s="26">
        <f>资产资本表!T19</f>
        <v>991222703</v>
      </c>
      <c r="U3" s="26">
        <f>资产资本表!U19</f>
        <v>989848083</v>
      </c>
      <c r="V3" s="26">
        <f>资产资本表!V19</f>
        <v>992116907</v>
      </c>
      <c r="W3" s="26">
        <f>资产资本表!W19</f>
        <v>991715815</v>
      </c>
      <c r="X3" s="26">
        <f>资产资本表!X19</f>
        <v>971975116</v>
      </c>
      <c r="Y3" s="26">
        <f>资产资本表!Y19</f>
        <v>971409821</v>
      </c>
      <c r="Z3" s="26">
        <f>资产资本表!Z19</f>
        <v>959560829</v>
      </c>
      <c r="AA3" s="26">
        <f>资产资本表!AA19</f>
        <v>946293066</v>
      </c>
      <c r="AB3" s="26">
        <f>资产资本表!AB19</f>
        <v>957524281</v>
      </c>
      <c r="AC3" s="26">
        <f>资产资本表!AC19</f>
        <v>958879205</v>
      </c>
      <c r="AD3" s="26">
        <f>资产资本表!AD19</f>
        <v>59381694</v>
      </c>
      <c r="AE3" s="26">
        <f>资产资本表!AE19</f>
        <v>60331623</v>
      </c>
      <c r="AF3" s="26">
        <f>资产资本表!AF19</f>
        <v>61881116</v>
      </c>
      <c r="AG3" s="26">
        <f>资产资本表!AG19</f>
        <v>63164307</v>
      </c>
      <c r="AH3" s="26">
        <f>资产资本表!AH19</f>
        <v>65024243</v>
      </c>
      <c r="AI3" s="26">
        <f>资产资本表!AI19</f>
        <v>67004833</v>
      </c>
      <c r="AJ3" s="26">
        <f>资产资本表!AJ19</f>
        <v>62274081</v>
      </c>
      <c r="AK3" s="26">
        <f>资产资本表!AK19</f>
        <v>64230890</v>
      </c>
      <c r="AL3" s="26">
        <f>资产资本表!AL19</f>
        <v>396453171</v>
      </c>
      <c r="AM3" s="26">
        <f>资产资本表!AM19</f>
        <v>209838134</v>
      </c>
      <c r="AN3" s="26">
        <f>资产资本表!AN19</f>
        <v>320045139</v>
      </c>
      <c r="AO3" s="26">
        <f>资产资本表!AO19</f>
        <v>340783862</v>
      </c>
      <c r="AP3" s="26">
        <f>资产资本表!AP19</f>
        <v>553320382</v>
      </c>
      <c r="AQ3" s="26">
        <f>资产资本表!AQ19</f>
        <v>612351087</v>
      </c>
      <c r="AR3" s="26">
        <f>资产资本表!AR19</f>
        <v>625466906</v>
      </c>
      <c r="AS3" s="26">
        <f>资产资本表!AS19</f>
        <v>641652657</v>
      </c>
      <c r="AT3" s="26">
        <f>资产资本表!AT19</f>
        <v>1933155846</v>
      </c>
      <c r="AU3" s="26">
        <f>资产资本表!AU19</f>
        <v>1899604979</v>
      </c>
      <c r="AV3" s="26">
        <f>资产资本表!AV19</f>
        <v>1967960807</v>
      </c>
      <c r="AW3" s="26">
        <f>资产资本表!AW19</f>
        <v>2817778818</v>
      </c>
      <c r="AX3" s="26">
        <f>资产资本表!AX19</f>
        <v>2634553967</v>
      </c>
      <c r="AY3" s="26">
        <f>资产资本表!AY19</f>
        <v>2580944786</v>
      </c>
      <c r="AZ3" s="26">
        <f>资产资本表!AZ19</f>
        <v>2624620305</v>
      </c>
      <c r="BA3" s="26">
        <f>资产资本表!BA19</f>
        <v>2605606712</v>
      </c>
      <c r="BB3" s="26">
        <f>资产资本表!BB19</f>
        <v>2270871525</v>
      </c>
      <c r="BC3" s="26">
        <f>资产资本表!BC19</f>
        <v>2262816984</v>
      </c>
      <c r="BD3" s="26">
        <f>资产资本表!BD19</f>
        <v>2250333852</v>
      </c>
      <c r="BE3" s="26">
        <f>资产资本表!BE19</f>
        <v>2219799838</v>
      </c>
      <c r="BF3" s="26">
        <f>资产资本表!BF19</f>
        <v>2143353650.98</v>
      </c>
      <c r="BG3" s="26">
        <f>资产资本表!BG19</f>
        <v>2065685939.9000001</v>
      </c>
      <c r="BH3" s="26">
        <f>资产资本表!BH19</f>
        <v>2074452135.79</v>
      </c>
      <c r="BI3" s="26">
        <f>资产资本表!BI19</f>
        <v>1993438496</v>
      </c>
      <c r="BJ3" s="26">
        <f>资产资本表!BJ19</f>
        <v>903179170.05999994</v>
      </c>
      <c r="BK3" s="26">
        <f>资产资本表!BK19</f>
        <v>845880901.57000005</v>
      </c>
      <c r="BL3" s="26">
        <f>资产资本表!BL19</f>
        <v>908250874.90999997</v>
      </c>
      <c r="BM3" s="26">
        <f>资产资本表!BM19</f>
        <v>885333370</v>
      </c>
      <c r="BN3" s="26">
        <f>资产资本表!BN19</f>
        <v>876137245.87</v>
      </c>
      <c r="BO3" s="26">
        <f>资产资本表!BO19</f>
        <v>855196372.86000001</v>
      </c>
      <c r="BP3" s="26">
        <f>资产资本表!BP19</f>
        <v>789076874.54999995</v>
      </c>
      <c r="BQ3" s="26">
        <f>资产资本表!BQ19</f>
        <v>840789461</v>
      </c>
      <c r="BR3" s="26">
        <f>资产资本表!BR19</f>
        <v>837779326.84000003</v>
      </c>
      <c r="BS3" s="26">
        <f>资产资本表!BS19</f>
        <v>763187795</v>
      </c>
      <c r="BT3" s="26">
        <f>资产资本表!BT19</f>
        <v>760202945</v>
      </c>
      <c r="BU3" s="26">
        <f>资产资本表!BU19</f>
        <v>725872054</v>
      </c>
      <c r="BV3" s="26">
        <f>资产资本表!BV19</f>
        <v>684704095.50999999</v>
      </c>
      <c r="BW3" s="26">
        <f>资产资本表!BW19</f>
        <v>664774000</v>
      </c>
      <c r="BX3" s="26">
        <f>资产资本表!BX19</f>
        <v>681086144.38</v>
      </c>
      <c r="BY3" s="26">
        <f>资产资本表!BY19</f>
        <v>650061000</v>
      </c>
      <c r="BZ3" s="26">
        <f>资产资本表!BZ19</f>
        <v>524021000</v>
      </c>
      <c r="CA3" s="26">
        <f>资产资本表!CA19</f>
        <v>499012000</v>
      </c>
      <c r="CB3" s="26">
        <f>资产资本表!CB19</f>
        <v>408560000</v>
      </c>
      <c r="CC3" s="26">
        <f>资产资本表!CC19</f>
        <v>319932000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555</v>
      </c>
      <c r="E4" s="26">
        <f>资产资本表!E50</f>
        <v>3780938398</v>
      </c>
      <c r="F4" s="26">
        <f>资产资本表!F50</f>
        <v>6141120899</v>
      </c>
      <c r="G4" s="26">
        <f>资产资本表!G50</f>
        <v>2629738498</v>
      </c>
      <c r="H4" s="26">
        <f>资产资本表!H50</f>
        <v>1685827688</v>
      </c>
      <c r="I4" s="26">
        <f>资产资本表!I50</f>
        <v>-1882787022</v>
      </c>
      <c r="J4" s="26">
        <f>资产资本表!J50</f>
        <v>4197441123</v>
      </c>
      <c r="K4" s="26">
        <f>资产资本表!K50</f>
        <v>10091571633</v>
      </c>
      <c r="L4" s="26">
        <f>资产资本表!L50</f>
        <v>1886003533</v>
      </c>
      <c r="M4" s="26">
        <f>资产资本表!M50</f>
        <v>1151417918</v>
      </c>
      <c r="N4" s="26">
        <f>资产资本表!N50</f>
        <v>3094600130</v>
      </c>
      <c r="O4" s="26">
        <f>资产资本表!O50</f>
        <v>3746064271</v>
      </c>
      <c r="P4" s="26">
        <f>资产资本表!P50</f>
        <v>1067383969</v>
      </c>
      <c r="Q4" s="26">
        <f>资产资本表!Q50</f>
        <v>-779898261</v>
      </c>
      <c r="R4" s="26">
        <f>资产资本表!R50</f>
        <v>853839432</v>
      </c>
      <c r="S4" s="26">
        <f>资产资本表!S50</f>
        <v>-1593287881</v>
      </c>
      <c r="T4" s="26">
        <f>资产资本表!T50</f>
        <v>-1863259771</v>
      </c>
      <c r="U4" s="26">
        <f>资产资本表!U50</f>
        <v>-2365770598</v>
      </c>
      <c r="V4" s="26">
        <f>资产资本表!V50</f>
        <v>-721771440</v>
      </c>
      <c r="W4" s="26">
        <f>资产资本表!W50</f>
        <v>-1971504111</v>
      </c>
      <c r="X4" s="26">
        <f>资产资本表!X50</f>
        <v>1212652766</v>
      </c>
      <c r="Y4" s="26">
        <f>资产资本表!Y50</f>
        <v>551633943</v>
      </c>
      <c r="Z4" s="26">
        <f>资产资本表!Z50</f>
        <v>3270450815</v>
      </c>
      <c r="AA4" s="26">
        <f>资产资本表!AA50</f>
        <v>1766627194</v>
      </c>
      <c r="AB4" s="26">
        <f>资产资本表!AB50</f>
        <v>1835180510</v>
      </c>
      <c r="AC4" s="26">
        <f>资产资本表!AC50</f>
        <v>-1119979692</v>
      </c>
      <c r="AD4" s="26">
        <f>资产资本表!AD50</f>
        <v>-1382991900</v>
      </c>
      <c r="AE4" s="26">
        <f>资产资本表!AE50</f>
        <v>-2042610445</v>
      </c>
      <c r="AF4" s="26">
        <f>资产资本表!AF50</f>
        <v>-1402133033</v>
      </c>
      <c r="AG4" s="26">
        <f>资产资本表!AG50</f>
        <v>-2104919265</v>
      </c>
      <c r="AH4" s="26">
        <f>资产资本表!AH50</f>
        <v>-174367826</v>
      </c>
      <c r="AI4" s="26">
        <f>资产资本表!AI50</f>
        <v>188011213</v>
      </c>
      <c r="AJ4" s="26">
        <f>资产资本表!AJ50</f>
        <v>396357030</v>
      </c>
      <c r="AK4" s="26">
        <f>资产资本表!AK50</f>
        <v>93116272</v>
      </c>
      <c r="AL4" s="26">
        <f>资产资本表!AL50</f>
        <v>606694533</v>
      </c>
      <c r="AM4" s="26">
        <f>资产资本表!AM50</f>
        <v>349632147</v>
      </c>
      <c r="AN4" s="26">
        <f>资产资本表!AN50</f>
        <v>74664244</v>
      </c>
      <c r="AO4" s="26">
        <f>资产资本表!AO50</f>
        <v>13801476</v>
      </c>
      <c r="AP4" s="26">
        <f>资产资本表!AP50</f>
        <v>461181828</v>
      </c>
      <c r="AQ4" s="26">
        <f>资产资本表!AQ50</f>
        <v>825559405</v>
      </c>
      <c r="AR4" s="26">
        <f>资产资本表!AR50</f>
        <v>798107299</v>
      </c>
      <c r="AS4" s="26">
        <f>资产资本表!AS50</f>
        <v>808022282</v>
      </c>
      <c r="AT4" s="26">
        <f>资产资本表!AT50</f>
        <v>-576597509</v>
      </c>
      <c r="AU4" s="26">
        <f>资产资本表!AU50</f>
        <v>-528952742</v>
      </c>
      <c r="AV4" s="26">
        <f>资产资本表!AV50</f>
        <v>433510133</v>
      </c>
      <c r="AW4" s="26">
        <f>资产资本表!AW50</f>
        <v>474898169</v>
      </c>
      <c r="AX4" s="26">
        <f>资产资本表!AX50</f>
        <v>208658321</v>
      </c>
      <c r="AY4" s="26">
        <f>资产资本表!AY50</f>
        <v>961842465</v>
      </c>
      <c r="AZ4" s="26">
        <f>资产资本表!AZ50</f>
        <v>1738304770</v>
      </c>
      <c r="BA4" s="26">
        <f>资产资本表!BA50</f>
        <v>1557829391</v>
      </c>
      <c r="BB4" s="26">
        <f>资产资本表!BB50</f>
        <v>1493140766</v>
      </c>
      <c r="BC4" s="26">
        <f>资产资本表!BC50</f>
        <v>799975761</v>
      </c>
      <c r="BD4" s="26">
        <f>资产资本表!BD50</f>
        <v>365902021</v>
      </c>
      <c r="BE4" s="26">
        <f>资产资本表!BE50</f>
        <v>404309435</v>
      </c>
      <c r="BF4" s="26">
        <f>资产资本表!BF50</f>
        <v>2092747886.79</v>
      </c>
      <c r="BG4" s="26">
        <f>资产资本表!BG50</f>
        <v>1829795224.0400004</v>
      </c>
      <c r="BH4" s="26">
        <f>资产资本表!BH50</f>
        <v>1236715644.3299994</v>
      </c>
      <c r="BI4" s="26">
        <f>资产资本表!BI50</f>
        <v>1283292042</v>
      </c>
      <c r="BJ4" s="26">
        <f>资产资本表!BJ50</f>
        <v>1050996824.2799997</v>
      </c>
      <c r="BK4" s="26">
        <f>资产资本表!BK50</f>
        <v>1041039571.8499997</v>
      </c>
      <c r="BL4" s="26">
        <f>资产资本表!BL50</f>
        <v>544040371.7699995</v>
      </c>
      <c r="BM4" s="26">
        <f>资产资本表!BM50</f>
        <v>697229052</v>
      </c>
      <c r="BN4" s="26">
        <f>资产资本表!BN50</f>
        <v>659579739.89000034</v>
      </c>
      <c r="BO4" s="26">
        <f>资产资本表!BO50</f>
        <v>739145834.65999997</v>
      </c>
      <c r="BP4" s="26">
        <f>资产资本表!BP50</f>
        <v>390709418.2900002</v>
      </c>
      <c r="BQ4" s="26">
        <f>资产资本表!BQ50</f>
        <v>379797213</v>
      </c>
      <c r="BR4" s="26">
        <f>资产资本表!BR50</f>
        <v>450951963.95999992</v>
      </c>
      <c r="BS4" s="26">
        <f>资产资本表!BS50</f>
        <v>575413906</v>
      </c>
      <c r="BT4" s="26">
        <f>资产资本表!BT50</f>
        <v>371147463</v>
      </c>
      <c r="BU4" s="26">
        <f>资产资本表!BU50</f>
        <v>260414462</v>
      </c>
      <c r="BV4" s="26">
        <f>资产资本表!BV50</f>
        <v>63103352.100000024</v>
      </c>
      <c r="BW4" s="26">
        <f>资产资本表!BW50</f>
        <v>37893000</v>
      </c>
      <c r="BX4" s="26">
        <f>资产资本表!BX50</f>
        <v>56142037.610000014</v>
      </c>
      <c r="BY4" s="26">
        <f>资产资本表!BY50</f>
        <v>89000</v>
      </c>
      <c r="BZ4" s="26">
        <f>资产资本表!BZ50</f>
        <v>0</v>
      </c>
      <c r="CA4" s="26">
        <f>资产资本表!CA50</f>
        <v>83783000</v>
      </c>
      <c r="CB4" s="26">
        <f>资产资本表!CB50</f>
        <v>67624000</v>
      </c>
      <c r="CC4" s="26">
        <f>资产资本表!CC50</f>
        <v>60873000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42562010214</v>
      </c>
      <c r="F5" s="26">
        <f>资产资本表!F33</f>
        <v>42391688647</v>
      </c>
      <c r="G5" s="26">
        <f>资产资本表!G33</f>
        <v>39685720463</v>
      </c>
      <c r="H5" s="26">
        <f>资产资本表!H33</f>
        <v>37134976308</v>
      </c>
      <c r="I5" s="26">
        <f>资产资本表!I33</f>
        <v>32763869629</v>
      </c>
      <c r="J5" s="26">
        <f>资产资本表!J33</f>
        <v>33992408441</v>
      </c>
      <c r="K5" s="26">
        <f>资产资本表!K33</f>
        <v>33865445794</v>
      </c>
      <c r="L5" s="26">
        <f>资产资本表!L33</f>
        <v>24465895064</v>
      </c>
      <c r="M5" s="26">
        <f>资产资本表!M33</f>
        <v>24695768549</v>
      </c>
      <c r="N5" s="26">
        <f>资产资本表!N33</f>
        <v>24876164042</v>
      </c>
      <c r="O5" s="26">
        <f>资产资本表!O33</f>
        <v>22815870646</v>
      </c>
      <c r="P5" s="26">
        <f>资产资本表!P33</f>
        <v>19835627686</v>
      </c>
      <c r="Q5" s="26">
        <f>资产资本表!Q33</f>
        <v>18237453551</v>
      </c>
      <c r="R5" s="26">
        <f>资产资本表!R33</f>
        <v>16344573616</v>
      </c>
      <c r="S5" s="26">
        <f>资产资本表!S33</f>
        <v>12708282443</v>
      </c>
      <c r="T5" s="26">
        <f>资产资本表!T33</f>
        <v>12026868882</v>
      </c>
      <c r="U5" s="26">
        <f>资产资本表!U33</f>
        <v>11072500592</v>
      </c>
      <c r="V5" s="26">
        <f>资产资本表!V33</f>
        <v>11123013453</v>
      </c>
      <c r="W5" s="26">
        <f>资产资本表!W33</f>
        <v>10739318146</v>
      </c>
      <c r="X5" s="26">
        <f>资产资本表!X33</f>
        <v>11425298586</v>
      </c>
      <c r="Y5" s="26">
        <f>资产资本表!Y33</f>
        <v>10588443831</v>
      </c>
      <c r="Z5" s="26">
        <f>资产资本表!Z33</f>
        <v>13143610417</v>
      </c>
      <c r="AA5" s="26">
        <f>资产资本表!AA33</f>
        <v>10826017740</v>
      </c>
      <c r="AB5" s="26">
        <f>资产资本表!AB33</f>
        <v>9969058218</v>
      </c>
      <c r="AC5" s="26">
        <f>资产资本表!AC33</f>
        <v>7514729219</v>
      </c>
      <c r="AD5" s="26">
        <f>资产资本表!AD33</f>
        <v>6013985792</v>
      </c>
      <c r="AE5" s="26">
        <f>资产资本表!AE33</f>
        <v>5304323883</v>
      </c>
      <c r="AF5" s="26">
        <f>资产资本表!AF33</f>
        <v>4983404100</v>
      </c>
      <c r="AG5" s="26">
        <f>资产资本表!AG33</f>
        <v>3668807436</v>
      </c>
      <c r="AH5" s="26">
        <f>资产资本表!AH33</f>
        <v>3432838495</v>
      </c>
      <c r="AI5" s="26">
        <f>资产资本表!AI33</f>
        <v>3347845262</v>
      </c>
      <c r="AJ5" s="26">
        <f>资产资本表!AJ33</f>
        <v>3062830692</v>
      </c>
      <c r="AK5" s="26">
        <f>资产资本表!AK33</f>
        <v>2740213165</v>
      </c>
      <c r="AL5" s="26">
        <f>资产资本表!AL33</f>
        <v>2956950858</v>
      </c>
      <c r="AM5" s="26">
        <f>资产资本表!AM33</f>
        <v>2533087588</v>
      </c>
      <c r="AN5" s="26">
        <f>资产资本表!AN33</f>
        <v>1768831314</v>
      </c>
      <c r="AO5" s="26">
        <f>资产资本表!AO33</f>
        <v>1691441328</v>
      </c>
      <c r="AP5" s="26">
        <f>资产资本表!AP33</f>
        <v>2382908522</v>
      </c>
      <c r="AQ5" s="26">
        <f>资产资本表!AQ33</f>
        <v>2938852648</v>
      </c>
      <c r="AR5" s="26">
        <f>资产资本表!AR33</f>
        <v>3000524221</v>
      </c>
      <c r="AS5" s="26">
        <f>资产资本表!AS33</f>
        <v>2958569085</v>
      </c>
      <c r="AT5" s="26">
        <f>资产资本表!AT33</f>
        <v>3014132259</v>
      </c>
      <c r="AU5" s="26">
        <f>资产资本表!AU33</f>
        <v>2862063497</v>
      </c>
      <c r="AV5" s="26">
        <f>资产资本表!AV33</f>
        <v>2584890166</v>
      </c>
      <c r="AW5" s="26">
        <f>资产资本表!AW33</f>
        <v>2672499414</v>
      </c>
      <c r="AX5" s="26">
        <f>资产资本表!AX33</f>
        <v>2670362001</v>
      </c>
      <c r="AY5" s="26">
        <f>资产资本表!AY33</f>
        <v>3637347909</v>
      </c>
      <c r="AZ5" s="26">
        <f>资产资本表!AZ33</f>
        <v>4445798406</v>
      </c>
      <c r="BA5" s="26">
        <f>资产资本表!BA33</f>
        <v>4222694449</v>
      </c>
      <c r="BB5" s="26">
        <f>资产资本表!BB33</f>
        <v>5560370617</v>
      </c>
      <c r="BC5" s="26">
        <f>资产资本表!BC33</f>
        <v>4064704841</v>
      </c>
      <c r="BD5" s="26">
        <f>资产资本表!BD33</f>
        <v>3259690944</v>
      </c>
      <c r="BE5" s="26">
        <f>资产资本表!BE33</f>
        <v>3496356768</v>
      </c>
      <c r="BF5" s="26">
        <f>资产资本表!BF33</f>
        <v>5089463209.7600002</v>
      </c>
      <c r="BG5" s="26">
        <f>资产资本表!BG33</f>
        <v>4335166009.6300001</v>
      </c>
      <c r="BH5" s="26">
        <f>资产资本表!BH33</f>
        <v>4336640979.7699995</v>
      </c>
      <c r="BI5" s="26">
        <f>资产资本表!BI33</f>
        <v>3576601934</v>
      </c>
      <c r="BJ5" s="26">
        <f>资产资本表!BJ33</f>
        <v>3477104939.1900001</v>
      </c>
      <c r="BK5" s="26">
        <f>资产资本表!BK33</f>
        <v>3106667573.3099999</v>
      </c>
      <c r="BL5" s="26">
        <f>资产资本表!BL33</f>
        <v>2732244144.4099998</v>
      </c>
      <c r="BM5" s="26">
        <f>资产资本表!BM33</f>
        <v>2085017530</v>
      </c>
      <c r="BN5" s="26">
        <f>资产资本表!BN33</f>
        <v>2034132264.2200003</v>
      </c>
      <c r="BO5" s="26">
        <f>资产资本表!BO33</f>
        <v>1769338878.8099999</v>
      </c>
      <c r="BP5" s="26">
        <f>资产资本表!BP33</f>
        <v>1690896195.23</v>
      </c>
      <c r="BQ5" s="26">
        <f>资产资本表!BQ33</f>
        <v>1014779028</v>
      </c>
      <c r="BR5" s="26">
        <f>资产资本表!BR33</f>
        <v>1159967642.3099999</v>
      </c>
      <c r="BS5" s="26">
        <f>资产资本表!BS33</f>
        <v>1139124840</v>
      </c>
      <c r="BT5" s="26">
        <f>资产资本表!BT33</f>
        <v>1044437920</v>
      </c>
      <c r="BU5" s="26">
        <f>资产资本表!BU33</f>
        <v>728488543</v>
      </c>
      <c r="BV5" s="26">
        <f>资产资本表!BV33</f>
        <v>323684460.23000002</v>
      </c>
      <c r="BW5" s="26">
        <f>资产资本表!BW33</f>
        <v>318116000</v>
      </c>
      <c r="BX5" s="26">
        <f>资产资本表!BX33</f>
        <v>260363668.42000002</v>
      </c>
      <c r="BY5" s="26">
        <f>资产资本表!BY33</f>
        <v>210258000</v>
      </c>
      <c r="BZ5" s="26">
        <f>资产资本表!BZ33</f>
        <v>0</v>
      </c>
      <c r="CA5" s="26">
        <f>资产资本表!CA33</f>
        <v>233285000</v>
      </c>
      <c r="CB5" s="26">
        <f>资产资本表!CB33</f>
        <v>191151000</v>
      </c>
      <c r="CC5" s="26">
        <f>资产资本表!CC33</f>
        <v>180766000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38781071816</v>
      </c>
      <c r="F6" s="26">
        <f>资产资本表!F49</f>
        <v>36250567748</v>
      </c>
      <c r="G6" s="26">
        <f>资产资本表!G49</f>
        <v>37055981965</v>
      </c>
      <c r="H6" s="26">
        <f>资产资本表!H49</f>
        <v>35449148620</v>
      </c>
      <c r="I6" s="26">
        <f>资产资本表!I49</f>
        <v>34646656651</v>
      </c>
      <c r="J6" s="26">
        <f>资产资本表!J49</f>
        <v>29794967318</v>
      </c>
      <c r="K6" s="26">
        <f>资产资本表!K49</f>
        <v>23773874161</v>
      </c>
      <c r="L6" s="26">
        <f>资产资本表!L49</f>
        <v>22579891531</v>
      </c>
      <c r="M6" s="26">
        <f>资产资本表!M49</f>
        <v>23544350631</v>
      </c>
      <c r="N6" s="26">
        <f>资产资本表!N49</f>
        <v>21781563912</v>
      </c>
      <c r="O6" s="26">
        <f>资产资本表!O49</f>
        <v>19069806375</v>
      </c>
      <c r="P6" s="26">
        <f>资产资本表!P49</f>
        <v>18768243717</v>
      </c>
      <c r="Q6" s="26">
        <f>资产资本表!Q49</f>
        <v>19017351812</v>
      </c>
      <c r="R6" s="26">
        <f>资产资本表!R49</f>
        <v>15490734184</v>
      </c>
      <c r="S6" s="26">
        <f>资产资本表!S49</f>
        <v>14301570324</v>
      </c>
      <c r="T6" s="26">
        <f>资产资本表!T49</f>
        <v>13890128653</v>
      </c>
      <c r="U6" s="26">
        <f>资产资本表!U49</f>
        <v>13438271190</v>
      </c>
      <c r="V6" s="26">
        <f>资产资本表!V49</f>
        <v>11844784893</v>
      </c>
      <c r="W6" s="26">
        <f>资产资本表!W49</f>
        <v>12710822257</v>
      </c>
      <c r="X6" s="26">
        <f>资产资本表!X49</f>
        <v>10212645820</v>
      </c>
      <c r="Y6" s="26">
        <f>资产资本表!Y49</f>
        <v>10036809888</v>
      </c>
      <c r="Z6" s="26">
        <f>资产资本表!Z49</f>
        <v>9873159602</v>
      </c>
      <c r="AA6" s="26">
        <f>资产资本表!AA49</f>
        <v>9059390546</v>
      </c>
      <c r="AB6" s="26">
        <f>资产资本表!AB49</f>
        <v>8133877708</v>
      </c>
      <c r="AC6" s="26">
        <f>资产资本表!AC49</f>
        <v>8634708911</v>
      </c>
      <c r="AD6" s="26">
        <f>资产资本表!AD49</f>
        <v>7396977692</v>
      </c>
      <c r="AE6" s="26">
        <f>资产资本表!AE49</f>
        <v>7346934328</v>
      </c>
      <c r="AF6" s="26">
        <f>资产资本表!AF49</f>
        <v>6385537133</v>
      </c>
      <c r="AG6" s="26">
        <f>资产资本表!AG49</f>
        <v>5773726701</v>
      </c>
      <c r="AH6" s="26">
        <f>资产资本表!AH49</f>
        <v>3607206321</v>
      </c>
      <c r="AI6" s="26">
        <f>资产资本表!AI49</f>
        <v>3159834049</v>
      </c>
      <c r="AJ6" s="26">
        <f>资产资本表!AJ49</f>
        <v>2666473662</v>
      </c>
      <c r="AK6" s="26">
        <f>资产资本表!AK49</f>
        <v>2647096893</v>
      </c>
      <c r="AL6" s="26">
        <f>资产资本表!AL49</f>
        <v>2350256325</v>
      </c>
      <c r="AM6" s="26">
        <f>资产资本表!AM49</f>
        <v>2183455441</v>
      </c>
      <c r="AN6" s="26">
        <f>资产资本表!AN49</f>
        <v>1694167070</v>
      </c>
      <c r="AO6" s="26">
        <f>资产资本表!AO49</f>
        <v>1677639852</v>
      </c>
      <c r="AP6" s="26">
        <f>资产资本表!AP49</f>
        <v>1921726694</v>
      </c>
      <c r="AQ6" s="26">
        <f>资产资本表!AQ49</f>
        <v>2113293243</v>
      </c>
      <c r="AR6" s="26">
        <f>资产资本表!AR49</f>
        <v>2202416922</v>
      </c>
      <c r="AS6" s="26">
        <f>资产资本表!AS49</f>
        <v>2150546803</v>
      </c>
      <c r="AT6" s="26">
        <f>资产资本表!AT49</f>
        <v>3590729768</v>
      </c>
      <c r="AU6" s="26">
        <f>资产资本表!AU49</f>
        <v>3391016239</v>
      </c>
      <c r="AV6" s="26">
        <f>资产资本表!AV49</f>
        <v>2151380033</v>
      </c>
      <c r="AW6" s="26">
        <f>资产资本表!AW49</f>
        <v>2197601245</v>
      </c>
      <c r="AX6" s="26">
        <f>资产资本表!AX49</f>
        <v>2461703680</v>
      </c>
      <c r="AY6" s="26">
        <f>资产资本表!AY49</f>
        <v>2675505444</v>
      </c>
      <c r="AZ6" s="26">
        <f>资产资本表!AZ49</f>
        <v>2707493636</v>
      </c>
      <c r="BA6" s="26">
        <f>资产资本表!BA49</f>
        <v>2664865058</v>
      </c>
      <c r="BB6" s="26">
        <f>资产资本表!BB49</f>
        <v>4067229851</v>
      </c>
      <c r="BC6" s="26">
        <f>资产资本表!BC49</f>
        <v>3264729080</v>
      </c>
      <c r="BD6" s="26">
        <f>资产资本表!BD49</f>
        <v>2893788923</v>
      </c>
      <c r="BE6" s="26">
        <f>资产资本表!BE49</f>
        <v>3092047333</v>
      </c>
      <c r="BF6" s="26">
        <f>资产资本表!BF49</f>
        <v>2996715322.9700003</v>
      </c>
      <c r="BG6" s="26">
        <f>资产资本表!BG49</f>
        <v>2505370785.5899997</v>
      </c>
      <c r="BH6" s="26">
        <f>资产资本表!BH49</f>
        <v>3099925335.4400001</v>
      </c>
      <c r="BI6" s="26">
        <f>资产资本表!BI49</f>
        <v>2293309892</v>
      </c>
      <c r="BJ6" s="26">
        <f>资产资本表!BJ49</f>
        <v>2426108114.9100003</v>
      </c>
      <c r="BK6" s="26">
        <f>资产资本表!BK49</f>
        <v>2065628001.4600003</v>
      </c>
      <c r="BL6" s="26">
        <f>资产资本表!BL49</f>
        <v>2188203772.6400003</v>
      </c>
      <c r="BM6" s="26">
        <f>资产资本表!BM49</f>
        <v>1387788478</v>
      </c>
      <c r="BN6" s="26">
        <f>资产资本表!BN49</f>
        <v>1374552524.3299999</v>
      </c>
      <c r="BO6" s="26">
        <f>资产资本表!BO49</f>
        <v>1030193044.15</v>
      </c>
      <c r="BP6" s="26">
        <f>资产资本表!BP49</f>
        <v>1300186776.9399998</v>
      </c>
      <c r="BQ6" s="26">
        <f>资产资本表!BQ49</f>
        <v>634981815</v>
      </c>
      <c r="BR6" s="26">
        <f>资产资本表!BR49</f>
        <v>709015678.35000002</v>
      </c>
      <c r="BS6" s="26">
        <f>资产资本表!BS49</f>
        <v>563710934</v>
      </c>
      <c r="BT6" s="26">
        <f>资产资本表!BT49</f>
        <v>673290457</v>
      </c>
      <c r="BU6" s="26">
        <f>资产资本表!BU49</f>
        <v>468074081</v>
      </c>
      <c r="BV6" s="26">
        <f>资产资本表!BV49</f>
        <v>260581108.13</v>
      </c>
      <c r="BW6" s="26">
        <f>资产资本表!BW49</f>
        <v>280223000</v>
      </c>
      <c r="BX6" s="26">
        <f>资产资本表!BX49</f>
        <v>204221630.81</v>
      </c>
      <c r="BY6" s="26">
        <f>资产资本表!BY49</f>
        <v>210169000</v>
      </c>
      <c r="BZ6" s="26">
        <f>资产资本表!BZ49</f>
        <v>0</v>
      </c>
      <c r="CA6" s="26">
        <f>资产资本表!CA49</f>
        <v>149502000</v>
      </c>
      <c r="CB6" s="26">
        <f>资产资本表!CB49</f>
        <v>123527000</v>
      </c>
      <c r="CC6" s="26">
        <f>资产资本表!CC49</f>
        <v>119893000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146679724614</v>
      </c>
      <c r="F7" s="26">
        <f>资产资本表!F68</f>
        <v>137976704853</v>
      </c>
      <c r="G7" s="26">
        <f>资产资本表!G68</f>
        <v>130448003375</v>
      </c>
      <c r="H7" s="26">
        <f>资产资本表!H68</f>
        <v>120839365118</v>
      </c>
      <c r="I7" s="26">
        <f>资产资本表!I68</f>
        <v>110473010716</v>
      </c>
      <c r="J7" s="26">
        <f>资产资本表!J68</f>
        <v>95901608120</v>
      </c>
      <c r="K7" s="26">
        <f>资产资本表!K68</f>
        <v>87932979817</v>
      </c>
      <c r="L7" s="26">
        <f>资产资本表!L68</f>
        <v>86697175233</v>
      </c>
      <c r="M7" s="26">
        <f>资产资本表!M68</f>
        <v>85458366932</v>
      </c>
      <c r="N7" s="26">
        <f>资产资本表!N68</f>
        <v>84105203454</v>
      </c>
      <c r="O7" s="26">
        <f>资产资本表!O68</f>
        <v>79875880193</v>
      </c>
      <c r="P7" s="26">
        <f>资产资本表!P68</f>
        <v>77320282634</v>
      </c>
      <c r="Q7" s="26">
        <f>资产资本表!Q68</f>
        <v>74992429519</v>
      </c>
      <c r="R7" s="26">
        <f>资产资本表!R68</f>
        <v>69118948207</v>
      </c>
      <c r="S7" s="26">
        <f>资产资本表!S68</f>
        <v>67544485708</v>
      </c>
      <c r="T7" s="26">
        <f>资产资本表!T68</f>
        <v>60916023168</v>
      </c>
      <c r="U7" s="26">
        <f>资产资本表!U68</f>
        <v>57981532910</v>
      </c>
      <c r="V7" s="26">
        <f>资产资本表!V68</f>
        <v>53258803705</v>
      </c>
      <c r="W7" s="26">
        <f>资产资本表!W68</f>
        <v>46225691683</v>
      </c>
      <c r="X7" s="26">
        <f>资产资本表!X68</f>
        <v>38195374888</v>
      </c>
      <c r="Y7" s="26">
        <f>资产资本表!Y68</f>
        <v>38487710185</v>
      </c>
      <c r="Z7" s="26">
        <f>资产资本表!Z68</f>
        <v>38125004205</v>
      </c>
      <c r="AA7" s="26">
        <f>资产资本表!AA68</f>
        <v>38104895180</v>
      </c>
      <c r="AB7" s="26">
        <f>资产资本表!AB68</f>
        <v>37440366054</v>
      </c>
      <c r="AC7" s="26">
        <f>资产资本表!AC68</f>
        <v>38034829313</v>
      </c>
      <c r="AD7" s="26">
        <f>资产资本表!AD68</f>
        <v>37346195141</v>
      </c>
      <c r="AE7" s="26">
        <f>资产资本表!AE68</f>
        <v>34166914885</v>
      </c>
      <c r="AF7" s="26">
        <f>资产资本表!AF68</f>
        <v>29193714708</v>
      </c>
      <c r="AG7" s="26">
        <f>资产资本表!AG68</f>
        <v>24497925689</v>
      </c>
      <c r="AH7" s="26">
        <f>资产资本表!AH68</f>
        <v>20403915577</v>
      </c>
      <c r="AI7" s="26">
        <f>资产资本表!AI68</f>
        <v>16158360765</v>
      </c>
      <c r="AJ7" s="26">
        <f>资产资本表!AJ68</f>
        <v>11184114018</v>
      </c>
      <c r="AK7" s="26">
        <f>资产资本表!AK68</f>
        <v>10288393663</v>
      </c>
      <c r="AL7" s="26">
        <f>资产资本表!AL68</f>
        <v>9122791290</v>
      </c>
      <c r="AM7" s="26">
        <f>资产资本表!AM68</f>
        <v>8955106133</v>
      </c>
      <c r="AN7" s="26">
        <f>资产资本表!AN68</f>
        <v>8087417124</v>
      </c>
      <c r="AO7" s="26">
        <f>资产资本表!AO68</f>
        <v>7770331746</v>
      </c>
      <c r="AP7" s="26">
        <f>资产资本表!AP68</f>
        <v>7866646211</v>
      </c>
      <c r="AQ7" s="26">
        <f>资产资本表!AQ68</f>
        <v>7959518571</v>
      </c>
      <c r="AR7" s="26">
        <f>资产资本表!AR68</f>
        <v>7681871276</v>
      </c>
      <c r="AS7" s="26">
        <f>资产资本表!AS68</f>
        <v>7800289601</v>
      </c>
      <c r="AT7" s="26">
        <f>资产资本表!AT68</f>
        <v>8006731260</v>
      </c>
      <c r="AU7" s="26">
        <f>资产资本表!AU68</f>
        <v>8245769525</v>
      </c>
      <c r="AV7" s="26">
        <f>资产资本表!AV68</f>
        <v>8467882033</v>
      </c>
      <c r="AW7" s="26">
        <f>资产资本表!AW68</f>
        <v>8907946998</v>
      </c>
      <c r="AX7" s="26">
        <f>资产资本表!AX68</f>
        <v>9151027298</v>
      </c>
      <c r="AY7" s="26">
        <f>资产资本表!AY68</f>
        <v>11474742128</v>
      </c>
      <c r="AZ7" s="26">
        <f>资产资本表!AZ68</f>
        <v>11770283302</v>
      </c>
      <c r="BA7" s="26">
        <f>资产资本表!BA68</f>
        <v>12001367056</v>
      </c>
      <c r="BB7" s="26">
        <f>资产资本表!BB68</f>
        <v>12372132871</v>
      </c>
      <c r="BC7" s="26">
        <f>资产资本表!BC68</f>
        <v>12642632548</v>
      </c>
      <c r="BD7" s="26">
        <f>资产资本表!BD68</f>
        <v>11126441261</v>
      </c>
      <c r="BE7" s="26">
        <f>资产资本表!BE68</f>
        <v>10356100962</v>
      </c>
      <c r="BF7" s="26">
        <f>资产资本表!BF68</f>
        <v>6201424898.4899998</v>
      </c>
      <c r="BG7" s="26">
        <f>资产资本表!BG68</f>
        <v>4628504563.2200003</v>
      </c>
      <c r="BH7" s="26">
        <f>资产资本表!BH68</f>
        <v>4579161833.5300007</v>
      </c>
      <c r="BI7" s="26">
        <f>资产资本表!BI68</f>
        <v>4416176342</v>
      </c>
      <c r="BJ7" s="26">
        <f>资产资本表!BJ68</f>
        <v>4515727065.2600002</v>
      </c>
      <c r="BK7" s="26">
        <f>资产资本表!BK68</f>
        <v>4513840245.3599997</v>
      </c>
      <c r="BL7" s="26">
        <f>资产资本表!BL68</f>
        <v>4396993052.4499998</v>
      </c>
      <c r="BM7" s="26">
        <f>资产资本表!BM68</f>
        <v>1503327495</v>
      </c>
      <c r="BN7" s="26">
        <f>资产资本表!BN68</f>
        <v>1359360295.8500001</v>
      </c>
      <c r="BO7" s="26">
        <f>资产资本表!BO68</f>
        <v>1294931808.1299999</v>
      </c>
      <c r="BP7" s="26">
        <f>资产资本表!BP68</f>
        <v>1267707219.52</v>
      </c>
      <c r="BQ7" s="26">
        <f>资产资本表!BQ68</f>
        <v>956966922</v>
      </c>
      <c r="BR7" s="26">
        <f>资产资本表!BR68</f>
        <v>729791801.98999989</v>
      </c>
      <c r="BS7" s="26">
        <f>资产资本表!BS68</f>
        <v>625148218</v>
      </c>
      <c r="BT7" s="26">
        <f>资产资本表!BT68</f>
        <v>572513866</v>
      </c>
      <c r="BU7" s="26">
        <f>资产资本表!BU68</f>
        <v>478710395</v>
      </c>
      <c r="BV7" s="26">
        <f>资产资本表!BV68</f>
        <v>464193311.31</v>
      </c>
      <c r="BW7" s="26">
        <f>资产资本表!BW68</f>
        <v>411909000</v>
      </c>
      <c r="BX7" s="26">
        <f>资产资本表!BX68</f>
        <v>175516846.34999999</v>
      </c>
      <c r="BY7" s="26">
        <f>资产资本表!BY68</f>
        <v>174244000</v>
      </c>
      <c r="BZ7" s="26">
        <f>资产资本表!BZ68</f>
        <v>175413000</v>
      </c>
      <c r="CA7" s="26">
        <f>资产资本表!CA68</f>
        <v>168430000</v>
      </c>
      <c r="CB7" s="26">
        <f>资产资本表!CB68</f>
        <v>178694000</v>
      </c>
      <c r="CC7" s="26">
        <f>资产资本表!CC68</f>
        <v>182330000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634</v>
      </c>
      <c r="E8" s="26">
        <f>资产资本表!E69</f>
        <v>150460663012</v>
      </c>
      <c r="F8" s="26">
        <f>资产资本表!F69</f>
        <v>144117825752</v>
      </c>
      <c r="G8" s="26">
        <f>资产资本表!G69</f>
        <v>133077741873</v>
      </c>
      <c r="H8" s="26">
        <f>资产资本表!H69</f>
        <v>122525192806</v>
      </c>
      <c r="I8" s="26">
        <f>资产资本表!I69</f>
        <v>108590223694</v>
      </c>
      <c r="J8" s="26">
        <f>资产资本表!J69</f>
        <v>100099049243</v>
      </c>
      <c r="K8" s="26">
        <f>资产资本表!K69</f>
        <v>98024551450</v>
      </c>
      <c r="L8" s="26">
        <f>资产资本表!L69</f>
        <v>88583178766</v>
      </c>
      <c r="M8" s="26">
        <f>资产资本表!M69</f>
        <v>86609784850</v>
      </c>
      <c r="N8" s="26">
        <f>资产资本表!N69</f>
        <v>87199803584</v>
      </c>
      <c r="O8" s="26">
        <f>资产资本表!O69</f>
        <v>83621944464</v>
      </c>
      <c r="P8" s="26">
        <f>资产资本表!P69</f>
        <v>78387666603</v>
      </c>
      <c r="Q8" s="26">
        <f>资产资本表!Q69</f>
        <v>74212531258</v>
      </c>
      <c r="R8" s="26">
        <f>资产资本表!R69</f>
        <v>69972787639</v>
      </c>
      <c r="S8" s="26">
        <f>资产资本表!S69</f>
        <v>65951197827</v>
      </c>
      <c r="T8" s="26">
        <f>资产资本表!T69</f>
        <v>59052763397</v>
      </c>
      <c r="U8" s="26">
        <f>资产资本表!U69</f>
        <v>55615762312</v>
      </c>
      <c r="V8" s="26">
        <f>资产资本表!V69</f>
        <v>52537032265</v>
      </c>
      <c r="W8" s="26">
        <f>资产资本表!W69</f>
        <v>44254187572</v>
      </c>
      <c r="X8" s="26">
        <f>资产资本表!X69</f>
        <v>39408027654</v>
      </c>
      <c r="Y8" s="26">
        <f>资产资本表!Y69</f>
        <v>39039344128</v>
      </c>
      <c r="Z8" s="26">
        <f>资产资本表!Z69</f>
        <v>41395455020</v>
      </c>
      <c r="AA8" s="26">
        <f>资产资本表!AA69</f>
        <v>39871522374</v>
      </c>
      <c r="AB8" s="26">
        <f>资产资本表!AB69</f>
        <v>39275546564</v>
      </c>
      <c r="AC8" s="26">
        <f>资产资本表!AC69</f>
        <v>36914849621</v>
      </c>
      <c r="AD8" s="26">
        <f>资产资本表!AD69</f>
        <v>35963203241</v>
      </c>
      <c r="AE8" s="26">
        <f>资产资本表!AE69</f>
        <v>32124304440</v>
      </c>
      <c r="AF8" s="26">
        <f>资产资本表!AF69</f>
        <v>27791581675</v>
      </c>
      <c r="AG8" s="26">
        <f>资产资本表!AG69</f>
        <v>22393006424</v>
      </c>
      <c r="AH8" s="26">
        <f>资产资本表!AH69</f>
        <v>20229547751</v>
      </c>
      <c r="AI8" s="26">
        <f>资产资本表!AI69</f>
        <v>16346371978</v>
      </c>
      <c r="AJ8" s="26">
        <f>资产资本表!AJ69</f>
        <v>11580471048</v>
      </c>
      <c r="AK8" s="26">
        <f>资产资本表!AK69</f>
        <v>10381509935</v>
      </c>
      <c r="AL8" s="26">
        <f>资产资本表!AL69</f>
        <v>9729485823</v>
      </c>
      <c r="AM8" s="26">
        <f>资产资本表!AM69</f>
        <v>9304738280</v>
      </c>
      <c r="AN8" s="26">
        <f>资产资本表!AN69</f>
        <v>8162081368</v>
      </c>
      <c r="AO8" s="26">
        <f>资产资本表!AO69</f>
        <v>7784133222</v>
      </c>
      <c r="AP8" s="26">
        <f>资产资本表!AP69</f>
        <v>8327828039</v>
      </c>
      <c r="AQ8" s="26">
        <f>资产资本表!AQ69</f>
        <v>8785077976</v>
      </c>
      <c r="AR8" s="26">
        <f>资产资本表!AR69</f>
        <v>8479978575</v>
      </c>
      <c r="AS8" s="26">
        <f>资产资本表!AS69</f>
        <v>8608311883</v>
      </c>
      <c r="AT8" s="26">
        <f>资产资本表!AT69</f>
        <v>7430133751</v>
      </c>
      <c r="AU8" s="26">
        <f>资产资本表!AU69</f>
        <v>7716816783</v>
      </c>
      <c r="AV8" s="26">
        <f>资产资本表!AV69</f>
        <v>8901392166</v>
      </c>
      <c r="AW8" s="26">
        <f>资产资本表!AW69</f>
        <v>9382845167</v>
      </c>
      <c r="AX8" s="26">
        <f>资产资本表!AX69</f>
        <v>9359685619</v>
      </c>
      <c r="AY8" s="26">
        <f>资产资本表!AY69</f>
        <v>12436584593</v>
      </c>
      <c r="AZ8" s="26">
        <f>资产资本表!AZ69</f>
        <v>13508588072</v>
      </c>
      <c r="BA8" s="26">
        <f>资产资本表!BA69</f>
        <v>13559196447</v>
      </c>
      <c r="BB8" s="26">
        <f>资产资本表!BB69</f>
        <v>13865273637</v>
      </c>
      <c r="BC8" s="26">
        <f>资产资本表!BC69</f>
        <v>13442608309</v>
      </c>
      <c r="BD8" s="26">
        <f>资产资本表!BD69</f>
        <v>11492343282</v>
      </c>
      <c r="BE8" s="26">
        <f>资产资本表!BE69</f>
        <v>10760410397</v>
      </c>
      <c r="BF8" s="26">
        <f>资产资本表!BF69</f>
        <v>8294172785.2799997</v>
      </c>
      <c r="BG8" s="26">
        <f>资产资本表!BG69</f>
        <v>6458299787.2600002</v>
      </c>
      <c r="BH8" s="26">
        <f>资产资本表!BH69</f>
        <v>5815877477.8600006</v>
      </c>
      <c r="BI8" s="26">
        <f>资产资本表!BI69</f>
        <v>5699468384</v>
      </c>
      <c r="BJ8" s="26">
        <f>资产资本表!BJ69</f>
        <v>5566723889.54</v>
      </c>
      <c r="BK8" s="26">
        <f>资产资本表!BK69</f>
        <v>5554879817.2099991</v>
      </c>
      <c r="BL8" s="26">
        <f>资产资本表!BL69</f>
        <v>4941033424.2199993</v>
      </c>
      <c r="BM8" s="26">
        <f>资产资本表!BM69</f>
        <v>2200556547</v>
      </c>
      <c r="BN8" s="26">
        <f>资产资本表!BN69</f>
        <v>2018940035.7400005</v>
      </c>
      <c r="BO8" s="26">
        <f>资产资本表!BO69</f>
        <v>2034077642.79</v>
      </c>
      <c r="BP8" s="26">
        <f>资产资本表!BP69</f>
        <v>1658416637.8100002</v>
      </c>
      <c r="BQ8" s="26">
        <f>资产资本表!BQ69</f>
        <v>1336764135</v>
      </c>
      <c r="BR8" s="26">
        <f>资产资本表!BR69</f>
        <v>1180743765.9499998</v>
      </c>
      <c r="BS8" s="26">
        <f>资产资本表!BS69</f>
        <v>1200562124</v>
      </c>
      <c r="BT8" s="26">
        <f>资产资本表!BT69</f>
        <v>943661329</v>
      </c>
      <c r="BU8" s="26">
        <f>资产资本表!BU69</f>
        <v>739124857</v>
      </c>
      <c r="BV8" s="26">
        <f>资产资本表!BV69</f>
        <v>527296663.41000003</v>
      </c>
      <c r="BW8" s="26">
        <f>资产资本表!BW69</f>
        <v>449802000</v>
      </c>
      <c r="BX8" s="26">
        <f>资产资本表!BX69</f>
        <v>231658883.96000001</v>
      </c>
      <c r="BY8" s="26">
        <f>资产资本表!BY69</f>
        <v>174333000</v>
      </c>
      <c r="BZ8" s="26">
        <f>资产资本表!BZ69</f>
        <v>175413000</v>
      </c>
      <c r="CA8" s="26">
        <f>资产资本表!CA69</f>
        <v>252213000</v>
      </c>
      <c r="CB8" s="26">
        <f>资产资本表!CB69</f>
        <v>246318000</v>
      </c>
      <c r="CC8" s="26">
        <f>资产资本表!CC69</f>
        <v>243203000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636</v>
      </c>
      <c r="E9" s="48">
        <f>资产资本表!E70</f>
        <v>216764367123</v>
      </c>
      <c r="F9" s="48">
        <f>资产资本表!F70</f>
        <v>202213156586</v>
      </c>
      <c r="G9" s="48">
        <f>资产资本表!G70</f>
        <v>187947626136</v>
      </c>
      <c r="H9" s="48">
        <f>资产资本表!H70</f>
        <v>177836368844</v>
      </c>
      <c r="I9" s="48">
        <f>资产资本表!I70</f>
        <v>170039729337</v>
      </c>
      <c r="J9" s="48">
        <f>资产资本表!J70</f>
        <v>144920400960</v>
      </c>
      <c r="K9" s="48">
        <f>资产资本表!K70</f>
        <v>146051555915</v>
      </c>
      <c r="L9" s="48">
        <f>资产资本表!L70</f>
        <v>139791571743</v>
      </c>
      <c r="M9" s="48">
        <f>资产资本表!M70</f>
        <v>128612663596</v>
      </c>
      <c r="N9" s="48">
        <f>资产资本表!N70</f>
        <v>124539054703</v>
      </c>
      <c r="O9" s="48">
        <f>资产资本表!O70</f>
        <v>121419983616</v>
      </c>
      <c r="P9" s="48">
        <f>资产资本表!P70</f>
        <v>117525031231</v>
      </c>
      <c r="Q9" s="48">
        <f>资产资本表!Q70</f>
        <v>116874981695</v>
      </c>
      <c r="R9" s="48">
        <f>资产资本表!R70</f>
        <v>113499242270</v>
      </c>
      <c r="S9" s="48">
        <f>资产资本表!S70</f>
        <v>113247788855</v>
      </c>
      <c r="T9" s="48">
        <f>资产资本表!T70</f>
        <v>112149471706</v>
      </c>
      <c r="U9" s="48">
        <f>资产资本表!U70</f>
        <v>78718131869</v>
      </c>
      <c r="V9" s="48">
        <f>资产资本表!V70</f>
        <v>78386032025</v>
      </c>
      <c r="W9" s="48">
        <f>资产资本表!W70</f>
        <v>75278272596</v>
      </c>
      <c r="X9" s="48">
        <f>资产资本表!X70</f>
        <v>58363970027</v>
      </c>
      <c r="Y9" s="48">
        <f>资产资本表!Y70</f>
        <v>56679617756</v>
      </c>
      <c r="Z9" s="48">
        <f>资产资本表!Z70</f>
        <v>57824113859</v>
      </c>
      <c r="AA9" s="48">
        <f>资产资本表!AA70</f>
        <v>57845898308</v>
      </c>
      <c r="AB9" s="48">
        <f>资产资本表!AB70</f>
        <v>57653343982</v>
      </c>
      <c r="AC9" s="48">
        <f>资产资本表!AC70</f>
        <v>59720145381</v>
      </c>
      <c r="AD9" s="48">
        <f>资产资本表!AD70</f>
        <v>57272210859</v>
      </c>
      <c r="AE9" s="48">
        <f>资产资本表!AE70</f>
        <v>56116570783</v>
      </c>
      <c r="AF9" s="48">
        <f>资产资本表!AF70</f>
        <v>50306495610</v>
      </c>
      <c r="AG9" s="48">
        <f>资产资本表!AG70</f>
        <v>48161321855</v>
      </c>
      <c r="AH9" s="48">
        <f>资产资本表!AH70</f>
        <v>38174207151</v>
      </c>
      <c r="AI9" s="48">
        <f>资产资本表!AI70</f>
        <v>35192200453</v>
      </c>
      <c r="AJ9" s="48">
        <f>资产资本表!AJ70</f>
        <v>29354669054</v>
      </c>
      <c r="AK9" s="48">
        <f>资产资本表!AK70</f>
        <v>27706750515</v>
      </c>
      <c r="AL9" s="48">
        <f>资产资本表!AL70</f>
        <v>23685200020</v>
      </c>
      <c r="AM9" s="48">
        <f>资产资本表!AM70</f>
        <v>23855486363</v>
      </c>
      <c r="AN9" s="48">
        <f>资产资本表!AN70</f>
        <v>12812316105</v>
      </c>
      <c r="AO9" s="48">
        <f>资产资本表!AO70</f>
        <v>12263480470</v>
      </c>
      <c r="AP9" s="48">
        <f>资产资本表!AP70</f>
        <v>12040153499</v>
      </c>
      <c r="AQ9" s="48">
        <f>资产资本表!AQ70</f>
        <v>11272726060</v>
      </c>
      <c r="AR9" s="48">
        <f>资产资本表!AR70</f>
        <v>10965108590</v>
      </c>
      <c r="AS9" s="48">
        <f>资产资本表!AS70</f>
        <v>11211394853</v>
      </c>
      <c r="AT9" s="48">
        <f>资产资本表!AT70</f>
        <v>11656106284</v>
      </c>
      <c r="AU9" s="48">
        <f>资产资本表!AU70</f>
        <v>11712514559</v>
      </c>
      <c r="AV9" s="48">
        <f>资产资本表!AV70</f>
        <v>12945179056</v>
      </c>
      <c r="AW9" s="48">
        <f>资产资本表!AW70</f>
        <v>14009841220</v>
      </c>
      <c r="AX9" s="48">
        <f>资产资本表!AX70</f>
        <v>14390186066</v>
      </c>
      <c r="AY9" s="48">
        <f>资产资本表!AY70</f>
        <v>16527938842</v>
      </c>
      <c r="AZ9" s="48">
        <f>资产资本表!AZ70</f>
        <v>18027943749</v>
      </c>
      <c r="BA9" s="48">
        <f>资产资本表!BA70</f>
        <v>18245483579</v>
      </c>
      <c r="BB9" s="48">
        <f>资产资本表!BB70</f>
        <v>19841768142</v>
      </c>
      <c r="BC9" s="48">
        <f>资产资本表!BC70</f>
        <v>20503781532</v>
      </c>
      <c r="BD9" s="48">
        <f>资产资本表!BD70</f>
        <v>15456967302</v>
      </c>
      <c r="BE9" s="48">
        <f>资产资本表!BE70</f>
        <v>14819301448</v>
      </c>
      <c r="BF9" s="48">
        <f>资产资本表!BF70</f>
        <v>14097266260.259998</v>
      </c>
      <c r="BG9" s="48">
        <f>资产资本表!BG70</f>
        <v>11317204791.120001</v>
      </c>
      <c r="BH9" s="48">
        <f>资产资本表!BH70</f>
        <v>11359993965.030001</v>
      </c>
      <c r="BI9" s="48">
        <f>资产资本表!BI70</f>
        <v>9944539227</v>
      </c>
      <c r="BJ9" s="48">
        <f>资产资本表!BJ70</f>
        <v>8242448616.3500004</v>
      </c>
      <c r="BK9" s="48">
        <f>资产资本表!BK70</f>
        <v>8229814380.2099991</v>
      </c>
      <c r="BL9" s="48">
        <f>资产资本表!BL70</f>
        <v>7973451025.0699997</v>
      </c>
      <c r="BM9" s="48">
        <f>资产资本表!BM70</f>
        <v>5380137695</v>
      </c>
      <c r="BN9" s="48">
        <f>资产资本表!BN70</f>
        <v>4136206097.1200008</v>
      </c>
      <c r="BO9" s="48">
        <f>资产资本表!BO70</f>
        <v>3897499686.8800001</v>
      </c>
      <c r="BP9" s="48">
        <f>资产资本表!BP70</f>
        <v>3661917503.1599998</v>
      </c>
      <c r="BQ9" s="48">
        <f>资产资本表!BQ70</f>
        <v>3394302625</v>
      </c>
      <c r="BR9" s="48">
        <f>资产资本表!BR70</f>
        <v>3292117734.6999998</v>
      </c>
      <c r="BS9" s="48">
        <f>资产资本表!BS70</f>
        <v>3370312680</v>
      </c>
      <c r="BT9" s="48">
        <f>资产资本表!BT70</f>
        <v>2165107736</v>
      </c>
      <c r="BU9" s="48">
        <f>资产资本表!BU70</f>
        <v>1799468331</v>
      </c>
      <c r="BV9" s="48">
        <f>资产资本表!BV70</f>
        <v>1577064443.01</v>
      </c>
      <c r="BW9" s="48">
        <f>资产资本表!BW70</f>
        <v>1448451000</v>
      </c>
      <c r="BX9" s="48">
        <f>资产资本表!BX70</f>
        <v>1239365906.0899999</v>
      </c>
      <c r="BY9" s="48">
        <f>资产资本表!BY70</f>
        <v>1236480000</v>
      </c>
      <c r="BZ9" s="48">
        <f>资产资本表!BZ70</f>
        <v>699434000</v>
      </c>
      <c r="CA9" s="48">
        <f>资产资本表!CA70</f>
        <v>798959000</v>
      </c>
      <c r="CB9" s="48">
        <f>资产资本表!CB70</f>
        <v>696227000</v>
      </c>
      <c r="CC9" s="48">
        <f>资产资本表!CC70</f>
        <v>591017000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13207400127</v>
      </c>
      <c r="F10" s="26">
        <f>资产资本表!F72</f>
        <v>13328827845</v>
      </c>
      <c r="G10" s="26">
        <f>资产资本表!G72</f>
        <v>16389567655</v>
      </c>
      <c r="H10" s="26">
        <f>资产资本表!H72</f>
        <v>9116422350</v>
      </c>
      <c r="I10" s="26">
        <f>资产资本表!I72</f>
        <v>9277561190</v>
      </c>
      <c r="J10" s="26">
        <f>资产资本表!J72</f>
        <v>5497523962</v>
      </c>
      <c r="K10" s="26">
        <f>资产资本表!K72</f>
        <v>4695705197</v>
      </c>
      <c r="L10" s="26">
        <f>资产资本表!L72</f>
        <v>3208967705</v>
      </c>
      <c r="M10" s="26">
        <f>资产资本表!M72</f>
        <v>7723683792</v>
      </c>
      <c r="N10" s="26">
        <f>资产资本表!N72</f>
        <v>2863395470</v>
      </c>
      <c r="O10" s="26">
        <f>资产资本表!O72</f>
        <v>2887655695</v>
      </c>
      <c r="P10" s="26">
        <f>资产资本表!P72</f>
        <v>2364745104</v>
      </c>
      <c r="Q10" s="26">
        <f>资产资本表!Q72</f>
        <v>2393396564</v>
      </c>
      <c r="R10" s="26">
        <f>资产资本表!R72</f>
        <v>2568274339</v>
      </c>
      <c r="S10" s="26">
        <f>资产资本表!S72</f>
        <v>3620067869</v>
      </c>
      <c r="T10" s="26">
        <f>资产资本表!T72</f>
        <v>2521601000</v>
      </c>
      <c r="U10" s="26">
        <f>资产资本表!U72</f>
        <v>12745403014</v>
      </c>
      <c r="V10" s="26">
        <f>资产资本表!V72</f>
        <v>13682290812</v>
      </c>
      <c r="W10" s="26">
        <f>资产资本表!W72</f>
        <v>10903753972</v>
      </c>
      <c r="X10" s="26">
        <f>资产资本表!X72</f>
        <v>2470783348</v>
      </c>
      <c r="Y10" s="26">
        <f>资产资本表!Y72</f>
        <v>2369766584</v>
      </c>
      <c r="Z10" s="26">
        <f>资产资本表!Z72</f>
        <v>3558997468</v>
      </c>
      <c r="AA10" s="26">
        <f>资产资本表!AA72</f>
        <v>4179980854</v>
      </c>
      <c r="AB10" s="26">
        <f>资产资本表!AB72</f>
        <v>6300199919</v>
      </c>
      <c r="AC10" s="26">
        <f>资产资本表!AC72</f>
        <v>8314934341</v>
      </c>
      <c r="AD10" s="26">
        <f>资产资本表!AD72</f>
        <v>10203035250</v>
      </c>
      <c r="AE10" s="26">
        <f>资产资本表!AE72</f>
        <v>8785153206</v>
      </c>
      <c r="AF10" s="26">
        <f>资产资本表!AF72</f>
        <v>6257064737</v>
      </c>
      <c r="AG10" s="26">
        <f>资产资本表!AG72</f>
        <v>5280343336</v>
      </c>
      <c r="AH10" s="26">
        <f>资产资本表!AH72</f>
        <v>4457754992</v>
      </c>
      <c r="AI10" s="26">
        <f>资产资本表!AI72</f>
        <v>3372672599</v>
      </c>
      <c r="AJ10" s="26">
        <f>资产资本表!AJ72</f>
        <v>1365612282</v>
      </c>
      <c r="AK10" s="26">
        <f>资产资本表!AK72</f>
        <v>1107596963</v>
      </c>
      <c r="AL10" s="26">
        <f>资产资本表!AL72</f>
        <v>1089473313</v>
      </c>
      <c r="AM10" s="26">
        <f>资产资本表!AM72</f>
        <v>1219226551</v>
      </c>
      <c r="AN10" s="26">
        <f>资产资本表!AN72</f>
        <v>3168954961</v>
      </c>
      <c r="AO10" s="26">
        <f>资产资本表!AO72</f>
        <v>2529997350</v>
      </c>
      <c r="AP10" s="26">
        <f>资产资本表!AP72</f>
        <v>1933654400</v>
      </c>
      <c r="AQ10" s="26">
        <f>资产资本表!AQ72</f>
        <v>2724973547</v>
      </c>
      <c r="AR10" s="26">
        <f>资产资本表!AR72</f>
        <v>1292088569</v>
      </c>
      <c r="AS10" s="26">
        <f>资产资本表!AS72</f>
        <v>1141919296</v>
      </c>
      <c r="AT10" s="26">
        <f>资产资本表!AT72</f>
        <v>1723884508</v>
      </c>
      <c r="AU10" s="26">
        <f>资产资本表!AU72</f>
        <v>1789467072</v>
      </c>
      <c r="AV10" s="26">
        <f>资产资本表!AV72</f>
        <v>3549846998</v>
      </c>
      <c r="AW10" s="26">
        <f>资产资本表!AW72</f>
        <v>4557203894</v>
      </c>
      <c r="AX10" s="26">
        <f>资产资本表!AX72</f>
        <v>3711411081</v>
      </c>
      <c r="AY10" s="26">
        <f>资产资本表!AY72</f>
        <v>5376890313</v>
      </c>
      <c r="AZ10" s="26">
        <f>资产资本表!AZ72</f>
        <v>4098486540</v>
      </c>
      <c r="BA10" s="26">
        <f>资产资本表!BA72</f>
        <v>3762956172</v>
      </c>
      <c r="BB10" s="26">
        <f>资产资本表!BB72</f>
        <v>3988677867</v>
      </c>
      <c r="BC10" s="26">
        <f>资产资本表!BC72</f>
        <v>4572812909</v>
      </c>
      <c r="BD10" s="26">
        <f>资产资本表!BD72</f>
        <v>6140622882</v>
      </c>
      <c r="BE10" s="26">
        <f>资产资本表!BE72</f>
        <v>5506258673</v>
      </c>
      <c r="BF10" s="26">
        <f>资产资本表!BF72</f>
        <v>5095153404.7800007</v>
      </c>
      <c r="BG10" s="26">
        <f>资产资本表!BG72</f>
        <v>3135202651.0599999</v>
      </c>
      <c r="BH10" s="26">
        <f>资产资本表!BH72</f>
        <v>3298845405.0900002</v>
      </c>
      <c r="BI10" s="26">
        <f>资产资本表!BI72</f>
        <v>4249482719</v>
      </c>
      <c r="BJ10" s="26">
        <f>资产资本表!BJ72</f>
        <v>2939860161.6700001</v>
      </c>
      <c r="BK10" s="26">
        <f>资产资本表!BK72</f>
        <v>3004713964.4500003</v>
      </c>
      <c r="BL10" s="26">
        <f>资产资本表!BL72</f>
        <v>2997775743.3400002</v>
      </c>
      <c r="BM10" s="26">
        <f>资产资本表!BM72</f>
        <v>2277298941</v>
      </c>
      <c r="BN10" s="26">
        <f>资产资本表!BN72</f>
        <v>1016986027.6900001</v>
      </c>
      <c r="BO10" s="26">
        <f>资产资本表!BO72</f>
        <v>873059210.78999996</v>
      </c>
      <c r="BP10" s="26">
        <f>资产资本表!BP72</f>
        <v>745419299.59000003</v>
      </c>
      <c r="BQ10" s="26">
        <f>资产资本表!BQ72</f>
        <v>705661490</v>
      </c>
      <c r="BR10" s="26">
        <f>资产资本表!BR72</f>
        <v>587443430</v>
      </c>
      <c r="BS10" s="26">
        <f>资产资本表!BS72</f>
        <v>793741715</v>
      </c>
      <c r="BT10" s="26">
        <f>资产资本表!BT72</f>
        <v>548565600</v>
      </c>
      <c r="BU10" s="26">
        <f>资产资本表!BU72</f>
        <v>357666575</v>
      </c>
      <c r="BV10" s="26">
        <f>资产资本表!BV72</f>
        <v>317508950</v>
      </c>
      <c r="BW10" s="26">
        <f>资产资本表!BW72</f>
        <v>226051000</v>
      </c>
      <c r="BX10" s="26">
        <f>资产资本表!BX72</f>
        <v>132811608.23</v>
      </c>
      <c r="BY10" s="26">
        <f>资产资本表!BY72</f>
        <v>130982000</v>
      </c>
      <c r="BZ10" s="26">
        <f>资产资本表!BZ72</f>
        <v>0</v>
      </c>
      <c r="CA10" s="26">
        <f>资产资本表!CA72</f>
        <v>32655000</v>
      </c>
      <c r="CB10" s="26">
        <f>资产资本表!CB72</f>
        <v>38713000</v>
      </c>
      <c r="CC10" s="26">
        <f>资产资本表!CC72</f>
        <v>24862000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99246595983</v>
      </c>
      <c r="F11" s="26">
        <f>资产资本表!F81</f>
        <v>84074465488</v>
      </c>
      <c r="G11" s="26">
        <f>资产资本表!G81</f>
        <v>73008198095</v>
      </c>
      <c r="H11" s="26">
        <f>资产资本表!H81</f>
        <v>72194657354</v>
      </c>
      <c r="I11" s="26">
        <f>资产资本表!I81</f>
        <v>68720004807</v>
      </c>
      <c r="J11" s="26">
        <f>资产资本表!J81</f>
        <v>57390990835</v>
      </c>
      <c r="K11" s="26">
        <f>资产资本表!K81</f>
        <v>59412897255</v>
      </c>
      <c r="L11" s="26">
        <f>资产资本表!L81</f>
        <v>55153271627</v>
      </c>
      <c r="M11" s="26">
        <f>资产资本表!M81</f>
        <v>42512041805</v>
      </c>
      <c r="N11" s="26">
        <f>资产资本表!N81</f>
        <v>42701196699</v>
      </c>
      <c r="O11" s="26">
        <f>资产资本表!O81</f>
        <v>39603067801</v>
      </c>
      <c r="P11" s="26">
        <f>资产资本表!P81</f>
        <v>37224172072</v>
      </c>
      <c r="Q11" s="26">
        <f>资产资本表!Q81</f>
        <v>37497670732</v>
      </c>
      <c r="R11" s="26">
        <f>资产资本表!R81</f>
        <v>34333029751</v>
      </c>
      <c r="S11" s="26">
        <f>资产资本表!S81</f>
        <v>33454202590</v>
      </c>
      <c r="T11" s="26">
        <f>资产资本表!T81</f>
        <v>34438809638</v>
      </c>
      <c r="U11" s="26">
        <f>资产资本表!U81</f>
        <v>27793957271</v>
      </c>
      <c r="V11" s="26">
        <f>资产资本表!V81</f>
        <v>23627800355</v>
      </c>
      <c r="W11" s="26">
        <f>资产资本表!W81</f>
        <v>23931018847</v>
      </c>
      <c r="X11" s="26">
        <f>资产资本表!X81</f>
        <v>20200760697</v>
      </c>
      <c r="Y11" s="26">
        <f>资产资本表!Y81</f>
        <v>19020448745</v>
      </c>
      <c r="Z11" s="26">
        <f>资产资本表!Z81</f>
        <v>20097828786</v>
      </c>
      <c r="AA11" s="26">
        <f>资产资本表!AA81</f>
        <v>19647133891</v>
      </c>
      <c r="AB11" s="26">
        <f>资产资本表!AB81</f>
        <v>17000387187</v>
      </c>
      <c r="AC11" s="26">
        <f>资产资本表!AC81</f>
        <v>16323195120</v>
      </c>
      <c r="AD11" s="26">
        <f>资产资本表!AD81</f>
        <v>15129337147</v>
      </c>
      <c r="AE11" s="26">
        <f>资产资本表!AE81</f>
        <v>14359159446</v>
      </c>
      <c r="AF11" s="26">
        <f>资产资本表!AF81</f>
        <v>10469707999</v>
      </c>
      <c r="AG11" s="26">
        <f>资产资本表!AG81</f>
        <v>8577667259</v>
      </c>
      <c r="AH11" s="26">
        <f>资产资本表!AH81</f>
        <v>7279640443</v>
      </c>
      <c r="AI11" s="26">
        <f>资产资本表!AI81</f>
        <v>4859024872</v>
      </c>
      <c r="AJ11" s="26">
        <f>资产资本表!AJ81</f>
        <v>4846602778</v>
      </c>
      <c r="AK11" s="26">
        <f>资产资本表!AK81</f>
        <v>4610363962</v>
      </c>
      <c r="AL11" s="26">
        <f>资产资本表!AL81</f>
        <v>4953459633</v>
      </c>
      <c r="AM11" s="26">
        <f>资产资本表!AM81</f>
        <v>4960758621</v>
      </c>
      <c r="AN11" s="26">
        <f>资产资本表!AN81</f>
        <v>3384411578</v>
      </c>
      <c r="AO11" s="26">
        <f>资产资本表!AO81</f>
        <v>3006587652</v>
      </c>
      <c r="AP11" s="26">
        <f>资产资本表!AP81</f>
        <v>2295540004</v>
      </c>
      <c r="AQ11" s="26">
        <f>资产资本表!AQ81</f>
        <v>2415520611</v>
      </c>
      <c r="AR11" s="26">
        <f>资产资本表!AR81</f>
        <v>3794378885</v>
      </c>
      <c r="AS11" s="26">
        <f>资产资本表!AS81</f>
        <v>4541467418</v>
      </c>
      <c r="AT11" s="26">
        <f>资产资本表!AT81</f>
        <v>5054437752</v>
      </c>
      <c r="AU11" s="26">
        <f>资产资本表!AU81</f>
        <v>5581539796</v>
      </c>
      <c r="AV11" s="26">
        <f>资产资本表!AV81</f>
        <v>5197738552</v>
      </c>
      <c r="AW11" s="26">
        <f>资产资本表!AW81</f>
        <v>5088934829</v>
      </c>
      <c r="AX11" s="26">
        <f>资产资本表!AX81</f>
        <v>6340704650</v>
      </c>
      <c r="AY11" s="26">
        <f>资产资本表!AY81</f>
        <v>9184128889</v>
      </c>
      <c r="AZ11" s="26">
        <f>资产资本表!AZ81</f>
        <v>10644245019</v>
      </c>
      <c r="BA11" s="26">
        <f>资产资本表!BA81</f>
        <v>10702730466</v>
      </c>
      <c r="BB11" s="26">
        <f>资产资本表!BB81</f>
        <v>11471141686</v>
      </c>
      <c r="BC11" s="26">
        <f>资产资本表!BC81</f>
        <v>11164908853</v>
      </c>
      <c r="BD11" s="26">
        <f>资产资本表!BD81</f>
        <v>4071883001</v>
      </c>
      <c r="BE11" s="26">
        <f>资产资本表!BE81</f>
        <v>3653888039</v>
      </c>
      <c r="BF11" s="26">
        <f>资产资本表!BF81</f>
        <v>3089947362.2400002</v>
      </c>
      <c r="BG11" s="26">
        <f>资产资本表!BG81</f>
        <v>2276833419.02</v>
      </c>
      <c r="BH11" s="26">
        <f>资产资本表!BH81</f>
        <v>2361987944.6700001</v>
      </c>
      <c r="BI11" s="26">
        <f>资产资本表!BI81</f>
        <v>2431118560</v>
      </c>
      <c r="BJ11" s="26">
        <f>资产资本表!BJ81</f>
        <v>2170556114.8699999</v>
      </c>
      <c r="BK11" s="26">
        <f>资产资本表!BK81</f>
        <v>2252164508.29</v>
      </c>
      <c r="BL11" s="26">
        <f>资产资本表!BL81</f>
        <v>2176884391.5</v>
      </c>
      <c r="BM11" s="26">
        <f>资产资本表!BM81</f>
        <v>338621980</v>
      </c>
      <c r="BN11" s="26">
        <f>资产资本表!BN81</f>
        <v>350420380.73000002</v>
      </c>
      <c r="BO11" s="26">
        <f>资产资本表!BO81</f>
        <v>317635359.44</v>
      </c>
      <c r="BP11" s="26">
        <f>资产资本表!BP81</f>
        <v>308442927.63</v>
      </c>
      <c r="BQ11" s="26">
        <f>资产资本表!BQ81</f>
        <v>227433533</v>
      </c>
      <c r="BR11" s="26">
        <f>资产资本表!BR81</f>
        <v>144573655.00999999</v>
      </c>
      <c r="BS11" s="26">
        <f>资产资本表!BS81</f>
        <v>205906912</v>
      </c>
      <c r="BT11" s="26">
        <f>资产资本表!BT81</f>
        <v>201697844</v>
      </c>
      <c r="BU11" s="26">
        <f>资产资本表!BU81</f>
        <v>100073135</v>
      </c>
      <c r="BV11" s="26">
        <f>资产资本表!BV81</f>
        <v>62774000</v>
      </c>
      <c r="BW11" s="26">
        <f>资产资本表!BW81</f>
        <v>63474000</v>
      </c>
      <c r="BX11" s="26">
        <f>资产资本表!BX81</f>
        <v>35714000</v>
      </c>
      <c r="BY11" s="26">
        <f>资产资本表!BY81</f>
        <v>35714000</v>
      </c>
      <c r="BZ11" s="26">
        <f>资产资本表!BZ81</f>
        <v>0</v>
      </c>
      <c r="CA11" s="26">
        <f>资产资本表!CA81</f>
        <v>138081000</v>
      </c>
      <c r="CB11" s="26">
        <f>资产资本表!CB81</f>
        <v>143841000</v>
      </c>
      <c r="CC11" s="26">
        <f>资产资本表!CC81</f>
        <v>124668000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635</v>
      </c>
      <c r="E12" s="26">
        <f>资产资本表!E89</f>
        <v>112453996110</v>
      </c>
      <c r="F12" s="26">
        <f>资产资本表!F89</f>
        <v>97403293333</v>
      </c>
      <c r="G12" s="26">
        <f>资产资本表!G89</f>
        <v>89397765750</v>
      </c>
      <c r="H12" s="26">
        <f>资产资本表!H89</f>
        <v>81311079704</v>
      </c>
      <c r="I12" s="26">
        <f>资产资本表!I89</f>
        <v>77997565997</v>
      </c>
      <c r="J12" s="26">
        <f>资产资本表!J89</f>
        <v>62888514797</v>
      </c>
      <c r="K12" s="26">
        <f>资产资本表!K89</f>
        <v>64108602452</v>
      </c>
      <c r="L12" s="26">
        <f>资产资本表!L89</f>
        <v>58362239332</v>
      </c>
      <c r="M12" s="26">
        <f>资产资本表!M89</f>
        <v>50235725597</v>
      </c>
      <c r="N12" s="26">
        <f>资产资本表!N89</f>
        <v>45564592169</v>
      </c>
      <c r="O12" s="26">
        <f>资产资本表!O89</f>
        <v>42490723496</v>
      </c>
      <c r="P12" s="26">
        <f>资产资本表!P89</f>
        <v>39588917176</v>
      </c>
      <c r="Q12" s="26">
        <f>资产资本表!Q89</f>
        <v>39891067296</v>
      </c>
      <c r="R12" s="26">
        <f>资产资本表!R89</f>
        <v>36901304090</v>
      </c>
      <c r="S12" s="26">
        <f>资产资本表!S89</f>
        <v>37074270459</v>
      </c>
      <c r="T12" s="26">
        <f>资产资本表!T89</f>
        <v>36960410638</v>
      </c>
      <c r="U12" s="26">
        <f>资产资本表!U89</f>
        <v>40539360285</v>
      </c>
      <c r="V12" s="26">
        <f>资产资本表!V89</f>
        <v>37310091167</v>
      </c>
      <c r="W12" s="26">
        <f>资产资本表!W89</f>
        <v>34834772819</v>
      </c>
      <c r="X12" s="26">
        <f>资产资本表!X89</f>
        <v>22671544045</v>
      </c>
      <c r="Y12" s="26">
        <f>资产资本表!Y89</f>
        <v>21390215329</v>
      </c>
      <c r="Z12" s="26">
        <f>资产资本表!Z89</f>
        <v>23656826254</v>
      </c>
      <c r="AA12" s="26">
        <f>资产资本表!AA89</f>
        <v>23827114745</v>
      </c>
      <c r="AB12" s="26">
        <f>资产资本表!AB89</f>
        <v>23300587106</v>
      </c>
      <c r="AC12" s="26">
        <f>资产资本表!AC89</f>
        <v>24638129461</v>
      </c>
      <c r="AD12" s="26">
        <f>资产资本表!AD89</f>
        <v>25332372397</v>
      </c>
      <c r="AE12" s="26">
        <f>资产资本表!AE89</f>
        <v>23144312652</v>
      </c>
      <c r="AF12" s="26">
        <f>资产资本表!AF89</f>
        <v>16726772736</v>
      </c>
      <c r="AG12" s="26">
        <f>资产资本表!AG89</f>
        <v>13858010595</v>
      </c>
      <c r="AH12" s="26">
        <f>资产资本表!AH89</f>
        <v>11737395435</v>
      </c>
      <c r="AI12" s="26">
        <f>资产资本表!AI89</f>
        <v>8231697471</v>
      </c>
      <c r="AJ12" s="26">
        <f>资产资本表!AJ89</f>
        <v>6212215060</v>
      </c>
      <c r="AK12" s="26">
        <f>资产资本表!AK89</f>
        <v>5717960925</v>
      </c>
      <c r="AL12" s="26">
        <f>资产资本表!AL89</f>
        <v>6042932946</v>
      </c>
      <c r="AM12" s="26">
        <f>资产资本表!AM89</f>
        <v>6179985172</v>
      </c>
      <c r="AN12" s="26">
        <f>资产资本表!AN89</f>
        <v>6553366539</v>
      </c>
      <c r="AO12" s="26">
        <f>资产资本表!AO89</f>
        <v>5536585002</v>
      </c>
      <c r="AP12" s="26">
        <f>资产资本表!AP89</f>
        <v>4229194404</v>
      </c>
      <c r="AQ12" s="26">
        <f>资产资本表!AQ89</f>
        <v>5140494158</v>
      </c>
      <c r="AR12" s="26">
        <f>资产资本表!AR89</f>
        <v>5086467454</v>
      </c>
      <c r="AS12" s="26">
        <f>资产资本表!AS89</f>
        <v>5683386714</v>
      </c>
      <c r="AT12" s="26">
        <f>资产资本表!AT89</f>
        <v>6778322260</v>
      </c>
      <c r="AU12" s="26">
        <f>资产资本表!AU89</f>
        <v>7371006868</v>
      </c>
      <c r="AV12" s="26">
        <f>资产资本表!AV89</f>
        <v>8747585550</v>
      </c>
      <c r="AW12" s="26">
        <f>资产资本表!AW89</f>
        <v>9646138723</v>
      </c>
      <c r="AX12" s="26">
        <f>资产资本表!AX89</f>
        <v>10052115731</v>
      </c>
      <c r="AY12" s="26">
        <f>资产资本表!AY89</f>
        <v>14561019202</v>
      </c>
      <c r="AZ12" s="26">
        <f>资产资本表!AZ89</f>
        <v>14742731559</v>
      </c>
      <c r="BA12" s="26">
        <f>资产资本表!BA89</f>
        <v>14465686638</v>
      </c>
      <c r="BB12" s="26">
        <f>资产资本表!BB89</f>
        <v>15459819553</v>
      </c>
      <c r="BC12" s="26">
        <f>资产资本表!BC89</f>
        <v>15737721762</v>
      </c>
      <c r="BD12" s="26">
        <f>资产资本表!BD89</f>
        <v>10212505883</v>
      </c>
      <c r="BE12" s="26">
        <f>资产资本表!BE89</f>
        <v>9160146712</v>
      </c>
      <c r="BF12" s="26">
        <f>资产资本表!BF89</f>
        <v>8185100767.0200005</v>
      </c>
      <c r="BG12" s="26">
        <f>资产资本表!BG89</f>
        <v>5412036070.0799999</v>
      </c>
      <c r="BH12" s="26">
        <f>资产资本表!BH89</f>
        <v>5660833349.7600002</v>
      </c>
      <c r="BI12" s="26">
        <f>资产资本表!BI89</f>
        <v>6680601279</v>
      </c>
      <c r="BJ12" s="26">
        <f>资产资本表!BJ89</f>
        <v>5110416276.54</v>
      </c>
      <c r="BK12" s="26">
        <f>资产资本表!BK89</f>
        <v>5256878472.7399998</v>
      </c>
      <c r="BL12" s="26">
        <f>资产资本表!BL89</f>
        <v>5174660134.8400002</v>
      </c>
      <c r="BM12" s="26">
        <f>资产资本表!BM89</f>
        <v>2615920921</v>
      </c>
      <c r="BN12" s="26">
        <f>资产资本表!BN89</f>
        <v>1367406408.4200001</v>
      </c>
      <c r="BO12" s="26">
        <f>资产资本表!BO89</f>
        <v>1190694570.23</v>
      </c>
      <c r="BP12" s="26">
        <f>资产资本表!BP89</f>
        <v>1053862227.22</v>
      </c>
      <c r="BQ12" s="26">
        <f>资产资本表!BQ89</f>
        <v>933095023</v>
      </c>
      <c r="BR12" s="26">
        <f>资产资本表!BR89</f>
        <v>732017085.00999999</v>
      </c>
      <c r="BS12" s="26">
        <f>资产资本表!BS89</f>
        <v>999648627</v>
      </c>
      <c r="BT12" s="26">
        <f>资产资本表!BT89</f>
        <v>750263444</v>
      </c>
      <c r="BU12" s="26">
        <f>资产资本表!BU89</f>
        <v>457739710</v>
      </c>
      <c r="BV12" s="26">
        <f>资产资本表!BV89</f>
        <v>380282950</v>
      </c>
      <c r="BW12" s="26">
        <f>资产资本表!BW89</f>
        <v>289525000</v>
      </c>
      <c r="BX12" s="26">
        <f>资产资本表!BX89</f>
        <v>168525608.23000002</v>
      </c>
      <c r="BY12" s="26">
        <f>资产资本表!BY89</f>
        <v>166696000</v>
      </c>
      <c r="BZ12" s="26">
        <f>资产资本表!BZ89</f>
        <v>0</v>
      </c>
      <c r="CA12" s="26">
        <f>资产资本表!CA89</f>
        <v>170736000</v>
      </c>
      <c r="CB12" s="26">
        <f>资产资本表!CB89</f>
        <v>182554000</v>
      </c>
      <c r="CC12" s="26">
        <f>资产资本表!CC89</f>
        <v>149530000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104310371013</v>
      </c>
      <c r="F13" s="26">
        <f t="shared" ref="F13:BQ13" si="0">F9-F12</f>
        <v>104809863253</v>
      </c>
      <c r="G13" s="26">
        <f t="shared" si="0"/>
        <v>98549860386</v>
      </c>
      <c r="H13" s="26">
        <f t="shared" si="0"/>
        <v>96525289140</v>
      </c>
      <c r="I13" s="26">
        <f t="shared" si="0"/>
        <v>92042163340</v>
      </c>
      <c r="J13" s="26">
        <f t="shared" si="0"/>
        <v>82031886163</v>
      </c>
      <c r="K13" s="26">
        <f t="shared" si="0"/>
        <v>81942953463</v>
      </c>
      <c r="L13" s="26">
        <f t="shared" si="0"/>
        <v>81429332411</v>
      </c>
      <c r="M13" s="26">
        <f t="shared" si="0"/>
        <v>78376937999</v>
      </c>
      <c r="N13" s="26">
        <f t="shared" si="0"/>
        <v>78974462534</v>
      </c>
      <c r="O13" s="26">
        <f t="shared" si="0"/>
        <v>78929260120</v>
      </c>
      <c r="P13" s="26">
        <f t="shared" si="0"/>
        <v>77936114055</v>
      </c>
      <c r="Q13" s="26">
        <f t="shared" si="0"/>
        <v>76983914399</v>
      </c>
      <c r="R13" s="26">
        <f t="shared" si="0"/>
        <v>76597938180</v>
      </c>
      <c r="S13" s="26">
        <f t="shared" si="0"/>
        <v>76173518396</v>
      </c>
      <c r="T13" s="26">
        <f t="shared" si="0"/>
        <v>75189061068</v>
      </c>
      <c r="U13" s="26">
        <f t="shared" si="0"/>
        <v>38178771584</v>
      </c>
      <c r="V13" s="26">
        <f t="shared" si="0"/>
        <v>41075940858</v>
      </c>
      <c r="W13" s="26">
        <f t="shared" si="0"/>
        <v>40443499777</v>
      </c>
      <c r="X13" s="26">
        <f t="shared" si="0"/>
        <v>35692425982</v>
      </c>
      <c r="Y13" s="26">
        <f t="shared" si="0"/>
        <v>35289402427</v>
      </c>
      <c r="Z13" s="26">
        <f t="shared" si="0"/>
        <v>34167287605</v>
      </c>
      <c r="AA13" s="26">
        <f t="shared" si="0"/>
        <v>34018783563</v>
      </c>
      <c r="AB13" s="26">
        <f t="shared" si="0"/>
        <v>34352756876</v>
      </c>
      <c r="AC13" s="26">
        <f t="shared" si="0"/>
        <v>35082015920</v>
      </c>
      <c r="AD13" s="26">
        <f t="shared" si="0"/>
        <v>31939838462</v>
      </c>
      <c r="AE13" s="26">
        <f t="shared" si="0"/>
        <v>32972258131</v>
      </c>
      <c r="AF13" s="26">
        <f t="shared" si="0"/>
        <v>33579722874</v>
      </c>
      <c r="AG13" s="26">
        <f t="shared" si="0"/>
        <v>34303311260</v>
      </c>
      <c r="AH13" s="26">
        <f t="shared" si="0"/>
        <v>26436811716</v>
      </c>
      <c r="AI13" s="26">
        <f t="shared" si="0"/>
        <v>26960502982</v>
      </c>
      <c r="AJ13" s="26">
        <f t="shared" si="0"/>
        <v>23142453994</v>
      </c>
      <c r="AK13" s="26">
        <f t="shared" si="0"/>
        <v>21988789590</v>
      </c>
      <c r="AL13" s="26">
        <f t="shared" si="0"/>
        <v>17642267074</v>
      </c>
      <c r="AM13" s="26">
        <f t="shared" si="0"/>
        <v>17675501191</v>
      </c>
      <c r="AN13" s="26">
        <f t="shared" si="0"/>
        <v>6258949566</v>
      </c>
      <c r="AO13" s="26">
        <f t="shared" si="0"/>
        <v>6726895468</v>
      </c>
      <c r="AP13" s="26">
        <f t="shared" si="0"/>
        <v>7810959095</v>
      </c>
      <c r="AQ13" s="26">
        <f t="shared" si="0"/>
        <v>6132231902</v>
      </c>
      <c r="AR13" s="26">
        <f t="shared" si="0"/>
        <v>5878641136</v>
      </c>
      <c r="AS13" s="26">
        <f t="shared" si="0"/>
        <v>5528008139</v>
      </c>
      <c r="AT13" s="26">
        <f t="shared" si="0"/>
        <v>4877784024</v>
      </c>
      <c r="AU13" s="26">
        <f t="shared" si="0"/>
        <v>4341507691</v>
      </c>
      <c r="AV13" s="26">
        <f t="shared" si="0"/>
        <v>4197593506</v>
      </c>
      <c r="AW13" s="26">
        <f t="shared" si="0"/>
        <v>4363702497</v>
      </c>
      <c r="AX13" s="26">
        <f t="shared" si="0"/>
        <v>4338070335</v>
      </c>
      <c r="AY13" s="26">
        <f t="shared" si="0"/>
        <v>1966919640</v>
      </c>
      <c r="AZ13" s="26">
        <f t="shared" si="0"/>
        <v>3285212190</v>
      </c>
      <c r="BA13" s="26">
        <f t="shared" si="0"/>
        <v>3779796941</v>
      </c>
      <c r="BB13" s="26">
        <f t="shared" si="0"/>
        <v>4381948589</v>
      </c>
      <c r="BC13" s="26">
        <f t="shared" si="0"/>
        <v>4766059770</v>
      </c>
      <c r="BD13" s="26">
        <f t="shared" si="0"/>
        <v>5244461419</v>
      </c>
      <c r="BE13" s="26">
        <f t="shared" si="0"/>
        <v>5659154736</v>
      </c>
      <c r="BF13" s="26">
        <f t="shared" si="0"/>
        <v>5912165493.2399979</v>
      </c>
      <c r="BG13" s="26">
        <f t="shared" si="0"/>
        <v>5905168721.0400009</v>
      </c>
      <c r="BH13" s="26">
        <f t="shared" si="0"/>
        <v>5699160615.2700005</v>
      </c>
      <c r="BI13" s="26">
        <f t="shared" si="0"/>
        <v>3263937948</v>
      </c>
      <c r="BJ13" s="26">
        <f t="shared" si="0"/>
        <v>3132032339.8100004</v>
      </c>
      <c r="BK13" s="26">
        <f t="shared" si="0"/>
        <v>2972935907.4699993</v>
      </c>
      <c r="BL13" s="26">
        <f t="shared" si="0"/>
        <v>2798790890.2299995</v>
      </c>
      <c r="BM13" s="26">
        <f t="shared" si="0"/>
        <v>2764216774</v>
      </c>
      <c r="BN13" s="26">
        <f t="shared" si="0"/>
        <v>2768799688.7000008</v>
      </c>
      <c r="BO13" s="26">
        <f t="shared" si="0"/>
        <v>2706805116.6500001</v>
      </c>
      <c r="BP13" s="26">
        <f t="shared" si="0"/>
        <v>2608055275.9399996</v>
      </c>
      <c r="BQ13" s="26">
        <f t="shared" si="0"/>
        <v>2461207602</v>
      </c>
      <c r="BR13" s="26">
        <f t="shared" ref="BR13:CL13" si="1">BR9-BR12</f>
        <v>2560100649.6899996</v>
      </c>
      <c r="BS13" s="26">
        <f t="shared" si="1"/>
        <v>2370664053</v>
      </c>
      <c r="BT13" s="26">
        <f t="shared" si="1"/>
        <v>1414844292</v>
      </c>
      <c r="BU13" s="26">
        <f t="shared" si="1"/>
        <v>1341728621</v>
      </c>
      <c r="BV13" s="26">
        <f t="shared" si="1"/>
        <v>1196781493.01</v>
      </c>
      <c r="BW13" s="26">
        <f t="shared" si="1"/>
        <v>1158926000</v>
      </c>
      <c r="BX13" s="26">
        <f t="shared" si="1"/>
        <v>1070840297.8599999</v>
      </c>
      <c r="BY13" s="26">
        <f t="shared" si="1"/>
        <v>1069784000</v>
      </c>
      <c r="BZ13" s="26">
        <f t="shared" si="1"/>
        <v>699434000</v>
      </c>
      <c r="CA13" s="26">
        <f t="shared" si="1"/>
        <v>628223000</v>
      </c>
      <c r="CB13" s="26">
        <f t="shared" si="1"/>
        <v>513673000</v>
      </c>
      <c r="CC13" s="26">
        <f t="shared" si="1"/>
        <v>441487000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637</v>
      </c>
      <c r="E14" s="48">
        <f>E9</f>
        <v>216764367123</v>
      </c>
      <c r="F14" s="48">
        <f t="shared" ref="F14:BQ14" si="2">F9</f>
        <v>202213156586</v>
      </c>
      <c r="G14" s="48">
        <f t="shared" si="2"/>
        <v>187947626136</v>
      </c>
      <c r="H14" s="48">
        <f t="shared" si="2"/>
        <v>177836368844</v>
      </c>
      <c r="I14" s="48">
        <f t="shared" si="2"/>
        <v>170039729337</v>
      </c>
      <c r="J14" s="48">
        <f t="shared" si="2"/>
        <v>144920400960</v>
      </c>
      <c r="K14" s="48">
        <f t="shared" si="2"/>
        <v>146051555915</v>
      </c>
      <c r="L14" s="48">
        <f t="shared" si="2"/>
        <v>139791571743</v>
      </c>
      <c r="M14" s="48">
        <f t="shared" si="2"/>
        <v>128612663596</v>
      </c>
      <c r="N14" s="48">
        <f t="shared" si="2"/>
        <v>124539054703</v>
      </c>
      <c r="O14" s="48">
        <f t="shared" si="2"/>
        <v>121419983616</v>
      </c>
      <c r="P14" s="48">
        <f t="shared" si="2"/>
        <v>117525031231</v>
      </c>
      <c r="Q14" s="48">
        <f t="shared" si="2"/>
        <v>116874981695</v>
      </c>
      <c r="R14" s="48">
        <f t="shared" si="2"/>
        <v>113499242270</v>
      </c>
      <c r="S14" s="48">
        <f t="shared" si="2"/>
        <v>113247788855</v>
      </c>
      <c r="T14" s="48">
        <f t="shared" si="2"/>
        <v>112149471706</v>
      </c>
      <c r="U14" s="48">
        <f t="shared" si="2"/>
        <v>78718131869</v>
      </c>
      <c r="V14" s="48">
        <f t="shared" si="2"/>
        <v>78386032025</v>
      </c>
      <c r="W14" s="48">
        <f t="shared" si="2"/>
        <v>75278272596</v>
      </c>
      <c r="X14" s="48">
        <f t="shared" si="2"/>
        <v>58363970027</v>
      </c>
      <c r="Y14" s="48">
        <f t="shared" si="2"/>
        <v>56679617756</v>
      </c>
      <c r="Z14" s="48">
        <f t="shared" si="2"/>
        <v>57824113859</v>
      </c>
      <c r="AA14" s="48">
        <f t="shared" si="2"/>
        <v>57845898308</v>
      </c>
      <c r="AB14" s="48">
        <f t="shared" si="2"/>
        <v>57653343982</v>
      </c>
      <c r="AC14" s="48">
        <f t="shared" si="2"/>
        <v>59720145381</v>
      </c>
      <c r="AD14" s="48">
        <f t="shared" si="2"/>
        <v>57272210859</v>
      </c>
      <c r="AE14" s="48">
        <f t="shared" si="2"/>
        <v>56116570783</v>
      </c>
      <c r="AF14" s="48">
        <f t="shared" si="2"/>
        <v>50306495610</v>
      </c>
      <c r="AG14" s="48">
        <f t="shared" si="2"/>
        <v>48161321855</v>
      </c>
      <c r="AH14" s="48">
        <f t="shared" si="2"/>
        <v>38174207151</v>
      </c>
      <c r="AI14" s="48">
        <f t="shared" si="2"/>
        <v>35192200453</v>
      </c>
      <c r="AJ14" s="48">
        <f t="shared" si="2"/>
        <v>29354669054</v>
      </c>
      <c r="AK14" s="48">
        <f t="shared" si="2"/>
        <v>27706750515</v>
      </c>
      <c r="AL14" s="48">
        <f t="shared" si="2"/>
        <v>23685200020</v>
      </c>
      <c r="AM14" s="48">
        <f t="shared" si="2"/>
        <v>23855486363</v>
      </c>
      <c r="AN14" s="48">
        <f t="shared" si="2"/>
        <v>12812316105</v>
      </c>
      <c r="AO14" s="48">
        <f t="shared" si="2"/>
        <v>12263480470</v>
      </c>
      <c r="AP14" s="48">
        <f t="shared" si="2"/>
        <v>12040153499</v>
      </c>
      <c r="AQ14" s="48">
        <f t="shared" si="2"/>
        <v>11272726060</v>
      </c>
      <c r="AR14" s="48">
        <f t="shared" si="2"/>
        <v>10965108590</v>
      </c>
      <c r="AS14" s="48">
        <f t="shared" si="2"/>
        <v>11211394853</v>
      </c>
      <c r="AT14" s="48">
        <f t="shared" si="2"/>
        <v>11656106284</v>
      </c>
      <c r="AU14" s="48">
        <f t="shared" si="2"/>
        <v>11712514559</v>
      </c>
      <c r="AV14" s="48">
        <f t="shared" si="2"/>
        <v>12945179056</v>
      </c>
      <c r="AW14" s="48">
        <f t="shared" si="2"/>
        <v>14009841220</v>
      </c>
      <c r="AX14" s="48">
        <f t="shared" si="2"/>
        <v>14390186066</v>
      </c>
      <c r="AY14" s="48">
        <f t="shared" si="2"/>
        <v>16527938842</v>
      </c>
      <c r="AZ14" s="48">
        <f t="shared" si="2"/>
        <v>18027943749</v>
      </c>
      <c r="BA14" s="48">
        <f t="shared" si="2"/>
        <v>18245483579</v>
      </c>
      <c r="BB14" s="48">
        <f t="shared" si="2"/>
        <v>19841768142</v>
      </c>
      <c r="BC14" s="48">
        <f t="shared" si="2"/>
        <v>20503781532</v>
      </c>
      <c r="BD14" s="48">
        <f t="shared" si="2"/>
        <v>15456967302</v>
      </c>
      <c r="BE14" s="48">
        <f t="shared" si="2"/>
        <v>14819301448</v>
      </c>
      <c r="BF14" s="48">
        <f t="shared" si="2"/>
        <v>14097266260.259998</v>
      </c>
      <c r="BG14" s="48">
        <f t="shared" si="2"/>
        <v>11317204791.120001</v>
      </c>
      <c r="BH14" s="48">
        <f t="shared" si="2"/>
        <v>11359993965.030001</v>
      </c>
      <c r="BI14" s="48">
        <f t="shared" si="2"/>
        <v>9944539227</v>
      </c>
      <c r="BJ14" s="48">
        <f t="shared" si="2"/>
        <v>8242448616.3500004</v>
      </c>
      <c r="BK14" s="48">
        <f t="shared" si="2"/>
        <v>8229814380.2099991</v>
      </c>
      <c r="BL14" s="48">
        <f t="shared" si="2"/>
        <v>7973451025.0699997</v>
      </c>
      <c r="BM14" s="48">
        <f t="shared" si="2"/>
        <v>5380137695</v>
      </c>
      <c r="BN14" s="48">
        <f t="shared" si="2"/>
        <v>4136206097.1200008</v>
      </c>
      <c r="BO14" s="48">
        <f t="shared" si="2"/>
        <v>3897499686.8800001</v>
      </c>
      <c r="BP14" s="48">
        <f t="shared" si="2"/>
        <v>3661917503.1599998</v>
      </c>
      <c r="BQ14" s="48">
        <f t="shared" si="2"/>
        <v>3394302625</v>
      </c>
      <c r="BR14" s="48">
        <f t="shared" ref="BR14:CL14" si="3">BR9</f>
        <v>3292117734.6999998</v>
      </c>
      <c r="BS14" s="48">
        <f t="shared" si="3"/>
        <v>3370312680</v>
      </c>
      <c r="BT14" s="48">
        <f t="shared" si="3"/>
        <v>2165107736</v>
      </c>
      <c r="BU14" s="48">
        <f t="shared" si="3"/>
        <v>1799468331</v>
      </c>
      <c r="BV14" s="48">
        <f t="shared" si="3"/>
        <v>1577064443.01</v>
      </c>
      <c r="BW14" s="48">
        <f t="shared" si="3"/>
        <v>1448451000</v>
      </c>
      <c r="BX14" s="48">
        <f t="shared" si="3"/>
        <v>1239365906.0899999</v>
      </c>
      <c r="BY14" s="48">
        <f t="shared" si="3"/>
        <v>1236480000</v>
      </c>
      <c r="BZ14" s="48">
        <f t="shared" si="3"/>
        <v>699434000</v>
      </c>
      <c r="CA14" s="48">
        <f t="shared" si="3"/>
        <v>798959000</v>
      </c>
      <c r="CB14" s="48">
        <f t="shared" si="3"/>
        <v>696227000</v>
      </c>
      <c r="CC14" s="48">
        <f t="shared" si="3"/>
        <v>591017000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46167449569</v>
      </c>
      <c r="F15" s="58">
        <f t="shared" ref="F15:BQ15" si="4">F11+F13-F3-F4-F7</f>
        <v>42413298833</v>
      </c>
      <c r="G15" s="58">
        <f t="shared" si="4"/>
        <v>36499286154</v>
      </c>
      <c r="H15" s="58">
        <f t="shared" si="4"/>
        <v>44192180990</v>
      </c>
      <c r="I15" s="58">
        <f t="shared" si="4"/>
        <v>50815833058</v>
      </c>
      <c r="J15" s="58">
        <f t="shared" si="4"/>
        <v>37321601646</v>
      </c>
      <c r="K15" s="58">
        <f t="shared" si="4"/>
        <v>41630385160</v>
      </c>
      <c r="L15" s="58">
        <f t="shared" si="4"/>
        <v>46305502910</v>
      </c>
      <c r="M15" s="58">
        <f t="shared" si="4"/>
        <v>33018891995</v>
      </c>
      <c r="N15" s="58">
        <f t="shared" si="4"/>
        <v>33735959025</v>
      </c>
      <c r="O15" s="58">
        <f t="shared" si="4"/>
        <v>34251506985</v>
      </c>
      <c r="P15" s="58">
        <f t="shared" si="4"/>
        <v>36130864385</v>
      </c>
      <c r="Q15" s="58">
        <f t="shared" si="4"/>
        <v>39630234438</v>
      </c>
      <c r="R15" s="58">
        <f t="shared" si="4"/>
        <v>39980956768</v>
      </c>
      <c r="S15" s="58">
        <f t="shared" si="4"/>
        <v>42688320011</v>
      </c>
      <c r="T15" s="58">
        <f t="shared" si="4"/>
        <v>49583884606</v>
      </c>
      <c r="U15" s="58">
        <f t="shared" si="4"/>
        <v>9367118460</v>
      </c>
      <c r="V15" s="58">
        <f t="shared" si="4"/>
        <v>11174592041</v>
      </c>
      <c r="W15" s="58">
        <f t="shared" si="4"/>
        <v>19128615237</v>
      </c>
      <c r="X15" s="58">
        <f t="shared" si="4"/>
        <v>15513183909</v>
      </c>
      <c r="Y15" s="58">
        <f t="shared" si="4"/>
        <v>14299097223</v>
      </c>
      <c r="Z15" s="58">
        <f t="shared" si="4"/>
        <v>11910100542</v>
      </c>
      <c r="AA15" s="58">
        <f t="shared" si="4"/>
        <v>12848102014</v>
      </c>
      <c r="AB15" s="58">
        <f t="shared" si="4"/>
        <v>11120073218</v>
      </c>
      <c r="AC15" s="58">
        <f t="shared" si="4"/>
        <v>13531482214</v>
      </c>
      <c r="AD15" s="58">
        <f t="shared" si="4"/>
        <v>11046590674</v>
      </c>
      <c r="AE15" s="58">
        <f t="shared" si="4"/>
        <v>15146781514</v>
      </c>
      <c r="AF15" s="58">
        <f t="shared" si="4"/>
        <v>16195968082</v>
      </c>
      <c r="AG15" s="58">
        <f t="shared" si="4"/>
        <v>20424807788</v>
      </c>
      <c r="AH15" s="58">
        <f t="shared" si="4"/>
        <v>13421880165</v>
      </c>
      <c r="AI15" s="58">
        <f t="shared" si="4"/>
        <v>15406151043</v>
      </c>
      <c r="AJ15" s="58">
        <f t="shared" si="4"/>
        <v>16346311643</v>
      </c>
      <c r="AK15" s="58">
        <f t="shared" si="4"/>
        <v>16153412727</v>
      </c>
      <c r="AL15" s="58">
        <f t="shared" si="4"/>
        <v>12469787713</v>
      </c>
      <c r="AM15" s="58">
        <f t="shared" si="4"/>
        <v>13121683398</v>
      </c>
      <c r="AN15" s="58">
        <f t="shared" si="4"/>
        <v>1161234637</v>
      </c>
      <c r="AO15" s="58">
        <f t="shared" si="4"/>
        <v>1608566036</v>
      </c>
      <c r="AP15" s="58">
        <f t="shared" si="4"/>
        <v>1225350678</v>
      </c>
      <c r="AQ15" s="58">
        <f t="shared" si="4"/>
        <v>-849676550</v>
      </c>
      <c r="AR15" s="58">
        <f t="shared" si="4"/>
        <v>567574540</v>
      </c>
      <c r="AS15" s="58">
        <f t="shared" si="4"/>
        <v>819511017</v>
      </c>
      <c r="AT15" s="58">
        <f t="shared" si="4"/>
        <v>568932179</v>
      </c>
      <c r="AU15" s="58">
        <f t="shared" si="4"/>
        <v>306625725</v>
      </c>
      <c r="AV15" s="58">
        <f t="shared" si="4"/>
        <v>-1474020915</v>
      </c>
      <c r="AW15" s="58">
        <f t="shared" si="4"/>
        <v>-2747986659</v>
      </c>
      <c r="AX15" s="58">
        <f t="shared" si="4"/>
        <v>-1315464601</v>
      </c>
      <c r="AY15" s="58">
        <f t="shared" si="4"/>
        <v>-3866480850</v>
      </c>
      <c r="AZ15" s="58">
        <f t="shared" si="4"/>
        <v>-2203751168</v>
      </c>
      <c r="BA15" s="58">
        <f t="shared" si="4"/>
        <v>-1682275752</v>
      </c>
      <c r="BB15" s="58">
        <f t="shared" si="4"/>
        <v>-283054887</v>
      </c>
      <c r="BC15" s="58">
        <f t="shared" si="4"/>
        <v>225543330</v>
      </c>
      <c r="BD15" s="58">
        <f t="shared" si="4"/>
        <v>-4426332714</v>
      </c>
      <c r="BE15" s="58">
        <f t="shared" si="4"/>
        <v>-3667167460</v>
      </c>
      <c r="BF15" s="58">
        <f t="shared" si="4"/>
        <v>-1435413580.7800016</v>
      </c>
      <c r="BG15" s="58">
        <f t="shared" si="4"/>
        <v>-341983587.09999895</v>
      </c>
      <c r="BH15" s="58">
        <f t="shared" si="4"/>
        <v>170818946.29000092</v>
      </c>
      <c r="BI15" s="58">
        <f t="shared" si="4"/>
        <v>-1997850372</v>
      </c>
      <c r="BJ15" s="58">
        <f t="shared" si="4"/>
        <v>-1167314604.9199991</v>
      </c>
      <c r="BK15" s="58">
        <f t="shared" si="4"/>
        <v>-1175660303.0199995</v>
      </c>
      <c r="BL15" s="58">
        <f t="shared" si="4"/>
        <v>-873609017.39999962</v>
      </c>
      <c r="BM15" s="58">
        <f t="shared" si="4"/>
        <v>16948837</v>
      </c>
      <c r="BN15" s="58">
        <f t="shared" si="4"/>
        <v>224142787.82000041</v>
      </c>
      <c r="BO15" s="58">
        <f t="shared" si="4"/>
        <v>135166460.4400003</v>
      </c>
      <c r="BP15" s="58">
        <f t="shared" si="4"/>
        <v>469004691.20999956</v>
      </c>
      <c r="BQ15" s="58">
        <f t="shared" si="4"/>
        <v>511087539</v>
      </c>
      <c r="BR15" s="58">
        <f t="shared" ref="BR15:CL15" si="5">BR11+BR13-BR3-BR4-BR7</f>
        <v>686151211.90999973</v>
      </c>
      <c r="BS15" s="58">
        <f t="shared" si="5"/>
        <v>612821046</v>
      </c>
      <c r="BT15" s="58">
        <f t="shared" si="5"/>
        <v>-87322138</v>
      </c>
      <c r="BU15" s="58">
        <f t="shared" si="5"/>
        <v>-23195155</v>
      </c>
      <c r="BV15" s="58">
        <f t="shared" si="5"/>
        <v>47554734.089999974</v>
      </c>
      <c r="BW15" s="58">
        <f t="shared" si="5"/>
        <v>107824000</v>
      </c>
      <c r="BX15" s="58">
        <f t="shared" si="5"/>
        <v>193809269.51999989</v>
      </c>
      <c r="BY15" s="58">
        <f t="shared" si="5"/>
        <v>281104000</v>
      </c>
      <c r="BZ15" s="58">
        <f t="shared" si="5"/>
        <v>0</v>
      </c>
      <c r="CA15" s="58">
        <f t="shared" si="5"/>
        <v>15079000</v>
      </c>
      <c r="CB15" s="58">
        <f t="shared" si="5"/>
        <v>2636000</v>
      </c>
      <c r="CC15" s="58">
        <f t="shared" si="5"/>
        <v>3020000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-46167449569</v>
      </c>
      <c r="F16" s="58">
        <f t="shared" ref="F16:BQ16" si="6">F10-F2</f>
        <v>-42413298833</v>
      </c>
      <c r="G16" s="58">
        <f t="shared" si="6"/>
        <v>-36499286154</v>
      </c>
      <c r="H16" s="58">
        <f t="shared" si="6"/>
        <v>-44192180990</v>
      </c>
      <c r="I16" s="58">
        <f t="shared" si="6"/>
        <v>-50815833058</v>
      </c>
      <c r="J16" s="58">
        <f t="shared" si="6"/>
        <v>-37321601646</v>
      </c>
      <c r="K16" s="58">
        <f t="shared" si="6"/>
        <v>-41630385160</v>
      </c>
      <c r="L16" s="58">
        <f t="shared" si="6"/>
        <v>-46305502910</v>
      </c>
      <c r="M16" s="58">
        <f t="shared" si="6"/>
        <v>-33018891995</v>
      </c>
      <c r="N16" s="58">
        <f t="shared" si="6"/>
        <v>-33735959025</v>
      </c>
      <c r="O16" s="58">
        <f t="shared" si="6"/>
        <v>-34251506985</v>
      </c>
      <c r="P16" s="58">
        <f t="shared" si="6"/>
        <v>-36130864385</v>
      </c>
      <c r="Q16" s="58">
        <f t="shared" si="6"/>
        <v>-39630234438</v>
      </c>
      <c r="R16" s="58">
        <f t="shared" si="6"/>
        <v>-39980956768</v>
      </c>
      <c r="S16" s="58">
        <f t="shared" si="6"/>
        <v>-42688320011</v>
      </c>
      <c r="T16" s="58">
        <f t="shared" si="6"/>
        <v>-49583884606</v>
      </c>
      <c r="U16" s="58">
        <f t="shared" si="6"/>
        <v>-9367118460</v>
      </c>
      <c r="V16" s="58">
        <f t="shared" si="6"/>
        <v>-11174592041</v>
      </c>
      <c r="W16" s="58">
        <f t="shared" si="6"/>
        <v>-19128615237</v>
      </c>
      <c r="X16" s="58">
        <f t="shared" si="6"/>
        <v>-15513183909</v>
      </c>
      <c r="Y16" s="58">
        <f t="shared" si="6"/>
        <v>-14299097223</v>
      </c>
      <c r="Z16" s="58">
        <f t="shared" si="6"/>
        <v>-11910100542</v>
      </c>
      <c r="AA16" s="58">
        <f t="shared" si="6"/>
        <v>-12848102014</v>
      </c>
      <c r="AB16" s="58">
        <f t="shared" si="6"/>
        <v>-11120073218</v>
      </c>
      <c r="AC16" s="58">
        <f t="shared" si="6"/>
        <v>-13531482214</v>
      </c>
      <c r="AD16" s="58">
        <f t="shared" si="6"/>
        <v>-11046590674</v>
      </c>
      <c r="AE16" s="58">
        <f t="shared" si="6"/>
        <v>-15146781514</v>
      </c>
      <c r="AF16" s="58">
        <f t="shared" si="6"/>
        <v>-16195968082</v>
      </c>
      <c r="AG16" s="58">
        <f t="shared" si="6"/>
        <v>-20424807788</v>
      </c>
      <c r="AH16" s="58">
        <f t="shared" si="6"/>
        <v>-13421880165</v>
      </c>
      <c r="AI16" s="58">
        <f t="shared" si="6"/>
        <v>-15406151043</v>
      </c>
      <c r="AJ16" s="58">
        <f t="shared" si="6"/>
        <v>-16346311643</v>
      </c>
      <c r="AK16" s="58">
        <f t="shared" si="6"/>
        <v>-16153412727</v>
      </c>
      <c r="AL16" s="58">
        <f t="shared" si="6"/>
        <v>-12469787713</v>
      </c>
      <c r="AM16" s="58">
        <f t="shared" si="6"/>
        <v>-13121683398</v>
      </c>
      <c r="AN16" s="58">
        <f t="shared" si="6"/>
        <v>-1161234637</v>
      </c>
      <c r="AO16" s="58">
        <f t="shared" si="6"/>
        <v>-1608566036</v>
      </c>
      <c r="AP16" s="58">
        <f t="shared" si="6"/>
        <v>-1225350678</v>
      </c>
      <c r="AQ16" s="58">
        <f t="shared" si="6"/>
        <v>849676550</v>
      </c>
      <c r="AR16" s="58">
        <f t="shared" si="6"/>
        <v>-567574540</v>
      </c>
      <c r="AS16" s="58">
        <f t="shared" si="6"/>
        <v>-819511017</v>
      </c>
      <c r="AT16" s="58">
        <f t="shared" si="6"/>
        <v>-568932179</v>
      </c>
      <c r="AU16" s="58">
        <f t="shared" si="6"/>
        <v>-306625725</v>
      </c>
      <c r="AV16" s="58">
        <f t="shared" si="6"/>
        <v>1474020915</v>
      </c>
      <c r="AW16" s="58">
        <f t="shared" si="6"/>
        <v>2747986659</v>
      </c>
      <c r="AX16" s="58">
        <f t="shared" si="6"/>
        <v>1315464601</v>
      </c>
      <c r="AY16" s="58">
        <f t="shared" si="6"/>
        <v>3866480850</v>
      </c>
      <c r="AZ16" s="58">
        <f t="shared" si="6"/>
        <v>2203751168</v>
      </c>
      <c r="BA16" s="58">
        <f t="shared" si="6"/>
        <v>1682275752</v>
      </c>
      <c r="BB16" s="58">
        <f t="shared" si="6"/>
        <v>283054887</v>
      </c>
      <c r="BC16" s="58">
        <f t="shared" si="6"/>
        <v>-225543330</v>
      </c>
      <c r="BD16" s="58">
        <f t="shared" si="6"/>
        <v>4426332714</v>
      </c>
      <c r="BE16" s="58">
        <f t="shared" si="6"/>
        <v>3667167460</v>
      </c>
      <c r="BF16" s="58">
        <f t="shared" si="6"/>
        <v>1435413580.7800007</v>
      </c>
      <c r="BG16" s="58">
        <f t="shared" si="6"/>
        <v>341983587.0999999</v>
      </c>
      <c r="BH16" s="58">
        <f t="shared" si="6"/>
        <v>-170818946.28999949</v>
      </c>
      <c r="BI16" s="58">
        <f t="shared" si="6"/>
        <v>1997850372</v>
      </c>
      <c r="BJ16" s="58">
        <f t="shared" si="6"/>
        <v>1167314604.9199998</v>
      </c>
      <c r="BK16" s="58">
        <f t="shared" si="6"/>
        <v>1175660303.0200002</v>
      </c>
      <c r="BL16" s="58">
        <f t="shared" si="6"/>
        <v>873609017.40000033</v>
      </c>
      <c r="BM16" s="58">
        <f t="shared" si="6"/>
        <v>-16948837</v>
      </c>
      <c r="BN16" s="58">
        <f t="shared" si="6"/>
        <v>-224142787.81999993</v>
      </c>
      <c r="BO16" s="58">
        <f t="shared" si="6"/>
        <v>-135166460.44000006</v>
      </c>
      <c r="BP16" s="58">
        <f t="shared" si="6"/>
        <v>-469004691.20999992</v>
      </c>
      <c r="BQ16" s="58">
        <f t="shared" si="6"/>
        <v>-511087539</v>
      </c>
      <c r="BR16" s="58">
        <f t="shared" ref="BR16:CL16" si="7">BR10-BR2</f>
        <v>-686151211.91000009</v>
      </c>
      <c r="BS16" s="58">
        <f t="shared" si="7"/>
        <v>-612821046</v>
      </c>
      <c r="BT16" s="58">
        <f t="shared" si="7"/>
        <v>87322138</v>
      </c>
      <c r="BU16" s="58">
        <f t="shared" si="7"/>
        <v>23195155</v>
      </c>
      <c r="BV16" s="58">
        <f t="shared" si="7"/>
        <v>-47554734.089999974</v>
      </c>
      <c r="BW16" s="58">
        <f t="shared" si="7"/>
        <v>-107824000</v>
      </c>
      <c r="BX16" s="58">
        <f t="shared" si="7"/>
        <v>-193809269.51999998</v>
      </c>
      <c r="BY16" s="58">
        <f t="shared" si="7"/>
        <v>-281104000</v>
      </c>
      <c r="BZ16" s="58">
        <f t="shared" si="7"/>
        <v>0</v>
      </c>
      <c r="CA16" s="58">
        <f t="shared" si="7"/>
        <v>-15079000</v>
      </c>
      <c r="CB16" s="58">
        <f t="shared" si="7"/>
        <v>-2636000</v>
      </c>
      <c r="CC16" s="58">
        <f t="shared" si="7"/>
        <v>-3020000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662</v>
      </c>
      <c r="E17" s="59">
        <f>(E11+E13-E7-E3)/E4</f>
        <v>13.210579678690655</v>
      </c>
      <c r="F17" s="59">
        <f t="shared" ref="F17:BQ17" si="8">(F11+F13-F7-F3)/F4</f>
        <v>7.9064425746619715</v>
      </c>
      <c r="G17" s="59">
        <f t="shared" si="8"/>
        <v>14.879435609950903</v>
      </c>
      <c r="H17" s="59">
        <f t="shared" si="8"/>
        <v>27.213937109093205</v>
      </c>
      <c r="I17" s="59">
        <f t="shared" si="8"/>
        <v>-25.989687343404686</v>
      </c>
      <c r="J17" s="59">
        <f t="shared" si="8"/>
        <v>9.8915128413583222</v>
      </c>
      <c r="K17" s="59">
        <f t="shared" si="8"/>
        <v>5.1252628107862135</v>
      </c>
      <c r="L17" s="59">
        <f t="shared" si="8"/>
        <v>25.552182485227615</v>
      </c>
      <c r="M17" s="59">
        <f t="shared" si="8"/>
        <v>29.676722394900231</v>
      </c>
      <c r="N17" s="59">
        <f t="shared" si="8"/>
        <v>11.901556778839792</v>
      </c>
      <c r="O17" s="59">
        <f t="shared" si="8"/>
        <v>10.143331375854016</v>
      </c>
      <c r="P17" s="59">
        <f t="shared" si="8"/>
        <v>34.849922271972964</v>
      </c>
      <c r="Q17" s="59">
        <f t="shared" si="8"/>
        <v>-49.814620854757877</v>
      </c>
      <c r="R17" s="59">
        <f t="shared" si="8"/>
        <v>47.824912588483031</v>
      </c>
      <c r="S17" s="59">
        <f t="shared" si="8"/>
        <v>-25.792596943753445</v>
      </c>
      <c r="T17" s="59">
        <f t="shared" si="8"/>
        <v>-25.611364329187783</v>
      </c>
      <c r="U17" s="59">
        <f t="shared" si="8"/>
        <v>-2.9594365015436717</v>
      </c>
      <c r="V17" s="59">
        <f t="shared" si="8"/>
        <v>-14.482175411373994</v>
      </c>
      <c r="W17" s="59">
        <f t="shared" si="8"/>
        <v>-8.7025489981339437</v>
      </c>
      <c r="X17" s="59">
        <f t="shared" si="8"/>
        <v>13.792766688003415</v>
      </c>
      <c r="Y17" s="59">
        <f t="shared" si="8"/>
        <v>26.921351295455</v>
      </c>
      <c r="Z17" s="59">
        <f t="shared" si="8"/>
        <v>4.6417305184270141</v>
      </c>
      <c r="AA17" s="59">
        <f t="shared" si="8"/>
        <v>8.2726730674338302</v>
      </c>
      <c r="AB17" s="59">
        <f t="shared" si="8"/>
        <v>7.0593893393080993</v>
      </c>
      <c r="AC17" s="59">
        <f t="shared" si="8"/>
        <v>-11.081899618944162</v>
      </c>
      <c r="AD17" s="59">
        <f t="shared" si="8"/>
        <v>-6.9874586929974063</v>
      </c>
      <c r="AE17" s="59">
        <f t="shared" si="8"/>
        <v>-6.4154039264202432</v>
      </c>
      <c r="AF17" s="59">
        <f t="shared" si="8"/>
        <v>-10.550949660851474</v>
      </c>
      <c r="AG17" s="59">
        <f t="shared" si="8"/>
        <v>-8.7033687360925924</v>
      </c>
      <c r="AH17" s="59">
        <f t="shared" si="8"/>
        <v>-75.974522610610521</v>
      </c>
      <c r="AI17" s="59">
        <f t="shared" si="8"/>
        <v>82.942724570369109</v>
      </c>
      <c r="AJ17" s="59">
        <f t="shared" si="8"/>
        <v>42.241381900051074</v>
      </c>
      <c r="AK17" s="59">
        <f t="shared" si="8"/>
        <v>174.47572427512992</v>
      </c>
      <c r="AL17" s="59">
        <f t="shared" si="8"/>
        <v>21.553651029850304</v>
      </c>
      <c r="AM17" s="59">
        <f t="shared" si="8"/>
        <v>38.529968312667769</v>
      </c>
      <c r="AN17" s="59">
        <f t="shared" si="8"/>
        <v>16.552754234007914</v>
      </c>
      <c r="AO17" s="59">
        <f t="shared" si="8"/>
        <v>117.55029041821324</v>
      </c>
      <c r="AP17" s="59">
        <f t="shared" si="8"/>
        <v>3.6569795330270471</v>
      </c>
      <c r="AQ17" s="59">
        <f t="shared" si="8"/>
        <v>-2.9213094604621456E-2</v>
      </c>
      <c r="AR17" s="59">
        <f t="shared" si="8"/>
        <v>1.7111506694790921</v>
      </c>
      <c r="AS17" s="59">
        <f t="shared" si="8"/>
        <v>2.0142183393403004</v>
      </c>
      <c r="AT17" s="59">
        <f t="shared" si="8"/>
        <v>1.329407408175258E-2</v>
      </c>
      <c r="AU17" s="59">
        <f t="shared" si="8"/>
        <v>0.42031546364495448</v>
      </c>
      <c r="AV17" s="59">
        <f t="shared" si="8"/>
        <v>-2.4001994481637641</v>
      </c>
      <c r="AW17" s="59">
        <f t="shared" si="8"/>
        <v>-4.7864755823053091</v>
      </c>
      <c r="AX17" s="59">
        <f t="shared" si="8"/>
        <v>-5.3043956008828426</v>
      </c>
      <c r="AY17" s="59">
        <f t="shared" si="8"/>
        <v>-3.0198691476987345</v>
      </c>
      <c r="AZ17" s="59">
        <f t="shared" si="8"/>
        <v>-0.26775879928121005</v>
      </c>
      <c r="BA17" s="59">
        <f t="shared" si="8"/>
        <v>-7.9884460852363004E-2</v>
      </c>
      <c r="BB17" s="59">
        <f t="shared" si="8"/>
        <v>0.81042987141910239</v>
      </c>
      <c r="BC17" s="59">
        <f t="shared" si="8"/>
        <v>1.2819377048600351</v>
      </c>
      <c r="BD17" s="59">
        <f t="shared" si="8"/>
        <v>-11.097043634530786</v>
      </c>
      <c r="BE17" s="59">
        <f t="shared" si="8"/>
        <v>-8.0702000560536025</v>
      </c>
      <c r="BF17" s="59">
        <f t="shared" si="8"/>
        <v>0.31410104874995826</v>
      </c>
      <c r="BG17" s="59">
        <f t="shared" si="8"/>
        <v>0.81310280920674027</v>
      </c>
      <c r="BH17" s="59">
        <f t="shared" si="8"/>
        <v>1.1381230576916839</v>
      </c>
      <c r="BI17" s="59">
        <f t="shared" si="8"/>
        <v>-0.55681661431202112</v>
      </c>
      <c r="BJ17" s="59">
        <f t="shared" si="8"/>
        <v>-0.11067376984672148</v>
      </c>
      <c r="BK17" s="59">
        <f t="shared" si="8"/>
        <v>-0.12931375022639152</v>
      </c>
      <c r="BL17" s="59">
        <f t="shared" si="8"/>
        <v>-0.60577975961190222</v>
      </c>
      <c r="BM17" s="59">
        <f t="shared" si="8"/>
        <v>1.0243088508021607</v>
      </c>
      <c r="BN17" s="59">
        <f t="shared" si="8"/>
        <v>1.3398266718401344</v>
      </c>
      <c r="BO17" s="59">
        <f t="shared" si="8"/>
        <v>1.1828684599192467</v>
      </c>
      <c r="BP17" s="59">
        <f t="shared" si="8"/>
        <v>2.2003925916674101</v>
      </c>
      <c r="BQ17" s="59">
        <f t="shared" si="8"/>
        <v>2.3456853328726242</v>
      </c>
      <c r="BR17" s="59">
        <f t="shared" ref="BR17:CL17" si="9">(BR11+BR13-BR7-BR3)/BR4</f>
        <v>2.5215616445809794</v>
      </c>
      <c r="BS17" s="59">
        <f t="shared" si="9"/>
        <v>2.0650090997279444</v>
      </c>
      <c r="BT17" s="59">
        <f t="shared" si="9"/>
        <v>0.76472387203142489</v>
      </c>
      <c r="BU17" s="59">
        <f t="shared" si="9"/>
        <v>0.91092985073924193</v>
      </c>
      <c r="BV17" s="59">
        <f t="shared" si="9"/>
        <v>1.753600759823978</v>
      </c>
      <c r="BW17" s="59">
        <f t="shared" si="9"/>
        <v>3.8454859736626816</v>
      </c>
      <c r="BX17" s="59">
        <f t="shared" si="9"/>
        <v>4.4521238945107076</v>
      </c>
      <c r="BY17" s="59">
        <f t="shared" si="9"/>
        <v>3159.4719101123596</v>
      </c>
      <c r="BZ17" s="59" t="e">
        <f t="shared" si="9"/>
        <v>#DIV/0!</v>
      </c>
      <c r="CA17" s="59">
        <f t="shared" si="9"/>
        <v>1.1799768449446786</v>
      </c>
      <c r="CB17" s="59">
        <f t="shared" si="9"/>
        <v>1.0389802437004614</v>
      </c>
      <c r="CC17" s="59">
        <f t="shared" si="9"/>
        <v>1.0496114862089925</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5" t="s">
        <v>741</v>
      </c>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c r="AA18" s="277"/>
      <c r="AB18" s="277"/>
      <c r="AC18" s="277"/>
      <c r="AD18" s="277"/>
      <c r="AE18" s="277"/>
      <c r="AF18" s="277"/>
      <c r="AG18" s="277"/>
    </row>
    <row r="19" spans="1:90" x14ac:dyDescent="0.25">
      <c r="A19" s="112" t="s">
        <v>571</v>
      </c>
      <c r="B19" s="113"/>
      <c r="C19" s="113"/>
      <c r="D19" s="113"/>
      <c r="E19" s="113" t="s">
        <v>564</v>
      </c>
      <c r="F19" s="113"/>
      <c r="G19" s="113"/>
      <c r="H19" s="113"/>
      <c r="I19" s="113" t="s">
        <v>599</v>
      </c>
      <c r="M19" s="113" t="s">
        <v>566</v>
      </c>
      <c r="N19" s="63"/>
      <c r="O19" s="63"/>
      <c r="P19" s="63"/>
      <c r="Q19" s="63"/>
      <c r="R19" s="63"/>
      <c r="S19" s="63"/>
      <c r="T19" s="63"/>
      <c r="U19" s="63"/>
    </row>
    <row r="20" spans="1:90" s="63" customFormat="1" ht="14.25" customHeight="1" x14ac:dyDescent="0.25">
      <c r="A20" s="112" t="s">
        <v>572</v>
      </c>
      <c r="B20" s="114"/>
      <c r="C20" s="114"/>
      <c r="D20" s="114"/>
      <c r="E20" s="114">
        <f>POWER(E9/U9,1/5)-1</f>
        <v>0.22456719985557827</v>
      </c>
      <c r="F20" s="114"/>
      <c r="G20" s="114"/>
      <c r="H20" s="114"/>
      <c r="I20" s="114">
        <f>POWER(E9/Y9,1/6)-1</f>
        <v>0.25052821969561179</v>
      </c>
      <c r="M20" s="114">
        <f>POWER(E9/AC9,1/7)-1</f>
        <v>0.20221185192356628</v>
      </c>
    </row>
    <row r="21" spans="1:90" s="63" customFormat="1" ht="14.25" customHeight="1" x14ac:dyDescent="0.25">
      <c r="A21" s="112" t="s">
        <v>570</v>
      </c>
      <c r="B21" s="114"/>
      <c r="C21" s="114"/>
      <c r="D21" s="114"/>
      <c r="E21" s="114">
        <f>POWER(E4/U4,1/5)-1</f>
        <v>-2.0983111544088242</v>
      </c>
      <c r="F21" s="114"/>
      <c r="G21" s="114"/>
      <c r="H21" s="114"/>
      <c r="I21" s="114">
        <f>POWER(E4/Y4,1/6)-1</f>
        <v>0.37823974603229904</v>
      </c>
      <c r="M21" s="114">
        <f>POWER(E4/AC4,1/7)-1</f>
        <v>-2.1898280624199251</v>
      </c>
    </row>
    <row r="22" spans="1:90" s="63" customFormat="1" ht="14.25" customHeight="1" x14ac:dyDescent="0.25">
      <c r="A22" s="112" t="s">
        <v>573</v>
      </c>
      <c r="B22" s="114"/>
      <c r="C22" s="114"/>
      <c r="D22" s="114"/>
      <c r="E22" s="114">
        <f>POWER(E5/U5,1/5)-1</f>
        <v>0.30904713308737231</v>
      </c>
      <c r="F22" s="114"/>
      <c r="G22" s="114"/>
      <c r="H22" s="114"/>
      <c r="I22" s="114">
        <f>POWER(E5/Y5,1/6)-1</f>
        <v>0.26095135422808546</v>
      </c>
      <c r="M22" s="114">
        <f>POWER(E5/AC5,1/7)-1</f>
        <v>0.28111162122951905</v>
      </c>
    </row>
    <row r="23" spans="1:90" s="63" customFormat="1" ht="14.25" customHeight="1" x14ac:dyDescent="0.25">
      <c r="A23" s="112" t="s">
        <v>574</v>
      </c>
      <c r="B23" s="114"/>
      <c r="C23" s="114"/>
      <c r="D23" s="114"/>
      <c r="E23" s="114">
        <f>POWER(E6/U6,1/5)-1</f>
        <v>0.23610476718208351</v>
      </c>
      <c r="F23" s="114"/>
      <c r="G23" s="114"/>
      <c r="H23" s="114"/>
      <c r="I23" s="114">
        <f>POWER(E6/Y6,1/6)-1</f>
        <v>0.25267194673658055</v>
      </c>
      <c r="M23" s="114">
        <f>POWER(E6/AC6,1/7)-1</f>
        <v>0.2393558332304333</v>
      </c>
    </row>
    <row r="24" spans="1:90" s="63" customFormat="1" ht="14.25" customHeight="1" x14ac:dyDescent="0.25">
      <c r="A24" s="112" t="s">
        <v>575</v>
      </c>
      <c r="B24" s="114"/>
      <c r="C24" s="114"/>
      <c r="D24" s="114"/>
      <c r="E24" s="114">
        <f>POWER(E7/U7,1/5)-1</f>
        <v>0.20397114517667125</v>
      </c>
      <c r="F24" s="114"/>
      <c r="G24" s="114"/>
      <c r="H24" s="114"/>
      <c r="I24" s="114">
        <f>POWER(E7/Y7,1/6)-1</f>
        <v>0.24980234552346348</v>
      </c>
      <c r="M24" s="114">
        <f>POWER(E7/AC7,1/7)-1</f>
        <v>0.21266608197716574</v>
      </c>
    </row>
    <row r="25" spans="1:90" s="106" customFormat="1" x14ac:dyDescent="0.25">
      <c r="A25" s="141" t="s">
        <v>551</v>
      </c>
      <c r="B25" s="107"/>
      <c r="C25" s="107"/>
      <c r="D25" s="107"/>
      <c r="E25" s="107">
        <f>(E2-I2)/I2</f>
        <v>-1.1957130413280229E-2</v>
      </c>
      <c r="F25" s="107">
        <f t="shared" ref="F25:BQ25" si="10">(F2-J2)/J2</f>
        <v>0.30180441301644806</v>
      </c>
      <c r="G25" s="107">
        <f t="shared" si="10"/>
        <v>0.14166452211757491</v>
      </c>
      <c r="H25" s="107">
        <f t="shared" si="10"/>
        <v>7.662674522971874E-2</v>
      </c>
      <c r="I25" s="107">
        <f t="shared" si="10"/>
        <v>0.47495324208673112</v>
      </c>
      <c r="J25" s="106">
        <f t="shared" si="10"/>
        <v>0.16994209867416407</v>
      </c>
      <c r="K25" s="106">
        <f t="shared" si="10"/>
        <v>0.2473649650143378</v>
      </c>
      <c r="L25" s="106">
        <f t="shared" si="10"/>
        <v>0.28623682732309008</v>
      </c>
      <c r="M25" s="107">
        <f t="shared" si="10"/>
        <v>-3.0484162944868606E-2</v>
      </c>
      <c r="N25" s="107">
        <f t="shared" si="10"/>
        <v>-0.13983511469426188</v>
      </c>
      <c r="O25" s="107">
        <f t="shared" si="10"/>
        <v>-0.19800355010760526</v>
      </c>
      <c r="P25" s="107">
        <f t="shared" si="10"/>
        <v>-0.26119852753915818</v>
      </c>
      <c r="Q25" s="107">
        <f t="shared" si="10"/>
        <v>0.90044500584935872</v>
      </c>
      <c r="R25" s="107">
        <f t="shared" si="10"/>
        <v>0.71176858170954027</v>
      </c>
      <c r="S25" s="107">
        <f t="shared" si="10"/>
        <v>0.54194920679526204</v>
      </c>
      <c r="T25" s="107">
        <f t="shared" si="10"/>
        <v>1.897329875070735</v>
      </c>
      <c r="U25" s="107">
        <f t="shared" si="10"/>
        <v>0.32657640796812831</v>
      </c>
      <c r="V25" s="106">
        <f t="shared" si="10"/>
        <v>0.60687344775572982</v>
      </c>
      <c r="W25" s="106">
        <f t="shared" si="10"/>
        <v>0.76369644438589657</v>
      </c>
      <c r="X25" s="106">
        <f t="shared" si="10"/>
        <v>3.2358512152300012E-2</v>
      </c>
      <c r="Y25" s="106">
        <f t="shared" si="10"/>
        <v>-0.2369978039631864</v>
      </c>
      <c r="Z25" s="106">
        <f t="shared" si="10"/>
        <v>-0.27202963170618871</v>
      </c>
      <c r="AA25" s="106">
        <f t="shared" si="10"/>
        <v>-0.28847863462666173</v>
      </c>
      <c r="AB25" s="106">
        <f t="shared" si="10"/>
        <v>-0.22414609743683375</v>
      </c>
      <c r="AC25" s="106">
        <f t="shared" si="10"/>
        <v>-0.15011522594773755</v>
      </c>
      <c r="AD25" s="106">
        <f t="shared" si="10"/>
        <v>0.18848207681019852</v>
      </c>
      <c r="AE25" s="106">
        <f t="shared" si="10"/>
        <v>0.27441074990846331</v>
      </c>
      <c r="AF25" s="106">
        <f t="shared" si="10"/>
        <v>0.26767893279555172</v>
      </c>
      <c r="AG25" s="106">
        <f t="shared" si="10"/>
        <v>0.4892032149713717</v>
      </c>
      <c r="AH25" s="106">
        <f t="shared" si="10"/>
        <v>0.31862902577918112</v>
      </c>
      <c r="AI25" s="106">
        <f t="shared" si="10"/>
        <v>0.3094583055595756</v>
      </c>
      <c r="AJ25" s="106">
        <f t="shared" si="10"/>
        <v>3.0903345047941246</v>
      </c>
      <c r="AK25" s="106">
        <f t="shared" si="10"/>
        <v>3.1707733046667417</v>
      </c>
      <c r="AL25" s="106">
        <f t="shared" si="10"/>
        <v>3.2922567995947993</v>
      </c>
      <c r="AM25" s="106">
        <f t="shared" si="10"/>
        <v>6.6472739901689293</v>
      </c>
      <c r="AN25" s="106">
        <f t="shared" si="10"/>
        <v>1.3284806678390693</v>
      </c>
      <c r="AO25" s="106">
        <f t="shared" si="10"/>
        <v>1.1099721762075163</v>
      </c>
      <c r="AP25" s="106">
        <f t="shared" si="10"/>
        <v>0.37778353407456688</v>
      </c>
      <c r="AQ25" s="106">
        <f t="shared" si="10"/>
        <v>-0.10533684401568982</v>
      </c>
      <c r="AR25" s="106">
        <f t="shared" si="10"/>
        <v>-0.10413347041463107</v>
      </c>
      <c r="AS25" s="106">
        <f t="shared" si="10"/>
        <v>8.4132007508761097E-2</v>
      </c>
      <c r="AT25" s="106">
        <f t="shared" si="10"/>
        <v>-4.3043446028894601E-2</v>
      </c>
      <c r="AU25" s="106">
        <f t="shared" si="10"/>
        <v>0.38776460843717581</v>
      </c>
      <c r="AV25" s="106">
        <f t="shared" si="10"/>
        <v>9.5575727183922543E-2</v>
      </c>
      <c r="AW25" s="106">
        <f t="shared" si="10"/>
        <v>-0.13046846713730309</v>
      </c>
      <c r="AX25" s="106">
        <f t="shared" si="10"/>
        <v>-0.35342950620410929</v>
      </c>
      <c r="AY25" s="106">
        <f t="shared" si="10"/>
        <v>-0.68522356661981054</v>
      </c>
      <c r="AZ25" s="106">
        <f t="shared" si="10"/>
        <v>0.10525942886933713</v>
      </c>
      <c r="BA25" s="106">
        <f t="shared" si="10"/>
        <v>0.13136336321563405</v>
      </c>
      <c r="BB25" s="106">
        <f t="shared" si="10"/>
        <v>1.2537272649576195E-2</v>
      </c>
      <c r="BC25" s="106">
        <f t="shared" si="10"/>
        <v>0.71785890369704075</v>
      </c>
      <c r="BD25" s="106">
        <f t="shared" si="10"/>
        <v>-0.50592045962077847</v>
      </c>
      <c r="BE25" s="106">
        <f t="shared" si="10"/>
        <v>-0.18321869222995313</v>
      </c>
      <c r="BF25" s="106">
        <f t="shared" si="10"/>
        <v>1.0646802617080322</v>
      </c>
      <c r="BG25" s="106">
        <f t="shared" si="10"/>
        <v>0.52713893685119728</v>
      </c>
      <c r="BH25" s="106">
        <f t="shared" si="10"/>
        <v>0.63342373694540466</v>
      </c>
      <c r="BI25" s="106">
        <f t="shared" si="10"/>
        <v>-1.8574903464502777E-2</v>
      </c>
      <c r="BJ25" s="106">
        <f t="shared" si="10"/>
        <v>0.4281721080028526</v>
      </c>
      <c r="BK25" s="106">
        <f t="shared" si="10"/>
        <v>0.81413121449151227</v>
      </c>
      <c r="BL25" s="106">
        <f t="shared" si="10"/>
        <v>0.74911459427008542</v>
      </c>
      <c r="BM25" s="106">
        <f t="shared" si="10"/>
        <v>0.88555546239930472</v>
      </c>
      <c r="BN25" s="106">
        <f t="shared" si="10"/>
        <v>-2.5491491037769556E-2</v>
      </c>
      <c r="BO25" s="106">
        <f t="shared" si="10"/>
        <v>-0.28319894484253305</v>
      </c>
      <c r="BP25" s="106">
        <f t="shared" si="10"/>
        <v>1.6329348616327919</v>
      </c>
      <c r="BQ25" s="106">
        <f t="shared" si="10"/>
        <v>2.6378266011487619</v>
      </c>
      <c r="BR25" s="106">
        <f t="shared" ref="BR25:CK25" si="11">(BR2-BV2)/BV2</f>
        <v>2.4886916924774636</v>
      </c>
      <c r="BS25" s="106">
        <f t="shared" si="11"/>
        <v>3.2128424140771248</v>
      </c>
      <c r="BT25" s="106">
        <f t="shared" si="11"/>
        <v>0.41216772539887037</v>
      </c>
      <c r="BU25" s="106">
        <f t="shared" si="11"/>
        <v>-0.18834558805686191</v>
      </c>
      <c r="BV25" s="106" t="e">
        <f t="shared" si="11"/>
        <v>#DIV/0!</v>
      </c>
      <c r="BW25" s="106">
        <f t="shared" si="11"/>
        <v>5.9944903004147987</v>
      </c>
      <c r="BX25" s="106">
        <f t="shared" si="11"/>
        <v>6.8991239872790153</v>
      </c>
      <c r="BY25" s="106">
        <f t="shared" si="11"/>
        <v>13.779642780288357</v>
      </c>
      <c r="BZ25" s="106" t="e">
        <f t="shared" si="11"/>
        <v>#DIV/0!</v>
      </c>
      <c r="CA25" s="106" t="e">
        <f t="shared" si="11"/>
        <v>#DIV/0!</v>
      </c>
      <c r="CB25" s="106" t="e">
        <f t="shared" si="11"/>
        <v>#DIV/0!</v>
      </c>
      <c r="CC25" s="106" t="e">
        <f t="shared" si="11"/>
        <v>#DIV/0!</v>
      </c>
      <c r="CD25" s="106" t="e">
        <f t="shared" si="11"/>
        <v>#DIV/0!</v>
      </c>
      <c r="CE25" s="106" t="e">
        <f t="shared" si="11"/>
        <v>#DIV/0!</v>
      </c>
      <c r="CF25" s="106" t="e">
        <f t="shared" si="11"/>
        <v>#DIV/0!</v>
      </c>
      <c r="CG25" s="106" t="e">
        <f t="shared" si="11"/>
        <v>#DIV/0!</v>
      </c>
      <c r="CH25" s="106" t="e">
        <f t="shared" si="11"/>
        <v>#DIV/0!</v>
      </c>
      <c r="CI25" s="106" t="e">
        <f t="shared" si="11"/>
        <v>#DIV/0!</v>
      </c>
      <c r="CJ25" s="106" t="e">
        <f t="shared" si="11"/>
        <v>#DIV/0!</v>
      </c>
      <c r="CK25" s="106" t="e">
        <f t="shared" si="11"/>
        <v>#DIV/0!</v>
      </c>
    </row>
    <row r="26" spans="1:90" s="107" customFormat="1" x14ac:dyDescent="0.25">
      <c r="A26" s="141" t="s">
        <v>559</v>
      </c>
      <c r="E26" s="107">
        <f>E2/E9</f>
        <v>0.27391425299301403</v>
      </c>
      <c r="F26" s="107">
        <f t="shared" ref="F26:BQ26" si="12">F2/F9</f>
        <v>0.27566023704443393</v>
      </c>
      <c r="G26" s="107">
        <f t="shared" si="12"/>
        <v>0.2814020846995392</v>
      </c>
      <c r="H26" s="107">
        <f t="shared" si="12"/>
        <v>0.29976209976915852</v>
      </c>
      <c r="I26" s="107">
        <f t="shared" si="12"/>
        <v>0.35340796225864085</v>
      </c>
      <c r="J26" s="107">
        <f t="shared" si="12"/>
        <v>0.29546651350915498</v>
      </c>
      <c r="K26" s="107">
        <f t="shared" si="12"/>
        <v>0.31718998176206453</v>
      </c>
      <c r="L26" s="107">
        <f t="shared" si="12"/>
        <v>0.35420211674871177</v>
      </c>
      <c r="M26" s="107">
        <f t="shared" si="12"/>
        <v>0.3167851022429734</v>
      </c>
      <c r="N26" s="107">
        <f t="shared" si="12"/>
        <v>0.29387853137541409</v>
      </c>
      <c r="O26" s="107">
        <f t="shared" si="12"/>
        <v>0.30587356029840562</v>
      </c>
      <c r="P26" s="107">
        <f t="shared" si="12"/>
        <v>0.32755242934873496</v>
      </c>
      <c r="Q26" s="107">
        <f t="shared" si="12"/>
        <v>0.35956053547598377</v>
      </c>
      <c r="R26" s="107">
        <f t="shared" si="12"/>
        <v>0.37488559620319656</v>
      </c>
      <c r="S26" s="107">
        <f t="shared" si="12"/>
        <v>0.40891207102764937</v>
      </c>
      <c r="T26" s="107">
        <f t="shared" si="12"/>
        <v>0.46460749937899487</v>
      </c>
      <c r="U26" s="107">
        <f t="shared" si="12"/>
        <v>0.28090759967219364</v>
      </c>
      <c r="V26" s="107">
        <f t="shared" si="12"/>
        <v>0.31710857420455069</v>
      </c>
      <c r="W26" s="107">
        <f t="shared" si="12"/>
        <v>0.39895135971273343</v>
      </c>
      <c r="X26" s="107">
        <f t="shared" si="12"/>
        <v>0.3081347490357555</v>
      </c>
      <c r="Y26" s="107">
        <f t="shared" si="12"/>
        <v>0.29408920643674358</v>
      </c>
      <c r="Z26" s="107">
        <f t="shared" si="12"/>
        <v>0.2675198455737739</v>
      </c>
      <c r="AA26" s="107">
        <f t="shared" si="12"/>
        <v>0.29436975422758788</v>
      </c>
      <c r="AB26" s="107">
        <f t="shared" si="12"/>
        <v>0.30215546807551696</v>
      </c>
      <c r="AC26" s="107">
        <f t="shared" si="12"/>
        <v>0.36581318440578431</v>
      </c>
      <c r="AD26" s="107">
        <f t="shared" si="12"/>
        <v>0.37102856001691686</v>
      </c>
      <c r="AE26" s="107">
        <f t="shared" si="12"/>
        <v>0.42646823186227123</v>
      </c>
      <c r="AF26" s="107">
        <f t="shared" si="12"/>
        <v>0.44632472500304221</v>
      </c>
      <c r="AG26" s="107">
        <f t="shared" si="12"/>
        <v>0.53373018293374253</v>
      </c>
      <c r="AH26" s="107">
        <f t="shared" si="12"/>
        <v>0.46836952202507315</v>
      </c>
      <c r="AI26" s="107">
        <f t="shared" si="12"/>
        <v>0.53360754372491015</v>
      </c>
      <c r="AJ26" s="107">
        <f t="shared" si="12"/>
        <v>0.6033767198130443</v>
      </c>
      <c r="AK26" s="107">
        <f t="shared" si="12"/>
        <v>0.62298932098353288</v>
      </c>
      <c r="AL26" s="107">
        <f t="shared" si="12"/>
        <v>0.57247821485781991</v>
      </c>
      <c r="AM26" s="107">
        <f t="shared" si="12"/>
        <v>0.60115772660342137</v>
      </c>
      <c r="AN26" s="107">
        <f t="shared" si="12"/>
        <v>0.33797086822656097</v>
      </c>
      <c r="AO26" s="107">
        <f t="shared" si="12"/>
        <v>0.33747054077544431</v>
      </c>
      <c r="AP26" s="107">
        <f t="shared" si="12"/>
        <v>0.262372492033625</v>
      </c>
      <c r="AQ26" s="107">
        <f t="shared" si="12"/>
        <v>0.16635700956614927</v>
      </c>
      <c r="AR26" s="107">
        <f t="shared" si="12"/>
        <v>0.16959823915432834</v>
      </c>
      <c r="AS26" s="107">
        <f t="shared" si="12"/>
        <v>0.17494971310150145</v>
      </c>
      <c r="AT26" s="107">
        <f t="shared" si="12"/>
        <v>0.19670519735628039</v>
      </c>
      <c r="AU26" s="107">
        <f t="shared" si="12"/>
        <v>0.17896180930587136</v>
      </c>
      <c r="AV26" s="107">
        <f t="shared" si="12"/>
        <v>0.16035514642324467</v>
      </c>
      <c r="AW26" s="107">
        <f t="shared" si="12"/>
        <v>0.12913902496034141</v>
      </c>
      <c r="AX26" s="107">
        <f t="shared" si="12"/>
        <v>0.16649864491057234</v>
      </c>
      <c r="AY26" s="107">
        <f t="shared" si="12"/>
        <v>9.138522821501617E-2</v>
      </c>
      <c r="AZ26" s="107">
        <f t="shared" si="12"/>
        <v>0.10509991590722041</v>
      </c>
      <c r="BA26" s="107">
        <f t="shared" si="12"/>
        <v>0.11403810762214055</v>
      </c>
      <c r="BB26" s="107">
        <f t="shared" si="12"/>
        <v>0.18675870786717511</v>
      </c>
      <c r="BC26" s="107">
        <f t="shared" si="12"/>
        <v>0.23402298895505028</v>
      </c>
      <c r="BD26" s="107">
        <f t="shared" si="12"/>
        <v>0.11090727789649819</v>
      </c>
      <c r="BE26" s="107">
        <f t="shared" si="12"/>
        <v>0.12410107314796556</v>
      </c>
      <c r="BF26" s="107">
        <f t="shared" si="12"/>
        <v>0.25960634894984969</v>
      </c>
      <c r="BG26" s="107">
        <f t="shared" si="12"/>
        <v>0.24681174508317533</v>
      </c>
      <c r="BH26" s="107">
        <f t="shared" si="12"/>
        <v>0.30542836220343333</v>
      </c>
      <c r="BI26" s="107">
        <f t="shared" si="12"/>
        <v>0.22641897181989967</v>
      </c>
      <c r="BJ26" s="107">
        <f t="shared" si="12"/>
        <v>0.21505084705458993</v>
      </c>
      <c r="BK26" s="107">
        <f t="shared" si="12"/>
        <v>0.22224725576171844</v>
      </c>
      <c r="BL26" s="107">
        <f t="shared" si="12"/>
        <v>0.2664049379950072</v>
      </c>
      <c r="BM26" s="107">
        <f t="shared" si="12"/>
        <v>0.42642919346323532</v>
      </c>
      <c r="BN26" s="107">
        <f t="shared" si="12"/>
        <v>0.30006454861477661</v>
      </c>
      <c r="BO26" s="107">
        <f t="shared" si="12"/>
        <v>0.25868524752521482</v>
      </c>
      <c r="BP26" s="107">
        <f t="shared" si="12"/>
        <v>0.3316360867638416</v>
      </c>
      <c r="BQ26" s="107">
        <f t="shared" si="12"/>
        <v>0.35846804584785658</v>
      </c>
      <c r="BR26" s="107">
        <f t="shared" ref="BR26:CK26" si="13">BR2/BR9</f>
        <v>0.38686181496059363</v>
      </c>
      <c r="BS26" s="107">
        <f t="shared" si="13"/>
        <v>0.41733895176752561</v>
      </c>
      <c r="BT26" s="107">
        <f t="shared" si="13"/>
        <v>0.21303487781727642</v>
      </c>
      <c r="BU26" s="107">
        <f t="shared" si="13"/>
        <v>0.18587235698342502</v>
      </c>
      <c r="BV26" s="107">
        <f t="shared" si="13"/>
        <v>0.23148304795537461</v>
      </c>
      <c r="BW26" s="107">
        <f t="shared" si="13"/>
        <v>0.23050486347139115</v>
      </c>
      <c r="BX26" s="107">
        <f t="shared" si="13"/>
        <v>0.26353869841428534</v>
      </c>
      <c r="BY26" s="107">
        <f t="shared" si="13"/>
        <v>0.33327348602484475</v>
      </c>
      <c r="BZ26" s="107">
        <f t="shared" si="13"/>
        <v>0</v>
      </c>
      <c r="CA26" s="107">
        <f t="shared" si="13"/>
        <v>5.9745243498101903E-2</v>
      </c>
      <c r="CB26" s="107">
        <f t="shared" si="13"/>
        <v>5.9390112707493392E-2</v>
      </c>
      <c r="CC26" s="107">
        <f t="shared" si="13"/>
        <v>4.7176307957300719E-2</v>
      </c>
      <c r="CD26" s="107" t="e">
        <f t="shared" si="13"/>
        <v>#DIV/0!</v>
      </c>
      <c r="CE26" s="107" t="e">
        <f t="shared" si="13"/>
        <v>#DIV/0!</v>
      </c>
      <c r="CF26" s="107" t="e">
        <f t="shared" si="13"/>
        <v>#DIV/0!</v>
      </c>
      <c r="CG26" s="107" t="e">
        <f t="shared" si="13"/>
        <v>#DIV/0!</v>
      </c>
      <c r="CH26" s="107" t="e">
        <f t="shared" si="13"/>
        <v>#DIV/0!</v>
      </c>
      <c r="CI26" s="107" t="e">
        <f t="shared" si="13"/>
        <v>#DIV/0!</v>
      </c>
      <c r="CJ26" s="107" t="e">
        <f t="shared" si="13"/>
        <v>#DIV/0!</v>
      </c>
      <c r="CK26" s="107" t="e">
        <f t="shared" si="13"/>
        <v>#DIV/0!</v>
      </c>
    </row>
    <row r="27" spans="1:90" s="108" customFormat="1" x14ac:dyDescent="0.25">
      <c r="A27" s="142" t="s">
        <v>552</v>
      </c>
      <c r="E27" s="108">
        <f>(E3-I3)/I3</f>
        <v>4.1093549103316844</v>
      </c>
      <c r="F27" s="108">
        <f t="shared" ref="F27:BQ27" si="14">(F3-J3)/J3</f>
        <v>0.17529391182262322</v>
      </c>
      <c r="G27" s="108">
        <f t="shared" si="14"/>
        <v>0.16468576789534159</v>
      </c>
      <c r="H27" s="108">
        <f t="shared" si="14"/>
        <v>0.18221043828453809</v>
      </c>
      <c r="I27" s="108">
        <f t="shared" si="14"/>
        <v>7.6020162704386704E-2</v>
      </c>
      <c r="J27" s="108">
        <f t="shared" si="14"/>
        <v>1.7060889914264563</v>
      </c>
      <c r="K27" s="108">
        <f t="shared" si="14"/>
        <v>1.5815371777306384</v>
      </c>
      <c r="L27" s="108">
        <f t="shared" si="14"/>
        <v>1.6395150721184952</v>
      </c>
      <c r="M27" s="108">
        <f t="shared" si="14"/>
        <v>0.97286258048802166</v>
      </c>
      <c r="N27" s="108">
        <f t="shared" si="14"/>
        <v>-0.24285835755218679</v>
      </c>
      <c r="O27" s="108">
        <f t="shared" si="14"/>
        <v>-0.33325807215501807</v>
      </c>
      <c r="P27" s="108">
        <f t="shared" si="14"/>
        <v>-0.35256210631809953</v>
      </c>
      <c r="Q27" s="108">
        <f t="shared" si="14"/>
        <v>-0.35462881024744075</v>
      </c>
      <c r="R27" s="108">
        <f t="shared" si="14"/>
        <v>-1.5011721799031895E-2</v>
      </c>
      <c r="S27" s="108">
        <f t="shared" si="14"/>
        <v>-3.5420096633227535E-3</v>
      </c>
      <c r="T27" s="108">
        <f t="shared" si="14"/>
        <v>1.980255120029225E-2</v>
      </c>
      <c r="U27" s="108">
        <f t="shared" si="14"/>
        <v>1.8980930191769184E-2</v>
      </c>
      <c r="V27" s="108">
        <f t="shared" si="14"/>
        <v>3.3928102331905421E-2</v>
      </c>
      <c r="W27" s="108">
        <f t="shared" si="14"/>
        <v>4.8000720529426347E-2</v>
      </c>
      <c r="X27" s="108">
        <f t="shared" si="14"/>
        <v>1.5091873163684296E-2</v>
      </c>
      <c r="Y27" s="108">
        <f t="shared" si="14"/>
        <v>1.3067981800689901E-2</v>
      </c>
      <c r="Z27" s="108">
        <f t="shared" si="14"/>
        <v>15.159202682900895</v>
      </c>
      <c r="AA27" s="108">
        <f t="shared" si="14"/>
        <v>14.684860094017361</v>
      </c>
      <c r="AB27" s="108">
        <f t="shared" si="14"/>
        <v>14.473610414524522</v>
      </c>
      <c r="AC27" s="108">
        <f t="shared" si="14"/>
        <v>14.180712819345901</v>
      </c>
      <c r="AD27" s="108">
        <f t="shared" si="14"/>
        <v>-8.6776081345537534E-2</v>
      </c>
      <c r="AE27" s="108">
        <f t="shared" si="14"/>
        <v>-9.9592965182078733E-2</v>
      </c>
      <c r="AF27" s="108">
        <f t="shared" si="14"/>
        <v>-6.3102496847765605E-3</v>
      </c>
      <c r="AG27" s="108">
        <f t="shared" si="14"/>
        <v>-1.6605452610107069E-2</v>
      </c>
      <c r="AH27" s="108">
        <f t="shared" si="14"/>
        <v>-0.83598506013715301</v>
      </c>
      <c r="AI27" s="108">
        <f t="shared" si="14"/>
        <v>-0.68068324034944006</v>
      </c>
      <c r="AJ27" s="108">
        <f t="shared" si="14"/>
        <v>-0.80542094407501685</v>
      </c>
      <c r="AK27" s="108">
        <f t="shared" si="14"/>
        <v>-0.8115201534983485</v>
      </c>
      <c r="AL27" s="108">
        <f t="shared" si="14"/>
        <v>-0.28350159528372482</v>
      </c>
      <c r="AM27" s="108">
        <f t="shared" si="14"/>
        <v>-0.6573238156103739</v>
      </c>
      <c r="AN27" s="108">
        <f t="shared" si="14"/>
        <v>-0.48831003538339085</v>
      </c>
      <c r="AO27" s="108">
        <f t="shared" si="14"/>
        <v>-0.46889667130296009</v>
      </c>
      <c r="AP27" s="108">
        <f t="shared" si="14"/>
        <v>-0.7137735257377692</v>
      </c>
      <c r="AQ27" s="108">
        <f t="shared" si="14"/>
        <v>-0.67764293431029166</v>
      </c>
      <c r="AR27" s="108">
        <f t="shared" si="14"/>
        <v>-0.6821751206755613</v>
      </c>
      <c r="AS27" s="108">
        <f t="shared" si="14"/>
        <v>-0.77228423576005456</v>
      </c>
      <c r="AT27" s="108">
        <f t="shared" si="14"/>
        <v>-0.26623031062775721</v>
      </c>
      <c r="AU27" s="108">
        <f t="shared" si="14"/>
        <v>-0.26398852493700731</v>
      </c>
      <c r="AV27" s="108">
        <f t="shared" si="14"/>
        <v>-0.25019218846590457</v>
      </c>
      <c r="AW27" s="108">
        <f t="shared" si="14"/>
        <v>8.1429060273314188E-2</v>
      </c>
      <c r="AX27" s="108">
        <f t="shared" si="14"/>
        <v>0.1601510424505411</v>
      </c>
      <c r="AY27" s="108">
        <f t="shared" si="14"/>
        <v>0.1405892762204935</v>
      </c>
      <c r="AZ27" s="108">
        <f t="shared" si="14"/>
        <v>0.16632485560635826</v>
      </c>
      <c r="BA27" s="108">
        <f t="shared" si="14"/>
        <v>0.17380255075052403</v>
      </c>
      <c r="BB27" s="108">
        <f t="shared" si="14"/>
        <v>5.9494556095162042E-2</v>
      </c>
      <c r="BC27" s="108">
        <f t="shared" si="14"/>
        <v>9.5431275535303797E-2</v>
      </c>
      <c r="BD27" s="108">
        <f t="shared" si="14"/>
        <v>8.4784658645797178E-2</v>
      </c>
      <c r="BE27" s="108">
        <f t="shared" si="14"/>
        <v>0.11355321092384482</v>
      </c>
      <c r="BF27" s="108">
        <f t="shared" si="14"/>
        <v>1.373121216732238</v>
      </c>
      <c r="BG27" s="108">
        <f t="shared" si="14"/>
        <v>1.442052936844864</v>
      </c>
      <c r="BH27" s="108">
        <f t="shared" si="14"/>
        <v>1.2840078585066719</v>
      </c>
      <c r="BI27" s="108">
        <f t="shared" si="14"/>
        <v>1.2516247139763861</v>
      </c>
      <c r="BJ27" s="108">
        <f t="shared" si="14"/>
        <v>3.0864940758393897E-2</v>
      </c>
      <c r="BK27" s="108">
        <f t="shared" si="14"/>
        <v>-1.0892786248433903E-2</v>
      </c>
      <c r="BL27" s="108">
        <f t="shared" si="14"/>
        <v>0.15102964515081418</v>
      </c>
      <c r="BM27" s="108">
        <f t="shared" si="14"/>
        <v>5.2978671910351167E-2</v>
      </c>
      <c r="BN27" s="108">
        <f t="shared" si="14"/>
        <v>4.5785229834545207E-2</v>
      </c>
      <c r="BO27" s="108">
        <f t="shared" si="14"/>
        <v>0.12055824066211648</v>
      </c>
      <c r="BP27" s="108">
        <f t="shared" si="14"/>
        <v>3.7981870157053857E-2</v>
      </c>
      <c r="BQ27" s="108">
        <f t="shared" si="14"/>
        <v>0.15831634014112356</v>
      </c>
      <c r="BR27" s="108">
        <f t="shared" ref="BR27:CL27" si="15">(BR3-BV3)/BV3</f>
        <v>0.2235640656070304</v>
      </c>
      <c r="BS27" s="108">
        <f t="shared" si="15"/>
        <v>0.14804098084461786</v>
      </c>
      <c r="BT27" s="108">
        <f t="shared" si="15"/>
        <v>0.11616269288816744</v>
      </c>
      <c r="BU27" s="108">
        <f t="shared" si="15"/>
        <v>0.11662144629504001</v>
      </c>
      <c r="BV27" s="108">
        <f t="shared" si="15"/>
        <v>0.30663484003503677</v>
      </c>
      <c r="BW27" s="108">
        <f t="shared" si="15"/>
        <v>0.33218038844757242</v>
      </c>
      <c r="BX27" s="108">
        <f t="shared" si="15"/>
        <v>0.66704069018014489</v>
      </c>
      <c r="BY27" s="108">
        <f t="shared" si="15"/>
        <v>1.0318723978845505</v>
      </c>
      <c r="BZ27" s="108" t="e">
        <f t="shared" si="15"/>
        <v>#DIV/0!</v>
      </c>
      <c r="CA27" s="108" t="e">
        <f t="shared" si="15"/>
        <v>#DIV/0!</v>
      </c>
      <c r="CB27" s="108" t="e">
        <f t="shared" si="15"/>
        <v>#DIV/0!</v>
      </c>
      <c r="CC27" s="108" t="e">
        <f t="shared" si="15"/>
        <v>#DIV/0!</v>
      </c>
      <c r="CD27" s="108" t="e">
        <f t="shared" si="15"/>
        <v>#DIV/0!</v>
      </c>
      <c r="CE27" s="108" t="e">
        <f t="shared" si="15"/>
        <v>#DIV/0!</v>
      </c>
      <c r="CF27" s="108" t="e">
        <f t="shared" si="15"/>
        <v>#DIV/0!</v>
      </c>
      <c r="CG27" s="108" t="e">
        <f t="shared" si="15"/>
        <v>#DIV/0!</v>
      </c>
      <c r="CH27" s="108" t="e">
        <f t="shared" si="15"/>
        <v>#DIV/0!</v>
      </c>
      <c r="CI27" s="108" t="e">
        <f t="shared" si="15"/>
        <v>#DIV/0!</v>
      </c>
      <c r="CJ27" s="108" t="e">
        <f t="shared" si="15"/>
        <v>#DIV/0!</v>
      </c>
      <c r="CK27" s="108" t="e">
        <f t="shared" si="15"/>
        <v>#DIV/0!</v>
      </c>
      <c r="CL27" s="108" t="e">
        <f t="shared" si="15"/>
        <v>#DIV/0!</v>
      </c>
    </row>
    <row r="28" spans="1:90" s="108" customFormat="1" x14ac:dyDescent="0.25">
      <c r="A28" s="142" t="s">
        <v>560</v>
      </c>
      <c r="E28" s="108">
        <f>E3/E9</f>
        <v>3.1964914284405038E-2</v>
      </c>
      <c r="F28" s="108">
        <f t="shared" ref="F28:BQ28" si="16">F3/F9</f>
        <v>1.1637245546875171E-2</v>
      </c>
      <c r="G28" s="108">
        <f t="shared" si="16"/>
        <v>1.0540332403914028E-2</v>
      </c>
      <c r="H28" s="108">
        <f t="shared" si="16"/>
        <v>1.1260760164062271E-2</v>
      </c>
      <c r="I28" s="108">
        <f t="shared" si="16"/>
        <v>7.9752620183976934E-3</v>
      </c>
      <c r="J28" s="108">
        <f t="shared" si="16"/>
        <v>1.3816040362409994E-2</v>
      </c>
      <c r="K28" s="108">
        <f t="shared" si="16"/>
        <v>1.1645984168699365E-2</v>
      </c>
      <c r="L28" s="108">
        <f t="shared" si="16"/>
        <v>1.2117485631495679E-2</v>
      </c>
      <c r="M28" s="108">
        <f t="shared" si="16"/>
        <v>9.799213574791377E-3</v>
      </c>
      <c r="N28" s="108">
        <f t="shared" si="16"/>
        <v>5.9410810991339311E-3</v>
      </c>
      <c r="O28" s="108">
        <f t="shared" si="16"/>
        <v>5.4264253080757059E-3</v>
      </c>
      <c r="P28" s="108">
        <f t="shared" si="16"/>
        <v>5.4605825863479705E-3</v>
      </c>
      <c r="Q28" s="108">
        <f t="shared" si="16"/>
        <v>5.4658355940288388E-3</v>
      </c>
      <c r="R28" s="108">
        <f t="shared" si="16"/>
        <v>8.6099563702400038E-3</v>
      </c>
      <c r="S28" s="108">
        <f t="shared" si="16"/>
        <v>8.7260259824169621E-3</v>
      </c>
      <c r="T28" s="108">
        <f t="shared" si="16"/>
        <v>8.8384072427776725E-3</v>
      </c>
      <c r="U28" s="108">
        <f t="shared" si="16"/>
        <v>1.2574588084067735E-2</v>
      </c>
      <c r="V28" s="108">
        <f t="shared" si="16"/>
        <v>1.2656807359295592E-2</v>
      </c>
      <c r="W28" s="108">
        <f t="shared" si="16"/>
        <v>1.3173998031574067E-2</v>
      </c>
      <c r="X28" s="108">
        <f t="shared" si="16"/>
        <v>1.6653684037435262E-2</v>
      </c>
      <c r="Y28" s="108">
        <f t="shared" si="16"/>
        <v>1.7138609247186892E-2</v>
      </c>
      <c r="Z28" s="108">
        <f t="shared" si="16"/>
        <v>1.6594475296929253E-2</v>
      </c>
      <c r="AA28" s="108">
        <f t="shared" si="16"/>
        <v>1.6358861970843127E-2</v>
      </c>
      <c r="AB28" s="108">
        <f t="shared" si="16"/>
        <v>1.6608304304065163E-2</v>
      </c>
      <c r="AC28" s="108">
        <f t="shared" si="16"/>
        <v>1.6056210159613376E-2</v>
      </c>
      <c r="AD28" s="108">
        <f t="shared" si="16"/>
        <v>1.0368325774291025E-3</v>
      </c>
      <c r="AE28" s="108">
        <f t="shared" si="16"/>
        <v>1.0751124339600045E-3</v>
      </c>
      <c r="AF28" s="108">
        <f t="shared" si="16"/>
        <v>1.2300820251868066E-3</v>
      </c>
      <c r="AG28" s="108">
        <f t="shared" si="16"/>
        <v>1.3115152277209023E-3</v>
      </c>
      <c r="AH28" s="108">
        <f t="shared" si="16"/>
        <v>1.7033554290412196E-3</v>
      </c>
      <c r="AI28" s="108">
        <f t="shared" si="16"/>
        <v>1.9039682696024224E-3</v>
      </c>
      <c r="AJ28" s="108">
        <f t="shared" si="16"/>
        <v>2.1214369981634746E-3</v>
      </c>
      <c r="AK28" s="108">
        <f t="shared" si="16"/>
        <v>2.318239736024851E-3</v>
      </c>
      <c r="AL28" s="108">
        <f t="shared" si="16"/>
        <v>1.6738434577931845E-2</v>
      </c>
      <c r="AM28" s="108">
        <f t="shared" si="16"/>
        <v>8.7962211630050937E-3</v>
      </c>
      <c r="AN28" s="108">
        <f t="shared" si="16"/>
        <v>2.4979491325155687E-2</v>
      </c>
      <c r="AO28" s="108">
        <f t="shared" si="16"/>
        <v>2.778851100498389E-2</v>
      </c>
      <c r="AP28" s="108">
        <f t="shared" si="16"/>
        <v>4.5956256458520757E-2</v>
      </c>
      <c r="AQ28" s="108">
        <f t="shared" si="16"/>
        <v>5.4321473239100429E-2</v>
      </c>
      <c r="AR28" s="108">
        <f t="shared" si="16"/>
        <v>5.7041560588867821E-2</v>
      </c>
      <c r="AS28" s="108">
        <f t="shared" si="16"/>
        <v>5.7232187913558628E-2</v>
      </c>
      <c r="AT28" s="108">
        <f t="shared" si="16"/>
        <v>0.16584919516850899</v>
      </c>
      <c r="AU28" s="108">
        <f t="shared" si="16"/>
        <v>0.1621859225387538</v>
      </c>
      <c r="AV28" s="108">
        <f t="shared" si="16"/>
        <v>0.15202267952314372</v>
      </c>
      <c r="AW28" s="108">
        <f t="shared" si="16"/>
        <v>0.20112853341816816</v>
      </c>
      <c r="AX28" s="108">
        <f t="shared" si="16"/>
        <v>0.18307990980218922</v>
      </c>
      <c r="AY28" s="108">
        <f t="shared" si="16"/>
        <v>0.15615648210419486</v>
      </c>
      <c r="AZ28" s="108">
        <f t="shared" si="16"/>
        <v>0.14558622666800733</v>
      </c>
      <c r="BA28" s="108">
        <f t="shared" si="16"/>
        <v>0.14280831202517288</v>
      </c>
      <c r="BB28" s="108">
        <f t="shared" si="16"/>
        <v>0.11444905054570917</v>
      </c>
      <c r="BC28" s="108">
        <f t="shared" si="16"/>
        <v>0.11036095856115367</v>
      </c>
      <c r="BD28" s="108">
        <f t="shared" si="16"/>
        <v>0.145587022863717</v>
      </c>
      <c r="BE28" s="108">
        <f t="shared" si="16"/>
        <v>0.14979112516127285</v>
      </c>
      <c r="BF28" s="108">
        <f t="shared" si="16"/>
        <v>0.1520403751628133</v>
      </c>
      <c r="BG28" s="108">
        <f t="shared" si="16"/>
        <v>0.18252616065769459</v>
      </c>
      <c r="BH28" s="108">
        <f t="shared" si="16"/>
        <v>0.18261032023220106</v>
      </c>
      <c r="BI28" s="108">
        <f t="shared" si="16"/>
        <v>0.20045559180738098</v>
      </c>
      <c r="BJ28" s="108">
        <f t="shared" si="16"/>
        <v>0.10957656057065653</v>
      </c>
      <c r="BK28" s="108">
        <f t="shared" si="16"/>
        <v>0.10278250061192945</v>
      </c>
      <c r="BL28" s="108">
        <f t="shared" si="16"/>
        <v>0.11390938152806003</v>
      </c>
      <c r="BM28" s="108">
        <f t="shared" si="16"/>
        <v>0.16455589432641834</v>
      </c>
      <c r="BN28" s="108">
        <f t="shared" si="16"/>
        <v>0.21182146761981849</v>
      </c>
      <c r="BO28" s="108">
        <f t="shared" si="16"/>
        <v>0.21942179385897423</v>
      </c>
      <c r="BP28" s="108">
        <f t="shared" si="16"/>
        <v>0.21548188179255193</v>
      </c>
      <c r="BQ28" s="108">
        <f t="shared" si="16"/>
        <v>0.24770609868647173</v>
      </c>
      <c r="BR28" s="108">
        <f t="shared" ref="BR28:CK28" si="17">BR3/BR9</f>
        <v>0.25448036624253484</v>
      </c>
      <c r="BS28" s="108">
        <f t="shared" si="17"/>
        <v>0.22644421080835739</v>
      </c>
      <c r="BT28" s="108">
        <f t="shared" si="17"/>
        <v>0.35111552758315023</v>
      </c>
      <c r="BU28" s="108">
        <f t="shared" si="17"/>
        <v>0.40338139965854169</v>
      </c>
      <c r="BV28" s="108">
        <f t="shared" si="17"/>
        <v>0.43416367577419179</v>
      </c>
      <c r="BW28" s="108">
        <f t="shared" si="17"/>
        <v>0.45895511826081792</v>
      </c>
      <c r="BX28" s="108">
        <f t="shared" si="17"/>
        <v>0.54954403782876138</v>
      </c>
      <c r="BY28" s="108">
        <f t="shared" si="17"/>
        <v>0.52573515139751548</v>
      </c>
      <c r="BZ28" s="108">
        <f t="shared" si="17"/>
        <v>0.74920721612046315</v>
      </c>
      <c r="CA28" s="108">
        <f t="shared" si="17"/>
        <v>0.6245777317734702</v>
      </c>
      <c r="CB28" s="108">
        <f t="shared" si="17"/>
        <v>0.58682010321346345</v>
      </c>
      <c r="CC28" s="108">
        <f t="shared" si="17"/>
        <v>0.54132453042805873</v>
      </c>
      <c r="CD28" s="108" t="e">
        <f t="shared" si="17"/>
        <v>#DIV/0!</v>
      </c>
      <c r="CE28" s="108" t="e">
        <f t="shared" si="17"/>
        <v>#DIV/0!</v>
      </c>
      <c r="CF28" s="108" t="e">
        <f t="shared" si="17"/>
        <v>#DIV/0!</v>
      </c>
      <c r="CG28" s="108" t="e">
        <f t="shared" si="17"/>
        <v>#DIV/0!</v>
      </c>
      <c r="CH28" s="108" t="e">
        <f t="shared" si="17"/>
        <v>#DIV/0!</v>
      </c>
      <c r="CI28" s="108" t="e">
        <f t="shared" si="17"/>
        <v>#DIV/0!</v>
      </c>
      <c r="CJ28" s="108" t="e">
        <f t="shared" si="17"/>
        <v>#DIV/0!</v>
      </c>
      <c r="CK28" s="108" t="e">
        <f t="shared" si="17"/>
        <v>#DIV/0!</v>
      </c>
    </row>
    <row r="29" spans="1:90" s="107" customFormat="1" x14ac:dyDescent="0.25">
      <c r="A29" s="141" t="s">
        <v>569</v>
      </c>
      <c r="E29" s="107">
        <f>(E4-I4)/I4</f>
        <v>-3.0081604312226875</v>
      </c>
      <c r="F29" s="107">
        <f t="shared" ref="F29:BQ29" si="18">(F4-J4)/J4</f>
        <v>0.46306302317131992</v>
      </c>
      <c r="G29" s="107">
        <f t="shared" si="18"/>
        <v>-0.73941239346697907</v>
      </c>
      <c r="H29" s="107">
        <f t="shared" si="18"/>
        <v>-0.10613757689074275</v>
      </c>
      <c r="I29" s="107">
        <f t="shared" si="18"/>
        <v>-2.6351899623642994</v>
      </c>
      <c r="J29" s="107">
        <f t="shared" si="18"/>
        <v>0.35637592796197548</v>
      </c>
      <c r="K29" s="107">
        <f t="shared" si="18"/>
        <v>1.6939131053152185</v>
      </c>
      <c r="L29" s="107">
        <f t="shared" si="18"/>
        <v>0.7669400963244184</v>
      </c>
      <c r="M29" s="107">
        <f t="shared" si="18"/>
        <v>-2.4763693876219581</v>
      </c>
      <c r="N29" s="107">
        <f t="shared" si="18"/>
        <v>2.6243349908908868</v>
      </c>
      <c r="O29" s="107">
        <f t="shared" si="18"/>
        <v>-3.3511534328930228</v>
      </c>
      <c r="P29" s="107">
        <f t="shared" si="18"/>
        <v>-1.5728583773518288</v>
      </c>
      <c r="Q29" s="107">
        <f t="shared" si="18"/>
        <v>-0.67034070773416554</v>
      </c>
      <c r="R29" s="107">
        <f t="shared" si="18"/>
        <v>-2.1829775808253093</v>
      </c>
      <c r="S29" s="107">
        <f t="shared" si="18"/>
        <v>-0.19184146149619669</v>
      </c>
      <c r="T29" s="107">
        <f t="shared" si="18"/>
        <v>-2.5365154999366077</v>
      </c>
      <c r="U29" s="107">
        <f t="shared" si="18"/>
        <v>-5.2886603118256632</v>
      </c>
      <c r="V29" s="107">
        <f t="shared" si="18"/>
        <v>-1.2206947851622101</v>
      </c>
      <c r="W29" s="107">
        <f t="shared" si="18"/>
        <v>-2.1159706573610007</v>
      </c>
      <c r="X29" s="107">
        <f t="shared" si="18"/>
        <v>-0.3392188074185683</v>
      </c>
      <c r="Y29" s="107">
        <f t="shared" si="18"/>
        <v>-1.4925392370418087</v>
      </c>
      <c r="Z29" s="107">
        <f t="shared" si="18"/>
        <v>-3.3647649816314904</v>
      </c>
      <c r="AA29" s="107">
        <f t="shared" si="18"/>
        <v>-1.8648869872982561</v>
      </c>
      <c r="AB29" s="107">
        <f t="shared" si="18"/>
        <v>-2.3088490655365654</v>
      </c>
      <c r="AC29" s="107">
        <f t="shared" si="18"/>
        <v>-0.46792273194383066</v>
      </c>
      <c r="AD29" s="107">
        <f t="shared" si="18"/>
        <v>6.9314626541251938</v>
      </c>
      <c r="AE29" s="107">
        <f t="shared" si="18"/>
        <v>-11.864301189312576</v>
      </c>
      <c r="AF29" s="107">
        <f t="shared" si="18"/>
        <v>-4.5375505588988796</v>
      </c>
      <c r="AG29" s="107">
        <f t="shared" si="18"/>
        <v>-23.605278538212957</v>
      </c>
      <c r="AH29" s="107">
        <f t="shared" si="18"/>
        <v>-1.2874062918249505</v>
      </c>
      <c r="AI29" s="107">
        <f t="shared" si="18"/>
        <v>-0.4622599362981345</v>
      </c>
      <c r="AJ29" s="107">
        <f t="shared" si="18"/>
        <v>4.308525323044857</v>
      </c>
      <c r="AK29" s="107">
        <f t="shared" si="18"/>
        <v>5.7468343240969295</v>
      </c>
      <c r="AL29" s="107">
        <f t="shared" si="18"/>
        <v>0.31552133272692612</v>
      </c>
      <c r="AM29" s="107">
        <f t="shared" si="18"/>
        <v>-0.57649062577150334</v>
      </c>
      <c r="AN29" s="107">
        <f t="shared" si="18"/>
        <v>-0.90644836340483081</v>
      </c>
      <c r="AO29" s="107">
        <f t="shared" si="18"/>
        <v>-0.98291943637267176</v>
      </c>
      <c r="AP29" s="107">
        <f t="shared" si="18"/>
        <v>-1.7998331952557916</v>
      </c>
      <c r="AQ29" s="107">
        <f t="shared" si="18"/>
        <v>-2.5607432185312313</v>
      </c>
      <c r="AR29" s="107">
        <f t="shared" si="18"/>
        <v>0.84103493377858363</v>
      </c>
      <c r="AS29" s="107">
        <f t="shared" si="18"/>
        <v>0.70146430276087246</v>
      </c>
      <c r="AT29" s="107">
        <f t="shared" si="18"/>
        <v>-3.7633573692946567</v>
      </c>
      <c r="AU29" s="107">
        <f t="shared" si="18"/>
        <v>-1.5499369816241166</v>
      </c>
      <c r="AV29" s="107">
        <f t="shared" si="18"/>
        <v>-0.7506132753694279</v>
      </c>
      <c r="AW29" s="107">
        <f t="shared" si="18"/>
        <v>-0.69515392908644902</v>
      </c>
      <c r="AX29" s="107">
        <f t="shared" si="18"/>
        <v>-0.86025542550889</v>
      </c>
      <c r="AY29" s="107">
        <f t="shared" si="18"/>
        <v>0.20233951063424782</v>
      </c>
      <c r="AZ29" s="107">
        <f t="shared" si="18"/>
        <v>3.7507383677446264</v>
      </c>
      <c r="BA29" s="107">
        <f t="shared" si="18"/>
        <v>2.8530621750145406</v>
      </c>
      <c r="BB29" s="107">
        <f t="shared" si="18"/>
        <v>-0.2865166533316722</v>
      </c>
      <c r="BC29" s="107">
        <f t="shared" si="18"/>
        <v>-0.56280585363331781</v>
      </c>
      <c r="BD29" s="107">
        <f t="shared" si="18"/>
        <v>-0.70413407263216898</v>
      </c>
      <c r="BE29" s="107">
        <f t="shared" si="18"/>
        <v>-0.68494355005125174</v>
      </c>
      <c r="BF29" s="107">
        <f t="shared" si="18"/>
        <v>0.9912028642176598</v>
      </c>
      <c r="BG29" s="107">
        <f t="shared" si="18"/>
        <v>0.75766154670597885</v>
      </c>
      <c r="BH29" s="107">
        <f t="shared" si="18"/>
        <v>1.273205645210532</v>
      </c>
      <c r="BI29" s="107">
        <f t="shared" si="18"/>
        <v>0.84056019799932258</v>
      </c>
      <c r="BJ29" s="107">
        <f t="shared" si="18"/>
        <v>0.59343406220342199</v>
      </c>
      <c r="BK29" s="107">
        <f t="shared" si="18"/>
        <v>0.40843595814737688</v>
      </c>
      <c r="BL29" s="107">
        <f t="shared" si="18"/>
        <v>0.39244242985253791</v>
      </c>
      <c r="BM29" s="107">
        <f t="shared" si="18"/>
        <v>0.83579296565296279</v>
      </c>
      <c r="BN29" s="107">
        <f t="shared" si="18"/>
        <v>0.46263857928004504</v>
      </c>
      <c r="BO29" s="107">
        <f t="shared" si="18"/>
        <v>0.2845463534209407</v>
      </c>
      <c r="BP29" s="107">
        <f t="shared" si="18"/>
        <v>5.2706692730377633E-2</v>
      </c>
      <c r="BQ29" s="107">
        <f t="shared" si="18"/>
        <v>0.45843364490256305</v>
      </c>
      <c r="BR29" s="107">
        <f t="shared" ref="BR29:CK29" si="19">(BR4-BV4)/BV4</f>
        <v>6.1462442002348041</v>
      </c>
      <c r="BS29" s="107">
        <f t="shared" si="19"/>
        <v>14.185229620246483</v>
      </c>
      <c r="BT29" s="107">
        <f t="shared" si="19"/>
        <v>5.610865561706853</v>
      </c>
      <c r="BU29" s="107">
        <f t="shared" si="19"/>
        <v>2925.0051910112361</v>
      </c>
      <c r="BV29" s="107" t="e">
        <f t="shared" si="19"/>
        <v>#DIV/0!</v>
      </c>
      <c r="BW29" s="107">
        <f t="shared" si="19"/>
        <v>-0.54772447871286534</v>
      </c>
      <c r="BX29" s="107">
        <f t="shared" si="19"/>
        <v>-0.16979123373358551</v>
      </c>
      <c r="BY29" s="107">
        <f t="shared" si="19"/>
        <v>-0.99853793964483428</v>
      </c>
      <c r="BZ29" s="107" t="e">
        <f t="shared" si="19"/>
        <v>#DIV/0!</v>
      </c>
      <c r="CA29" s="107" t="e">
        <f t="shared" si="19"/>
        <v>#DIV/0!</v>
      </c>
      <c r="CB29" s="107" t="e">
        <f t="shared" si="19"/>
        <v>#DIV/0!</v>
      </c>
      <c r="CC29" s="107" t="e">
        <f t="shared" si="19"/>
        <v>#DIV/0!</v>
      </c>
      <c r="CD29" s="107" t="e">
        <f t="shared" si="19"/>
        <v>#DIV/0!</v>
      </c>
      <c r="CE29" s="107" t="e">
        <f t="shared" si="19"/>
        <v>#DIV/0!</v>
      </c>
      <c r="CF29" s="107" t="e">
        <f t="shared" si="19"/>
        <v>#DIV/0!</v>
      </c>
      <c r="CG29" s="107" t="e">
        <f t="shared" si="19"/>
        <v>#DIV/0!</v>
      </c>
      <c r="CH29" s="107" t="e">
        <f t="shared" si="19"/>
        <v>#DIV/0!</v>
      </c>
      <c r="CI29" s="107" t="e">
        <f t="shared" si="19"/>
        <v>#DIV/0!</v>
      </c>
      <c r="CJ29" s="107" t="e">
        <f t="shared" si="19"/>
        <v>#DIV/0!</v>
      </c>
      <c r="CK29" s="107" t="e">
        <f t="shared" si="19"/>
        <v>#DIV/0!</v>
      </c>
    </row>
    <row r="30" spans="1:90" s="107" customFormat="1" x14ac:dyDescent="0.25">
      <c r="A30" s="141" t="s">
        <v>553</v>
      </c>
      <c r="E30" s="107">
        <f>(E5-I5)/I5</f>
        <v>0.29905321611728841</v>
      </c>
      <c r="F30" s="107">
        <f t="shared" ref="F30:BQ30" si="20">(F5-J5)/J5</f>
        <v>0.24709282428688384</v>
      </c>
      <c r="G30" s="107">
        <f t="shared" si="20"/>
        <v>0.17186469962344889</v>
      </c>
      <c r="H30" s="107">
        <f t="shared" si="20"/>
        <v>0.5178261907385413</v>
      </c>
      <c r="I30" s="107">
        <f t="shared" si="20"/>
        <v>0.32669973659623969</v>
      </c>
      <c r="J30" s="107">
        <f t="shared" si="20"/>
        <v>0.36646503792178203</v>
      </c>
      <c r="K30" s="107">
        <f t="shared" si="20"/>
        <v>0.4842933815430433</v>
      </c>
      <c r="L30" s="107">
        <f t="shared" si="20"/>
        <v>0.23343185561342464</v>
      </c>
      <c r="M30" s="107">
        <f t="shared" si="20"/>
        <v>0.35412372565828282</v>
      </c>
      <c r="N30" s="107">
        <f t="shared" si="20"/>
        <v>0.52198305238432596</v>
      </c>
      <c r="O30" s="107">
        <f t="shared" si="20"/>
        <v>0.79535438784392776</v>
      </c>
      <c r="P30" s="107">
        <f t="shared" si="20"/>
        <v>0.64927612337130991</v>
      </c>
      <c r="Q30" s="107">
        <f t="shared" si="20"/>
        <v>0.64709438482006088</v>
      </c>
      <c r="R30" s="107">
        <f t="shared" si="20"/>
        <v>0.4694375481126194</v>
      </c>
      <c r="S30" s="107">
        <f t="shared" si="20"/>
        <v>0.1833416489047181</v>
      </c>
      <c r="T30" s="107">
        <f t="shared" si="20"/>
        <v>5.2652479186595151E-2</v>
      </c>
      <c r="U30" s="107">
        <f t="shared" si="20"/>
        <v>4.5715571497184249E-2</v>
      </c>
      <c r="V30" s="107">
        <f t="shared" si="20"/>
        <v>-0.15373226228514439</v>
      </c>
      <c r="W30" s="107">
        <f t="shared" si="20"/>
        <v>-8.0084474348921589E-3</v>
      </c>
      <c r="X30" s="107">
        <f t="shared" si="20"/>
        <v>0.14607602204294801</v>
      </c>
      <c r="Y30" s="107">
        <f t="shared" si="20"/>
        <v>0.40902533177489864</v>
      </c>
      <c r="Z30" s="107">
        <f t="shared" si="20"/>
        <v>1.1855073941950542</v>
      </c>
      <c r="AA30" s="107">
        <f t="shared" si="20"/>
        <v>1.0409797702392676</v>
      </c>
      <c r="AB30" s="107">
        <f t="shared" si="20"/>
        <v>1.000451502217129</v>
      </c>
      <c r="AC30" s="107">
        <f t="shared" si="20"/>
        <v>1.0482757272191705</v>
      </c>
      <c r="AD30" s="107">
        <f t="shared" si="20"/>
        <v>0.75189884428279807</v>
      </c>
      <c r="AE30" s="107">
        <f t="shared" si="20"/>
        <v>0.58439935776219276</v>
      </c>
      <c r="AF30" s="107">
        <f t="shared" si="20"/>
        <v>0.62705830035478827</v>
      </c>
      <c r="AG30" s="107">
        <f t="shared" si="20"/>
        <v>0.33887665487513269</v>
      </c>
      <c r="AH30" s="107">
        <f t="shared" si="20"/>
        <v>0.16093863572757419</v>
      </c>
      <c r="AI30" s="107">
        <f t="shared" si="20"/>
        <v>0.32164607250840943</v>
      </c>
      <c r="AJ30" s="107">
        <f t="shared" si="20"/>
        <v>0.73155612282427063</v>
      </c>
      <c r="AK30" s="107">
        <f t="shared" si="20"/>
        <v>0.62004624082355397</v>
      </c>
      <c r="AL30" s="107">
        <f t="shared" si="20"/>
        <v>0.24089986279380976</v>
      </c>
      <c r="AM30" s="107">
        <f t="shared" si="20"/>
        <v>-0.13806920883772053</v>
      </c>
      <c r="AN30" s="107">
        <f t="shared" si="20"/>
        <v>-0.41049257272434464</v>
      </c>
      <c r="AO30" s="107">
        <f t="shared" si="20"/>
        <v>-0.4282907448145663</v>
      </c>
      <c r="AP30" s="107">
        <f t="shared" si="20"/>
        <v>-0.20942137993951909</v>
      </c>
      <c r="AQ30" s="107">
        <f t="shared" si="20"/>
        <v>2.6829995589018198E-2</v>
      </c>
      <c r="AR30" s="107">
        <f t="shared" si="20"/>
        <v>0.16079370043144803</v>
      </c>
      <c r="AS30" s="107">
        <f t="shared" si="20"/>
        <v>0.10704199578170609</v>
      </c>
      <c r="AT30" s="107">
        <f t="shared" si="20"/>
        <v>0.12873545154973914</v>
      </c>
      <c r="AU30" s="107">
        <f t="shared" si="20"/>
        <v>-0.2131455201416643</v>
      </c>
      <c r="AV30" s="107">
        <f t="shared" si="20"/>
        <v>-0.41857683818693597</v>
      </c>
      <c r="AW30" s="107">
        <f t="shared" si="20"/>
        <v>-0.36711039686215291</v>
      </c>
      <c r="AX30" s="107">
        <f t="shared" si="20"/>
        <v>-0.51975107687322708</v>
      </c>
      <c r="AY30" s="107">
        <f t="shared" si="20"/>
        <v>-0.1051384906695615</v>
      </c>
      <c r="AZ30" s="107">
        <f t="shared" si="20"/>
        <v>0.36387114066234616</v>
      </c>
      <c r="BA30" s="107">
        <f t="shared" si="20"/>
        <v>0.2077412944948071</v>
      </c>
      <c r="BB30" s="107">
        <f t="shared" si="20"/>
        <v>9.252594779287264E-2</v>
      </c>
      <c r="BC30" s="107">
        <f t="shared" si="20"/>
        <v>-6.2387730488107321E-2</v>
      </c>
      <c r="BD30" s="107">
        <f t="shared" si="20"/>
        <v>-0.24833737466252445</v>
      </c>
      <c r="BE30" s="107">
        <f t="shared" si="20"/>
        <v>-2.2436146789826122E-2</v>
      </c>
      <c r="BF30" s="107">
        <f t="shared" si="20"/>
        <v>0.46370710656365838</v>
      </c>
      <c r="BG30" s="107">
        <f t="shared" si="20"/>
        <v>0.39543929542841177</v>
      </c>
      <c r="BH30" s="107">
        <f t="shared" si="20"/>
        <v>0.58720844498559721</v>
      </c>
      <c r="BI30" s="107">
        <f t="shared" si="20"/>
        <v>0.71538218865718606</v>
      </c>
      <c r="BJ30" s="107">
        <f t="shared" si="20"/>
        <v>0.70937996528132152</v>
      </c>
      <c r="BK30" s="107">
        <f t="shared" si="20"/>
        <v>0.75583525039558508</v>
      </c>
      <c r="BL30" s="107">
        <f t="shared" si="20"/>
        <v>0.61585563449585567</v>
      </c>
      <c r="BM30" s="107">
        <f t="shared" si="20"/>
        <v>1.0546517739032344</v>
      </c>
      <c r="BN30" s="107">
        <f t="shared" si="20"/>
        <v>0.75361121295518074</v>
      </c>
      <c r="BO30" s="107">
        <f t="shared" si="20"/>
        <v>0.55324404901046664</v>
      </c>
      <c r="BP30" s="107">
        <f t="shared" si="20"/>
        <v>0.61895327893686591</v>
      </c>
      <c r="BQ30" s="107">
        <f t="shared" si="20"/>
        <v>0.39299243310131232</v>
      </c>
      <c r="BR30" s="107">
        <f t="shared" ref="BR30:CK30" si="21">(BR5-BV5)/BV5</f>
        <v>2.5836371059820524</v>
      </c>
      <c r="BS30" s="107">
        <f t="shared" si="21"/>
        <v>2.5808473638546947</v>
      </c>
      <c r="BT30" s="107">
        <f t="shared" si="21"/>
        <v>3.0114579977233515</v>
      </c>
      <c r="BU30" s="107">
        <f t="shared" si="21"/>
        <v>2.4647363857736684</v>
      </c>
      <c r="BV30" s="107" t="e">
        <f t="shared" si="21"/>
        <v>#DIV/0!</v>
      </c>
      <c r="BW30" s="107">
        <f t="shared" si="21"/>
        <v>0.36363675332747497</v>
      </c>
      <c r="BX30" s="107">
        <f t="shared" si="21"/>
        <v>0.36208373704558183</v>
      </c>
      <c r="BY30" s="107">
        <f t="shared" si="21"/>
        <v>0.16315014991757298</v>
      </c>
      <c r="BZ30" s="107" t="e">
        <f t="shared" si="21"/>
        <v>#DIV/0!</v>
      </c>
      <c r="CA30" s="107" t="e">
        <f t="shared" si="21"/>
        <v>#DIV/0!</v>
      </c>
      <c r="CB30" s="107" t="e">
        <f t="shared" si="21"/>
        <v>#DIV/0!</v>
      </c>
      <c r="CC30" s="107" t="e">
        <f t="shared" si="21"/>
        <v>#DIV/0!</v>
      </c>
      <c r="CD30" s="107" t="e">
        <f t="shared" si="21"/>
        <v>#DIV/0!</v>
      </c>
      <c r="CE30" s="107" t="e">
        <f t="shared" si="21"/>
        <v>#DIV/0!</v>
      </c>
      <c r="CF30" s="107" t="e">
        <f t="shared" si="21"/>
        <v>#DIV/0!</v>
      </c>
      <c r="CG30" s="107" t="e">
        <f t="shared" si="21"/>
        <v>#DIV/0!</v>
      </c>
      <c r="CH30" s="107" t="e">
        <f t="shared" si="21"/>
        <v>#DIV/0!</v>
      </c>
      <c r="CI30" s="107" t="e">
        <f t="shared" si="21"/>
        <v>#DIV/0!</v>
      </c>
      <c r="CJ30" s="107" t="e">
        <f t="shared" si="21"/>
        <v>#DIV/0!</v>
      </c>
      <c r="CK30" s="107" t="e">
        <f t="shared" si="21"/>
        <v>#DIV/0!</v>
      </c>
    </row>
    <row r="31" spans="1:90" s="107" customFormat="1" x14ac:dyDescent="0.25">
      <c r="A31" s="141" t="s">
        <v>554</v>
      </c>
      <c r="E31" s="107">
        <f>(E6-I6)/I6</f>
        <v>0.1193308551138561</v>
      </c>
      <c r="F31" s="107">
        <f t="shared" ref="F31:BQ31" si="22">(F6-J6)/J6</f>
        <v>0.21666747813816145</v>
      </c>
      <c r="G31" s="107">
        <f t="shared" si="22"/>
        <v>0.55868503862903074</v>
      </c>
      <c r="H31" s="107">
        <f t="shared" si="22"/>
        <v>0.56994326440106047</v>
      </c>
      <c r="I31" s="107">
        <f t="shared" si="22"/>
        <v>0.47154861877490017</v>
      </c>
      <c r="J31" s="107">
        <f t="shared" si="22"/>
        <v>0.36789844101071267</v>
      </c>
      <c r="K31" s="107">
        <f t="shared" si="22"/>
        <v>0.2466762217453296</v>
      </c>
      <c r="L31" s="107">
        <f t="shared" si="22"/>
        <v>0.20309027693131804</v>
      </c>
      <c r="M31" s="107">
        <f t="shared" si="22"/>
        <v>0.23804569972478773</v>
      </c>
      <c r="N31" s="107">
        <f t="shared" si="22"/>
        <v>0.40610274847383565</v>
      </c>
      <c r="O31" s="107">
        <f t="shared" si="22"/>
        <v>0.33340646816932018</v>
      </c>
      <c r="P31" s="107">
        <f t="shared" si="22"/>
        <v>0.35119293606732871</v>
      </c>
      <c r="Q31" s="107">
        <f t="shared" si="22"/>
        <v>0.41516356852149522</v>
      </c>
      <c r="R31" s="107">
        <f t="shared" si="22"/>
        <v>0.3078105110338199</v>
      </c>
      <c r="S31" s="107">
        <f t="shared" si="22"/>
        <v>0.1251491079677364</v>
      </c>
      <c r="T31" s="107">
        <f t="shared" si="22"/>
        <v>0.3600910966478616</v>
      </c>
      <c r="U31" s="107">
        <f t="shared" si="22"/>
        <v>0.3388986480721114</v>
      </c>
      <c r="V31" s="107">
        <f t="shared" si="22"/>
        <v>0.19969547444574978</v>
      </c>
      <c r="W31" s="107">
        <f t="shared" si="22"/>
        <v>0.40305489563116581</v>
      </c>
      <c r="X31" s="107">
        <f t="shared" si="22"/>
        <v>0.25556913770112955</v>
      </c>
      <c r="Y31" s="107">
        <f t="shared" si="22"/>
        <v>0.16237964608324246</v>
      </c>
      <c r="Z31" s="107">
        <f t="shared" si="22"/>
        <v>0.33475589803090083</v>
      </c>
      <c r="AA31" s="107">
        <f t="shared" si="22"/>
        <v>0.23308445966008368</v>
      </c>
      <c r="AB31" s="107">
        <f t="shared" si="22"/>
        <v>0.27379694747442634</v>
      </c>
      <c r="AC31" s="107">
        <f t="shared" si="22"/>
        <v>0.49551742889120171</v>
      </c>
      <c r="AD31" s="107">
        <f t="shared" si="22"/>
        <v>1.0506112026188146</v>
      </c>
      <c r="AE31" s="107">
        <f t="shared" si="22"/>
        <v>1.3251013230663495</v>
      </c>
      <c r="AF31" s="107">
        <f t="shared" si="22"/>
        <v>1.3947497490789016</v>
      </c>
      <c r="AG31" s="107">
        <f t="shared" si="22"/>
        <v>1.1811542736754668</v>
      </c>
      <c r="AH31" s="107">
        <f t="shared" si="22"/>
        <v>0.53481400417037495</v>
      </c>
      <c r="AI31" s="107">
        <f t="shared" si="22"/>
        <v>0.44717129997982863</v>
      </c>
      <c r="AJ31" s="107">
        <f t="shared" si="22"/>
        <v>0.57391423149311949</v>
      </c>
      <c r="AK31" s="107">
        <f t="shared" si="22"/>
        <v>0.57786958258309185</v>
      </c>
      <c r="AL31" s="107">
        <f t="shared" si="22"/>
        <v>0.22299197504928867</v>
      </c>
      <c r="AM31" s="107">
        <f t="shared" si="22"/>
        <v>3.3200408051463209E-2</v>
      </c>
      <c r="AN31" s="107">
        <f t="shared" si="22"/>
        <v>-0.23076913681650327</v>
      </c>
      <c r="AO31" s="107">
        <f t="shared" si="22"/>
        <v>-0.21990079469105142</v>
      </c>
      <c r="AP31" s="107">
        <f t="shared" si="22"/>
        <v>-0.4648088778147228</v>
      </c>
      <c r="AQ31" s="107">
        <f t="shared" si="22"/>
        <v>-0.37679648398758375</v>
      </c>
      <c r="AR31" s="107">
        <f t="shared" si="22"/>
        <v>2.3722860776406583E-2</v>
      </c>
      <c r="AS31" s="107">
        <f t="shared" si="22"/>
        <v>-2.1411728859846001E-2</v>
      </c>
      <c r="AT31" s="107">
        <f t="shared" si="22"/>
        <v>0.45863606459734424</v>
      </c>
      <c r="AU31" s="107">
        <f t="shared" si="22"/>
        <v>0.26743013982818864</v>
      </c>
      <c r="AV31" s="107">
        <f t="shared" si="22"/>
        <v>-0.20539793542103824</v>
      </c>
      <c r="AW31" s="107">
        <f t="shared" si="22"/>
        <v>-0.17534239176473904</v>
      </c>
      <c r="AX31" s="107">
        <f t="shared" si="22"/>
        <v>-0.39474684977669827</v>
      </c>
      <c r="AY31" s="107">
        <f t="shared" si="22"/>
        <v>-0.18048163310384088</v>
      </c>
      <c r="AZ31" s="107">
        <f t="shared" si="22"/>
        <v>-6.437763498205222E-2</v>
      </c>
      <c r="BA31" s="107">
        <f t="shared" si="22"/>
        <v>-0.13815515384932175</v>
      </c>
      <c r="BB31" s="107">
        <f t="shared" si="22"/>
        <v>0.35722930363936894</v>
      </c>
      <c r="BC31" s="107">
        <f t="shared" si="22"/>
        <v>0.30309218051777354</v>
      </c>
      <c r="BD31" s="107">
        <f t="shared" si="22"/>
        <v>-6.6497218524374971E-2</v>
      </c>
      <c r="BE31" s="107">
        <f t="shared" si="22"/>
        <v>0.34829023490733718</v>
      </c>
      <c r="BF31" s="107">
        <f t="shared" si="22"/>
        <v>0.23519446827338417</v>
      </c>
      <c r="BG31" s="107">
        <f t="shared" si="22"/>
        <v>0.21288575862603826</v>
      </c>
      <c r="BH31" s="107">
        <f t="shared" si="22"/>
        <v>0.41665295261786145</v>
      </c>
      <c r="BI31" s="107">
        <f t="shared" si="22"/>
        <v>0.65249238508233243</v>
      </c>
      <c r="BJ31" s="107">
        <f t="shared" si="22"/>
        <v>0.76501666685495462</v>
      </c>
      <c r="BK31" s="107">
        <f t="shared" si="22"/>
        <v>1.0050882824241212</v>
      </c>
      <c r="BL31" s="107">
        <f t="shared" si="22"/>
        <v>0.68299186812986656</v>
      </c>
      <c r="BM31" s="107">
        <f t="shared" si="22"/>
        <v>1.1855562556543451</v>
      </c>
      <c r="BN31" s="107">
        <f t="shared" si="22"/>
        <v>0.93867719191882648</v>
      </c>
      <c r="BO31" s="107">
        <f t="shared" si="22"/>
        <v>0.82752006749260598</v>
      </c>
      <c r="BP31" s="107">
        <f t="shared" si="22"/>
        <v>0.93109342843396314</v>
      </c>
      <c r="BQ31" s="107">
        <f t="shared" si="22"/>
        <v>0.35658401260632927</v>
      </c>
      <c r="BR31" s="107">
        <f t="shared" ref="BR31:CK31" si="23">(BR6-BV6)/BV6</f>
        <v>1.7209020770465171</v>
      </c>
      <c r="BS31" s="107">
        <f t="shared" si="23"/>
        <v>1.0116511992234756</v>
      </c>
      <c r="BT31" s="107">
        <f t="shared" si="23"/>
        <v>2.2968616220012645</v>
      </c>
      <c r="BU31" s="107">
        <f t="shared" si="23"/>
        <v>1.2271318843406973</v>
      </c>
      <c r="BV31" s="107" t="e">
        <f t="shared" si="23"/>
        <v>#DIV/0!</v>
      </c>
      <c r="BW31" s="107">
        <f t="shared" si="23"/>
        <v>0.87437626252491607</v>
      </c>
      <c r="BX31" s="107">
        <f t="shared" si="23"/>
        <v>0.65325500344054344</v>
      </c>
      <c r="BY31" s="107">
        <f t="shared" si="23"/>
        <v>0.75297139949788561</v>
      </c>
      <c r="BZ31" s="107" t="e">
        <f t="shared" si="23"/>
        <v>#DIV/0!</v>
      </c>
      <c r="CA31" s="107" t="e">
        <f t="shared" si="23"/>
        <v>#DIV/0!</v>
      </c>
      <c r="CB31" s="107" t="e">
        <f t="shared" si="23"/>
        <v>#DIV/0!</v>
      </c>
      <c r="CC31" s="107" t="e">
        <f t="shared" si="23"/>
        <v>#DIV/0!</v>
      </c>
      <c r="CD31" s="107" t="e">
        <f t="shared" si="23"/>
        <v>#DIV/0!</v>
      </c>
      <c r="CE31" s="107" t="e">
        <f t="shared" si="23"/>
        <v>#DIV/0!</v>
      </c>
      <c r="CF31" s="107" t="e">
        <f t="shared" si="23"/>
        <v>#DIV/0!</v>
      </c>
      <c r="CG31" s="107" t="e">
        <f t="shared" si="23"/>
        <v>#DIV/0!</v>
      </c>
      <c r="CH31" s="107" t="e">
        <f t="shared" si="23"/>
        <v>#DIV/0!</v>
      </c>
      <c r="CI31" s="107" t="e">
        <f t="shared" si="23"/>
        <v>#DIV/0!</v>
      </c>
      <c r="CJ31" s="107" t="e">
        <f t="shared" si="23"/>
        <v>#DIV/0!</v>
      </c>
      <c r="CK31" s="107" t="e">
        <f t="shared" si="23"/>
        <v>#DIV/0!</v>
      </c>
    </row>
    <row r="32" spans="1:90" s="108" customFormat="1" x14ac:dyDescent="0.25">
      <c r="A32" s="142" t="s">
        <v>556</v>
      </c>
      <c r="E32" s="108">
        <f>(E7-I7)/I7</f>
        <v>0.32774261933603771</v>
      </c>
      <c r="F32" s="108">
        <f t="shared" ref="F32:BQ32" si="24">(F7-J7)/J7</f>
        <v>0.43873192074477174</v>
      </c>
      <c r="G32" s="108">
        <f t="shared" si="24"/>
        <v>0.4834934929588342</v>
      </c>
      <c r="H32" s="108">
        <f t="shared" si="24"/>
        <v>0.39380971517517538</v>
      </c>
      <c r="I32" s="108">
        <f t="shared" si="24"/>
        <v>0.29271146503307721</v>
      </c>
      <c r="J32" s="108">
        <f t="shared" si="24"/>
        <v>0.14025772700795922</v>
      </c>
      <c r="K32" s="108">
        <f t="shared" si="24"/>
        <v>0.10087024524214372</v>
      </c>
      <c r="L32" s="108">
        <f t="shared" si="24"/>
        <v>0.12127338751962483</v>
      </c>
      <c r="M32" s="108">
        <f t="shared" si="24"/>
        <v>0.13955991931623393</v>
      </c>
      <c r="N32" s="108">
        <f t="shared" si="24"/>
        <v>0.21681833470785181</v>
      </c>
      <c r="O32" s="108">
        <f t="shared" si="24"/>
        <v>0.18256700537049858</v>
      </c>
      <c r="P32" s="108">
        <f t="shared" si="24"/>
        <v>0.26929301377338394</v>
      </c>
      <c r="Q32" s="108">
        <f t="shared" si="24"/>
        <v>0.29338473398770992</v>
      </c>
      <c r="R32" s="108">
        <f t="shared" si="24"/>
        <v>0.29779385563838773</v>
      </c>
      <c r="S32" s="108">
        <f t="shared" si="24"/>
        <v>0.46118929211913162</v>
      </c>
      <c r="T32" s="108">
        <f t="shared" si="24"/>
        <v>0.59485339119261371</v>
      </c>
      <c r="U32" s="108">
        <f t="shared" si="24"/>
        <v>0.50649473900365782</v>
      </c>
      <c r="V32" s="108">
        <f t="shared" si="24"/>
        <v>0.39695207425092532</v>
      </c>
      <c r="W32" s="108">
        <f t="shared" si="24"/>
        <v>0.21311688339881166</v>
      </c>
      <c r="X32" s="108">
        <f t="shared" si="24"/>
        <v>2.0165637080338788E-2</v>
      </c>
      <c r="Y32" s="108">
        <f t="shared" si="24"/>
        <v>1.1907004190109746E-2</v>
      </c>
      <c r="Z32" s="108">
        <f t="shared" si="24"/>
        <v>2.0853772681785065E-2</v>
      </c>
      <c r="AA32" s="108">
        <f t="shared" si="24"/>
        <v>0.11525712251909688</v>
      </c>
      <c r="AB32" s="108">
        <f t="shared" si="24"/>
        <v>0.28248037046618657</v>
      </c>
      <c r="AC32" s="108">
        <f t="shared" si="24"/>
        <v>0.5525734625800709</v>
      </c>
      <c r="AD32" s="108">
        <f t="shared" si="24"/>
        <v>0.83034452382747181</v>
      </c>
      <c r="AE32" s="108">
        <f t="shared" si="24"/>
        <v>1.1145037780693468</v>
      </c>
      <c r="AF32" s="108">
        <f t="shared" si="24"/>
        <v>1.6102840744483549</v>
      </c>
      <c r="AG32" s="108">
        <f t="shared" si="24"/>
        <v>1.3811225047794908</v>
      </c>
      <c r="AH32" s="108">
        <f t="shared" si="24"/>
        <v>1.2365869094655129</v>
      </c>
      <c r="AI32" s="108">
        <f t="shared" si="24"/>
        <v>0.804374010203593</v>
      </c>
      <c r="AJ32" s="108">
        <f t="shared" si="24"/>
        <v>0.38290307604022628</v>
      </c>
      <c r="AK32" s="108">
        <f t="shared" si="24"/>
        <v>0.32406105676199015</v>
      </c>
      <c r="AL32" s="108">
        <f t="shared" si="24"/>
        <v>0.15967987440995141</v>
      </c>
      <c r="AM32" s="108">
        <f t="shared" si="24"/>
        <v>0.12508137937228514</v>
      </c>
      <c r="AN32" s="108">
        <f t="shared" si="24"/>
        <v>5.2792585742359684E-2</v>
      </c>
      <c r="AO32" s="108">
        <f t="shared" si="24"/>
        <v>-3.8406080456499193E-3</v>
      </c>
      <c r="AP32" s="108">
        <f t="shared" si="24"/>
        <v>-1.749590993516123E-2</v>
      </c>
      <c r="AQ32" s="108">
        <f t="shared" si="24"/>
        <v>-3.4714886601199299E-2</v>
      </c>
      <c r="AR32" s="108">
        <f t="shared" si="24"/>
        <v>-9.2822591757520292E-2</v>
      </c>
      <c r="AS32" s="108">
        <f t="shared" si="24"/>
        <v>-0.12434485715380769</v>
      </c>
      <c r="AT32" s="108">
        <f t="shared" si="24"/>
        <v>-0.1250456370346629</v>
      </c>
      <c r="AU32" s="108">
        <f t="shared" si="24"/>
        <v>-0.2813982716980496</v>
      </c>
      <c r="AV32" s="108">
        <f t="shared" si="24"/>
        <v>-0.28057109453252138</v>
      </c>
      <c r="AW32" s="108">
        <f t="shared" si="24"/>
        <v>-0.25775564096704018</v>
      </c>
      <c r="AX32" s="108">
        <f t="shared" si="24"/>
        <v>-0.26035167958389765</v>
      </c>
      <c r="AY32" s="108">
        <f t="shared" si="24"/>
        <v>-9.2377154486290455E-2</v>
      </c>
      <c r="AZ32" s="108">
        <f t="shared" si="24"/>
        <v>5.7865945264706682E-2</v>
      </c>
      <c r="BA32" s="108">
        <f t="shared" si="24"/>
        <v>0.15886925977614855</v>
      </c>
      <c r="BB32" s="108">
        <f t="shared" si="24"/>
        <v>0.99504679545704422</v>
      </c>
      <c r="BC32" s="108">
        <f t="shared" si="24"/>
        <v>1.7314724173469667</v>
      </c>
      <c r="BD32" s="108">
        <f t="shared" si="24"/>
        <v>1.4297986543146062</v>
      </c>
      <c r="BE32" s="108">
        <f t="shared" si="24"/>
        <v>1.3450379151548835</v>
      </c>
      <c r="BF32" s="108">
        <f t="shared" si="24"/>
        <v>0.37329488892237617</v>
      </c>
      <c r="BG32" s="108">
        <f t="shared" si="24"/>
        <v>2.5402830323441275E-2</v>
      </c>
      <c r="BH32" s="108">
        <f t="shared" si="24"/>
        <v>4.1430309055980115E-2</v>
      </c>
      <c r="BI32" s="108">
        <f t="shared" si="24"/>
        <v>1.9376009929227032</v>
      </c>
      <c r="BJ32" s="108">
        <f t="shared" si="24"/>
        <v>2.321950095972416</v>
      </c>
      <c r="BK32" s="108">
        <f t="shared" si="24"/>
        <v>2.4857744763242771</v>
      </c>
      <c r="BL32" s="108">
        <f t="shared" si="24"/>
        <v>2.4684610016773916</v>
      </c>
      <c r="BM32" s="108">
        <f t="shared" si="24"/>
        <v>0.57092942341010189</v>
      </c>
      <c r="BN32" s="108">
        <f t="shared" si="24"/>
        <v>0.86266862979727887</v>
      </c>
      <c r="BO32" s="108">
        <f t="shared" si="24"/>
        <v>1.0713996630635838</v>
      </c>
      <c r="BP32" s="108">
        <f t="shared" si="24"/>
        <v>1.2142821245136446</v>
      </c>
      <c r="BQ32" s="108">
        <f t="shared" si="24"/>
        <v>0.99905189441311382</v>
      </c>
      <c r="BR32" s="108">
        <f t="shared" ref="BR32:CK32" si="25">(BR7-BV7)/BV7</f>
        <v>0.5721721623486008</v>
      </c>
      <c r="BS32" s="108">
        <f t="shared" si="25"/>
        <v>0.51768526057939979</v>
      </c>
      <c r="BT32" s="108">
        <f t="shared" si="25"/>
        <v>2.2618741614029689</v>
      </c>
      <c r="BU32" s="108">
        <f t="shared" si="25"/>
        <v>1.747356551732054</v>
      </c>
      <c r="BV32" s="108">
        <f t="shared" si="25"/>
        <v>1.6462879678815139</v>
      </c>
      <c r="BW32" s="108">
        <f t="shared" si="25"/>
        <v>1.4455797660749272</v>
      </c>
      <c r="BX32" s="108">
        <f t="shared" si="25"/>
        <v>-1.7779856346603725E-2</v>
      </c>
      <c r="BY32" s="108">
        <f t="shared" si="25"/>
        <v>-4.4348159929797619E-2</v>
      </c>
      <c r="BZ32" s="108" t="e">
        <f t="shared" si="25"/>
        <v>#DIV/0!</v>
      </c>
      <c r="CA32" s="108" t="e">
        <f t="shared" si="25"/>
        <v>#DIV/0!</v>
      </c>
      <c r="CB32" s="108" t="e">
        <f t="shared" si="25"/>
        <v>#DIV/0!</v>
      </c>
      <c r="CC32" s="108" t="e">
        <f t="shared" si="25"/>
        <v>#DIV/0!</v>
      </c>
      <c r="CD32" s="108" t="e">
        <f t="shared" si="25"/>
        <v>#DIV/0!</v>
      </c>
      <c r="CE32" s="108" t="e">
        <f t="shared" si="25"/>
        <v>#DIV/0!</v>
      </c>
      <c r="CF32" s="108" t="e">
        <f t="shared" si="25"/>
        <v>#DIV/0!</v>
      </c>
      <c r="CG32" s="108" t="e">
        <f t="shared" si="25"/>
        <v>#DIV/0!</v>
      </c>
      <c r="CH32" s="108" t="e">
        <f t="shared" si="25"/>
        <v>#DIV/0!</v>
      </c>
      <c r="CI32" s="108" t="e">
        <f t="shared" si="25"/>
        <v>#DIV/0!</v>
      </c>
      <c r="CJ32" s="108" t="e">
        <f t="shared" si="25"/>
        <v>#DIV/0!</v>
      </c>
      <c r="CK32" s="108" t="e">
        <f t="shared" si="25"/>
        <v>#DIV/0!</v>
      </c>
    </row>
    <row r="33" spans="1:89" s="108" customFormat="1" x14ac:dyDescent="0.25">
      <c r="A33" s="142" t="s">
        <v>563</v>
      </c>
      <c r="E33" s="108">
        <f>E7/E9</f>
        <v>0.67667821312517007</v>
      </c>
      <c r="F33" s="108">
        <f t="shared" ref="F33:BQ33" si="26">F7/F9</f>
        <v>0.68233297567025197</v>
      </c>
      <c r="G33" s="108">
        <f t="shared" si="26"/>
        <v>0.69406571424640962</v>
      </c>
      <c r="H33" s="108">
        <f t="shared" si="26"/>
        <v>0.67949748357717321</v>
      </c>
      <c r="I33" s="108">
        <f t="shared" si="26"/>
        <v>0.64968940580383228</v>
      </c>
      <c r="J33" s="108">
        <f t="shared" si="26"/>
        <v>0.66175367639556937</v>
      </c>
      <c r="K33" s="108">
        <f t="shared" si="26"/>
        <v>0.60206807976887144</v>
      </c>
      <c r="L33" s="108">
        <f t="shared" si="26"/>
        <v>0.62018885796912371</v>
      </c>
      <c r="M33" s="108">
        <f t="shared" si="26"/>
        <v>0.66446308273688415</v>
      </c>
      <c r="N33" s="108">
        <f t="shared" si="26"/>
        <v>0.67533195634553023</v>
      </c>
      <c r="O33" s="108">
        <f t="shared" si="26"/>
        <v>0.65784789137851962</v>
      </c>
      <c r="P33" s="108">
        <f t="shared" si="26"/>
        <v>0.65790480397341045</v>
      </c>
      <c r="Q33" s="108">
        <f t="shared" si="26"/>
        <v>0.64164655627242961</v>
      </c>
      <c r="R33" s="108">
        <f t="shared" si="26"/>
        <v>0.60898158282479964</v>
      </c>
      <c r="S33" s="108">
        <f t="shared" si="26"/>
        <v>0.5964309448415146</v>
      </c>
      <c r="T33" s="108">
        <f t="shared" si="26"/>
        <v>0.54316816870695073</v>
      </c>
      <c r="U33" s="108">
        <f t="shared" si="26"/>
        <v>0.73657150561564222</v>
      </c>
      <c r="V33" s="108">
        <f t="shared" si="26"/>
        <v>0.67944252731167631</v>
      </c>
      <c r="W33" s="108">
        <f t="shared" si="26"/>
        <v>0.61406419261347733</v>
      </c>
      <c r="X33" s="108">
        <f t="shared" si="26"/>
        <v>0.65443414610641248</v>
      </c>
      <c r="Y33" s="108">
        <f t="shared" si="26"/>
        <v>0.67903969202272474</v>
      </c>
      <c r="Z33" s="108">
        <f t="shared" si="26"/>
        <v>0.65932708105073812</v>
      </c>
      <c r="AA33" s="108">
        <f t="shared" si="26"/>
        <v>0.65873115112001213</v>
      </c>
      <c r="AB33" s="108">
        <f t="shared" si="26"/>
        <v>0.64940493418194944</v>
      </c>
      <c r="AC33" s="108">
        <f t="shared" si="26"/>
        <v>0.63688440592947393</v>
      </c>
      <c r="AD33" s="108">
        <f t="shared" si="26"/>
        <v>0.6520823027583762</v>
      </c>
      <c r="AE33" s="108">
        <f t="shared" si="26"/>
        <v>0.60885607242683748</v>
      </c>
      <c r="AF33" s="108">
        <f t="shared" si="26"/>
        <v>0.5803170018902456</v>
      </c>
      <c r="AG33" s="108">
        <f t="shared" si="26"/>
        <v>0.50866389761386255</v>
      </c>
      <c r="AH33" s="108">
        <f t="shared" si="26"/>
        <v>0.5344948094479417</v>
      </c>
      <c r="AI33" s="108">
        <f t="shared" si="26"/>
        <v>0.45914607660239565</v>
      </c>
      <c r="AJ33" s="108">
        <f t="shared" si="26"/>
        <v>0.38099949270169003</v>
      </c>
      <c r="AK33" s="108">
        <f t="shared" si="26"/>
        <v>0.37133166003822876</v>
      </c>
      <c r="AL33" s="108">
        <f t="shared" si="26"/>
        <v>0.38516842932703255</v>
      </c>
      <c r="AM33" s="108">
        <f t="shared" si="26"/>
        <v>0.37538979489805846</v>
      </c>
      <c r="AN33" s="108">
        <f t="shared" si="26"/>
        <v>0.63122210361668252</v>
      </c>
      <c r="AO33" s="108">
        <f t="shared" si="26"/>
        <v>0.63361553557397232</v>
      </c>
      <c r="AP33" s="108">
        <f t="shared" si="26"/>
        <v>0.65336760130619331</v>
      </c>
      <c r="AQ33" s="108">
        <f t="shared" si="26"/>
        <v>0.70608640080800478</v>
      </c>
      <c r="AR33" s="108">
        <f t="shared" si="26"/>
        <v>0.70057411770693645</v>
      </c>
      <c r="AS33" s="108">
        <f t="shared" si="26"/>
        <v>0.69574657776973758</v>
      </c>
      <c r="AT33" s="108">
        <f t="shared" si="26"/>
        <v>0.6869130278084894</v>
      </c>
      <c r="AU33" s="108">
        <f t="shared" si="26"/>
        <v>0.70401359874202907</v>
      </c>
      <c r="AV33" s="108">
        <f t="shared" si="26"/>
        <v>0.6541340213502258</v>
      </c>
      <c r="AW33" s="108">
        <f t="shared" si="26"/>
        <v>0.63583497186843918</v>
      </c>
      <c r="AX33" s="108">
        <f t="shared" si="26"/>
        <v>0.63592140199085601</v>
      </c>
      <c r="AY33" s="108">
        <f t="shared" si="26"/>
        <v>0.69426334630673603</v>
      </c>
      <c r="AZ33" s="108">
        <f t="shared" si="26"/>
        <v>0.6528910598943316</v>
      </c>
      <c r="BA33" s="108">
        <f t="shared" si="26"/>
        <v>0.65777193594436767</v>
      </c>
      <c r="BB33" s="108">
        <f t="shared" si="26"/>
        <v>0.6235398368964572</v>
      </c>
      <c r="BC33" s="108">
        <f t="shared" si="26"/>
        <v>0.61660004171761185</v>
      </c>
      <c r="BD33" s="108">
        <f t="shared" si="26"/>
        <v>0.71983339575029914</v>
      </c>
      <c r="BE33" s="108">
        <f t="shared" si="26"/>
        <v>0.69882517730939675</v>
      </c>
      <c r="BF33" s="108">
        <f t="shared" si="26"/>
        <v>0.43990265800481704</v>
      </c>
      <c r="BG33" s="108">
        <f t="shared" si="26"/>
        <v>0.40897948288889652</v>
      </c>
      <c r="BH33" s="108">
        <f t="shared" si="26"/>
        <v>0.40309544596821512</v>
      </c>
      <c r="BI33" s="108">
        <f t="shared" si="26"/>
        <v>0.44408053919781676</v>
      </c>
      <c r="BJ33" s="108">
        <f t="shared" si="26"/>
        <v>0.5478623253170728</v>
      </c>
      <c r="BK33" s="108">
        <f t="shared" si="26"/>
        <v>0.54847412551786134</v>
      </c>
      <c r="BL33" s="108">
        <f t="shared" si="26"/>
        <v>0.55145419952101582</v>
      </c>
      <c r="BM33" s="108">
        <f t="shared" si="26"/>
        <v>0.27942175093345822</v>
      </c>
      <c r="BN33" s="108">
        <f t="shared" si="26"/>
        <v>0.32864907210414618</v>
      </c>
      <c r="BO33" s="108">
        <f t="shared" si="26"/>
        <v>0.33224680235102466</v>
      </c>
      <c r="BP33" s="108">
        <f t="shared" si="26"/>
        <v>0.34618672278281803</v>
      </c>
      <c r="BQ33" s="108">
        <f t="shared" si="26"/>
        <v>0.28193329461894989</v>
      </c>
      <c r="BR33" s="108">
        <f t="shared" ref="BR33:CK33" si="27">BR7/BR9</f>
        <v>0.22167852452473225</v>
      </c>
      <c r="BS33" s="108">
        <f t="shared" si="27"/>
        <v>0.18548671217057522</v>
      </c>
      <c r="BT33" s="108">
        <f t="shared" si="27"/>
        <v>0.26442742616481046</v>
      </c>
      <c r="BU33" s="108">
        <f t="shared" si="27"/>
        <v>0.26602879681354058</v>
      </c>
      <c r="BV33" s="108">
        <f t="shared" si="27"/>
        <v>0.29434010345451472</v>
      </c>
      <c r="BW33" s="108">
        <f t="shared" si="27"/>
        <v>0.28437896760056086</v>
      </c>
      <c r="BX33" s="108">
        <f t="shared" si="27"/>
        <v>0.14161826260311405</v>
      </c>
      <c r="BY33" s="108">
        <f t="shared" si="27"/>
        <v>0.14091938405797103</v>
      </c>
      <c r="BZ33" s="108">
        <f t="shared" si="27"/>
        <v>0.25079278387953691</v>
      </c>
      <c r="CA33" s="108">
        <f t="shared" si="27"/>
        <v>0.21081181887931671</v>
      </c>
      <c r="CB33" s="108">
        <f t="shared" si="27"/>
        <v>0.2566605431849095</v>
      </c>
      <c r="CC33" s="108">
        <f t="shared" si="27"/>
        <v>0.30850212430437701</v>
      </c>
      <c r="CD33" s="108" t="e">
        <f t="shared" si="27"/>
        <v>#DIV/0!</v>
      </c>
      <c r="CE33" s="108" t="e">
        <f t="shared" si="27"/>
        <v>#DIV/0!</v>
      </c>
      <c r="CF33" s="108" t="e">
        <f t="shared" si="27"/>
        <v>#DIV/0!</v>
      </c>
      <c r="CG33" s="108" t="e">
        <f t="shared" si="27"/>
        <v>#DIV/0!</v>
      </c>
      <c r="CH33" s="108" t="e">
        <f t="shared" si="27"/>
        <v>#DIV/0!</v>
      </c>
      <c r="CI33" s="108" t="e">
        <f t="shared" si="27"/>
        <v>#DIV/0!</v>
      </c>
      <c r="CJ33" s="108" t="e">
        <f t="shared" si="27"/>
        <v>#DIV/0!</v>
      </c>
      <c r="CK33" s="108" t="e">
        <f t="shared" si="27"/>
        <v>#DIV/0!</v>
      </c>
    </row>
    <row r="34" spans="1:89" s="107" customFormat="1" x14ac:dyDescent="0.25">
      <c r="A34" s="141" t="s">
        <v>557</v>
      </c>
      <c r="E34" s="107">
        <f>(E10-I10)/I10</f>
        <v>0.42358534279847743</v>
      </c>
      <c r="F34" s="107">
        <f t="shared" ref="F34:BQ34" si="28">(F10-J10)/J10</f>
        <v>1.4245147337476944</v>
      </c>
      <c r="G34" s="107">
        <f t="shared" si="28"/>
        <v>2.4903314768292937</v>
      </c>
      <c r="H34" s="107">
        <f t="shared" si="28"/>
        <v>1.8409205663850705</v>
      </c>
      <c r="I34" s="107">
        <f t="shared" si="28"/>
        <v>0.20118345595782516</v>
      </c>
      <c r="J34" s="107">
        <f t="shared" si="28"/>
        <v>0.91993178015330168</v>
      </c>
      <c r="K34" s="107">
        <f t="shared" si="28"/>
        <v>0.62613056851987337</v>
      </c>
      <c r="L34" s="107">
        <f t="shared" si="28"/>
        <v>0.35700363627859316</v>
      </c>
      <c r="M34" s="107">
        <f t="shared" si="28"/>
        <v>2.227080671951696</v>
      </c>
      <c r="N34" s="107">
        <f t="shared" si="28"/>
        <v>0.11491028295478367</v>
      </c>
      <c r="O34" s="107">
        <f t="shared" si="28"/>
        <v>-0.20232001180749135</v>
      </c>
      <c r="P34" s="107">
        <f t="shared" si="28"/>
        <v>-6.2204883326109087E-2</v>
      </c>
      <c r="Q34" s="107">
        <f t="shared" si="28"/>
        <v>-0.81221491690996284</v>
      </c>
      <c r="R34" s="107">
        <f t="shared" si="28"/>
        <v>-0.81229208074224635</v>
      </c>
      <c r="S34" s="107">
        <f t="shared" si="28"/>
        <v>-0.66799802358930183</v>
      </c>
      <c r="T34" s="107">
        <f t="shared" si="28"/>
        <v>2.0567425323282533E-2</v>
      </c>
      <c r="U34" s="107">
        <f t="shared" si="28"/>
        <v>4.3783368792746886</v>
      </c>
      <c r="V34" s="107">
        <f t="shared" si="28"/>
        <v>2.8444227440512471</v>
      </c>
      <c r="W34" s="107">
        <f t="shared" si="28"/>
        <v>1.6085655300468034</v>
      </c>
      <c r="X34" s="107">
        <f t="shared" si="28"/>
        <v>-0.60782461195419091</v>
      </c>
      <c r="Y34" s="107">
        <f t="shared" si="28"/>
        <v>-0.71499876164806864</v>
      </c>
      <c r="Z34" s="107">
        <f t="shared" si="28"/>
        <v>-0.6511824784688458</v>
      </c>
      <c r="AA34" s="107">
        <f t="shared" si="28"/>
        <v>-0.52419943557214266</v>
      </c>
      <c r="AB34" s="107">
        <f t="shared" si="28"/>
        <v>6.893836617180584E-3</v>
      </c>
      <c r="AC34" s="107">
        <f t="shared" si="28"/>
        <v>0.57469577485822787</v>
      </c>
      <c r="AD34" s="107">
        <f t="shared" si="28"/>
        <v>1.2888281810711053</v>
      </c>
      <c r="AE34" s="107">
        <f t="shared" si="28"/>
        <v>1.6048046313789261</v>
      </c>
      <c r="AF34" s="107">
        <f t="shared" si="28"/>
        <v>3.5818749724748007</v>
      </c>
      <c r="AG34" s="107">
        <f t="shared" si="28"/>
        <v>3.7673869759428005</v>
      </c>
      <c r="AH34" s="107">
        <f t="shared" si="28"/>
        <v>3.09166056553053</v>
      </c>
      <c r="AI34" s="107">
        <f t="shared" si="28"/>
        <v>1.7662394624147255</v>
      </c>
      <c r="AJ34" s="107">
        <f t="shared" si="28"/>
        <v>-0.56906541784075548</v>
      </c>
      <c r="AK34" s="107">
        <f t="shared" si="28"/>
        <v>-0.56221418058007055</v>
      </c>
      <c r="AL34" s="107">
        <f t="shared" si="28"/>
        <v>-0.43657288861960025</v>
      </c>
      <c r="AM34" s="107">
        <f t="shared" si="28"/>
        <v>-0.55257306906987014</v>
      </c>
      <c r="AN34" s="107">
        <f t="shared" si="28"/>
        <v>1.4525833886546828</v>
      </c>
      <c r="AO34" s="107">
        <f t="shared" si="28"/>
        <v>1.2155658100027411</v>
      </c>
      <c r="AP34" s="107">
        <f t="shared" si="28"/>
        <v>0.12168442318874879</v>
      </c>
      <c r="AQ34" s="107">
        <f t="shared" si="28"/>
        <v>0.52278496186824497</v>
      </c>
      <c r="AR34" s="107">
        <f t="shared" si="28"/>
        <v>-0.63601570159841581</v>
      </c>
      <c r="AS34" s="107">
        <f t="shared" si="28"/>
        <v>-0.74942545416863016</v>
      </c>
      <c r="AT34" s="107">
        <f t="shared" si="28"/>
        <v>-0.53551776659148254</v>
      </c>
      <c r="AU34" s="107">
        <f t="shared" si="28"/>
        <v>-0.66719293721251705</v>
      </c>
      <c r="AV34" s="107">
        <f t="shared" si="28"/>
        <v>-0.13386393651545334</v>
      </c>
      <c r="AW34" s="107">
        <f t="shared" si="28"/>
        <v>0.21107014955687345</v>
      </c>
      <c r="AX34" s="107">
        <f t="shared" si="28"/>
        <v>-6.9513456650371314E-2</v>
      </c>
      <c r="AY34" s="107">
        <f t="shared" si="28"/>
        <v>0.17583868397883759</v>
      </c>
      <c r="AZ34" s="107">
        <f t="shared" si="28"/>
        <v>-0.33256175818679756</v>
      </c>
      <c r="BA34" s="107">
        <f t="shared" si="28"/>
        <v>-0.31660381477323307</v>
      </c>
      <c r="BB34" s="107">
        <f t="shared" si="28"/>
        <v>-0.21716235996780087</v>
      </c>
      <c r="BC34" s="107">
        <f t="shared" si="28"/>
        <v>0.45853822477917006</v>
      </c>
      <c r="BD34" s="107">
        <f t="shared" si="28"/>
        <v>0.86144609035792918</v>
      </c>
      <c r="BE34" s="107">
        <f t="shared" si="28"/>
        <v>0.29574798560323312</v>
      </c>
      <c r="BF34" s="107">
        <f t="shared" si="28"/>
        <v>0.73312781036689756</v>
      </c>
      <c r="BG34" s="107">
        <f t="shared" si="28"/>
        <v>4.3427989537062318E-2</v>
      </c>
      <c r="BH34" s="107">
        <f t="shared" si="28"/>
        <v>0.1004310153682678</v>
      </c>
      <c r="BI34" s="107">
        <f t="shared" si="28"/>
        <v>0.86601883595220097</v>
      </c>
      <c r="BJ34" s="107">
        <f t="shared" si="28"/>
        <v>1.8907576718115293</v>
      </c>
      <c r="BK34" s="107">
        <f t="shared" si="28"/>
        <v>2.4415924227305754</v>
      </c>
      <c r="BL34" s="107">
        <f t="shared" si="28"/>
        <v>3.0215966302306025</v>
      </c>
      <c r="BM34" s="107">
        <f t="shared" si="28"/>
        <v>2.227183250427907</v>
      </c>
      <c r="BN34" s="107">
        <f t="shared" si="28"/>
        <v>0.73120674392426188</v>
      </c>
      <c r="BO34" s="107">
        <f t="shared" si="28"/>
        <v>9.9928596785416476E-2</v>
      </c>
      <c r="BP34" s="107">
        <f t="shared" si="28"/>
        <v>0.35885170267694516</v>
      </c>
      <c r="BQ34" s="107">
        <f t="shared" si="28"/>
        <v>0.97295900518520639</v>
      </c>
      <c r="BR34" s="107">
        <f t="shared" ref="BR34:CK34" si="29">(BR10-BV10)/BV10</f>
        <v>0.85016337334742842</v>
      </c>
      <c r="BS34" s="107">
        <f t="shared" si="29"/>
        <v>2.5113391004684784</v>
      </c>
      <c r="BT34" s="107">
        <f t="shared" si="29"/>
        <v>3.1304040159652842</v>
      </c>
      <c r="BU34" s="107">
        <f t="shared" si="29"/>
        <v>1.7306544028950543</v>
      </c>
      <c r="BV34" s="107" t="e">
        <f t="shared" si="29"/>
        <v>#DIV/0!</v>
      </c>
      <c r="BW34" s="107">
        <f t="shared" si="29"/>
        <v>5.9224008574490892</v>
      </c>
      <c r="BX34" s="107">
        <f t="shared" si="29"/>
        <v>2.4306720799214734</v>
      </c>
      <c r="BY34" s="107">
        <f t="shared" si="29"/>
        <v>4.2683613546778219</v>
      </c>
      <c r="BZ34" s="107" t="e">
        <f t="shared" si="29"/>
        <v>#DIV/0!</v>
      </c>
      <c r="CA34" s="107" t="e">
        <f t="shared" si="29"/>
        <v>#DIV/0!</v>
      </c>
      <c r="CB34" s="107" t="e">
        <f t="shared" si="29"/>
        <v>#DIV/0!</v>
      </c>
      <c r="CC34" s="107" t="e">
        <f t="shared" si="29"/>
        <v>#DIV/0!</v>
      </c>
      <c r="CD34" s="107" t="e">
        <f t="shared" si="29"/>
        <v>#DIV/0!</v>
      </c>
      <c r="CE34" s="107" t="e">
        <f t="shared" si="29"/>
        <v>#DIV/0!</v>
      </c>
      <c r="CF34" s="107" t="e">
        <f t="shared" si="29"/>
        <v>#DIV/0!</v>
      </c>
      <c r="CG34" s="107" t="e">
        <f t="shared" si="29"/>
        <v>#DIV/0!</v>
      </c>
      <c r="CH34" s="107" t="e">
        <f t="shared" si="29"/>
        <v>#DIV/0!</v>
      </c>
      <c r="CI34" s="107" t="e">
        <f t="shared" si="29"/>
        <v>#DIV/0!</v>
      </c>
      <c r="CJ34" s="107" t="e">
        <f t="shared" si="29"/>
        <v>#DIV/0!</v>
      </c>
      <c r="CK34" s="107" t="e">
        <f t="shared" si="29"/>
        <v>#DIV/0!</v>
      </c>
    </row>
    <row r="35" spans="1:89" s="107" customFormat="1" x14ac:dyDescent="0.25">
      <c r="A35" s="141" t="s">
        <v>561</v>
      </c>
      <c r="E35" s="107">
        <f>E10/E12</f>
        <v>0.11744713913128364</v>
      </c>
      <c r="F35" s="107">
        <f t="shared" ref="F35:BQ35" si="30">F10/F12</f>
        <v>0.13684165482404922</v>
      </c>
      <c r="G35" s="107">
        <f t="shared" si="30"/>
        <v>0.18333307904845486</v>
      </c>
      <c r="H35" s="107">
        <f t="shared" si="30"/>
        <v>0.11211783662431836</v>
      </c>
      <c r="I35" s="107">
        <f t="shared" si="30"/>
        <v>0.11894680393432842</v>
      </c>
      <c r="J35" s="107">
        <f t="shared" si="30"/>
        <v>8.7416978755908717E-2</v>
      </c>
      <c r="K35" s="107">
        <f t="shared" si="30"/>
        <v>7.3246101418539156E-2</v>
      </c>
      <c r="L35" s="107">
        <f t="shared" si="30"/>
        <v>5.4983628827972746E-2</v>
      </c>
      <c r="M35" s="107">
        <f t="shared" si="30"/>
        <v>0.15374882516798458</v>
      </c>
      <c r="N35" s="107">
        <f t="shared" si="30"/>
        <v>6.284255676819421E-2</v>
      </c>
      <c r="O35" s="107">
        <f t="shared" si="30"/>
        <v>6.7959673486657352E-2</v>
      </c>
      <c r="P35" s="107">
        <f t="shared" si="30"/>
        <v>5.9732502747854396E-2</v>
      </c>
      <c r="Q35" s="107">
        <f t="shared" si="30"/>
        <v>5.9998308549643477E-2</v>
      </c>
      <c r="R35" s="107">
        <f t="shared" si="30"/>
        <v>6.9598470903254189E-2</v>
      </c>
      <c r="S35" s="107">
        <f t="shared" si="30"/>
        <v>9.7643671046835315E-2</v>
      </c>
      <c r="T35" s="107">
        <f t="shared" si="30"/>
        <v>6.8224377285664509E-2</v>
      </c>
      <c r="U35" s="107">
        <f t="shared" si="30"/>
        <v>0.31439576067301528</v>
      </c>
      <c r="V35" s="107">
        <f t="shared" si="30"/>
        <v>0.36671823584558005</v>
      </c>
      <c r="W35" s="107">
        <f t="shared" si="30"/>
        <v>0.31301349455199384</v>
      </c>
      <c r="X35" s="107">
        <f t="shared" si="30"/>
        <v>0.10898169719256103</v>
      </c>
      <c r="Y35" s="107">
        <f t="shared" si="30"/>
        <v>0.11078741132573663</v>
      </c>
      <c r="Z35" s="107">
        <f t="shared" si="30"/>
        <v>0.15044272759953289</v>
      </c>
      <c r="AA35" s="107">
        <f t="shared" si="30"/>
        <v>0.17542958510648662</v>
      </c>
      <c r="AB35" s="107">
        <f t="shared" si="30"/>
        <v>0.2703880331572277</v>
      </c>
      <c r="AC35" s="107">
        <f t="shared" si="30"/>
        <v>0.33748237073605009</v>
      </c>
      <c r="AD35" s="107">
        <f t="shared" si="30"/>
        <v>0.40276666907076969</v>
      </c>
      <c r="AE35" s="107">
        <f t="shared" si="30"/>
        <v>0.37958151266336426</v>
      </c>
      <c r="AF35" s="107">
        <f t="shared" si="30"/>
        <v>0.37407483414498161</v>
      </c>
      <c r="AG35" s="107">
        <f t="shared" si="30"/>
        <v>0.38103184434749671</v>
      </c>
      <c r="AH35" s="107">
        <f t="shared" si="30"/>
        <v>0.37979081617266819</v>
      </c>
      <c r="AI35" s="107">
        <f t="shared" si="30"/>
        <v>0.4097177539482974</v>
      </c>
      <c r="AJ35" s="107">
        <f t="shared" si="30"/>
        <v>0.21982694881139547</v>
      </c>
      <c r="AK35" s="107">
        <f t="shared" si="30"/>
        <v>0.19370488492801305</v>
      </c>
      <c r="AL35" s="107">
        <f t="shared" si="30"/>
        <v>0.18028883039669591</v>
      </c>
      <c r="AM35" s="107">
        <f t="shared" si="30"/>
        <v>0.19728632303585728</v>
      </c>
      <c r="AN35" s="107">
        <f t="shared" si="30"/>
        <v>0.483561379047106</v>
      </c>
      <c r="AO35" s="107">
        <f t="shared" si="30"/>
        <v>0.45695990381906537</v>
      </c>
      <c r="AP35" s="107">
        <f t="shared" si="30"/>
        <v>0.45721577569740868</v>
      </c>
      <c r="AQ35" s="107">
        <f t="shared" si="30"/>
        <v>0.53009953192130443</v>
      </c>
      <c r="AR35" s="107">
        <f t="shared" si="30"/>
        <v>0.254024739307808</v>
      </c>
      <c r="AS35" s="107">
        <f t="shared" si="30"/>
        <v>0.2009223291434819</v>
      </c>
      <c r="AT35" s="107">
        <f t="shared" si="30"/>
        <v>0.25432318527741404</v>
      </c>
      <c r="AU35" s="107">
        <f t="shared" si="30"/>
        <v>0.24277104933502011</v>
      </c>
      <c r="AV35" s="107">
        <f t="shared" si="30"/>
        <v>0.40580877748603444</v>
      </c>
      <c r="AW35" s="107">
        <f t="shared" si="30"/>
        <v>0.47243814596341255</v>
      </c>
      <c r="AX35" s="107">
        <f t="shared" si="30"/>
        <v>0.36921690719837974</v>
      </c>
      <c r="AY35" s="107">
        <f t="shared" si="30"/>
        <v>0.36926606842613519</v>
      </c>
      <c r="AZ35" s="107">
        <f t="shared" si="30"/>
        <v>0.2780004861105943</v>
      </c>
      <c r="BA35" s="107">
        <f t="shared" si="30"/>
        <v>0.260129799999612</v>
      </c>
      <c r="BB35" s="107">
        <f t="shared" si="30"/>
        <v>0.25800287340520683</v>
      </c>
      <c r="BC35" s="107">
        <f t="shared" si="30"/>
        <v>0.29056384260404361</v>
      </c>
      <c r="BD35" s="107">
        <f t="shared" si="30"/>
        <v>0.60128463595030468</v>
      </c>
      <c r="BE35" s="107">
        <f t="shared" si="30"/>
        <v>0.60111031472745691</v>
      </c>
      <c r="BF35" s="107">
        <f t="shared" si="30"/>
        <v>0.62249122519172406</v>
      </c>
      <c r="BG35" s="107">
        <f t="shared" si="30"/>
        <v>0.57930187649574472</v>
      </c>
      <c r="BH35" s="107">
        <f t="shared" si="30"/>
        <v>0.58274907619915362</v>
      </c>
      <c r="BI35" s="107">
        <f t="shared" si="30"/>
        <v>0.63609285175541752</v>
      </c>
      <c r="BJ35" s="107">
        <f t="shared" si="30"/>
        <v>0.57526823698605389</v>
      </c>
      <c r="BK35" s="107">
        <f t="shared" si="30"/>
        <v>0.57157759686308252</v>
      </c>
      <c r="BL35" s="107">
        <f t="shared" si="30"/>
        <v>0.57931838328019802</v>
      </c>
      <c r="BM35" s="107">
        <f t="shared" si="30"/>
        <v>0.87055343405772623</v>
      </c>
      <c r="BN35" s="107">
        <f t="shared" si="30"/>
        <v>0.74373355384892414</v>
      </c>
      <c r="BO35" s="107">
        <f t="shared" si="30"/>
        <v>0.73323523313065575</v>
      </c>
      <c r="BP35" s="107">
        <f t="shared" si="30"/>
        <v>0.70732139395142146</v>
      </c>
      <c r="BQ35" s="107">
        <f t="shared" si="30"/>
        <v>0.75625897963877575</v>
      </c>
      <c r="BR35" s="107">
        <f t="shared" ref="BR35:CK35" si="31">BR10/BR12</f>
        <v>0.80249961651096569</v>
      </c>
      <c r="BS35" s="107">
        <f t="shared" si="31"/>
        <v>0.79402071243979211</v>
      </c>
      <c r="BT35" s="107">
        <f t="shared" si="31"/>
        <v>0.73116397231796892</v>
      </c>
      <c r="BU35" s="107">
        <f t="shared" si="31"/>
        <v>0.78137545680710119</v>
      </c>
      <c r="BV35" s="107">
        <f t="shared" si="31"/>
        <v>0.83492817650646711</v>
      </c>
      <c r="BW35" s="107">
        <f t="shared" si="31"/>
        <v>0.78076504619635612</v>
      </c>
      <c r="BX35" s="107">
        <f t="shared" si="31"/>
        <v>0.78807968489122238</v>
      </c>
      <c r="BY35" s="107">
        <f t="shared" si="31"/>
        <v>0.78575370734750682</v>
      </c>
      <c r="BZ35" s="107" t="e">
        <f t="shared" si="31"/>
        <v>#DIV/0!</v>
      </c>
      <c r="CA35" s="107">
        <f t="shared" si="31"/>
        <v>0.19126019117233622</v>
      </c>
      <c r="CB35" s="107">
        <f t="shared" si="31"/>
        <v>0.21206327990621954</v>
      </c>
      <c r="CC35" s="107">
        <f t="shared" si="31"/>
        <v>0.16626763860094965</v>
      </c>
      <c r="CD35" s="107" t="e">
        <f t="shared" si="31"/>
        <v>#DIV/0!</v>
      </c>
      <c r="CE35" s="107" t="e">
        <f t="shared" si="31"/>
        <v>#DIV/0!</v>
      </c>
      <c r="CF35" s="107" t="e">
        <f t="shared" si="31"/>
        <v>#DIV/0!</v>
      </c>
      <c r="CG35" s="107" t="e">
        <f t="shared" si="31"/>
        <v>#DIV/0!</v>
      </c>
      <c r="CH35" s="107" t="e">
        <f t="shared" si="31"/>
        <v>#DIV/0!</v>
      </c>
      <c r="CI35" s="107" t="e">
        <f t="shared" si="31"/>
        <v>#DIV/0!</v>
      </c>
      <c r="CJ35" s="107" t="e">
        <f t="shared" si="31"/>
        <v>#DIV/0!</v>
      </c>
      <c r="CK35" s="107" t="e">
        <f t="shared" si="31"/>
        <v>#DIV/0!</v>
      </c>
    </row>
    <row r="36" spans="1:89" s="107" customFormat="1" x14ac:dyDescent="0.25">
      <c r="A36" s="141" t="s">
        <v>558</v>
      </c>
      <c r="E36" s="107">
        <f>(E11-I11)/I11</f>
        <v>0.44421695344367151</v>
      </c>
      <c r="F36" s="107">
        <f t="shared" ref="F36:BQ36" si="32">(F11-J11)/J11</f>
        <v>0.4649418709238774</v>
      </c>
      <c r="G36" s="107">
        <f t="shared" si="32"/>
        <v>0.22882743424628837</v>
      </c>
      <c r="H36" s="107">
        <f t="shared" si="32"/>
        <v>0.30898231826119771</v>
      </c>
      <c r="I36" s="107">
        <f t="shared" si="32"/>
        <v>0.61648328071877234</v>
      </c>
      <c r="J36" s="107">
        <f t="shared" si="32"/>
        <v>0.34401364063747686</v>
      </c>
      <c r="K36" s="107">
        <f t="shared" si="32"/>
        <v>0.50020946744685746</v>
      </c>
      <c r="L36" s="107">
        <f t="shared" si="32"/>
        <v>0.4816520706040433</v>
      </c>
      <c r="M36" s="107">
        <f t="shared" si="32"/>
        <v>0.13372486810816236</v>
      </c>
      <c r="N36" s="107">
        <f t="shared" si="32"/>
        <v>0.24373517305900638</v>
      </c>
      <c r="O36" s="107">
        <f t="shared" si="32"/>
        <v>0.18379948511575028</v>
      </c>
      <c r="P36" s="107">
        <f t="shared" si="32"/>
        <v>8.0878592009365313E-2</v>
      </c>
      <c r="Q36" s="107">
        <f t="shared" si="32"/>
        <v>0.34913032953118839</v>
      </c>
      <c r="R36" s="107">
        <f t="shared" si="32"/>
        <v>0.45307769809958681</v>
      </c>
      <c r="S36" s="107">
        <f t="shared" si="32"/>
        <v>0.39794309652611509</v>
      </c>
      <c r="T36" s="107">
        <f t="shared" si="32"/>
        <v>0.70482736539295188</v>
      </c>
      <c r="U36" s="107">
        <f t="shared" si="32"/>
        <v>0.46126716796344441</v>
      </c>
      <c r="V36" s="107">
        <f t="shared" si="32"/>
        <v>0.17563944874776485</v>
      </c>
      <c r="W36" s="107">
        <f t="shared" si="32"/>
        <v>0.21804121556693676</v>
      </c>
      <c r="X36" s="107">
        <f t="shared" si="32"/>
        <v>0.18825297769966609</v>
      </c>
      <c r="Y36" s="107">
        <f t="shared" si="32"/>
        <v>0.16524054299241875</v>
      </c>
      <c r="Z36" s="107">
        <f t="shared" si="32"/>
        <v>0.32840114479074872</v>
      </c>
      <c r="AA36" s="107">
        <f t="shared" si="32"/>
        <v>0.36826490191757427</v>
      </c>
      <c r="AB36" s="107">
        <f t="shared" si="32"/>
        <v>0.62376899036952793</v>
      </c>
      <c r="AC36" s="107">
        <f t="shared" si="32"/>
        <v>0.90298768034783705</v>
      </c>
      <c r="AD36" s="107">
        <f t="shared" si="32"/>
        <v>1.0783082990792709</v>
      </c>
      <c r="AE36" s="107">
        <f t="shared" si="32"/>
        <v>1.9551524892873609</v>
      </c>
      <c r="AF36" s="107">
        <f t="shared" si="32"/>
        <v>1.1602158209714954</v>
      </c>
      <c r="AG36" s="107">
        <f t="shared" si="32"/>
        <v>0.86051846008247967</v>
      </c>
      <c r="AH36" s="107">
        <f t="shared" si="32"/>
        <v>0.46960730122901556</v>
      </c>
      <c r="AI36" s="107">
        <f t="shared" si="32"/>
        <v>-2.0507699884718903E-2</v>
      </c>
      <c r="AJ36" s="107">
        <f t="shared" si="32"/>
        <v>0.4320370517300009</v>
      </c>
      <c r="AK36" s="107">
        <f t="shared" si="32"/>
        <v>0.53342077319221293</v>
      </c>
      <c r="AL36" s="107">
        <f t="shared" si="32"/>
        <v>1.1578624743496302</v>
      </c>
      <c r="AM36" s="107">
        <f t="shared" si="32"/>
        <v>1.0537016320246997</v>
      </c>
      <c r="AN36" s="107">
        <f t="shared" si="32"/>
        <v>-0.10804595941135173</v>
      </c>
      <c r="AO36" s="107">
        <f t="shared" si="32"/>
        <v>-0.33797000500687069</v>
      </c>
      <c r="AP36" s="107">
        <f t="shared" si="32"/>
        <v>-0.54583672474912304</v>
      </c>
      <c r="AQ36" s="107">
        <f t="shared" si="32"/>
        <v>-0.56723042398961698</v>
      </c>
      <c r="AR36" s="107">
        <f t="shared" si="32"/>
        <v>-0.26999427788841196</v>
      </c>
      <c r="AS36" s="107">
        <f t="shared" si="32"/>
        <v>-0.10757996111095412</v>
      </c>
      <c r="AT36" s="107">
        <f t="shared" si="32"/>
        <v>-0.20285866776652339</v>
      </c>
      <c r="AU36" s="107">
        <f t="shared" si="32"/>
        <v>-0.39226247111088425</v>
      </c>
      <c r="AV36" s="107">
        <f t="shared" si="32"/>
        <v>-0.51168555940585492</v>
      </c>
      <c r="AW36" s="107">
        <f t="shared" si="32"/>
        <v>-0.52451994888908748</v>
      </c>
      <c r="AX36" s="107">
        <f t="shared" si="32"/>
        <v>-0.44724729032520472</v>
      </c>
      <c r="AY36" s="107">
        <f t="shared" si="32"/>
        <v>-0.17741120774736699</v>
      </c>
      <c r="AZ36" s="107">
        <f t="shared" si="32"/>
        <v>1.6140842004512201</v>
      </c>
      <c r="BA36" s="107">
        <f t="shared" si="32"/>
        <v>1.9291347604972413</v>
      </c>
      <c r="BB36" s="107">
        <f t="shared" si="32"/>
        <v>2.7124068280840254</v>
      </c>
      <c r="BC36" s="107">
        <f t="shared" si="32"/>
        <v>3.9037003584590857</v>
      </c>
      <c r="BD36" s="107">
        <f t="shared" si="32"/>
        <v>0.7239220082339981</v>
      </c>
      <c r="BE36" s="107">
        <f t="shared" si="32"/>
        <v>0.50296579488908189</v>
      </c>
      <c r="BF36" s="107">
        <f t="shared" si="32"/>
        <v>0.42357405140159898</v>
      </c>
      <c r="BG36" s="107">
        <f t="shared" si="32"/>
        <v>1.0953423091073562E-2</v>
      </c>
      <c r="BH36" s="107">
        <f t="shared" si="32"/>
        <v>8.5031411816248528E-2</v>
      </c>
      <c r="BI36" s="107">
        <f t="shared" si="32"/>
        <v>6.1794470045919638</v>
      </c>
      <c r="BJ36" s="107">
        <f t="shared" si="32"/>
        <v>5.1941491826139528</v>
      </c>
      <c r="BK36" s="107">
        <f t="shared" si="32"/>
        <v>6.090408675723725</v>
      </c>
      <c r="BL36" s="107">
        <f t="shared" si="32"/>
        <v>6.0576570136545103</v>
      </c>
      <c r="BM36" s="107">
        <f t="shared" si="32"/>
        <v>0.48888325979617087</v>
      </c>
      <c r="BN36" s="107">
        <f t="shared" si="32"/>
        <v>1.4238190609884065</v>
      </c>
      <c r="BO36" s="107">
        <f t="shared" si="32"/>
        <v>0.5426163034293866</v>
      </c>
      <c r="BP36" s="107">
        <f t="shared" si="32"/>
        <v>0.52923264578871743</v>
      </c>
      <c r="BQ36" s="107">
        <f t="shared" si="32"/>
        <v>1.2726732104475391</v>
      </c>
      <c r="BR36" s="107">
        <f t="shared" ref="BR36:CK36" si="33">(BR11-BV11)/BV11</f>
        <v>1.3030817696817152</v>
      </c>
      <c r="BS36" s="107">
        <f t="shared" si="33"/>
        <v>2.2439567697009801</v>
      </c>
      <c r="BT36" s="107">
        <f t="shared" si="33"/>
        <v>4.6475848126785015</v>
      </c>
      <c r="BU36" s="107">
        <f t="shared" si="33"/>
        <v>1.8020701965615724</v>
      </c>
      <c r="BV36" s="107" t="e">
        <f t="shared" si="33"/>
        <v>#DIV/0!</v>
      </c>
      <c r="BW36" s="107">
        <f t="shared" si="33"/>
        <v>-0.54031329437069542</v>
      </c>
      <c r="BX36" s="107">
        <f t="shared" si="33"/>
        <v>-0.75171195973331661</v>
      </c>
      <c r="BY36" s="107">
        <f t="shared" si="33"/>
        <v>-0.71352712805210639</v>
      </c>
      <c r="BZ36" s="107" t="e">
        <f t="shared" si="33"/>
        <v>#DIV/0!</v>
      </c>
      <c r="CA36" s="107" t="e">
        <f t="shared" si="33"/>
        <v>#DIV/0!</v>
      </c>
      <c r="CB36" s="107" t="e">
        <f t="shared" si="33"/>
        <v>#DIV/0!</v>
      </c>
      <c r="CC36" s="107" t="e">
        <f t="shared" si="33"/>
        <v>#DIV/0!</v>
      </c>
      <c r="CD36" s="107" t="e">
        <f t="shared" si="33"/>
        <v>#DIV/0!</v>
      </c>
      <c r="CE36" s="107" t="e">
        <f t="shared" si="33"/>
        <v>#DIV/0!</v>
      </c>
      <c r="CF36" s="107" t="e">
        <f t="shared" si="33"/>
        <v>#DIV/0!</v>
      </c>
      <c r="CG36" s="107" t="e">
        <f t="shared" si="33"/>
        <v>#DIV/0!</v>
      </c>
      <c r="CH36" s="107" t="e">
        <f t="shared" si="33"/>
        <v>#DIV/0!</v>
      </c>
      <c r="CI36" s="107" t="e">
        <f t="shared" si="33"/>
        <v>#DIV/0!</v>
      </c>
      <c r="CJ36" s="107" t="e">
        <f t="shared" si="33"/>
        <v>#DIV/0!</v>
      </c>
      <c r="CK36" s="107" t="e">
        <f t="shared" si="33"/>
        <v>#DIV/0!</v>
      </c>
    </row>
    <row r="37" spans="1:89" s="109" customFormat="1" x14ac:dyDescent="0.25">
      <c r="A37" s="141" t="s">
        <v>562</v>
      </c>
      <c r="B37" s="107"/>
      <c r="C37" s="107"/>
      <c r="D37" s="107"/>
      <c r="E37" s="107">
        <f>E11/E12</f>
        <v>0.88255286086871632</v>
      </c>
      <c r="F37" s="107">
        <f t="shared" ref="F37:BQ37" si="34">F11/F12</f>
        <v>0.8631583451759508</v>
      </c>
      <c r="G37" s="107">
        <f t="shared" si="34"/>
        <v>0.81666692095154514</v>
      </c>
      <c r="H37" s="107">
        <f t="shared" si="34"/>
        <v>0.8878821633756816</v>
      </c>
      <c r="I37" s="107">
        <f t="shared" si="34"/>
        <v>0.88105319606567156</v>
      </c>
      <c r="J37" s="107">
        <f t="shared" si="34"/>
        <v>0.9125830212440913</v>
      </c>
      <c r="K37" s="107">
        <f t="shared" si="34"/>
        <v>0.92675389858146084</v>
      </c>
      <c r="L37" s="107">
        <f t="shared" si="34"/>
        <v>0.9450163711720273</v>
      </c>
      <c r="M37" s="107">
        <f t="shared" si="34"/>
        <v>0.8462511748320154</v>
      </c>
      <c r="N37" s="107">
        <f t="shared" si="34"/>
        <v>0.93715744323180583</v>
      </c>
      <c r="O37" s="109">
        <f t="shared" si="34"/>
        <v>0.93204032651334268</v>
      </c>
      <c r="P37" s="109">
        <f t="shared" si="34"/>
        <v>0.94026749725214565</v>
      </c>
      <c r="Q37" s="109">
        <f t="shared" si="34"/>
        <v>0.9400016914503565</v>
      </c>
      <c r="R37" s="109">
        <f t="shared" si="34"/>
        <v>0.93040152909674578</v>
      </c>
      <c r="S37" s="109">
        <f t="shared" si="34"/>
        <v>0.90235632895316464</v>
      </c>
      <c r="T37" s="109">
        <f t="shared" si="34"/>
        <v>0.93177562271433545</v>
      </c>
      <c r="U37" s="109">
        <f t="shared" si="34"/>
        <v>0.68560423932698478</v>
      </c>
      <c r="V37" s="109">
        <f t="shared" si="34"/>
        <v>0.63328176415441995</v>
      </c>
      <c r="W37" s="109">
        <f t="shared" si="34"/>
        <v>0.6869865054480061</v>
      </c>
      <c r="X37" s="109">
        <f t="shared" si="34"/>
        <v>0.89101830280743899</v>
      </c>
      <c r="Y37" s="109">
        <f t="shared" si="34"/>
        <v>0.88921258867426334</v>
      </c>
      <c r="Z37" s="109">
        <f t="shared" si="34"/>
        <v>0.84955727240046708</v>
      </c>
      <c r="AA37" s="109">
        <f t="shared" si="34"/>
        <v>0.82457041489351335</v>
      </c>
      <c r="AB37" s="109">
        <f t="shared" si="34"/>
        <v>0.7296119668427723</v>
      </c>
      <c r="AC37" s="109">
        <f t="shared" si="34"/>
        <v>0.66251762926394986</v>
      </c>
      <c r="AD37" s="109">
        <f t="shared" si="34"/>
        <v>0.59723333092923026</v>
      </c>
      <c r="AE37" s="109">
        <f t="shared" si="34"/>
        <v>0.62041848733663574</v>
      </c>
      <c r="AF37" s="109">
        <f t="shared" si="34"/>
        <v>0.62592516585501845</v>
      </c>
      <c r="AG37" s="109">
        <f t="shared" si="34"/>
        <v>0.61896815565250329</v>
      </c>
      <c r="AH37" s="109">
        <f t="shared" si="34"/>
        <v>0.62020918382733181</v>
      </c>
      <c r="AI37" s="109">
        <f t="shared" si="34"/>
        <v>0.59028224605170254</v>
      </c>
      <c r="AJ37" s="109">
        <f t="shared" si="34"/>
        <v>0.78017305118860458</v>
      </c>
      <c r="AK37" s="109">
        <f t="shared" si="34"/>
        <v>0.80629511507198692</v>
      </c>
      <c r="AL37" s="109">
        <f t="shared" si="34"/>
        <v>0.81971116960330404</v>
      </c>
      <c r="AM37" s="109">
        <f t="shared" si="34"/>
        <v>0.80271367696414275</v>
      </c>
      <c r="AN37" s="109">
        <f t="shared" si="34"/>
        <v>0.51643862095289406</v>
      </c>
      <c r="AO37" s="109">
        <f t="shared" si="34"/>
        <v>0.54304009618093463</v>
      </c>
      <c r="AP37" s="109">
        <f t="shared" si="34"/>
        <v>0.54278422430259132</v>
      </c>
      <c r="AQ37" s="109">
        <f t="shared" si="34"/>
        <v>0.46990046807869557</v>
      </c>
      <c r="AR37" s="109">
        <f t="shared" si="34"/>
        <v>0.745975260692192</v>
      </c>
      <c r="AS37" s="109">
        <f t="shared" si="34"/>
        <v>0.79907767085651815</v>
      </c>
      <c r="AT37" s="109">
        <f t="shared" si="34"/>
        <v>0.74567681472258596</v>
      </c>
      <c r="AU37" s="109">
        <f t="shared" si="34"/>
        <v>0.75722895066497986</v>
      </c>
      <c r="AV37" s="109">
        <f t="shared" si="34"/>
        <v>0.59419122251396561</v>
      </c>
      <c r="AW37" s="109">
        <f t="shared" si="34"/>
        <v>0.5275618540365874</v>
      </c>
      <c r="AX37" s="109">
        <f t="shared" si="34"/>
        <v>0.63078309280162026</v>
      </c>
      <c r="AY37" s="109">
        <f t="shared" si="34"/>
        <v>0.63073393157386481</v>
      </c>
      <c r="AZ37" s="109">
        <f t="shared" si="34"/>
        <v>0.72199951388940564</v>
      </c>
      <c r="BA37" s="109">
        <f t="shared" si="34"/>
        <v>0.73987020000038795</v>
      </c>
      <c r="BB37" s="109">
        <f t="shared" si="34"/>
        <v>0.74199712659479322</v>
      </c>
      <c r="BC37" s="109">
        <f t="shared" si="34"/>
        <v>0.70943615739595633</v>
      </c>
      <c r="BD37" s="109">
        <f t="shared" si="34"/>
        <v>0.39871536404969532</v>
      </c>
      <c r="BE37" s="109">
        <f t="shared" si="34"/>
        <v>0.39888968527254304</v>
      </c>
      <c r="BF37" s="109">
        <f t="shared" si="34"/>
        <v>0.37750877480827599</v>
      </c>
      <c r="BG37" s="109">
        <f t="shared" si="34"/>
        <v>0.42069812350425523</v>
      </c>
      <c r="BH37" s="109">
        <f t="shared" si="34"/>
        <v>0.41725092380084644</v>
      </c>
      <c r="BI37" s="109">
        <f t="shared" si="34"/>
        <v>0.36390714824458242</v>
      </c>
      <c r="BJ37" s="109">
        <f t="shared" si="34"/>
        <v>0.42473176301394605</v>
      </c>
      <c r="BK37" s="109">
        <f t="shared" si="34"/>
        <v>0.4284224031369176</v>
      </c>
      <c r="BL37" s="109">
        <f t="shared" si="34"/>
        <v>0.42068161671980203</v>
      </c>
      <c r="BM37" s="109">
        <f t="shared" si="34"/>
        <v>0.12944656594227374</v>
      </c>
      <c r="BN37" s="109">
        <f t="shared" si="34"/>
        <v>0.25626644615107586</v>
      </c>
      <c r="BO37" s="109">
        <f t="shared" si="34"/>
        <v>0.26676476686934425</v>
      </c>
      <c r="BP37" s="109">
        <f t="shared" si="34"/>
        <v>0.29267860604857859</v>
      </c>
      <c r="BQ37" s="109">
        <f t="shared" si="34"/>
        <v>0.24374102036122425</v>
      </c>
      <c r="BR37" s="109">
        <f t="shared" ref="BR37:CK37" si="35">BR11/BR12</f>
        <v>0.19750038348903426</v>
      </c>
      <c r="BS37" s="109">
        <f t="shared" si="35"/>
        <v>0.20597928756020789</v>
      </c>
      <c r="BT37" s="109">
        <f t="shared" si="35"/>
        <v>0.26883602768203113</v>
      </c>
      <c r="BU37" s="109">
        <f t="shared" si="35"/>
        <v>0.21862454319289887</v>
      </c>
      <c r="BV37" s="109">
        <f t="shared" si="35"/>
        <v>0.16507182349353292</v>
      </c>
      <c r="BW37" s="109">
        <f t="shared" si="35"/>
        <v>0.21923495380364391</v>
      </c>
      <c r="BX37" s="109">
        <f t="shared" si="35"/>
        <v>0.21192031510877754</v>
      </c>
      <c r="BY37" s="109">
        <f t="shared" si="35"/>
        <v>0.21424629265249315</v>
      </c>
      <c r="BZ37" s="109" t="e">
        <f t="shared" si="35"/>
        <v>#DIV/0!</v>
      </c>
      <c r="CA37" s="109">
        <f t="shared" si="35"/>
        <v>0.80873980882766372</v>
      </c>
      <c r="CB37" s="109">
        <f t="shared" si="35"/>
        <v>0.78793672009378046</v>
      </c>
      <c r="CC37" s="109">
        <f t="shared" si="35"/>
        <v>0.83373236139905038</v>
      </c>
      <c r="CD37" s="109" t="e">
        <f t="shared" si="35"/>
        <v>#DIV/0!</v>
      </c>
      <c r="CE37" s="109" t="e">
        <f t="shared" si="35"/>
        <v>#DIV/0!</v>
      </c>
      <c r="CF37" s="109" t="e">
        <f t="shared" si="35"/>
        <v>#DIV/0!</v>
      </c>
      <c r="CG37" s="109" t="e">
        <f t="shared" si="35"/>
        <v>#DIV/0!</v>
      </c>
      <c r="CH37" s="109" t="e">
        <f t="shared" si="35"/>
        <v>#DIV/0!</v>
      </c>
      <c r="CI37" s="109" t="e">
        <f t="shared" si="35"/>
        <v>#DIV/0!</v>
      </c>
      <c r="CJ37" s="109" t="e">
        <f t="shared" si="35"/>
        <v>#DIV/0!</v>
      </c>
      <c r="CK37" s="109" t="e">
        <f t="shared" si="35"/>
        <v>#DIV/0!</v>
      </c>
    </row>
    <row r="38" spans="1:89" s="187" customFormat="1" x14ac:dyDescent="0.25">
      <c r="A38" s="184" t="s">
        <v>632</v>
      </c>
      <c r="B38" s="185"/>
      <c r="C38" s="185"/>
      <c r="D38" s="185"/>
      <c r="E38" s="186">
        <f>E1</f>
        <v>43100</v>
      </c>
      <c r="F38" s="186">
        <f t="shared" ref="F38:U38" si="36">F1</f>
        <v>43008</v>
      </c>
      <c r="G38" s="186">
        <f t="shared" si="36"/>
        <v>42916</v>
      </c>
      <c r="H38" s="186">
        <f t="shared" si="36"/>
        <v>42825</v>
      </c>
      <c r="I38" s="186">
        <f t="shared" si="36"/>
        <v>42735</v>
      </c>
      <c r="J38" s="186">
        <f t="shared" si="36"/>
        <v>42643</v>
      </c>
      <c r="K38" s="186">
        <f t="shared" si="36"/>
        <v>42551</v>
      </c>
      <c r="L38" s="186">
        <f t="shared" si="36"/>
        <v>42460</v>
      </c>
      <c r="M38" s="186">
        <f t="shared" si="36"/>
        <v>42369</v>
      </c>
      <c r="N38" s="186">
        <f t="shared" si="36"/>
        <v>42277</v>
      </c>
      <c r="O38" s="186">
        <f t="shared" si="36"/>
        <v>42185</v>
      </c>
      <c r="P38" s="186">
        <f t="shared" si="36"/>
        <v>42094</v>
      </c>
      <c r="Q38" s="186">
        <f t="shared" si="36"/>
        <v>42004</v>
      </c>
      <c r="R38" s="186">
        <f t="shared" si="36"/>
        <v>41912</v>
      </c>
      <c r="S38" s="186">
        <f t="shared" si="36"/>
        <v>41820</v>
      </c>
      <c r="T38" s="186">
        <f t="shared" si="36"/>
        <v>41729</v>
      </c>
      <c r="U38" s="186">
        <f t="shared" si="36"/>
        <v>41639</v>
      </c>
    </row>
    <row r="39" spans="1:89" s="223" customFormat="1" x14ac:dyDescent="0.25">
      <c r="A39" s="220" t="s">
        <v>549</v>
      </c>
      <c r="B39" s="221"/>
      <c r="C39" s="221"/>
      <c r="D39" s="221"/>
      <c r="E39" s="222">
        <f>E2/E9</f>
        <v>0.27391425299301403</v>
      </c>
      <c r="F39" s="222">
        <f t="shared" ref="F39:U39" si="37">F2/F9</f>
        <v>0.27566023704443393</v>
      </c>
      <c r="G39" s="222">
        <f t="shared" si="37"/>
        <v>0.2814020846995392</v>
      </c>
      <c r="H39" s="222">
        <f t="shared" si="37"/>
        <v>0.29976209976915852</v>
      </c>
      <c r="I39" s="222">
        <f t="shared" si="37"/>
        <v>0.35340796225864085</v>
      </c>
      <c r="J39" s="222">
        <f t="shared" si="37"/>
        <v>0.29546651350915498</v>
      </c>
      <c r="K39" s="222">
        <f t="shared" si="37"/>
        <v>0.31718998176206453</v>
      </c>
      <c r="L39" s="222">
        <f t="shared" si="37"/>
        <v>0.35420211674871177</v>
      </c>
      <c r="M39" s="222">
        <f t="shared" si="37"/>
        <v>0.3167851022429734</v>
      </c>
      <c r="N39" s="222">
        <f t="shared" si="37"/>
        <v>0.29387853137541409</v>
      </c>
      <c r="O39" s="222">
        <f t="shared" si="37"/>
        <v>0.30587356029840562</v>
      </c>
      <c r="P39" s="222">
        <f t="shared" si="37"/>
        <v>0.32755242934873496</v>
      </c>
      <c r="Q39" s="222">
        <f t="shared" si="37"/>
        <v>0.35956053547598377</v>
      </c>
      <c r="R39" s="222">
        <f t="shared" si="37"/>
        <v>0.37488559620319656</v>
      </c>
      <c r="S39" s="222">
        <f t="shared" si="37"/>
        <v>0.40891207102764937</v>
      </c>
      <c r="T39" s="222">
        <f t="shared" si="37"/>
        <v>0.46460749937899487</v>
      </c>
      <c r="U39" s="222">
        <f t="shared" si="37"/>
        <v>0.28090759967219364</v>
      </c>
    </row>
    <row r="40" spans="1:89" s="223" customFormat="1" x14ac:dyDescent="0.25">
      <c r="A40" s="220" t="s">
        <v>550</v>
      </c>
      <c r="B40" s="221"/>
      <c r="C40" s="221"/>
      <c r="D40" s="221"/>
      <c r="E40" s="222">
        <f>E3/E9</f>
        <v>3.1964914284405038E-2</v>
      </c>
      <c r="F40" s="222">
        <f t="shared" ref="F40:U40" si="38">F3/F9</f>
        <v>1.1637245546875171E-2</v>
      </c>
      <c r="G40" s="222">
        <f t="shared" si="38"/>
        <v>1.0540332403914028E-2</v>
      </c>
      <c r="H40" s="222">
        <f t="shared" si="38"/>
        <v>1.1260760164062271E-2</v>
      </c>
      <c r="I40" s="222">
        <f t="shared" si="38"/>
        <v>7.9752620183976934E-3</v>
      </c>
      <c r="J40" s="222">
        <f t="shared" si="38"/>
        <v>1.3816040362409994E-2</v>
      </c>
      <c r="K40" s="222">
        <f t="shared" si="38"/>
        <v>1.1645984168699365E-2</v>
      </c>
      <c r="L40" s="222">
        <f t="shared" si="38"/>
        <v>1.2117485631495679E-2</v>
      </c>
      <c r="M40" s="222">
        <f t="shared" si="38"/>
        <v>9.799213574791377E-3</v>
      </c>
      <c r="N40" s="222">
        <f t="shared" si="38"/>
        <v>5.9410810991339311E-3</v>
      </c>
      <c r="O40" s="222">
        <f t="shared" si="38"/>
        <v>5.4264253080757059E-3</v>
      </c>
      <c r="P40" s="222">
        <f t="shared" si="38"/>
        <v>5.4605825863479705E-3</v>
      </c>
      <c r="Q40" s="222">
        <f t="shared" si="38"/>
        <v>5.4658355940288388E-3</v>
      </c>
      <c r="R40" s="222">
        <f t="shared" si="38"/>
        <v>8.6099563702400038E-3</v>
      </c>
      <c r="S40" s="222">
        <f t="shared" si="38"/>
        <v>8.7260259824169621E-3</v>
      </c>
      <c r="T40" s="222">
        <f t="shared" si="38"/>
        <v>8.8384072427776725E-3</v>
      </c>
      <c r="U40" s="222">
        <f t="shared" si="38"/>
        <v>1.2574588084067735E-2</v>
      </c>
    </row>
    <row r="41" spans="1:89" x14ac:dyDescent="0.25">
      <c r="A41" s="182" t="s">
        <v>555</v>
      </c>
      <c r="B41" s="64"/>
      <c r="C41" s="64"/>
      <c r="D41" s="64"/>
      <c r="E41" s="89">
        <f>E4/E9</f>
        <v>1.7442619597410849E-2</v>
      </c>
      <c r="F41" s="89">
        <f t="shared" ref="F41:U41" si="39">F4/F9</f>
        <v>3.0369541738438862E-2</v>
      </c>
      <c r="G41" s="89">
        <f t="shared" si="39"/>
        <v>1.3991868650137171E-2</v>
      </c>
      <c r="H41" s="89">
        <f t="shared" si="39"/>
        <v>9.4796564896060514E-3</v>
      </c>
      <c r="I41" s="89">
        <f t="shared" si="39"/>
        <v>-1.1072630080870827E-2</v>
      </c>
      <c r="J41" s="89">
        <f t="shared" si="39"/>
        <v>2.8963769732865637E-2</v>
      </c>
      <c r="K41" s="89">
        <f t="shared" si="39"/>
        <v>6.9095954300364706E-2</v>
      </c>
      <c r="L41" s="89">
        <f t="shared" si="39"/>
        <v>1.3491539650668823E-2</v>
      </c>
      <c r="M41" s="89">
        <f t="shared" si="39"/>
        <v>8.9526014453510661E-3</v>
      </c>
      <c r="N41" s="212">
        <f t="shared" si="39"/>
        <v>2.4848431179921703E-2</v>
      </c>
      <c r="O41" s="212">
        <f t="shared" si="39"/>
        <v>3.0852123014999039E-2</v>
      </c>
      <c r="P41" s="212">
        <f t="shared" si="39"/>
        <v>9.0821840915065611E-3</v>
      </c>
      <c r="Q41" s="212">
        <f t="shared" si="39"/>
        <v>-6.6729273424422243E-3</v>
      </c>
      <c r="R41" s="212">
        <f t="shared" si="39"/>
        <v>7.5228646017638295E-3</v>
      </c>
      <c r="S41" s="212">
        <f t="shared" si="39"/>
        <v>-1.406904185158097E-2</v>
      </c>
      <c r="T41" s="212">
        <f t="shared" si="39"/>
        <v>-1.6614075328723242E-2</v>
      </c>
      <c r="U41" s="212">
        <f t="shared" si="39"/>
        <v>-3.0053693371903615E-2</v>
      </c>
    </row>
    <row r="42" spans="1:89" x14ac:dyDescent="0.25">
      <c r="A42" s="182" t="s">
        <v>334</v>
      </c>
      <c r="B42" s="64"/>
      <c r="C42" s="64"/>
      <c r="D42" s="64"/>
      <c r="E42" s="89">
        <f>E5/E9</f>
        <v>0.1963515073021608</v>
      </c>
      <c r="F42" s="89">
        <f t="shared" ref="F42:U42" si="40">F5/F9</f>
        <v>0.2096386276872696</v>
      </c>
      <c r="G42" s="89">
        <f t="shared" si="40"/>
        <v>0.21115308173290351</v>
      </c>
      <c r="H42" s="89">
        <f t="shared" si="40"/>
        <v>0.2088154214427039</v>
      </c>
      <c r="I42" s="89">
        <f t="shared" si="40"/>
        <v>0.19268361433383385</v>
      </c>
      <c r="J42" s="89">
        <f t="shared" si="40"/>
        <v>0.23455916638253277</v>
      </c>
      <c r="K42" s="89">
        <f t="shared" si="40"/>
        <v>0.23187322847631439</v>
      </c>
      <c r="L42" s="89">
        <f t="shared" si="40"/>
        <v>0.17501695387601304</v>
      </c>
      <c r="M42" s="89">
        <f t="shared" si="40"/>
        <v>0.19201661685955523</v>
      </c>
      <c r="N42" s="212">
        <f t="shared" si="40"/>
        <v>0.19974588775645141</v>
      </c>
      <c r="O42" s="212">
        <f t="shared" si="40"/>
        <v>0.18790869481713107</v>
      </c>
      <c r="P42" s="212">
        <f t="shared" si="40"/>
        <v>0.16877789759538378</v>
      </c>
      <c r="Q42" s="212">
        <f t="shared" si="40"/>
        <v>0.15604240776347614</v>
      </c>
      <c r="R42" s="212">
        <f t="shared" si="40"/>
        <v>0.14400601527469564</v>
      </c>
      <c r="S42" s="212">
        <f t="shared" si="40"/>
        <v>0.11221660547625709</v>
      </c>
      <c r="T42" s="212">
        <f t="shared" si="40"/>
        <v>0.10723963919802007</v>
      </c>
      <c r="U42" s="212">
        <f t="shared" si="40"/>
        <v>0.14066010370300039</v>
      </c>
    </row>
    <row r="43" spans="1:89" x14ac:dyDescent="0.25">
      <c r="A43" s="182" t="s">
        <v>335</v>
      </c>
      <c r="B43" s="64"/>
      <c r="C43" s="64"/>
      <c r="D43" s="64"/>
      <c r="E43" s="89">
        <f>E6/E9</f>
        <v>0.17890888770474994</v>
      </c>
      <c r="F43" s="89">
        <f t="shared" ref="F43:U43" si="41">F6/F9</f>
        <v>0.17926908594883073</v>
      </c>
      <c r="G43" s="89">
        <f t="shared" si="41"/>
        <v>0.19716121308276635</v>
      </c>
      <c r="H43" s="89">
        <f t="shared" si="41"/>
        <v>0.19933576495309788</v>
      </c>
      <c r="I43" s="89">
        <f t="shared" si="41"/>
        <v>0.20375624441470466</v>
      </c>
      <c r="J43" s="89">
        <f t="shared" si="41"/>
        <v>0.20559539664966711</v>
      </c>
      <c r="K43" s="89">
        <f t="shared" si="41"/>
        <v>0.16277727417594967</v>
      </c>
      <c r="L43" s="89">
        <f t="shared" si="41"/>
        <v>0.16152541422534422</v>
      </c>
      <c r="M43" s="89">
        <f t="shared" si="41"/>
        <v>0.18306401541420417</v>
      </c>
      <c r="N43" s="212">
        <f t="shared" si="41"/>
        <v>0.17489745657652969</v>
      </c>
      <c r="O43" s="212">
        <f t="shared" si="41"/>
        <v>0.15705657180213203</v>
      </c>
      <c r="P43" s="212">
        <f t="shared" si="41"/>
        <v>0.15969571350387723</v>
      </c>
      <c r="Q43" s="212">
        <f t="shared" si="41"/>
        <v>0.16271533510591837</v>
      </c>
      <c r="R43" s="212">
        <f t="shared" si="41"/>
        <v>0.13648315067293179</v>
      </c>
      <c r="S43" s="212">
        <f t="shared" si="41"/>
        <v>0.12628564732783806</v>
      </c>
      <c r="T43" s="212">
        <f t="shared" si="41"/>
        <v>0.12385371452674331</v>
      </c>
      <c r="U43" s="212">
        <f t="shared" si="41"/>
        <v>0.170713797074904</v>
      </c>
    </row>
    <row r="44" spans="1:89" x14ac:dyDescent="0.25">
      <c r="A44" s="182" t="s">
        <v>336</v>
      </c>
      <c r="B44" s="64"/>
      <c r="C44" s="64"/>
      <c r="D44" s="64"/>
      <c r="E44" s="89">
        <f>E7/E9</f>
        <v>0.67667821312517007</v>
      </c>
      <c r="F44" s="89">
        <f t="shared" ref="F44:U44" si="42">F7/F9</f>
        <v>0.68233297567025197</v>
      </c>
      <c r="G44" s="89">
        <f t="shared" si="42"/>
        <v>0.69406571424640962</v>
      </c>
      <c r="H44" s="89">
        <f t="shared" si="42"/>
        <v>0.67949748357717321</v>
      </c>
      <c r="I44" s="89">
        <f t="shared" si="42"/>
        <v>0.64968940580383228</v>
      </c>
      <c r="J44" s="89">
        <f t="shared" si="42"/>
        <v>0.66175367639556937</v>
      </c>
      <c r="K44" s="89">
        <f t="shared" si="42"/>
        <v>0.60206807976887144</v>
      </c>
      <c r="L44" s="89">
        <f t="shared" si="42"/>
        <v>0.62018885796912371</v>
      </c>
      <c r="M44" s="89">
        <f t="shared" si="42"/>
        <v>0.66446308273688415</v>
      </c>
      <c r="N44" s="212">
        <f t="shared" si="42"/>
        <v>0.67533195634553023</v>
      </c>
      <c r="O44" s="212">
        <f t="shared" si="42"/>
        <v>0.65784789137851962</v>
      </c>
      <c r="P44" s="212">
        <f t="shared" si="42"/>
        <v>0.65790480397341045</v>
      </c>
      <c r="Q44" s="212">
        <f t="shared" si="42"/>
        <v>0.64164655627242961</v>
      </c>
      <c r="R44" s="212">
        <f t="shared" si="42"/>
        <v>0.60898158282479964</v>
      </c>
      <c r="S44" s="212">
        <f t="shared" si="42"/>
        <v>0.5964309448415146</v>
      </c>
      <c r="T44" s="212">
        <f t="shared" si="42"/>
        <v>0.54316816870695073</v>
      </c>
      <c r="U44" s="212">
        <f t="shared" si="42"/>
        <v>0.73657150561564222</v>
      </c>
    </row>
    <row r="45" spans="1:89" s="223" customFormat="1" x14ac:dyDescent="0.25">
      <c r="A45" s="220" t="s">
        <v>337</v>
      </c>
      <c r="B45" s="221"/>
      <c r="C45" s="221"/>
      <c r="D45" s="221"/>
      <c r="E45" s="222">
        <f>E8/E9</f>
        <v>0.69412083272258096</v>
      </c>
      <c r="F45" s="222">
        <f t="shared" ref="F45:U45" si="43">F8/F9</f>
        <v>0.71270251740869084</v>
      </c>
      <c r="G45" s="222">
        <f t="shared" si="43"/>
        <v>0.70805758289654674</v>
      </c>
      <c r="H45" s="222">
        <f t="shared" si="43"/>
        <v>0.68897714006677924</v>
      </c>
      <c r="I45" s="222">
        <f t="shared" si="43"/>
        <v>0.63861677572296149</v>
      </c>
      <c r="J45" s="222">
        <f t="shared" si="43"/>
        <v>0.690717446128435</v>
      </c>
      <c r="K45" s="222">
        <f t="shared" si="43"/>
        <v>0.67116403406923608</v>
      </c>
      <c r="L45" s="222">
        <f t="shared" si="43"/>
        <v>0.63368039761979256</v>
      </c>
      <c r="M45" s="222">
        <f t="shared" si="43"/>
        <v>0.6734156841822353</v>
      </c>
      <c r="N45" s="222">
        <f t="shared" si="43"/>
        <v>0.70018038752545197</v>
      </c>
      <c r="O45" s="222">
        <f t="shared" si="43"/>
        <v>0.68870001439351869</v>
      </c>
      <c r="P45" s="222">
        <f t="shared" si="43"/>
        <v>0.66698698806491707</v>
      </c>
      <c r="Q45" s="222">
        <f t="shared" si="43"/>
        <v>0.63497362892998743</v>
      </c>
      <c r="R45" s="222">
        <f t="shared" si="43"/>
        <v>0.61650444742656341</v>
      </c>
      <c r="S45" s="222">
        <f t="shared" si="43"/>
        <v>0.58236190298993362</v>
      </c>
      <c r="T45" s="222">
        <f t="shared" si="43"/>
        <v>0.52655409337822745</v>
      </c>
      <c r="U45" s="222">
        <f t="shared" si="43"/>
        <v>0.70651781224373866</v>
      </c>
    </row>
    <row r="46" spans="1:89" x14ac:dyDescent="0.25">
      <c r="A46" s="183" t="s">
        <v>338</v>
      </c>
      <c r="B46" s="64"/>
      <c r="C46" s="64"/>
      <c r="D46" s="64"/>
      <c r="E46" s="89">
        <f>E9/E9</f>
        <v>1</v>
      </c>
      <c r="F46" s="89">
        <f t="shared" ref="F46:U46" si="44">F9/F9</f>
        <v>1</v>
      </c>
      <c r="G46" s="89">
        <f t="shared" si="44"/>
        <v>1</v>
      </c>
      <c r="H46" s="89">
        <f t="shared" si="44"/>
        <v>1</v>
      </c>
      <c r="I46" s="89">
        <f t="shared" si="44"/>
        <v>1</v>
      </c>
      <c r="J46" s="89">
        <f t="shared" si="44"/>
        <v>1</v>
      </c>
      <c r="K46" s="89">
        <f t="shared" si="44"/>
        <v>1</v>
      </c>
      <c r="L46" s="89">
        <f t="shared" si="44"/>
        <v>1</v>
      </c>
      <c r="M46" s="89">
        <f t="shared" si="44"/>
        <v>1</v>
      </c>
      <c r="N46" s="212">
        <f t="shared" si="44"/>
        <v>1</v>
      </c>
      <c r="O46" s="212">
        <f t="shared" si="44"/>
        <v>1</v>
      </c>
      <c r="P46" s="212">
        <f t="shared" si="44"/>
        <v>1</v>
      </c>
      <c r="Q46" s="212">
        <f t="shared" si="44"/>
        <v>1</v>
      </c>
      <c r="R46" s="212">
        <f t="shared" si="44"/>
        <v>1</v>
      </c>
      <c r="S46" s="212">
        <f t="shared" si="44"/>
        <v>1</v>
      </c>
      <c r="T46" s="212">
        <f t="shared" si="44"/>
        <v>1</v>
      </c>
      <c r="U46" s="212">
        <f t="shared" si="44"/>
        <v>1</v>
      </c>
    </row>
    <row r="47" spans="1:89" x14ac:dyDescent="0.25">
      <c r="A47" s="182" t="s">
        <v>339</v>
      </c>
      <c r="B47" s="64"/>
      <c r="C47" s="64"/>
      <c r="D47" s="64"/>
      <c r="E47" s="89">
        <f>E10/E14</f>
        <v>6.0929756593737755E-2</v>
      </c>
      <c r="F47" s="89">
        <f t="shared" ref="F47:U47" si="45">F10/F14</f>
        <v>6.5914741009106062E-2</v>
      </c>
      <c r="G47" s="89">
        <f t="shared" si="45"/>
        <v>8.7202844707069682E-2</v>
      </c>
      <c r="H47" s="89">
        <f t="shared" si="45"/>
        <v>5.1262980734818227E-2</v>
      </c>
      <c r="I47" s="89">
        <f t="shared" si="45"/>
        <v>5.4561138306759453E-2</v>
      </c>
      <c r="J47" s="89">
        <f t="shared" si="45"/>
        <v>3.793478299523468E-2</v>
      </c>
      <c r="K47" s="89">
        <f t="shared" si="45"/>
        <v>3.215101111098629E-2</v>
      </c>
      <c r="L47" s="89">
        <f t="shared" si="45"/>
        <v>2.2955373238806778E-2</v>
      </c>
      <c r="M47" s="89">
        <f t="shared" si="45"/>
        <v>6.0053835882458273E-2</v>
      </c>
      <c r="N47" s="212">
        <f t="shared" si="45"/>
        <v>2.2991948002404616E-2</v>
      </c>
      <c r="O47" s="212">
        <f t="shared" si="45"/>
        <v>2.3782375923657118E-2</v>
      </c>
      <c r="P47" s="212">
        <f t="shared" si="45"/>
        <v>2.0121203791488487E-2</v>
      </c>
      <c r="Q47" s="212">
        <f t="shared" si="45"/>
        <v>2.047826257843505E-2</v>
      </c>
      <c r="R47" s="212">
        <f t="shared" si="45"/>
        <v>2.2628118810612038E-2</v>
      </c>
      <c r="S47" s="212">
        <f t="shared" si="45"/>
        <v>3.1965903313441783E-2</v>
      </c>
      <c r="T47" s="212">
        <f t="shared" si="45"/>
        <v>2.2484287813770362E-2</v>
      </c>
      <c r="U47" s="212">
        <f t="shared" si="45"/>
        <v>0.16191190912927736</v>
      </c>
    </row>
    <row r="48" spans="1:89" x14ac:dyDescent="0.25">
      <c r="A48" s="182" t="s">
        <v>340</v>
      </c>
      <c r="B48" s="64"/>
      <c r="C48" s="64"/>
      <c r="D48" s="64"/>
      <c r="E48" s="89">
        <f>E11/E14</f>
        <v>0.45785475399046499</v>
      </c>
      <c r="F48" s="89">
        <f t="shared" ref="F48:U48" si="46">F11/F14</f>
        <v>0.41577149037898359</v>
      </c>
      <c r="G48" s="89">
        <f t="shared" si="46"/>
        <v>0.38844969524739215</v>
      </c>
      <c r="H48" s="89">
        <f t="shared" si="46"/>
        <v>0.40596115307173158</v>
      </c>
      <c r="I48" s="89">
        <f t="shared" si="46"/>
        <v>0.40414087387074421</v>
      </c>
      <c r="J48" s="89">
        <f t="shared" si="46"/>
        <v>0.39601733403180889</v>
      </c>
      <c r="K48" s="89">
        <f t="shared" si="46"/>
        <v>0.40679400423215956</v>
      </c>
      <c r="L48" s="89">
        <f t="shared" si="46"/>
        <v>0.39453931978386081</v>
      </c>
      <c r="M48" s="89">
        <f t="shared" si="46"/>
        <v>0.33054320326137909</v>
      </c>
      <c r="N48" s="212">
        <f t="shared" si="46"/>
        <v>0.34287394264259963</v>
      </c>
      <c r="O48" s="212">
        <f t="shared" si="46"/>
        <v>0.32616597879182502</v>
      </c>
      <c r="P48" s="212">
        <f t="shared" si="46"/>
        <v>0.31673399004535852</v>
      </c>
      <c r="Q48" s="212">
        <f t="shared" si="46"/>
        <v>0.3208357356568825</v>
      </c>
      <c r="R48" s="212">
        <f t="shared" si="46"/>
        <v>0.30249567366561064</v>
      </c>
      <c r="S48" s="212">
        <f t="shared" si="46"/>
        <v>0.29540711503722189</v>
      </c>
      <c r="T48" s="212">
        <f t="shared" si="46"/>
        <v>0.3070795529762404</v>
      </c>
      <c r="U48" s="212">
        <f t="shared" si="46"/>
        <v>0.35308202330377636</v>
      </c>
    </row>
    <row r="49" spans="1:21" x14ac:dyDescent="0.25">
      <c r="A49" s="182" t="s">
        <v>341</v>
      </c>
      <c r="B49" s="64"/>
      <c r="C49" s="64"/>
      <c r="D49" s="64"/>
      <c r="E49" s="89">
        <f>E12/E14</f>
        <v>0.51878451058420272</v>
      </c>
      <c r="F49" s="89">
        <f t="shared" ref="F49:U49" si="47">F12/F14</f>
        <v>0.48168623138808964</v>
      </c>
      <c r="G49" s="89">
        <f t="shared" si="47"/>
        <v>0.47565253995446188</v>
      </c>
      <c r="H49" s="89">
        <f t="shared" si="47"/>
        <v>0.4572241338065498</v>
      </c>
      <c r="I49" s="89">
        <f t="shared" si="47"/>
        <v>0.45870201217750367</v>
      </c>
      <c r="J49" s="89">
        <f t="shared" si="47"/>
        <v>0.43395211702704362</v>
      </c>
      <c r="K49" s="89">
        <f t="shared" si="47"/>
        <v>0.43894501534314584</v>
      </c>
      <c r="L49" s="89">
        <f t="shared" si="47"/>
        <v>0.41749469302266762</v>
      </c>
      <c r="M49" s="89">
        <f t="shared" si="47"/>
        <v>0.39059703914383737</v>
      </c>
      <c r="N49" s="212">
        <f t="shared" si="47"/>
        <v>0.36586589064500424</v>
      </c>
      <c r="O49" s="212">
        <f t="shared" si="47"/>
        <v>0.34994835471548214</v>
      </c>
      <c r="P49" s="212">
        <f t="shared" si="47"/>
        <v>0.33685519383684698</v>
      </c>
      <c r="Q49" s="212">
        <f t="shared" si="47"/>
        <v>0.34131399823531755</v>
      </c>
      <c r="R49" s="212">
        <f t="shared" si="47"/>
        <v>0.32512379247622269</v>
      </c>
      <c r="S49" s="212">
        <f t="shared" si="47"/>
        <v>0.32737301835066368</v>
      </c>
      <c r="T49" s="212">
        <f t="shared" si="47"/>
        <v>0.32956384079001078</v>
      </c>
      <c r="U49" s="212">
        <f t="shared" si="47"/>
        <v>0.51499393243305369</v>
      </c>
    </row>
    <row r="50" spans="1:21" x14ac:dyDescent="0.25">
      <c r="A50" s="182" t="s">
        <v>345</v>
      </c>
      <c r="B50" s="64"/>
      <c r="C50" s="64"/>
      <c r="D50" s="64"/>
      <c r="E50" s="89">
        <f>E13/E14</f>
        <v>0.48121548941579728</v>
      </c>
      <c r="F50" s="89">
        <f t="shared" ref="F50:U50" si="48">F13/F14</f>
        <v>0.51831376861191036</v>
      </c>
      <c r="G50" s="89">
        <f t="shared" si="48"/>
        <v>0.52434746004553812</v>
      </c>
      <c r="H50" s="89">
        <f t="shared" si="48"/>
        <v>0.5427758661934502</v>
      </c>
      <c r="I50" s="89">
        <f t="shared" si="48"/>
        <v>0.54129798782249638</v>
      </c>
      <c r="J50" s="89">
        <f t="shared" si="48"/>
        <v>0.56604788297295638</v>
      </c>
      <c r="K50" s="89">
        <f t="shared" si="48"/>
        <v>0.56105498465685411</v>
      </c>
      <c r="L50" s="89">
        <f t="shared" si="48"/>
        <v>0.58250530697733238</v>
      </c>
      <c r="M50" s="89">
        <f t="shared" si="48"/>
        <v>0.60940296085616263</v>
      </c>
      <c r="N50" s="212">
        <f t="shared" si="48"/>
        <v>0.6341341093549957</v>
      </c>
      <c r="O50" s="212">
        <f t="shared" si="48"/>
        <v>0.65005164528451786</v>
      </c>
      <c r="P50" s="212">
        <f t="shared" si="48"/>
        <v>0.66314480616315297</v>
      </c>
      <c r="Q50" s="212">
        <f t="shared" si="48"/>
        <v>0.6586860017646825</v>
      </c>
      <c r="R50" s="212">
        <f t="shared" si="48"/>
        <v>0.67487620752377731</v>
      </c>
      <c r="S50" s="212">
        <f t="shared" si="48"/>
        <v>0.67262698164933632</v>
      </c>
      <c r="T50" s="212">
        <f t="shared" si="48"/>
        <v>0.67043615920998922</v>
      </c>
      <c r="U50" s="212">
        <f t="shared" si="48"/>
        <v>0.48500606756694625</v>
      </c>
    </row>
    <row r="51" spans="1:21" x14ac:dyDescent="0.25">
      <c r="A51" s="183" t="s">
        <v>342</v>
      </c>
      <c r="B51" s="64"/>
      <c r="C51" s="64"/>
      <c r="D51" s="64"/>
      <c r="E51" s="89">
        <f>E14/E14</f>
        <v>1</v>
      </c>
      <c r="F51" s="89">
        <f t="shared" ref="F51:U51" si="49">F14/F14</f>
        <v>1</v>
      </c>
      <c r="G51" s="89">
        <f t="shared" si="49"/>
        <v>1</v>
      </c>
      <c r="H51" s="89">
        <f t="shared" si="49"/>
        <v>1</v>
      </c>
      <c r="I51" s="89">
        <f t="shared" si="49"/>
        <v>1</v>
      </c>
      <c r="J51" s="89">
        <f t="shared" si="49"/>
        <v>1</v>
      </c>
      <c r="K51" s="89">
        <f t="shared" si="49"/>
        <v>1</v>
      </c>
      <c r="L51" s="89">
        <f t="shared" si="49"/>
        <v>1</v>
      </c>
      <c r="M51" s="89">
        <f t="shared" si="49"/>
        <v>1</v>
      </c>
      <c r="N51" s="212">
        <f t="shared" si="49"/>
        <v>1</v>
      </c>
      <c r="O51" s="212">
        <f t="shared" si="49"/>
        <v>1</v>
      </c>
      <c r="P51" s="212">
        <f t="shared" si="49"/>
        <v>1</v>
      </c>
      <c r="Q51" s="212">
        <f t="shared" si="49"/>
        <v>1</v>
      </c>
      <c r="R51" s="212">
        <f t="shared" si="49"/>
        <v>1</v>
      </c>
      <c r="S51" s="212">
        <f t="shared" si="49"/>
        <v>1</v>
      </c>
      <c r="T51" s="212">
        <f t="shared" si="49"/>
        <v>1</v>
      </c>
      <c r="U51" s="212">
        <f t="shared" si="49"/>
        <v>1</v>
      </c>
    </row>
    <row r="54" spans="1:21" s="9" customFormat="1" x14ac:dyDescent="0.25">
      <c r="A54" s="227" t="s">
        <v>638</v>
      </c>
      <c r="B54" s="228"/>
      <c r="C54" s="228"/>
      <c r="D54" s="228"/>
      <c r="E54" s="229">
        <f>E1</f>
        <v>43100</v>
      </c>
      <c r="F54" s="229">
        <f t="shared" ref="F54:U54" si="50">F1</f>
        <v>43008</v>
      </c>
      <c r="G54" s="229">
        <f t="shared" si="50"/>
        <v>42916</v>
      </c>
      <c r="H54" s="229">
        <f t="shared" si="50"/>
        <v>42825</v>
      </c>
      <c r="I54" s="229">
        <f t="shared" si="50"/>
        <v>42735</v>
      </c>
      <c r="J54" s="229">
        <f t="shared" si="50"/>
        <v>42643</v>
      </c>
      <c r="K54" s="229">
        <f t="shared" si="50"/>
        <v>42551</v>
      </c>
      <c r="L54" s="229">
        <f t="shared" si="50"/>
        <v>42460</v>
      </c>
      <c r="M54" s="229">
        <f t="shared" si="50"/>
        <v>42369</v>
      </c>
      <c r="N54" s="229">
        <f t="shared" si="50"/>
        <v>42277</v>
      </c>
      <c r="O54" s="229">
        <f t="shared" si="50"/>
        <v>42185</v>
      </c>
      <c r="P54" s="229">
        <f t="shared" si="50"/>
        <v>42094</v>
      </c>
      <c r="Q54" s="229">
        <f t="shared" si="50"/>
        <v>42004</v>
      </c>
      <c r="R54" s="229">
        <f t="shared" si="50"/>
        <v>41912</v>
      </c>
      <c r="S54" s="229">
        <f t="shared" si="50"/>
        <v>41820</v>
      </c>
      <c r="T54" s="229">
        <f t="shared" si="50"/>
        <v>41729</v>
      </c>
      <c r="U54" s="229">
        <f t="shared" si="50"/>
        <v>41639</v>
      </c>
    </row>
    <row r="55" spans="1:21" x14ac:dyDescent="0.25">
      <c r="A55" s="182" t="s">
        <v>642</v>
      </c>
      <c r="B55" s="64"/>
      <c r="C55" s="64"/>
      <c r="D55" s="64"/>
      <c r="E55" s="212">
        <f>E2/E9</f>
        <v>0.27391425299301403</v>
      </c>
      <c r="F55" s="212">
        <f t="shared" ref="F55:U55" si="51">F2/F9</f>
        <v>0.27566023704443393</v>
      </c>
      <c r="G55" s="212">
        <f t="shared" si="51"/>
        <v>0.2814020846995392</v>
      </c>
      <c r="H55" s="212">
        <f t="shared" si="51"/>
        <v>0.29976209976915852</v>
      </c>
      <c r="I55" s="212">
        <f t="shared" si="51"/>
        <v>0.35340796225864085</v>
      </c>
      <c r="J55" s="212">
        <f t="shared" si="51"/>
        <v>0.29546651350915498</v>
      </c>
      <c r="K55" s="212">
        <f t="shared" si="51"/>
        <v>0.31718998176206453</v>
      </c>
      <c r="L55" s="212">
        <f t="shared" si="51"/>
        <v>0.35420211674871177</v>
      </c>
      <c r="M55" s="212">
        <f t="shared" si="51"/>
        <v>0.3167851022429734</v>
      </c>
      <c r="N55" s="212">
        <f t="shared" si="51"/>
        <v>0.29387853137541409</v>
      </c>
      <c r="O55" s="212">
        <f t="shared" si="51"/>
        <v>0.30587356029840562</v>
      </c>
      <c r="P55" s="212">
        <f t="shared" si="51"/>
        <v>0.32755242934873496</v>
      </c>
      <c r="Q55" s="212">
        <f t="shared" si="51"/>
        <v>0.35956053547598377</v>
      </c>
      <c r="R55" s="212">
        <f t="shared" si="51"/>
        <v>0.37488559620319656</v>
      </c>
      <c r="S55" s="212">
        <f t="shared" si="51"/>
        <v>0.40891207102764937</v>
      </c>
      <c r="T55" s="212">
        <f t="shared" si="51"/>
        <v>0.46460749937899487</v>
      </c>
      <c r="U55" s="212">
        <f t="shared" si="51"/>
        <v>0.28090759967219364</v>
      </c>
    </row>
    <row r="56" spans="1:21" x14ac:dyDescent="0.25">
      <c r="A56" s="182" t="s">
        <v>643</v>
      </c>
      <c r="B56" s="64"/>
      <c r="C56" s="64"/>
      <c r="D56" s="64"/>
      <c r="E56" s="212">
        <f>E4/E9</f>
        <v>1.7442619597410849E-2</v>
      </c>
      <c r="F56" s="212">
        <f t="shared" ref="F56:U56" si="52">F4/F9</f>
        <v>3.0369541738438862E-2</v>
      </c>
      <c r="G56" s="212">
        <f t="shared" si="52"/>
        <v>1.3991868650137171E-2</v>
      </c>
      <c r="H56" s="212">
        <f t="shared" si="52"/>
        <v>9.4796564896060514E-3</v>
      </c>
      <c r="I56" s="212">
        <f t="shared" si="52"/>
        <v>-1.1072630080870827E-2</v>
      </c>
      <c r="J56" s="212">
        <f t="shared" si="52"/>
        <v>2.8963769732865637E-2</v>
      </c>
      <c r="K56" s="212">
        <f t="shared" si="52"/>
        <v>6.9095954300364706E-2</v>
      </c>
      <c r="L56" s="212">
        <f t="shared" si="52"/>
        <v>1.3491539650668823E-2</v>
      </c>
      <c r="M56" s="212">
        <f t="shared" si="52"/>
        <v>8.9526014453510661E-3</v>
      </c>
      <c r="N56" s="212">
        <f t="shared" si="52"/>
        <v>2.4848431179921703E-2</v>
      </c>
      <c r="O56" s="212">
        <f t="shared" si="52"/>
        <v>3.0852123014999039E-2</v>
      </c>
      <c r="P56" s="212">
        <f t="shared" si="52"/>
        <v>9.0821840915065611E-3</v>
      </c>
      <c r="Q56" s="212">
        <f t="shared" si="52"/>
        <v>-6.6729273424422243E-3</v>
      </c>
      <c r="R56" s="212">
        <f t="shared" si="52"/>
        <v>7.5228646017638295E-3</v>
      </c>
      <c r="S56" s="212">
        <f t="shared" si="52"/>
        <v>-1.406904185158097E-2</v>
      </c>
      <c r="T56" s="212">
        <f t="shared" si="52"/>
        <v>-1.6614075328723242E-2</v>
      </c>
      <c r="U56" s="212">
        <f t="shared" si="52"/>
        <v>-3.0053693371903615E-2</v>
      </c>
    </row>
    <row r="57" spans="1:21" x14ac:dyDescent="0.25">
      <c r="A57" s="182" t="s">
        <v>644</v>
      </c>
      <c r="B57" s="64"/>
      <c r="C57" s="64"/>
      <c r="D57" s="64"/>
      <c r="E57" s="212">
        <f>E5/E9</f>
        <v>0.1963515073021608</v>
      </c>
      <c r="F57" s="212">
        <f t="shared" ref="F57:U57" si="53">F5/F9</f>
        <v>0.2096386276872696</v>
      </c>
      <c r="G57" s="212">
        <f t="shared" si="53"/>
        <v>0.21115308173290351</v>
      </c>
      <c r="H57" s="212">
        <f t="shared" si="53"/>
        <v>0.2088154214427039</v>
      </c>
      <c r="I57" s="212">
        <f t="shared" si="53"/>
        <v>0.19268361433383385</v>
      </c>
      <c r="J57" s="212">
        <f t="shared" si="53"/>
        <v>0.23455916638253277</v>
      </c>
      <c r="K57" s="212">
        <f t="shared" si="53"/>
        <v>0.23187322847631439</v>
      </c>
      <c r="L57" s="212">
        <f t="shared" si="53"/>
        <v>0.17501695387601304</v>
      </c>
      <c r="M57" s="212">
        <f t="shared" si="53"/>
        <v>0.19201661685955523</v>
      </c>
      <c r="N57" s="212">
        <f t="shared" si="53"/>
        <v>0.19974588775645141</v>
      </c>
      <c r="O57" s="212">
        <f t="shared" si="53"/>
        <v>0.18790869481713107</v>
      </c>
      <c r="P57" s="212">
        <f t="shared" si="53"/>
        <v>0.16877789759538378</v>
      </c>
      <c r="Q57" s="212">
        <f t="shared" si="53"/>
        <v>0.15604240776347614</v>
      </c>
      <c r="R57" s="212">
        <f t="shared" si="53"/>
        <v>0.14400601527469564</v>
      </c>
      <c r="S57" s="212">
        <f t="shared" si="53"/>
        <v>0.11221660547625709</v>
      </c>
      <c r="T57" s="212">
        <f t="shared" si="53"/>
        <v>0.10723963919802007</v>
      </c>
      <c r="U57" s="212">
        <f t="shared" si="53"/>
        <v>0.14066010370300039</v>
      </c>
    </row>
    <row r="58" spans="1:21" x14ac:dyDescent="0.25">
      <c r="A58" s="182" t="s">
        <v>645</v>
      </c>
      <c r="B58" s="64"/>
      <c r="C58" s="64"/>
      <c r="D58" s="64"/>
      <c r="E58" s="212">
        <f>E6/E9</f>
        <v>0.17890888770474994</v>
      </c>
      <c r="F58" s="212">
        <f t="shared" ref="F58:U58" si="54">F6/F9</f>
        <v>0.17926908594883073</v>
      </c>
      <c r="G58" s="212">
        <f t="shared" si="54"/>
        <v>0.19716121308276635</v>
      </c>
      <c r="H58" s="212">
        <f t="shared" si="54"/>
        <v>0.19933576495309788</v>
      </c>
      <c r="I58" s="212">
        <f t="shared" si="54"/>
        <v>0.20375624441470466</v>
      </c>
      <c r="J58" s="212">
        <f t="shared" si="54"/>
        <v>0.20559539664966711</v>
      </c>
      <c r="K58" s="212">
        <f t="shared" si="54"/>
        <v>0.16277727417594967</v>
      </c>
      <c r="L58" s="212">
        <f t="shared" si="54"/>
        <v>0.16152541422534422</v>
      </c>
      <c r="M58" s="212">
        <f t="shared" si="54"/>
        <v>0.18306401541420417</v>
      </c>
      <c r="N58" s="212">
        <f t="shared" si="54"/>
        <v>0.17489745657652969</v>
      </c>
      <c r="O58" s="212">
        <f t="shared" si="54"/>
        <v>0.15705657180213203</v>
      </c>
      <c r="P58" s="212">
        <f t="shared" si="54"/>
        <v>0.15969571350387723</v>
      </c>
      <c r="Q58" s="212">
        <f t="shared" si="54"/>
        <v>0.16271533510591837</v>
      </c>
      <c r="R58" s="212">
        <f t="shared" si="54"/>
        <v>0.13648315067293179</v>
      </c>
      <c r="S58" s="212">
        <f t="shared" si="54"/>
        <v>0.12628564732783806</v>
      </c>
      <c r="T58" s="212">
        <f t="shared" si="54"/>
        <v>0.12385371452674331</v>
      </c>
      <c r="U58" s="212">
        <f t="shared" si="54"/>
        <v>0.170713797074904</v>
      </c>
    </row>
    <row r="59" spans="1:21" s="223" customFormat="1" x14ac:dyDescent="0.25">
      <c r="A59" s="225" t="s">
        <v>639</v>
      </c>
      <c r="B59" s="221"/>
      <c r="C59" s="221"/>
      <c r="D59" s="221"/>
      <c r="E59" s="222">
        <f>E55+E56</f>
        <v>0.29135687259042486</v>
      </c>
      <c r="F59" s="222">
        <f t="shared" ref="F59:U59" si="55">F55+F56</f>
        <v>0.3060297787828728</v>
      </c>
      <c r="G59" s="222">
        <f t="shared" si="55"/>
        <v>0.29539395334967639</v>
      </c>
      <c r="H59" s="222">
        <f t="shared" si="55"/>
        <v>0.30924175625876454</v>
      </c>
      <c r="I59" s="222">
        <f t="shared" si="55"/>
        <v>0.34233533217777001</v>
      </c>
      <c r="J59" s="222">
        <f t="shared" si="55"/>
        <v>0.32443028324202061</v>
      </c>
      <c r="K59" s="222">
        <f t="shared" si="55"/>
        <v>0.38628593606242922</v>
      </c>
      <c r="L59" s="222">
        <f t="shared" si="55"/>
        <v>0.36769365639938062</v>
      </c>
      <c r="M59" s="222">
        <f t="shared" si="55"/>
        <v>0.32573770368832444</v>
      </c>
      <c r="N59" s="222">
        <f t="shared" si="55"/>
        <v>0.31872696255533578</v>
      </c>
      <c r="O59" s="222">
        <f t="shared" si="55"/>
        <v>0.33672568331340469</v>
      </c>
      <c r="P59" s="222">
        <f t="shared" si="55"/>
        <v>0.33663461344024154</v>
      </c>
      <c r="Q59" s="222">
        <f t="shared" si="55"/>
        <v>0.35288760813354153</v>
      </c>
      <c r="R59" s="222">
        <f t="shared" si="55"/>
        <v>0.38240846080496038</v>
      </c>
      <c r="S59" s="222">
        <f t="shared" si="55"/>
        <v>0.39484302917606839</v>
      </c>
      <c r="T59" s="222">
        <f t="shared" si="55"/>
        <v>0.44799342405027165</v>
      </c>
      <c r="U59" s="222">
        <f t="shared" si="55"/>
        <v>0.25085390630029003</v>
      </c>
    </row>
    <row r="60" spans="1:21" x14ac:dyDescent="0.25">
      <c r="A60" s="182" t="s">
        <v>646</v>
      </c>
      <c r="B60" s="64"/>
      <c r="C60" s="64"/>
      <c r="D60" s="64"/>
      <c r="E60" s="212">
        <f>E3/E9</f>
        <v>3.1964914284405038E-2</v>
      </c>
      <c r="F60" s="212">
        <f t="shared" ref="F60:U60" si="56">F3/F9</f>
        <v>1.1637245546875171E-2</v>
      </c>
      <c r="G60" s="212">
        <f t="shared" si="56"/>
        <v>1.0540332403914028E-2</v>
      </c>
      <c r="H60" s="212">
        <f t="shared" si="56"/>
        <v>1.1260760164062271E-2</v>
      </c>
      <c r="I60" s="212">
        <f t="shared" si="56"/>
        <v>7.9752620183976934E-3</v>
      </c>
      <c r="J60" s="212">
        <f t="shared" si="56"/>
        <v>1.3816040362409994E-2</v>
      </c>
      <c r="K60" s="212">
        <f t="shared" si="56"/>
        <v>1.1645984168699365E-2</v>
      </c>
      <c r="L60" s="212">
        <f t="shared" si="56"/>
        <v>1.2117485631495679E-2</v>
      </c>
      <c r="M60" s="212">
        <f t="shared" si="56"/>
        <v>9.799213574791377E-3</v>
      </c>
      <c r="N60" s="212">
        <f t="shared" si="56"/>
        <v>5.9410810991339311E-3</v>
      </c>
      <c r="O60" s="212">
        <f t="shared" si="56"/>
        <v>5.4264253080757059E-3</v>
      </c>
      <c r="P60" s="212">
        <f t="shared" si="56"/>
        <v>5.4605825863479705E-3</v>
      </c>
      <c r="Q60" s="212">
        <f t="shared" si="56"/>
        <v>5.4658355940288388E-3</v>
      </c>
      <c r="R60" s="212">
        <f t="shared" si="56"/>
        <v>8.6099563702400038E-3</v>
      </c>
      <c r="S60" s="212">
        <f t="shared" si="56"/>
        <v>8.7260259824169621E-3</v>
      </c>
      <c r="T60" s="212">
        <f t="shared" si="56"/>
        <v>8.8384072427776725E-3</v>
      </c>
      <c r="U60" s="212">
        <f t="shared" si="56"/>
        <v>1.2574588084067735E-2</v>
      </c>
    </row>
    <row r="61" spans="1:21" x14ac:dyDescent="0.25">
      <c r="A61" s="182" t="s">
        <v>647</v>
      </c>
      <c r="B61" s="64"/>
      <c r="C61" s="64"/>
      <c r="D61" s="64"/>
      <c r="E61" s="212">
        <f>E7/E9</f>
        <v>0.67667821312517007</v>
      </c>
      <c r="F61" s="212">
        <f t="shared" ref="F61:U61" si="57">F7/F9</f>
        <v>0.68233297567025197</v>
      </c>
      <c r="G61" s="212">
        <f t="shared" si="57"/>
        <v>0.69406571424640962</v>
      </c>
      <c r="H61" s="212">
        <f t="shared" si="57"/>
        <v>0.67949748357717321</v>
      </c>
      <c r="I61" s="212">
        <f t="shared" si="57"/>
        <v>0.64968940580383228</v>
      </c>
      <c r="J61" s="212">
        <f t="shared" si="57"/>
        <v>0.66175367639556937</v>
      </c>
      <c r="K61" s="212">
        <f t="shared" si="57"/>
        <v>0.60206807976887144</v>
      </c>
      <c r="L61" s="212">
        <f t="shared" si="57"/>
        <v>0.62018885796912371</v>
      </c>
      <c r="M61" s="212">
        <f t="shared" si="57"/>
        <v>0.66446308273688415</v>
      </c>
      <c r="N61" s="212">
        <f t="shared" si="57"/>
        <v>0.67533195634553023</v>
      </c>
      <c r="O61" s="212">
        <f t="shared" si="57"/>
        <v>0.65784789137851962</v>
      </c>
      <c r="P61" s="212">
        <f t="shared" si="57"/>
        <v>0.65790480397341045</v>
      </c>
      <c r="Q61" s="212">
        <f t="shared" si="57"/>
        <v>0.64164655627242961</v>
      </c>
      <c r="R61" s="212">
        <f t="shared" si="57"/>
        <v>0.60898158282479964</v>
      </c>
      <c r="S61" s="212">
        <f t="shared" si="57"/>
        <v>0.5964309448415146</v>
      </c>
      <c r="T61" s="212">
        <f t="shared" si="57"/>
        <v>0.54316816870695073</v>
      </c>
      <c r="U61" s="212">
        <f t="shared" si="57"/>
        <v>0.73657150561564222</v>
      </c>
    </row>
    <row r="62" spans="1:21" s="223" customFormat="1" x14ac:dyDescent="0.25">
      <c r="A62" s="225" t="s">
        <v>640</v>
      </c>
      <c r="B62" s="221"/>
      <c r="C62" s="221"/>
      <c r="D62" s="221"/>
      <c r="E62" s="222">
        <f>E60+E61</f>
        <v>0.70864312740957514</v>
      </c>
      <c r="F62" s="222">
        <f t="shared" ref="F62:M62" si="58">F60+F61</f>
        <v>0.69397022121712715</v>
      </c>
      <c r="G62" s="222">
        <f t="shared" si="58"/>
        <v>0.70460604665032367</v>
      </c>
      <c r="H62" s="222">
        <f t="shared" si="58"/>
        <v>0.69075824374123551</v>
      </c>
      <c r="I62" s="222">
        <f t="shared" si="58"/>
        <v>0.65766466782222999</v>
      </c>
      <c r="J62" s="222">
        <f t="shared" si="58"/>
        <v>0.67556971675797939</v>
      </c>
      <c r="K62" s="222">
        <f t="shared" si="58"/>
        <v>0.61371406393757078</v>
      </c>
      <c r="L62" s="222">
        <f t="shared" si="58"/>
        <v>0.63230634360061944</v>
      </c>
      <c r="M62" s="222">
        <f t="shared" si="58"/>
        <v>0.67426229631167556</v>
      </c>
      <c r="N62" s="222">
        <f t="shared" ref="N62" si="59">N60+N61</f>
        <v>0.68127303744466416</v>
      </c>
      <c r="O62" s="222">
        <f t="shared" ref="O62" si="60">O60+O61</f>
        <v>0.66327431668659531</v>
      </c>
      <c r="P62" s="222">
        <f t="shared" ref="P62" si="61">P60+P61</f>
        <v>0.66336538655975841</v>
      </c>
      <c r="Q62" s="222">
        <f t="shared" ref="Q62" si="62">Q60+Q61</f>
        <v>0.64711239186645841</v>
      </c>
      <c r="R62" s="222">
        <f t="shared" ref="R62" si="63">R60+R61</f>
        <v>0.61759153919503962</v>
      </c>
      <c r="S62" s="222">
        <f t="shared" ref="S62" si="64">S60+S61</f>
        <v>0.60515697082393161</v>
      </c>
      <c r="T62" s="222">
        <f t="shared" ref="T62" si="65">T60+T61</f>
        <v>0.55200657594972835</v>
      </c>
      <c r="U62" s="222">
        <f t="shared" ref="U62" si="66">U60+U61</f>
        <v>0.74914609369970997</v>
      </c>
    </row>
    <row r="63" spans="1:21" x14ac:dyDescent="0.25">
      <c r="A63" s="224" t="s">
        <v>641</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x14ac:dyDescent="0.25">
      <c r="A64" s="279" t="s">
        <v>697</v>
      </c>
      <c r="B64" s="280"/>
      <c r="C64" s="280"/>
      <c r="D64" s="280"/>
      <c r="E64" s="280"/>
      <c r="F64" s="280"/>
      <c r="G64" s="280"/>
      <c r="H64" s="280"/>
      <c r="I64" s="280"/>
      <c r="J64" s="280"/>
      <c r="K64" s="280"/>
      <c r="L64" s="280"/>
      <c r="M64" s="280"/>
      <c r="N64" s="280"/>
      <c r="O64" s="280"/>
      <c r="P64" s="280"/>
      <c r="Q64" s="280"/>
      <c r="R64" s="280"/>
      <c r="S64" s="280"/>
      <c r="T64" s="280"/>
      <c r="U64" s="280"/>
    </row>
    <row r="66" spans="1:21" s="9" customFormat="1" x14ac:dyDescent="0.25">
      <c r="A66" s="230" t="s">
        <v>648</v>
      </c>
      <c r="E66" s="231">
        <f>E1</f>
        <v>43100</v>
      </c>
      <c r="F66" s="231">
        <f t="shared" ref="F66:U66" si="67">F1</f>
        <v>43008</v>
      </c>
      <c r="G66" s="231">
        <f t="shared" si="67"/>
        <v>42916</v>
      </c>
      <c r="H66" s="231">
        <f t="shared" si="67"/>
        <v>42825</v>
      </c>
      <c r="I66" s="231">
        <f t="shared" si="67"/>
        <v>42735</v>
      </c>
      <c r="J66" s="231">
        <f t="shared" si="67"/>
        <v>42643</v>
      </c>
      <c r="K66" s="231">
        <f t="shared" si="67"/>
        <v>42551</v>
      </c>
      <c r="L66" s="231">
        <f t="shared" si="67"/>
        <v>42460</v>
      </c>
      <c r="M66" s="231">
        <f t="shared" si="67"/>
        <v>42369</v>
      </c>
      <c r="N66" s="231">
        <f t="shared" si="67"/>
        <v>42277</v>
      </c>
      <c r="O66" s="231">
        <f t="shared" si="67"/>
        <v>42185</v>
      </c>
      <c r="P66" s="231">
        <f t="shared" si="67"/>
        <v>42094</v>
      </c>
      <c r="Q66" s="231">
        <f t="shared" si="67"/>
        <v>42004</v>
      </c>
      <c r="R66" s="231">
        <f t="shared" si="67"/>
        <v>41912</v>
      </c>
      <c r="S66" s="231">
        <f t="shared" si="67"/>
        <v>41820</v>
      </c>
      <c r="T66" s="231">
        <f t="shared" si="67"/>
        <v>41729</v>
      </c>
      <c r="U66" s="231">
        <f t="shared" si="67"/>
        <v>41639</v>
      </c>
    </row>
    <row r="67" spans="1:21" x14ac:dyDescent="0.25">
      <c r="A67" s="17" t="s">
        <v>649</v>
      </c>
      <c r="E67" s="191">
        <f>E10</f>
        <v>13207400127</v>
      </c>
      <c r="F67" s="191">
        <f t="shared" ref="F67:U67" si="68">F10</f>
        <v>13328827845</v>
      </c>
      <c r="G67" s="191">
        <f t="shared" si="68"/>
        <v>16389567655</v>
      </c>
      <c r="H67" s="191">
        <f t="shared" si="68"/>
        <v>9116422350</v>
      </c>
      <c r="I67" s="191">
        <f t="shared" si="68"/>
        <v>9277561190</v>
      </c>
      <c r="J67" s="191">
        <f t="shared" si="68"/>
        <v>5497523962</v>
      </c>
      <c r="K67" s="191">
        <f t="shared" si="68"/>
        <v>4695705197</v>
      </c>
      <c r="L67" s="191">
        <f t="shared" si="68"/>
        <v>3208967705</v>
      </c>
      <c r="M67" s="191">
        <f t="shared" si="68"/>
        <v>7723683792</v>
      </c>
      <c r="N67" s="191">
        <f t="shared" si="68"/>
        <v>2863395470</v>
      </c>
      <c r="O67" s="191">
        <f t="shared" si="68"/>
        <v>2887655695</v>
      </c>
      <c r="P67" s="191">
        <f t="shared" si="68"/>
        <v>2364745104</v>
      </c>
      <c r="Q67" s="191">
        <f t="shared" si="68"/>
        <v>2393396564</v>
      </c>
      <c r="R67" s="191">
        <f t="shared" si="68"/>
        <v>2568274339</v>
      </c>
      <c r="S67" s="191">
        <f t="shared" si="68"/>
        <v>3620067869</v>
      </c>
      <c r="T67" s="191">
        <f t="shared" si="68"/>
        <v>2521601000</v>
      </c>
      <c r="U67" s="191">
        <f t="shared" si="68"/>
        <v>12745403014</v>
      </c>
    </row>
    <row r="68" spans="1:21" x14ac:dyDescent="0.25">
      <c r="A68" s="17" t="s">
        <v>650</v>
      </c>
      <c r="E68" s="191">
        <f>E11</f>
        <v>99246595983</v>
      </c>
      <c r="F68" s="191">
        <f t="shared" ref="F68:U68" si="69">F11</f>
        <v>84074465488</v>
      </c>
      <c r="G68" s="191">
        <f t="shared" si="69"/>
        <v>73008198095</v>
      </c>
      <c r="H68" s="191">
        <f t="shared" si="69"/>
        <v>72194657354</v>
      </c>
      <c r="I68" s="191">
        <f t="shared" si="69"/>
        <v>68720004807</v>
      </c>
      <c r="J68" s="191">
        <f t="shared" si="69"/>
        <v>57390990835</v>
      </c>
      <c r="K68" s="191">
        <f t="shared" si="69"/>
        <v>59412897255</v>
      </c>
      <c r="L68" s="191">
        <f t="shared" si="69"/>
        <v>55153271627</v>
      </c>
      <c r="M68" s="191">
        <f t="shared" si="69"/>
        <v>42512041805</v>
      </c>
      <c r="N68" s="191">
        <f t="shared" si="69"/>
        <v>42701196699</v>
      </c>
      <c r="O68" s="191">
        <f t="shared" si="69"/>
        <v>39603067801</v>
      </c>
      <c r="P68" s="191">
        <f t="shared" si="69"/>
        <v>37224172072</v>
      </c>
      <c r="Q68" s="191">
        <f t="shared" si="69"/>
        <v>37497670732</v>
      </c>
      <c r="R68" s="191">
        <f t="shared" si="69"/>
        <v>34333029751</v>
      </c>
      <c r="S68" s="191">
        <f t="shared" si="69"/>
        <v>33454202590</v>
      </c>
      <c r="T68" s="191">
        <f t="shared" si="69"/>
        <v>34438809638</v>
      </c>
      <c r="U68" s="191">
        <f t="shared" si="69"/>
        <v>27793957271</v>
      </c>
    </row>
    <row r="69" spans="1:21" x14ac:dyDescent="0.25">
      <c r="A69" s="17" t="s">
        <v>651</v>
      </c>
      <c r="E69" s="191">
        <f>E12</f>
        <v>112453996110</v>
      </c>
      <c r="F69" s="191">
        <f t="shared" ref="F69:U69" si="70">F12</f>
        <v>97403293333</v>
      </c>
      <c r="G69" s="191">
        <f t="shared" si="70"/>
        <v>89397765750</v>
      </c>
      <c r="H69" s="191">
        <f t="shared" si="70"/>
        <v>81311079704</v>
      </c>
      <c r="I69" s="191">
        <f t="shared" si="70"/>
        <v>77997565997</v>
      </c>
      <c r="J69" s="191">
        <f t="shared" si="70"/>
        <v>62888514797</v>
      </c>
      <c r="K69" s="191">
        <f t="shared" si="70"/>
        <v>64108602452</v>
      </c>
      <c r="L69" s="191">
        <f t="shared" si="70"/>
        <v>58362239332</v>
      </c>
      <c r="M69" s="191">
        <f t="shared" si="70"/>
        <v>50235725597</v>
      </c>
      <c r="N69" s="191">
        <f t="shared" si="70"/>
        <v>45564592169</v>
      </c>
      <c r="O69" s="191">
        <f t="shared" si="70"/>
        <v>42490723496</v>
      </c>
      <c r="P69" s="191">
        <f t="shared" si="70"/>
        <v>39588917176</v>
      </c>
      <c r="Q69" s="191">
        <f t="shared" si="70"/>
        <v>39891067296</v>
      </c>
      <c r="R69" s="191">
        <f t="shared" si="70"/>
        <v>36901304090</v>
      </c>
      <c r="S69" s="191">
        <f t="shared" si="70"/>
        <v>37074270459</v>
      </c>
      <c r="T69" s="191">
        <f t="shared" si="70"/>
        <v>36960410638</v>
      </c>
      <c r="U69" s="191">
        <f t="shared" si="70"/>
        <v>40539360285</v>
      </c>
    </row>
    <row r="70" spans="1:21" s="232" customFormat="1" x14ac:dyDescent="0.25">
      <c r="A70" s="232" t="s">
        <v>654</v>
      </c>
      <c r="E70" s="232">
        <f>E69/E74</f>
        <v>0.51878451058420272</v>
      </c>
      <c r="F70" s="232">
        <f t="shared" ref="F70:U70" si="71">F69/F74</f>
        <v>0.48168623138808964</v>
      </c>
      <c r="G70" s="232">
        <f t="shared" si="71"/>
        <v>0.47565253995446188</v>
      </c>
      <c r="H70" s="232">
        <f t="shared" si="71"/>
        <v>0.4572241338065498</v>
      </c>
      <c r="I70" s="232">
        <f t="shared" si="71"/>
        <v>0.45870201217750367</v>
      </c>
      <c r="J70" s="232">
        <f t="shared" si="71"/>
        <v>0.43395211702704362</v>
      </c>
      <c r="K70" s="232">
        <f t="shared" si="71"/>
        <v>0.43894501534314584</v>
      </c>
      <c r="L70" s="232">
        <f t="shared" si="71"/>
        <v>0.41749469302266762</v>
      </c>
      <c r="M70" s="232">
        <f t="shared" si="71"/>
        <v>0.39059703914383737</v>
      </c>
      <c r="N70" s="232">
        <f t="shared" si="71"/>
        <v>0.36586589064500424</v>
      </c>
      <c r="O70" s="232">
        <f t="shared" si="71"/>
        <v>0.34994835471548214</v>
      </c>
      <c r="P70" s="232">
        <f t="shared" si="71"/>
        <v>0.33685519383684698</v>
      </c>
      <c r="Q70" s="232">
        <f t="shared" si="71"/>
        <v>0.34131399823531755</v>
      </c>
      <c r="R70" s="232">
        <f t="shared" si="71"/>
        <v>0.32512379247622269</v>
      </c>
      <c r="S70" s="232">
        <f t="shared" si="71"/>
        <v>0.32737301835066368</v>
      </c>
      <c r="T70" s="232">
        <f t="shared" si="71"/>
        <v>0.32956384079001078</v>
      </c>
      <c r="U70" s="232">
        <f t="shared" si="71"/>
        <v>0.51499393243305369</v>
      </c>
    </row>
    <row r="71" spans="1:21" x14ac:dyDescent="0.25">
      <c r="A71" s="17" t="s">
        <v>652</v>
      </c>
      <c r="E71" s="191">
        <f>E13</f>
        <v>104310371013</v>
      </c>
      <c r="F71" s="191">
        <f t="shared" ref="F71:U71" si="72">F13</f>
        <v>104809863253</v>
      </c>
      <c r="G71" s="191">
        <f t="shared" si="72"/>
        <v>98549860386</v>
      </c>
      <c r="H71" s="191">
        <f t="shared" si="72"/>
        <v>96525289140</v>
      </c>
      <c r="I71" s="191">
        <f t="shared" si="72"/>
        <v>92042163340</v>
      </c>
      <c r="J71" s="191">
        <f t="shared" si="72"/>
        <v>82031886163</v>
      </c>
      <c r="K71" s="191">
        <f t="shared" si="72"/>
        <v>81942953463</v>
      </c>
      <c r="L71" s="191">
        <f t="shared" si="72"/>
        <v>81429332411</v>
      </c>
      <c r="M71" s="191">
        <f t="shared" si="72"/>
        <v>78376937999</v>
      </c>
      <c r="N71" s="191">
        <f t="shared" si="72"/>
        <v>78974462534</v>
      </c>
      <c r="O71" s="191">
        <f t="shared" si="72"/>
        <v>78929260120</v>
      </c>
      <c r="P71" s="191">
        <f t="shared" si="72"/>
        <v>77936114055</v>
      </c>
      <c r="Q71" s="191">
        <f t="shared" si="72"/>
        <v>76983914399</v>
      </c>
      <c r="R71" s="191">
        <f t="shared" si="72"/>
        <v>76597938180</v>
      </c>
      <c r="S71" s="191">
        <f t="shared" si="72"/>
        <v>76173518396</v>
      </c>
      <c r="T71" s="191">
        <f t="shared" si="72"/>
        <v>75189061068</v>
      </c>
      <c r="U71" s="191">
        <f t="shared" si="72"/>
        <v>38178771584</v>
      </c>
    </row>
    <row r="72" spans="1:21" s="232" customFormat="1" x14ac:dyDescent="0.25">
      <c r="A72" s="232" t="s">
        <v>655</v>
      </c>
      <c r="E72" s="232">
        <f>E71/E74</f>
        <v>0.48121548941579728</v>
      </c>
      <c r="F72" s="232">
        <f t="shared" ref="F72:U72" si="73">F71/F74</f>
        <v>0.51831376861191036</v>
      </c>
      <c r="G72" s="232">
        <f t="shared" si="73"/>
        <v>0.52434746004553812</v>
      </c>
      <c r="H72" s="232">
        <f t="shared" si="73"/>
        <v>0.5427758661934502</v>
      </c>
      <c r="I72" s="232">
        <f t="shared" si="73"/>
        <v>0.54129798782249638</v>
      </c>
      <c r="J72" s="232">
        <f t="shared" si="73"/>
        <v>0.56604788297295638</v>
      </c>
      <c r="K72" s="232">
        <f t="shared" si="73"/>
        <v>0.56105498465685411</v>
      </c>
      <c r="L72" s="232">
        <f t="shared" si="73"/>
        <v>0.58250530697733238</v>
      </c>
      <c r="M72" s="232">
        <f t="shared" si="73"/>
        <v>0.60940296085616263</v>
      </c>
      <c r="N72" s="232">
        <f t="shared" si="73"/>
        <v>0.6341341093549957</v>
      </c>
      <c r="O72" s="232">
        <f t="shared" si="73"/>
        <v>0.65005164528451786</v>
      </c>
      <c r="P72" s="232">
        <f t="shared" si="73"/>
        <v>0.66314480616315297</v>
      </c>
      <c r="Q72" s="232">
        <f t="shared" si="73"/>
        <v>0.6586860017646825</v>
      </c>
      <c r="R72" s="232">
        <f t="shared" si="73"/>
        <v>0.67487620752377731</v>
      </c>
      <c r="S72" s="232">
        <f t="shared" si="73"/>
        <v>0.67262698164933632</v>
      </c>
      <c r="T72" s="232">
        <f t="shared" si="73"/>
        <v>0.67043615920998922</v>
      </c>
      <c r="U72" s="232">
        <f t="shared" si="73"/>
        <v>0.48500606756694625</v>
      </c>
    </row>
    <row r="73" spans="1:21" s="234" customFormat="1" x14ac:dyDescent="0.25">
      <c r="A73" s="233" t="s">
        <v>656</v>
      </c>
      <c r="E73" s="235">
        <f>E74/E71</f>
        <v>2.0780710970339187</v>
      </c>
      <c r="F73" s="235">
        <f t="shared" ref="F73:U73" si="74">F74/F71</f>
        <v>1.9293332737003834</v>
      </c>
      <c r="G73" s="235">
        <f t="shared" si="74"/>
        <v>1.9071323429566203</v>
      </c>
      <c r="H73" s="235">
        <f t="shared" si="74"/>
        <v>1.8423811047700323</v>
      </c>
      <c r="I73" s="235">
        <f t="shared" si="74"/>
        <v>1.8474112642146423</v>
      </c>
      <c r="J73" s="235">
        <f t="shared" si="74"/>
        <v>1.7666349969332473</v>
      </c>
      <c r="K73" s="235">
        <f t="shared" si="74"/>
        <v>1.7823565022091521</v>
      </c>
      <c r="L73" s="235">
        <f t="shared" si="74"/>
        <v>1.7167225568966602</v>
      </c>
      <c r="M73" s="235">
        <f t="shared" si="74"/>
        <v>1.6409503468691384</v>
      </c>
      <c r="N73" s="235">
        <f t="shared" si="74"/>
        <v>1.5769534949273454</v>
      </c>
      <c r="O73" s="235">
        <f t="shared" si="74"/>
        <v>1.5383393108132433</v>
      </c>
      <c r="P73" s="235">
        <f t="shared" si="74"/>
        <v>1.5079662702718519</v>
      </c>
      <c r="Q73" s="235">
        <f t="shared" si="74"/>
        <v>1.5181740576251885</v>
      </c>
      <c r="R73" s="235">
        <f t="shared" si="74"/>
        <v>1.481753229483598</v>
      </c>
      <c r="S73" s="235">
        <f t="shared" si="74"/>
        <v>1.4867081269144427</v>
      </c>
      <c r="T73" s="235">
        <f t="shared" si="74"/>
        <v>1.4915663277743751</v>
      </c>
      <c r="U73" s="235">
        <f t="shared" si="74"/>
        <v>2.0618298756890669</v>
      </c>
    </row>
    <row r="74" spans="1:21" x14ac:dyDescent="0.25">
      <c r="A74" s="17" t="s">
        <v>653</v>
      </c>
      <c r="E74" s="191">
        <f>E14</f>
        <v>216764367123</v>
      </c>
      <c r="F74" s="191">
        <f t="shared" ref="F74:U74" si="75">F14</f>
        <v>202213156586</v>
      </c>
      <c r="G74" s="191">
        <f t="shared" si="75"/>
        <v>187947626136</v>
      </c>
      <c r="H74" s="191">
        <f t="shared" si="75"/>
        <v>177836368844</v>
      </c>
      <c r="I74" s="191">
        <f t="shared" si="75"/>
        <v>170039729337</v>
      </c>
      <c r="J74" s="191">
        <f t="shared" si="75"/>
        <v>144920400960</v>
      </c>
      <c r="K74" s="191">
        <f t="shared" si="75"/>
        <v>146051555915</v>
      </c>
      <c r="L74" s="191">
        <f t="shared" si="75"/>
        <v>139791571743</v>
      </c>
      <c r="M74" s="191">
        <f t="shared" si="75"/>
        <v>128612663596</v>
      </c>
      <c r="N74" s="191">
        <f t="shared" si="75"/>
        <v>124539054703</v>
      </c>
      <c r="O74" s="191">
        <f t="shared" si="75"/>
        <v>121419983616</v>
      </c>
      <c r="P74" s="191">
        <f t="shared" si="75"/>
        <v>117525031231</v>
      </c>
      <c r="Q74" s="191">
        <f t="shared" si="75"/>
        <v>116874981695</v>
      </c>
      <c r="R74" s="191">
        <f t="shared" si="75"/>
        <v>113499242270</v>
      </c>
      <c r="S74" s="191">
        <f t="shared" si="75"/>
        <v>113247788855</v>
      </c>
      <c r="T74" s="191">
        <f t="shared" si="75"/>
        <v>112149471706</v>
      </c>
      <c r="U74" s="191">
        <f t="shared" si="75"/>
        <v>78718131869</v>
      </c>
    </row>
    <row r="75" spans="1:21" ht="83.4" customHeight="1" x14ac:dyDescent="0.25">
      <c r="A75" s="277" t="s">
        <v>698</v>
      </c>
      <c r="B75" s="276"/>
      <c r="C75" s="276"/>
      <c r="D75" s="276"/>
      <c r="E75" s="276"/>
      <c r="F75" s="276"/>
      <c r="G75" s="276"/>
      <c r="H75" s="276"/>
      <c r="I75" s="276"/>
      <c r="J75" s="276"/>
      <c r="K75" s="276"/>
      <c r="L75" s="276"/>
      <c r="M75" s="276"/>
      <c r="N75" s="276"/>
      <c r="O75" s="276"/>
      <c r="P75" s="276"/>
      <c r="Q75" s="276"/>
      <c r="R75" s="276"/>
      <c r="S75" s="276"/>
      <c r="T75" s="276"/>
      <c r="U75" s="276"/>
    </row>
    <row r="77" spans="1:21" s="236" customFormat="1" x14ac:dyDescent="0.25">
      <c r="A77" s="237" t="s">
        <v>657</v>
      </c>
      <c r="B77" s="238"/>
      <c r="C77" s="238"/>
      <c r="D77" s="238"/>
      <c r="E77" s="239">
        <f>E1</f>
        <v>43100</v>
      </c>
      <c r="F77" s="239">
        <f t="shared" ref="F77:U77" si="76">F1</f>
        <v>43008</v>
      </c>
      <c r="G77" s="239">
        <f t="shared" si="76"/>
        <v>42916</v>
      </c>
      <c r="H77" s="239">
        <f t="shared" si="76"/>
        <v>42825</v>
      </c>
      <c r="I77" s="239">
        <f t="shared" si="76"/>
        <v>42735</v>
      </c>
      <c r="J77" s="239">
        <f t="shared" si="76"/>
        <v>42643</v>
      </c>
      <c r="K77" s="239">
        <f t="shared" si="76"/>
        <v>42551</v>
      </c>
      <c r="L77" s="239">
        <f t="shared" si="76"/>
        <v>42460</v>
      </c>
      <c r="M77" s="239">
        <f t="shared" si="76"/>
        <v>42369</v>
      </c>
      <c r="N77" s="239">
        <f t="shared" si="76"/>
        <v>42277</v>
      </c>
      <c r="O77" s="239">
        <f t="shared" si="76"/>
        <v>42185</v>
      </c>
      <c r="P77" s="239">
        <f t="shared" si="76"/>
        <v>42094</v>
      </c>
      <c r="Q77" s="239">
        <f t="shared" si="76"/>
        <v>42004</v>
      </c>
      <c r="R77" s="239">
        <f t="shared" si="76"/>
        <v>41912</v>
      </c>
      <c r="S77" s="239">
        <f t="shared" si="76"/>
        <v>41820</v>
      </c>
      <c r="T77" s="239">
        <f t="shared" si="76"/>
        <v>41729</v>
      </c>
      <c r="U77" s="239">
        <f t="shared" si="76"/>
        <v>41639</v>
      </c>
    </row>
    <row r="78" spans="1:21" x14ac:dyDescent="0.25">
      <c r="A78" s="182" t="s">
        <v>649</v>
      </c>
      <c r="B78" s="64"/>
      <c r="C78" s="64"/>
      <c r="D78" s="64"/>
      <c r="E78" s="88">
        <f>E10</f>
        <v>13207400127</v>
      </c>
      <c r="F78" s="88">
        <f t="shared" ref="F78:U78" si="77">F10</f>
        <v>13328827845</v>
      </c>
      <c r="G78" s="88">
        <f t="shared" si="77"/>
        <v>16389567655</v>
      </c>
      <c r="H78" s="88">
        <f t="shared" si="77"/>
        <v>9116422350</v>
      </c>
      <c r="I78" s="88">
        <f t="shared" si="77"/>
        <v>9277561190</v>
      </c>
      <c r="J78" s="88">
        <f t="shared" si="77"/>
        <v>5497523962</v>
      </c>
      <c r="K78" s="88">
        <f t="shared" si="77"/>
        <v>4695705197</v>
      </c>
      <c r="L78" s="88">
        <f t="shared" si="77"/>
        <v>3208967705</v>
      </c>
      <c r="M78" s="88">
        <f t="shared" si="77"/>
        <v>7723683792</v>
      </c>
      <c r="N78" s="88">
        <f t="shared" si="77"/>
        <v>2863395470</v>
      </c>
      <c r="O78" s="88">
        <f t="shared" si="77"/>
        <v>2887655695</v>
      </c>
      <c r="P78" s="88">
        <f t="shared" si="77"/>
        <v>2364745104</v>
      </c>
      <c r="Q78" s="88">
        <f t="shared" si="77"/>
        <v>2393396564</v>
      </c>
      <c r="R78" s="88">
        <f t="shared" si="77"/>
        <v>2568274339</v>
      </c>
      <c r="S78" s="88">
        <f t="shared" si="77"/>
        <v>3620067869</v>
      </c>
      <c r="T78" s="88">
        <f t="shared" si="77"/>
        <v>2521601000</v>
      </c>
      <c r="U78" s="88">
        <f t="shared" si="77"/>
        <v>12745403014</v>
      </c>
    </row>
    <row r="79" spans="1:21" x14ac:dyDescent="0.25">
      <c r="A79" s="182" t="s">
        <v>658</v>
      </c>
      <c r="B79" s="64"/>
      <c r="C79" s="64"/>
      <c r="D79" s="64"/>
      <c r="E79" s="88">
        <f>E78</f>
        <v>13207400127</v>
      </c>
      <c r="F79" s="88">
        <f t="shared" ref="F79:U79" si="78">F78</f>
        <v>13328827845</v>
      </c>
      <c r="G79" s="88">
        <f t="shared" si="78"/>
        <v>16389567655</v>
      </c>
      <c r="H79" s="88">
        <f t="shared" si="78"/>
        <v>9116422350</v>
      </c>
      <c r="I79" s="88">
        <f t="shared" si="78"/>
        <v>9277561190</v>
      </c>
      <c r="J79" s="88">
        <f t="shared" si="78"/>
        <v>5497523962</v>
      </c>
      <c r="K79" s="88">
        <f t="shared" si="78"/>
        <v>4695705197</v>
      </c>
      <c r="L79" s="88">
        <f t="shared" si="78"/>
        <v>3208967705</v>
      </c>
      <c r="M79" s="88">
        <f t="shared" si="78"/>
        <v>7723683792</v>
      </c>
      <c r="N79" s="88">
        <f t="shared" si="78"/>
        <v>2863395470</v>
      </c>
      <c r="O79" s="88">
        <f t="shared" si="78"/>
        <v>2887655695</v>
      </c>
      <c r="P79" s="88">
        <f t="shared" si="78"/>
        <v>2364745104</v>
      </c>
      <c r="Q79" s="88">
        <f t="shared" si="78"/>
        <v>2393396564</v>
      </c>
      <c r="R79" s="88">
        <f t="shared" si="78"/>
        <v>2568274339</v>
      </c>
      <c r="S79" s="88">
        <f t="shared" si="78"/>
        <v>3620067869</v>
      </c>
      <c r="T79" s="88">
        <f t="shared" si="78"/>
        <v>2521601000</v>
      </c>
      <c r="U79" s="88">
        <f t="shared" si="78"/>
        <v>12745403014</v>
      </c>
    </row>
    <row r="80" spans="1:21" s="218" customFormat="1" x14ac:dyDescent="0.25">
      <c r="A80" s="222" t="s">
        <v>659</v>
      </c>
      <c r="B80" s="222"/>
      <c r="C80" s="222"/>
      <c r="D80" s="222"/>
      <c r="E80" s="222">
        <f>E79/E85</f>
        <v>6.0929756593737755E-2</v>
      </c>
      <c r="F80" s="222">
        <f t="shared" ref="F80:U80" si="79">F79/F85</f>
        <v>6.5914741009106062E-2</v>
      </c>
      <c r="G80" s="222">
        <f t="shared" si="79"/>
        <v>8.7202844707069682E-2</v>
      </c>
      <c r="H80" s="222">
        <f t="shared" si="79"/>
        <v>5.1262980734818227E-2</v>
      </c>
      <c r="I80" s="222">
        <f t="shared" si="79"/>
        <v>5.4561138306759453E-2</v>
      </c>
      <c r="J80" s="222">
        <f t="shared" si="79"/>
        <v>3.793478299523468E-2</v>
      </c>
      <c r="K80" s="222">
        <f t="shared" si="79"/>
        <v>3.215101111098629E-2</v>
      </c>
      <c r="L80" s="222">
        <f t="shared" si="79"/>
        <v>2.2955373238806778E-2</v>
      </c>
      <c r="M80" s="222">
        <f t="shared" si="79"/>
        <v>6.0053835882458273E-2</v>
      </c>
      <c r="N80" s="222">
        <f t="shared" si="79"/>
        <v>2.2991948002404616E-2</v>
      </c>
      <c r="O80" s="222">
        <f t="shared" si="79"/>
        <v>2.3782375923657118E-2</v>
      </c>
      <c r="P80" s="222">
        <f t="shared" si="79"/>
        <v>2.0121203791488487E-2</v>
      </c>
      <c r="Q80" s="222">
        <f t="shared" si="79"/>
        <v>2.047826257843505E-2</v>
      </c>
      <c r="R80" s="222">
        <f t="shared" si="79"/>
        <v>2.2628118810612038E-2</v>
      </c>
      <c r="S80" s="222">
        <f t="shared" si="79"/>
        <v>3.1965903313441783E-2</v>
      </c>
      <c r="T80" s="222">
        <f t="shared" si="79"/>
        <v>2.2484287813770362E-2</v>
      </c>
      <c r="U80" s="222">
        <f t="shared" si="79"/>
        <v>0.16191190912927736</v>
      </c>
    </row>
    <row r="81" spans="1:21" x14ac:dyDescent="0.25">
      <c r="A81" s="182" t="s">
        <v>650</v>
      </c>
      <c r="B81" s="64"/>
      <c r="C81" s="64"/>
      <c r="D81" s="64"/>
      <c r="E81" s="88">
        <f>E11</f>
        <v>99246595983</v>
      </c>
      <c r="F81" s="88">
        <f t="shared" ref="F81:U81" si="80">F11</f>
        <v>84074465488</v>
      </c>
      <c r="G81" s="88">
        <f t="shared" si="80"/>
        <v>73008198095</v>
      </c>
      <c r="H81" s="88">
        <f t="shared" si="80"/>
        <v>72194657354</v>
      </c>
      <c r="I81" s="88">
        <f t="shared" si="80"/>
        <v>68720004807</v>
      </c>
      <c r="J81" s="88">
        <f t="shared" si="80"/>
        <v>57390990835</v>
      </c>
      <c r="K81" s="88">
        <f t="shared" si="80"/>
        <v>59412897255</v>
      </c>
      <c r="L81" s="88">
        <f t="shared" si="80"/>
        <v>55153271627</v>
      </c>
      <c r="M81" s="88">
        <f t="shared" si="80"/>
        <v>42512041805</v>
      </c>
      <c r="N81" s="88">
        <f t="shared" si="80"/>
        <v>42701196699</v>
      </c>
      <c r="O81" s="88">
        <f t="shared" si="80"/>
        <v>39603067801</v>
      </c>
      <c r="P81" s="88">
        <f t="shared" si="80"/>
        <v>37224172072</v>
      </c>
      <c r="Q81" s="88">
        <f t="shared" si="80"/>
        <v>37497670732</v>
      </c>
      <c r="R81" s="88">
        <f t="shared" si="80"/>
        <v>34333029751</v>
      </c>
      <c r="S81" s="88">
        <f t="shared" si="80"/>
        <v>33454202590</v>
      </c>
      <c r="T81" s="88">
        <f t="shared" si="80"/>
        <v>34438809638</v>
      </c>
      <c r="U81" s="88">
        <f t="shared" si="80"/>
        <v>27793957271</v>
      </c>
    </row>
    <row r="82" spans="1:21" x14ac:dyDescent="0.25">
      <c r="A82" s="182" t="s">
        <v>652</v>
      </c>
      <c r="B82" s="64"/>
      <c r="C82" s="64"/>
      <c r="D82" s="64"/>
      <c r="E82" s="88">
        <f>E13</f>
        <v>104310371013</v>
      </c>
      <c r="F82" s="88">
        <f t="shared" ref="F82:U82" si="81">F13</f>
        <v>104809863253</v>
      </c>
      <c r="G82" s="88">
        <f t="shared" si="81"/>
        <v>98549860386</v>
      </c>
      <c r="H82" s="88">
        <f t="shared" si="81"/>
        <v>96525289140</v>
      </c>
      <c r="I82" s="88">
        <f t="shared" si="81"/>
        <v>92042163340</v>
      </c>
      <c r="J82" s="88">
        <f t="shared" si="81"/>
        <v>82031886163</v>
      </c>
      <c r="K82" s="88">
        <f t="shared" si="81"/>
        <v>81942953463</v>
      </c>
      <c r="L82" s="88">
        <f t="shared" si="81"/>
        <v>81429332411</v>
      </c>
      <c r="M82" s="88">
        <f t="shared" si="81"/>
        <v>78376937999</v>
      </c>
      <c r="N82" s="88">
        <f t="shared" si="81"/>
        <v>78974462534</v>
      </c>
      <c r="O82" s="88">
        <f t="shared" si="81"/>
        <v>78929260120</v>
      </c>
      <c r="P82" s="88">
        <f t="shared" si="81"/>
        <v>77936114055</v>
      </c>
      <c r="Q82" s="88">
        <f t="shared" si="81"/>
        <v>76983914399</v>
      </c>
      <c r="R82" s="88">
        <f t="shared" si="81"/>
        <v>76597938180</v>
      </c>
      <c r="S82" s="88">
        <f t="shared" si="81"/>
        <v>76173518396</v>
      </c>
      <c r="T82" s="88">
        <f t="shared" si="81"/>
        <v>75189061068</v>
      </c>
      <c r="U82" s="88">
        <f t="shared" si="81"/>
        <v>38178771584</v>
      </c>
    </row>
    <row r="83" spans="1:21" x14ac:dyDescent="0.25">
      <c r="A83" s="182" t="s">
        <v>660</v>
      </c>
      <c r="B83" s="64"/>
      <c r="C83" s="64"/>
      <c r="D83" s="64"/>
      <c r="E83" s="88">
        <f>E81+E82</f>
        <v>203556966996</v>
      </c>
      <c r="F83" s="88">
        <f t="shared" ref="F83:U83" si="82">F81+F82</f>
        <v>188884328741</v>
      </c>
      <c r="G83" s="88">
        <f t="shared" si="82"/>
        <v>171558058481</v>
      </c>
      <c r="H83" s="88">
        <f t="shared" si="82"/>
        <v>168719946494</v>
      </c>
      <c r="I83" s="88">
        <f t="shared" si="82"/>
        <v>160762168147</v>
      </c>
      <c r="J83" s="88">
        <f t="shared" si="82"/>
        <v>139422876998</v>
      </c>
      <c r="K83" s="88">
        <f t="shared" si="82"/>
        <v>141355850718</v>
      </c>
      <c r="L83" s="88">
        <f t="shared" si="82"/>
        <v>136582604038</v>
      </c>
      <c r="M83" s="88">
        <f t="shared" si="82"/>
        <v>120888979804</v>
      </c>
      <c r="N83" s="88">
        <f t="shared" si="82"/>
        <v>121675659233</v>
      </c>
      <c r="O83" s="88">
        <f t="shared" si="82"/>
        <v>118532327921</v>
      </c>
      <c r="P83" s="88">
        <f t="shared" si="82"/>
        <v>115160286127</v>
      </c>
      <c r="Q83" s="88">
        <f t="shared" si="82"/>
        <v>114481585131</v>
      </c>
      <c r="R83" s="88">
        <f t="shared" si="82"/>
        <v>110930967931</v>
      </c>
      <c r="S83" s="88">
        <f t="shared" si="82"/>
        <v>109627720986</v>
      </c>
      <c r="T83" s="88">
        <f t="shared" si="82"/>
        <v>109627870706</v>
      </c>
      <c r="U83" s="88">
        <f t="shared" si="82"/>
        <v>65972728855</v>
      </c>
    </row>
    <row r="84" spans="1:21" s="218" customFormat="1" x14ac:dyDescent="0.25">
      <c r="A84" s="222" t="s">
        <v>661</v>
      </c>
      <c r="B84" s="222"/>
      <c r="C84" s="222"/>
      <c r="D84" s="222"/>
      <c r="E84" s="222">
        <f>E83/E85</f>
        <v>0.93907024340626222</v>
      </c>
      <c r="F84" s="222">
        <f t="shared" ref="F84:U84" si="83">F83/F85</f>
        <v>0.9340852589908939</v>
      </c>
      <c r="G84" s="222">
        <f t="shared" si="83"/>
        <v>0.91279715529293026</v>
      </c>
      <c r="H84" s="222">
        <f t="shared" si="83"/>
        <v>0.94873701926518172</v>
      </c>
      <c r="I84" s="222">
        <f t="shared" si="83"/>
        <v>0.94543886169324054</v>
      </c>
      <c r="J84" s="222">
        <f t="shared" si="83"/>
        <v>0.96206521700476533</v>
      </c>
      <c r="K84" s="222">
        <f t="shared" si="83"/>
        <v>0.96784898888901372</v>
      </c>
      <c r="L84" s="222">
        <f t="shared" si="83"/>
        <v>0.97704462676119319</v>
      </c>
      <c r="M84" s="222">
        <f t="shared" si="83"/>
        <v>0.93994616411754173</v>
      </c>
      <c r="N84" s="222">
        <f t="shared" si="83"/>
        <v>0.97700805199759544</v>
      </c>
      <c r="O84" s="222">
        <f t="shared" si="83"/>
        <v>0.97621762407634294</v>
      </c>
      <c r="P84" s="222">
        <f t="shared" si="83"/>
        <v>0.97987879620851148</v>
      </c>
      <c r="Q84" s="222">
        <f t="shared" si="83"/>
        <v>0.9795217374215649</v>
      </c>
      <c r="R84" s="222">
        <f t="shared" si="83"/>
        <v>0.977371881189388</v>
      </c>
      <c r="S84" s="222">
        <f t="shared" si="83"/>
        <v>0.96803409668655827</v>
      </c>
      <c r="T84" s="222">
        <f t="shared" si="83"/>
        <v>0.97751571218622968</v>
      </c>
      <c r="U84" s="222">
        <f t="shared" si="83"/>
        <v>0.83808809087072267</v>
      </c>
    </row>
    <row r="85" spans="1:21" x14ac:dyDescent="0.25">
      <c r="A85" s="182" t="s">
        <v>653</v>
      </c>
      <c r="B85" s="64"/>
      <c r="C85" s="64"/>
      <c r="D85" s="64"/>
      <c r="E85" s="88">
        <f>E14</f>
        <v>216764367123</v>
      </c>
      <c r="F85" s="88">
        <f t="shared" ref="F85:U85" si="84">F14</f>
        <v>202213156586</v>
      </c>
      <c r="G85" s="88">
        <f t="shared" si="84"/>
        <v>187947626136</v>
      </c>
      <c r="H85" s="88">
        <f t="shared" si="84"/>
        <v>177836368844</v>
      </c>
      <c r="I85" s="88">
        <f t="shared" si="84"/>
        <v>170039729337</v>
      </c>
      <c r="J85" s="88">
        <f t="shared" si="84"/>
        <v>144920400960</v>
      </c>
      <c r="K85" s="88">
        <f t="shared" si="84"/>
        <v>146051555915</v>
      </c>
      <c r="L85" s="88">
        <f t="shared" si="84"/>
        <v>139791571743</v>
      </c>
      <c r="M85" s="88">
        <f t="shared" si="84"/>
        <v>128612663596</v>
      </c>
      <c r="N85" s="88">
        <f t="shared" si="84"/>
        <v>124539054703</v>
      </c>
      <c r="O85" s="88">
        <f t="shared" si="84"/>
        <v>121419983616</v>
      </c>
      <c r="P85" s="88">
        <f t="shared" si="84"/>
        <v>117525031231</v>
      </c>
      <c r="Q85" s="88">
        <f t="shared" si="84"/>
        <v>116874981695</v>
      </c>
      <c r="R85" s="88">
        <f t="shared" si="84"/>
        <v>113499242270</v>
      </c>
      <c r="S85" s="88">
        <f t="shared" si="84"/>
        <v>113247788855</v>
      </c>
      <c r="T85" s="88">
        <f t="shared" si="84"/>
        <v>112149471706</v>
      </c>
      <c r="U85" s="88">
        <f t="shared" si="84"/>
        <v>78718131869</v>
      </c>
    </row>
    <row r="87" spans="1:21" s="56" customFormat="1" ht="85.8" customHeight="1" x14ac:dyDescent="0.25">
      <c r="A87" s="275" t="s">
        <v>699</v>
      </c>
      <c r="B87" s="278"/>
      <c r="C87" s="278"/>
      <c r="D87" s="278"/>
      <c r="E87" s="278"/>
      <c r="F87" s="278"/>
      <c r="G87" s="278"/>
      <c r="H87" s="278"/>
      <c r="I87" s="278"/>
      <c r="J87" s="278"/>
      <c r="K87" s="278"/>
      <c r="L87" s="278"/>
      <c r="M87" s="278"/>
      <c r="N87" s="278"/>
      <c r="O87" s="278"/>
      <c r="P87" s="278"/>
      <c r="Q87" s="278"/>
      <c r="R87" s="278"/>
      <c r="S87" s="278"/>
      <c r="T87" s="278"/>
      <c r="U87" s="278"/>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41" zoomScaleNormal="100" workbookViewId="0">
      <selection activeCell="E39" sqref="E39"/>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1.5546875" bestFit="1" customWidth="1"/>
    <col min="10" max="12" width="20.44140625" hidden="1" customWidth="1"/>
    <col min="13" max="13" width="21.554687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19.33203125" hidden="1" customWidth="1"/>
    <col min="45" max="45" width="20.44140625" bestFit="1" customWidth="1"/>
    <col min="46" max="48" width="19.33203125" hidden="1" customWidth="1"/>
    <col min="49" max="49" width="20.44140625" bestFit="1" customWidth="1"/>
    <col min="50" max="51" width="20.44140625" hidden="1" customWidth="1"/>
    <col min="52" max="52" width="19.33203125" hidden="1" customWidth="1"/>
    <col min="53" max="53" width="20.44140625" bestFit="1" customWidth="1"/>
    <col min="54" max="55" width="20.44140625" hidden="1" customWidth="1"/>
    <col min="56" max="56" width="19.33203125" hidden="1" customWidth="1"/>
    <col min="57" max="57" width="20.44140625" bestFit="1" customWidth="1"/>
    <col min="58" max="60" width="19.33203125" hidden="1" customWidth="1"/>
    <col min="61" max="61" width="20.44140625" bestFit="1" customWidth="1"/>
    <col min="62" max="64" width="19.33203125" hidden="1" customWidth="1"/>
    <col min="65" max="65" width="19.33203125" bestFit="1" customWidth="1"/>
    <col min="66" max="68" width="19.33203125" hidden="1" customWidth="1"/>
    <col min="69" max="69" width="19.33203125" bestFit="1" customWidth="1"/>
    <col min="70" max="70" width="19.33203125" hidden="1" customWidth="1"/>
    <col min="71" max="71" width="19.33203125" bestFit="1" customWidth="1"/>
    <col min="72" max="72" width="17.21875" hidden="1" customWidth="1"/>
    <col min="73" max="73" width="17.21875" bestFit="1" customWidth="1"/>
    <col min="74" max="74" width="17.21875" hidden="1" customWidth="1"/>
    <col min="75" max="75" width="17.21875" bestFit="1" customWidth="1"/>
    <col min="76" max="76" width="17.21875" hidden="1" customWidth="1"/>
    <col min="77" max="77" width="17.21875" bestFit="1" customWidth="1"/>
    <col min="78" max="78" width="17.21875" hidden="1" customWidth="1"/>
    <col min="79" max="81" width="17.21875" bestFit="1" customWidth="1"/>
    <col min="82" max="82" width="9.5546875" hidden="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725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s="26" customFormat="1" x14ac:dyDescent="0.25">
      <c r="A2" s="17" t="s">
        <v>351</v>
      </c>
      <c r="E2" s="26">
        <f>股权价值增加表!E4</f>
        <v>93800479215</v>
      </c>
      <c r="F2" s="26">
        <f>股权价值增加表!F4</f>
        <v>69408356144</v>
      </c>
      <c r="G2" s="26">
        <f>股权价值增加表!G4</f>
        <v>44605027995</v>
      </c>
      <c r="H2" s="26">
        <f>股权价值增加表!H4</f>
        <v>21854974362</v>
      </c>
      <c r="I2" s="26">
        <f>股权价值增加表!I4</f>
        <v>68895658963</v>
      </c>
      <c r="J2" s="26">
        <f>股权价值增加表!J4</f>
        <v>45841905735</v>
      </c>
      <c r="K2" s="26">
        <f>股权价值增加表!K4</f>
        <v>26448310717</v>
      </c>
      <c r="L2" s="26">
        <f>股权价值增加表!L4</f>
        <v>12297738830</v>
      </c>
      <c r="M2" s="26">
        <f>股权价值增加表!M4</f>
        <v>48623732312</v>
      </c>
      <c r="N2" s="26">
        <f>股权价值增加表!N4</f>
        <v>36420446042</v>
      </c>
      <c r="O2" s="26">
        <f>股权价值增加表!O4</f>
        <v>22970848112</v>
      </c>
      <c r="P2" s="26">
        <f>股权价值增加表!P4</f>
        <v>11582854379</v>
      </c>
      <c r="Q2" s="26">
        <f>股权价值增加表!Q4</f>
        <v>36816316676</v>
      </c>
      <c r="R2" s="26">
        <f>股权价值增加表!R4</f>
        <v>25288069384</v>
      </c>
      <c r="S2" s="26">
        <f>股权价值增加表!S4</f>
        <v>16113171584</v>
      </c>
      <c r="T2" s="26">
        <f>股权价值增加表!T4</f>
        <v>8091679315</v>
      </c>
      <c r="U2" s="26">
        <f>股权价值增加表!U4</f>
        <v>33774285620</v>
      </c>
      <c r="V2" s="26">
        <f>股权价值增加表!V4</f>
        <v>24773771714</v>
      </c>
      <c r="W2" s="26">
        <f>股权价值增加表!W4</f>
        <v>16254326067</v>
      </c>
      <c r="X2" s="26">
        <f>股权价值增加表!X4</f>
        <v>8058663697</v>
      </c>
      <c r="Y2" s="26">
        <f>股权价值增加表!Y4</f>
        <v>25771583386</v>
      </c>
      <c r="Z2" s="26">
        <f>股权价值增加表!Z4</f>
        <v>17122908001</v>
      </c>
      <c r="AA2" s="26">
        <f>股权价值增加表!AA4</f>
        <v>9608882013</v>
      </c>
      <c r="AB2" s="26">
        <f>股权价值增加表!AB4</f>
        <v>4147641280</v>
      </c>
      <c r="AC2" s="26">
        <f>股权价值增加表!AC4</f>
        <v>12741413562</v>
      </c>
      <c r="AD2" s="26">
        <f>股权价值增加表!AD4</f>
        <v>8514636554</v>
      </c>
      <c r="AE2" s="26">
        <f>股权价值增加表!AE4</f>
        <v>4940033997</v>
      </c>
      <c r="AF2" s="26">
        <f>股权价值增加表!AF4</f>
        <v>1969646222</v>
      </c>
      <c r="AG2" s="26">
        <f>股权价值增加表!AG4</f>
        <v>8025290848</v>
      </c>
      <c r="AH2" s="26">
        <f>股权价值增加表!AH4</f>
        <v>6202063899</v>
      </c>
      <c r="AI2" s="26">
        <f>股权价值增加表!AI4</f>
        <v>4186429883</v>
      </c>
      <c r="AJ2" s="26">
        <f>股权价值增加表!AJ4</f>
        <v>1893639353</v>
      </c>
      <c r="AK2" s="26">
        <f>股权价值增加表!AK4</f>
        <v>6249194126</v>
      </c>
      <c r="AL2" s="26">
        <f>股权价值增加表!AL4</f>
        <v>4344512321</v>
      </c>
      <c r="AM2" s="26">
        <f>股权价值增加表!AM4</f>
        <v>2298113686</v>
      </c>
      <c r="AN2" s="26">
        <f>股权价值增加表!AN4</f>
        <v>720895076</v>
      </c>
      <c r="AO2" s="26">
        <f>股权价值增加表!AO4</f>
        <v>8334015771</v>
      </c>
      <c r="AP2" s="26">
        <f>股权价值增加表!AP4</f>
        <v>7271976208</v>
      </c>
      <c r="AQ2" s="26">
        <f>股权价值增加表!AQ4</f>
        <v>5505901872</v>
      </c>
      <c r="AR2" s="26">
        <f>股权价值增加表!AR4</f>
        <v>2936720597</v>
      </c>
      <c r="AS2" s="26">
        <f>股权价值增加表!AS4</f>
        <v>11170448855</v>
      </c>
      <c r="AT2" s="26">
        <f>股权价值增加表!AT4</f>
        <v>7926095410</v>
      </c>
      <c r="AU2" s="26">
        <f>股权价值增加表!AU4</f>
        <v>4689192282</v>
      </c>
      <c r="AV2" s="26">
        <f>股权价值增加表!AV4</f>
        <v>2152839364</v>
      </c>
      <c r="AW2" s="26">
        <f>股权价值增加表!AW4</f>
        <v>8781394325</v>
      </c>
      <c r="AX2" s="26">
        <f>股权价值增加表!AX4</f>
        <v>6660072468</v>
      </c>
      <c r="AY2" s="26">
        <f>股权价值增加表!AY4</f>
        <v>4291008928</v>
      </c>
      <c r="AZ2" s="26">
        <f>股权价值增加表!AZ4</f>
        <v>2404770586</v>
      </c>
      <c r="BA2" s="26">
        <f>股权价值增加表!BA4</f>
        <v>13461793093</v>
      </c>
      <c r="BB2" s="26">
        <f>股权价值增加表!BB4</f>
        <v>8547810470</v>
      </c>
      <c r="BC2" s="26">
        <f>股权价值增加表!BC4</f>
        <v>4321710751</v>
      </c>
      <c r="BD2" s="26">
        <f>股权价值增加表!BD4</f>
        <v>2081864602</v>
      </c>
      <c r="BE2" s="26">
        <f>股权价值增加表!BE4</f>
        <v>12441707566</v>
      </c>
      <c r="BF2" s="26">
        <f>股权价值增加表!BF4</f>
        <v>9310845738</v>
      </c>
      <c r="BG2" s="26">
        <f>股权价值增加表!BG4</f>
        <v>6234212244.3900003</v>
      </c>
      <c r="BH2" s="26">
        <f>股权价值增加表!BH4</f>
        <v>3694043772.3099999</v>
      </c>
      <c r="BI2" s="26">
        <f>股权价值增加表!BI4</f>
        <v>11180106328</v>
      </c>
      <c r="BJ2" s="26">
        <f>股权价值增加表!BJ4</f>
        <v>7650456631.9200001</v>
      </c>
      <c r="BK2" s="26">
        <f>股权价值增加表!BK4</f>
        <v>4697949372.4700003</v>
      </c>
      <c r="BL2" s="26">
        <f>股权价值增加表!BL4</f>
        <v>2253527850.46</v>
      </c>
      <c r="BM2" s="26">
        <f>股权价值增加表!BM4</f>
        <v>4782587489</v>
      </c>
      <c r="BN2" s="26">
        <f>股权价值增加表!BN4</f>
        <v>3419585621.9699998</v>
      </c>
      <c r="BO2" s="26">
        <f>股权价值增加表!BO4</f>
        <v>2012328199.5899999</v>
      </c>
      <c r="BP2" s="26">
        <f>股权价值增加表!BP4</f>
        <v>1039368764.79</v>
      </c>
      <c r="BQ2" s="26">
        <f>股权价值增加表!BQ4</f>
        <v>2669543128</v>
      </c>
      <c r="BR2" s="26">
        <f>股权价值增加表!BR4</f>
        <v>1276281504.5799999</v>
      </c>
      <c r="BS2" s="26">
        <f>股权价值增加表!BS4</f>
        <v>2234822478</v>
      </c>
      <c r="BT2" s="26">
        <f>股权价值增加表!BT4</f>
        <v>993215204</v>
      </c>
      <c r="BU2" s="26">
        <f>股权价值增加表!BU4</f>
        <v>741886971</v>
      </c>
      <c r="BV2" s="26">
        <f>股权价值增加表!BV4</f>
        <v>200737099.93000001</v>
      </c>
      <c r="BW2" s="26">
        <f>股权价值增加表!BW4</f>
        <v>237497000</v>
      </c>
      <c r="BX2" s="26">
        <f>股权价值增加表!BX4</f>
        <v>105801107.16</v>
      </c>
      <c r="BY2" s="26">
        <f>股权价值增加表!BY4</f>
        <v>275100000</v>
      </c>
      <c r="BZ2" s="26">
        <f>股权价值增加表!BZ4</f>
        <v>111102000</v>
      </c>
      <c r="CA2" s="26">
        <f>股权价值增加表!CA4</f>
        <v>191165000</v>
      </c>
      <c r="CB2" s="26">
        <f>股权价值增加表!CB4</f>
        <v>183819000</v>
      </c>
      <c r="CC2" s="26">
        <f>股权价值增加表!CC4</f>
        <v>134792000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0.36148605916339349</v>
      </c>
      <c r="F3" s="66">
        <f t="shared" ref="F3:BQ3" si="0">(F2-J2)/J2</f>
        <v>0.51408094910432933</v>
      </c>
      <c r="G3" s="66">
        <f t="shared" si="0"/>
        <v>0.68649818403447338</v>
      </c>
      <c r="H3" s="66">
        <f t="shared" si="0"/>
        <v>0.77715388691499798</v>
      </c>
      <c r="I3" s="66">
        <f t="shared" si="0"/>
        <v>0.41691424510407293</v>
      </c>
      <c r="J3" s="66">
        <f t="shared" si="0"/>
        <v>0.25868600516685569</v>
      </c>
      <c r="K3" s="66">
        <f t="shared" si="0"/>
        <v>0.15138590390937151</v>
      </c>
      <c r="L3" s="66">
        <f t="shared" si="0"/>
        <v>6.1719195252605705E-2</v>
      </c>
      <c r="M3" s="66">
        <f t="shared" si="0"/>
        <v>0.32071148615736117</v>
      </c>
      <c r="N3" s="66">
        <f t="shared" si="0"/>
        <v>0.44022248155660154</v>
      </c>
      <c r="O3" s="66">
        <f t="shared" si="0"/>
        <v>0.425594458064948</v>
      </c>
      <c r="P3" s="66">
        <f t="shared" si="0"/>
        <v>0.43145247458438113</v>
      </c>
      <c r="Q3" s="66">
        <f t="shared" si="0"/>
        <v>9.0069441889204932E-2</v>
      </c>
      <c r="R3" s="66">
        <f t="shared" si="0"/>
        <v>2.0759764638880695E-2</v>
      </c>
      <c r="S3" s="66">
        <f t="shared" si="0"/>
        <v>-8.6841178415004161E-3</v>
      </c>
      <c r="T3" s="66">
        <f t="shared" si="0"/>
        <v>4.0969097658574245E-3</v>
      </c>
      <c r="U3" s="66">
        <f t="shared" si="0"/>
        <v>0.3105242745134294</v>
      </c>
      <c r="V3" s="66">
        <f t="shared" si="0"/>
        <v>0.44682034807131943</v>
      </c>
      <c r="W3" s="66">
        <f t="shared" si="0"/>
        <v>0.691593886261615</v>
      </c>
      <c r="X3" s="66">
        <f t="shared" si="0"/>
        <v>0.94295098176860659</v>
      </c>
      <c r="Y3" s="66">
        <f t="shared" si="0"/>
        <v>1.0226628121436374</v>
      </c>
      <c r="Z3" s="66">
        <f t="shared" si="0"/>
        <v>1.0109969336220244</v>
      </c>
      <c r="AA3" s="66">
        <f t="shared" si="0"/>
        <v>0.94510443021957202</v>
      </c>
      <c r="AB3" s="66">
        <f t="shared" si="0"/>
        <v>1.1057798266880843</v>
      </c>
      <c r="AC3" s="66">
        <f t="shared" si="0"/>
        <v>0.58765754454560548</v>
      </c>
      <c r="AD3" s="66">
        <f t="shared" si="0"/>
        <v>0.37287146547665712</v>
      </c>
      <c r="AE3" s="66">
        <f t="shared" si="0"/>
        <v>0.1800111634641702</v>
      </c>
      <c r="AF3" s="66">
        <f t="shared" si="0"/>
        <v>4.0137985556534854E-2</v>
      </c>
      <c r="AG3" s="66">
        <f t="shared" si="0"/>
        <v>0.28421212178550909</v>
      </c>
      <c r="AH3" s="66">
        <f t="shared" si="0"/>
        <v>0.42756273679353662</v>
      </c>
      <c r="AI3" s="66">
        <f t="shared" si="0"/>
        <v>0.82168093271605014</v>
      </c>
      <c r="AJ3" s="66">
        <f t="shared" si="0"/>
        <v>1.6267891348449159</v>
      </c>
      <c r="AK3" s="66">
        <f t="shared" si="0"/>
        <v>-0.25015811132186544</v>
      </c>
      <c r="AL3" s="66">
        <f t="shared" si="0"/>
        <v>-0.40256785820881225</v>
      </c>
      <c r="AM3" s="66">
        <f t="shared" si="0"/>
        <v>-0.58260903673439102</v>
      </c>
      <c r="AN3" s="66">
        <f t="shared" si="0"/>
        <v>-0.75452377841581908</v>
      </c>
      <c r="AO3" s="66">
        <f t="shared" si="0"/>
        <v>-0.25392292832802199</v>
      </c>
      <c r="AP3" s="66">
        <f t="shared" si="0"/>
        <v>-8.2527293473496049E-2</v>
      </c>
      <c r="AQ3" s="66">
        <f t="shared" si="0"/>
        <v>0.17416850085995259</v>
      </c>
      <c r="AR3" s="66">
        <f t="shared" si="0"/>
        <v>0.36411505944574507</v>
      </c>
      <c r="AS3" s="66">
        <f t="shared" si="0"/>
        <v>0.27205867787972271</v>
      </c>
      <c r="AT3" s="66">
        <f t="shared" si="0"/>
        <v>0.19009146643417574</v>
      </c>
      <c r="AU3" s="66">
        <f t="shared" si="0"/>
        <v>9.2794809025389197E-2</v>
      </c>
      <c r="AV3" s="66">
        <f t="shared" si="0"/>
        <v>-0.1047631002585791</v>
      </c>
      <c r="AW3" s="66">
        <f t="shared" si="0"/>
        <v>-0.3476801890851941</v>
      </c>
      <c r="AX3" s="66">
        <f t="shared" si="0"/>
        <v>-0.22084462548922193</v>
      </c>
      <c r="AY3" s="66">
        <f t="shared" si="0"/>
        <v>-7.1040902015239941E-3</v>
      </c>
      <c r="AZ3" s="66">
        <f t="shared" si="0"/>
        <v>0.15510421940494667</v>
      </c>
      <c r="BA3" s="66">
        <f t="shared" si="0"/>
        <v>8.198919011628536E-2</v>
      </c>
      <c r="BB3" s="66">
        <f t="shared" si="0"/>
        <v>-8.1951230798063088E-2</v>
      </c>
      <c r="BC3" s="66">
        <f t="shared" si="0"/>
        <v>-0.30677516555696493</v>
      </c>
      <c r="BD3" s="66">
        <f t="shared" si="0"/>
        <v>-0.43642665590339075</v>
      </c>
      <c r="BE3" s="66">
        <f t="shared" si="0"/>
        <v>0.11284340246750468</v>
      </c>
      <c r="BF3" s="66">
        <f t="shared" si="0"/>
        <v>0.21703137289248312</v>
      </c>
      <c r="BG3" s="66">
        <f t="shared" si="0"/>
        <v>0.32700711525809661</v>
      </c>
      <c r="BH3" s="66">
        <f t="shared" si="0"/>
        <v>0.63922703309655371</v>
      </c>
      <c r="BI3" s="66">
        <f t="shared" si="0"/>
        <v>1.3376689613549901</v>
      </c>
      <c r="BJ3" s="66">
        <f t="shared" si="0"/>
        <v>1.2372466952626338</v>
      </c>
      <c r="BK3" s="66">
        <f t="shared" si="0"/>
        <v>1.3345840770045263</v>
      </c>
      <c r="BL3" s="66">
        <f t="shared" si="0"/>
        <v>1.1681696879887629</v>
      </c>
      <c r="BM3" s="66">
        <f t="shared" si="0"/>
        <v>0.79153782489480728</v>
      </c>
      <c r="BN3" s="66">
        <f t="shared" si="0"/>
        <v>1.6793349348859528</v>
      </c>
      <c r="BO3" s="66">
        <f t="shared" si="0"/>
        <v>-9.9557920416621162E-2</v>
      </c>
      <c r="BP3" s="66">
        <f t="shared" si="0"/>
        <v>4.6468842406081373E-2</v>
      </c>
      <c r="BQ3" s="66">
        <f t="shared" si="0"/>
        <v>2.5983151508937876</v>
      </c>
      <c r="BR3" s="66">
        <f t="shared" ref="BR3:CJ3" si="1">(BR2-BV2)/BV2</f>
        <v>5.3579752074980567</v>
      </c>
      <c r="BS3" s="66">
        <f t="shared" si="1"/>
        <v>8.4098977166027353</v>
      </c>
      <c r="BT3" s="66">
        <f t="shared" si="1"/>
        <v>8.3875690969659615</v>
      </c>
      <c r="BU3" s="66">
        <f t="shared" si="1"/>
        <v>1.6967901526717557</v>
      </c>
      <c r="BV3" s="66">
        <f t="shared" si="1"/>
        <v>0.80678205549855098</v>
      </c>
      <c r="BW3" s="66">
        <f t="shared" si="1"/>
        <v>0.24236654199251956</v>
      </c>
      <c r="BX3" s="66">
        <f t="shared" si="1"/>
        <v>-0.42442779495046762</v>
      </c>
      <c r="BY3" s="66">
        <f t="shared" si="1"/>
        <v>1.0409223099293727</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70282477585</v>
      </c>
      <c r="F4" s="26">
        <f>股权价值增加表!F5</f>
        <v>51275396814</v>
      </c>
      <c r="G4" s="26">
        <f>股权价值增加表!G5</f>
        <v>32235266589</v>
      </c>
      <c r="H4" s="26">
        <f>股权价值增加表!H5</f>
        <v>15597540474</v>
      </c>
      <c r="I4" s="26">
        <f>股权价值增加表!I5</f>
        <v>56585696091</v>
      </c>
      <c r="J4" s="26">
        <f>股权价值增加表!J5</f>
        <v>39817142861</v>
      </c>
      <c r="K4" s="26">
        <f>股权价值增加表!K5</f>
        <v>23987091158</v>
      </c>
      <c r="L4" s="26">
        <f>股权价值增加表!L5</f>
        <v>11522931968</v>
      </c>
      <c r="M4" s="26">
        <f>股权价值增加表!M5</f>
        <v>38755090666</v>
      </c>
      <c r="N4" s="26">
        <f>股权价值增加表!N5</f>
        <v>28386284793</v>
      </c>
      <c r="O4" s="26">
        <f>股权价值增加表!O5</f>
        <v>17509610448</v>
      </c>
      <c r="P4" s="26">
        <f>股权价值增加表!P5</f>
        <v>8699864739</v>
      </c>
      <c r="Q4" s="26">
        <f>股权价值增加表!Q5</f>
        <v>28504880729</v>
      </c>
      <c r="R4" s="26">
        <f>股权价值增加表!R5</f>
        <v>19643200578</v>
      </c>
      <c r="S4" s="26">
        <f>股权价值增加表!S5</f>
        <v>12630118473</v>
      </c>
      <c r="T4" s="26">
        <f>股权价值增加表!T5</f>
        <v>6483118788</v>
      </c>
      <c r="U4" s="26">
        <f>股权价值增加表!U5</f>
        <v>25703823432</v>
      </c>
      <c r="V4" s="26">
        <f>股权价值增加表!V5</f>
        <v>18776181716</v>
      </c>
      <c r="W4" s="26">
        <f>股权价值增加表!W5</f>
        <v>12461334555</v>
      </c>
      <c r="X4" s="26">
        <f>股权价值增加表!X5</f>
        <v>6359705018</v>
      </c>
      <c r="Y4" s="26">
        <f>股权价值增加表!Y5</f>
        <v>22790332463</v>
      </c>
      <c r="Z4" s="26">
        <f>股权价值增加表!Z5</f>
        <v>16258480034</v>
      </c>
      <c r="AA4" s="26">
        <f>股权价值增加表!AA5</f>
        <v>9502396703</v>
      </c>
      <c r="AB4" s="26">
        <f>股权价值增加表!AB5</f>
        <v>4187777170</v>
      </c>
      <c r="AC4" s="26">
        <f>股权价值增加表!AC5</f>
        <v>13441228862</v>
      </c>
      <c r="AD4" s="26">
        <f>股权价值增加表!AD5</f>
        <v>9278104413</v>
      </c>
      <c r="AE4" s="26">
        <f>股权价值增加表!AE5</f>
        <v>5344717781</v>
      </c>
      <c r="AF4" s="26">
        <f>股权价值增加表!AF5</f>
        <v>2225369739</v>
      </c>
      <c r="AG4" s="26">
        <f>股权价值增加表!AG5</f>
        <v>8288153030</v>
      </c>
      <c r="AH4" s="26">
        <f>股权价值增加表!AH5</f>
        <v>6250732367</v>
      </c>
      <c r="AI4" s="26">
        <f>股权价值增加表!AI5</f>
        <v>4125238491</v>
      </c>
      <c r="AJ4" s="26">
        <f>股权价值增加表!AJ5</f>
        <v>1879557273</v>
      </c>
      <c r="AK4" s="26">
        <f>股权价值增加表!AK5</f>
        <v>6276649382</v>
      </c>
      <c r="AL4" s="26">
        <f>股权价值增加表!AL5</f>
        <v>4483096549</v>
      </c>
      <c r="AM4" s="26">
        <f>股权价值增加表!AM5</f>
        <v>2596443022</v>
      </c>
      <c r="AN4" s="26">
        <f>股权价值增加表!AN5</f>
        <v>864438099</v>
      </c>
      <c r="AO4" s="26">
        <f>股权价值增加表!AO5</f>
        <v>7681521839</v>
      </c>
      <c r="AP4" s="26">
        <f>股权价值增加表!AP5</f>
        <v>6334419307</v>
      </c>
      <c r="AQ4" s="26">
        <f>股权价值增加表!AQ5</f>
        <v>4461221959</v>
      </c>
      <c r="AR4" s="26">
        <f>股权价值增加表!AR5</f>
        <v>2340069636</v>
      </c>
      <c r="AS4" s="26">
        <f>股权价值增加表!AS5</f>
        <v>9263870340</v>
      </c>
      <c r="AT4" s="26">
        <f>股权价值增加表!AT5</f>
        <v>7055169892</v>
      </c>
      <c r="AU4" s="26">
        <f>股权价值增加表!AU5</f>
        <v>4559930634</v>
      </c>
      <c r="AV4" s="26">
        <f>股权价值增加表!AV5</f>
        <v>2298574208</v>
      </c>
      <c r="AW4" s="26">
        <f>股权价值增加表!AW5</f>
        <v>9958263062</v>
      </c>
      <c r="AX4" s="26">
        <f>股权价值增加表!AX5</f>
        <v>7987072496</v>
      </c>
      <c r="AY4" s="26">
        <f>股权价值增加表!AY5</f>
        <v>5046171459</v>
      </c>
      <c r="AZ4" s="26">
        <f>股权价值增加表!AZ5</f>
        <v>2562019366</v>
      </c>
      <c r="BA4" s="26">
        <f>股权价值增加表!BA5</f>
        <v>13250486579</v>
      </c>
      <c r="BB4" s="26">
        <f>股权价值增加表!BB5</f>
        <v>8754813390</v>
      </c>
      <c r="BC4" s="26">
        <f>股权价值增加表!BC5</f>
        <v>4592833526</v>
      </c>
      <c r="BD4" s="26">
        <f>股权价值增加表!BD5</f>
        <v>2296752692</v>
      </c>
      <c r="BE4" s="26">
        <f>股权价值增加表!BE5</f>
        <v>11151104716</v>
      </c>
      <c r="BF4" s="26">
        <f>股权价值增加表!BF5</f>
        <v>8095466503.5600004</v>
      </c>
      <c r="BG4" s="26">
        <f>股权价值增加表!BG5</f>
        <v>5164393136.5600004</v>
      </c>
      <c r="BH4" s="26">
        <f>股权价值增加表!BH5</f>
        <v>3158979241.0700002</v>
      </c>
      <c r="BI4" s="26">
        <f>股权价值增加表!BI5</f>
        <v>9445961407</v>
      </c>
      <c r="BJ4" s="26">
        <f>股权价值增加表!BJ5</f>
        <v>6456890472.2799997</v>
      </c>
      <c r="BK4" s="26">
        <f>股权价值增加表!BK5</f>
        <v>3928513999.0300002</v>
      </c>
      <c r="BL4" s="26">
        <f>股权价值增加表!BL5</f>
        <v>1876042908.7</v>
      </c>
      <c r="BM4" s="26">
        <f>股权价值增加表!BM5</f>
        <v>4141952515</v>
      </c>
      <c r="BN4" s="26">
        <f>股权价值增加表!BN5</f>
        <v>2916862326.29</v>
      </c>
      <c r="BO4" s="26">
        <f>股权价值增加表!BO5</f>
        <v>1700945401.3199999</v>
      </c>
      <c r="BP4" s="26">
        <f>股权价值增加表!BP5</f>
        <v>873828706.37</v>
      </c>
      <c r="BQ4" s="26">
        <f>股权价值增加表!BQ5</f>
        <v>2343508878</v>
      </c>
      <c r="BR4" s="26">
        <f>股权价值增加表!BR5</f>
        <v>1111152298.53</v>
      </c>
      <c r="BS4" s="26">
        <f>股权价值增加表!BS5</f>
        <v>1972761161</v>
      </c>
      <c r="BT4" s="26">
        <f>股权价值增加表!BT5</f>
        <v>878889537</v>
      </c>
      <c r="BU4" s="26">
        <f>股权价值增加表!BU5</f>
        <v>597255179</v>
      </c>
      <c r="BV4" s="26">
        <f>股权价值增加表!BV5</f>
        <v>148145536.46000001</v>
      </c>
      <c r="BW4" s="26">
        <f>股权价值增加表!BW5</f>
        <v>180067000</v>
      </c>
      <c r="BX4" s="26">
        <f>股权价值增加表!BX5</f>
        <v>76726659.079999998</v>
      </c>
      <c r="BY4" s="26">
        <f>股权价值增加表!BY5</f>
        <v>185375000</v>
      </c>
      <c r="BZ4" s="26">
        <f>股权价值增加表!BZ5</f>
        <v>0</v>
      </c>
      <c r="CA4" s="26">
        <f>股权价值增加表!CA5</f>
        <v>124991000</v>
      </c>
      <c r="CB4" s="26">
        <f>股权价值增加表!CB5</f>
        <v>125252000</v>
      </c>
      <c r="CC4" s="26">
        <f>股权价值增加表!CC5</f>
        <v>96360000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0.74927631685021134</v>
      </c>
      <c r="F5" s="66">
        <f t="shared" si="2"/>
        <v>0.73874962126491017</v>
      </c>
      <c r="G5" s="66">
        <f t="shared" si="2"/>
        <v>0.72268235304354955</v>
      </c>
      <c r="H5" s="66">
        <f t="shared" si="2"/>
        <v>0.71368376899677277</v>
      </c>
      <c r="I5" s="66">
        <f t="shared" si="2"/>
        <v>0.82132454994572313</v>
      </c>
      <c r="J5" s="66">
        <f t="shared" si="2"/>
        <v>0.86857520913664521</v>
      </c>
      <c r="K5" s="66">
        <f t="shared" si="2"/>
        <v>0.90694227751120537</v>
      </c>
      <c r="L5" s="66">
        <f t="shared" si="2"/>
        <v>0.93699598985547816</v>
      </c>
      <c r="M5" s="66">
        <f t="shared" si="2"/>
        <v>0.79704063886587972</v>
      </c>
      <c r="N5" s="66">
        <f t="shared" si="2"/>
        <v>0.77940519345273751</v>
      </c>
      <c r="O5" s="66">
        <f t="shared" si="2"/>
        <v>0.76225354687069469</v>
      </c>
      <c r="P5" s="66">
        <f t="shared" si="2"/>
        <v>0.75109851633575475</v>
      </c>
      <c r="Q5" s="66">
        <f t="shared" si="2"/>
        <v>0.7742458589721416</v>
      </c>
      <c r="R5" s="66">
        <f t="shared" si="2"/>
        <v>0.77677739173036431</v>
      </c>
      <c r="S5" s="66">
        <f t="shared" si="2"/>
        <v>0.78383814180576405</v>
      </c>
      <c r="T5" s="66">
        <f t="shared" si="2"/>
        <v>0.80120807259154214</v>
      </c>
      <c r="U5" s="66">
        <f t="shared" si="2"/>
        <v>0.7610471386781622</v>
      </c>
      <c r="V5" s="66">
        <f t="shared" si="2"/>
        <v>0.75790565654519704</v>
      </c>
      <c r="W5" s="66">
        <f t="shared" si="2"/>
        <v>0.76664726077443224</v>
      </c>
      <c r="X5" s="66">
        <f t="shared" si="2"/>
        <v>0.78917612858910202</v>
      </c>
      <c r="Y5" s="66">
        <f t="shared" si="2"/>
        <v>0.88432022672617328</v>
      </c>
      <c r="Z5" s="66">
        <f t="shared" si="2"/>
        <v>0.94951628736488469</v>
      </c>
      <c r="AA5" s="66">
        <f t="shared" si="2"/>
        <v>0.98891803335123329</v>
      </c>
      <c r="AB5" s="66">
        <f t="shared" si="2"/>
        <v>1.0096767987611504</v>
      </c>
      <c r="AC5" s="66">
        <f t="shared" si="2"/>
        <v>1.0549244631762937</v>
      </c>
      <c r="AD5" s="66">
        <f t="shared" si="2"/>
        <v>1.0896653490913055</v>
      </c>
      <c r="AE5" s="66">
        <f t="shared" si="2"/>
        <v>1.0819192305651657</v>
      </c>
      <c r="AF5" s="66">
        <f t="shared" si="2"/>
        <v>1.129832207501881</v>
      </c>
      <c r="AG5" s="66">
        <f t="shared" si="2"/>
        <v>1.0327542249843205</v>
      </c>
      <c r="AH5" s="66">
        <f t="shared" si="2"/>
        <v>1.0078471406926084</v>
      </c>
      <c r="AI5" s="66">
        <f t="shared" si="2"/>
        <v>0.98538339499044703</v>
      </c>
      <c r="AJ5" s="66">
        <f t="shared" si="2"/>
        <v>0.99256348365506319</v>
      </c>
      <c r="AK5" s="66">
        <f t="shared" ref="AK5:BP5" si="3">AK4/AK2</f>
        <v>1.004393407445253</v>
      </c>
      <c r="AL5" s="66">
        <f t="shared" si="3"/>
        <v>1.0318986845382225</v>
      </c>
      <c r="AM5" s="66">
        <f t="shared" si="3"/>
        <v>1.1298148728748314</v>
      </c>
      <c r="AN5" s="66">
        <f t="shared" si="3"/>
        <v>1.1991177742487451</v>
      </c>
      <c r="AO5" s="66">
        <f t="shared" si="3"/>
        <v>0.92170713975962304</v>
      </c>
      <c r="AP5" s="66">
        <f t="shared" si="3"/>
        <v>0.87107261160060168</v>
      </c>
      <c r="AQ5" s="66">
        <f t="shared" si="3"/>
        <v>0.81026179955863908</v>
      </c>
      <c r="AR5" s="66">
        <f t="shared" si="3"/>
        <v>0.79683087263748975</v>
      </c>
      <c r="AS5" s="66">
        <f t="shared" si="3"/>
        <v>0.82931943561546351</v>
      </c>
      <c r="AT5" s="66">
        <f t="shared" si="3"/>
        <v>0.89011922353329331</v>
      </c>
      <c r="AU5" s="66">
        <f t="shared" si="3"/>
        <v>0.97243413359350062</v>
      </c>
      <c r="AV5" s="66">
        <f t="shared" si="3"/>
        <v>1.0676942490168997</v>
      </c>
      <c r="AW5" s="66">
        <f t="shared" si="3"/>
        <v>1.1340184364172714</v>
      </c>
      <c r="AX5" s="66">
        <f t="shared" si="3"/>
        <v>1.1992470854297617</v>
      </c>
      <c r="AY5" s="66">
        <f t="shared" si="3"/>
        <v>1.1759871731033602</v>
      </c>
      <c r="AZ5" s="66">
        <f t="shared" si="3"/>
        <v>1.0653903457217353</v>
      </c>
      <c r="BA5" s="66">
        <f t="shared" si="3"/>
        <v>0.98430324158600557</v>
      </c>
      <c r="BB5" s="66">
        <f t="shared" si="3"/>
        <v>1.0242170694736987</v>
      </c>
      <c r="BC5" s="66">
        <f t="shared" si="3"/>
        <v>1.0627350580871857</v>
      </c>
      <c r="BD5" s="66">
        <f t="shared" si="3"/>
        <v>1.1032190517066105</v>
      </c>
      <c r="BE5" s="66">
        <f t="shared" si="3"/>
        <v>0.89626802887355372</v>
      </c>
      <c r="BF5" s="66">
        <f t="shared" si="3"/>
        <v>0.86946629031993106</v>
      </c>
      <c r="BG5" s="66">
        <f t="shared" si="3"/>
        <v>0.82839546266768482</v>
      </c>
      <c r="BH5" s="66">
        <f t="shared" si="3"/>
        <v>0.85515479398193284</v>
      </c>
      <c r="BI5" s="66">
        <f t="shared" si="3"/>
        <v>0.84489012267647912</v>
      </c>
      <c r="BJ5" s="66">
        <f t="shared" si="3"/>
        <v>0.84398759223598707</v>
      </c>
      <c r="BK5" s="66">
        <f t="shared" si="3"/>
        <v>0.83621888776645958</v>
      </c>
      <c r="BL5" s="66">
        <f t="shared" si="3"/>
        <v>0.83249155687916343</v>
      </c>
      <c r="BM5" s="66">
        <f t="shared" si="3"/>
        <v>0.86604845693393651</v>
      </c>
      <c r="BN5" s="66">
        <f t="shared" si="3"/>
        <v>0.85298707175216615</v>
      </c>
      <c r="BO5" s="66">
        <f t="shared" si="3"/>
        <v>0.84526241875781372</v>
      </c>
      <c r="BP5" s="66">
        <f t="shared" si="3"/>
        <v>0.84073019699274243</v>
      </c>
      <c r="BQ5" s="66">
        <f t="shared" ref="BQ5:CK5" si="4">BQ4/BQ2</f>
        <v>0.87786889577458815</v>
      </c>
      <c r="BR5" s="66">
        <f t="shared" si="4"/>
        <v>0.87061694034002257</v>
      </c>
      <c r="BS5" s="66">
        <f t="shared" si="4"/>
        <v>0.88273730035392994</v>
      </c>
      <c r="BT5" s="66">
        <f t="shared" si="4"/>
        <v>0.88489335791520973</v>
      </c>
      <c r="BU5" s="66">
        <f t="shared" si="4"/>
        <v>0.80504875047873026</v>
      </c>
      <c r="BV5" s="66">
        <f t="shared" si="4"/>
        <v>0.73800775497733373</v>
      </c>
      <c r="BW5" s="66">
        <f t="shared" si="4"/>
        <v>0.75818641919687402</v>
      </c>
      <c r="BX5" s="66">
        <f t="shared" si="4"/>
        <v>0.72519712826793448</v>
      </c>
      <c r="BY5" s="66">
        <f t="shared" si="4"/>
        <v>0.6738458742275536</v>
      </c>
      <c r="BZ5" s="66">
        <f t="shared" si="4"/>
        <v>0</v>
      </c>
      <c r="CA5" s="66">
        <f t="shared" si="4"/>
        <v>0.65383830722151026</v>
      </c>
      <c r="CB5" s="66">
        <f t="shared" si="4"/>
        <v>0.68138766939217388</v>
      </c>
      <c r="CC5" s="66">
        <f t="shared" si="4"/>
        <v>0.71487922131877257</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0.2420537775478295</v>
      </c>
      <c r="F6" s="66">
        <f t="shared" ref="F6:BQ6" si="5">(F4-J4)/J4</f>
        <v>0.28777187737955712</v>
      </c>
      <c r="G6" s="66">
        <f t="shared" si="5"/>
        <v>0.34385892714836863</v>
      </c>
      <c r="H6" s="66">
        <f t="shared" si="5"/>
        <v>0.35360865770235189</v>
      </c>
      <c r="I6" s="66">
        <f t="shared" si="5"/>
        <v>0.46008421393380622</v>
      </c>
      <c r="J6" s="66">
        <f t="shared" si="5"/>
        <v>0.40268947315073883</v>
      </c>
      <c r="K6" s="66">
        <f t="shared" si="5"/>
        <v>0.36993859624900322</v>
      </c>
      <c r="L6" s="66">
        <f t="shared" si="5"/>
        <v>0.32449553110230256</v>
      </c>
      <c r="M6" s="66">
        <f t="shared" si="5"/>
        <v>0.35959490707750086</v>
      </c>
      <c r="N6" s="66">
        <f t="shared" si="5"/>
        <v>0.44509468710471162</v>
      </c>
      <c r="O6" s="66">
        <f t="shared" si="5"/>
        <v>0.38633778340489205</v>
      </c>
      <c r="P6" s="66">
        <f t="shared" si="5"/>
        <v>0.34192585752140009</v>
      </c>
      <c r="Q6" s="66">
        <f t="shared" si="5"/>
        <v>0.10897434400801326</v>
      </c>
      <c r="R6" s="66">
        <f t="shared" si="5"/>
        <v>4.6176527001822502E-2</v>
      </c>
      <c r="S6" s="66">
        <f t="shared" si="5"/>
        <v>1.3544610110180932E-2</v>
      </c>
      <c r="T6" s="66">
        <f t="shared" si="5"/>
        <v>1.9405580864316749E-2</v>
      </c>
      <c r="U6" s="66">
        <f t="shared" si="5"/>
        <v>0.12783889720477046</v>
      </c>
      <c r="V6" s="66">
        <f t="shared" si="5"/>
        <v>0.15485467748122464</v>
      </c>
      <c r="W6" s="66">
        <f t="shared" si="5"/>
        <v>0.31138858379442674</v>
      </c>
      <c r="X6" s="66">
        <f t="shared" si="5"/>
        <v>0.51863500846201904</v>
      </c>
      <c r="Y6" s="66">
        <f t="shared" si="5"/>
        <v>0.69555423071703371</v>
      </c>
      <c r="Z6" s="66">
        <f t="shared" si="5"/>
        <v>0.75234932808251853</v>
      </c>
      <c r="AA6" s="66">
        <f t="shared" si="5"/>
        <v>0.77790429586014465</v>
      </c>
      <c r="AB6" s="66">
        <f t="shared" si="5"/>
        <v>0.88183432919413851</v>
      </c>
      <c r="AC6" s="66">
        <f t="shared" si="5"/>
        <v>0.62173994777217567</v>
      </c>
      <c r="AD6" s="66">
        <f t="shared" si="5"/>
        <v>0.48432277503715432</v>
      </c>
      <c r="AE6" s="66">
        <f t="shared" si="5"/>
        <v>0.29561425179672113</v>
      </c>
      <c r="AF6" s="66">
        <f t="shared" si="5"/>
        <v>0.18398612852485288</v>
      </c>
      <c r="AG6" s="66">
        <f t="shared" si="5"/>
        <v>0.32047411374746121</v>
      </c>
      <c r="AH6" s="66">
        <f t="shared" si="5"/>
        <v>0.39428903631225365</v>
      </c>
      <c r="AI6" s="66">
        <f t="shared" si="5"/>
        <v>0.58880378119077403</v>
      </c>
      <c r="AJ6" s="66">
        <f t="shared" si="5"/>
        <v>1.1743110063916793</v>
      </c>
      <c r="AK6" s="66">
        <f t="shared" si="5"/>
        <v>-0.1828898604267836</v>
      </c>
      <c r="AL6" s="66">
        <f t="shared" si="5"/>
        <v>-0.29226400531366026</v>
      </c>
      <c r="AM6" s="66">
        <f t="shared" si="5"/>
        <v>-0.41799734560124807</v>
      </c>
      <c r="AN6" s="66">
        <f t="shared" si="5"/>
        <v>-0.63059300214773606</v>
      </c>
      <c r="AO6" s="66">
        <f t="shared" si="5"/>
        <v>-0.17080857599740543</v>
      </c>
      <c r="AP6" s="66">
        <f t="shared" si="5"/>
        <v>-0.10215921034265577</v>
      </c>
      <c r="AQ6" s="66">
        <f t="shared" si="5"/>
        <v>-2.1646968544653523E-2</v>
      </c>
      <c r="AR6" s="66">
        <f t="shared" si="5"/>
        <v>1.8052681464700401E-2</v>
      </c>
      <c r="AS6" s="66">
        <f t="shared" si="5"/>
        <v>-6.9730305142244292E-2</v>
      </c>
      <c r="AT6" s="66">
        <f t="shared" si="5"/>
        <v>-0.11667636727558257</v>
      </c>
      <c r="AU6" s="66">
        <f t="shared" si="5"/>
        <v>-9.6358363751745835E-2</v>
      </c>
      <c r="AV6" s="66">
        <f t="shared" si="5"/>
        <v>-0.10282715325891881</v>
      </c>
      <c r="AW6" s="66">
        <f t="shared" si="5"/>
        <v>-0.24846057519258744</v>
      </c>
      <c r="AX6" s="66">
        <f t="shared" si="5"/>
        <v>-8.7693576070614565E-2</v>
      </c>
      <c r="AY6" s="66">
        <f t="shared" si="5"/>
        <v>9.8705500740154634E-2</v>
      </c>
      <c r="AZ6" s="66">
        <f t="shared" si="5"/>
        <v>0.11549640277944213</v>
      </c>
      <c r="BA6" s="66">
        <f t="shared" si="5"/>
        <v>0.18826671585172478</v>
      </c>
      <c r="BB6" s="66">
        <f t="shared" si="5"/>
        <v>8.1446435007797288E-2</v>
      </c>
      <c r="BC6" s="66">
        <f t="shared" si="5"/>
        <v>-0.11067314115065918</v>
      </c>
      <c r="BD6" s="66">
        <f t="shared" si="5"/>
        <v>-0.27294467081649748</v>
      </c>
      <c r="BE6" s="66">
        <f t="shared" si="5"/>
        <v>0.18051559132312259</v>
      </c>
      <c r="BF6" s="66">
        <f t="shared" si="5"/>
        <v>0.25377169371457547</v>
      </c>
      <c r="BG6" s="66">
        <f t="shared" si="5"/>
        <v>0.31459201566677741</v>
      </c>
      <c r="BH6" s="66">
        <f t="shared" si="5"/>
        <v>0.68385233963492242</v>
      </c>
      <c r="BI6" s="66">
        <f t="shared" si="5"/>
        <v>1.2805576289905873</v>
      </c>
      <c r="BJ6" s="66">
        <f t="shared" si="5"/>
        <v>1.2136425206233896</v>
      </c>
      <c r="BK6" s="66">
        <f t="shared" si="5"/>
        <v>1.3096061731207362</v>
      </c>
      <c r="BL6" s="66">
        <f t="shared" si="5"/>
        <v>1.146922955293298</v>
      </c>
      <c r="BM6" s="66">
        <f t="shared" si="5"/>
        <v>0.76741490244953958</v>
      </c>
      <c r="BN6" s="66">
        <f t="shared" si="5"/>
        <v>1.6250787854634021</v>
      </c>
      <c r="BO6" s="66">
        <f t="shared" si="5"/>
        <v>-0.13778442370703184</v>
      </c>
      <c r="BP6" s="66">
        <f t="shared" si="5"/>
        <v>-5.7582101241922005E-3</v>
      </c>
      <c r="BQ6" s="66">
        <f t="shared" si="5"/>
        <v>2.9237983367909814</v>
      </c>
      <c r="BR6" s="66">
        <f t="shared" ref="BR6:CJ6" si="6">(BR4-BV4)/BV4</f>
        <v>6.5004102390220595</v>
      </c>
      <c r="BS6" s="66">
        <f t="shared" si="6"/>
        <v>9.9557062704437786</v>
      </c>
      <c r="BT6" s="66">
        <f t="shared" si="6"/>
        <v>10.454813066780543</v>
      </c>
      <c r="BU6" s="66">
        <f t="shared" si="6"/>
        <v>2.2218755441672284</v>
      </c>
      <c r="BV6" s="66" t="e">
        <f t="shared" si="6"/>
        <v>#DIV/0!</v>
      </c>
      <c r="BW6" s="66">
        <f t="shared" si="6"/>
        <v>0.44063972606027635</v>
      </c>
      <c r="BX6" s="66">
        <f t="shared" si="6"/>
        <v>-0.38742168524255105</v>
      </c>
      <c r="BY6" s="66">
        <f t="shared" si="6"/>
        <v>0.92377542548775426</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7" t="s">
        <v>355</v>
      </c>
      <c r="E7" s="27">
        <f>股权价值增加表!E6</f>
        <v>23518001630</v>
      </c>
      <c r="F7" s="27">
        <f>股权价值增加表!F6</f>
        <v>18132959330</v>
      </c>
      <c r="G7" s="27">
        <f>股权价值增加表!G6</f>
        <v>12369761406</v>
      </c>
      <c r="H7" s="27">
        <f>股权价值增加表!H6</f>
        <v>6257433888</v>
      </c>
      <c r="I7" s="27">
        <f>股权价值增加表!I6</f>
        <v>12309962872</v>
      </c>
      <c r="J7" s="27">
        <f>股权价值增加表!J6</f>
        <v>6024762874</v>
      </c>
      <c r="K7" s="27">
        <f>股权价值增加表!K6</f>
        <v>2461219559</v>
      </c>
      <c r="L7" s="27">
        <f>股权价值增加表!L6</f>
        <v>774806862</v>
      </c>
      <c r="M7" s="27">
        <f>股权价值增加表!M6</f>
        <v>9868641646</v>
      </c>
      <c r="N7" s="27">
        <f>股权价值增加表!N6</f>
        <v>8034161249</v>
      </c>
      <c r="O7" s="27">
        <f>股权价值增加表!O6</f>
        <v>5461237664</v>
      </c>
      <c r="P7" s="27">
        <f>股权价值增加表!P6</f>
        <v>2882989640</v>
      </c>
      <c r="Q7" s="27">
        <f>股权价值增加表!Q6</f>
        <v>8311435947</v>
      </c>
      <c r="R7" s="27">
        <f>股权价值增加表!R6</f>
        <v>5644868806</v>
      </c>
      <c r="S7" s="27">
        <f>股权价值增加表!S6</f>
        <v>3483053111</v>
      </c>
      <c r="T7" s="27">
        <f>股权价值增加表!T6</f>
        <v>1608560527</v>
      </c>
      <c r="U7" s="27">
        <f>股权价值增加表!U6</f>
        <v>8070462188</v>
      </c>
      <c r="V7" s="27">
        <f>股权价值增加表!V6</f>
        <v>5997589998</v>
      </c>
      <c r="W7" s="27">
        <f>股权价值增加表!W6</f>
        <v>3792991512</v>
      </c>
      <c r="X7" s="27">
        <f>股权价值增加表!X6</f>
        <v>1698958679</v>
      </c>
      <c r="Y7" s="27">
        <f>股权价值增加表!Y6</f>
        <v>2981250923</v>
      </c>
      <c r="Z7" s="27">
        <f>股权价值增加表!Z6</f>
        <v>864427967</v>
      </c>
      <c r="AA7" s="27">
        <f>股权价值增加表!AA6</f>
        <v>106485310</v>
      </c>
      <c r="AB7" s="27">
        <f>股权价值增加表!AB6</f>
        <v>-40135890</v>
      </c>
      <c r="AC7" s="27">
        <f>股权价值增加表!AC6</f>
        <v>-699815300</v>
      </c>
      <c r="AD7" s="27">
        <f>股权价值增加表!AD6</f>
        <v>-763467859</v>
      </c>
      <c r="AE7" s="27">
        <f>股权价值增加表!AE6</f>
        <v>-404683784</v>
      </c>
      <c r="AF7" s="27">
        <f>股权价值增加表!AF6</f>
        <v>-255723517</v>
      </c>
      <c r="AG7" s="27">
        <f>股权价值增加表!AG6</f>
        <v>-262862182</v>
      </c>
      <c r="AH7" s="27">
        <f>股权价值增加表!AH6</f>
        <v>-48668468</v>
      </c>
      <c r="AI7" s="27">
        <f>股权价值增加表!AI6</f>
        <v>61191392</v>
      </c>
      <c r="AJ7" s="27">
        <f>股权价值增加表!AJ6</f>
        <v>14082080</v>
      </c>
      <c r="AK7" s="27">
        <f>股权价值增加表!AK6</f>
        <v>-27455256</v>
      </c>
      <c r="AL7" s="27">
        <f>股权价值增加表!AL6</f>
        <v>-138584228</v>
      </c>
      <c r="AM7" s="27">
        <f>股权价值增加表!AM6</f>
        <v>-298329336</v>
      </c>
      <c r="AN7" s="27">
        <f>股权价值增加表!AN6</f>
        <v>-143543023</v>
      </c>
      <c r="AO7" s="27">
        <f>股权价值增加表!AO6</f>
        <v>652493932</v>
      </c>
      <c r="AP7" s="27">
        <f>股权价值增加表!AP6</f>
        <v>937556901</v>
      </c>
      <c r="AQ7" s="27">
        <f>股权价值增加表!AQ6</f>
        <v>1044679913</v>
      </c>
      <c r="AR7" s="27">
        <f>股权价值增加表!AR6</f>
        <v>596650961</v>
      </c>
      <c r="AS7" s="27">
        <f>股权价值增加表!AS6</f>
        <v>1906578515</v>
      </c>
      <c r="AT7" s="27">
        <f>股权价值增加表!AT6</f>
        <v>870925518</v>
      </c>
      <c r="AU7" s="27">
        <f>股权价值增加表!AU6</f>
        <v>129261648</v>
      </c>
      <c r="AV7" s="27">
        <f>股权价值增加表!AV6</f>
        <v>-145734844</v>
      </c>
      <c r="AW7" s="27">
        <f>股权价值增加表!AW6</f>
        <v>-1176868737</v>
      </c>
      <c r="AX7" s="27">
        <f>股权价值增加表!AX6</f>
        <v>-1327000028</v>
      </c>
      <c r="AY7" s="27">
        <f>股权价值增加表!AY6</f>
        <v>-755162531</v>
      </c>
      <c r="AZ7" s="27">
        <f>股权价值增加表!AZ6</f>
        <v>-157248780</v>
      </c>
      <c r="BA7" s="27">
        <f>股权价值增加表!BA6</f>
        <v>211306514</v>
      </c>
      <c r="BB7" s="27">
        <f>股权价值增加表!BB6</f>
        <v>-207002920</v>
      </c>
      <c r="BC7" s="27">
        <f>股权价值增加表!BC6</f>
        <v>-271122775</v>
      </c>
      <c r="BD7" s="27">
        <f>股权价值增加表!BD6</f>
        <v>-214888090</v>
      </c>
      <c r="BE7" s="27">
        <f>股权价值增加表!BE6</f>
        <v>1290602850</v>
      </c>
      <c r="BF7" s="27">
        <f>股权价值增加表!BF6</f>
        <v>1215379234.4399996</v>
      </c>
      <c r="BG7" s="27">
        <f>股权价值增加表!BG6</f>
        <v>1069819107.8299999</v>
      </c>
      <c r="BH7" s="27">
        <f>股权价值增加表!BH6</f>
        <v>535064531.23999977</v>
      </c>
      <c r="BI7" s="27">
        <f>股权价值增加表!BI6</f>
        <v>1734144921</v>
      </c>
      <c r="BJ7" s="27">
        <f>股权价值增加表!BJ6</f>
        <v>1193566159.6400003</v>
      </c>
      <c r="BK7" s="27">
        <f>股权价值增加表!BK6</f>
        <v>769435373.44000006</v>
      </c>
      <c r="BL7" s="27">
        <f>股权价值增加表!BL6</f>
        <v>377484941.75999999</v>
      </c>
      <c r="BM7" s="27">
        <f>股权价值增加表!BM6</f>
        <v>640634974</v>
      </c>
      <c r="BN7" s="27">
        <f>股权价值增加表!BN6</f>
        <v>502723295.67999983</v>
      </c>
      <c r="BO7" s="27">
        <f>股权价值增加表!BO6</f>
        <v>311382798.26999998</v>
      </c>
      <c r="BP7" s="27">
        <f>股权价值增加表!BP6</f>
        <v>165540058.41999996</v>
      </c>
      <c r="BQ7" s="27">
        <f>股权价值增加表!BQ6</f>
        <v>326034250</v>
      </c>
      <c r="BR7" s="27">
        <f>股权价值增加表!BR6</f>
        <v>165129206.04999995</v>
      </c>
      <c r="BS7" s="27">
        <f>股权价值增加表!BS6</f>
        <v>262061317</v>
      </c>
      <c r="BT7" s="27">
        <f>股权价值增加表!BT6</f>
        <v>114325667</v>
      </c>
      <c r="BU7" s="27">
        <f>股权价值增加表!BU6</f>
        <v>144631792</v>
      </c>
      <c r="BV7" s="27">
        <f>股权价值增加表!BV6</f>
        <v>52591563.469999999</v>
      </c>
      <c r="BW7" s="27">
        <f>股权价值增加表!BW6</f>
        <v>57430000</v>
      </c>
      <c r="BX7" s="27">
        <f>股权价值增加表!BX6</f>
        <v>29074448.079999998</v>
      </c>
      <c r="BY7" s="27">
        <f>股权价值增加表!BY6</f>
        <v>89725000</v>
      </c>
      <c r="BZ7" s="27">
        <f>股权价值增加表!BZ6</f>
        <v>111102000</v>
      </c>
      <c r="CA7" s="27">
        <f>股权价值增加表!CA6</f>
        <v>66174000</v>
      </c>
      <c r="CB7" s="27">
        <f>股权价值增加表!CB6</f>
        <v>58567000</v>
      </c>
      <c r="CC7" s="27">
        <f>股权价值增加表!CC6</f>
        <v>38432000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0.25072368314978871</v>
      </c>
      <c r="F8" s="66">
        <f t="shared" ref="F8:BQ8" si="7">F7/F2</f>
        <v>0.26125037873508983</v>
      </c>
      <c r="G8" s="66">
        <f t="shared" si="7"/>
        <v>0.2773176469564505</v>
      </c>
      <c r="H8" s="66">
        <f t="shared" si="7"/>
        <v>0.28631623100322717</v>
      </c>
      <c r="I8" s="66">
        <f t="shared" si="7"/>
        <v>0.17867545005427687</v>
      </c>
      <c r="J8" s="66">
        <f t="shared" si="7"/>
        <v>0.13142479086335479</v>
      </c>
      <c r="K8" s="66">
        <f t="shared" si="7"/>
        <v>9.3057722488794667E-2</v>
      </c>
      <c r="L8" s="66">
        <f t="shared" si="7"/>
        <v>6.3004010144521824E-2</v>
      </c>
      <c r="M8" s="66">
        <f t="shared" si="7"/>
        <v>0.20295936113412025</v>
      </c>
      <c r="N8" s="66">
        <f t="shared" si="7"/>
        <v>0.22059480654726243</v>
      </c>
      <c r="O8" s="66">
        <f t="shared" si="7"/>
        <v>0.23774645312930534</v>
      </c>
      <c r="P8" s="66">
        <f t="shared" si="7"/>
        <v>0.24890148366424525</v>
      </c>
      <c r="Q8" s="66">
        <f t="shared" si="7"/>
        <v>0.22575414102785843</v>
      </c>
      <c r="R8" s="66">
        <f t="shared" si="7"/>
        <v>0.22322260826963572</v>
      </c>
      <c r="S8" s="66">
        <f t="shared" si="7"/>
        <v>0.21616185819423595</v>
      </c>
      <c r="T8" s="66">
        <f t="shared" si="7"/>
        <v>0.19879192740845786</v>
      </c>
      <c r="U8" s="66">
        <f t="shared" si="7"/>
        <v>0.2389528613218378</v>
      </c>
      <c r="V8" s="66">
        <f t="shared" si="7"/>
        <v>0.24209434345480302</v>
      </c>
      <c r="W8" s="66">
        <f t="shared" si="7"/>
        <v>0.23335273922556779</v>
      </c>
      <c r="X8" s="66">
        <f t="shared" si="7"/>
        <v>0.21082387141089801</v>
      </c>
      <c r="Y8" s="66">
        <f t="shared" si="7"/>
        <v>0.11567977327382674</v>
      </c>
      <c r="Z8" s="66">
        <f t="shared" si="7"/>
        <v>5.0483712635115266E-2</v>
      </c>
      <c r="AA8" s="66">
        <f t="shared" si="7"/>
        <v>1.1081966648766676E-2</v>
      </c>
      <c r="AB8" s="66">
        <f t="shared" si="7"/>
        <v>-9.6767987611503375E-3</v>
      </c>
      <c r="AC8" s="66">
        <f t="shared" si="7"/>
        <v>-5.4924463176293847E-2</v>
      </c>
      <c r="AD8" s="66">
        <f t="shared" si="7"/>
        <v>-8.9665349091305441E-2</v>
      </c>
      <c r="AE8" s="66">
        <f t="shared" si="7"/>
        <v>-8.1919230565165688E-2</v>
      </c>
      <c r="AF8" s="66">
        <f t="shared" si="7"/>
        <v>-0.12983220750188101</v>
      </c>
      <c r="AG8" s="66">
        <f t="shared" si="7"/>
        <v>-3.2754224984320471E-2</v>
      </c>
      <c r="AH8" s="66">
        <f t="shared" si="7"/>
        <v>-7.8471406926083325E-3</v>
      </c>
      <c r="AI8" s="66">
        <f t="shared" si="7"/>
        <v>1.4616605009552957E-2</v>
      </c>
      <c r="AJ8" s="66">
        <f t="shared" si="7"/>
        <v>7.4365163449367751E-3</v>
      </c>
      <c r="AK8" s="66">
        <f t="shared" si="7"/>
        <v>-4.3934074452530456E-3</v>
      </c>
      <c r="AL8" s="66">
        <f t="shared" si="7"/>
        <v>-3.1898684538222533E-2</v>
      </c>
      <c r="AM8" s="66">
        <f t="shared" si="7"/>
        <v>-0.12981487287483132</v>
      </c>
      <c r="AN8" s="66">
        <f t="shared" si="7"/>
        <v>-0.19911777424874519</v>
      </c>
      <c r="AO8" s="66">
        <f t="shared" si="7"/>
        <v>7.8292860240376905E-2</v>
      </c>
      <c r="AP8" s="66">
        <f t="shared" si="7"/>
        <v>0.12892738839939835</v>
      </c>
      <c r="AQ8" s="66">
        <f t="shared" si="7"/>
        <v>0.18973820044136086</v>
      </c>
      <c r="AR8" s="66">
        <f t="shared" si="7"/>
        <v>0.20316912736251019</v>
      </c>
      <c r="AS8" s="66">
        <f t="shared" si="7"/>
        <v>0.17068056438453655</v>
      </c>
      <c r="AT8" s="66">
        <f t="shared" si="7"/>
        <v>0.1098807764667067</v>
      </c>
      <c r="AU8" s="66">
        <f t="shared" si="7"/>
        <v>2.7565866406499388E-2</v>
      </c>
      <c r="AV8" s="66">
        <f t="shared" si="7"/>
        <v>-6.7694249016899716E-2</v>
      </c>
      <c r="AW8" s="66">
        <f t="shared" si="7"/>
        <v>-0.13401843641727135</v>
      </c>
      <c r="AX8" s="66">
        <f t="shared" si="7"/>
        <v>-0.19924708542976172</v>
      </c>
      <c r="AY8" s="66">
        <f t="shared" si="7"/>
        <v>-0.17598717310336018</v>
      </c>
      <c r="AZ8" s="66">
        <f t="shared" si="7"/>
        <v>-6.5390345721735299E-2</v>
      </c>
      <c r="BA8" s="66">
        <f t="shared" si="7"/>
        <v>1.5696758413994441E-2</v>
      </c>
      <c r="BB8" s="66">
        <f t="shared" si="7"/>
        <v>-2.42170694736988E-2</v>
      </c>
      <c r="BC8" s="66">
        <f t="shared" si="7"/>
        <v>-6.2735058087185713E-2</v>
      </c>
      <c r="BD8" s="66">
        <f t="shared" si="7"/>
        <v>-0.10321905170661046</v>
      </c>
      <c r="BE8" s="66">
        <f t="shared" si="7"/>
        <v>0.10373197112644626</v>
      </c>
      <c r="BF8" s="66">
        <f t="shared" si="7"/>
        <v>0.13053370968006897</v>
      </c>
      <c r="BG8" s="66">
        <f t="shared" si="7"/>
        <v>0.17160453733231512</v>
      </c>
      <c r="BH8" s="66">
        <f t="shared" si="7"/>
        <v>0.14484520601806711</v>
      </c>
      <c r="BI8" s="66">
        <f t="shared" si="7"/>
        <v>0.15510987732352091</v>
      </c>
      <c r="BJ8" s="66">
        <f t="shared" si="7"/>
        <v>0.15601240776401298</v>
      </c>
      <c r="BK8" s="66">
        <f t="shared" si="7"/>
        <v>0.16378111223354044</v>
      </c>
      <c r="BL8" s="66">
        <f t="shared" si="7"/>
        <v>0.16750844312083657</v>
      </c>
      <c r="BM8" s="66">
        <f t="shared" si="7"/>
        <v>0.13395154306606349</v>
      </c>
      <c r="BN8" s="66">
        <f t="shared" si="7"/>
        <v>0.14701292824783385</v>
      </c>
      <c r="BO8" s="66">
        <f t="shared" si="7"/>
        <v>0.15473758124218623</v>
      </c>
      <c r="BP8" s="66">
        <f t="shared" si="7"/>
        <v>0.1592698030072576</v>
      </c>
      <c r="BQ8" s="66">
        <f t="shared" si="7"/>
        <v>0.12213110422541186</v>
      </c>
      <c r="BR8" s="66">
        <f t="shared" ref="BR8:CJ8" si="8">BR7/BR2</f>
        <v>0.12938305965997748</v>
      </c>
      <c r="BS8" s="66">
        <f t="shared" si="8"/>
        <v>0.11726269964607006</v>
      </c>
      <c r="BT8" s="66">
        <f t="shared" si="8"/>
        <v>0.11510664208479032</v>
      </c>
      <c r="BU8" s="66">
        <f t="shared" si="8"/>
        <v>0.19495124952126974</v>
      </c>
      <c r="BV8" s="66">
        <f t="shared" si="8"/>
        <v>0.26199224502266621</v>
      </c>
      <c r="BW8" s="66">
        <f t="shared" si="8"/>
        <v>0.24181358080312593</v>
      </c>
      <c r="BX8" s="66">
        <f t="shared" si="8"/>
        <v>0.27480287173206552</v>
      </c>
      <c r="BY8" s="66">
        <f t="shared" si="8"/>
        <v>0.3261541257724464</v>
      </c>
      <c r="BZ8" s="66">
        <f t="shared" si="8"/>
        <v>1</v>
      </c>
      <c r="CA8" s="66">
        <f t="shared" si="8"/>
        <v>0.34616169277848979</v>
      </c>
      <c r="CB8" s="66">
        <f t="shared" si="8"/>
        <v>0.31861233060782618</v>
      </c>
      <c r="CC8" s="66">
        <f t="shared" si="8"/>
        <v>0.28512077868122737</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0.91048517973141785</v>
      </c>
      <c r="F9" s="66">
        <f t="shared" ref="F9:BQ9" si="9">(F7-J7)/J7</f>
        <v>2.0097382601152978</v>
      </c>
      <c r="G9" s="66">
        <f t="shared" si="9"/>
        <v>4.0258666931063507</v>
      </c>
      <c r="H9" s="66">
        <f t="shared" si="9"/>
        <v>7.0761208952741566</v>
      </c>
      <c r="I9" s="66">
        <f t="shared" si="9"/>
        <v>0.24738168773100874</v>
      </c>
      <c r="J9" s="66">
        <f t="shared" si="9"/>
        <v>-0.25010680178346018</v>
      </c>
      <c r="K9" s="66">
        <f t="shared" si="9"/>
        <v>-0.54932934429421676</v>
      </c>
      <c r="L9" s="66">
        <f t="shared" si="9"/>
        <v>-0.73124882196940533</v>
      </c>
      <c r="M9" s="66">
        <f t="shared" si="9"/>
        <v>0.18735699931154146</v>
      </c>
      <c r="N9" s="66">
        <f t="shared" si="9"/>
        <v>0.42326802005750636</v>
      </c>
      <c r="O9" s="66">
        <f t="shared" si="9"/>
        <v>0.56794556096563642</v>
      </c>
      <c r="P9" s="66">
        <f t="shared" si="9"/>
        <v>0.79227924073011891</v>
      </c>
      <c r="Q9" s="66">
        <f t="shared" si="9"/>
        <v>2.9858730935918981E-2</v>
      </c>
      <c r="R9" s="66">
        <f t="shared" si="9"/>
        <v>-5.8810487565442285E-2</v>
      </c>
      <c r="S9" s="66">
        <f t="shared" si="9"/>
        <v>-8.1713444393281306E-2</v>
      </c>
      <c r="T9" s="66">
        <f t="shared" si="9"/>
        <v>-5.32079756367047E-2</v>
      </c>
      <c r="U9" s="66">
        <f t="shared" si="9"/>
        <v>1.7070724324938011</v>
      </c>
      <c r="V9" s="66">
        <f t="shared" si="9"/>
        <v>5.9382183674767663</v>
      </c>
      <c r="W9" s="66">
        <f t="shared" si="9"/>
        <v>34.619856973699001</v>
      </c>
      <c r="X9" s="66">
        <f t="shared" si="9"/>
        <v>-43.330160836099559</v>
      </c>
      <c r="Y9" s="66">
        <f t="shared" si="9"/>
        <v>-5.2600539356598803</v>
      </c>
      <c r="Z9" s="66">
        <f t="shared" si="9"/>
        <v>-2.1322388451718699</v>
      </c>
      <c r="AA9" s="66">
        <f t="shared" si="9"/>
        <v>-1.2631321397350579</v>
      </c>
      <c r="AB9" s="66">
        <f t="shared" si="9"/>
        <v>-0.84304967149345122</v>
      </c>
      <c r="AC9" s="66">
        <f t="shared" si="9"/>
        <v>1.662289777386083</v>
      </c>
      <c r="AD9" s="66">
        <f t="shared" si="9"/>
        <v>14.68711509472622</v>
      </c>
      <c r="AE9" s="66">
        <f t="shared" si="9"/>
        <v>-7.6134103306556584</v>
      </c>
      <c r="AF9" s="66">
        <f t="shared" si="9"/>
        <v>-19.159498951859383</v>
      </c>
      <c r="AG9" s="66">
        <f t="shared" si="9"/>
        <v>8.5742025497777181</v>
      </c>
      <c r="AH9" s="66">
        <f t="shared" si="9"/>
        <v>-0.64881668929887171</v>
      </c>
      <c r="AI9" s="66">
        <f t="shared" si="9"/>
        <v>-1.2051135594657041</v>
      </c>
      <c r="AJ9" s="66">
        <f t="shared" si="9"/>
        <v>-1.0981035490662614</v>
      </c>
      <c r="AK9" s="66">
        <f t="shared" si="9"/>
        <v>-1.042077411993465</v>
      </c>
      <c r="AL9" s="66">
        <f t="shared" si="9"/>
        <v>-1.1478142050388471</v>
      </c>
      <c r="AM9" s="66">
        <f t="shared" si="9"/>
        <v>-1.2855700892566124</v>
      </c>
      <c r="AN9" s="66">
        <f t="shared" si="9"/>
        <v>-1.2405812315451881</v>
      </c>
      <c r="AO9" s="66">
        <f t="shared" si="9"/>
        <v>-0.65776708020860075</v>
      </c>
      <c r="AP9" s="66">
        <f t="shared" si="9"/>
        <v>7.6506407979654578E-2</v>
      </c>
      <c r="AQ9" s="66">
        <f t="shared" si="9"/>
        <v>7.081901547472147</v>
      </c>
      <c r="AR9" s="66">
        <f t="shared" si="9"/>
        <v>-5.0940858385246566</v>
      </c>
      <c r="AS9" s="66">
        <f t="shared" si="9"/>
        <v>-2.6200434721888612</v>
      </c>
      <c r="AT9" s="66">
        <f t="shared" si="9"/>
        <v>-1.6563116048404485</v>
      </c>
      <c r="AU9" s="66">
        <f t="shared" si="9"/>
        <v>-1.1711706324052245</v>
      </c>
      <c r="AV9" s="66">
        <f t="shared" si="9"/>
        <v>-7.3221146771377171E-2</v>
      </c>
      <c r="AW9" s="66">
        <f t="shared" si="9"/>
        <v>-6.5694863102989816</v>
      </c>
      <c r="AX9" s="66">
        <f t="shared" si="9"/>
        <v>5.4105377257480232</v>
      </c>
      <c r="AY9" s="66">
        <f t="shared" si="9"/>
        <v>1.7853157338036245</v>
      </c>
      <c r="AZ9" s="66">
        <f t="shared" si="9"/>
        <v>-0.26822943049100578</v>
      </c>
      <c r="BA9" s="66">
        <f t="shared" si="9"/>
        <v>-0.83627301458384351</v>
      </c>
      <c r="BB9" s="66">
        <f t="shared" si="9"/>
        <v>-1.1703196122940005</v>
      </c>
      <c r="BC9" s="66">
        <f t="shared" si="9"/>
        <v>-1.2534286151889173</v>
      </c>
      <c r="BD9" s="66">
        <f t="shared" si="9"/>
        <v>-1.4016115392698556</v>
      </c>
      <c r="BE9" s="66">
        <f t="shared" si="9"/>
        <v>-0.25576989882958001</v>
      </c>
      <c r="BF9" s="66">
        <f t="shared" si="9"/>
        <v>1.8275547294821452E-2</v>
      </c>
      <c r="BG9" s="66">
        <f t="shared" si="9"/>
        <v>0.39039501530458753</v>
      </c>
      <c r="BH9" s="66">
        <f t="shared" si="9"/>
        <v>0.41744602776814033</v>
      </c>
      <c r="BI9" s="66">
        <f t="shared" si="9"/>
        <v>1.7069157810294635</v>
      </c>
      <c r="BJ9" s="66">
        <f t="shared" si="9"/>
        <v>1.3742010165364309</v>
      </c>
      <c r="BK9" s="66">
        <f t="shared" si="9"/>
        <v>1.4710272298755012</v>
      </c>
      <c r="BL9" s="66">
        <f t="shared" si="9"/>
        <v>1.2803238404221418</v>
      </c>
      <c r="BM9" s="66">
        <f t="shared" si="9"/>
        <v>0.96493151869780547</v>
      </c>
      <c r="BN9" s="66">
        <f t="shared" si="9"/>
        <v>2.0444238648357502</v>
      </c>
      <c r="BO9" s="66">
        <f t="shared" si="9"/>
        <v>0.18820588187000517</v>
      </c>
      <c r="BP9" s="66">
        <f t="shared" si="9"/>
        <v>0.44796932100995268</v>
      </c>
      <c r="BQ9" s="66">
        <f t="shared" si="9"/>
        <v>1.254236399145217</v>
      </c>
      <c r="BR9" s="66">
        <f t="shared" ref="BR9:CK9" si="10">(BR7-BV7)/BV7</f>
        <v>2.1398421182932736</v>
      </c>
      <c r="BS9" s="66">
        <f t="shared" si="10"/>
        <v>3.5631432526554065</v>
      </c>
      <c r="BT9" s="66">
        <f t="shared" si="10"/>
        <v>2.9321698105988605</v>
      </c>
      <c r="BU9" s="66">
        <f t="shared" si="10"/>
        <v>0.61194529952633048</v>
      </c>
      <c r="BV9" s="66">
        <f t="shared" si="10"/>
        <v>-0.5266371130132671</v>
      </c>
      <c r="BW9" s="66">
        <f t="shared" si="10"/>
        <v>-0.13213648865113187</v>
      </c>
      <c r="BX9" s="66">
        <f t="shared" si="10"/>
        <v>-0.50356944900712008</v>
      </c>
      <c r="BY9" s="66">
        <f t="shared" si="10"/>
        <v>1.3346430058284762</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7" t="s">
        <v>358</v>
      </c>
      <c r="E10" s="27">
        <f>股权价值增加表!E8</f>
        <v>708381529</v>
      </c>
      <c r="F10" s="27">
        <f>股权价值增加表!F8</f>
        <v>500036766</v>
      </c>
      <c r="G10" s="27">
        <f>股权价值增加表!G8</f>
        <v>355700992</v>
      </c>
      <c r="H10" s="27">
        <f>股权价值增加表!H8</f>
        <v>164990714</v>
      </c>
      <c r="I10" s="27">
        <f>股权价值增加表!I8</f>
        <v>459263933</v>
      </c>
      <c r="J10" s="27">
        <f>股权价值增加表!J8</f>
        <v>128940793</v>
      </c>
      <c r="K10" s="27">
        <f>股权价值增加表!K8</f>
        <v>92930181</v>
      </c>
      <c r="L10" s="27">
        <f>股权价值增加表!L8</f>
        <v>44346672</v>
      </c>
      <c r="M10" s="27">
        <f>股权价值增加表!M8</f>
        <v>275798416</v>
      </c>
      <c r="N10" s="27">
        <f>股权价值增加表!N8</f>
        <v>170970012</v>
      </c>
      <c r="O10" s="27">
        <f>股权价值增加表!O8</f>
        <v>114336421</v>
      </c>
      <c r="P10" s="27">
        <f>股权价值增加表!P8</f>
        <v>37064077</v>
      </c>
      <c r="Q10" s="27">
        <f>股权价值增加表!Q8</f>
        <v>118087384</v>
      </c>
      <c r="R10" s="27">
        <f>股权价值增加表!R8</f>
        <v>70514559</v>
      </c>
      <c r="S10" s="27">
        <f>股权价值增加表!S8</f>
        <v>37970365</v>
      </c>
      <c r="T10" s="27">
        <f>股权价值增加表!T8</f>
        <v>11732346</v>
      </c>
      <c r="U10" s="27">
        <f>股权价值增加表!U8</f>
        <v>183485959</v>
      </c>
      <c r="V10" s="27">
        <f>股权价值增加表!V8</f>
        <v>93873199</v>
      </c>
      <c r="W10" s="27">
        <f>股权价值增加表!W8</f>
        <v>65939290</v>
      </c>
      <c r="X10" s="27">
        <f>股权价值增加表!X8</f>
        <v>16345710</v>
      </c>
      <c r="Y10" s="27">
        <f>股权价值增加表!Y8</f>
        <v>93799557</v>
      </c>
      <c r="Z10" s="27">
        <f>股权价值增加表!Z8</f>
        <v>23800903</v>
      </c>
      <c r="AA10" s="27">
        <f>股权价值增加表!AA8</f>
        <v>15264131</v>
      </c>
      <c r="AB10" s="27">
        <f>股权价值增加表!AB8</f>
        <v>7702861</v>
      </c>
      <c r="AC10" s="27">
        <f>股权价值增加表!AC8</f>
        <v>29565342</v>
      </c>
      <c r="AD10" s="27">
        <f>股权价值增加表!AD8</f>
        <v>17587636</v>
      </c>
      <c r="AE10" s="27">
        <f>股权价值增加表!AE8</f>
        <v>10971045</v>
      </c>
      <c r="AF10" s="27">
        <f>股权价值增加表!AF8</f>
        <v>4430424</v>
      </c>
      <c r="AG10" s="27">
        <f>股权价值增加表!AG8</f>
        <v>20192402</v>
      </c>
      <c r="AH10" s="27">
        <f>股权价值增加表!AH8</f>
        <v>13582943</v>
      </c>
      <c r="AI10" s="27">
        <f>股权价值增加表!AI8</f>
        <v>9167917</v>
      </c>
      <c r="AJ10" s="27">
        <f>股权价值增加表!AJ8</f>
        <v>4100445</v>
      </c>
      <c r="AK10" s="27">
        <f>股权价值增加表!AK8</f>
        <v>16062625</v>
      </c>
      <c r="AL10" s="27">
        <f>股权价值增加表!AL8</f>
        <v>11942628</v>
      </c>
      <c r="AM10" s="27">
        <f>股权价值增加表!AM8</f>
        <v>7330781</v>
      </c>
      <c r="AN10" s="27">
        <f>股权价值增加表!AN8</f>
        <v>3704183</v>
      </c>
      <c r="AO10" s="27">
        <f>股权价值增加表!AO8</f>
        <v>27616539</v>
      </c>
      <c r="AP10" s="27">
        <f>股权价值增加表!AP8</f>
        <v>15954118</v>
      </c>
      <c r="AQ10" s="27">
        <f>股权价值增加表!AQ8</f>
        <v>11330331</v>
      </c>
      <c r="AR10" s="27">
        <f>股权价值增加表!AR8</f>
        <v>7065669</v>
      </c>
      <c r="AS10" s="27">
        <f>股权价值增加表!AS8</f>
        <v>16445071</v>
      </c>
      <c r="AT10" s="27">
        <f>股权价值增加表!AT8</f>
        <v>7966100</v>
      </c>
      <c r="AU10" s="27">
        <f>股权价值增加表!AU8</f>
        <v>5278833</v>
      </c>
      <c r="AV10" s="27">
        <f>股权价值增加表!AV8</f>
        <v>2514506</v>
      </c>
      <c r="AW10" s="27">
        <f>股权价值增加表!AW8</f>
        <v>11427851</v>
      </c>
      <c r="AX10" s="27">
        <f>股权价值增加表!AX8</f>
        <v>6922451</v>
      </c>
      <c r="AY10" s="27">
        <f>股权价值增加表!AY8</f>
        <v>4643460</v>
      </c>
      <c r="AZ10" s="27">
        <f>股权价值增加表!AZ8</f>
        <v>2083310</v>
      </c>
      <c r="BA10" s="27">
        <f>股权价值增加表!BA8</f>
        <v>12080073</v>
      </c>
      <c r="BB10" s="27">
        <f>股权价值增加表!BB8</f>
        <v>6293803</v>
      </c>
      <c r="BC10" s="27">
        <f>股权价值增加表!BC8</f>
        <v>3932284</v>
      </c>
      <c r="BD10" s="27">
        <f>股权价值增加表!BD8</f>
        <v>2211347</v>
      </c>
      <c r="BE10" s="27">
        <f>股权价值增加表!BE8</f>
        <v>6735003</v>
      </c>
      <c r="BF10" s="27">
        <f>股权价值增加表!BF8</f>
        <v>4852424.3600000003</v>
      </c>
      <c r="BG10" s="27">
        <f>股权价值增加表!BG8</f>
        <v>3122219.34</v>
      </c>
      <c r="BH10" s="27">
        <f>股权价值增加表!BH8</f>
        <v>1365231.55</v>
      </c>
      <c r="BI10" s="27">
        <f>股权价值增加表!BI8</f>
        <v>3179080</v>
      </c>
      <c r="BJ10" s="27">
        <f>股权价值增加表!BJ8</f>
        <v>2981773.4</v>
      </c>
      <c r="BK10" s="27">
        <f>股权价值增加表!BK8</f>
        <v>1850101.33</v>
      </c>
      <c r="BL10" s="27">
        <f>股权价值增加表!BL8</f>
        <v>1129045.3999999999</v>
      </c>
      <c r="BM10" s="27">
        <f>股权价值增加表!BM8</f>
        <v>5083711</v>
      </c>
      <c r="BN10" s="27">
        <f>股权价值增加表!BN8</f>
        <v>3695711.98</v>
      </c>
      <c r="BO10" s="27">
        <f>股权价值增加表!BO8</f>
        <v>2476144.21</v>
      </c>
      <c r="BP10" s="27">
        <f>股权价值增加表!BP8</f>
        <v>1388557.82</v>
      </c>
      <c r="BQ10" s="27">
        <f>股权价值增加表!BQ8</f>
        <v>5628198</v>
      </c>
      <c r="BR10" s="27">
        <f>股权价值增加表!BR8</f>
        <v>1963435.25</v>
      </c>
      <c r="BS10" s="27">
        <f>股权价值增加表!BS8</f>
        <v>3849421</v>
      </c>
      <c r="BT10" s="27">
        <f>股权价值增加表!BT8</f>
        <v>1497757</v>
      </c>
      <c r="BU10" s="27">
        <f>股权价值增加表!BU8</f>
        <v>3043816</v>
      </c>
      <c r="BV10" s="27">
        <f>股权价值增加表!BV8</f>
        <v>1671132.22</v>
      </c>
      <c r="BW10" s="27">
        <f>股权价值增加表!BW8</f>
        <v>925000</v>
      </c>
      <c r="BX10" s="27">
        <f>股权价值增加表!BX8</f>
        <v>913812.65</v>
      </c>
      <c r="BY10" s="27">
        <f>股权价值增加表!BY8</f>
        <v>2505000</v>
      </c>
      <c r="BZ10" s="27">
        <f>股权价值增加表!BZ8</f>
        <v>0</v>
      </c>
      <c r="CA10" s="27">
        <f>股权价值增加表!CA8</f>
        <v>1126000</v>
      </c>
      <c r="CB10" s="27">
        <f>股权价值增加表!CB8</f>
        <v>907000</v>
      </c>
      <c r="CC10" s="27">
        <f>股权价值增加表!CC8</f>
        <v>859000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7.5520033045494289E-3</v>
      </c>
      <c r="F11" s="57">
        <f t="shared" ref="F11:BQ11" si="11">F10/F2</f>
        <v>7.2042732860951881E-3</v>
      </c>
      <c r="G11" s="57">
        <f t="shared" si="11"/>
        <v>7.9744595618205256E-3</v>
      </c>
      <c r="H11" s="57">
        <f t="shared" si="11"/>
        <v>7.5493437451418415E-3</v>
      </c>
      <c r="I11" s="57">
        <f t="shared" si="11"/>
        <v>6.6660794005416937E-3</v>
      </c>
      <c r="J11" s="57">
        <f t="shared" si="11"/>
        <v>2.8127275891489507E-3</v>
      </c>
      <c r="K11" s="57">
        <f t="shared" si="11"/>
        <v>3.513652799770985E-3</v>
      </c>
      <c r="L11" s="57">
        <f t="shared" si="11"/>
        <v>3.6060834120023345E-3</v>
      </c>
      <c r="M11" s="57">
        <f t="shared" si="11"/>
        <v>5.6720947341167977E-3</v>
      </c>
      <c r="N11" s="57">
        <f t="shared" si="11"/>
        <v>4.6943415191246602E-3</v>
      </c>
      <c r="O11" s="57">
        <f t="shared" si="11"/>
        <v>4.9774575341112685E-3</v>
      </c>
      <c r="P11" s="57">
        <f t="shared" si="11"/>
        <v>3.1999087433230693E-3</v>
      </c>
      <c r="Q11" s="57">
        <f t="shared" si="11"/>
        <v>3.2074741490090283E-3</v>
      </c>
      <c r="R11" s="57">
        <f t="shared" si="11"/>
        <v>2.7884516579432996E-3</v>
      </c>
      <c r="S11" s="57">
        <f t="shared" si="11"/>
        <v>2.3564799022995375E-3</v>
      </c>
      <c r="T11" s="57">
        <f t="shared" si="11"/>
        <v>1.4499272083424131E-3</v>
      </c>
      <c r="U11" s="57">
        <f t="shared" si="11"/>
        <v>5.4327117696708815E-3</v>
      </c>
      <c r="V11" s="57">
        <f t="shared" si="11"/>
        <v>3.7892170834427671E-3</v>
      </c>
      <c r="W11" s="57">
        <f t="shared" si="11"/>
        <v>4.0567224828762256E-3</v>
      </c>
      <c r="X11" s="57">
        <f t="shared" si="11"/>
        <v>2.0283400095334691E-3</v>
      </c>
      <c r="Y11" s="57">
        <f t="shared" si="11"/>
        <v>3.639650524963674E-3</v>
      </c>
      <c r="Z11" s="57">
        <f t="shared" si="11"/>
        <v>1.3900035553896567E-3</v>
      </c>
      <c r="AA11" s="57">
        <f t="shared" si="11"/>
        <v>1.5885439096191346E-3</v>
      </c>
      <c r="AB11" s="57">
        <f t="shared" si="11"/>
        <v>1.8571666352013934E-3</v>
      </c>
      <c r="AC11" s="57">
        <f t="shared" si="11"/>
        <v>2.320413026084931E-3</v>
      </c>
      <c r="AD11" s="57">
        <f t="shared" si="11"/>
        <v>2.065576832135917E-3</v>
      </c>
      <c r="AE11" s="57">
        <f t="shared" si="11"/>
        <v>2.2208440279282557E-3</v>
      </c>
      <c r="AF11" s="57">
        <f t="shared" si="11"/>
        <v>2.2493501373567989E-3</v>
      </c>
      <c r="AG11" s="57">
        <f t="shared" si="11"/>
        <v>2.5160959748931956E-3</v>
      </c>
      <c r="AH11" s="57">
        <f t="shared" si="11"/>
        <v>2.1900682129686005E-3</v>
      </c>
      <c r="AI11" s="57">
        <f t="shared" si="11"/>
        <v>2.1899129464053656E-3</v>
      </c>
      <c r="AJ11" s="57">
        <f t="shared" si="11"/>
        <v>2.1653780026824358E-3</v>
      </c>
      <c r="AK11" s="57">
        <f t="shared" si="11"/>
        <v>2.5703514207009288E-3</v>
      </c>
      <c r="AL11" s="57">
        <f t="shared" si="11"/>
        <v>2.7488995582480246E-3</v>
      </c>
      <c r="AM11" s="57">
        <f t="shared" si="11"/>
        <v>3.1899122504942951E-3</v>
      </c>
      <c r="AN11" s="57">
        <f t="shared" si="11"/>
        <v>5.1383108628695918E-3</v>
      </c>
      <c r="AO11" s="57">
        <f t="shared" si="11"/>
        <v>3.3137133116663501E-3</v>
      </c>
      <c r="AP11" s="57">
        <f t="shared" si="11"/>
        <v>2.1939177939620672E-3</v>
      </c>
      <c r="AQ11" s="57">
        <f t="shared" si="11"/>
        <v>2.0578519674714609E-3</v>
      </c>
      <c r="AR11" s="57">
        <f t="shared" si="11"/>
        <v>2.4059725011694737E-3</v>
      </c>
      <c r="AS11" s="57">
        <f t="shared" si="11"/>
        <v>1.472194288113949E-3</v>
      </c>
      <c r="AT11" s="57">
        <f t="shared" si="11"/>
        <v>1.005047200157284E-3</v>
      </c>
      <c r="AU11" s="57">
        <f t="shared" si="11"/>
        <v>1.1257446234959063E-3</v>
      </c>
      <c r="AV11" s="57">
        <f t="shared" si="11"/>
        <v>1.1679951797834184E-3</v>
      </c>
      <c r="AW11" s="57">
        <f t="shared" si="11"/>
        <v>1.3013708959026845E-3</v>
      </c>
      <c r="AX11" s="57">
        <f t="shared" si="11"/>
        <v>1.0393957473076552E-3</v>
      </c>
      <c r="AY11" s="57">
        <f t="shared" si="11"/>
        <v>1.0821371099230676E-3</v>
      </c>
      <c r="AZ11" s="57">
        <f t="shared" si="11"/>
        <v>8.6632380324698467E-4</v>
      </c>
      <c r="BA11" s="57">
        <f t="shared" si="11"/>
        <v>8.97359877435757E-4</v>
      </c>
      <c r="BB11" s="57">
        <f t="shared" si="11"/>
        <v>7.3630586710938151E-4</v>
      </c>
      <c r="BC11" s="57">
        <f t="shared" si="11"/>
        <v>9.0989060271794207E-4</v>
      </c>
      <c r="BD11" s="57">
        <f t="shared" si="11"/>
        <v>1.0621953982384873E-3</v>
      </c>
      <c r="BE11" s="57">
        <f t="shared" si="11"/>
        <v>5.41324650517027E-4</v>
      </c>
      <c r="BF11" s="57">
        <f t="shared" si="11"/>
        <v>5.2115828105668061E-4</v>
      </c>
      <c r="BG11" s="57">
        <f t="shared" si="11"/>
        <v>5.0082018667388188E-4</v>
      </c>
      <c r="BH11" s="57">
        <f t="shared" si="11"/>
        <v>3.695764409273035E-4</v>
      </c>
      <c r="BI11" s="57">
        <f t="shared" si="11"/>
        <v>2.8435149959514766E-4</v>
      </c>
      <c r="BJ11" s="57">
        <f t="shared" si="11"/>
        <v>3.8975103623999996E-4</v>
      </c>
      <c r="BK11" s="57">
        <f t="shared" si="11"/>
        <v>3.9381040179819739E-4</v>
      </c>
      <c r="BL11" s="57">
        <f t="shared" si="11"/>
        <v>5.0101240140854443E-4</v>
      </c>
      <c r="BM11" s="57">
        <f t="shared" si="11"/>
        <v>1.0629624678466598E-3</v>
      </c>
      <c r="BN11" s="57">
        <f t="shared" si="11"/>
        <v>1.0807484849204992E-3</v>
      </c>
      <c r="BO11" s="57">
        <f t="shared" si="11"/>
        <v>1.2304872587406467E-3</v>
      </c>
      <c r="BP11" s="57">
        <f t="shared" si="11"/>
        <v>1.3359626217751043E-3</v>
      </c>
      <c r="BQ11" s="57">
        <f t="shared" si="11"/>
        <v>2.1083000836238973E-3</v>
      </c>
      <c r="BR11" s="57">
        <f t="shared" ref="BR11:CJ11" si="12">BR10/BR2</f>
        <v>1.5384029643570908E-3</v>
      </c>
      <c r="BS11" s="57">
        <f t="shared" si="12"/>
        <v>1.7224728307927821E-3</v>
      </c>
      <c r="BT11" s="57">
        <f t="shared" si="12"/>
        <v>1.5079883936210867E-3</v>
      </c>
      <c r="BU11" s="57">
        <f t="shared" si="12"/>
        <v>4.1028028783106907E-3</v>
      </c>
      <c r="BV11" s="57">
        <f t="shared" si="12"/>
        <v>8.3249793913668605E-3</v>
      </c>
      <c r="BW11" s="57">
        <f t="shared" si="12"/>
        <v>3.894786039402603E-3</v>
      </c>
      <c r="BX11" s="57">
        <f t="shared" si="12"/>
        <v>8.6370802208909515E-3</v>
      </c>
      <c r="BY11" s="57">
        <f t="shared" si="12"/>
        <v>9.1057797164667397E-3</v>
      </c>
      <c r="BZ11" s="57">
        <f t="shared" si="12"/>
        <v>0</v>
      </c>
      <c r="CA11" s="57">
        <f t="shared" si="12"/>
        <v>5.8901995658201031E-3</v>
      </c>
      <c r="CB11" s="57">
        <f t="shared" si="12"/>
        <v>4.9342015787268998E-3</v>
      </c>
      <c r="CC11" s="57">
        <f t="shared" si="12"/>
        <v>6.3727817674639441E-3</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7" t="s">
        <v>360</v>
      </c>
      <c r="E12" s="27">
        <f>股权价值增加表!E9</f>
        <v>2591925798</v>
      </c>
      <c r="F12" s="27">
        <f>股权价值增加表!F9</f>
        <v>1988692991</v>
      </c>
      <c r="G12" s="27">
        <f>股权价值增加表!G9</f>
        <v>1228560863</v>
      </c>
      <c r="H12" s="27">
        <f>股权价值增加表!H9</f>
        <v>692246016</v>
      </c>
      <c r="I12" s="27">
        <f>股权价值增加表!I9</f>
        <v>1984361921</v>
      </c>
      <c r="J12" s="27">
        <f>股权价值增加表!J9</f>
        <v>1172795371</v>
      </c>
      <c r="K12" s="27">
        <f>股权价值增加表!K9</f>
        <v>696216454</v>
      </c>
      <c r="L12" s="27">
        <f>股权价值增加表!L9</f>
        <v>311709165</v>
      </c>
      <c r="M12" s="27">
        <f>股权价值增加表!M9</f>
        <v>1290038686</v>
      </c>
      <c r="N12" s="27">
        <f>股权价值增加表!N9</f>
        <v>909331602</v>
      </c>
      <c r="O12" s="27">
        <f>股权价值增加表!O9</f>
        <v>532688703</v>
      </c>
      <c r="P12" s="27">
        <f>股权价值增加表!P9</f>
        <v>292575878</v>
      </c>
      <c r="Q12" s="27">
        <f>股权价值增加表!Q9</f>
        <v>998114416</v>
      </c>
      <c r="R12" s="27">
        <f>股权价值增加表!R9</f>
        <v>746885192</v>
      </c>
      <c r="S12" s="27">
        <f>股权价值增加表!S9</f>
        <v>481663833</v>
      </c>
      <c r="T12" s="27">
        <f>股权价值增加表!T9</f>
        <v>236028598</v>
      </c>
      <c r="U12" s="27">
        <f>股权价值增加表!U9</f>
        <v>1044684152</v>
      </c>
      <c r="V12" s="27">
        <f>股权价值增加表!V9</f>
        <v>829423848</v>
      </c>
      <c r="W12" s="27">
        <f>股权价值增加表!W9</f>
        <v>516250043</v>
      </c>
      <c r="X12" s="27">
        <f>股权价值增加表!X9</f>
        <v>276288031</v>
      </c>
      <c r="Y12" s="27">
        <f>股权价值增加表!Y9</f>
        <v>651287241</v>
      </c>
      <c r="Z12" s="27">
        <f>股权价值增加表!Z9</f>
        <v>421173934</v>
      </c>
      <c r="AA12" s="27">
        <f>股权价值增加表!AA9</f>
        <v>254457109</v>
      </c>
      <c r="AB12" s="27">
        <f>股权价值增加表!AB9</f>
        <v>122244706</v>
      </c>
      <c r="AC12" s="27">
        <f>股权价值增加表!AC9</f>
        <v>439290894</v>
      </c>
      <c r="AD12" s="27">
        <f>股权价值增加表!AD9</f>
        <v>272911852</v>
      </c>
      <c r="AE12" s="27">
        <f>股权价值增加表!AE9</f>
        <v>169760957</v>
      </c>
      <c r="AF12" s="27">
        <f>股权价值增加表!AF9</f>
        <v>71767816</v>
      </c>
      <c r="AG12" s="27">
        <f>股权价值增加表!AG9</f>
        <v>201473551</v>
      </c>
      <c r="AH12" s="27">
        <f>股权价值增加表!AH9</f>
        <v>151517241</v>
      </c>
      <c r="AI12" s="27">
        <f>股权价值增加表!AI9</f>
        <v>96902691</v>
      </c>
      <c r="AJ12" s="27">
        <f>股权价值增加表!AJ9</f>
        <v>43182256</v>
      </c>
      <c r="AK12" s="27">
        <f>股权价值增加表!AK9</f>
        <v>121024350</v>
      </c>
      <c r="AL12" s="27">
        <f>股权价值增加表!AL9</f>
        <v>80638895</v>
      </c>
      <c r="AM12" s="27">
        <f>股权价值增加表!AM9</f>
        <v>48281242</v>
      </c>
      <c r="AN12" s="27">
        <f>股权价值增加表!AN9</f>
        <v>21607257</v>
      </c>
      <c r="AO12" s="27">
        <f>股权价值增加表!AO9</f>
        <v>160568845</v>
      </c>
      <c r="AP12" s="27">
        <f>股权价值增加表!AP9</f>
        <v>129853731</v>
      </c>
      <c r="AQ12" s="27">
        <f>股权价值增加表!AQ9</f>
        <v>95740202</v>
      </c>
      <c r="AR12" s="27">
        <f>股权价值增加表!AR9</f>
        <v>53506650</v>
      </c>
      <c r="AS12" s="27">
        <f>股权价值增加表!AS9</f>
        <v>197845776</v>
      </c>
      <c r="AT12" s="27">
        <f>股权价值增加表!AT9</f>
        <v>155033175</v>
      </c>
      <c r="AU12" s="27">
        <f>股权价值增加表!AU9</f>
        <v>97019148</v>
      </c>
      <c r="AV12" s="27">
        <f>股权价值增加表!AV9</f>
        <v>47143839</v>
      </c>
      <c r="AW12" s="27">
        <f>股权价值增加表!AW9</f>
        <v>227074656</v>
      </c>
      <c r="AX12" s="27">
        <f>股权价值增加表!AX9</f>
        <v>144323834</v>
      </c>
      <c r="AY12" s="27">
        <f>股权价值增加表!AY9</f>
        <v>104038629</v>
      </c>
      <c r="AZ12" s="27">
        <f>股权价值增加表!AZ9</f>
        <v>49357203</v>
      </c>
      <c r="BA12" s="27">
        <f>股权价值增加表!BA9</f>
        <v>322747515</v>
      </c>
      <c r="BB12" s="27">
        <f>股权价值增加表!BB9</f>
        <v>194137207</v>
      </c>
      <c r="BC12" s="27">
        <f>股权价值增加表!BC9</f>
        <v>136715718</v>
      </c>
      <c r="BD12" s="27">
        <f>股权价值增加表!BD9</f>
        <v>46121350</v>
      </c>
      <c r="BE12" s="27">
        <f>股权价值增加表!BE9</f>
        <v>315449047</v>
      </c>
      <c r="BF12" s="27">
        <f>股权价值增加表!BF9</f>
        <v>165680117.30000001</v>
      </c>
      <c r="BG12" s="27">
        <f>股权价值增加表!BG9</f>
        <v>128361654.23999999</v>
      </c>
      <c r="BH12" s="27">
        <f>股权价值增加表!BH9</f>
        <v>59623674.009999998</v>
      </c>
      <c r="BI12" s="27">
        <f>股权价值增加表!BI9</f>
        <v>288021247</v>
      </c>
      <c r="BJ12" s="27">
        <f>股权价值增加表!BJ9</f>
        <v>207509814.50999999</v>
      </c>
      <c r="BK12" s="27">
        <f>股权价值增加表!BK9</f>
        <v>131500096.73</v>
      </c>
      <c r="BL12" s="27">
        <f>股权价值增加表!BL9</f>
        <v>50078162.030000001</v>
      </c>
      <c r="BM12" s="27">
        <f>股权价值增加表!BM9</f>
        <v>160302381</v>
      </c>
      <c r="BN12" s="27">
        <f>股权价值增加表!BN9</f>
        <v>110090703.59999999</v>
      </c>
      <c r="BO12" s="27">
        <f>股权价值增加表!BO9</f>
        <v>68635490.280000001</v>
      </c>
      <c r="BP12" s="27">
        <f>股权价值增加表!BP9</f>
        <v>28636270.23</v>
      </c>
      <c r="BQ12" s="27">
        <f>股权价值增加表!BQ9</f>
        <v>72966442</v>
      </c>
      <c r="BR12" s="27">
        <f>股权价值增加表!BR9</f>
        <v>43138137.799999997</v>
      </c>
      <c r="BS12" s="27">
        <f>股权价值增加表!BS9</f>
        <v>65355965</v>
      </c>
      <c r="BT12" s="27">
        <f>股权价值增加表!BT9</f>
        <v>27656135</v>
      </c>
      <c r="BU12" s="27">
        <f>股权价值增加表!BU9</f>
        <v>12341138</v>
      </c>
      <c r="BV12" s="27">
        <f>股权价值增加表!BV9</f>
        <v>5990075.5300000003</v>
      </c>
      <c r="BW12" s="27">
        <f>股权价值增加表!BW9</f>
        <v>5175000</v>
      </c>
      <c r="BX12" s="27">
        <f>股权价值增加表!BX9</f>
        <v>1744189.72</v>
      </c>
      <c r="BY12" s="27">
        <f>股权价值增加表!BY9</f>
        <v>4079000</v>
      </c>
      <c r="BZ12" s="27">
        <f>股权价值增加表!BZ9</f>
        <v>0</v>
      </c>
      <c r="CA12" s="27">
        <f>股权价值增加表!CA9</f>
        <v>4082000</v>
      </c>
      <c r="CB12" s="27">
        <f>股权价值增加表!CB9</f>
        <v>3669000</v>
      </c>
      <c r="CC12" s="27">
        <f>股权价值增加表!CC9</f>
        <v>2900000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2.7632330023165969E-2</v>
      </c>
      <c r="F13" s="57">
        <f t="shared" ref="F13:BQ13" si="13">F12/F2</f>
        <v>2.8652068734693874E-2</v>
      </c>
      <c r="G13" s="57">
        <f t="shared" si="13"/>
        <v>2.7543102610264374E-2</v>
      </c>
      <c r="H13" s="57">
        <f t="shared" si="13"/>
        <v>3.1674528852508384E-2</v>
      </c>
      <c r="I13" s="57">
        <f t="shared" si="13"/>
        <v>2.88024231260447E-2</v>
      </c>
      <c r="J13" s="57">
        <f t="shared" si="13"/>
        <v>2.5583477654258564E-2</v>
      </c>
      <c r="K13" s="57">
        <f t="shared" si="13"/>
        <v>2.6323664352313349E-2</v>
      </c>
      <c r="L13" s="57">
        <f t="shared" si="13"/>
        <v>2.5346868177066335E-2</v>
      </c>
      <c r="M13" s="57">
        <f t="shared" si="13"/>
        <v>2.6531050264144932E-2</v>
      </c>
      <c r="N13" s="57">
        <f t="shared" si="13"/>
        <v>2.4967612998241708E-2</v>
      </c>
      <c r="O13" s="57">
        <f t="shared" si="13"/>
        <v>2.3189770808754891E-2</v>
      </c>
      <c r="P13" s="57">
        <f t="shared" si="13"/>
        <v>2.5259393619801288E-2</v>
      </c>
      <c r="Q13" s="57">
        <f t="shared" si="13"/>
        <v>2.7110653811022213E-2</v>
      </c>
      <c r="R13" s="57">
        <f t="shared" si="13"/>
        <v>2.9535081569831555E-2</v>
      </c>
      <c r="S13" s="57">
        <f t="shared" si="13"/>
        <v>2.9892552840328521E-2</v>
      </c>
      <c r="T13" s="57">
        <f t="shared" si="13"/>
        <v>2.9169297102822716E-2</v>
      </c>
      <c r="U13" s="57">
        <f t="shared" si="13"/>
        <v>3.0931347112827547E-2</v>
      </c>
      <c r="V13" s="57">
        <f t="shared" si="13"/>
        <v>3.3479918099482656E-2</v>
      </c>
      <c r="W13" s="57">
        <f t="shared" si="13"/>
        <v>3.1760778076681116E-2</v>
      </c>
      <c r="X13" s="57">
        <f t="shared" si="13"/>
        <v>3.4284596229379044E-2</v>
      </c>
      <c r="Y13" s="57">
        <f t="shared" si="13"/>
        <v>2.5271526054305278E-2</v>
      </c>
      <c r="Z13" s="57">
        <f t="shared" si="13"/>
        <v>2.4597103130811829E-2</v>
      </c>
      <c r="AA13" s="57">
        <f t="shared" si="13"/>
        <v>2.6481447961973222E-2</v>
      </c>
      <c r="AB13" s="57">
        <f t="shared" si="13"/>
        <v>2.9473307296237539E-2</v>
      </c>
      <c r="AC13" s="57">
        <f t="shared" si="13"/>
        <v>3.4477406440219585E-2</v>
      </c>
      <c r="AD13" s="57">
        <f t="shared" si="13"/>
        <v>3.2052084697824439E-2</v>
      </c>
      <c r="AE13" s="57">
        <f t="shared" si="13"/>
        <v>3.4364329699571497E-2</v>
      </c>
      <c r="AF13" s="57">
        <f t="shared" si="13"/>
        <v>3.6436906891394019E-2</v>
      </c>
      <c r="AG13" s="57">
        <f t="shared" si="13"/>
        <v>2.5104828574556853E-2</v>
      </c>
      <c r="AH13" s="57">
        <f t="shared" si="13"/>
        <v>2.4430132205575973E-2</v>
      </c>
      <c r="AI13" s="57">
        <f t="shared" si="13"/>
        <v>2.3146856321061667E-2</v>
      </c>
      <c r="AJ13" s="57">
        <f t="shared" si="13"/>
        <v>2.280384378978419E-2</v>
      </c>
      <c r="AK13" s="57">
        <f t="shared" si="13"/>
        <v>1.9366393099627642E-2</v>
      </c>
      <c r="AL13" s="57">
        <f t="shared" si="13"/>
        <v>1.8561092486771659E-2</v>
      </c>
      <c r="AM13" s="57">
        <f t="shared" si="13"/>
        <v>2.1009074657240435E-2</v>
      </c>
      <c r="AN13" s="57">
        <f t="shared" si="13"/>
        <v>2.9972818124783529E-2</v>
      </c>
      <c r="AO13" s="57">
        <f t="shared" si="13"/>
        <v>1.9266683602727729E-2</v>
      </c>
      <c r="AP13" s="57">
        <f t="shared" si="13"/>
        <v>1.7856732102223622E-2</v>
      </c>
      <c r="AQ13" s="57">
        <f t="shared" si="13"/>
        <v>1.7388650256714929E-2</v>
      </c>
      <c r="AR13" s="57">
        <f t="shared" si="13"/>
        <v>1.8219864039724989E-2</v>
      </c>
      <c r="AS13" s="57">
        <f t="shared" si="13"/>
        <v>1.7711533222001401E-2</v>
      </c>
      <c r="AT13" s="57">
        <f t="shared" si="13"/>
        <v>1.9559842139220476E-2</v>
      </c>
      <c r="AU13" s="57">
        <f t="shared" si="13"/>
        <v>2.0689948751391379E-2</v>
      </c>
      <c r="AV13" s="57">
        <f t="shared" si="13"/>
        <v>2.1898447133745367E-2</v>
      </c>
      <c r="AW13" s="57">
        <f t="shared" si="13"/>
        <v>2.585861055727047E-2</v>
      </c>
      <c r="AX13" s="57">
        <f t="shared" si="13"/>
        <v>2.1670009552214379E-2</v>
      </c>
      <c r="AY13" s="57">
        <f t="shared" si="13"/>
        <v>2.4245726528583908E-2</v>
      </c>
      <c r="AZ13" s="57">
        <f t="shared" si="13"/>
        <v>2.0524703390562844E-2</v>
      </c>
      <c r="BA13" s="57">
        <f t="shared" si="13"/>
        <v>2.3975076185640199E-2</v>
      </c>
      <c r="BB13" s="57">
        <f t="shared" si="13"/>
        <v>2.2711922273119845E-2</v>
      </c>
      <c r="BC13" s="57">
        <f t="shared" si="13"/>
        <v>3.1634629404192628E-2</v>
      </c>
      <c r="BD13" s="57">
        <f t="shared" si="13"/>
        <v>2.2153866277226802E-2</v>
      </c>
      <c r="BE13" s="57">
        <f t="shared" si="13"/>
        <v>2.5354160216885458E-2</v>
      </c>
      <c r="BF13" s="57">
        <f t="shared" si="13"/>
        <v>1.7794314497534425E-2</v>
      </c>
      <c r="BG13" s="57">
        <f t="shared" si="13"/>
        <v>2.0589875546105956E-2</v>
      </c>
      <c r="BH13" s="57">
        <f t="shared" si="13"/>
        <v>1.6140489307931365E-2</v>
      </c>
      <c r="BI13" s="57">
        <f t="shared" si="13"/>
        <v>2.5761941662277903E-2</v>
      </c>
      <c r="BJ13" s="57">
        <f t="shared" si="13"/>
        <v>2.7123846914471325E-2</v>
      </c>
      <c r="BK13" s="57">
        <f t="shared" si="13"/>
        <v>2.7990956543846774E-2</v>
      </c>
      <c r="BL13" s="57">
        <f t="shared" si="13"/>
        <v>2.2222118097975946E-2</v>
      </c>
      <c r="BM13" s="57">
        <f t="shared" si="13"/>
        <v>3.3517919195142194E-2</v>
      </c>
      <c r="BN13" s="57">
        <f t="shared" si="13"/>
        <v>3.2194164957500757E-2</v>
      </c>
      <c r="BO13" s="57">
        <f t="shared" si="13"/>
        <v>3.4107503087212158E-2</v>
      </c>
      <c r="BP13" s="57">
        <f t="shared" si="13"/>
        <v>2.7551597854478374E-2</v>
      </c>
      <c r="BQ13" s="57">
        <f t="shared" si="13"/>
        <v>2.7332932453751315E-2</v>
      </c>
      <c r="BR13" s="57">
        <f t="shared" ref="BR13:CJ13" si="14">BR12/BR2</f>
        <v>3.3799861272921873E-2</v>
      </c>
      <c r="BS13" s="57">
        <f t="shared" si="14"/>
        <v>2.9244365332538061E-2</v>
      </c>
      <c r="BT13" s="57">
        <f t="shared" si="14"/>
        <v>2.7845058038398696E-2</v>
      </c>
      <c r="BU13" s="57">
        <f t="shared" si="14"/>
        <v>1.6634795437053172E-2</v>
      </c>
      <c r="BV13" s="57">
        <f t="shared" si="14"/>
        <v>2.9840400863063322E-2</v>
      </c>
      <c r="BW13" s="57">
        <f t="shared" si="14"/>
        <v>2.1789748923144291E-2</v>
      </c>
      <c r="BX13" s="57">
        <f t="shared" si="14"/>
        <v>1.6485552626233975E-2</v>
      </c>
      <c r="BY13" s="57">
        <f t="shared" si="14"/>
        <v>1.4827335514358416E-2</v>
      </c>
      <c r="BZ13" s="57">
        <f t="shared" si="14"/>
        <v>0</v>
      </c>
      <c r="CA13" s="57">
        <f t="shared" si="14"/>
        <v>2.1353281196871812E-2</v>
      </c>
      <c r="CB13" s="57">
        <f t="shared" si="14"/>
        <v>1.9959851810748618E-2</v>
      </c>
      <c r="CC13" s="57">
        <f t="shared" si="14"/>
        <v>2.1514629948364887E-2</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7" t="s">
        <v>362</v>
      </c>
      <c r="E14" s="26">
        <f>股权价值增加表!E10</f>
        <v>7246543340</v>
      </c>
      <c r="F14" s="26">
        <f>股权价值增加表!F10</f>
        <v>4885486924</v>
      </c>
      <c r="G14" s="26">
        <f>股权价值增加表!G10</f>
        <v>3052661575</v>
      </c>
      <c r="H14" s="26">
        <f>股权价值增加表!H10</f>
        <v>1502882338</v>
      </c>
      <c r="I14" s="26">
        <f>股权价值增加表!I10</f>
        <v>5618443652</v>
      </c>
      <c r="J14" s="26">
        <f>股权价值增加表!J10</f>
        <v>3877791881</v>
      </c>
      <c r="K14" s="26">
        <f>股权价值增加表!K10</f>
        <v>2311090435</v>
      </c>
      <c r="L14" s="26">
        <f>股权价值增加表!L10</f>
        <v>1197906250</v>
      </c>
      <c r="M14" s="26">
        <f>股权价值增加表!M10</f>
        <v>4675778199</v>
      </c>
      <c r="N14" s="26">
        <f>股权价值增加表!N10</f>
        <v>3512957536</v>
      </c>
      <c r="O14" s="26">
        <f>股权价值增加表!O10</f>
        <v>2252419046</v>
      </c>
      <c r="P14" s="26">
        <f>股权价值增加表!P10</f>
        <v>1125646463</v>
      </c>
      <c r="Q14" s="26">
        <f>股权价值增加表!Q10</f>
        <v>3876636817</v>
      </c>
      <c r="R14" s="26">
        <f>股权价值增加表!R10</f>
        <v>2632839349</v>
      </c>
      <c r="S14" s="26">
        <f>股权价值增加表!S10</f>
        <v>1698855995</v>
      </c>
      <c r="T14" s="26">
        <f>股权价值增加表!T10</f>
        <v>774557649</v>
      </c>
      <c r="U14" s="26">
        <f>股权价值增加表!U10</f>
        <v>3276324892</v>
      </c>
      <c r="V14" s="26">
        <f>股权价值增加表!V10</f>
        <v>2240233597</v>
      </c>
      <c r="W14" s="26">
        <f>股权价值增加表!W10</f>
        <v>1449893803</v>
      </c>
      <c r="X14" s="26">
        <f>股权价值增加表!X10</f>
        <v>683539722</v>
      </c>
      <c r="Y14" s="26">
        <f>股权价值增加表!Y10</f>
        <v>2224171078</v>
      </c>
      <c r="Z14" s="26">
        <f>股权价值增加表!Z10</f>
        <v>1509435881</v>
      </c>
      <c r="AA14" s="26">
        <f>股权价值增加表!AA10</f>
        <v>950037835</v>
      </c>
      <c r="AB14" s="26">
        <f>股权价值增加表!AB10</f>
        <v>469276557</v>
      </c>
      <c r="AC14" s="26">
        <f>股权价值增加表!AC10</f>
        <v>1800963588</v>
      </c>
      <c r="AD14" s="26">
        <f>股权价值增加表!AD10</f>
        <v>1181463915</v>
      </c>
      <c r="AE14" s="26">
        <f>股权价值增加表!AE10</f>
        <v>817952938</v>
      </c>
      <c r="AF14" s="26">
        <f>股权价值增加表!AF10</f>
        <v>465049868</v>
      </c>
      <c r="AG14" s="26">
        <f>股权价值增加表!AG10</f>
        <v>1458739829</v>
      </c>
      <c r="AH14" s="26">
        <f>股权价值增加表!AH10</f>
        <v>917230556</v>
      </c>
      <c r="AI14" s="26">
        <f>股权价值增加表!AI10</f>
        <v>529994057</v>
      </c>
      <c r="AJ14" s="26">
        <f>股权价值增加表!AJ10</f>
        <v>253948969</v>
      </c>
      <c r="AK14" s="26">
        <f>股权价值增加表!AK10</f>
        <v>873064864</v>
      </c>
      <c r="AL14" s="26">
        <f>股权价值增加表!AL10</f>
        <v>678440756</v>
      </c>
      <c r="AM14" s="26">
        <f>股权价值增加表!AM10</f>
        <v>519834580</v>
      </c>
      <c r="AN14" s="26">
        <f>股权价值增加表!AN10</f>
        <v>346168324</v>
      </c>
      <c r="AO14" s="26">
        <f>股权价值增加表!AO10</f>
        <v>814893919</v>
      </c>
      <c r="AP14" s="26">
        <f>股权价值增加表!AP10</f>
        <v>512388390</v>
      </c>
      <c r="AQ14" s="26">
        <f>股权价值增加表!AQ10</f>
        <v>343636500</v>
      </c>
      <c r="AR14" s="26">
        <f>股权价值增加表!AR10</f>
        <v>170400163</v>
      </c>
      <c r="AS14" s="26">
        <f>股权价值增加表!AS10</f>
        <v>559821122</v>
      </c>
      <c r="AT14" s="26">
        <f>股权价值增加表!AT10</f>
        <v>346709887</v>
      </c>
      <c r="AU14" s="26">
        <f>股权价值增加表!AU10</f>
        <v>222899365</v>
      </c>
      <c r="AV14" s="26">
        <f>股权价值增加表!AV10</f>
        <v>123429748</v>
      </c>
      <c r="AW14" s="26">
        <f>股权价值增加表!AW10</f>
        <v>1033154825</v>
      </c>
      <c r="AX14" s="26">
        <f>股权价值增加表!AX10</f>
        <v>913729278</v>
      </c>
      <c r="AY14" s="26">
        <f>股权价值增加表!AY10</f>
        <v>753656800</v>
      </c>
      <c r="AZ14" s="26">
        <f>股权价值增加表!AZ10</f>
        <v>247626532</v>
      </c>
      <c r="BA14" s="26">
        <f>股权价值增加表!BA10</f>
        <v>1063188303</v>
      </c>
      <c r="BB14" s="26">
        <f>股权价值增加表!BB10</f>
        <v>686269241</v>
      </c>
      <c r="BC14" s="26">
        <f>股权价值增加表!BC10</f>
        <v>419849719</v>
      </c>
      <c r="BD14" s="26">
        <f>股权价值增加表!BD10</f>
        <v>163677555</v>
      </c>
      <c r="BE14" s="26">
        <f>股权价值增加表!BE10</f>
        <v>952426798</v>
      </c>
      <c r="BF14" s="26">
        <f>股权价值增加表!BF10</f>
        <v>660987814.63999999</v>
      </c>
      <c r="BG14" s="26">
        <f>股权价值增加表!BG10</f>
        <v>493425750.63999999</v>
      </c>
      <c r="BH14" s="26">
        <f>股权价值增加表!BH10</f>
        <v>207663216.22</v>
      </c>
      <c r="BI14" s="26">
        <f>股权价值增加表!BI10</f>
        <v>792860866</v>
      </c>
      <c r="BJ14" s="26">
        <f>股权价值增加表!BJ10</f>
        <v>490308910.43000001</v>
      </c>
      <c r="BK14" s="26">
        <f>股权价值增加表!BK10</f>
        <v>304038688.27999997</v>
      </c>
      <c r="BL14" s="26">
        <f>股权价值增加表!BL10</f>
        <v>129116278.90000001</v>
      </c>
      <c r="BM14" s="26">
        <f>股权价值增加表!BM10</f>
        <v>272542389</v>
      </c>
      <c r="BN14" s="26">
        <f>股权价值增加表!BN10</f>
        <v>185740915.27000001</v>
      </c>
      <c r="BO14" s="26">
        <f>股权价值增加表!BO10</f>
        <v>87496595.129999995</v>
      </c>
      <c r="BP14" s="26">
        <f>股权价值增加表!BP10</f>
        <v>54918136.380000003</v>
      </c>
      <c r="BQ14" s="26">
        <f>股权价值增加表!BQ10</f>
        <v>106699811</v>
      </c>
      <c r="BR14" s="26">
        <f>股权价值增加表!BR10</f>
        <v>44333713.030000001</v>
      </c>
      <c r="BS14" s="26">
        <f>股权价值增加表!BS10</f>
        <v>87894282</v>
      </c>
      <c r="BT14" s="26">
        <f>股权价值增加表!BT10</f>
        <v>33845084</v>
      </c>
      <c r="BU14" s="26">
        <f>股权价值增加表!BU10</f>
        <v>67191857</v>
      </c>
      <c r="BV14" s="26">
        <f>股权价值增加表!BV10</f>
        <v>29194987.050000001</v>
      </c>
      <c r="BW14" s="26">
        <f>股权价值增加表!BW10</f>
        <v>30728000</v>
      </c>
      <c r="BX14" s="26">
        <f>股权价值增加表!BX10</f>
        <v>11184765.08</v>
      </c>
      <c r="BY14" s="26">
        <f>股权价值增加表!BY10</f>
        <v>26634000</v>
      </c>
      <c r="BZ14" s="26">
        <f>股权价值增加表!BZ10</f>
        <v>0</v>
      </c>
      <c r="CA14" s="26">
        <f>股权价值增加表!CA10</f>
        <v>34475000</v>
      </c>
      <c r="CB14" s="26">
        <f>股权价值增加表!CB10</f>
        <v>40570000</v>
      </c>
      <c r="CC14" s="26">
        <f>股权价值增加表!CC10</f>
        <v>22818000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7.7254864800745893E-2</v>
      </c>
      <c r="F15" s="57">
        <f t="shared" ref="F15:BQ15" si="15">F14/F2</f>
        <v>7.0387590132003519E-2</v>
      </c>
      <c r="G15" s="57">
        <f t="shared" si="15"/>
        <v>6.8437611458111586E-2</v>
      </c>
      <c r="H15" s="57">
        <f t="shared" si="15"/>
        <v>6.8766145093865388E-2</v>
      </c>
      <c r="I15" s="57">
        <f t="shared" si="15"/>
        <v>8.1550038660887933E-2</v>
      </c>
      <c r="J15" s="57">
        <f t="shared" si="15"/>
        <v>8.4590546985906193E-2</v>
      </c>
      <c r="K15" s="57">
        <f t="shared" si="15"/>
        <v>8.7381400639494011E-2</v>
      </c>
      <c r="L15" s="57">
        <f t="shared" si="15"/>
        <v>9.740865914941535E-2</v>
      </c>
      <c r="M15" s="57">
        <f t="shared" si="15"/>
        <v>9.6162469984766075E-2</v>
      </c>
      <c r="N15" s="57">
        <f t="shared" si="15"/>
        <v>9.6455642853710874E-2</v>
      </c>
      <c r="O15" s="57">
        <f t="shared" si="15"/>
        <v>9.8055545664564883E-2</v>
      </c>
      <c r="P15" s="57">
        <f t="shared" si="15"/>
        <v>9.7182130256323065E-2</v>
      </c>
      <c r="Q15" s="57">
        <f t="shared" si="15"/>
        <v>0.10529670447796645</v>
      </c>
      <c r="R15" s="57">
        <f t="shared" si="15"/>
        <v>0.10411389295957177</v>
      </c>
      <c r="S15" s="57">
        <f t="shared" si="15"/>
        <v>0.1054327502281999</v>
      </c>
      <c r="T15" s="57">
        <f t="shared" si="15"/>
        <v>9.572273181466287E-2</v>
      </c>
      <c r="U15" s="57">
        <f t="shared" si="15"/>
        <v>9.7006489755622552E-2</v>
      </c>
      <c r="V15" s="57">
        <f t="shared" si="15"/>
        <v>9.0427635438894968E-2</v>
      </c>
      <c r="W15" s="57">
        <f t="shared" si="15"/>
        <v>8.9200487121001967E-2</v>
      </c>
      <c r="X15" s="57">
        <f t="shared" si="15"/>
        <v>8.4820479883589317E-2</v>
      </c>
      <c r="Y15" s="57">
        <f t="shared" si="15"/>
        <v>8.6303237355926113E-2</v>
      </c>
      <c r="Z15" s="57">
        <f t="shared" si="15"/>
        <v>8.8153010044312974E-2</v>
      </c>
      <c r="AA15" s="57">
        <f t="shared" si="15"/>
        <v>9.8870798258806764E-2</v>
      </c>
      <c r="AB15" s="57">
        <f t="shared" si="15"/>
        <v>0.11314299509527496</v>
      </c>
      <c r="AC15" s="57">
        <f t="shared" si="15"/>
        <v>0.14134723586488041</v>
      </c>
      <c r="AD15" s="57">
        <f t="shared" si="15"/>
        <v>0.13875682273778001</v>
      </c>
      <c r="AE15" s="57">
        <f t="shared" si="15"/>
        <v>0.16557637831981098</v>
      </c>
      <c r="AF15" s="57">
        <f t="shared" si="15"/>
        <v>0.23610832382263214</v>
      </c>
      <c r="AG15" s="57">
        <f t="shared" si="15"/>
        <v>0.18176784575521468</v>
      </c>
      <c r="AH15" s="57">
        <f t="shared" si="15"/>
        <v>0.14789118121596445</v>
      </c>
      <c r="AI15" s="57">
        <f t="shared" si="15"/>
        <v>0.12659809714051767</v>
      </c>
      <c r="AJ15" s="57">
        <f t="shared" si="15"/>
        <v>0.13410630096891527</v>
      </c>
      <c r="AK15" s="57">
        <f t="shared" si="15"/>
        <v>0.1397083922177392</v>
      </c>
      <c r="AL15" s="57">
        <f t="shared" si="15"/>
        <v>0.15616039404943835</v>
      </c>
      <c r="AM15" s="57">
        <f t="shared" si="15"/>
        <v>0.22620055011499549</v>
      </c>
      <c r="AN15" s="57">
        <f t="shared" si="15"/>
        <v>0.4801923823932458</v>
      </c>
      <c r="AO15" s="57">
        <f t="shared" si="15"/>
        <v>9.7779262889758217E-2</v>
      </c>
      <c r="AP15" s="57">
        <f t="shared" si="15"/>
        <v>7.0460680198089015E-2</v>
      </c>
      <c r="AQ15" s="57">
        <f t="shared" si="15"/>
        <v>6.2412390919559781E-2</v>
      </c>
      <c r="AR15" s="57">
        <f t="shared" si="15"/>
        <v>5.802396154883508E-2</v>
      </c>
      <c r="AS15" s="57">
        <f t="shared" si="15"/>
        <v>5.011626025658035E-2</v>
      </c>
      <c r="AT15" s="57">
        <f t="shared" si="15"/>
        <v>4.3742835414594131E-2</v>
      </c>
      <c r="AU15" s="57">
        <f t="shared" si="15"/>
        <v>4.7534703547053227E-2</v>
      </c>
      <c r="AV15" s="57">
        <f t="shared" si="15"/>
        <v>5.7333468564354992E-2</v>
      </c>
      <c r="AW15" s="57">
        <f t="shared" si="15"/>
        <v>0.11765270830153729</v>
      </c>
      <c r="AX15" s="57">
        <f t="shared" si="15"/>
        <v>0.13719509545733069</v>
      </c>
      <c r="AY15" s="57">
        <f t="shared" si="15"/>
        <v>0.17563626938228546</v>
      </c>
      <c r="AZ15" s="57">
        <f t="shared" si="15"/>
        <v>0.1029730376118298</v>
      </c>
      <c r="BA15" s="57">
        <f t="shared" si="15"/>
        <v>7.8978208597846267E-2</v>
      </c>
      <c r="BB15" s="57">
        <f t="shared" si="15"/>
        <v>8.0285968366820837E-2</v>
      </c>
      <c r="BC15" s="57">
        <f t="shared" si="15"/>
        <v>9.7148963267116167E-2</v>
      </c>
      <c r="BD15" s="57">
        <f t="shared" si="15"/>
        <v>7.8620653256104497E-2</v>
      </c>
      <c r="BE15" s="57">
        <f t="shared" si="15"/>
        <v>7.6551131984707504E-2</v>
      </c>
      <c r="BF15" s="57">
        <f t="shared" si="15"/>
        <v>7.099116806783036E-2</v>
      </c>
      <c r="BG15" s="57">
        <f t="shared" si="15"/>
        <v>7.9148051316992055E-2</v>
      </c>
      <c r="BH15" s="57">
        <f t="shared" si="15"/>
        <v>5.6215689098383842E-2</v>
      </c>
      <c r="BI15" s="57">
        <f t="shared" si="15"/>
        <v>7.0917113195455114E-2</v>
      </c>
      <c r="BJ15" s="57">
        <f t="shared" si="15"/>
        <v>6.408884253840276E-2</v>
      </c>
      <c r="BK15" s="57">
        <f t="shared" si="15"/>
        <v>6.4717319020436398E-2</v>
      </c>
      <c r="BL15" s="57">
        <f t="shared" si="15"/>
        <v>5.7295177813597567E-2</v>
      </c>
      <c r="BM15" s="57">
        <f t="shared" si="15"/>
        <v>5.6986388566199836E-2</v>
      </c>
      <c r="BN15" s="57">
        <f t="shared" si="15"/>
        <v>5.431679033759533E-2</v>
      </c>
      <c r="BO15" s="57">
        <f t="shared" si="15"/>
        <v>4.3480280775187126E-2</v>
      </c>
      <c r="BP15" s="57">
        <f t="shared" si="15"/>
        <v>5.2837970738033466E-2</v>
      </c>
      <c r="BQ15" s="57">
        <f t="shared" si="15"/>
        <v>3.9969315303753354E-2</v>
      </c>
      <c r="BR15" s="57">
        <f t="shared" ref="BR15:CK15" si="16">BR14/BR2</f>
        <v>3.4736625792120515E-2</v>
      </c>
      <c r="BS15" s="57">
        <f t="shared" si="16"/>
        <v>3.9329424536063758E-2</v>
      </c>
      <c r="BT15" s="57">
        <f t="shared" si="16"/>
        <v>3.4076284639718422E-2</v>
      </c>
      <c r="BU15" s="57">
        <f t="shared" si="16"/>
        <v>9.0568859713806724E-2</v>
      </c>
      <c r="BV15" s="57">
        <f t="shared" si="16"/>
        <v>0.14543892016065155</v>
      </c>
      <c r="BW15" s="57">
        <f t="shared" si="16"/>
        <v>0.12938268693920343</v>
      </c>
      <c r="BX15" s="57">
        <f t="shared" si="16"/>
        <v>0.10571500979744568</v>
      </c>
      <c r="BY15" s="57">
        <f t="shared" si="16"/>
        <v>9.6815703380588883E-2</v>
      </c>
      <c r="BZ15" s="57">
        <f t="shared" si="16"/>
        <v>0</v>
      </c>
      <c r="CA15" s="57">
        <f t="shared" si="16"/>
        <v>0.1803415897261528</v>
      </c>
      <c r="CB15" s="57">
        <f t="shared" si="16"/>
        <v>0.22070623820170929</v>
      </c>
      <c r="CC15" s="57">
        <f t="shared" si="16"/>
        <v>0.16928304350406553</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7" t="s">
        <v>364</v>
      </c>
      <c r="E16" s="26">
        <f>股权价值增加表!E11</f>
        <v>2229524682</v>
      </c>
      <c r="F16" s="26">
        <f>股权价值增加表!F11</f>
        <v>1757042642</v>
      </c>
      <c r="G16" s="26">
        <f>股权价值增加表!G11</f>
        <v>1423446130</v>
      </c>
      <c r="H16" s="26">
        <f>股权价值增加表!H11</f>
        <v>471780755</v>
      </c>
      <c r="I16" s="26">
        <f>股权价值增加表!I11</f>
        <v>1594488553</v>
      </c>
      <c r="J16" s="26">
        <f>股权价值增加表!J11</f>
        <v>778634001</v>
      </c>
      <c r="K16" s="26">
        <f>股权价值增加表!K11</f>
        <v>514822946</v>
      </c>
      <c r="L16" s="26">
        <f>股权价值增加表!L11</f>
        <v>203349636</v>
      </c>
      <c r="M16" s="26">
        <f>股权价值增加表!M11</f>
        <v>1364500152</v>
      </c>
      <c r="N16" s="26">
        <f>股权价值增加表!N11</f>
        <v>680466112</v>
      </c>
      <c r="O16" s="26">
        <f>股权价值增加表!O11</f>
        <v>497321170</v>
      </c>
      <c r="P16" s="26">
        <f>股权价值增加表!P11</f>
        <v>189081451</v>
      </c>
      <c r="Q16" s="26">
        <f>股权价值增加表!Q11</f>
        <v>1211771939</v>
      </c>
      <c r="R16" s="26">
        <f>股权价值增加表!R11</f>
        <v>645515924</v>
      </c>
      <c r="S16" s="26">
        <f>股权价值增加表!S11</f>
        <v>385176764</v>
      </c>
      <c r="T16" s="26">
        <f>股权价值增加表!T11</f>
        <v>72796877</v>
      </c>
      <c r="U16" s="26">
        <f>股权价值增加表!U11</f>
        <v>913797501</v>
      </c>
      <c r="V16" s="26">
        <f>股权价值增加表!V11</f>
        <v>764266092</v>
      </c>
      <c r="W16" s="26">
        <f>股权价值增加表!W11</f>
        <v>519695005</v>
      </c>
      <c r="X16" s="26">
        <f>股权价值增加表!X11</f>
        <v>262050065</v>
      </c>
      <c r="Y16" s="26">
        <f>股权价值增加表!Y11</f>
        <v>438799442</v>
      </c>
      <c r="Z16" s="26">
        <f>股权价值增加表!Z11</f>
        <v>-80813690</v>
      </c>
      <c r="AA16" s="26">
        <f>股权价值增加表!AA11</f>
        <v>-11889069</v>
      </c>
      <c r="AB16" s="26">
        <f>股权价值增加表!AB11</f>
        <v>171363867</v>
      </c>
      <c r="AC16" s="26">
        <f>股权价值增加表!AC11</f>
        <v>1380457807</v>
      </c>
      <c r="AD16" s="26">
        <f>股权价值增加表!AD11</f>
        <v>128907232</v>
      </c>
      <c r="AE16" s="26">
        <f>股权价值增加表!AE11</f>
        <v>58778909</v>
      </c>
      <c r="AF16" s="26">
        <f>股权价值增加表!AF11</f>
        <v>49058481</v>
      </c>
      <c r="AG16" s="26">
        <f>股权价值增加表!AG11</f>
        <v>454631810</v>
      </c>
      <c r="AH16" s="26">
        <f>股权价值增加表!AH11</f>
        <v>35269421</v>
      </c>
      <c r="AI16" s="26">
        <f>股权价值增加表!AI11</f>
        <v>26528431</v>
      </c>
      <c r="AJ16" s="26">
        <f>股权价值增加表!AJ11</f>
        <v>66579150</v>
      </c>
      <c r="AK16" s="26">
        <f>股权价值增加表!AK11</f>
        <v>89200303</v>
      </c>
      <c r="AL16" s="26">
        <f>股权价值增加表!AL11</f>
        <v>-150984444</v>
      </c>
      <c r="AM16" s="26">
        <f>股权价值增加表!AM11</f>
        <v>-136237477</v>
      </c>
      <c r="AN16" s="26">
        <f>股权价值增加表!AN11</f>
        <v>-36159362</v>
      </c>
      <c r="AO16" s="26">
        <f>股权价值增加表!AO11</f>
        <v>312504311</v>
      </c>
      <c r="AP16" s="26">
        <f>股权价值增加表!AP11</f>
        <v>187750497</v>
      </c>
      <c r="AQ16" s="26">
        <f>股权价值增加表!AQ11</f>
        <v>2568398</v>
      </c>
      <c r="AR16" s="26">
        <f>股权价值增加表!AR11</f>
        <v>-917853</v>
      </c>
      <c r="AS16" s="26">
        <f>股权价值增加表!AS11</f>
        <v>119783374</v>
      </c>
      <c r="AT16" s="26">
        <f>股权价值增加表!AT11</f>
        <v>-58824986</v>
      </c>
      <c r="AU16" s="26">
        <f>股权价值增加表!AU11</f>
        <v>-65480802</v>
      </c>
      <c r="AV16" s="26">
        <f>股权价值增加表!AV11</f>
        <v>-17260118</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-757907</v>
      </c>
      <c r="BT16" s="26">
        <f>股权价值增加表!BT11</f>
        <v>0</v>
      </c>
      <c r="BU16" s="26">
        <f>股权价值增加表!BU11</f>
        <v>0</v>
      </c>
      <c r="BV16" s="26">
        <f>股权价值增加表!BV11</f>
        <v>0</v>
      </c>
      <c r="BW16" s="26">
        <f>股权价值增加表!BW11</f>
        <v>3200000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666</v>
      </c>
      <c r="E17" s="57">
        <f>E16/E2</f>
        <v>2.3768798418286417E-2</v>
      </c>
      <c r="F17" s="57">
        <f t="shared" ref="F17:BQ17" si="17">F16/F2</f>
        <v>2.5314569305671237E-2</v>
      </c>
      <c r="G17" s="57">
        <f t="shared" si="17"/>
        <v>3.1912234875394789E-2</v>
      </c>
      <c r="H17" s="57">
        <f t="shared" si="17"/>
        <v>2.1586882106816904E-2</v>
      </c>
      <c r="I17" s="57">
        <f t="shared" si="17"/>
        <v>2.3143527139443003E-2</v>
      </c>
      <c r="J17" s="57">
        <f t="shared" si="17"/>
        <v>1.6985201389773767E-2</v>
      </c>
      <c r="K17" s="57">
        <f t="shared" si="17"/>
        <v>1.9465248707513511E-2</v>
      </c>
      <c r="L17" s="57">
        <f t="shared" si="17"/>
        <v>1.6535530540292016E-2</v>
      </c>
      <c r="M17" s="57">
        <f t="shared" si="17"/>
        <v>2.806243139141441E-2</v>
      </c>
      <c r="N17" s="57">
        <f t="shared" si="17"/>
        <v>1.8683629278325904E-2</v>
      </c>
      <c r="O17" s="57">
        <f t="shared" si="17"/>
        <v>2.1650100491509446E-2</v>
      </c>
      <c r="P17" s="57">
        <f t="shared" si="17"/>
        <v>1.6324253488225606E-2</v>
      </c>
      <c r="Q17" s="57">
        <f t="shared" si="17"/>
        <v>3.2913991632137818E-2</v>
      </c>
      <c r="R17" s="57">
        <f t="shared" si="17"/>
        <v>2.5526500825263632E-2</v>
      </c>
      <c r="S17" s="57">
        <f t="shared" si="17"/>
        <v>2.3904466106627418E-2</v>
      </c>
      <c r="T17" s="57">
        <f t="shared" si="17"/>
        <v>8.9965103862992123E-3</v>
      </c>
      <c r="U17" s="57">
        <f t="shared" si="17"/>
        <v>2.7056012709825602E-2</v>
      </c>
      <c r="V17" s="57">
        <f t="shared" si="17"/>
        <v>3.0849807644271733E-2</v>
      </c>
      <c r="W17" s="57">
        <f t="shared" si="17"/>
        <v>3.1972719315327365E-2</v>
      </c>
      <c r="X17" s="57">
        <f t="shared" si="17"/>
        <v>3.2517806283137662E-2</v>
      </c>
      <c r="Y17" s="57">
        <f t="shared" si="17"/>
        <v>1.7026483605131176E-2</v>
      </c>
      <c r="Z17" s="57">
        <f t="shared" si="17"/>
        <v>-4.7196241430065723E-3</v>
      </c>
      <c r="AA17" s="57">
        <f t="shared" si="17"/>
        <v>-1.2372999256224711E-3</v>
      </c>
      <c r="AB17" s="57">
        <f t="shared" si="17"/>
        <v>4.1315980681916636E-2</v>
      </c>
      <c r="AC17" s="57">
        <f t="shared" si="17"/>
        <v>0.10834416450597587</v>
      </c>
      <c r="AD17" s="57">
        <f t="shared" si="17"/>
        <v>1.5139487303124177E-2</v>
      </c>
      <c r="AE17" s="57">
        <f t="shared" si="17"/>
        <v>1.1898482689733602E-2</v>
      </c>
      <c r="AF17" s="57">
        <f t="shared" si="17"/>
        <v>2.4907255146655469E-2</v>
      </c>
      <c r="AG17" s="57">
        <f t="shared" si="17"/>
        <v>5.6649885793646937E-2</v>
      </c>
      <c r="AH17" s="57">
        <f t="shared" si="17"/>
        <v>5.6867232544454633E-3</v>
      </c>
      <c r="AI17" s="57">
        <f t="shared" si="17"/>
        <v>6.3367670643965732E-3</v>
      </c>
      <c r="AJ17" s="57">
        <f t="shared" si="17"/>
        <v>3.5159361202819275E-2</v>
      </c>
      <c r="AK17" s="57">
        <f t="shared" si="17"/>
        <v>1.4273888952957772E-2</v>
      </c>
      <c r="AL17" s="57">
        <f t="shared" si="17"/>
        <v>-3.4752909612015347E-2</v>
      </c>
      <c r="AM17" s="57">
        <f t="shared" si="17"/>
        <v>-5.9282305235790672E-2</v>
      </c>
      <c r="AN17" s="57">
        <f t="shared" si="17"/>
        <v>-5.0158980417283359E-2</v>
      </c>
      <c r="AO17" s="57">
        <f t="shared" si="17"/>
        <v>3.7497446559607669E-2</v>
      </c>
      <c r="AP17" s="57">
        <f t="shared" si="17"/>
        <v>2.5818359635645275E-2</v>
      </c>
      <c r="AQ17" s="57">
        <f t="shared" si="17"/>
        <v>4.6648088900048598E-4</v>
      </c>
      <c r="AR17" s="57">
        <f t="shared" si="17"/>
        <v>-3.1254352250521572E-4</v>
      </c>
      <c r="AS17" s="57">
        <f t="shared" si="17"/>
        <v>1.0723237316142746E-2</v>
      </c>
      <c r="AT17" s="57">
        <f t="shared" si="17"/>
        <v>-7.421685326394525E-3</v>
      </c>
      <c r="AU17" s="57">
        <f t="shared" si="17"/>
        <v>-1.3964196403580108E-2</v>
      </c>
      <c r="AV17" s="57">
        <f t="shared" si="17"/>
        <v>-8.0173738406243665E-3</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-3.3913521430045326E-4</v>
      </c>
      <c r="BT17" s="57">
        <f t="shared" si="18"/>
        <v>0</v>
      </c>
      <c r="BU17" s="57">
        <f t="shared" si="18"/>
        <v>0</v>
      </c>
      <c r="BV17" s="57">
        <f t="shared" si="18"/>
        <v>0</v>
      </c>
      <c r="BW17" s="57">
        <f t="shared" si="18"/>
        <v>1.3473854406581979E-2</v>
      </c>
      <c r="BX17" s="57">
        <f t="shared" si="18"/>
        <v>0</v>
      </c>
      <c r="BY17" s="57">
        <f t="shared" si="18"/>
        <v>0</v>
      </c>
      <c r="BZ17" s="57">
        <f t="shared" si="18"/>
        <v>0</v>
      </c>
      <c r="CA17" s="57">
        <f t="shared" si="18"/>
        <v>0</v>
      </c>
      <c r="CB17" s="57">
        <f t="shared" si="18"/>
        <v>0</v>
      </c>
      <c r="CC17" s="57">
        <f t="shared" si="18"/>
        <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7" t="s">
        <v>365</v>
      </c>
      <c r="E18" s="26">
        <f>股权价值增加表!E12</f>
        <v>113842472</v>
      </c>
      <c r="F18" s="26">
        <f>股权价值增加表!F12</f>
        <v>1204</v>
      </c>
      <c r="G18" s="26">
        <f>股权价值增加表!G12</f>
        <v>868</v>
      </c>
      <c r="H18" s="26">
        <f>股权价值增加表!H12</f>
        <v>644</v>
      </c>
      <c r="I18" s="26">
        <f>股权价值增加表!I12</f>
        <v>54957942</v>
      </c>
      <c r="J18" s="26">
        <f>股权价值增加表!J12</f>
        <v>0</v>
      </c>
      <c r="K18" s="26">
        <f>股权价值增加表!K12</f>
        <v>0</v>
      </c>
      <c r="L18" s="26">
        <f>股权价值增加表!L12</f>
        <v>0</v>
      </c>
      <c r="M18" s="26">
        <f>股权价值增加表!M12</f>
        <v>54754420</v>
      </c>
      <c r="N18" s="26">
        <f>股权价值增加表!N12</f>
        <v>0</v>
      </c>
      <c r="O18" s="26">
        <f>股权价值增加表!O12</f>
        <v>0</v>
      </c>
      <c r="P18" s="26">
        <f>股权价值增加表!P12</f>
        <v>0</v>
      </c>
      <c r="Q18" s="26">
        <f>股权价值增加表!Q12</f>
        <v>32453425</v>
      </c>
      <c r="R18" s="26">
        <f>股权价值增加表!R12</f>
        <v>0</v>
      </c>
      <c r="S18" s="26">
        <f>股权价值增加表!S12</f>
        <v>0</v>
      </c>
      <c r="T18" s="26">
        <f>股权价值增加表!T12</f>
        <v>0</v>
      </c>
      <c r="U18" s="26">
        <f>股权价值增加表!U12</f>
        <v>29921456</v>
      </c>
      <c r="V18" s="26">
        <f>股权价值增加表!V12</f>
        <v>0</v>
      </c>
      <c r="W18" s="26">
        <f>股权价值增加表!W12</f>
        <v>0</v>
      </c>
      <c r="X18" s="26">
        <f>股权价值增加表!X12</f>
        <v>0</v>
      </c>
      <c r="Y18" s="26">
        <f>股权价值增加表!Y12</f>
        <v>17139458</v>
      </c>
      <c r="Z18" s="26">
        <f>股权价值增加表!Z12</f>
        <v>0</v>
      </c>
      <c r="AA18" s="26">
        <f>股权价值增加表!AA12</f>
        <v>0</v>
      </c>
      <c r="AB18" s="26">
        <f>股权价值增加表!AB12</f>
        <v>0</v>
      </c>
      <c r="AC18" s="26">
        <f>股权价值增加表!AC12</f>
        <v>11064910</v>
      </c>
      <c r="AD18" s="26">
        <f>股权价值增加表!AD12</f>
        <v>0</v>
      </c>
      <c r="AE18" s="26">
        <f>股权价值增加表!AE12</f>
        <v>0</v>
      </c>
      <c r="AF18" s="26">
        <f>股权价值增加表!AF12</f>
        <v>0</v>
      </c>
      <c r="AG18" s="26">
        <f>股权价值增加表!AG12</f>
        <v>10799614</v>
      </c>
      <c r="AH18" s="26">
        <f>股权价值增加表!AH12</f>
        <v>0</v>
      </c>
      <c r="AI18" s="26">
        <f>股权价值增加表!AI12</f>
        <v>0</v>
      </c>
      <c r="AJ18" s="26">
        <f>股权价值增加表!AJ12</f>
        <v>0</v>
      </c>
      <c r="AK18" s="26">
        <f>股权价值增加表!AK12</f>
        <v>9414962</v>
      </c>
      <c r="AL18" s="26">
        <f>股权价值增加表!AL12</f>
        <v>0</v>
      </c>
      <c r="AM18" s="26">
        <f>股权价值增加表!AM12</f>
        <v>0</v>
      </c>
      <c r="AN18" s="26">
        <f>股权价值增加表!AN12</f>
        <v>0</v>
      </c>
      <c r="AO18" s="26">
        <f>股权价值增加表!AO12</f>
        <v>8961441</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1.2136662088800395E-3</v>
      </c>
      <c r="F19" s="57">
        <f t="shared" ref="F19:BQ19" si="19">F18/F2</f>
        <v>1.7346614541656734E-8</v>
      </c>
      <c r="G19" s="57">
        <f t="shared" si="19"/>
        <v>1.9459689613854707E-8</v>
      </c>
      <c r="H19" s="57">
        <f t="shared" si="19"/>
        <v>2.9466975770959728E-8</v>
      </c>
      <c r="I19" s="57">
        <f t="shared" si="19"/>
        <v>7.9769818341551585E-4</v>
      </c>
      <c r="J19" s="57">
        <f t="shared" si="19"/>
        <v>0</v>
      </c>
      <c r="K19" s="57">
        <f t="shared" si="19"/>
        <v>0</v>
      </c>
      <c r="L19" s="57">
        <f t="shared" si="19"/>
        <v>0</v>
      </c>
      <c r="M19" s="57">
        <f t="shared" si="19"/>
        <v>1.1260842678357495E-3</v>
      </c>
      <c r="N19" s="57">
        <f t="shared" si="19"/>
        <v>0</v>
      </c>
      <c r="O19" s="57">
        <f t="shared" si="19"/>
        <v>0</v>
      </c>
      <c r="P19" s="57">
        <f t="shared" si="19"/>
        <v>0</v>
      </c>
      <c r="Q19" s="57">
        <f t="shared" si="19"/>
        <v>8.8149570435317056E-4</v>
      </c>
      <c r="R19" s="57">
        <f t="shared" si="19"/>
        <v>0</v>
      </c>
      <c r="S19" s="57">
        <f t="shared" si="19"/>
        <v>0</v>
      </c>
      <c r="T19" s="57">
        <f t="shared" si="19"/>
        <v>0</v>
      </c>
      <c r="U19" s="57">
        <f t="shared" si="19"/>
        <v>8.859241713252261E-4</v>
      </c>
      <c r="V19" s="57">
        <f t="shared" si="19"/>
        <v>0</v>
      </c>
      <c r="W19" s="57">
        <f t="shared" si="19"/>
        <v>0</v>
      </c>
      <c r="X19" s="57">
        <f t="shared" si="19"/>
        <v>0</v>
      </c>
      <c r="Y19" s="57">
        <f t="shared" si="19"/>
        <v>6.6505257916402356E-4</v>
      </c>
      <c r="Z19" s="57">
        <f t="shared" si="19"/>
        <v>0</v>
      </c>
      <c r="AA19" s="57">
        <f t="shared" si="19"/>
        <v>0</v>
      </c>
      <c r="AB19" s="57">
        <f t="shared" si="19"/>
        <v>0</v>
      </c>
      <c r="AC19" s="57">
        <f t="shared" si="19"/>
        <v>8.6842091312379929E-4</v>
      </c>
      <c r="AD19" s="57">
        <f t="shared" si="19"/>
        <v>0</v>
      </c>
      <c r="AE19" s="57">
        <f t="shared" si="19"/>
        <v>0</v>
      </c>
      <c r="AF19" s="57">
        <f t="shared" si="19"/>
        <v>0</v>
      </c>
      <c r="AG19" s="57">
        <f t="shared" si="19"/>
        <v>1.3456975210675878E-3</v>
      </c>
      <c r="AH19" s="57">
        <f t="shared" si="19"/>
        <v>0</v>
      </c>
      <c r="AI19" s="57">
        <f t="shared" si="19"/>
        <v>0</v>
      </c>
      <c r="AJ19" s="57">
        <f t="shared" si="19"/>
        <v>0</v>
      </c>
      <c r="AK19" s="57">
        <f t="shared" si="19"/>
        <v>1.5065881792387769E-3</v>
      </c>
      <c r="AL19" s="57">
        <f t="shared" si="19"/>
        <v>0</v>
      </c>
      <c r="AM19" s="57">
        <f t="shared" si="19"/>
        <v>0</v>
      </c>
      <c r="AN19" s="57">
        <f t="shared" si="19"/>
        <v>0</v>
      </c>
      <c r="AO19" s="57">
        <f t="shared" si="19"/>
        <v>1.0752848622129156E-3</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7" t="s">
        <v>367</v>
      </c>
      <c r="E20" s="26">
        <f>股权价值增加表!E13-股权价值增加表!E14</f>
        <v>67338257</v>
      </c>
      <c r="F20" s="26">
        <f>股权价值增加表!F13-股权价值增加表!F14</f>
        <v>39251284</v>
      </c>
      <c r="G20" s="26">
        <f>股权价值增加表!G13-股权价值增加表!G14</f>
        <v>30079941</v>
      </c>
      <c r="H20" s="26">
        <f>股权价值增加表!H13-股权价值增加表!H14</f>
        <v>126916786</v>
      </c>
      <c r="I20" s="26">
        <f>股权价值增加表!I13-股权价值增加表!I14</f>
        <v>2007104550</v>
      </c>
      <c r="J20" s="26">
        <f>股权价值增加表!J13-股权价值增加表!J14</f>
        <v>1918928789</v>
      </c>
      <c r="K20" s="26">
        <f>股权价值增加表!K13-股权价值增加表!K14</f>
        <v>1787855951</v>
      </c>
      <c r="L20" s="26">
        <f>股权价值增加表!L13-股权价值增加表!L14</f>
        <v>1441772320</v>
      </c>
      <c r="M20" s="26">
        <f>股权价值增加表!M13-股权价值增加表!M14</f>
        <v>1059538418</v>
      </c>
      <c r="N20" s="26">
        <f>股权价值增加表!N13-股权价值增加表!N14</f>
        <v>639600144</v>
      </c>
      <c r="O20" s="26">
        <f>股权价值增加表!O13-股权价值增加表!O14</f>
        <v>411424047</v>
      </c>
      <c r="P20" s="26">
        <f>股权价值增加表!P13-股权价值增加表!P14</f>
        <v>109789611</v>
      </c>
      <c r="Q20" s="26">
        <f>股权价值增加表!Q13-股权价值增加表!Q14</f>
        <v>868281449</v>
      </c>
      <c r="R20" s="26">
        <f>股权价值增加表!R13-股权价值增加表!R14</f>
        <v>667710538</v>
      </c>
      <c r="S20" s="26">
        <f>股权价值增加表!S13-股权价值增加表!S14</f>
        <v>539347996</v>
      </c>
      <c r="T20" s="26">
        <f>股权价值增加表!T13-股权价值增加表!T14</f>
        <v>424208889</v>
      </c>
      <c r="U20" s="26">
        <f>股权价值增加表!U13-股权价值增加表!U14</f>
        <v>764569332</v>
      </c>
      <c r="V20" s="26">
        <f>股权价值增加表!V13-股权价值增加表!V14</f>
        <v>214886362</v>
      </c>
      <c r="W20" s="26">
        <f>股权价值增加表!W13-股权价值增加表!W14</f>
        <v>139145902</v>
      </c>
      <c r="X20" s="26">
        <f>股权价值增加表!X13-股权价值增加表!X14</f>
        <v>82872944</v>
      </c>
      <c r="Y20" s="26">
        <f>股权价值增加表!Y13-股权价值增加表!Y14</f>
        <v>910226831</v>
      </c>
      <c r="Z20" s="26">
        <f>股权价值增加表!Z13-股权价值增加表!Z14</f>
        <v>399810675</v>
      </c>
      <c r="AA20" s="26">
        <f>股权价值增加表!AA13-股权价值增加表!AA14</f>
        <v>157586018</v>
      </c>
      <c r="AB20" s="26">
        <f>股权价值增加表!AB13-股权价值增加表!AB14</f>
        <v>59600580</v>
      </c>
      <c r="AC20" s="26">
        <f>股权价值增加表!AC13-股权价值增加表!AC14</f>
        <v>689181263</v>
      </c>
      <c r="AD20" s="26">
        <f>股权价值增加表!AD13-股权价值增加表!AD14</f>
        <v>109179839</v>
      </c>
      <c r="AE20" s="26">
        <f>股权价值增加表!AE13-股权价值增加表!AE14</f>
        <v>65690589</v>
      </c>
      <c r="AF20" s="26">
        <f>股权价值增加表!AF13-股权价值增加表!AF14</f>
        <v>18102823</v>
      </c>
      <c r="AG20" s="26">
        <f>股权价值增加表!AG13-股权价值增加表!AG14</f>
        <v>78899291</v>
      </c>
      <c r="AH20" s="26">
        <f>股权价值增加表!AH13-股权价值增加表!AH14</f>
        <v>45750731</v>
      </c>
      <c r="AI20" s="26">
        <f>股权价值增加表!AI13-股权价值增加表!AI14</f>
        <v>24821250</v>
      </c>
      <c r="AJ20" s="26">
        <f>股权价值增加表!AJ13-股权价值增加表!AJ14</f>
        <v>18968011</v>
      </c>
      <c r="AK20" s="26">
        <f>股权价值增加表!AK13-股权价值增加表!AK14</f>
        <v>1223393268</v>
      </c>
      <c r="AL20" s="26">
        <f>股权价值增加表!AL13-股权价值增加表!AL14</f>
        <v>57822255</v>
      </c>
      <c r="AM20" s="26">
        <f>股权价值增加表!AM13-股权价值增加表!AM14</f>
        <v>12265774</v>
      </c>
      <c r="AN20" s="26">
        <f>股权价值增加表!AN13-股权价值增加表!AN14</f>
        <v>4496298</v>
      </c>
      <c r="AO20" s="26">
        <f>股权价值增加表!AO13-股权价值增加表!AO14</f>
        <v>130952076</v>
      </c>
      <c r="AP20" s="26">
        <f>股权价值增加表!AP13-股权价值增加表!AP14</f>
        <v>94157620</v>
      </c>
      <c r="AQ20" s="26">
        <f>股权价值增加表!AQ13-股权价值增加表!AQ14</f>
        <v>54467092</v>
      </c>
      <c r="AR20" s="26">
        <f>股权价值增加表!AR13-股权价值增加表!AR14</f>
        <v>36752750</v>
      </c>
      <c r="AS20" s="26">
        <f>股权价值增加表!AS13-股权价值增加表!AS14</f>
        <v>246280222</v>
      </c>
      <c r="AT20" s="26">
        <f>股权价值增加表!AT13-股权价值增加表!AT14</f>
        <v>151270546</v>
      </c>
      <c r="AU20" s="26">
        <f>股权价值增加表!AU13-股权价值增加表!AU14</f>
        <v>124912796</v>
      </c>
      <c r="AV20" s="26">
        <f>股权价值增加表!AV13-股权价值增加表!AV14</f>
        <v>78217778</v>
      </c>
      <c r="AW20" s="26">
        <f>股权价值增加表!AW13-股权价值增加表!AW14</f>
        <v>-158219901</v>
      </c>
      <c r="AX20" s="26">
        <f>股权价值增加表!AX13-股权价值增加表!AX14</f>
        <v>40853367</v>
      </c>
      <c r="AY20" s="26">
        <f>股权价值增加表!AY13-股权价值增加表!AY14</f>
        <v>27192463</v>
      </c>
      <c r="AZ20" s="26">
        <f>股权价值增加表!AZ13-股权价值增加表!AZ14</f>
        <v>2192280</v>
      </c>
      <c r="BA20" s="26">
        <f>股权价值增加表!BA13-股权价值增加表!BA14</f>
        <v>-16535266</v>
      </c>
      <c r="BB20" s="26">
        <f>股权价值增加表!BB13-股权价值增加表!BB14</f>
        <v>-10623935</v>
      </c>
      <c r="BC20" s="26">
        <f>股权价值增加表!BC13-股权价值增加表!BC14</f>
        <v>-16239837</v>
      </c>
      <c r="BD20" s="26">
        <f>股权价值增加表!BD13-股权价值增加表!BD14</f>
        <v>1278471</v>
      </c>
      <c r="BE20" s="26">
        <f>股权价值增加表!BE13-股权价值增加表!BE14</f>
        <v>-10115475</v>
      </c>
      <c r="BF20" s="26">
        <f>股权价值增加表!BF13-股权价值增加表!BF14</f>
        <v>-10728331.68</v>
      </c>
      <c r="BG20" s="26">
        <f>股权价值增加表!BG13-股权价值增加表!BG14</f>
        <v>-10948371.439999999</v>
      </c>
      <c r="BH20" s="26">
        <f>股权价值增加表!BH13-股权价值增加表!BH14</f>
        <v>-21274201.370000001</v>
      </c>
      <c r="BI20" s="26">
        <f>股权价值增加表!BI13-股权价值增加表!BI14</f>
        <v>-18915330</v>
      </c>
      <c r="BJ20" s="26">
        <f>股权价值增加表!BJ13-股权价值增加表!BJ14</f>
        <v>12723035.73</v>
      </c>
      <c r="BK20" s="26">
        <f>股权价值增加表!BK13-股权价值增加表!BK14</f>
        <v>17941773.600000001</v>
      </c>
      <c r="BL20" s="26">
        <f>股权价值增加表!BL13-股权价值增加表!BL14</f>
        <v>580922.80999999982</v>
      </c>
      <c r="BM20" s="26">
        <f>股权价值增加表!BM13-股权价值增加表!BM14</f>
        <v>-1250167</v>
      </c>
      <c r="BN20" s="26">
        <f>股权价值增加表!BN13-股权价值增加表!BN14</f>
        <v>-4027677.16</v>
      </c>
      <c r="BO20" s="26">
        <f>股权价值增加表!BO13-股权价值增加表!BO14</f>
        <v>-272999.30999999994</v>
      </c>
      <c r="BP20" s="26">
        <f>股权价值增加表!BP13-股权价值增加表!BP14</f>
        <v>-569664.34000000008</v>
      </c>
      <c r="BQ20" s="26">
        <f>股权价值增加表!BQ13-股权价值增加表!BQ14</f>
        <v>6312803</v>
      </c>
      <c r="BR20" s="26">
        <f>股权价值增加表!BR13-股权价值增加表!BR14</f>
        <v>6209207.1799999997</v>
      </c>
      <c r="BS20" s="26">
        <f>股权价值增加表!BS13-股权价值增加表!BS14</f>
        <v>-1213013</v>
      </c>
      <c r="BT20" s="26">
        <f>股权价值增加表!BT13-股权价值增加表!BT14</f>
        <v>1443291</v>
      </c>
      <c r="BU20" s="26">
        <f>股权价值增加表!BU13-股权价值增加表!BU14</f>
        <v>9264354</v>
      </c>
      <c r="BV20" s="26">
        <f>股权价值增加表!BV13-股权价值增加表!BV14</f>
        <v>-670315.61</v>
      </c>
      <c r="BW20" s="26">
        <f>股权价值增加表!BW13-股权价值增加表!BW14</f>
        <v>3355000</v>
      </c>
      <c r="BX20" s="26">
        <f>股权价值增加表!BX13-股权价值增加表!BX14</f>
        <v>-285218.41000000003</v>
      </c>
      <c r="BY20" s="26">
        <f>股权价值增加表!BY13-股权价值增加表!BY14</f>
        <v>17743000</v>
      </c>
      <c r="BZ20" s="26">
        <f>股权价值增加表!BZ13-股权价值增加表!BZ14</f>
        <v>0</v>
      </c>
      <c r="CA20" s="26">
        <f>股权价值增加表!CA13-股权价值增加表!CA14</f>
        <v>93000</v>
      </c>
      <c r="CB20" s="26">
        <f>股权价值增加表!CB13-股权价值增加表!CB14</f>
        <v>-49000</v>
      </c>
      <c r="CC20" s="26">
        <f>股权价值增加表!CC13-股权价值增加表!CC14</f>
        <v>-201000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7.178881980512492E-4</v>
      </c>
      <c r="F21" s="57">
        <f t="shared" ref="F21:BQ21" si="21">F20/F2</f>
        <v>5.6551237027665971E-4</v>
      </c>
      <c r="G21" s="57">
        <f t="shared" si="21"/>
        <v>6.7436211458878157E-4</v>
      </c>
      <c r="H21" s="57">
        <f t="shared" si="21"/>
        <v>5.8072264875622366E-3</v>
      </c>
      <c r="I21" s="57">
        <f t="shared" si="21"/>
        <v>2.9132525622229746E-2</v>
      </c>
      <c r="J21" s="57">
        <f t="shared" si="21"/>
        <v>4.1859708016783216E-2</v>
      </c>
      <c r="K21" s="57">
        <f t="shared" si="21"/>
        <v>6.7598115060363076E-2</v>
      </c>
      <c r="L21" s="57">
        <f t="shared" si="21"/>
        <v>0.11723881438129387</v>
      </c>
      <c r="M21" s="57">
        <f t="shared" si="21"/>
        <v>2.1790561267517369E-2</v>
      </c>
      <c r="N21" s="57">
        <f t="shared" si="21"/>
        <v>1.7561568116502859E-2</v>
      </c>
      <c r="O21" s="57">
        <f t="shared" si="21"/>
        <v>1.7910703383436311E-2</v>
      </c>
      <c r="P21" s="57">
        <f t="shared" si="21"/>
        <v>9.4786317264811057E-3</v>
      </c>
      <c r="Q21" s="57">
        <f t="shared" si="21"/>
        <v>2.3584147665864127E-2</v>
      </c>
      <c r="R21" s="57">
        <f t="shared" si="21"/>
        <v>2.6404172175455463E-2</v>
      </c>
      <c r="S21" s="57">
        <f t="shared" si="21"/>
        <v>3.3472491321048167E-2</v>
      </c>
      <c r="T21" s="57">
        <f t="shared" si="21"/>
        <v>5.2425321430326605E-2</v>
      </c>
      <c r="U21" s="57">
        <f t="shared" si="21"/>
        <v>2.2637616694614782E-2</v>
      </c>
      <c r="V21" s="57">
        <f t="shared" si="21"/>
        <v>8.6739461588953275E-3</v>
      </c>
      <c r="W21" s="57">
        <f t="shared" si="21"/>
        <v>8.5605457541852812E-3</v>
      </c>
      <c r="X21" s="57">
        <f t="shared" si="21"/>
        <v>1.0283707959031859E-2</v>
      </c>
      <c r="Y21" s="57">
        <f t="shared" si="21"/>
        <v>3.5319010763400209E-2</v>
      </c>
      <c r="Z21" s="57">
        <f t="shared" si="21"/>
        <v>2.3349461141568391E-2</v>
      </c>
      <c r="AA21" s="57">
        <f t="shared" si="21"/>
        <v>1.640003673547032E-2</v>
      </c>
      <c r="AB21" s="57">
        <f t="shared" si="21"/>
        <v>1.4369752824911609E-2</v>
      </c>
      <c r="AC21" s="57">
        <f t="shared" si="21"/>
        <v>5.4089858997702946E-2</v>
      </c>
      <c r="AD21" s="57">
        <f t="shared" si="21"/>
        <v>1.2822607084586549E-2</v>
      </c>
      <c r="AE21" s="57">
        <f t="shared" si="21"/>
        <v>1.3297598567113668E-2</v>
      </c>
      <c r="AF21" s="57">
        <f t="shared" si="21"/>
        <v>9.1909007809626835E-3</v>
      </c>
      <c r="AG21" s="57">
        <f t="shared" si="21"/>
        <v>9.8313310376361828E-3</v>
      </c>
      <c r="AH21" s="57">
        <f t="shared" si="21"/>
        <v>7.3766945560455599E-3</v>
      </c>
      <c r="AI21" s="57">
        <f t="shared" si="21"/>
        <v>5.9289778388006984E-3</v>
      </c>
      <c r="AJ21" s="57">
        <f t="shared" si="21"/>
        <v>1.0016696669273328E-2</v>
      </c>
      <c r="AK21" s="57">
        <f t="shared" si="21"/>
        <v>0.19576816519589746</v>
      </c>
      <c r="AL21" s="57">
        <f t="shared" si="21"/>
        <v>1.3309262519640118E-2</v>
      </c>
      <c r="AM21" s="57">
        <f t="shared" si="21"/>
        <v>5.3373225505433065E-3</v>
      </c>
      <c r="AN21" s="57">
        <f t="shared" si="21"/>
        <v>6.2371046074394323E-3</v>
      </c>
      <c r="AO21" s="57">
        <f t="shared" si="21"/>
        <v>1.5712962345916827E-2</v>
      </c>
      <c r="AP21" s="57">
        <f t="shared" si="21"/>
        <v>1.2948009909110528E-2</v>
      </c>
      <c r="AQ21" s="57">
        <f t="shared" si="21"/>
        <v>9.8924923230088394E-3</v>
      </c>
      <c r="AR21" s="57">
        <f t="shared" si="21"/>
        <v>1.2514895028674054E-2</v>
      </c>
      <c r="AS21" s="57">
        <f t="shared" si="21"/>
        <v>2.2047477697349879E-2</v>
      </c>
      <c r="AT21" s="57">
        <f t="shared" si="21"/>
        <v>1.9085128070644813E-2</v>
      </c>
      <c r="AU21" s="57">
        <f t="shared" si="21"/>
        <v>2.6638446130582451E-2</v>
      </c>
      <c r="AV21" s="57">
        <f t="shared" si="21"/>
        <v>3.6332380068836385E-2</v>
      </c>
      <c r="AW21" s="57">
        <f t="shared" si="21"/>
        <v>-1.8017628538734367E-2</v>
      </c>
      <c r="AX21" s="57">
        <f t="shared" si="21"/>
        <v>6.1340724438495708E-3</v>
      </c>
      <c r="AY21" s="57">
        <f t="shared" si="21"/>
        <v>6.3370791010388689E-3</v>
      </c>
      <c r="AZ21" s="57">
        <f t="shared" si="21"/>
        <v>9.1163789708795121E-4</v>
      </c>
      <c r="BA21" s="57">
        <f t="shared" si="21"/>
        <v>-1.2283108116256946E-3</v>
      </c>
      <c r="BB21" s="57">
        <f t="shared" si="21"/>
        <v>-1.2428837814416351E-3</v>
      </c>
      <c r="BC21" s="57">
        <f t="shared" si="21"/>
        <v>-3.7577334383709659E-3</v>
      </c>
      <c r="BD21" s="57">
        <f t="shared" si="21"/>
        <v>6.1409901430275625E-4</v>
      </c>
      <c r="BE21" s="57">
        <f t="shared" si="21"/>
        <v>-8.1302947737198086E-4</v>
      </c>
      <c r="BF21" s="57">
        <f t="shared" si="21"/>
        <v>-1.1522402993118948E-3</v>
      </c>
      <c r="BG21" s="57">
        <f t="shared" si="21"/>
        <v>-1.7561756017934974E-3</v>
      </c>
      <c r="BH21" s="57">
        <f t="shared" si="21"/>
        <v>-5.7590550305516774E-3</v>
      </c>
      <c r="BI21" s="57">
        <f t="shared" si="21"/>
        <v>-1.6918738914519561E-3</v>
      </c>
      <c r="BJ21" s="57">
        <f t="shared" si="21"/>
        <v>1.6630426577304784E-3</v>
      </c>
      <c r="BK21" s="57">
        <f t="shared" si="21"/>
        <v>3.8190649105626505E-3</v>
      </c>
      <c r="BL21" s="57">
        <f t="shared" si="21"/>
        <v>2.5778372780323937E-4</v>
      </c>
      <c r="BM21" s="57">
        <f t="shared" si="21"/>
        <v>-2.6139971362267744E-4</v>
      </c>
      <c r="BN21" s="57">
        <f t="shared" si="21"/>
        <v>-1.177826089255716E-3</v>
      </c>
      <c r="BO21" s="57">
        <f t="shared" si="21"/>
        <v>-1.3566341218873836E-4</v>
      </c>
      <c r="BP21" s="57">
        <f t="shared" si="21"/>
        <v>-5.4808683818307583E-4</v>
      </c>
      <c r="BQ21" s="57">
        <f t="shared" si="21"/>
        <v>2.3647503326644139E-3</v>
      </c>
      <c r="BR21" s="57">
        <f t="shared" ref="BR21:CK21" si="22">BR20/BR2</f>
        <v>4.8650765193399333E-3</v>
      </c>
      <c r="BS21" s="57">
        <f t="shared" si="22"/>
        <v>-5.4277823493414858E-4</v>
      </c>
      <c r="BT21" s="57">
        <f t="shared" si="22"/>
        <v>1.4531503285364529E-3</v>
      </c>
      <c r="BU21" s="57">
        <f t="shared" si="22"/>
        <v>1.2487554522641697E-2</v>
      </c>
      <c r="BV21" s="57">
        <f t="shared" si="22"/>
        <v>-3.339271167281728E-3</v>
      </c>
      <c r="BW21" s="57">
        <f t="shared" si="22"/>
        <v>1.4126494229400792E-2</v>
      </c>
      <c r="BX21" s="57">
        <f t="shared" si="22"/>
        <v>-2.6957979708914803E-3</v>
      </c>
      <c r="BY21" s="57">
        <f t="shared" si="22"/>
        <v>6.4496546710287164E-2</v>
      </c>
      <c r="BZ21" s="57">
        <f t="shared" si="22"/>
        <v>0</v>
      </c>
      <c r="CA21" s="57">
        <f t="shared" si="22"/>
        <v>4.8649072790521279E-4</v>
      </c>
      <c r="CB21" s="57">
        <f t="shared" si="22"/>
        <v>-2.6656656820024048E-4</v>
      </c>
      <c r="CC21" s="57">
        <f t="shared" si="22"/>
        <v>-1.4911864205590837E-3</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0.13813955095367897</v>
      </c>
      <c r="F22" s="66">
        <f t="shared" ref="F22:BQ22" si="23">F11+F13+F15+F17+F19+F21</f>
        <v>0.13212403117535501</v>
      </c>
      <c r="G22" s="66">
        <f t="shared" si="23"/>
        <v>0.13654179007986969</v>
      </c>
      <c r="H22" s="66">
        <f t="shared" si="23"/>
        <v>0.13538415575287055</v>
      </c>
      <c r="I22" s="66">
        <f t="shared" si="23"/>
        <v>0.17009229213256261</v>
      </c>
      <c r="J22" s="66">
        <f t="shared" si="23"/>
        <v>0.17183166163587069</v>
      </c>
      <c r="K22" s="66">
        <f t="shared" si="23"/>
        <v>0.20428208155945493</v>
      </c>
      <c r="L22" s="66">
        <f t="shared" si="23"/>
        <v>0.26013595566006992</v>
      </c>
      <c r="M22" s="66">
        <f t="shared" si="23"/>
        <v>0.1793446919097953</v>
      </c>
      <c r="N22" s="66">
        <f t="shared" si="23"/>
        <v>0.16236279476590601</v>
      </c>
      <c r="O22" s="66">
        <f t="shared" si="23"/>
        <v>0.1657835778823768</v>
      </c>
      <c r="P22" s="66">
        <f t="shared" si="23"/>
        <v>0.15144431783415416</v>
      </c>
      <c r="Q22" s="66">
        <f t="shared" si="23"/>
        <v>0.19299446744035281</v>
      </c>
      <c r="R22" s="66">
        <f t="shared" si="23"/>
        <v>0.18836809918806571</v>
      </c>
      <c r="S22" s="66">
        <f t="shared" si="23"/>
        <v>0.19505874039850352</v>
      </c>
      <c r="T22" s="66">
        <f t="shared" si="23"/>
        <v>0.1877637879424538</v>
      </c>
      <c r="U22" s="66">
        <f t="shared" si="23"/>
        <v>0.18395010221388658</v>
      </c>
      <c r="V22" s="66">
        <f t="shared" si="23"/>
        <v>0.16722052442498744</v>
      </c>
      <c r="W22" s="66">
        <f t="shared" si="23"/>
        <v>0.16555125275007193</v>
      </c>
      <c r="X22" s="66">
        <f t="shared" si="23"/>
        <v>0.16393493036467136</v>
      </c>
      <c r="Y22" s="66">
        <f t="shared" si="23"/>
        <v>0.16822496088289049</v>
      </c>
      <c r="Z22" s="66">
        <f t="shared" si="23"/>
        <v>0.13276995372907627</v>
      </c>
      <c r="AA22" s="66">
        <f t="shared" si="23"/>
        <v>0.14210352694024697</v>
      </c>
      <c r="AB22" s="66">
        <f t="shared" si="23"/>
        <v>0.20015920253354214</v>
      </c>
      <c r="AC22" s="66">
        <f t="shared" si="23"/>
        <v>0.34144749974798755</v>
      </c>
      <c r="AD22" s="66">
        <f t="shared" si="23"/>
        <v>0.20083657865545107</v>
      </c>
      <c r="AE22" s="66">
        <f t="shared" si="23"/>
        <v>0.22735763330415798</v>
      </c>
      <c r="AF22" s="66">
        <f t="shared" si="23"/>
        <v>0.30889273677900114</v>
      </c>
      <c r="AG22" s="66">
        <f t="shared" si="23"/>
        <v>0.27721568465701546</v>
      </c>
      <c r="AH22" s="66">
        <f t="shared" si="23"/>
        <v>0.18757479944500005</v>
      </c>
      <c r="AI22" s="66">
        <f t="shared" si="23"/>
        <v>0.16420061131118197</v>
      </c>
      <c r="AJ22" s="66">
        <f t="shared" si="23"/>
        <v>0.20425158063347451</v>
      </c>
      <c r="AK22" s="66">
        <f t="shared" si="23"/>
        <v>0.3731937790661618</v>
      </c>
      <c r="AL22" s="66">
        <f t="shared" si="23"/>
        <v>0.1560267390020828</v>
      </c>
      <c r="AM22" s="66">
        <f t="shared" si="23"/>
        <v>0.19645455433748285</v>
      </c>
      <c r="AN22" s="66">
        <f t="shared" si="23"/>
        <v>0.471381635571055</v>
      </c>
      <c r="AO22" s="66">
        <f t="shared" si="23"/>
        <v>0.17464535357188971</v>
      </c>
      <c r="AP22" s="66">
        <f t="shared" si="23"/>
        <v>0.12927769963903049</v>
      </c>
      <c r="AQ22" s="66">
        <f t="shared" si="23"/>
        <v>9.2217866355755504E-2</v>
      </c>
      <c r="AR22" s="66">
        <f t="shared" si="23"/>
        <v>9.0852149595898379E-2</v>
      </c>
      <c r="AS22" s="66">
        <f t="shared" si="23"/>
        <v>0.10207070278018833</v>
      </c>
      <c r="AT22" s="66">
        <f t="shared" si="23"/>
        <v>7.5971167498222178E-2</v>
      </c>
      <c r="AU22" s="66">
        <f t="shared" si="23"/>
        <v>8.2024646648942851E-2</v>
      </c>
      <c r="AV22" s="66">
        <f t="shared" si="23"/>
        <v>0.10871491710609579</v>
      </c>
      <c r="AW22" s="66">
        <f t="shared" si="23"/>
        <v>0.12679506121597608</v>
      </c>
      <c r="AX22" s="66">
        <f t="shared" si="23"/>
        <v>0.16603857320070228</v>
      </c>
      <c r="AY22" s="66">
        <f t="shared" si="23"/>
        <v>0.20730121212183131</v>
      </c>
      <c r="AZ22" s="66">
        <f t="shared" si="23"/>
        <v>0.12527570270272759</v>
      </c>
      <c r="BA22" s="66">
        <f t="shared" si="23"/>
        <v>0.10262233384929653</v>
      </c>
      <c r="BB22" s="66">
        <f t="shared" si="23"/>
        <v>0.10249131272560844</v>
      </c>
      <c r="BC22" s="66">
        <f t="shared" si="23"/>
        <v>0.12593574983565578</v>
      </c>
      <c r="BD22" s="66">
        <f t="shared" si="23"/>
        <v>0.10245081394587255</v>
      </c>
      <c r="BE22" s="66">
        <f t="shared" si="23"/>
        <v>0.101633587374738</v>
      </c>
      <c r="BF22" s="66">
        <f t="shared" si="23"/>
        <v>8.8154400547109574E-2</v>
      </c>
      <c r="BG22" s="66">
        <f t="shared" si="23"/>
        <v>9.8482571447978395E-2</v>
      </c>
      <c r="BH22" s="66">
        <f t="shared" si="23"/>
        <v>6.6966699816690844E-2</v>
      </c>
      <c r="BI22" s="66">
        <f t="shared" si="23"/>
        <v>9.5271532465876219E-2</v>
      </c>
      <c r="BJ22" s="66">
        <f t="shared" si="23"/>
        <v>9.3265483146844574E-2</v>
      </c>
      <c r="BK22" s="66">
        <f t="shared" si="23"/>
        <v>9.6921150876644019E-2</v>
      </c>
      <c r="BL22" s="66">
        <f t="shared" si="23"/>
        <v>8.0276092040785299E-2</v>
      </c>
      <c r="BM22" s="66">
        <f t="shared" si="23"/>
        <v>9.1305870515566004E-2</v>
      </c>
      <c r="BN22" s="66">
        <f t="shared" si="23"/>
        <v>8.6413877690760865E-2</v>
      </c>
      <c r="BO22" s="66">
        <f t="shared" si="23"/>
        <v>7.8682607708951191E-2</v>
      </c>
      <c r="BP22" s="66">
        <f t="shared" si="23"/>
        <v>8.1177444376103858E-2</v>
      </c>
      <c r="BQ22" s="66">
        <f t="shared" si="23"/>
        <v>7.1775298173792981E-2</v>
      </c>
      <c r="BR22" s="66">
        <f t="shared" ref="BR22:CJ22" si="24">BR11+BR13+BR15+BR17+BR19+BR21</f>
        <v>7.4939966548739412E-2</v>
      </c>
      <c r="BS22" s="66">
        <f t="shared" si="24"/>
        <v>6.941434925015999E-2</v>
      </c>
      <c r="BT22" s="66">
        <f t="shared" si="24"/>
        <v>6.4882481400274652E-2</v>
      </c>
      <c r="BU22" s="66">
        <f t="shared" si="24"/>
        <v>0.12379401255181227</v>
      </c>
      <c r="BV22" s="66">
        <f t="shared" si="24"/>
        <v>0.18026502924780002</v>
      </c>
      <c r="BW22" s="66">
        <f t="shared" si="24"/>
        <v>0.18266757053773308</v>
      </c>
      <c r="BX22" s="66">
        <f t="shared" si="24"/>
        <v>0.12814184467367912</v>
      </c>
      <c r="BY22" s="66">
        <f t="shared" si="24"/>
        <v>0.18524536532170122</v>
      </c>
      <c r="BZ22" s="66">
        <f t="shared" si="24"/>
        <v>0</v>
      </c>
      <c r="CA22" s="66">
        <f t="shared" si="24"/>
        <v>0.20807156121674994</v>
      </c>
      <c r="CB22" s="66">
        <f t="shared" si="24"/>
        <v>0.24533372502298456</v>
      </c>
      <c r="CC22" s="66">
        <f t="shared" si="24"/>
        <v>0.19567926879933528</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7" t="s">
        <v>370</v>
      </c>
      <c r="E23" s="27">
        <f>股权价值增加表!E17</f>
        <v>8440002804.2189178</v>
      </c>
      <c r="F23" s="27">
        <f>股权价值增加表!F17</f>
        <v>7442666850.3505669</v>
      </c>
      <c r="G23" s="27">
        <f>股权价值增加表!G17</f>
        <v>5203117783.8520718</v>
      </c>
      <c r="H23" s="27">
        <f>股权价值增加表!H17</f>
        <v>3009034705.4515781</v>
      </c>
      <c r="I23" s="27">
        <f>股权价值增加表!I17</f>
        <v>3365110109.094727</v>
      </c>
      <c r="J23" s="27">
        <f>股权价值增加表!J17</f>
        <v>1058604945.8276627</v>
      </c>
      <c r="K23" s="27">
        <f>股权价值增加表!K17</f>
        <v>697985289.16376352</v>
      </c>
      <c r="L23" s="27">
        <f>股权价值增加表!L17</f>
        <v>364756082.08341545</v>
      </c>
      <c r="M23" s="27">
        <f>股权价值增加表!M17</f>
        <v>2239648897.2693076</v>
      </c>
      <c r="N23" s="27">
        <f>股权价值增加表!N17</f>
        <v>2708399752.354341</v>
      </c>
      <c r="O23" s="27">
        <f>股权价值增加表!O17</f>
        <v>2058044693.2372947</v>
      </c>
      <c r="P23" s="27">
        <f>股权价值增加表!P17</f>
        <v>1101732759.7042799</v>
      </c>
      <c r="Q23" s="27">
        <f>股权价值增加表!Q17</f>
        <v>2537763380.8743553</v>
      </c>
      <c r="R23" s="27">
        <f>股权价值增加表!R17</f>
        <v>1941030481.9351742</v>
      </c>
      <c r="S23" s="27">
        <f>股权价值增加表!S17</f>
        <v>1247379677.4012947</v>
      </c>
      <c r="T23" s="27">
        <f>股权价值增加表!T17</f>
        <v>854034063.27221417</v>
      </c>
      <c r="U23" s="27">
        <f>股权价值增加表!U17</f>
        <v>3334836942.5248957</v>
      </c>
      <c r="V23" s="27">
        <f>股权价值增加表!V17</f>
        <v>2195575445.7536488</v>
      </c>
      <c r="W23" s="27">
        <f>股权价值增加表!W17</f>
        <v>1353525169.4844794</v>
      </c>
      <c r="X23" s="27">
        <f>股权价值增加表!X17</f>
        <v>537525556.5483259</v>
      </c>
      <c r="Y23" s="27">
        <f>股权价值增加表!Y17</f>
        <v>464285207.93064612</v>
      </c>
      <c r="Z23" s="27">
        <f>股权价值增加表!Z17</f>
        <v>-614254059.63704205</v>
      </c>
      <c r="AA23" s="27">
        <f>股权价值增加表!AA17</f>
        <v>-951183780.50786972</v>
      </c>
      <c r="AB23" s="27">
        <f>股权价值增加表!AB17</f>
        <v>-753112920.12522209</v>
      </c>
      <c r="AC23" s="27">
        <f>股权价值增加表!AC17</f>
        <v>-3129618863.5681486</v>
      </c>
      <c r="AD23" s="27">
        <f>股权价值增加表!AD17</f>
        <v>-2253522775.0244555</v>
      </c>
      <c r="AE23" s="27">
        <f>股权价值增加表!AE17</f>
        <v>-1393654583.6027114</v>
      </c>
      <c r="AF23" s="27">
        <f>股权价值增加表!AF17</f>
        <v>-827021037.73988748</v>
      </c>
      <c r="AG23" s="27">
        <f>股权价值增加表!AG17</f>
        <v>-2357507172.0663438</v>
      </c>
      <c r="AH23" s="27">
        <f>股权价值增加表!AH17</f>
        <v>-1136335373.3708012</v>
      </c>
      <c r="AI23" s="27">
        <f>股权价值增加表!AI17</f>
        <v>-590113056.97636735</v>
      </c>
      <c r="AJ23" s="27">
        <f>股权价值增加表!AJ17</f>
        <v>-333016029.06818485</v>
      </c>
      <c r="AK23" s="27">
        <f>股权价值增加表!AK17</f>
        <v>95652880.938684821</v>
      </c>
      <c r="AL23" s="27">
        <f>股权价值增加表!AL17</f>
        <v>-707937555.98995888</v>
      </c>
      <c r="AM23" s="27">
        <f>股权价值增加表!AM17</f>
        <v>-730681744.38368571</v>
      </c>
      <c r="AN23" s="27">
        <f>股权价值增加表!AN17</f>
        <v>-476281868.05883282</v>
      </c>
      <c r="AO23" s="27">
        <f>股权价值增加表!AO17</f>
        <v>-582237669.79921401</v>
      </c>
      <c r="AP23" s="27">
        <f>股权价值增加表!AP17</f>
        <v>116713077.17702803</v>
      </c>
      <c r="AQ23" s="27">
        <f>股权价值增加表!AQ17</f>
        <v>592318236.44303906</v>
      </c>
      <c r="AR23" s="27">
        <f>股权价值增加表!AR17</f>
        <v>370950408.25364709</v>
      </c>
      <c r="AS23" s="27">
        <f>股权价值增加表!AS17</f>
        <v>1343275535.6527312</v>
      </c>
      <c r="AT23" s="27">
        <f>股权价值增加表!AT17</f>
        <v>559534675.62606108</v>
      </c>
      <c r="AU23" s="27">
        <f>股权价值增加表!AU17</f>
        <v>-4330800.6424479904</v>
      </c>
      <c r="AV23" s="27">
        <f>股权价值增加表!AV17</f>
        <v>-229587185.78366426</v>
      </c>
      <c r="AW23" s="27">
        <f>股权价值增加表!AW17</f>
        <v>-2618053500.9690189</v>
      </c>
      <c r="AX23" s="27">
        <f>股权价值增加表!AX17</f>
        <v>-2355736553.7320809</v>
      </c>
      <c r="AY23" s="27">
        <f>股权价值增加表!AY17</f>
        <v>-1593447053.4566586</v>
      </c>
      <c r="AZ23" s="27">
        <f>股权价值增加表!AZ17</f>
        <v>-455173910.88525003</v>
      </c>
      <c r="BA23" s="27">
        <f>股权价值增加表!BA17</f>
        <v>-1235602520.7956257</v>
      </c>
      <c r="BB23" s="27">
        <f>股权价值增加表!BB17</f>
        <v>-1132918799.4630692</v>
      </c>
      <c r="BC23" s="27">
        <f>股权价值增加表!BC17</f>
        <v>-867574820.85648417</v>
      </c>
      <c r="BD23" s="27">
        <f>股权价值增加表!BD17</f>
        <v>-428605288.42882526</v>
      </c>
      <c r="BE23" s="27">
        <f>股权价值增加表!BE17</f>
        <v>5599435.3641501516</v>
      </c>
      <c r="BF23" s="27">
        <f>股权价值增加表!BF17</f>
        <v>351481569.29087853</v>
      </c>
      <c r="BG23" s="27">
        <f>股权价值增加表!BG17</f>
        <v>409956351.85584092</v>
      </c>
      <c r="BH23" s="27">
        <f>股权价值增加表!BH17</f>
        <v>234267711.42112276</v>
      </c>
      <c r="BI23" s="27">
        <f>股权价值增加表!BI17</f>
        <v>602919567.24638999</v>
      </c>
      <c r="BJ23" s="27">
        <f>股权价值增加表!BJ17</f>
        <v>474972090.48091817</v>
      </c>
      <c r="BK23" s="27">
        <f>股权价值增加表!BK17</f>
        <v>330373435.54101557</v>
      </c>
      <c r="BL23" s="27">
        <f>股权价值增加表!BL17</f>
        <v>163641206.18245506</v>
      </c>
      <c r="BM23" s="27">
        <f>股权价值增加表!BM17</f>
        <v>154232360.56464732</v>
      </c>
      <c r="BN23" s="27">
        <f>股权价值增加表!BN17</f>
        <v>154160666.16998631</v>
      </c>
      <c r="BO23" s="27">
        <f>股权价值增加表!BO17</f>
        <v>121980687.60656637</v>
      </c>
      <c r="BP23" s="27">
        <f>股权价值增加表!BP17</f>
        <v>62358182.080788001</v>
      </c>
      <c r="BQ23" s="27">
        <f>股权价值增加表!BQ17</f>
        <v>119817304.24725404</v>
      </c>
      <c r="BR23" s="27">
        <f>股权价值增加表!BR17</f>
        <v>74644210.762910813</v>
      </c>
      <c r="BS23" s="27">
        <f>股权价值增加表!BS17</f>
        <v>91770685.685967743</v>
      </c>
      <c r="BT23" s="27">
        <f>股权价值增加表!BT17</f>
        <v>46145459.378695339</v>
      </c>
      <c r="BU23" s="27">
        <f>股权价值增加表!BU17</f>
        <v>65093014.045074381</v>
      </c>
      <c r="BV23" s="27">
        <f>股权价值增加表!BV17</f>
        <v>12089914.898409367</v>
      </c>
      <c r="BW23" s="27">
        <f>股权价值增加表!BW17</f>
        <v>19015788.420234885</v>
      </c>
      <c r="BX23" s="27">
        <f>股权价值增加表!BX17</f>
        <v>13462425.212566428</v>
      </c>
      <c r="BY23" s="27">
        <f>股权价值增加表!BY17</f>
        <v>67055813.897372611</v>
      </c>
      <c r="BZ23" s="27">
        <f>股权价值增加表!BZ17</f>
        <v>104971258.97529683</v>
      </c>
      <c r="CA23" s="27">
        <f>股权价值增加表!CA17</f>
        <v>25919671.801513188</v>
      </c>
      <c r="CB23" s="27">
        <f>股权价值增加表!CB17</f>
        <v>13273460.008658726</v>
      </c>
      <c r="CC23" s="27">
        <f>股权价值增加表!CC17</f>
        <v>11600372.524764722</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8.9978248244058479E-2</v>
      </c>
      <c r="F24" s="57">
        <f t="shared" ref="F24:BQ24" si="25">F23/F2</f>
        <v>0.1072301270888685</v>
      </c>
      <c r="G24" s="57">
        <f t="shared" si="25"/>
        <v>0.11664868329272914</v>
      </c>
      <c r="H24" s="57">
        <f t="shared" si="25"/>
        <v>0.13768191422285495</v>
      </c>
      <c r="I24" s="57">
        <f t="shared" si="25"/>
        <v>4.8843572436137656E-2</v>
      </c>
      <c r="J24" s="57">
        <f t="shared" si="25"/>
        <v>2.3092516091001526E-2</v>
      </c>
      <c r="K24" s="57">
        <f t="shared" si="25"/>
        <v>2.6390543299051772E-2</v>
      </c>
      <c r="L24" s="57">
        <f t="shared" si="25"/>
        <v>2.9660418644897782E-2</v>
      </c>
      <c r="M24" s="57">
        <f t="shared" si="25"/>
        <v>4.6060818262537565E-2</v>
      </c>
      <c r="N24" s="57">
        <f t="shared" si="25"/>
        <v>7.4364815555279545E-2</v>
      </c>
      <c r="O24" s="57">
        <f t="shared" si="25"/>
        <v>8.9593761762856702E-2</v>
      </c>
      <c r="P24" s="57">
        <f t="shared" si="25"/>
        <v>9.5117552518120971E-2</v>
      </c>
      <c r="Q24" s="57">
        <f t="shared" si="25"/>
        <v>6.8930398529755285E-2</v>
      </c>
      <c r="R24" s="57">
        <f t="shared" si="25"/>
        <v>7.6756768279166554E-2</v>
      </c>
      <c r="S24" s="57">
        <f t="shared" si="25"/>
        <v>7.7413665639849166E-2</v>
      </c>
      <c r="T24" s="57">
        <f t="shared" si="25"/>
        <v>0.10554472440461689</v>
      </c>
      <c r="U24" s="57">
        <f t="shared" si="25"/>
        <v>9.8738933520184272E-2</v>
      </c>
      <c r="V24" s="57">
        <f t="shared" si="25"/>
        <v>8.8624997077570503E-2</v>
      </c>
      <c r="W24" s="57">
        <f t="shared" si="25"/>
        <v>8.3271688035866653E-2</v>
      </c>
      <c r="X24" s="57">
        <f t="shared" si="25"/>
        <v>6.6701574449425233E-2</v>
      </c>
      <c r="Y24" s="57">
        <f t="shared" si="25"/>
        <v>1.8015393193996053E-2</v>
      </c>
      <c r="Z24" s="57">
        <f t="shared" si="25"/>
        <v>-3.5873232490717631E-2</v>
      </c>
      <c r="AA24" s="57">
        <f t="shared" si="25"/>
        <v>-9.8990057242975715E-2</v>
      </c>
      <c r="AB24" s="57">
        <f t="shared" si="25"/>
        <v>-0.18157619458479834</v>
      </c>
      <c r="AC24" s="57">
        <f t="shared" si="25"/>
        <v>-0.24562571871161343</v>
      </c>
      <c r="AD24" s="57">
        <f t="shared" si="25"/>
        <v>-0.26466458794013903</v>
      </c>
      <c r="AE24" s="57">
        <f t="shared" si="25"/>
        <v>-0.28211437096365216</v>
      </c>
      <c r="AF24" s="57">
        <f t="shared" si="25"/>
        <v>-0.41988303711725522</v>
      </c>
      <c r="AG24" s="57">
        <f t="shared" si="25"/>
        <v>-0.29375971746293322</v>
      </c>
      <c r="AH24" s="57">
        <f t="shared" si="25"/>
        <v>-0.18321890775005079</v>
      </c>
      <c r="AI24" s="57">
        <f t="shared" si="25"/>
        <v>-0.14095854307094993</v>
      </c>
      <c r="AJ24" s="57">
        <f t="shared" si="25"/>
        <v>-0.17586032342462882</v>
      </c>
      <c r="AK24" s="57">
        <f t="shared" si="25"/>
        <v>1.5306434559412633E-2</v>
      </c>
      <c r="AL24" s="57">
        <f t="shared" si="25"/>
        <v>-0.16294983272760269</v>
      </c>
      <c r="AM24" s="57">
        <f t="shared" si="25"/>
        <v>-0.31794847610671501</v>
      </c>
      <c r="AN24" s="57">
        <f t="shared" si="25"/>
        <v>-0.66068126127529936</v>
      </c>
      <c r="AO24" s="57">
        <f t="shared" si="25"/>
        <v>-6.9862799135230247E-2</v>
      </c>
      <c r="AP24" s="57">
        <f t="shared" si="25"/>
        <v>1.6049705587406954E-2</v>
      </c>
      <c r="AQ24" s="57">
        <f t="shared" si="25"/>
        <v>0.10757878549475156</v>
      </c>
      <c r="AR24" s="57">
        <f t="shared" si="25"/>
        <v>0.12631450490475349</v>
      </c>
      <c r="AS24" s="57">
        <f t="shared" si="25"/>
        <v>0.12025260158202758</v>
      </c>
      <c r="AT24" s="57">
        <f t="shared" si="25"/>
        <v>7.059398691064471E-2</v>
      </c>
      <c r="AU24" s="57">
        <f t="shared" si="25"/>
        <v>-9.2357070941028862E-4</v>
      </c>
      <c r="AV24" s="57">
        <f t="shared" si="25"/>
        <v>-0.10664389996896409</v>
      </c>
      <c r="AW24" s="57">
        <f t="shared" si="25"/>
        <v>-0.29813642390657807</v>
      </c>
      <c r="AX24" s="57">
        <f t="shared" si="25"/>
        <v>-0.3537103485060879</v>
      </c>
      <c r="AY24" s="57">
        <f t="shared" si="25"/>
        <v>-0.37134554604605535</v>
      </c>
      <c r="AZ24" s="57">
        <f t="shared" si="25"/>
        <v>-0.18927955686715559</v>
      </c>
      <c r="BA24" s="57">
        <f t="shared" si="25"/>
        <v>-9.1785879656561264E-2</v>
      </c>
      <c r="BB24" s="57">
        <f t="shared" si="25"/>
        <v>-0.13253906406081897</v>
      </c>
      <c r="BC24" s="57">
        <f t="shared" si="25"/>
        <v>-0.20074800717649513</v>
      </c>
      <c r="BD24" s="57">
        <f t="shared" si="25"/>
        <v>-0.2058756789548532</v>
      </c>
      <c r="BE24" s="57">
        <f t="shared" si="25"/>
        <v>4.5005360674542572E-4</v>
      </c>
      <c r="BF24" s="57">
        <f t="shared" si="25"/>
        <v>3.774969311932537E-2</v>
      </c>
      <c r="BG24" s="57">
        <f t="shared" si="25"/>
        <v>6.5759126539964949E-2</v>
      </c>
      <c r="BH24" s="57">
        <f t="shared" si="25"/>
        <v>6.3417686919997676E-2</v>
      </c>
      <c r="BI24" s="57">
        <f t="shared" si="25"/>
        <v>5.3927892057377753E-2</v>
      </c>
      <c r="BJ24" s="57">
        <f t="shared" si="25"/>
        <v>6.2084149134208816E-2</v>
      </c>
      <c r="BK24" s="57">
        <f t="shared" si="25"/>
        <v>7.0322902472513868E-2</v>
      </c>
      <c r="BL24" s="57">
        <f t="shared" si="25"/>
        <v>7.2615568584631376E-2</v>
      </c>
      <c r="BM24" s="57">
        <f t="shared" si="25"/>
        <v>3.2248727476367825E-2</v>
      </c>
      <c r="BN24" s="57">
        <f t="shared" si="25"/>
        <v>4.5081680417516611E-2</v>
      </c>
      <c r="BO24" s="57">
        <f t="shared" si="25"/>
        <v>6.0616696437201058E-2</v>
      </c>
      <c r="BP24" s="57">
        <f t="shared" si="25"/>
        <v>5.9996205575205262E-2</v>
      </c>
      <c r="BQ24" s="57">
        <f t="shared" si="25"/>
        <v>4.4883074931634535E-2</v>
      </c>
      <c r="BR24" s="57">
        <f t="shared" ref="BR24:CJ24" si="26">BR23/BR2</f>
        <v>5.8485694962315392E-2</v>
      </c>
      <c r="BS24" s="57">
        <f t="shared" si="26"/>
        <v>4.1063971115994718E-2</v>
      </c>
      <c r="BT24" s="57">
        <f t="shared" si="26"/>
        <v>4.646068565287019E-2</v>
      </c>
      <c r="BU24" s="57">
        <f t="shared" si="26"/>
        <v>8.7739799443215152E-2</v>
      </c>
      <c r="BV24" s="57">
        <f t="shared" si="26"/>
        <v>6.0227605672420789E-2</v>
      </c>
      <c r="BW24" s="57">
        <f t="shared" si="26"/>
        <v>8.0067488937691361E-2</v>
      </c>
      <c r="BX24" s="57">
        <f t="shared" si="26"/>
        <v>0.12724276308571691</v>
      </c>
      <c r="BY24" s="57">
        <f t="shared" si="26"/>
        <v>0.24375068664984592</v>
      </c>
      <c r="BZ24" s="57">
        <f t="shared" si="26"/>
        <v>0.94481880591975687</v>
      </c>
      <c r="CA24" s="57">
        <f t="shared" si="26"/>
        <v>0.13558795700841256</v>
      </c>
      <c r="CB24" s="57">
        <f t="shared" si="26"/>
        <v>7.2209401686761029E-2</v>
      </c>
      <c r="CC24" s="57">
        <f t="shared" si="26"/>
        <v>8.6061283494307694E-2</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667</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49" t="s">
        <v>597</v>
      </c>
      <c r="B26" s="150"/>
      <c r="C26" s="150"/>
      <c r="D26" s="150"/>
      <c r="E26" s="151">
        <f>POWER(E2/Y2,1/6)-1</f>
        <v>0.24025406511919734</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35064</v>
      </c>
      <c r="CC27" s="1">
        <v>34699</v>
      </c>
      <c r="CD27" s="1">
        <v>25569</v>
      </c>
      <c r="CE27" s="1"/>
      <c r="CF27" s="1"/>
      <c r="CG27" s="1"/>
      <c r="CH27" s="1"/>
      <c r="CI27" s="1"/>
      <c r="CJ27" s="1"/>
      <c r="CK27" s="1"/>
    </row>
    <row r="28" spans="1:89" s="26" customFormat="1" x14ac:dyDescent="0.25">
      <c r="A28" s="17" t="s">
        <v>373</v>
      </c>
      <c r="E28" s="26">
        <f>股权价值增加表!E15</f>
        <v>10695122066</v>
      </c>
      <c r="F28" s="26">
        <f>股权价值增加表!F15</f>
        <v>9040950087</v>
      </c>
      <c r="G28" s="26">
        <f>股权价值增加表!G15</f>
        <v>6339470919</v>
      </c>
      <c r="H28" s="26">
        <f>股权价值增加表!H15</f>
        <v>3552450207</v>
      </c>
      <c r="I28" s="26">
        <f>股权价值增加表!I15</f>
        <v>4605551421</v>
      </c>
      <c r="J28" s="26">
        <f>股权价值增加表!J15</f>
        <v>1985529617</v>
      </c>
      <c r="K28" s="26">
        <f>股权价值增加表!K15</f>
        <v>634015494</v>
      </c>
      <c r="L28" s="26">
        <f>股权价值增加表!L15</f>
        <v>459267459</v>
      </c>
      <c r="M28" s="26">
        <f>股权价值增加表!M15</f>
        <v>3267310191</v>
      </c>
      <c r="N28" s="26">
        <f>股权价值增加表!N15</f>
        <v>3400036131</v>
      </c>
      <c r="O28" s="26">
        <f>股权价值增加表!O15</f>
        <v>2475896371</v>
      </c>
      <c r="P28" s="26">
        <f>股权价值增加表!P15</f>
        <v>1348411382</v>
      </c>
      <c r="Q28" s="26">
        <f>股权价值增加表!Q15</f>
        <v>2942653415</v>
      </c>
      <c r="R28" s="26">
        <f>股权价值增加表!R15</f>
        <v>2216824320</v>
      </c>
      <c r="S28" s="26">
        <f>股权价值增加表!S15</f>
        <v>1418734150</v>
      </c>
      <c r="T28" s="26">
        <f>股权价值增加表!T15</f>
        <v>937653946</v>
      </c>
      <c r="U28" s="26">
        <f>股权价值增加表!U15</f>
        <v>3386817560</v>
      </c>
      <c r="V28" s="26">
        <f>股权价值增加表!V15</f>
        <v>2284679624</v>
      </c>
      <c r="W28" s="26">
        <f>股权价值增加表!W15</f>
        <v>1380359273</v>
      </c>
      <c r="X28" s="26">
        <f>股权价值增加表!X15</f>
        <v>543608095</v>
      </c>
      <c r="Y28" s="26">
        <f>股权价值增加表!Y15</f>
        <v>466280978</v>
      </c>
      <c r="Z28" s="26">
        <f>股权价值增加表!Z15</f>
        <v>-609358386</v>
      </c>
      <c r="AA28" s="26">
        <f>股权价值增加表!AA15</f>
        <v>-943798678</v>
      </c>
      <c r="AB28" s="26">
        <f>股权价值增加表!AB15</f>
        <v>-751123301</v>
      </c>
      <c r="AC28" s="26">
        <f>股权价值增加表!AC15</f>
        <v>-3671976578</v>
      </c>
      <c r="AD28" s="26">
        <f>股权价值增加表!AD15</f>
        <v>-2255158655</v>
      </c>
      <c r="AE28" s="26">
        <f>股权价值增加表!AE15</f>
        <v>-1396457044</v>
      </c>
      <c r="AF28" s="26">
        <f>股权价值增加表!AF15</f>
        <v>-827927283</v>
      </c>
      <c r="AG28" s="26">
        <f>股权价值增加表!AG15</f>
        <v>-2329800097</v>
      </c>
      <c r="AH28" s="26">
        <f>股权价值增加表!AH15</f>
        <v>-1120517898</v>
      </c>
      <c r="AI28" s="26">
        <f>股权价值增加表!AI15</f>
        <v>-576580454</v>
      </c>
      <c r="AJ28" s="26">
        <f>股权价值增加表!AJ15</f>
        <v>-334760729</v>
      </c>
      <c r="AK28" s="26">
        <f>股权价值增加表!AK15</f>
        <v>87170908</v>
      </c>
      <c r="AL28" s="26">
        <f>股权价值增加表!AL15</f>
        <v>-700799808</v>
      </c>
      <c r="AM28" s="26">
        <f>股权价值增加表!AM15</f>
        <v>-725272688</v>
      </c>
      <c r="AN28" s="26">
        <f>股权价值增加表!AN15</f>
        <v>-474367127</v>
      </c>
      <c r="AO28" s="26">
        <f>股权价值增加表!AO15</f>
        <v>-541099047</v>
      </c>
      <c r="AP28" s="26">
        <f>股权价值增加表!AP15</f>
        <v>185767785</v>
      </c>
      <c r="AQ28" s="26">
        <f>股权价值增加表!AQ15</f>
        <v>645871574</v>
      </c>
      <c r="AR28" s="26">
        <f>股权价值增加表!AR15</f>
        <v>403349082</v>
      </c>
      <c r="AS28" s="26">
        <f>股权价值增加表!AS15</f>
        <v>1258963394</v>
      </c>
      <c r="AT28" s="26">
        <f>股权价值增加表!AT15</f>
        <v>571311888</v>
      </c>
      <c r="AU28" s="26">
        <f>股权价值增加表!AU15</f>
        <v>-5542100</v>
      </c>
      <c r="AV28" s="26">
        <f>股权价值增加表!AV15</f>
        <v>-223345041</v>
      </c>
      <c r="AW28" s="26">
        <f>股权价值增加表!AW15</f>
        <v>-2606745970</v>
      </c>
      <c r="AX28" s="26">
        <f>股权价值增加表!AX15</f>
        <v>-2351122224</v>
      </c>
      <c r="AY28" s="26">
        <f>股权价值增加表!AY15</f>
        <v>-1590308957</v>
      </c>
      <c r="AZ28" s="26">
        <f>股权价值增加表!AZ15</f>
        <v>-454123545</v>
      </c>
      <c r="BA28" s="26">
        <f>股权价值增加表!BA15</f>
        <v>-1203244643</v>
      </c>
      <c r="BB28" s="26">
        <f>股权价值增加表!BB15</f>
        <v>-1104327106</v>
      </c>
      <c r="BC28" s="26">
        <f>股权价值增加表!BC15</f>
        <v>-847860333</v>
      </c>
      <c r="BD28" s="26">
        <f>股权价值增加表!BD15</f>
        <v>-425619871</v>
      </c>
      <c r="BE28" s="26">
        <f>股权价值增加表!BE15</f>
        <v>5876527</v>
      </c>
      <c r="BF28" s="26">
        <f>股权价值增加表!BF15</f>
        <v>373130546.45999962</v>
      </c>
      <c r="BG28" s="26">
        <f>股权价值增加表!BG15</f>
        <v>433961112.1699999</v>
      </c>
      <c r="BH28" s="26">
        <f>股权价值增加表!BH15</f>
        <v>245138208.08999979</v>
      </c>
      <c r="BI28" s="26">
        <f>股权价值增加表!BI15</f>
        <v>631168398</v>
      </c>
      <c r="BJ28" s="26">
        <f>股权价值增加表!BJ15</f>
        <v>505488697.03000033</v>
      </c>
      <c r="BK28" s="26">
        <f>股权价值增加表!BK15</f>
        <v>349988260.70000011</v>
      </c>
      <c r="BL28" s="26">
        <f>股权价值增加表!BL15</f>
        <v>197742378.23999998</v>
      </c>
      <c r="BM28" s="26">
        <f>股权价值增加表!BM15</f>
        <v>201456326</v>
      </c>
      <c r="BN28" s="26">
        <f>股权价值增加表!BN15</f>
        <v>199168287.66999981</v>
      </c>
      <c r="BO28" s="26">
        <f>股权价值增加表!BO15</f>
        <v>152501569.33999997</v>
      </c>
      <c r="BP28" s="26">
        <f>股权价值增加表!BP15</f>
        <v>80027429.649999946</v>
      </c>
      <c r="BQ28" s="26">
        <f>股权价值增加表!BQ15</f>
        <v>147052602</v>
      </c>
      <c r="BR28" s="26">
        <f>股权价值增加表!BR15</f>
        <v>81903127.149999961</v>
      </c>
      <c r="BS28" s="26">
        <f>股权价值增加表!BS15</f>
        <v>104506543</v>
      </c>
      <c r="BT28" s="26">
        <f>股权价值增加表!BT15</f>
        <v>52769982</v>
      </c>
      <c r="BU28" s="26">
        <f>股权价值增加表!BU15</f>
        <v>71319335</v>
      </c>
      <c r="BV28" s="26">
        <f>股权价值增加表!BV15</f>
        <v>15065053.060000002</v>
      </c>
      <c r="BW28" s="26">
        <f>股权价值增加表!BW15</f>
        <v>20757000</v>
      </c>
      <c r="BX28" s="26">
        <f>股权价值增加表!BX15</f>
        <v>14946462.219999999</v>
      </c>
      <c r="BY28" s="26">
        <f>股权价值增加表!BY15</f>
        <v>74250000</v>
      </c>
      <c r="BZ28" s="26">
        <f>股权价值增加表!BZ15</f>
        <v>111102000</v>
      </c>
      <c r="CA28" s="26">
        <f>股权价值增加表!CA15</f>
        <v>26584000</v>
      </c>
      <c r="CB28" s="26">
        <f>股权价值增加表!CB15</f>
        <v>13372000</v>
      </c>
      <c r="CC28" s="26">
        <f>股权价值增加表!CC15</f>
        <v>11654000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4" t="s">
        <v>378</v>
      </c>
      <c r="E29" s="59">
        <f t="shared" ref="E29:AJ29" si="27">E28/E34</f>
        <v>0.92740470286338672</v>
      </c>
      <c r="F29" s="59">
        <f t="shared" si="27"/>
        <v>0.99712539799915856</v>
      </c>
      <c r="G29" s="59">
        <f t="shared" si="27"/>
        <v>0.99918295460169548</v>
      </c>
      <c r="H29" s="59">
        <f t="shared" si="27"/>
        <v>0.99207645619983265</v>
      </c>
      <c r="I29" s="59">
        <f t="shared" si="27"/>
        <v>1.008397446936254</v>
      </c>
      <c r="J29" s="59">
        <f t="shared" si="27"/>
        <v>0.94666576147285308</v>
      </c>
      <c r="K29" s="59">
        <f t="shared" si="27"/>
        <v>0.93610176390571465</v>
      </c>
      <c r="L29" s="59">
        <f t="shared" si="27"/>
        <v>1.0520513672013114</v>
      </c>
      <c r="M29" s="59">
        <f t="shared" si="27"/>
        <v>0.95693967674413194</v>
      </c>
      <c r="N29" s="59">
        <f t="shared" si="27"/>
        <v>0.97598599603807523</v>
      </c>
      <c r="O29" s="59">
        <f t="shared" si="27"/>
        <v>0.94789342750618377</v>
      </c>
      <c r="P29" s="59">
        <f t="shared" si="27"/>
        <v>0.94031267687678521</v>
      </c>
      <c r="Q29" s="59">
        <f t="shared" si="27"/>
        <v>0.72730605964504202</v>
      </c>
      <c r="R29" s="59">
        <f t="shared" si="27"/>
        <v>0.98956876113288639</v>
      </c>
      <c r="S29" s="59">
        <f t="shared" si="27"/>
        <v>1.0144589033881135</v>
      </c>
      <c r="T29" s="59">
        <f t="shared" si="27"/>
        <v>1.0327419907208559</v>
      </c>
      <c r="U29" s="59">
        <f t="shared" si="27"/>
        <v>0.8401945610704854</v>
      </c>
      <c r="V29" s="59">
        <f t="shared" si="27"/>
        <v>0.99737153390508948</v>
      </c>
      <c r="W29" s="59">
        <f t="shared" si="27"/>
        <v>0.9919904960942082</v>
      </c>
      <c r="X29" s="59">
        <f t="shared" si="27"/>
        <v>0.99367533604594982</v>
      </c>
      <c r="Y29" s="59">
        <f t="shared" si="27"/>
        <v>0.48175444815684065</v>
      </c>
      <c r="Z29" s="59">
        <f t="shared" si="27"/>
        <v>1.0013118755083013</v>
      </c>
      <c r="AA29" s="59">
        <f t="shared" si="27"/>
        <v>1.0110569624966383</v>
      </c>
      <c r="AB29" s="59">
        <f t="shared" si="27"/>
        <v>0.97619062654656064</v>
      </c>
      <c r="AC29" s="59">
        <f t="shared" si="27"/>
        <v>-2.6114110018278103</v>
      </c>
      <c r="AD29" s="59">
        <f t="shared" si="27"/>
        <v>0.96686548555697149</v>
      </c>
      <c r="AE29" s="59">
        <f t="shared" si="27"/>
        <v>0.97961468427631859</v>
      </c>
      <c r="AF29" s="59">
        <f t="shared" si="27"/>
        <v>0.98051702383606421</v>
      </c>
      <c r="AG29" s="59">
        <f t="shared" si="27"/>
        <v>1.150372679849049</v>
      </c>
      <c r="AH29" s="59">
        <f t="shared" si="27"/>
        <v>0.98373809971473125</v>
      </c>
      <c r="AI29" s="59">
        <f t="shared" si="27"/>
        <v>0.95016224323106302</v>
      </c>
      <c r="AJ29" s="59">
        <f t="shared" si="27"/>
        <v>1.0323532787133824</v>
      </c>
      <c r="AK29" s="59">
        <f t="shared" ref="AK29:BP29" si="28">AK28/AK34</f>
        <v>0.22812972998854789</v>
      </c>
      <c r="AL29" s="59">
        <f t="shared" si="28"/>
        <v>0.83642671320644202</v>
      </c>
      <c r="AM29" s="59">
        <f t="shared" si="28"/>
        <v>0.85422670631063857</v>
      </c>
      <c r="AN29" s="59">
        <f t="shared" si="28"/>
        <v>0.97076471465629155</v>
      </c>
      <c r="AO29" s="59">
        <f t="shared" si="28"/>
        <v>0.8427107396240987</v>
      </c>
      <c r="AP29" s="59">
        <f t="shared" si="28"/>
        <v>0.86584087943374588</v>
      </c>
      <c r="AQ29" s="59">
        <f t="shared" si="28"/>
        <v>0.92694023207224796</v>
      </c>
      <c r="AR29" s="59">
        <f t="shared" si="28"/>
        <v>0.90201734810853706</v>
      </c>
      <c r="AS29" s="59">
        <f t="shared" si="28"/>
        <v>1.113488826861031</v>
      </c>
      <c r="AT29" s="59">
        <f t="shared" si="28"/>
        <v>0.68498908353586985</v>
      </c>
      <c r="AU29" s="59">
        <f t="shared" si="28"/>
        <v>-2.5650173418332024E-2</v>
      </c>
      <c r="AV29" s="59">
        <f t="shared" si="28"/>
        <v>40.779239647028533</v>
      </c>
      <c r="AW29" s="59">
        <f t="shared" si="28"/>
        <v>1.0641614161852546</v>
      </c>
      <c r="AX29" s="59">
        <f t="shared" si="28"/>
        <v>1.0623827346156047</v>
      </c>
      <c r="AY29" s="59">
        <f t="shared" si="28"/>
        <v>1.0582101615715656</v>
      </c>
      <c r="AZ29" s="59">
        <f t="shared" si="28"/>
        <v>1.0938124115615357</v>
      </c>
      <c r="BA29" s="59">
        <f t="shared" si="28"/>
        <v>1.1039518427904951</v>
      </c>
      <c r="BB29" s="59">
        <f t="shared" si="28"/>
        <v>1.0886639329796406</v>
      </c>
      <c r="BC29" s="59">
        <f t="shared" si="28"/>
        <v>1.0849776988261641</v>
      </c>
      <c r="BD29" s="59">
        <f t="shared" si="28"/>
        <v>1.0833331483743731</v>
      </c>
      <c r="BE29" s="59">
        <f t="shared" si="28"/>
        <v>2.012588006312151E-2</v>
      </c>
      <c r="BF29" s="59">
        <f t="shared" si="28"/>
        <v>0.64367218353758293</v>
      </c>
      <c r="BG29" s="59">
        <f t="shared" si="28"/>
        <v>0.72430545565060755</v>
      </c>
      <c r="BH29" s="59">
        <f t="shared" si="28"/>
        <v>0.7583224057386011</v>
      </c>
      <c r="BI29" s="59">
        <f t="shared" si="28"/>
        <v>0.92225848289747103</v>
      </c>
      <c r="BJ29" s="59">
        <f t="shared" si="28"/>
        <v>0.99082285745112819</v>
      </c>
      <c r="BK29" s="59">
        <f t="shared" si="28"/>
        <v>0.98304968713730267</v>
      </c>
      <c r="BL29" s="59">
        <f t="shared" si="28"/>
        <v>0.92706026892385529</v>
      </c>
      <c r="BM29" s="59">
        <f t="shared" si="28"/>
        <v>0.75498318413492738</v>
      </c>
      <c r="BN29" s="59">
        <f t="shared" si="28"/>
        <v>0.83577157264686952</v>
      </c>
      <c r="BO29" s="59">
        <f t="shared" si="28"/>
        <v>0.89543610567796506</v>
      </c>
      <c r="BP29" s="59">
        <f t="shared" si="28"/>
        <v>0.96610037511587954</v>
      </c>
      <c r="BQ29" s="59">
        <f t="shared" ref="BQ29:CK29" si="29">BQ28/BQ34</f>
        <v>1.1217950936579344</v>
      </c>
      <c r="BR29" s="59">
        <f t="shared" si="29"/>
        <v>0.88669099100995807</v>
      </c>
      <c r="BS29" s="59">
        <f t="shared" si="29"/>
        <v>0.64305927278487873</v>
      </c>
      <c r="BT29" s="59">
        <f t="shared" si="29"/>
        <v>0.62793621712792347</v>
      </c>
      <c r="BU29" s="59">
        <f t="shared" si="29"/>
        <v>0.5771004954630351</v>
      </c>
      <c r="BV29" s="59">
        <f t="shared" si="29"/>
        <v>0.48567116888659206</v>
      </c>
      <c r="BW29" s="59">
        <f t="shared" si="29"/>
        <v>0.33770438460912716</v>
      </c>
      <c r="BX29" s="59">
        <f t="shared" si="29"/>
        <v>0.43274375432865719</v>
      </c>
      <c r="BY29" s="59">
        <f t="shared" si="29"/>
        <v>0.54741296686769192</v>
      </c>
      <c r="BZ29" s="59">
        <f t="shared" si="29"/>
        <v>0.78148387822857468</v>
      </c>
      <c r="CA29" s="59">
        <f t="shared" si="29"/>
        <v>0.2003406333368502</v>
      </c>
      <c r="CB29" s="59">
        <f t="shared" si="29"/>
        <v>0.11186026668451256</v>
      </c>
      <c r="CC29" s="59">
        <f t="shared" si="29"/>
        <v>0.10428355390906732</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169034</v>
      </c>
      <c r="F30" s="26">
        <f>股权价值增加表!F20</f>
        <v>-9369632</v>
      </c>
      <c r="G30" s="26">
        <f>股权价值增加表!G20</f>
        <v>-13690554</v>
      </c>
      <c r="H30" s="26">
        <f>股权价值增加表!H20</f>
        <v>1524106</v>
      </c>
      <c r="I30" s="26">
        <f>股权价值增加表!I20</f>
        <v>-15121347</v>
      </c>
      <c r="J30" s="26">
        <f>股权价值增加表!J20</f>
        <v>-9868958</v>
      </c>
      <c r="K30" s="26">
        <f>股权价值增加表!K20</f>
        <v>-11180961</v>
      </c>
      <c r="L30" s="26">
        <f>股权价值增加表!L20</f>
        <v>-10380596</v>
      </c>
      <c r="M30" s="26">
        <f>股权价值增加表!M20</f>
        <v>4748739</v>
      </c>
      <c r="N30" s="26">
        <f>股权价值增加表!N20</f>
        <v>13474267</v>
      </c>
      <c r="O30" s="26">
        <f>股权价值增加表!O20</f>
        <v>10557037</v>
      </c>
      <c r="P30" s="26">
        <f>股权价值增加表!P20</f>
        <v>2935706</v>
      </c>
      <c r="Q30" s="26">
        <f>股权价值增加表!Q20</f>
        <v>3569978</v>
      </c>
      <c r="R30" s="26">
        <f>股权价值增加表!R20</f>
        <v>5849368</v>
      </c>
      <c r="S30" s="26">
        <f>股权价值增加表!S20</f>
        <v>4390960</v>
      </c>
      <c r="T30" s="26">
        <f>股权价值增加表!T20</f>
        <v>1374620</v>
      </c>
      <c r="U30" s="26">
        <f>股权价值增加表!U20</f>
        <v>87148</v>
      </c>
      <c r="V30" s="26">
        <f>股权价值增加表!V20</f>
        <v>-144028</v>
      </c>
      <c r="W30" s="26">
        <f>股权价值增加表!W20</f>
        <v>-545119</v>
      </c>
      <c r="X30" s="26">
        <f>股权价值增加表!X20</f>
        <v>565295</v>
      </c>
      <c r="Y30" s="26">
        <f>股权价值增加表!Y20</f>
        <v>-5958382</v>
      </c>
      <c r="Z30" s="26">
        <f>股权价值增加表!Z20</f>
        <v>-10993560</v>
      </c>
      <c r="AA30" s="26">
        <f>股权价值增加表!AA20</f>
        <v>-5766868</v>
      </c>
      <c r="AB30" s="26">
        <f>股权价值增加表!AB20</f>
        <v>0</v>
      </c>
      <c r="AC30" s="26">
        <f>股权价值增加表!AC20</f>
        <v>-5205134</v>
      </c>
      <c r="AD30" s="26">
        <f>股权价值增加表!AD20</f>
        <v>-3782614</v>
      </c>
      <c r="AE30" s="26">
        <f>股权价值增加表!AE20</f>
        <v>0</v>
      </c>
      <c r="AF30" s="26">
        <f>股权价值增加表!AF20</f>
        <v>0</v>
      </c>
      <c r="AG30" s="26">
        <f>股权价值增加表!AG20</f>
        <v>-6676583</v>
      </c>
      <c r="AH30" s="26">
        <f>股权价值增加表!AH20</f>
        <v>2011566</v>
      </c>
      <c r="AI30" s="26">
        <f>股权价值增加表!AI20</f>
        <v>3414968</v>
      </c>
      <c r="AJ30" s="26">
        <f>股权价值增加表!AJ20</f>
        <v>0</v>
      </c>
      <c r="AK30" s="26">
        <f>股权价值增加表!AK20</f>
        <v>-204544825</v>
      </c>
      <c r="AL30" s="26">
        <f>股权价值增加表!AL20</f>
        <v>0</v>
      </c>
      <c r="AM30" s="26">
        <f>股权价值增加表!AM20</f>
        <v>-124597880</v>
      </c>
      <c r="AN30" s="26">
        <f>股权价值增加表!AN20</f>
        <v>-14285911</v>
      </c>
      <c r="AO30" s="26">
        <f>股权价值增加表!AO20</f>
        <v>-281318326</v>
      </c>
      <c r="AP30" s="26">
        <f>股权价值增加表!AP20</f>
        <v>0</v>
      </c>
      <c r="AQ30" s="26">
        <f>股权价值增加表!AQ20</f>
        <v>0</v>
      </c>
      <c r="AR30" s="26">
        <f>股权价值增加表!AR20</f>
        <v>0</v>
      </c>
      <c r="AS30" s="26">
        <f>股权价值增加表!AS20</f>
        <v>-83656078</v>
      </c>
      <c r="AT30" s="26">
        <f>股权价值增加表!AT20</f>
        <v>62470022</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4" t="s">
        <v>379</v>
      </c>
      <c r="E31" s="59">
        <f>E30/E34</f>
        <v>1.465742284907267E-5</v>
      </c>
      <c r="F31" s="59">
        <f t="shared" ref="F31:BQ31" si="30">F30/F34</f>
        <v>-1.0333756902982504E-3</v>
      </c>
      <c r="G31" s="59">
        <f t="shared" si="30"/>
        <v>-2.1578091248680843E-3</v>
      </c>
      <c r="H31" s="59">
        <f t="shared" si="30"/>
        <v>4.2563008381468417E-4</v>
      </c>
      <c r="I31" s="59">
        <f t="shared" si="30"/>
        <v>-3.3108582046243499E-3</v>
      </c>
      <c r="J31" s="59">
        <f t="shared" si="30"/>
        <v>-4.7053464023012886E-3</v>
      </c>
      <c r="K31" s="59">
        <f t="shared" si="30"/>
        <v>-1.6508298950594736E-2</v>
      </c>
      <c r="L31" s="59">
        <f t="shared" si="30"/>
        <v>-2.3778998490211919E-2</v>
      </c>
      <c r="M31" s="59">
        <f t="shared" si="30"/>
        <v>1.3908250205688084E-3</v>
      </c>
      <c r="N31" s="59">
        <f t="shared" si="30"/>
        <v>3.8678106326505879E-3</v>
      </c>
      <c r="O31" s="59">
        <f t="shared" si="30"/>
        <v>4.0417466996802666E-3</v>
      </c>
      <c r="P31" s="59">
        <f t="shared" si="30"/>
        <v>2.0472102239961956E-3</v>
      </c>
      <c r="Q31" s="59">
        <f t="shared" si="30"/>
        <v>8.8235557030405087E-4</v>
      </c>
      <c r="R31" s="59">
        <f t="shared" si="30"/>
        <v>2.6111008404898538E-3</v>
      </c>
      <c r="S31" s="59">
        <f t="shared" si="30"/>
        <v>3.1397344360964813E-3</v>
      </c>
      <c r="T31" s="59">
        <f t="shared" si="30"/>
        <v>1.5140210323230515E-3</v>
      </c>
      <c r="U31" s="59">
        <f t="shared" si="30"/>
        <v>2.1619492137087732E-5</v>
      </c>
      <c r="V31" s="59">
        <f t="shared" si="30"/>
        <v>-6.2875085756567426E-5</v>
      </c>
      <c r="W31" s="59">
        <f t="shared" si="30"/>
        <v>-3.9174791506644131E-4</v>
      </c>
      <c r="X31" s="59">
        <f t="shared" si="30"/>
        <v>1.0333173921740352E-3</v>
      </c>
      <c r="Y31" s="59">
        <f t="shared" si="30"/>
        <v>-6.1561100875911186E-3</v>
      </c>
      <c r="Z31" s="59">
        <f t="shared" si="30"/>
        <v>1.8064873537513015E-2</v>
      </c>
      <c r="AA31" s="59">
        <f t="shared" si="30"/>
        <v>6.177834509743893E-3</v>
      </c>
      <c r="AB31" s="59">
        <f t="shared" si="30"/>
        <v>0</v>
      </c>
      <c r="AC31" s="59">
        <f t="shared" si="30"/>
        <v>-3.7017513333354375E-3</v>
      </c>
      <c r="AD31" s="59">
        <f t="shared" si="30"/>
        <v>1.6217390797210222E-3</v>
      </c>
      <c r="AE31" s="59">
        <f t="shared" si="30"/>
        <v>0</v>
      </c>
      <c r="AF31" s="59">
        <f t="shared" si="30"/>
        <v>0</v>
      </c>
      <c r="AG31" s="59">
        <f t="shared" si="30"/>
        <v>3.2966599528580082E-3</v>
      </c>
      <c r="AH31" s="59">
        <f t="shared" si="30"/>
        <v>-1.7660174083990966E-3</v>
      </c>
      <c r="AI31" s="59">
        <f t="shared" si="30"/>
        <v>-5.6276164634646055E-3</v>
      </c>
      <c r="AJ31" s="59">
        <f t="shared" si="30"/>
        <v>0</v>
      </c>
      <c r="AK31" s="59">
        <f t="shared" si="30"/>
        <v>-0.53530193465238174</v>
      </c>
      <c r="AL31" s="59">
        <f t="shared" si="30"/>
        <v>0</v>
      </c>
      <c r="AM31" s="59">
        <f t="shared" si="30"/>
        <v>0.14675147486828868</v>
      </c>
      <c r="AN31" s="59">
        <f t="shared" si="30"/>
        <v>2.9235285343708433E-2</v>
      </c>
      <c r="AO31" s="59">
        <f t="shared" si="30"/>
        <v>0.43812676419900132</v>
      </c>
      <c r="AP31" s="59">
        <f t="shared" si="30"/>
        <v>0</v>
      </c>
      <c r="AQ31" s="59">
        <f t="shared" si="30"/>
        <v>0</v>
      </c>
      <c r="AR31" s="59">
        <f t="shared" si="30"/>
        <v>0</v>
      </c>
      <c r="AS31" s="59">
        <f t="shared" si="30"/>
        <v>-7.3989528683639311E-2</v>
      </c>
      <c r="AT31" s="59">
        <f t="shared" si="30"/>
        <v>7.4900039745445707E-2</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837022714</v>
      </c>
      <c r="F32" s="26">
        <f>股权价值增加表!F27</f>
        <v>35433689</v>
      </c>
      <c r="G32" s="26">
        <f>股权价值增加表!G27</f>
        <v>18874425</v>
      </c>
      <c r="H32" s="26">
        <f>股权价值增加表!H27</f>
        <v>26848702</v>
      </c>
      <c r="I32" s="26">
        <f>股权价值增加表!I27</f>
        <v>-23231461</v>
      </c>
      <c r="J32" s="26">
        <f>股权价值增加表!J27</f>
        <v>121731787</v>
      </c>
      <c r="K32" s="26">
        <f>股权价值增加表!K27</f>
        <v>54458811</v>
      </c>
      <c r="L32" s="26">
        <f>股权价值增加表!L27</f>
        <v>-12342153</v>
      </c>
      <c r="M32" s="26">
        <f>股权价值增加表!M27</f>
        <v>142273520</v>
      </c>
      <c r="N32" s="26">
        <f>股权价值增加表!N27</f>
        <v>70183164</v>
      </c>
      <c r="O32" s="26">
        <f>股权价值增加表!O27</f>
        <v>125545261</v>
      </c>
      <c r="P32" s="26">
        <f>股权价值增加表!P27</f>
        <v>82656106</v>
      </c>
      <c r="Q32" s="26">
        <f>股权价值增加表!Q27</f>
        <v>1099739618</v>
      </c>
      <c r="R32" s="26">
        <f>股权价值增加表!R27</f>
        <v>17518613</v>
      </c>
      <c r="S32" s="26">
        <f>股权价值增加表!S27</f>
        <v>-24611927</v>
      </c>
      <c r="T32" s="26">
        <f>股权价值增加表!T27</f>
        <v>-31101945</v>
      </c>
      <c r="U32" s="26">
        <f>股权价值增加表!U27</f>
        <v>644087299</v>
      </c>
      <c r="V32" s="26">
        <f>股权价值增加表!V27</f>
        <v>6165057</v>
      </c>
      <c r="W32" s="26">
        <f>股权价值增加表!W27</f>
        <v>11690380</v>
      </c>
      <c r="X32" s="26">
        <f>股权价值增加表!X27</f>
        <v>2894727</v>
      </c>
      <c r="Y32" s="26">
        <f>股权价值增加表!Y27</f>
        <v>507558406</v>
      </c>
      <c r="Z32" s="26">
        <f>股权价值增加表!Z27</f>
        <v>11791915</v>
      </c>
      <c r="AA32" s="26">
        <f>股权价值增加表!AA27</f>
        <v>16088291</v>
      </c>
      <c r="AB32" s="26">
        <f>股权价值增加表!AB27</f>
        <v>-18319962</v>
      </c>
      <c r="AC32" s="26">
        <f>股权价值增加表!AC27</f>
        <v>5083309118</v>
      </c>
      <c r="AD32" s="26">
        <f>股权价值增加表!AD27</f>
        <v>-73501753</v>
      </c>
      <c r="AE32" s="26">
        <f>股权价值增加表!AE27</f>
        <v>-29059607</v>
      </c>
      <c r="AF32" s="26">
        <f>股权价值增加表!AF27</f>
        <v>-16451002</v>
      </c>
      <c r="AG32" s="26">
        <f>股权价值增加表!AG27</f>
        <v>311219876</v>
      </c>
      <c r="AH32" s="26">
        <f>股权价值增加表!AH27</f>
        <v>-20534535</v>
      </c>
      <c r="AI32" s="26">
        <f>股权价值增加表!AI27</f>
        <v>-33657673</v>
      </c>
      <c r="AJ32" s="26">
        <f>股权价值增加表!AJ27</f>
        <v>10491183</v>
      </c>
      <c r="AK32" s="26">
        <f>股权价值增加表!AK27</f>
        <v>499485043</v>
      </c>
      <c r="AL32" s="26">
        <f>股权价值增加表!AL27</f>
        <v>-137049817</v>
      </c>
      <c r="AM32" s="26">
        <f>股权价值增加表!AM27</f>
        <v>830515</v>
      </c>
      <c r="AN32" s="26">
        <f>股权价值增加表!AN27</f>
        <v>0</v>
      </c>
      <c r="AO32" s="26">
        <f>股权价值增加表!AO27</f>
        <v>180323922</v>
      </c>
      <c r="AP32" s="26">
        <f>股权价值增加表!AP27</f>
        <v>28784091</v>
      </c>
      <c r="AQ32" s="26">
        <f>股权价值增加表!AQ27</f>
        <v>50906440</v>
      </c>
      <c r="AR32" s="26">
        <f>股权价值增加表!AR27</f>
        <v>43814249</v>
      </c>
      <c r="AS32" s="26">
        <f>股权价值增加表!AS27</f>
        <v>-44659784</v>
      </c>
      <c r="AT32" s="26">
        <f>股权价值增加表!AT27</f>
        <v>200263335</v>
      </c>
      <c r="AU32" s="26">
        <f>股权价值增加表!AU27</f>
        <v>221606916</v>
      </c>
      <c r="AV32" s="26">
        <f>股权价值增加表!AV27</f>
        <v>217868111</v>
      </c>
      <c r="AW32" s="26">
        <f>股权价值增加表!AW27</f>
        <v>157168368</v>
      </c>
      <c r="AX32" s="26">
        <f>股权价值增加表!AX27</f>
        <v>138057057</v>
      </c>
      <c r="AY32" s="26">
        <f>股权价值增加表!AY27</f>
        <v>87479921</v>
      </c>
      <c r="AZ32" s="26">
        <f>股权价值增加表!AZ27</f>
        <v>38948566</v>
      </c>
      <c r="BA32" s="26">
        <f>股权价值增加表!BA27</f>
        <v>113301589</v>
      </c>
      <c r="BB32" s="26">
        <f>股权价值增加表!BB27</f>
        <v>89939587</v>
      </c>
      <c r="BC32" s="26">
        <f>股权价值增加表!BC27</f>
        <v>66406176</v>
      </c>
      <c r="BD32" s="26">
        <f>股权价值增加表!BD27</f>
        <v>32739923</v>
      </c>
      <c r="BE32" s="26">
        <f>股权价值增加表!BE27</f>
        <v>286112046</v>
      </c>
      <c r="BF32" s="26">
        <f>股权价值增加表!BF27</f>
        <v>206559792.81999999</v>
      </c>
      <c r="BG32" s="26">
        <f>股权价值增加表!BG27</f>
        <v>165179911.53</v>
      </c>
      <c r="BH32" s="26">
        <f>股权价值增加表!BH27</f>
        <v>78125625.650000006</v>
      </c>
      <c r="BI32" s="26">
        <f>股权价值增加表!BI27</f>
        <v>53204161</v>
      </c>
      <c r="BJ32" s="26">
        <f>股权价值增加表!BJ27</f>
        <v>4681908.37</v>
      </c>
      <c r="BK32" s="26">
        <f>股权价值增加表!BK27</f>
        <v>6034700.5800000001</v>
      </c>
      <c r="BL32" s="26">
        <f>股权价值增加表!BL27</f>
        <v>15558077.91</v>
      </c>
      <c r="BM32" s="26">
        <f>股权价值增加表!BM27</f>
        <v>65379188</v>
      </c>
      <c r="BN32" s="26">
        <f>股权价值增加表!BN27</f>
        <v>39136404.890000001</v>
      </c>
      <c r="BO32" s="26">
        <f>股权价值增加表!BO27</f>
        <v>17808258.879999999</v>
      </c>
      <c r="BP32" s="26">
        <f>股权价值增加表!BP27</f>
        <v>2808093.15</v>
      </c>
      <c r="BQ32" s="26">
        <f>股权价值增加表!BQ27</f>
        <v>-15965737</v>
      </c>
      <c r="BR32" s="26">
        <f>股权价值增加表!BR27</f>
        <v>10466286.75</v>
      </c>
      <c r="BS32" s="26">
        <f>股权价值增加表!BS27</f>
        <v>58008092</v>
      </c>
      <c r="BT32" s="26">
        <f>股权价值增加表!BT27</f>
        <v>31267187</v>
      </c>
      <c r="BU32" s="26">
        <f>股权价值增加表!BU27</f>
        <v>52262841</v>
      </c>
      <c r="BV32" s="26">
        <f>股权价值增加表!BV27</f>
        <v>15953986.210000001</v>
      </c>
      <c r="BW32" s="26">
        <f>股权价值增加表!BW27</f>
        <v>40708000</v>
      </c>
      <c r="BX32" s="26">
        <f>股权价值增加表!BX27</f>
        <v>19592366.059999999</v>
      </c>
      <c r="BY32" s="26">
        <f>股权价值增加表!BY27</f>
        <v>61388000</v>
      </c>
      <c r="BZ32" s="26">
        <f>股权价值增加表!BZ27</f>
        <v>31066000</v>
      </c>
      <c r="CA32" s="26">
        <f>股权价值增加表!CA27</f>
        <v>106110000</v>
      </c>
      <c r="CB32" s="26">
        <f>股权价值增加表!CB27</f>
        <v>106170000</v>
      </c>
      <c r="CC32" s="26">
        <f>股权价值增加表!CC27</f>
        <v>100099000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4" t="s">
        <v>380</v>
      </c>
      <c r="E33" s="59">
        <f>E32/E34</f>
        <v>7.2580639713764203E-2</v>
      </c>
      <c r="F33" s="59">
        <f t="shared" ref="F33:BQ33" si="32">F32/F34</f>
        <v>3.9079776911396863E-3</v>
      </c>
      <c r="G33" s="59">
        <f t="shared" si="32"/>
        <v>2.9748545231725681E-3</v>
      </c>
      <c r="H33" s="59">
        <f t="shared" si="32"/>
        <v>7.4979137163527195E-3</v>
      </c>
      <c r="I33" s="59">
        <f t="shared" si="32"/>
        <v>-5.0865887316295698E-3</v>
      </c>
      <c r="J33" s="59">
        <f t="shared" si="32"/>
        <v>5.8039584929448156E-2</v>
      </c>
      <c r="K33" s="59">
        <f t="shared" si="32"/>
        <v>8.0406535044880045E-2</v>
      </c>
      <c r="L33" s="59">
        <f t="shared" si="32"/>
        <v>-2.8272368711099487E-2</v>
      </c>
      <c r="M33" s="59">
        <f t="shared" si="32"/>
        <v>4.1669498235299259E-2</v>
      </c>
      <c r="N33" s="59">
        <f t="shared" si="32"/>
        <v>2.0146193329274236E-2</v>
      </c>
      <c r="O33" s="59">
        <f t="shared" si="32"/>
        <v>4.8064825794135964E-2</v>
      </c>
      <c r="P33" s="59">
        <f t="shared" si="32"/>
        <v>5.7640112899218547E-2</v>
      </c>
      <c r="Q33" s="59">
        <f t="shared" si="32"/>
        <v>0.27181158478465389</v>
      </c>
      <c r="R33" s="59">
        <f t="shared" si="32"/>
        <v>7.8201380266238133E-3</v>
      </c>
      <c r="S33" s="59">
        <f t="shared" si="32"/>
        <v>-1.7598637824209912E-2</v>
      </c>
      <c r="T33" s="59">
        <f t="shared" si="32"/>
        <v>-3.4256011753178897E-2</v>
      </c>
      <c r="U33" s="59">
        <f t="shared" si="32"/>
        <v>0.15978381943737752</v>
      </c>
      <c r="V33" s="59">
        <f t="shared" si="32"/>
        <v>2.6913411806671361E-3</v>
      </c>
      <c r="W33" s="59">
        <f t="shared" si="32"/>
        <v>8.4012518208582427E-3</v>
      </c>
      <c r="X33" s="59">
        <f t="shared" si="32"/>
        <v>5.291346561876133E-3</v>
      </c>
      <c r="Y33" s="59">
        <f t="shared" si="32"/>
        <v>0.52440166193075044</v>
      </c>
      <c r="Z33" s="59">
        <f t="shared" si="32"/>
        <v>-1.9376749045814348E-2</v>
      </c>
      <c r="AA33" s="59">
        <f t="shared" si="32"/>
        <v>-1.7234797006382335E-2</v>
      </c>
      <c r="AB33" s="59">
        <f t="shared" si="32"/>
        <v>2.3809373453439413E-2</v>
      </c>
      <c r="AC33" s="59">
        <f t="shared" si="32"/>
        <v>3.6151127531611458</v>
      </c>
      <c r="AD33" s="59">
        <f t="shared" si="32"/>
        <v>3.151277536330746E-2</v>
      </c>
      <c r="AE33" s="59">
        <f t="shared" si="32"/>
        <v>2.0385315723681435E-2</v>
      </c>
      <c r="AF33" s="59">
        <f t="shared" si="32"/>
        <v>1.9482976163935812E-2</v>
      </c>
      <c r="AG33" s="59">
        <f t="shared" si="32"/>
        <v>-0.15366933980190692</v>
      </c>
      <c r="AH33" s="59">
        <f t="shared" si="32"/>
        <v>1.8027917693667791E-2</v>
      </c>
      <c r="AI33" s="59">
        <f t="shared" si="32"/>
        <v>5.5465373232401631E-2</v>
      </c>
      <c r="AJ33" s="59">
        <f t="shared" si="32"/>
        <v>-3.2353278713382477E-2</v>
      </c>
      <c r="AK33" s="59">
        <f t="shared" si="32"/>
        <v>1.3071722046638339</v>
      </c>
      <c r="AL33" s="59">
        <f t="shared" si="32"/>
        <v>0.16357328679355798</v>
      </c>
      <c r="AM33" s="59">
        <f t="shared" si="32"/>
        <v>-9.781811789272561E-4</v>
      </c>
      <c r="AN33" s="59">
        <f t="shared" si="32"/>
        <v>0</v>
      </c>
      <c r="AO33" s="59">
        <f t="shared" si="32"/>
        <v>-0.28083750382310002</v>
      </c>
      <c r="AP33" s="59">
        <f t="shared" si="32"/>
        <v>0.13415912056625409</v>
      </c>
      <c r="AQ33" s="59">
        <f t="shared" si="32"/>
        <v>7.3059767927752095E-2</v>
      </c>
      <c r="AR33" s="59">
        <f t="shared" si="32"/>
        <v>9.7982651891462894E-2</v>
      </c>
      <c r="AS33" s="59">
        <f t="shared" si="32"/>
        <v>-3.949929817739168E-2</v>
      </c>
      <c r="AT33" s="59">
        <f t="shared" si="32"/>
        <v>0.2401108767186845</v>
      </c>
      <c r="AU33" s="59">
        <f t="shared" si="32"/>
        <v>1.0256501734183321</v>
      </c>
      <c r="AV33" s="59">
        <f t="shared" si="32"/>
        <v>-39.779239647028533</v>
      </c>
      <c r="AW33" s="59">
        <f t="shared" si="32"/>
        <v>-6.4161416185254616E-2</v>
      </c>
      <c r="AX33" s="59">
        <f t="shared" si="32"/>
        <v>-6.238273461560475E-2</v>
      </c>
      <c r="AY33" s="59">
        <f t="shared" si="32"/>
        <v>-5.8210161571565486E-2</v>
      </c>
      <c r="AZ33" s="59">
        <f t="shared" si="32"/>
        <v>-9.3812411561535844E-2</v>
      </c>
      <c r="BA33" s="59">
        <f t="shared" si="32"/>
        <v>-0.10395184279049499</v>
      </c>
      <c r="BB33" s="59">
        <f t="shared" si="32"/>
        <v>-8.8663932979640689E-2</v>
      </c>
      <c r="BC33" s="59">
        <f t="shared" si="32"/>
        <v>-8.4977698826164155E-2</v>
      </c>
      <c r="BD33" s="59">
        <f t="shared" si="32"/>
        <v>-8.3333148374373125E-2</v>
      </c>
      <c r="BE33" s="59">
        <f t="shared" si="32"/>
        <v>0.97987411993687845</v>
      </c>
      <c r="BF33" s="59">
        <f t="shared" si="32"/>
        <v>0.35632781646241707</v>
      </c>
      <c r="BG33" s="59">
        <f t="shared" si="32"/>
        <v>0.27569454434939239</v>
      </c>
      <c r="BH33" s="59">
        <f t="shared" si="32"/>
        <v>0.24167759426139898</v>
      </c>
      <c r="BI33" s="59">
        <f t="shared" si="32"/>
        <v>7.774151710252894E-2</v>
      </c>
      <c r="BJ33" s="59">
        <f t="shared" si="32"/>
        <v>9.1771425488717442E-3</v>
      </c>
      <c r="BK33" s="59">
        <f t="shared" si="32"/>
        <v>1.6950312862697388E-2</v>
      </c>
      <c r="BL33" s="59">
        <f t="shared" si="32"/>
        <v>7.2939731076144737E-2</v>
      </c>
      <c r="BM33" s="59">
        <f t="shared" si="32"/>
        <v>0.2450168158650726</v>
      </c>
      <c r="BN33" s="59">
        <f t="shared" si="32"/>
        <v>0.16422842735313037</v>
      </c>
      <c r="BO33" s="59">
        <f t="shared" si="32"/>
        <v>0.10456389432203493</v>
      </c>
      <c r="BP33" s="59">
        <f t="shared" si="32"/>
        <v>3.3899624884120384E-2</v>
      </c>
      <c r="BQ33" s="59">
        <f t="shared" si="32"/>
        <v>-0.12179509365793438</v>
      </c>
      <c r="BR33" s="59">
        <f t="shared" ref="BR33:CJ33" si="33">BR32/BR34</f>
        <v>0.11330900899004194</v>
      </c>
      <c r="BS33" s="59">
        <f t="shared" si="33"/>
        <v>0.35694072721512127</v>
      </c>
      <c r="BT33" s="59">
        <f t="shared" si="33"/>
        <v>0.37206378287207653</v>
      </c>
      <c r="BU33" s="59">
        <f t="shared" si="33"/>
        <v>0.42289950453696495</v>
      </c>
      <c r="BV33" s="59">
        <f t="shared" si="33"/>
        <v>0.51432883111340799</v>
      </c>
      <c r="BW33" s="59">
        <f t="shared" si="33"/>
        <v>0.66229561539087289</v>
      </c>
      <c r="BX33" s="59">
        <f t="shared" si="33"/>
        <v>0.5672562456713427</v>
      </c>
      <c r="BY33" s="59">
        <f t="shared" si="33"/>
        <v>0.45258703313230808</v>
      </c>
      <c r="BZ33" s="59">
        <f t="shared" si="33"/>
        <v>0.21851612177142535</v>
      </c>
      <c r="CA33" s="59">
        <f t="shared" si="33"/>
        <v>0.79965936666314985</v>
      </c>
      <c r="CB33" s="59">
        <f t="shared" si="33"/>
        <v>0.88813973331548746</v>
      </c>
      <c r="CC33" s="59">
        <f t="shared" si="33"/>
        <v>0.89571644609093271</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4" t="s">
        <v>376</v>
      </c>
      <c r="E34" s="58">
        <f>股权价值增加表!E31</f>
        <v>11532313814</v>
      </c>
      <c r="F34" s="58">
        <f>股权价值增加表!F31</f>
        <v>9067014144</v>
      </c>
      <c r="G34" s="58">
        <f>股权价值增加表!G31</f>
        <v>6344654790</v>
      </c>
      <c r="H34" s="58">
        <f>股权价值增加表!H31</f>
        <v>3580823015</v>
      </c>
      <c r="I34" s="58">
        <f>股权价值增加表!I31</f>
        <v>4567198613</v>
      </c>
      <c r="J34" s="58">
        <f>股权价值增加表!J31</f>
        <v>2097392446</v>
      </c>
      <c r="K34" s="58">
        <f>股权价值增加表!K31</f>
        <v>677293344</v>
      </c>
      <c r="L34" s="58">
        <f>股权价值增加表!L31</f>
        <v>436544710</v>
      </c>
      <c r="M34" s="58">
        <f>股权价值增加表!M31</f>
        <v>3414332450</v>
      </c>
      <c r="N34" s="58">
        <f>股权价值增加表!N31</f>
        <v>3483693562</v>
      </c>
      <c r="O34" s="58">
        <f>股权价值增加表!O31</f>
        <v>2611998669</v>
      </c>
      <c r="P34" s="58">
        <f>股权价值增加表!P31</f>
        <v>1434003194</v>
      </c>
      <c r="Q34" s="58">
        <f>股权价值增加表!Q31</f>
        <v>4045963011</v>
      </c>
      <c r="R34" s="58">
        <f>股权价值增加表!R31</f>
        <v>2240192301</v>
      </c>
      <c r="S34" s="58">
        <f>股权价值增加表!S31</f>
        <v>1398513183</v>
      </c>
      <c r="T34" s="58">
        <f>股权价值增加表!T31</f>
        <v>907926621</v>
      </c>
      <c r="U34" s="58">
        <f>股权价值增加表!U31</f>
        <v>4030992007</v>
      </c>
      <c r="V34" s="58">
        <f>股权价值增加表!V31</f>
        <v>2290700653</v>
      </c>
      <c r="W34" s="58">
        <f>股权价值增加表!W31</f>
        <v>1391504534</v>
      </c>
      <c r="X34" s="58">
        <f>股权价值增加表!X31</f>
        <v>547068117</v>
      </c>
      <c r="Y34" s="58">
        <f>股权价值增加表!Y31</f>
        <v>967881002</v>
      </c>
      <c r="Z34" s="58">
        <f>股权价值增加表!Z31</f>
        <v>-608560031</v>
      </c>
      <c r="AA34" s="58">
        <f>股权价值增加表!AA31</f>
        <v>-933477255</v>
      </c>
      <c r="AB34" s="58">
        <f>股权价值增加表!AB31</f>
        <v>-769443263</v>
      </c>
      <c r="AC34" s="58">
        <f>股权价值增加表!AC31</f>
        <v>1406127406</v>
      </c>
      <c r="AD34" s="58">
        <f>股权价值增加表!AD31</f>
        <v>-2332443022</v>
      </c>
      <c r="AE34" s="58">
        <f>股权价值增加表!AE31</f>
        <v>-1425516651</v>
      </c>
      <c r="AF34" s="58">
        <f>股权价值增加表!AF31</f>
        <v>-844378285</v>
      </c>
      <c r="AG34" s="58">
        <f>股权价值增加表!AG31</f>
        <v>-2025256804</v>
      </c>
      <c r="AH34" s="58">
        <f>股权价值增加表!AH31</f>
        <v>-1139040867</v>
      </c>
      <c r="AI34" s="58">
        <f>股权价值增加表!AI31</f>
        <v>-606823159</v>
      </c>
      <c r="AJ34" s="58">
        <f>股权价值增加表!AJ31</f>
        <v>-324269546</v>
      </c>
      <c r="AK34" s="58">
        <f>股权价值增加表!AK31</f>
        <v>382111126</v>
      </c>
      <c r="AL34" s="58">
        <f>股权价值增加表!AL31</f>
        <v>-837849625</v>
      </c>
      <c r="AM34" s="58">
        <f>股权价值增加表!AM31</f>
        <v>-849040053</v>
      </c>
      <c r="AN34" s="58">
        <f>股权价值增加表!AN31</f>
        <v>-488653038</v>
      </c>
      <c r="AO34" s="58">
        <f>股权价值增加表!AO31</f>
        <v>-642093451</v>
      </c>
      <c r="AP34" s="58">
        <f>股权价值增加表!AP31</f>
        <v>214551876</v>
      </c>
      <c r="AQ34" s="58">
        <f>股权价值增加表!AQ31</f>
        <v>696778014</v>
      </c>
      <c r="AR34" s="58">
        <f>股权价值增加表!AR31</f>
        <v>447163331</v>
      </c>
      <c r="AS34" s="58">
        <f>股权价值增加表!AS31</f>
        <v>1130647532</v>
      </c>
      <c r="AT34" s="58">
        <f>股权价值增加表!AT31</f>
        <v>834045245</v>
      </c>
      <c r="AU34" s="58">
        <f>股权价值增加表!AU31</f>
        <v>216064816</v>
      </c>
      <c r="AV34" s="58">
        <f>股权价值增加表!AV31</f>
        <v>-5476930</v>
      </c>
      <c r="AW34" s="58">
        <f>股权价值增加表!AW31</f>
        <v>-2449577602</v>
      </c>
      <c r="AX34" s="58">
        <f>股权价值增加表!AX31</f>
        <v>-2213065167</v>
      </c>
      <c r="AY34" s="58">
        <f>股权价值增加表!AY31</f>
        <v>-1502829036</v>
      </c>
      <c r="AZ34" s="58">
        <f>股权价值增加表!AZ31</f>
        <v>-415174979</v>
      </c>
      <c r="BA34" s="58">
        <f>股权价值增加表!BA31</f>
        <v>-1089943054</v>
      </c>
      <c r="BB34" s="58">
        <f>股权价值增加表!BB31</f>
        <v>-1014387519</v>
      </c>
      <c r="BC34" s="58">
        <f>股权价值增加表!BC31</f>
        <v>-781454157</v>
      </c>
      <c r="BD34" s="58">
        <f>股权价值增加表!BD31</f>
        <v>-392879948</v>
      </c>
      <c r="BE34" s="58">
        <f>股权价值增加表!BE31</f>
        <v>291988573</v>
      </c>
      <c r="BF34" s="58">
        <f>股权价值增加表!BF31</f>
        <v>579690339.27999961</v>
      </c>
      <c r="BG34" s="58">
        <f>股权价值增加表!BG31</f>
        <v>599141023.69999993</v>
      </c>
      <c r="BH34" s="58">
        <f>股权价值增加表!BH31</f>
        <v>323263833.73999977</v>
      </c>
      <c r="BI34" s="58">
        <f>股权价值增加表!BI31</f>
        <v>684372559</v>
      </c>
      <c r="BJ34" s="58">
        <f>股权价值增加表!BJ31</f>
        <v>510170605.40000033</v>
      </c>
      <c r="BK34" s="58">
        <f>股权价值增加表!BK31</f>
        <v>356022961.28000009</v>
      </c>
      <c r="BL34" s="58">
        <f>股权价值增加表!BL31</f>
        <v>213300456.14999998</v>
      </c>
      <c r="BM34" s="58">
        <f>股权价值增加表!BM31</f>
        <v>266835514</v>
      </c>
      <c r="BN34" s="58">
        <f>股权价值增加表!BN31</f>
        <v>238304692.55999982</v>
      </c>
      <c r="BO34" s="58">
        <f>股权价值增加表!BO31</f>
        <v>170309828.21999997</v>
      </c>
      <c r="BP34" s="58">
        <f>股权价值增加表!BP31</f>
        <v>82835522.799999952</v>
      </c>
      <c r="BQ34" s="58">
        <f>股权价值增加表!BQ31</f>
        <v>131086865</v>
      </c>
      <c r="BR34" s="58">
        <f>股权价值增加表!BR31</f>
        <v>92369413.899999961</v>
      </c>
      <c r="BS34" s="58">
        <f>股权价值增加表!BS31</f>
        <v>162514635</v>
      </c>
      <c r="BT34" s="58">
        <f>股权价值增加表!BT31</f>
        <v>84037169</v>
      </c>
      <c r="BU34" s="58">
        <f>股权价值增加表!BU31</f>
        <v>123582176</v>
      </c>
      <c r="BV34" s="58">
        <f>股权价值增加表!BV31</f>
        <v>31019039.270000003</v>
      </c>
      <c r="BW34" s="58">
        <f>股权价值增加表!BW31</f>
        <v>61465000</v>
      </c>
      <c r="BX34" s="58">
        <f>股权价值增加表!BX31</f>
        <v>34538828.280000001</v>
      </c>
      <c r="BY34" s="58">
        <f>股权价值增加表!BY31</f>
        <v>135638000</v>
      </c>
      <c r="BZ34" s="58">
        <f>股权价值增加表!BZ31</f>
        <v>142168000</v>
      </c>
      <c r="CA34" s="58">
        <f>股权价值增加表!CA31</f>
        <v>132694000</v>
      </c>
      <c r="CB34" s="58">
        <f>股权价值增加表!CB31</f>
        <v>119542000</v>
      </c>
      <c r="CC34" s="58">
        <f>股权价值增加表!CC31</f>
        <v>111753000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674</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35064</v>
      </c>
      <c r="CC38" s="1">
        <v>34699</v>
      </c>
      <c r="CD38" s="1">
        <v>25569</v>
      </c>
      <c r="CE38" s="1"/>
      <c r="CF38" s="1"/>
      <c r="CG38" s="1"/>
      <c r="CH38" s="1"/>
      <c r="CI38" s="1"/>
      <c r="CJ38" s="1"/>
      <c r="CK38" s="1"/>
    </row>
    <row r="39" spans="1:89" x14ac:dyDescent="0.25">
      <c r="A39" s="17" t="s">
        <v>376</v>
      </c>
      <c r="E39" s="26">
        <f>股权价值增加表!E31</f>
        <v>11532313814</v>
      </c>
      <c r="F39" s="26">
        <f>股权价值增加表!F31</f>
        <v>9067014144</v>
      </c>
      <c r="G39" s="26">
        <f>股权价值增加表!G31</f>
        <v>6344654790</v>
      </c>
      <c r="H39" s="26">
        <f>股权价值增加表!H31</f>
        <v>3580823015</v>
      </c>
      <c r="I39" s="26">
        <f>股权价值增加表!I31</f>
        <v>4567198613</v>
      </c>
      <c r="J39" s="26">
        <f>股权价值增加表!J31</f>
        <v>2097392446</v>
      </c>
      <c r="K39" s="26">
        <f>股权价值增加表!K31</f>
        <v>677293344</v>
      </c>
      <c r="L39" s="26">
        <f>股权价值增加表!L31</f>
        <v>436544710</v>
      </c>
      <c r="M39" s="26">
        <f>股权价值增加表!M31</f>
        <v>3414332450</v>
      </c>
      <c r="N39" s="26">
        <f>股权价值增加表!N31</f>
        <v>3483693562</v>
      </c>
      <c r="O39" s="26">
        <f>股权价值增加表!O31</f>
        <v>2611998669</v>
      </c>
      <c r="P39" s="26">
        <f>股权价值增加表!P31</f>
        <v>1434003194</v>
      </c>
      <c r="Q39" s="26">
        <f>股权价值增加表!Q31</f>
        <v>4045963011</v>
      </c>
      <c r="R39" s="26">
        <f>股权价值增加表!R31</f>
        <v>2240192301</v>
      </c>
      <c r="S39" s="26">
        <f>股权价值增加表!S31</f>
        <v>1398513183</v>
      </c>
      <c r="T39" s="26">
        <f>股权价值增加表!T31</f>
        <v>907926621</v>
      </c>
      <c r="U39" s="26">
        <f>股权价值增加表!U31</f>
        <v>4030992007</v>
      </c>
      <c r="V39" s="26">
        <f>股权价值增加表!V31</f>
        <v>2290700653</v>
      </c>
      <c r="W39" s="26">
        <f>股权价值增加表!W31</f>
        <v>1391504534</v>
      </c>
      <c r="X39" s="26">
        <f>股权价值增加表!X31</f>
        <v>547068117</v>
      </c>
      <c r="Y39" s="26">
        <f>股权价值增加表!Y31</f>
        <v>967881002</v>
      </c>
      <c r="Z39" s="26">
        <f>股权价值增加表!Z31</f>
        <v>-608560031</v>
      </c>
      <c r="AA39" s="26">
        <f>股权价值增加表!AA31</f>
        <v>-933477255</v>
      </c>
      <c r="AB39" s="26">
        <f>股权价值增加表!AB31</f>
        <v>-769443263</v>
      </c>
      <c r="AC39" s="26">
        <f>股权价值增加表!AC31</f>
        <v>1406127406</v>
      </c>
      <c r="AD39" s="26">
        <f>股权价值增加表!AD31</f>
        <v>-2332443022</v>
      </c>
      <c r="AE39" s="26">
        <f>股权价值增加表!AE31</f>
        <v>-1425516651</v>
      </c>
      <c r="AF39" s="26">
        <f>股权价值增加表!AF31</f>
        <v>-844378285</v>
      </c>
      <c r="AG39" s="26">
        <f>股权价值增加表!AG31</f>
        <v>-2025256804</v>
      </c>
      <c r="AH39" s="26">
        <f>股权价值增加表!AH31</f>
        <v>-1139040867</v>
      </c>
      <c r="AI39" s="26">
        <f>股权价值增加表!AI31</f>
        <v>-606823159</v>
      </c>
      <c r="AJ39" s="26">
        <f>股权价值增加表!AJ31</f>
        <v>-324269546</v>
      </c>
      <c r="AK39" s="26">
        <f>股权价值增加表!AK31</f>
        <v>382111126</v>
      </c>
      <c r="AL39" s="26">
        <f>股权价值增加表!AL31</f>
        <v>-837849625</v>
      </c>
      <c r="AM39" s="26">
        <f>股权价值增加表!AM31</f>
        <v>-849040053</v>
      </c>
      <c r="AN39" s="26">
        <f>股权价值增加表!AN31</f>
        <v>-488653038</v>
      </c>
      <c r="AO39" s="26">
        <f>股权价值增加表!AO31</f>
        <v>-642093451</v>
      </c>
      <c r="AP39" s="26">
        <f>股权价值增加表!AP31</f>
        <v>214551876</v>
      </c>
      <c r="AQ39" s="26">
        <f>股权价值增加表!AQ31</f>
        <v>696778014</v>
      </c>
      <c r="AR39" s="26">
        <f>股权价值增加表!AR31</f>
        <v>447163331</v>
      </c>
      <c r="AS39" s="26">
        <f>股权价值增加表!AS31</f>
        <v>1130647532</v>
      </c>
      <c r="AT39" s="26">
        <f>股权价值增加表!AT31</f>
        <v>834045245</v>
      </c>
      <c r="AU39" s="26">
        <f>股权价值增加表!AU31</f>
        <v>216064816</v>
      </c>
      <c r="AV39" s="26">
        <f>股权价值增加表!AV31</f>
        <v>-5476930</v>
      </c>
      <c r="AW39" s="26">
        <f>股权价值增加表!AW31</f>
        <v>-2449577602</v>
      </c>
      <c r="AX39" s="26">
        <f>股权价值增加表!AX31</f>
        <v>-2213065167</v>
      </c>
      <c r="AY39" s="26">
        <f>股权价值增加表!AY31</f>
        <v>-1502829036</v>
      </c>
      <c r="AZ39" s="26">
        <f>股权价值增加表!AZ31</f>
        <v>-415174979</v>
      </c>
      <c r="BA39" s="26">
        <f>股权价值增加表!BA31</f>
        <v>-1089943054</v>
      </c>
      <c r="BB39" s="26">
        <f>股权价值增加表!BB31</f>
        <v>-1014387519</v>
      </c>
      <c r="BC39" s="26">
        <f>股权价值增加表!BC31</f>
        <v>-781454157</v>
      </c>
      <c r="BD39" s="26">
        <f>股权价值增加表!BD31</f>
        <v>-392879948</v>
      </c>
      <c r="BE39" s="26">
        <f>股权价值增加表!BE31</f>
        <v>291988573</v>
      </c>
      <c r="BF39" s="26">
        <f>股权价值增加表!BF31</f>
        <v>579690339.27999961</v>
      </c>
      <c r="BG39" s="26">
        <f>股权价值增加表!BG31</f>
        <v>599141023.69999993</v>
      </c>
      <c r="BH39" s="26">
        <f>股权价值增加表!BH31</f>
        <v>323263833.73999977</v>
      </c>
      <c r="BI39" s="26">
        <f>股权价值增加表!BI31</f>
        <v>684372559</v>
      </c>
      <c r="BJ39" s="26">
        <f>股权价值增加表!BJ31</f>
        <v>510170605.40000033</v>
      </c>
      <c r="BK39" s="26">
        <f>股权价值增加表!BK31</f>
        <v>356022961.28000009</v>
      </c>
      <c r="BL39" s="26">
        <f>股权价值增加表!BL31</f>
        <v>213300456.14999998</v>
      </c>
      <c r="BM39" s="26">
        <f>股权价值增加表!BM31</f>
        <v>266835514</v>
      </c>
      <c r="BN39" s="26">
        <f>股权价值增加表!BN31</f>
        <v>238304692.55999982</v>
      </c>
      <c r="BO39" s="26">
        <f>股权价值增加表!BO31</f>
        <v>170309828.21999997</v>
      </c>
      <c r="BP39" s="26">
        <f>股权价值增加表!BP31</f>
        <v>82835522.799999952</v>
      </c>
      <c r="BQ39" s="26">
        <f>股权价值增加表!BQ31</f>
        <v>131086865</v>
      </c>
      <c r="BR39" s="26">
        <f>股权价值增加表!BR31</f>
        <v>92369413.899999961</v>
      </c>
      <c r="BS39" s="26">
        <f>股权价值增加表!BS31</f>
        <v>162514635</v>
      </c>
      <c r="BT39" s="26">
        <f>股权价值增加表!BT31</f>
        <v>84037169</v>
      </c>
      <c r="BU39" s="26">
        <f>股权价值增加表!BU31</f>
        <v>123582176</v>
      </c>
      <c r="BV39" s="26">
        <f>股权价值增加表!BV31</f>
        <v>31019039.270000003</v>
      </c>
      <c r="BW39" s="26">
        <f>股权价值增加表!BW31</f>
        <v>61465000</v>
      </c>
      <c r="BX39" s="26">
        <f>股权价值增加表!BX31</f>
        <v>34538828.280000001</v>
      </c>
      <c r="BY39" s="26">
        <f>股权价值增加表!BY31</f>
        <v>135638000</v>
      </c>
      <c r="BZ39" s="26">
        <f>股权价值增加表!BZ31</f>
        <v>142168000</v>
      </c>
      <c r="CA39" s="26">
        <f>股权价值增加表!CA31</f>
        <v>132694000</v>
      </c>
      <c r="CB39" s="26">
        <f>股权价值增加表!CB31</f>
        <v>119542000</v>
      </c>
      <c r="CC39" s="26">
        <f>股权价值增加表!CC31</f>
        <v>111753000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8919212563</v>
      </c>
      <c r="F40" s="26">
        <f>股权价值增加表!F38</f>
        <v>7653618689</v>
      </c>
      <c r="G40" s="26">
        <f>股权价值增加表!G38</f>
        <v>5245518299</v>
      </c>
      <c r="H40" s="26">
        <f>股权价值增加表!H38</f>
        <v>3101893284</v>
      </c>
      <c r="I40" s="26">
        <f>股权价值增加表!I38</f>
        <v>1734740704</v>
      </c>
      <c r="J40" s="26">
        <f>股权价值增加表!J38</f>
        <v>257319940</v>
      </c>
      <c r="K40" s="26">
        <f>股权价值增加表!K38</f>
        <v>-557585666</v>
      </c>
      <c r="L40" s="26">
        <f>股权价值增加表!L38</f>
        <v>65970246</v>
      </c>
      <c r="M40" s="26">
        <f>股权价值增加表!M38</f>
        <v>1192685261</v>
      </c>
      <c r="N40" s="26">
        <f>股权价值增加表!N38</f>
        <v>2433846871</v>
      </c>
      <c r="O40" s="26">
        <f>股权价值增加表!O38</f>
        <v>2435657580</v>
      </c>
      <c r="P40" s="26">
        <f>股权价值增加表!P38</f>
        <v>1262393312</v>
      </c>
      <c r="Q40" s="26">
        <f>股权价值增加表!Q38</f>
        <v>3343131300</v>
      </c>
      <c r="R40" s="26">
        <f>股权价值增加表!R38</f>
        <v>2288326941</v>
      </c>
      <c r="S40" s="26">
        <f>股权价值增加表!S38</f>
        <v>1291773611</v>
      </c>
      <c r="T40" s="26">
        <f>股权价值增加表!T38</f>
        <v>723067517</v>
      </c>
      <c r="U40" s="26">
        <f>股权价值增加表!U38</f>
        <v>3276289028</v>
      </c>
      <c r="V40" s="26">
        <f>股权价值增加表!V38</f>
        <v>1890261946</v>
      </c>
      <c r="W40" s="26">
        <f>股权价值增加表!W38</f>
        <v>1198091877</v>
      </c>
      <c r="X40" s="26">
        <f>股权价值增加表!X38</f>
        <v>407584093</v>
      </c>
      <c r="Y40" s="26">
        <f>股权价值增加表!Y38</f>
        <v>389911646</v>
      </c>
      <c r="Z40" s="26">
        <f>股权价值增加表!Z38</f>
        <v>-905713799</v>
      </c>
      <c r="AA40" s="26">
        <f>股权价值增加表!AA38</f>
        <v>-1054778979</v>
      </c>
      <c r="AB40" s="26">
        <f>股权价值增加表!AB38</f>
        <v>-725576775</v>
      </c>
      <c r="AC40" s="26">
        <f>股权价值增加表!AC38</f>
        <v>1031875934</v>
      </c>
      <c r="AD40" s="26">
        <f>股权价值增加表!AD38</f>
        <v>-2381670516</v>
      </c>
      <c r="AE40" s="26">
        <f>股权价值增加表!AE38</f>
        <v>-1350234835</v>
      </c>
      <c r="AF40" s="26">
        <f>股权价值增加表!AF38</f>
        <v>-748170623</v>
      </c>
      <c r="AG40" s="26">
        <f>股权价值增加表!AG38</f>
        <v>-2242812939</v>
      </c>
      <c r="AH40" s="26">
        <f>股权价值增加表!AH38</f>
        <v>-1154080614</v>
      </c>
      <c r="AI40" s="26">
        <f>股权价值增加表!AI38</f>
        <v>-638447738</v>
      </c>
      <c r="AJ40" s="26">
        <f>股权价值增加表!AJ38</f>
        <v>-321231972</v>
      </c>
      <c r="AK40" s="26">
        <f>股权价值增加表!AK38</f>
        <v>171458416</v>
      </c>
      <c r="AL40" s="26">
        <f>股权价值增加表!AL38</f>
        <v>-931684582</v>
      </c>
      <c r="AM40" s="26">
        <f>股权价值增加表!AM38</f>
        <v>-912323863</v>
      </c>
      <c r="AN40" s="26">
        <f>股权价值增加表!AN38</f>
        <v>-514935570</v>
      </c>
      <c r="AO40" s="26">
        <f>股权价值增加表!AO38</f>
        <v>-886777122</v>
      </c>
      <c r="AP40" s="26">
        <f>股权价值增加表!AP38</f>
        <v>164426069</v>
      </c>
      <c r="AQ40" s="26">
        <f>股权价值增加表!AQ38</f>
        <v>684093481</v>
      </c>
      <c r="AR40" s="26">
        <f>股权价值增加表!AR38</f>
        <v>413150147</v>
      </c>
      <c r="AS40" s="26">
        <f>股权价值增加表!AS38</f>
        <v>840799064</v>
      </c>
      <c r="AT40" s="26">
        <f>股权价值增加表!AT38</f>
        <v>574676859</v>
      </c>
      <c r="AU40" s="26">
        <f>股权价值增加表!AU38</f>
        <v>46468353</v>
      </c>
      <c r="AV40" s="26">
        <f>股权价值增加表!AV38</f>
        <v>-114890826</v>
      </c>
      <c r="AW40" s="26">
        <f>股权价值增加表!AW38</f>
        <v>-3073872884</v>
      </c>
      <c r="AX40" s="26">
        <f>股权价值增加表!AX38</f>
        <v>-2757526629</v>
      </c>
      <c r="AY40" s="26">
        <f>股权价值增加表!AY38</f>
        <v>-1849140023</v>
      </c>
      <c r="AZ40" s="26">
        <f>股权价值增加表!AZ38</f>
        <v>-531277817</v>
      </c>
      <c r="BA40" s="26">
        <f>股权价值增加表!BA38</f>
        <v>-1551714510</v>
      </c>
      <c r="BB40" s="26">
        <f>股权价值增加表!BB38</f>
        <v>-1288620911</v>
      </c>
      <c r="BC40" s="26">
        <f>股权价值增加表!BC38</f>
        <v>-952178899</v>
      </c>
      <c r="BD40" s="26">
        <f>股权价值增加表!BD38</f>
        <v>-441679189</v>
      </c>
      <c r="BE40" s="26">
        <f>股权价值增加表!BE38</f>
        <v>278089575</v>
      </c>
      <c r="BF40" s="26">
        <f>股权价值增加表!BF38</f>
        <v>516776256.67999959</v>
      </c>
      <c r="BG40" s="26">
        <f>股权价值增加表!BG38</f>
        <v>562823814.55999994</v>
      </c>
      <c r="BH40" s="26">
        <f>股权价值增加表!BH38</f>
        <v>302012294.80999976</v>
      </c>
      <c r="BI40" s="26">
        <f>股权价值增加表!BI38</f>
        <v>422020769</v>
      </c>
      <c r="BJ40" s="26">
        <f>股权价值增加表!BJ38</f>
        <v>331334149.40000033</v>
      </c>
      <c r="BK40" s="26">
        <f>股权价值增加表!BK38</f>
        <v>201548160.53000009</v>
      </c>
      <c r="BL40" s="26">
        <f>股权价值增加表!BL38</f>
        <v>62138740.479999989</v>
      </c>
      <c r="BM40" s="26">
        <f>股权价值增加表!BM38</f>
        <v>201293206</v>
      </c>
      <c r="BN40" s="26">
        <f>股权价值增加表!BN38</f>
        <v>179848009.97999984</v>
      </c>
      <c r="BO40" s="26">
        <f>股权价值增加表!BO38</f>
        <v>138471292.87999997</v>
      </c>
      <c r="BP40" s="26">
        <f>股权价值增加表!BP38</f>
        <v>67223254.329999954</v>
      </c>
      <c r="BQ40" s="26">
        <f>股权价值增加表!BQ38</f>
        <v>110557338</v>
      </c>
      <c r="BR40" s="26">
        <f>股权价值增加表!BR38</f>
        <v>83672396.709999964</v>
      </c>
      <c r="BS40" s="26">
        <f>股权价值增加表!BS38</f>
        <v>136565373</v>
      </c>
      <c r="BT40" s="26">
        <f>股权价值增加表!BT38</f>
        <v>74049546</v>
      </c>
      <c r="BU40" s="26">
        <f>股权价值增加表!BU38</f>
        <v>110283893</v>
      </c>
      <c r="BV40" s="26">
        <f>股权价值增加表!BV38</f>
        <v>24682912.000000004</v>
      </c>
      <c r="BW40" s="26">
        <f>股权价值增加表!BW38</f>
        <v>65649000</v>
      </c>
      <c r="BX40" s="26">
        <f>股权价值增加表!BX38</f>
        <v>37985235.079999998</v>
      </c>
      <c r="BY40" s="26">
        <f>股权价值增加表!BY38</f>
        <v>145049000</v>
      </c>
      <c r="BZ40" s="26">
        <f>股权价值增加表!BZ38</f>
        <v>142168000</v>
      </c>
      <c r="CA40" s="26">
        <f>股权价值增加表!CA38</f>
        <v>117368000</v>
      </c>
      <c r="CB40" s="26">
        <f>股权价值增加表!CB38</f>
        <v>108561000</v>
      </c>
      <c r="CC40" s="26">
        <f>股权价值增加表!CC38</f>
        <v>101051000</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0.22658950260508404</v>
      </c>
      <c r="F41" s="59">
        <f t="shared" ref="F41:BQ41" si="34">1-F40/F39</f>
        <v>0.15588323041663055</v>
      </c>
      <c r="G41" s="59">
        <f t="shared" si="34"/>
        <v>0.1732381866910051</v>
      </c>
      <c r="H41" s="59">
        <f t="shared" si="34"/>
        <v>0.13374850669630201</v>
      </c>
      <c r="I41" s="59">
        <f t="shared" si="34"/>
        <v>0.62017401672389239</v>
      </c>
      <c r="J41" s="59">
        <f t="shared" si="34"/>
        <v>0.8773143574104395</v>
      </c>
      <c r="K41" s="59">
        <f t="shared" si="34"/>
        <v>1.8232557885582883</v>
      </c>
      <c r="L41" s="59">
        <f t="shared" si="34"/>
        <v>0.84888089469690287</v>
      </c>
      <c r="M41" s="59">
        <f t="shared" si="34"/>
        <v>0.65068273858335024</v>
      </c>
      <c r="N41" s="59">
        <f t="shared" si="34"/>
        <v>0.30136022939896001</v>
      </c>
      <c r="O41" s="59">
        <f t="shared" si="34"/>
        <v>6.7511936775799364E-2</v>
      </c>
      <c r="P41" s="59">
        <f t="shared" si="34"/>
        <v>0.11967189663037803</v>
      </c>
      <c r="Q41" s="59">
        <f t="shared" si="34"/>
        <v>0.17371184785653493</v>
      </c>
      <c r="R41" s="59">
        <f t="shared" si="34"/>
        <v>-2.1486833955510543E-2</v>
      </c>
      <c r="S41" s="59">
        <f t="shared" si="34"/>
        <v>7.6323608027082823E-2</v>
      </c>
      <c r="T41" s="59">
        <f t="shared" si="34"/>
        <v>0.2036057757579508</v>
      </c>
      <c r="U41" s="59">
        <f t="shared" si="34"/>
        <v>0.18722512416036152</v>
      </c>
      <c r="V41" s="59">
        <f t="shared" si="34"/>
        <v>0.17481057879630335</v>
      </c>
      <c r="W41" s="59">
        <f t="shared" si="34"/>
        <v>0.1389953480381545</v>
      </c>
      <c r="X41" s="59">
        <f t="shared" si="34"/>
        <v>0.25496646517237997</v>
      </c>
      <c r="Y41" s="59">
        <f t="shared" si="34"/>
        <v>0.5971491896273422</v>
      </c>
      <c r="Z41" s="59">
        <f t="shared" si="34"/>
        <v>-0.48828998432859616</v>
      </c>
      <c r="AA41" s="59">
        <f t="shared" si="34"/>
        <v>-0.12994609493725684</v>
      </c>
      <c r="AB41" s="59">
        <f t="shared" si="34"/>
        <v>5.7010685659872995E-2</v>
      </c>
      <c r="AC41" s="59">
        <f t="shared" si="34"/>
        <v>0.26615758316284466</v>
      </c>
      <c r="AD41" s="59">
        <f t="shared" si="34"/>
        <v>-2.1105550504633142E-2</v>
      </c>
      <c r="AE41" s="59">
        <f t="shared" si="34"/>
        <v>5.2810197584987728E-2</v>
      </c>
      <c r="AF41" s="59">
        <f t="shared" si="34"/>
        <v>0.11393905280261918</v>
      </c>
      <c r="AG41" s="59">
        <f t="shared" si="34"/>
        <v>-0.10742150554453844</v>
      </c>
      <c r="AH41" s="59">
        <f t="shared" si="34"/>
        <v>-1.3203869532452783E-2</v>
      </c>
      <c r="AI41" s="59">
        <f t="shared" si="34"/>
        <v>-5.2114983633971601E-2</v>
      </c>
      <c r="AJ41" s="59">
        <f t="shared" si="34"/>
        <v>9.3674353249317832E-3</v>
      </c>
      <c r="AK41" s="59">
        <f t="shared" si="34"/>
        <v>0.55128651239534965</v>
      </c>
      <c r="AL41" s="59">
        <f t="shared" si="34"/>
        <v>-0.11199498597376589</v>
      </c>
      <c r="AM41" s="59">
        <f t="shared" si="34"/>
        <v>-7.4535718045801058E-2</v>
      </c>
      <c r="AN41" s="59">
        <f t="shared" si="34"/>
        <v>-5.3785671951557479E-2</v>
      </c>
      <c r="AO41" s="59">
        <f t="shared" si="34"/>
        <v>-0.38107174371414043</v>
      </c>
      <c r="AP41" s="59">
        <f t="shared" si="34"/>
        <v>0.23363024334497084</v>
      </c>
      <c r="AQ41" s="59">
        <f t="shared" si="34"/>
        <v>1.820455402601151E-2</v>
      </c>
      <c r="AR41" s="59">
        <f t="shared" si="34"/>
        <v>7.6064340794527285E-2</v>
      </c>
      <c r="AS41" s="59">
        <f t="shared" si="34"/>
        <v>0.25635616741433798</v>
      </c>
      <c r="AT41" s="59">
        <f t="shared" si="34"/>
        <v>0.31097639792910758</v>
      </c>
      <c r="AU41" s="59">
        <f t="shared" si="34"/>
        <v>0.78493327206036168</v>
      </c>
      <c r="AV41" s="59">
        <f t="shared" si="34"/>
        <v>-19.977231040016942</v>
      </c>
      <c r="AW41" s="59">
        <f t="shared" si="34"/>
        <v>-0.25485834026661713</v>
      </c>
      <c r="AX41" s="59">
        <f t="shared" si="34"/>
        <v>-0.24602143222834427</v>
      </c>
      <c r="AY41" s="59">
        <f t="shared" si="34"/>
        <v>-0.23043937713750684</v>
      </c>
      <c r="AZ41" s="59">
        <f t="shared" si="34"/>
        <v>-0.27964796500898959</v>
      </c>
      <c r="BA41" s="59">
        <f t="shared" si="34"/>
        <v>-0.42366567161957436</v>
      </c>
      <c r="BB41" s="59">
        <f t="shared" si="34"/>
        <v>-0.27034381522196149</v>
      </c>
      <c r="BC41" s="59">
        <f t="shared" si="34"/>
        <v>-0.21847057881861143</v>
      </c>
      <c r="BD41" s="59">
        <f t="shared" si="34"/>
        <v>-0.12420903955118634</v>
      </c>
      <c r="BE41" s="59">
        <f t="shared" si="34"/>
        <v>4.760117102253858E-2</v>
      </c>
      <c r="BF41" s="59">
        <f t="shared" si="34"/>
        <v>0.10853050040154544</v>
      </c>
      <c r="BG41" s="59">
        <f t="shared" si="34"/>
        <v>6.0615460640172425E-2</v>
      </c>
      <c r="BH41" s="59">
        <f t="shared" si="34"/>
        <v>6.5740539806542597E-2</v>
      </c>
      <c r="BI41" s="59">
        <f t="shared" si="34"/>
        <v>0.38334644858254752</v>
      </c>
      <c r="BJ41" s="59">
        <f t="shared" si="34"/>
        <v>0.35054245404786288</v>
      </c>
      <c r="BK41" s="59">
        <f t="shared" si="34"/>
        <v>0.43388999460770949</v>
      </c>
      <c r="BL41" s="59">
        <f t="shared" si="34"/>
        <v>0.70867975811405692</v>
      </c>
      <c r="BM41" s="59">
        <f t="shared" si="34"/>
        <v>0.24562812879547957</v>
      </c>
      <c r="BN41" s="59">
        <f t="shared" si="34"/>
        <v>0.24530227228018975</v>
      </c>
      <c r="BO41" s="59">
        <f t="shared" si="34"/>
        <v>0.18694479157639776</v>
      </c>
      <c r="BP41" s="59">
        <f t="shared" si="34"/>
        <v>0.18847310842347953</v>
      </c>
      <c r="BQ41" s="59">
        <f t="shared" si="34"/>
        <v>0.15661009972280593</v>
      </c>
      <c r="BR41" s="59">
        <f t="shared" ref="BR41:CK41" si="35">1-BR40/BR39</f>
        <v>9.4154729610122612E-2</v>
      </c>
      <c r="BS41" s="59">
        <f t="shared" si="35"/>
        <v>0.15967338572307654</v>
      </c>
      <c r="BT41" s="59">
        <f t="shared" si="35"/>
        <v>0.11884768512370991</v>
      </c>
      <c r="BU41" s="59">
        <f t="shared" si="35"/>
        <v>0.10760680407504719</v>
      </c>
      <c r="BV41" s="59">
        <f t="shared" si="35"/>
        <v>0.20426574836339217</v>
      </c>
      <c r="BW41" s="59">
        <f t="shared" si="35"/>
        <v>-6.8071260066704609E-2</v>
      </c>
      <c r="BX41" s="59">
        <f t="shared" si="35"/>
        <v>-9.9783547144697726E-2</v>
      </c>
      <c r="BY41" s="59">
        <f t="shared" si="35"/>
        <v>-6.9383211194502969E-2</v>
      </c>
      <c r="BZ41" s="59">
        <f t="shared" si="35"/>
        <v>0</v>
      </c>
      <c r="CA41" s="59">
        <f t="shared" si="35"/>
        <v>0.11549881682668395</v>
      </c>
      <c r="CB41" s="59">
        <f t="shared" si="35"/>
        <v>9.1858928242793292E-2</v>
      </c>
      <c r="CC41" s="59">
        <f t="shared" si="35"/>
        <v>9.5764766941379698E-2</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427</v>
      </c>
      <c r="E42" s="148">
        <f>E39/(E39-E40)</f>
        <v>4.4132671130086267</v>
      </c>
      <c r="F42" s="29">
        <f t="shared" ref="F42:BQ42" si="36">F39/(F39-F40)</f>
        <v>6.4150582286965117</v>
      </c>
      <c r="G42" s="29">
        <f t="shared" si="36"/>
        <v>5.7723993716445543</v>
      </c>
      <c r="H42" s="29">
        <f t="shared" si="36"/>
        <v>7.4767189907448026</v>
      </c>
      <c r="I42" s="29">
        <f t="shared" si="36"/>
        <v>1.6124506558377951</v>
      </c>
      <c r="J42" s="29">
        <f t="shared" si="36"/>
        <v>1.1398422829323009</v>
      </c>
      <c r="K42" s="29">
        <f t="shared" si="36"/>
        <v>0.5484693953944525</v>
      </c>
      <c r="L42" s="29">
        <f t="shared" si="36"/>
        <v>1.1780215649181915</v>
      </c>
      <c r="M42" s="29">
        <f t="shared" si="36"/>
        <v>1.5368472847107859</v>
      </c>
      <c r="N42" s="29">
        <f t="shared" si="36"/>
        <v>3.3182878908554847</v>
      </c>
      <c r="O42" s="29">
        <f t="shared" si="36"/>
        <v>14.812195409545192</v>
      </c>
      <c r="P42" s="29">
        <f t="shared" si="36"/>
        <v>8.3561807588679535</v>
      </c>
      <c r="Q42" s="29">
        <f t="shared" si="36"/>
        <v>5.7566597347227546</v>
      </c>
      <c r="R42" s="29">
        <f t="shared" si="36"/>
        <v>-46.540127878799964</v>
      </c>
      <c r="S42" s="29">
        <f t="shared" si="36"/>
        <v>13.102105964974264</v>
      </c>
      <c r="T42" s="29">
        <f t="shared" si="36"/>
        <v>4.911452026728421</v>
      </c>
      <c r="U42" s="29">
        <f t="shared" si="36"/>
        <v>5.3411635029467668</v>
      </c>
      <c r="V42" s="29">
        <f t="shared" si="36"/>
        <v>5.7204775985853935</v>
      </c>
      <c r="W42" s="29">
        <f t="shared" si="36"/>
        <v>7.1944853846871046</v>
      </c>
      <c r="X42" s="29">
        <f t="shared" si="36"/>
        <v>3.9220844173523415</v>
      </c>
      <c r="Y42" s="29">
        <f t="shared" si="36"/>
        <v>1.6746233895487013</v>
      </c>
      <c r="Z42" s="29">
        <f t="shared" si="36"/>
        <v>-2.0479633662259333</v>
      </c>
      <c r="AA42" s="29">
        <f t="shared" si="36"/>
        <v>-7.6954986641409979</v>
      </c>
      <c r="AB42" s="29">
        <f t="shared" si="36"/>
        <v>17.540571358254166</v>
      </c>
      <c r="AC42" s="29">
        <f t="shared" si="36"/>
        <v>3.7571726798712497</v>
      </c>
      <c r="AD42" s="29">
        <f t="shared" si="36"/>
        <v>-47.380901046882457</v>
      </c>
      <c r="AE42" s="29">
        <f t="shared" si="36"/>
        <v>18.935736765436157</v>
      </c>
      <c r="AF42" s="29">
        <f t="shared" si="36"/>
        <v>8.7766220220589091</v>
      </c>
      <c r="AG42" s="29">
        <f t="shared" si="36"/>
        <v>-9.3091229259059958</v>
      </c>
      <c r="AH42" s="29">
        <f t="shared" si="36"/>
        <v>-75.735374205430446</v>
      </c>
      <c r="AI42" s="29">
        <f t="shared" si="36"/>
        <v>-19.18833951908103</v>
      </c>
      <c r="AJ42" s="29">
        <f t="shared" si="36"/>
        <v>106.75280536375411</v>
      </c>
      <c r="AK42" s="29">
        <f t="shared" si="36"/>
        <v>1.8139388095220803</v>
      </c>
      <c r="AL42" s="29">
        <f t="shared" si="36"/>
        <v>-8.9289711615682847</v>
      </c>
      <c r="AM42" s="29">
        <f t="shared" si="36"/>
        <v>-13.416386481787365</v>
      </c>
      <c r="AN42" s="29">
        <f t="shared" si="36"/>
        <v>-18.592312110568344</v>
      </c>
      <c r="AO42" s="29">
        <f t="shared" si="36"/>
        <v>-2.6241777735956888</v>
      </c>
      <c r="AP42" s="29">
        <f t="shared" si="36"/>
        <v>4.2802677670605878</v>
      </c>
      <c r="AQ42" s="29">
        <f t="shared" si="36"/>
        <v>54.931309966239986</v>
      </c>
      <c r="AR42" s="29">
        <f t="shared" si="36"/>
        <v>13.146764825074889</v>
      </c>
      <c r="AS42" s="29">
        <f t="shared" si="36"/>
        <v>3.9008228672093583</v>
      </c>
      <c r="AT42" s="29">
        <f t="shared" si="36"/>
        <v>3.2156781243185129</v>
      </c>
      <c r="AU42" s="29">
        <f t="shared" si="36"/>
        <v>1.2739936445490612</v>
      </c>
      <c r="AV42" s="29">
        <f t="shared" si="36"/>
        <v>-5.0056987277009128E-2</v>
      </c>
      <c r="AW42" s="29">
        <f t="shared" si="36"/>
        <v>-3.9237483809784743</v>
      </c>
      <c r="AX42" s="29">
        <f t="shared" si="36"/>
        <v>-4.0646865232125462</v>
      </c>
      <c r="AY42" s="29">
        <f t="shared" si="36"/>
        <v>-4.3395361175763103</v>
      </c>
      <c r="AZ42" s="29">
        <f t="shared" si="36"/>
        <v>-3.5759244662046936</v>
      </c>
      <c r="BA42" s="29">
        <f t="shared" si="36"/>
        <v>-2.3603517277603232</v>
      </c>
      <c r="BB42" s="29">
        <f t="shared" si="36"/>
        <v>-3.698993443511795</v>
      </c>
      <c r="BC42" s="29">
        <f t="shared" si="36"/>
        <v>-4.5772753723066106</v>
      </c>
      <c r="BD42" s="29">
        <f t="shared" si="36"/>
        <v>-8.0509438251303944</v>
      </c>
      <c r="BE42" s="29">
        <f t="shared" si="36"/>
        <v>21.007886539734734</v>
      </c>
      <c r="BF42" s="29">
        <f t="shared" si="36"/>
        <v>9.2139997171316832</v>
      </c>
      <c r="BG42" s="29">
        <f t="shared" si="36"/>
        <v>16.497441237578538</v>
      </c>
      <c r="BH42" s="29">
        <f t="shared" si="36"/>
        <v>15.211314098465605</v>
      </c>
      <c r="BI42" s="29">
        <f t="shared" si="36"/>
        <v>2.6086064021137418</v>
      </c>
      <c r="BJ42" s="29">
        <f t="shared" si="36"/>
        <v>2.8527215133361867</v>
      </c>
      <c r="BK42" s="29">
        <f t="shared" si="36"/>
        <v>2.3047316426462525</v>
      </c>
      <c r="BL42" s="29">
        <f t="shared" si="36"/>
        <v>1.4110745912387936</v>
      </c>
      <c r="BM42" s="29">
        <f t="shared" si="36"/>
        <v>4.0711949600554194</v>
      </c>
      <c r="BN42" s="29">
        <f t="shared" si="36"/>
        <v>4.0766030852652584</v>
      </c>
      <c r="BO42" s="29">
        <f t="shared" si="36"/>
        <v>5.3491728310137763</v>
      </c>
      <c r="BP42" s="29">
        <f t="shared" si="36"/>
        <v>5.3057967174452489</v>
      </c>
      <c r="BQ42" s="29">
        <f t="shared" si="36"/>
        <v>6.3852842298802113</v>
      </c>
      <c r="BR42" s="29">
        <f t="shared" ref="BR42:CK42" si="37">BR39/(BR39-BR40)</f>
        <v>10.620815376357786</v>
      </c>
      <c r="BS42" s="29">
        <f t="shared" si="37"/>
        <v>6.2627844676276343</v>
      </c>
      <c r="BT42" s="29">
        <f t="shared" si="37"/>
        <v>8.4141310700253698</v>
      </c>
      <c r="BU42" s="29">
        <f t="shared" si="37"/>
        <v>9.2930926496300312</v>
      </c>
      <c r="BV42" s="29">
        <f t="shared" si="37"/>
        <v>4.8955833663360115</v>
      </c>
      <c r="BW42" s="29">
        <f t="shared" si="37"/>
        <v>-14.690487571701722</v>
      </c>
      <c r="BX42" s="29">
        <f t="shared" si="37"/>
        <v>-10.021692239000931</v>
      </c>
      <c r="BY42" s="29">
        <f t="shared" si="37"/>
        <v>-14.412708532568271</v>
      </c>
      <c r="BZ42" s="29" t="e">
        <f t="shared" si="37"/>
        <v>#DIV/0!</v>
      </c>
      <c r="CA42" s="29">
        <f t="shared" si="37"/>
        <v>8.6580973509069548</v>
      </c>
      <c r="CB42" s="29">
        <f t="shared" si="37"/>
        <v>10.886258082141881</v>
      </c>
      <c r="CC42" s="29">
        <f t="shared" si="37"/>
        <v>10.442253784339377</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696</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422</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35064</v>
      </c>
      <c r="CC46" s="1">
        <v>34699</v>
      </c>
      <c r="CD46" s="1">
        <v>25569</v>
      </c>
      <c r="CE46" s="1"/>
      <c r="CF46" s="1"/>
      <c r="CG46" s="1"/>
      <c r="CH46" s="1"/>
      <c r="CI46" s="1"/>
      <c r="CJ46" s="1"/>
      <c r="CK46" s="1"/>
    </row>
    <row r="47" spans="1:89" s="26" customFormat="1" x14ac:dyDescent="0.25">
      <c r="A47" s="17" t="s">
        <v>423</v>
      </c>
      <c r="E47" s="26">
        <f>股权价值增加表!E42</f>
        <v>7038552583</v>
      </c>
      <c r="F47" s="26">
        <f>股权价值增加表!F42</f>
        <v>6300591592</v>
      </c>
      <c r="G47" s="26">
        <f>股权价值增加表!G42</f>
        <v>4305256684</v>
      </c>
      <c r="H47" s="26">
        <f>股权价值增加表!H42</f>
        <v>2627399119</v>
      </c>
      <c r="I47" s="26">
        <f>股权价值增加表!I42</f>
        <v>1267512388</v>
      </c>
      <c r="J47" s="26">
        <f>股权价值增加表!J42</f>
        <v>137192696</v>
      </c>
      <c r="K47" s="26">
        <f>股权价值增加表!K42</f>
        <v>-613843977</v>
      </c>
      <c r="L47" s="26">
        <f>股权价值增加表!L42</f>
        <v>52394412</v>
      </c>
      <c r="M47" s="26">
        <f>股权价值增加表!M42</f>
        <v>817552076</v>
      </c>
      <c r="N47" s="26">
        <f>股权价值增加表!N42</f>
        <v>1938753004</v>
      </c>
      <c r="O47" s="26">
        <f>股权价值增加表!O42</f>
        <v>2024596916</v>
      </c>
      <c r="P47" s="26">
        <f>股权价值增加表!P42</f>
        <v>1031450851</v>
      </c>
      <c r="Q47" s="26">
        <f>股权价值增加表!Q42</f>
        <v>2883138105</v>
      </c>
      <c r="R47" s="26">
        <f>股权价值增加表!R42</f>
        <v>2003637503</v>
      </c>
      <c r="S47" s="26">
        <f>股权价值增加表!S42</f>
        <v>1135753411</v>
      </c>
      <c r="T47" s="26">
        <f>股权价值增加表!T42</f>
        <v>658584430</v>
      </c>
      <c r="U47" s="26">
        <f>股权价值增加表!U42</f>
        <v>3226004794</v>
      </c>
      <c r="V47" s="26">
        <f>股权价值增加表!V42</f>
        <v>1816540346</v>
      </c>
      <c r="W47" s="26">
        <f>股权价值增加表!W42</f>
        <v>1174801041</v>
      </c>
      <c r="X47" s="26">
        <f>股权价值增加表!X42</f>
        <v>403023554</v>
      </c>
      <c r="Y47" s="26">
        <f>股权价值增加表!Y42</f>
        <v>388242751</v>
      </c>
      <c r="Z47" s="26">
        <f>股权价值增加表!Z42</f>
        <v>-912990435</v>
      </c>
      <c r="AA47" s="26">
        <f>股权价值增加表!AA42</f>
        <v>-1063032488</v>
      </c>
      <c r="AB47" s="26">
        <f>股权价值增加表!AB42</f>
        <v>-727498725</v>
      </c>
      <c r="AC47" s="26">
        <f>股权价值增加表!AC42</f>
        <v>879465955</v>
      </c>
      <c r="AD47" s="26">
        <f>股权价值增加表!AD42</f>
        <v>-2379942865</v>
      </c>
      <c r="AE47" s="26">
        <f>股权价值增加表!AE42</f>
        <v>-1347525135</v>
      </c>
      <c r="AF47" s="26">
        <f>股权价值增加表!AF42</f>
        <v>-747351679</v>
      </c>
      <c r="AG47" s="26">
        <f>股权价值增加表!AG42</f>
        <v>-2269485522</v>
      </c>
      <c r="AH47" s="26">
        <f>股权价值增加表!AH42</f>
        <v>-1170371868</v>
      </c>
      <c r="AI47" s="26">
        <f>股权价值增加表!AI42</f>
        <v>-653432394</v>
      </c>
      <c r="AJ47" s="26">
        <f>股权价值增加表!AJ42</f>
        <v>-319557781</v>
      </c>
      <c r="AK47" s="26">
        <f>股权价值增加表!AK42</f>
        <v>188141799</v>
      </c>
      <c r="AL47" s="26">
        <f>股权价值增加表!AL42</f>
        <v>-941173925</v>
      </c>
      <c r="AM47" s="26">
        <f>股权价值增加表!AM42</f>
        <v>-919127940</v>
      </c>
      <c r="AN47" s="26">
        <f>股权价值增加表!AN42</f>
        <v>-517014062</v>
      </c>
      <c r="AO47" s="26">
        <f>股权价值增加表!AO42</f>
        <v>-954196922</v>
      </c>
      <c r="AP47" s="26">
        <f>股权价值增加表!AP42</f>
        <v>103304631</v>
      </c>
      <c r="AQ47" s="26">
        <f>股权价值增加表!AQ42</f>
        <v>627370921</v>
      </c>
      <c r="AR47" s="26">
        <f>股权价值增加表!AR42</f>
        <v>379964211</v>
      </c>
      <c r="AS47" s="26">
        <f>股权价值增加表!AS42</f>
        <v>897106952</v>
      </c>
      <c r="AT47" s="26">
        <f>股权价值增加表!AT42</f>
        <v>562830280</v>
      </c>
      <c r="AU47" s="26">
        <f>股权价值增加表!AU42</f>
        <v>36312079</v>
      </c>
      <c r="AV47" s="26">
        <f>股权价值增加表!AV42</f>
        <v>-118101845</v>
      </c>
      <c r="AW47" s="26">
        <f>股权价值增加表!AW42</f>
        <v>-3087206716</v>
      </c>
      <c r="AX47" s="26">
        <f>股权价值增加表!AX42</f>
        <v>-2762938571</v>
      </c>
      <c r="AY47" s="26">
        <f>股权价值增加表!AY42</f>
        <v>-1852788861</v>
      </c>
      <c r="AZ47" s="26">
        <f>股权价值增加表!AZ42</f>
        <v>-532506637</v>
      </c>
      <c r="BA47" s="26">
        <f>股权价值增加表!BA42</f>
        <v>-1593443504</v>
      </c>
      <c r="BB47" s="26">
        <f>股权价值增加表!BB42</f>
        <v>-1321984082</v>
      </c>
      <c r="BC47" s="26">
        <f>股权价值增加表!BC42</f>
        <v>-974319007</v>
      </c>
      <c r="BD47" s="26">
        <f>股权价值增加表!BD42</f>
        <v>-444777251</v>
      </c>
      <c r="BE47" s="26">
        <f>股权价值增加表!BE42</f>
        <v>264977018</v>
      </c>
      <c r="BF47" s="26">
        <f>股权价值增加表!BF42</f>
        <v>486792977.39999962</v>
      </c>
      <c r="BG47" s="26">
        <f>股权价值增加表!BG42</f>
        <v>531690954.05999994</v>
      </c>
      <c r="BH47" s="26">
        <f>股权价值增加表!BH42</f>
        <v>288619753.22999978</v>
      </c>
      <c r="BI47" s="26">
        <f>股权价值增加表!BI42</f>
        <v>403132635</v>
      </c>
      <c r="BJ47" s="26">
        <f>股权价值增加表!BJ42</f>
        <v>311331340.37000036</v>
      </c>
      <c r="BK47" s="26">
        <f>股权价值增加表!BK42</f>
        <v>190252547.5800001</v>
      </c>
      <c r="BL47" s="26">
        <f>股权价值增加表!BL42</f>
        <v>51422757.899999991</v>
      </c>
      <c r="BM47" s="26">
        <f>股权价值增加表!BM42</f>
        <v>154107478</v>
      </c>
      <c r="BN47" s="26">
        <f>股权价值增加表!BN42</f>
        <v>139206343.29999983</v>
      </c>
      <c r="BO47" s="26">
        <f>股权价值增加表!BO42</f>
        <v>110758358.69999996</v>
      </c>
      <c r="BP47" s="26">
        <f>股权价值增加表!BP42</f>
        <v>52381039.249999955</v>
      </c>
      <c r="BQ47" s="26">
        <f>股权价值增加表!BQ42</f>
        <v>90081250</v>
      </c>
      <c r="BR47" s="26">
        <f>股权价值增加表!BR42</f>
        <v>76256673.36999996</v>
      </c>
      <c r="BS47" s="26">
        <f>股权价值增加表!BS42</f>
        <v>119922615</v>
      </c>
      <c r="BT47" s="26">
        <f>股权价值增加表!BT42</f>
        <v>64753676</v>
      </c>
      <c r="BU47" s="26">
        <f>股权价值增加表!BU42</f>
        <v>100655888</v>
      </c>
      <c r="BV47" s="26">
        <f>股权价值增加表!BV42</f>
        <v>19808380.650000006</v>
      </c>
      <c r="BW47" s="26">
        <f>股权价值增加表!BW42</f>
        <v>60142000</v>
      </c>
      <c r="BX47" s="26">
        <f>股权价值增加表!BX42</f>
        <v>34213674.039999999</v>
      </c>
      <c r="BY47" s="26">
        <f>股权价值增加表!BY42</f>
        <v>130995000</v>
      </c>
      <c r="BZ47" s="26">
        <f>股权价值增加表!BZ42</f>
        <v>134323000</v>
      </c>
      <c r="CA47" s="26">
        <f>股权价值增加表!CA42</f>
        <v>114435000</v>
      </c>
      <c r="CB47" s="26">
        <f>股权价值增加表!CB42</f>
        <v>107761000</v>
      </c>
      <c r="CC47" s="26">
        <f>股权价值增加表!CC42</f>
        <v>100586000</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426</v>
      </c>
      <c r="E48" s="63">
        <f>股权价值增加表!E43</f>
        <v>7.503749066000974E-2</v>
      </c>
      <c r="F48" s="63">
        <f>股权价值增加表!F43</f>
        <v>9.0775692467464586E-2</v>
      </c>
      <c r="G48" s="63">
        <f>股权价值增加表!G43</f>
        <v>9.6519537763379445E-2</v>
      </c>
      <c r="H48" s="63">
        <f>股权价值增加表!H43</f>
        <v>0.12021973009349989</v>
      </c>
      <c r="I48" s="63">
        <f>股权价值增加表!I43</f>
        <v>1.8397565348503449E-2</v>
      </c>
      <c r="J48" s="63">
        <f>股权价值增加表!J43</f>
        <v>2.9927354415210158E-3</v>
      </c>
      <c r="K48" s="63">
        <f>股权价值增加表!K43</f>
        <v>-2.3209194098186531E-2</v>
      </c>
      <c r="L48" s="63">
        <f>股权价值增加表!L43</f>
        <v>4.2604915199683097E-3</v>
      </c>
      <c r="M48" s="63">
        <f>股权价值增加表!M43</f>
        <v>1.6813848652219441E-2</v>
      </c>
      <c r="N48" s="63">
        <f>股权价值增加表!N43</f>
        <v>5.3232544207839551E-2</v>
      </c>
      <c r="O48" s="63">
        <f>股权价值增加表!O43</f>
        <v>8.81376650147431E-2</v>
      </c>
      <c r="P48" s="63">
        <f>股权价值增加表!P43</f>
        <v>8.9049798715422498E-2</v>
      </c>
      <c r="Q48" s="63">
        <f>股权价值增加表!Q43</f>
        <v>7.8311421818018909E-2</v>
      </c>
      <c r="R48" s="63">
        <f>股权价值增加表!R43</f>
        <v>7.9232521572711295E-2</v>
      </c>
      <c r="S48" s="63">
        <f>股权价值增加表!S43</f>
        <v>7.0486024745604794E-2</v>
      </c>
      <c r="T48" s="63">
        <f>股权价值增加表!T43</f>
        <v>8.1390327565150175E-2</v>
      </c>
      <c r="U48" s="63">
        <f>股权价值增加表!U43</f>
        <v>9.5516595977670898E-2</v>
      </c>
      <c r="V48" s="63">
        <f>股权价值增加表!V43</f>
        <v>7.3325142694095624E-2</v>
      </c>
      <c r="W48" s="63">
        <f>股权价值增加表!W43</f>
        <v>7.2276207340586998E-2</v>
      </c>
      <c r="X48" s="63">
        <f>股权价值增加表!X43</f>
        <v>5.0011213912553969E-2</v>
      </c>
      <c r="Y48" s="63">
        <f>股权价值增加表!Y43</f>
        <v>1.5064761259911824E-2</v>
      </c>
      <c r="Z48" s="63">
        <f>股权价值增加表!Z43</f>
        <v>-5.3319823650671963E-2</v>
      </c>
      <c r="AA48" s="63">
        <f>股权价值增加表!AA43</f>
        <v>-0.11063019470546183</v>
      </c>
      <c r="AB48" s="63">
        <f>股权价值增加表!AB43</f>
        <v>-0.17540058936823003</v>
      </c>
      <c r="AC48" s="63">
        <f>股权价值增加表!AC43</f>
        <v>6.9024206044368569E-2</v>
      </c>
      <c r="AD48" s="63">
        <f>股权价值增加表!AD43</f>
        <v>-0.27951197328345767</v>
      </c>
      <c r="AE48" s="63">
        <f>股权价值增加表!AE43</f>
        <v>-0.27277649016551897</v>
      </c>
      <c r="AF48" s="63">
        <f>股权价值增加表!AF43</f>
        <v>-0.37943447440075356</v>
      </c>
      <c r="AG48" s="63">
        <f>股权价值增加表!AG43</f>
        <v>-0.28279168505968644</v>
      </c>
      <c r="AH48" s="63">
        <f>股权价值增加表!AH43</f>
        <v>-0.18870683808799629</v>
      </c>
      <c r="AI48" s="63">
        <f>股权价值增加表!AI43</f>
        <v>-0.15608344395147247</v>
      </c>
      <c r="AJ48" s="63">
        <f>股权价值增加表!AJ43</f>
        <v>-0.16875324252938675</v>
      </c>
      <c r="AK48" s="63">
        <f>股权价值增加表!AK43</f>
        <v>3.0106569776289904E-2</v>
      </c>
      <c r="AL48" s="63">
        <f>股权价值增加表!AL43</f>
        <v>-0.21663511470566271</v>
      </c>
      <c r="AM48" s="63">
        <f>股权价值增加表!AM43</f>
        <v>-0.3999488561420107</v>
      </c>
      <c r="AN48" s="63">
        <f>股权价值增加表!AN43</f>
        <v>-0.71718351146013382</v>
      </c>
      <c r="AO48" s="63">
        <f>股权价值增加表!AO43</f>
        <v>-0.11449425441698027</v>
      </c>
      <c r="AP48" s="63">
        <f>股权价值增加表!AP43</f>
        <v>1.4205853820912282E-2</v>
      </c>
      <c r="AQ48" s="63">
        <f>股权价值增加表!AQ43</f>
        <v>0.11394516930831346</v>
      </c>
      <c r="AR48" s="63">
        <f>股权价值增加表!AR43</f>
        <v>0.12938384788398036</v>
      </c>
      <c r="AS48" s="63">
        <f>股权价值增加表!AS43</f>
        <v>8.0310734478538551E-2</v>
      </c>
      <c r="AT48" s="63">
        <f>股权价值增加表!AT43</f>
        <v>7.1009778571413898E-2</v>
      </c>
      <c r="AU48" s="63">
        <f>股权价值增加表!AU43</f>
        <v>7.7437811922083169E-3</v>
      </c>
      <c r="AV48" s="63">
        <f>股权价值增加表!AV43</f>
        <v>-5.4858642486249151E-2</v>
      </c>
      <c r="AW48" s="63">
        <f>股权价值增加表!AW43</f>
        <v>-0.35156224646591078</v>
      </c>
      <c r="AX48" s="63">
        <f>股权价值增加表!AX43</f>
        <v>-0.41485112726253898</v>
      </c>
      <c r="AY48" s="63">
        <f>股权价值增加表!AY43</f>
        <v>-0.43178396784729317</v>
      </c>
      <c r="AZ48" s="63">
        <f>股权价值增加表!AZ43</f>
        <v>-0.22143760411081476</v>
      </c>
      <c r="BA48" s="63">
        <f>股权价值增加表!BA43</f>
        <v>-0.1183678498838743</v>
      </c>
      <c r="BB48" s="63">
        <f>股权价值增加表!BB43</f>
        <v>-0.15465762684370796</v>
      </c>
      <c r="BC48" s="63">
        <f>股权价值增加表!BC43</f>
        <v>-0.22544752833690976</v>
      </c>
      <c r="BD48" s="63">
        <f>股权价值增加表!BD43</f>
        <v>-0.21364369737240002</v>
      </c>
      <c r="BE48" s="63">
        <f>股权价值增加表!BE43</f>
        <v>2.129747999576154E-2</v>
      </c>
      <c r="BF48" s="63">
        <f>股权价值增加表!BF43</f>
        <v>5.2282358777921749E-2</v>
      </c>
      <c r="BG48" s="63">
        <f>股权价值增加表!BG43</f>
        <v>8.5285988544656036E-2</v>
      </c>
      <c r="BH48" s="63">
        <f>股权价值增加表!BH43</f>
        <v>7.81311134950404E-2</v>
      </c>
      <c r="BI48" s="63">
        <f>股权价值增加表!BI43</f>
        <v>3.6058032291730095E-2</v>
      </c>
      <c r="BJ48" s="63">
        <f>股权价值增加表!BJ43</f>
        <v>4.0694478166313969E-2</v>
      </c>
      <c r="BK48" s="63">
        <f>股权价值增加表!BK43</f>
        <v>4.0496934406079529E-2</v>
      </c>
      <c r="BL48" s="63">
        <f>股权价值增加表!BL43</f>
        <v>2.2818780735060964E-2</v>
      </c>
      <c r="BM48" s="63">
        <f>股权价值增加表!BM43</f>
        <v>3.2222615551612759E-2</v>
      </c>
      <c r="BN48" s="63">
        <f>股权价值增加表!BN43</f>
        <v>4.0708541527848634E-2</v>
      </c>
      <c r="BO48" s="63">
        <f>股权价值增加表!BO43</f>
        <v>5.5039907865211214E-2</v>
      </c>
      <c r="BP48" s="63">
        <f>股权价值增加表!BP43</f>
        <v>5.0396972686189319E-2</v>
      </c>
      <c r="BQ48" s="63">
        <f>股权价值增加表!BQ43</f>
        <v>3.3744069932853317E-2</v>
      </c>
      <c r="BR48" s="63">
        <f>股权价值增加表!BR43</f>
        <v>5.9749101664757408E-2</v>
      </c>
      <c r="BS48" s="63">
        <f>股权价值增加表!BS43</f>
        <v>5.3660913195808659E-2</v>
      </c>
      <c r="BT48" s="63">
        <f>股权价值增加表!BT43</f>
        <v>6.5196017679970991E-2</v>
      </c>
      <c r="BU48" s="63">
        <f>股权价值增加表!BU43</f>
        <v>0.13567550305449427</v>
      </c>
      <c r="BV48" s="63">
        <f>股权价值增加表!BV43</f>
        <v>9.8678224687451799E-2</v>
      </c>
      <c r="BW48" s="63">
        <f>股权价值增加表!BW43</f>
        <v>0.25323267241270414</v>
      </c>
      <c r="BX48" s="63">
        <f>股权价值增加表!BX43</f>
        <v>0.32337727797365706</v>
      </c>
      <c r="BY48" s="63">
        <f>股权价值增加表!BY43</f>
        <v>0.47617230098146129</v>
      </c>
      <c r="BZ48" s="63">
        <f>股权价值增加表!BZ43</f>
        <v>1.2090061385033573</v>
      </c>
      <c r="CA48" s="63">
        <f>股权价值增加表!CA43</f>
        <v>0.59861899406272068</v>
      </c>
      <c r="CB48" s="63">
        <f>股权价值增加表!CB43</f>
        <v>0.58623428481277784</v>
      </c>
      <c r="CC48" s="63">
        <f>股权价值增加表!CC43</f>
        <v>0.74623123034007954</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424</v>
      </c>
      <c r="E49" s="59">
        <f>(E47-I47)/I47</f>
        <v>4.5530444117442421</v>
      </c>
      <c r="F49" s="59">
        <f t="shared" ref="F49:BQ49" si="38">(F47-J47)/J47</f>
        <v>44.925124118852509</v>
      </c>
      <c r="G49" s="59">
        <f t="shared" si="38"/>
        <v>-8.0136009235454306</v>
      </c>
      <c r="H49" s="59">
        <f t="shared" si="38"/>
        <v>49.146552250648412</v>
      </c>
      <c r="I49" s="59">
        <f t="shared" si="38"/>
        <v>0.55037510784817578</v>
      </c>
      <c r="J49" s="59">
        <f t="shared" si="38"/>
        <v>-0.9292366300828695</v>
      </c>
      <c r="K49" s="59">
        <f t="shared" si="38"/>
        <v>-1.3031931799109784</v>
      </c>
      <c r="L49" s="59">
        <f t="shared" si="38"/>
        <v>-0.94920319087506377</v>
      </c>
      <c r="M49" s="59">
        <f t="shared" si="38"/>
        <v>-0.71643672754274812</v>
      </c>
      <c r="N49" s="59">
        <f t="shared" si="38"/>
        <v>-3.2383352229557467E-2</v>
      </c>
      <c r="O49" s="59">
        <f t="shared" si="38"/>
        <v>0.78260254064955659</v>
      </c>
      <c r="P49" s="59">
        <f t="shared" si="38"/>
        <v>0.56616343177138273</v>
      </c>
      <c r="Q49" s="59">
        <f t="shared" si="38"/>
        <v>-0.10628213871153969</v>
      </c>
      <c r="R49" s="59">
        <f t="shared" si="38"/>
        <v>0.10299642251931573</v>
      </c>
      <c r="S49" s="59">
        <f t="shared" si="38"/>
        <v>-3.32376535577142E-2</v>
      </c>
      <c r="T49" s="59">
        <f t="shared" si="38"/>
        <v>0.63410903274402663</v>
      </c>
      <c r="U49" s="59">
        <f t="shared" si="38"/>
        <v>7.3092466908673845</v>
      </c>
      <c r="V49" s="59">
        <f t="shared" si="38"/>
        <v>-2.9896597777609797</v>
      </c>
      <c r="W49" s="59">
        <f t="shared" si="38"/>
        <v>-2.1051412391076423</v>
      </c>
      <c r="X49" s="59">
        <f t="shared" si="38"/>
        <v>-1.5539852375686294</v>
      </c>
      <c r="Y49" s="59">
        <f t="shared" si="38"/>
        <v>-0.55854715149263512</v>
      </c>
      <c r="Z49" s="59">
        <f t="shared" si="38"/>
        <v>-0.61638136426438961</v>
      </c>
      <c r="AA49" s="59">
        <f t="shared" si="38"/>
        <v>-0.21112233056788213</v>
      </c>
      <c r="AB49" s="59">
        <f t="shared" si="38"/>
        <v>-2.656440676839638E-2</v>
      </c>
      <c r="AC49" s="59">
        <f t="shared" si="38"/>
        <v>-1.3875177640370953</v>
      </c>
      <c r="AD49" s="59">
        <f t="shared" si="38"/>
        <v>1.0334928838190427</v>
      </c>
      <c r="AE49" s="59">
        <f t="shared" si="38"/>
        <v>1.0622257901098182</v>
      </c>
      <c r="AF49" s="59">
        <f t="shared" si="38"/>
        <v>1.3387059349995925</v>
      </c>
      <c r="AG49" s="59">
        <f t="shared" si="38"/>
        <v>-13.062633258864501</v>
      </c>
      <c r="AH49" s="59">
        <f t="shared" si="38"/>
        <v>0.24352347309239364</v>
      </c>
      <c r="AI49" s="59">
        <f t="shared" si="38"/>
        <v>-0.28907351679462601</v>
      </c>
      <c r="AJ49" s="59">
        <f t="shared" si="38"/>
        <v>-0.38191665471566999</v>
      </c>
      <c r="AK49" s="59">
        <f t="shared" si="38"/>
        <v>-1.1971729259047013</v>
      </c>
      <c r="AL49" s="59">
        <f t="shared" si="38"/>
        <v>-10.110665377624745</v>
      </c>
      <c r="AM49" s="59">
        <f t="shared" si="38"/>
        <v>-2.465047086554399</v>
      </c>
      <c r="AN49" s="59">
        <f t="shared" si="38"/>
        <v>-2.3606914731240307</v>
      </c>
      <c r="AO49" s="59">
        <f t="shared" si="38"/>
        <v>-2.0636378637716768</v>
      </c>
      <c r="AP49" s="59">
        <f t="shared" si="38"/>
        <v>-0.81645509370959923</v>
      </c>
      <c r="AQ49" s="59">
        <f t="shared" si="38"/>
        <v>16.277196411695403</v>
      </c>
      <c r="AR49" s="59">
        <f t="shared" si="38"/>
        <v>-4.2172588921028291</v>
      </c>
      <c r="AS49" s="59">
        <f t="shared" si="38"/>
        <v>-1.2905885593441422</v>
      </c>
      <c r="AT49" s="59">
        <f t="shared" si="38"/>
        <v>-1.2037071275878177</v>
      </c>
      <c r="AU49" s="59">
        <f t="shared" si="38"/>
        <v>-1.0195986060604885</v>
      </c>
      <c r="AV49" s="59">
        <f t="shared" si="38"/>
        <v>-0.77821526194423751</v>
      </c>
      <c r="AW49" s="59">
        <f t="shared" si="38"/>
        <v>0.93744347273701645</v>
      </c>
      <c r="AX49" s="59">
        <f t="shared" si="38"/>
        <v>1.08999382717227</v>
      </c>
      <c r="AY49" s="59">
        <f t="shared" si="38"/>
        <v>0.90162446558943088</v>
      </c>
      <c r="AZ49" s="59">
        <f t="shared" si="38"/>
        <v>0.19724341971797474</v>
      </c>
      <c r="BA49" s="59">
        <f t="shared" si="38"/>
        <v>-7.013515874044594</v>
      </c>
      <c r="BB49" s="59">
        <f t="shared" si="38"/>
        <v>-3.7157008078892657</v>
      </c>
      <c r="BC49" s="59">
        <f t="shared" si="38"/>
        <v>-2.8324912236329878</v>
      </c>
      <c r="BD49" s="59">
        <f t="shared" si="38"/>
        <v>-2.5410492387385522</v>
      </c>
      <c r="BE49" s="59">
        <f t="shared" si="38"/>
        <v>-0.34270511738648995</v>
      </c>
      <c r="BF49" s="59">
        <f t="shared" si="38"/>
        <v>0.56358488297860621</v>
      </c>
      <c r="BG49" s="59">
        <f t="shared" si="38"/>
        <v>1.7946587881375253</v>
      </c>
      <c r="BH49" s="59">
        <f t="shared" si="38"/>
        <v>4.6126852198644883</v>
      </c>
      <c r="BI49" s="59">
        <f t="shared" si="38"/>
        <v>1.6159187096683265</v>
      </c>
      <c r="BJ49" s="59">
        <f t="shared" si="38"/>
        <v>1.236473805644464</v>
      </c>
      <c r="BK49" s="59">
        <f t="shared" si="38"/>
        <v>0.71772631711993917</v>
      </c>
      <c r="BL49" s="59">
        <f t="shared" si="38"/>
        <v>-1.8294431796710964E-2</v>
      </c>
      <c r="BM49" s="59">
        <f t="shared" si="38"/>
        <v>0.71076087421078193</v>
      </c>
      <c r="BN49" s="59">
        <f t="shared" si="38"/>
        <v>0.82549719451523862</v>
      </c>
      <c r="BO49" s="59">
        <f t="shared" si="38"/>
        <v>-7.6418082611024132E-2</v>
      </c>
      <c r="BP49" s="59">
        <f t="shared" si="38"/>
        <v>-0.19107234545263568</v>
      </c>
      <c r="BQ49" s="59">
        <f t="shared" si="38"/>
        <v>-0.10505732163427936</v>
      </c>
      <c r="BR49" s="59">
        <f t="shared" ref="BR49:CJ49" si="39">(BR47-BV47)/BV47</f>
        <v>2.8497176885582487</v>
      </c>
      <c r="BS49" s="59">
        <f t="shared" si="39"/>
        <v>0.99399113764091651</v>
      </c>
      <c r="BT49" s="59">
        <f t="shared" si="39"/>
        <v>0.89262561875976776</v>
      </c>
      <c r="BU49" s="59">
        <f t="shared" si="39"/>
        <v>-0.2316051146990343</v>
      </c>
      <c r="BV49" s="59">
        <f t="shared" si="39"/>
        <v>-0.85253172837116498</v>
      </c>
      <c r="BW49" s="59">
        <f t="shared" si="39"/>
        <v>-0.47444400751518329</v>
      </c>
      <c r="BX49" s="59">
        <f t="shared" si="39"/>
        <v>-0.68250411521793608</v>
      </c>
      <c r="BY49" s="59">
        <f t="shared" si="39"/>
        <v>0.30231841409341259</v>
      </c>
      <c r="BZ49" s="59" t="e">
        <f t="shared" si="39"/>
        <v>#DIV/0!</v>
      </c>
      <c r="CA49" s="59">
        <f t="shared" si="39"/>
        <v>-6.6986703849409892</v>
      </c>
      <c r="CB49" s="59">
        <f t="shared" si="39"/>
        <v>-8.5070898148584924</v>
      </c>
      <c r="CC49" s="59">
        <f t="shared" si="39"/>
        <v>-24.230023094688221</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425</v>
      </c>
      <c r="E50" s="26">
        <f>股权价值增加表!E47</f>
        <v>-1304188443.6400003</v>
      </c>
      <c r="F50" s="26">
        <f>股权价值增加表!F47</f>
        <v>-2082108813.8400002</v>
      </c>
      <c r="G50" s="26">
        <f>股权价值增加表!G47</f>
        <v>-3492352225.3600006</v>
      </c>
      <c r="H50" s="26">
        <f>股权价值增加表!H47</f>
        <v>-5091941097.6400003</v>
      </c>
      <c r="I50" s="26">
        <f>股权价值增加表!I47</f>
        <v>-6093772024.8000002</v>
      </c>
      <c r="J50" s="26">
        <f>股权价值增加表!J47</f>
        <v>-6423294898.2399998</v>
      </c>
      <c r="K50" s="26">
        <f>股权价值增加表!K47</f>
        <v>-7128695129</v>
      </c>
      <c r="L50" s="26">
        <f>股权价值增加表!L47</f>
        <v>-6459863526.4800005</v>
      </c>
      <c r="M50" s="26">
        <f>股权价值增加表!M47</f>
        <v>-5450514309.5200005</v>
      </c>
      <c r="N50" s="26">
        <f>股权价值增加表!N47</f>
        <v>-4376832584.4800005</v>
      </c>
      <c r="O50" s="26">
        <f>股权价值增加表!O47</f>
        <v>-4287655239.1999998</v>
      </c>
      <c r="P50" s="26">
        <f>股权价值增加表!P47</f>
        <v>-5201349619</v>
      </c>
      <c r="Q50" s="26">
        <f>股权价值增加表!Q47</f>
        <v>-3273614392.5200005</v>
      </c>
      <c r="R50" s="26">
        <f>股权价值增加表!R47</f>
        <v>-4121964275.6400003</v>
      </c>
      <c r="S50" s="26">
        <f>股权价值增加表!S47</f>
        <v>-4956167406.2799997</v>
      </c>
      <c r="T50" s="26">
        <f>股权价值增加表!T47</f>
        <v>-5354579801.04</v>
      </c>
      <c r="U50" s="26">
        <f>股权价值增加表!U47</f>
        <v>173663721.67999983</v>
      </c>
      <c r="V50" s="26">
        <f>股权价值增加表!V47</f>
        <v>-1467574268.3200002</v>
      </c>
      <c r="W50" s="26">
        <f>股权价值增加表!W47</f>
        <v>-2058711903.1599998</v>
      </c>
      <c r="X50" s="26">
        <f>股权价值增加表!X47</f>
        <v>-2450403486.48</v>
      </c>
      <c r="Y50" s="26">
        <f>股权价值增加表!Y47</f>
        <v>-2432942405.1599998</v>
      </c>
      <c r="Z50" s="26">
        <f>股权价值增加表!Z47</f>
        <v>-3643268884.8400002</v>
      </c>
      <c r="AA50" s="26">
        <f>股权价值增加表!AA47</f>
        <v>-3781484611.9200001</v>
      </c>
      <c r="AB50" s="26">
        <f>股权价值增加表!AB47</f>
        <v>-3472941235.96</v>
      </c>
      <c r="AC50" s="26">
        <f>股权价值增加表!AC47</f>
        <v>-1924172757.48</v>
      </c>
      <c r="AD50" s="26">
        <f>股权价值增加表!AD47</f>
        <v>-4931711239.3999996</v>
      </c>
      <c r="AE50" s="26">
        <f>股权价值增加表!AE47</f>
        <v>-3981886927.7200003</v>
      </c>
      <c r="AF50" s="26">
        <f>股权价值增加表!AF47</f>
        <v>-3430249268.3600001</v>
      </c>
      <c r="AG50" s="26">
        <f>股权价值增加表!AG47</f>
        <v>-5010270182.2399998</v>
      </c>
      <c r="AH50" s="26">
        <f>股权价值增加表!AH47</f>
        <v>-3281252810.2399998</v>
      </c>
      <c r="AI50" s="26">
        <f>股权价值增加表!AI47</f>
        <v>-2806352728.48</v>
      </c>
      <c r="AJ50" s="26">
        <f>股权价值增加表!AJ47</f>
        <v>-2166720720.9200001</v>
      </c>
      <c r="AK50" s="26">
        <f>股权价值增加表!AK47</f>
        <v>-1566750357.3199999</v>
      </c>
      <c r="AL50" s="26">
        <f>股权价值增加表!AL47</f>
        <v>-2351987567.4000001</v>
      </c>
      <c r="AM50" s="26">
        <f>股权价值增加表!AM47</f>
        <v>-2332601202.3199997</v>
      </c>
      <c r="AN50" s="26">
        <f>股权价值增加表!AN47</f>
        <v>-1017162507.4400001</v>
      </c>
      <c r="AO50" s="26">
        <f>股权价值增加表!AO47</f>
        <v>-1491701051.8400002</v>
      </c>
      <c r="AP50" s="26">
        <f>股权价值增加表!AP47</f>
        <v>-520936049.80000007</v>
      </c>
      <c r="AQ50" s="26">
        <f>股权价值增加表!AQ47</f>
        <v>137503486.03999996</v>
      </c>
      <c r="AR50" s="26">
        <f>股权价值增加表!AR47</f>
        <v>-89793562.680000007</v>
      </c>
      <c r="AS50" s="26">
        <f>股权价值增加表!AS47</f>
        <v>455399818.07999998</v>
      </c>
      <c r="AT50" s="26">
        <f>股权价值增加表!AT47</f>
        <v>177610412.39999998</v>
      </c>
      <c r="AU50" s="26">
        <f>股权价值增加表!AU47</f>
        <v>-306624599.07999998</v>
      </c>
      <c r="AV50" s="26">
        <f>股权价值增加表!AV47</f>
        <v>-450075760.60000002</v>
      </c>
      <c r="AW50" s="26">
        <f>股权价值增加表!AW47</f>
        <v>-3431002839.2800002</v>
      </c>
      <c r="AX50" s="26">
        <f>股权价值增加表!AX47</f>
        <v>-3101635981.8000002</v>
      </c>
      <c r="AY50" s="26">
        <f>股权价值增加表!AY47</f>
        <v>-1999569800.52</v>
      </c>
      <c r="AZ50" s="26">
        <f>股权价值增加表!AZ47</f>
        <v>-778018498.60000002</v>
      </c>
      <c r="BA50" s="26">
        <f>股权价值增加表!BA47</f>
        <v>-1882365231.52</v>
      </c>
      <c r="BB50" s="26">
        <f>股权价值增加表!BB47</f>
        <v>-1653094548.72</v>
      </c>
      <c r="BC50" s="26">
        <f>股权价值增加表!BC47</f>
        <v>-1336582681</v>
      </c>
      <c r="BD50" s="26">
        <f>股权价值增加表!BD47</f>
        <v>-851839682.27999997</v>
      </c>
      <c r="BE50" s="26">
        <f>股权价值增加表!BE47</f>
        <v>-173518558.24000001</v>
      </c>
      <c r="BF50" s="26">
        <f>股权价值增加表!BF47</f>
        <v>24732974.894399643</v>
      </c>
      <c r="BG50" s="26">
        <f>股权价值增加表!BG47</f>
        <v>71784212.903999925</v>
      </c>
      <c r="BH50" s="26">
        <f>股权价值增加表!BH47</f>
        <v>-154424199.1564002</v>
      </c>
      <c r="BI50" s="26">
        <f>股权价值增加表!BI47</f>
        <v>156718167.16</v>
      </c>
      <c r="BJ50" s="26">
        <f>股权价值增加表!BJ47</f>
        <v>71937027.079600334</v>
      </c>
      <c r="BK50" s="26">
        <f>股权价值增加表!BK47</f>
        <v>-35459840.517599881</v>
      </c>
      <c r="BL50" s="26">
        <f>股权价值增加表!BL47</f>
        <v>-154864497.6376</v>
      </c>
      <c r="BM50" s="26">
        <f>股权价值增加表!BM47</f>
        <v>-57163763.120000005</v>
      </c>
      <c r="BN50" s="26">
        <f>股权价值增加表!BN47</f>
        <v>-70955979.36800015</v>
      </c>
      <c r="BO50" s="26">
        <f>股权价值增加表!BO47</f>
        <v>-92971656.91200006</v>
      </c>
      <c r="BP50" s="26">
        <f>股权价值增加表!BP47</f>
        <v>-145152866.46840006</v>
      </c>
      <c r="BQ50" s="26">
        <f>股权价值增加表!BQ47</f>
        <v>-96781417.75999999</v>
      </c>
      <c r="BR50" s="26">
        <f>股权价值增加表!BR47</f>
        <v>-115759933.30760004</v>
      </c>
      <c r="BS50" s="26">
        <f>股权价值增加表!BS47</f>
        <v>-58251853.879999995</v>
      </c>
      <c r="BT50" s="26">
        <f>股权价值增加表!BT47</f>
        <v>-41946975.200000003</v>
      </c>
      <c r="BU50" s="26">
        <f>股权价值增加表!BU47</f>
        <v>322916.6400000006</v>
      </c>
      <c r="BV50" s="26">
        <f>股权价值增加表!BV47</f>
        <v>-71052018.724399999</v>
      </c>
      <c r="BW50" s="26">
        <f>股权价值增加表!BW47</f>
        <v>-27252560</v>
      </c>
      <c r="BX50" s="26">
        <f>股权价值增加表!BX47</f>
        <v>-45031709.8376</v>
      </c>
      <c r="BY50" s="26">
        <f>股权价值增加表!BY47</f>
        <v>54354280</v>
      </c>
      <c r="BZ50" s="26">
        <f>股权价值增加表!BZ47</f>
        <v>54807080</v>
      </c>
      <c r="CA50" s="26">
        <f>股权价值增加表!CA47</f>
        <v>68438760</v>
      </c>
      <c r="CB50" s="26">
        <f>股权价值增加表!CB47</f>
        <v>70428840</v>
      </c>
      <c r="CC50" s="26">
        <f>股权价值增加表!CC47</f>
        <v>66656400</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681</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668</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669</v>
      </c>
      <c r="E54" s="191">
        <f>E39</f>
        <v>11532313814</v>
      </c>
      <c r="F54" s="191">
        <f t="shared" ref="F54:AC54" si="41">F39</f>
        <v>9067014144</v>
      </c>
      <c r="G54" s="191">
        <f t="shared" si="41"/>
        <v>6344654790</v>
      </c>
      <c r="H54" s="191">
        <f t="shared" si="41"/>
        <v>3580823015</v>
      </c>
      <c r="I54" s="191">
        <f t="shared" si="41"/>
        <v>4567198613</v>
      </c>
      <c r="J54" s="191">
        <f t="shared" si="41"/>
        <v>2097392446</v>
      </c>
      <c r="K54" s="191">
        <f t="shared" si="41"/>
        <v>677293344</v>
      </c>
      <c r="L54" s="191">
        <f t="shared" si="41"/>
        <v>436544710</v>
      </c>
      <c r="M54" s="191">
        <f t="shared" si="41"/>
        <v>3414332450</v>
      </c>
      <c r="N54" s="191">
        <f t="shared" si="41"/>
        <v>3483693562</v>
      </c>
      <c r="O54" s="191">
        <f t="shared" si="41"/>
        <v>2611998669</v>
      </c>
      <c r="P54" s="191">
        <f t="shared" si="41"/>
        <v>1434003194</v>
      </c>
      <c r="Q54" s="191">
        <f t="shared" si="41"/>
        <v>4045963011</v>
      </c>
      <c r="R54" s="191">
        <f t="shared" si="41"/>
        <v>2240192301</v>
      </c>
      <c r="S54" s="191">
        <f t="shared" si="41"/>
        <v>1398513183</v>
      </c>
      <c r="T54" s="191">
        <f t="shared" si="41"/>
        <v>907926621</v>
      </c>
      <c r="U54" s="191">
        <f t="shared" si="41"/>
        <v>4030992007</v>
      </c>
      <c r="V54" s="191">
        <f t="shared" si="41"/>
        <v>2290700653</v>
      </c>
      <c r="W54" s="191">
        <f t="shared" si="41"/>
        <v>1391504534</v>
      </c>
      <c r="X54" s="191">
        <f t="shared" si="41"/>
        <v>547068117</v>
      </c>
      <c r="Y54" s="191">
        <f t="shared" si="41"/>
        <v>967881002</v>
      </c>
      <c r="Z54" s="191">
        <f t="shared" si="41"/>
        <v>-608560031</v>
      </c>
      <c r="AA54" s="191">
        <f t="shared" si="41"/>
        <v>-933477255</v>
      </c>
      <c r="AB54" s="191">
        <f t="shared" si="41"/>
        <v>-769443263</v>
      </c>
      <c r="AC54" s="191">
        <f t="shared" si="41"/>
        <v>1406127406</v>
      </c>
    </row>
    <row r="55" spans="1:88" s="63" customFormat="1" x14ac:dyDescent="0.25">
      <c r="A55" s="63" t="s">
        <v>670</v>
      </c>
      <c r="E55" s="63">
        <f>E54/E2</f>
        <v>0.12294514815395338</v>
      </c>
      <c r="F55" s="63">
        <f t="shared" ref="F55:AC55" si="42">F54/F2</f>
        <v>0.13063288986687516</v>
      </c>
      <c r="G55" s="63">
        <f t="shared" si="42"/>
        <v>0.14224079829545683</v>
      </c>
      <c r="H55" s="63">
        <f t="shared" si="42"/>
        <v>0.16384475935263967</v>
      </c>
      <c r="I55" s="63">
        <f t="shared" si="42"/>
        <v>6.6291529564334178E-2</v>
      </c>
      <c r="J55" s="63">
        <f t="shared" si="42"/>
        <v>4.5752732404374157E-2</v>
      </c>
      <c r="K55" s="63">
        <f t="shared" si="42"/>
        <v>2.5608189167433699E-2</v>
      </c>
      <c r="L55" s="63">
        <f t="shared" si="42"/>
        <v>3.5497965604462264E-2</v>
      </c>
      <c r="M55" s="63">
        <f t="shared" si="42"/>
        <v>7.0219464604064682E-2</v>
      </c>
      <c r="N55" s="63">
        <f t="shared" si="42"/>
        <v>9.565213885581221E-2</v>
      </c>
      <c r="O55" s="63">
        <f t="shared" si="42"/>
        <v>0.11370928301230152</v>
      </c>
      <c r="P55" s="63">
        <f t="shared" si="42"/>
        <v>0.12380395600931347</v>
      </c>
      <c r="Q55" s="63">
        <f t="shared" si="42"/>
        <v>0.10989592051280628</v>
      </c>
      <c r="R55" s="63">
        <f t="shared" si="42"/>
        <v>8.8586924805631503E-2</v>
      </c>
      <c r="S55" s="63">
        <f t="shared" si="42"/>
        <v>8.6793166429673635E-2</v>
      </c>
      <c r="T55" s="63">
        <f t="shared" si="42"/>
        <v>0.11220496829587963</v>
      </c>
      <c r="U55" s="63">
        <f t="shared" si="42"/>
        <v>0.11935091839849254</v>
      </c>
      <c r="V55" s="63">
        <f t="shared" si="42"/>
        <v>9.2464751812720278E-2</v>
      </c>
      <c r="W55" s="63">
        <f t="shared" si="42"/>
        <v>8.5608257657945747E-2</v>
      </c>
      <c r="X55" s="63">
        <f t="shared" si="42"/>
        <v>6.7885711275388894E-2</v>
      </c>
      <c r="Y55" s="63">
        <f t="shared" si="42"/>
        <v>3.7556132562882649E-2</v>
      </c>
      <c r="Z55" s="63">
        <f t="shared" si="42"/>
        <v>-3.5540693845020913E-2</v>
      </c>
      <c r="AA55" s="63">
        <f t="shared" si="42"/>
        <v>-9.7147332409439999E-2</v>
      </c>
      <c r="AB55" s="63">
        <f t="shared" si="42"/>
        <v>-0.18551345477012901</v>
      </c>
      <c r="AC55" s="63">
        <f t="shared" si="42"/>
        <v>0.11035882315237261</v>
      </c>
    </row>
    <row r="56" spans="1:88" x14ac:dyDescent="0.25">
      <c r="A56" s="17" t="s">
        <v>671</v>
      </c>
      <c r="E56" s="191">
        <f>E23</f>
        <v>8440002804.2189178</v>
      </c>
      <c r="F56" s="191">
        <f t="shared" ref="F56:AC56" si="43">F23</f>
        <v>7442666850.3505669</v>
      </c>
      <c r="G56" s="191">
        <f t="shared" si="43"/>
        <v>5203117783.8520718</v>
      </c>
      <c r="H56" s="191">
        <f t="shared" si="43"/>
        <v>3009034705.4515781</v>
      </c>
      <c r="I56" s="191">
        <f t="shared" si="43"/>
        <v>3365110109.094727</v>
      </c>
      <c r="J56" s="191">
        <f t="shared" si="43"/>
        <v>1058604945.8276627</v>
      </c>
      <c r="K56" s="191">
        <f t="shared" si="43"/>
        <v>697985289.16376352</v>
      </c>
      <c r="L56" s="191">
        <f t="shared" si="43"/>
        <v>364756082.08341545</v>
      </c>
      <c r="M56" s="191">
        <f t="shared" si="43"/>
        <v>2239648897.2693076</v>
      </c>
      <c r="N56" s="191">
        <f t="shared" si="43"/>
        <v>2708399752.354341</v>
      </c>
      <c r="O56" s="191">
        <f t="shared" si="43"/>
        <v>2058044693.2372947</v>
      </c>
      <c r="P56" s="191">
        <f t="shared" si="43"/>
        <v>1101732759.7042799</v>
      </c>
      <c r="Q56" s="191">
        <f t="shared" si="43"/>
        <v>2537763380.8743553</v>
      </c>
      <c r="R56" s="191">
        <f t="shared" si="43"/>
        <v>1941030481.9351742</v>
      </c>
      <c r="S56" s="191">
        <f t="shared" si="43"/>
        <v>1247379677.4012947</v>
      </c>
      <c r="T56" s="191">
        <f t="shared" si="43"/>
        <v>854034063.27221417</v>
      </c>
      <c r="U56" s="191">
        <f t="shared" si="43"/>
        <v>3334836942.5248957</v>
      </c>
      <c r="V56" s="191">
        <f t="shared" si="43"/>
        <v>2195575445.7536488</v>
      </c>
      <c r="W56" s="191">
        <f t="shared" si="43"/>
        <v>1353525169.4844794</v>
      </c>
      <c r="X56" s="191">
        <f t="shared" si="43"/>
        <v>537525556.5483259</v>
      </c>
      <c r="Y56" s="191">
        <f t="shared" si="43"/>
        <v>464285207.93064612</v>
      </c>
      <c r="Z56" s="191">
        <f t="shared" si="43"/>
        <v>-614254059.63704205</v>
      </c>
      <c r="AA56" s="191">
        <f t="shared" si="43"/>
        <v>-951183780.50786972</v>
      </c>
      <c r="AB56" s="191">
        <f t="shared" si="43"/>
        <v>-753112920.12522209</v>
      </c>
      <c r="AC56" s="191">
        <f t="shared" si="43"/>
        <v>-3129618863.5681486</v>
      </c>
    </row>
    <row r="57" spans="1:88" s="63" customFormat="1" x14ac:dyDescent="0.25">
      <c r="A57" s="63" t="s">
        <v>672</v>
      </c>
      <c r="E57" s="63">
        <f>E56/E2</f>
        <v>8.9978248244058479E-2</v>
      </c>
      <c r="F57" s="63">
        <f t="shared" ref="F57:AC57" si="44">F56/F2</f>
        <v>0.1072301270888685</v>
      </c>
      <c r="G57" s="63">
        <f t="shared" si="44"/>
        <v>0.11664868329272914</v>
      </c>
      <c r="H57" s="63">
        <f t="shared" si="44"/>
        <v>0.13768191422285495</v>
      </c>
      <c r="I57" s="63">
        <f t="shared" si="44"/>
        <v>4.8843572436137656E-2</v>
      </c>
      <c r="J57" s="63">
        <f t="shared" si="44"/>
        <v>2.3092516091001526E-2</v>
      </c>
      <c r="K57" s="63">
        <f t="shared" si="44"/>
        <v>2.6390543299051772E-2</v>
      </c>
      <c r="L57" s="63">
        <f t="shared" si="44"/>
        <v>2.9660418644897782E-2</v>
      </c>
      <c r="M57" s="63">
        <f t="shared" si="44"/>
        <v>4.6060818262537565E-2</v>
      </c>
      <c r="N57" s="63">
        <f t="shared" si="44"/>
        <v>7.4364815555279545E-2</v>
      </c>
      <c r="O57" s="63">
        <f t="shared" si="44"/>
        <v>8.9593761762856702E-2</v>
      </c>
      <c r="P57" s="63">
        <f t="shared" si="44"/>
        <v>9.5117552518120971E-2</v>
      </c>
      <c r="Q57" s="63">
        <f t="shared" si="44"/>
        <v>6.8930398529755285E-2</v>
      </c>
      <c r="R57" s="63">
        <f t="shared" si="44"/>
        <v>7.6756768279166554E-2</v>
      </c>
      <c r="S57" s="63">
        <f t="shared" si="44"/>
        <v>7.7413665639849166E-2</v>
      </c>
      <c r="T57" s="63">
        <f t="shared" si="44"/>
        <v>0.10554472440461689</v>
      </c>
      <c r="U57" s="63">
        <f t="shared" si="44"/>
        <v>9.8738933520184272E-2</v>
      </c>
      <c r="V57" s="63">
        <f t="shared" si="44"/>
        <v>8.8624997077570503E-2</v>
      </c>
      <c r="W57" s="63">
        <f t="shared" si="44"/>
        <v>8.3271688035866653E-2</v>
      </c>
      <c r="X57" s="63">
        <f t="shared" si="44"/>
        <v>6.6701574449425233E-2</v>
      </c>
      <c r="Y57" s="63">
        <f t="shared" si="44"/>
        <v>1.8015393193996053E-2</v>
      </c>
      <c r="Z57" s="63">
        <f t="shared" si="44"/>
        <v>-3.5873232490717631E-2</v>
      </c>
      <c r="AA57" s="63">
        <f t="shared" si="44"/>
        <v>-9.8990057242975715E-2</v>
      </c>
      <c r="AB57" s="63">
        <f t="shared" si="44"/>
        <v>-0.18157619458479834</v>
      </c>
      <c r="AC57" s="63">
        <f t="shared" si="44"/>
        <v>-0.24562571871161343</v>
      </c>
    </row>
    <row r="58" spans="1:88" ht="93" customHeight="1" x14ac:dyDescent="0.25">
      <c r="A58" s="277" t="s">
        <v>673</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3" customFormat="1" x14ac:dyDescent="0.25">
      <c r="A60" s="225" t="s">
        <v>675</v>
      </c>
      <c r="B60" s="221"/>
      <c r="C60" s="221"/>
      <c r="D60" s="221"/>
      <c r="E60" s="226">
        <f>E53</f>
        <v>43100</v>
      </c>
      <c r="F60" s="226">
        <f t="shared" ref="F60:AC60" si="45">F53</f>
        <v>43008</v>
      </c>
      <c r="G60" s="226">
        <f t="shared" si="45"/>
        <v>42916</v>
      </c>
      <c r="H60" s="226">
        <f t="shared" si="45"/>
        <v>42825</v>
      </c>
      <c r="I60" s="226">
        <f t="shared" si="45"/>
        <v>42735</v>
      </c>
      <c r="J60" s="226">
        <f t="shared" si="45"/>
        <v>42643</v>
      </c>
      <c r="K60" s="226">
        <f t="shared" si="45"/>
        <v>42551</v>
      </c>
      <c r="L60" s="226">
        <f t="shared" si="45"/>
        <v>42460</v>
      </c>
      <c r="M60" s="226">
        <f t="shared" si="45"/>
        <v>42369</v>
      </c>
      <c r="N60" s="226">
        <f t="shared" si="45"/>
        <v>42277</v>
      </c>
      <c r="O60" s="226">
        <f t="shared" si="45"/>
        <v>42185</v>
      </c>
      <c r="P60" s="226">
        <f t="shared" si="45"/>
        <v>42094</v>
      </c>
      <c r="Q60" s="226">
        <f t="shared" si="45"/>
        <v>42004</v>
      </c>
      <c r="R60" s="226">
        <f t="shared" si="45"/>
        <v>41912</v>
      </c>
      <c r="S60" s="226">
        <f t="shared" si="45"/>
        <v>41820</v>
      </c>
      <c r="T60" s="226">
        <f t="shared" si="45"/>
        <v>41729</v>
      </c>
      <c r="U60" s="226">
        <f t="shared" si="45"/>
        <v>41639</v>
      </c>
      <c r="V60" s="226">
        <f t="shared" si="45"/>
        <v>41547</v>
      </c>
      <c r="W60" s="226">
        <f t="shared" si="45"/>
        <v>41455</v>
      </c>
      <c r="X60" s="226">
        <f t="shared" si="45"/>
        <v>41364</v>
      </c>
      <c r="Y60" s="226">
        <f t="shared" si="45"/>
        <v>41274</v>
      </c>
      <c r="Z60" s="226">
        <f t="shared" si="45"/>
        <v>41182</v>
      </c>
      <c r="AA60" s="226">
        <f t="shared" si="45"/>
        <v>41090</v>
      </c>
      <c r="AB60" s="226">
        <f t="shared" si="45"/>
        <v>40999</v>
      </c>
      <c r="AC60" s="226">
        <f t="shared" si="45"/>
        <v>40908</v>
      </c>
    </row>
    <row r="61" spans="1:88" s="191" customFormat="1" x14ac:dyDescent="0.25">
      <c r="A61" s="88" t="s">
        <v>676</v>
      </c>
      <c r="B61" s="88"/>
      <c r="C61" s="88"/>
      <c r="D61" s="88"/>
      <c r="E61" s="88">
        <f>股权价值增加表!E38</f>
        <v>8919212563</v>
      </c>
      <c r="F61" s="88">
        <f>股权价值增加表!F38</f>
        <v>7653618689</v>
      </c>
      <c r="G61" s="88">
        <f>股权价值增加表!G38</f>
        <v>5245518299</v>
      </c>
      <c r="H61" s="88">
        <f>股权价值增加表!H38</f>
        <v>3101893284</v>
      </c>
      <c r="I61" s="88">
        <f>股权价值增加表!I38</f>
        <v>1734740704</v>
      </c>
      <c r="J61" s="88">
        <f>股权价值增加表!J38</f>
        <v>257319940</v>
      </c>
      <c r="K61" s="88">
        <f>股权价值增加表!K38</f>
        <v>-557585666</v>
      </c>
      <c r="L61" s="88">
        <f>股权价值增加表!L38</f>
        <v>65970246</v>
      </c>
      <c r="M61" s="88">
        <f>股权价值增加表!M38</f>
        <v>1192685261</v>
      </c>
      <c r="N61" s="88">
        <f>股权价值增加表!N38</f>
        <v>2433846871</v>
      </c>
      <c r="O61" s="88">
        <f>股权价值增加表!O38</f>
        <v>2435657580</v>
      </c>
      <c r="P61" s="88">
        <f>股权价值增加表!P38</f>
        <v>1262393312</v>
      </c>
      <c r="Q61" s="88">
        <f>股权价值增加表!Q38</f>
        <v>3343131300</v>
      </c>
      <c r="R61" s="88">
        <f>股权价值增加表!R38</f>
        <v>2288326941</v>
      </c>
      <c r="S61" s="88">
        <f>股权价值增加表!S38</f>
        <v>1291773611</v>
      </c>
      <c r="T61" s="88">
        <f>股权价值增加表!T38</f>
        <v>723067517</v>
      </c>
      <c r="U61" s="88">
        <f>股权价值增加表!U38</f>
        <v>3276289028</v>
      </c>
      <c r="V61" s="88">
        <f>股权价值增加表!V38</f>
        <v>1890261946</v>
      </c>
      <c r="W61" s="88">
        <f>股权价值增加表!W38</f>
        <v>1198091877</v>
      </c>
      <c r="X61" s="88">
        <f>股权价值增加表!X38</f>
        <v>407584093</v>
      </c>
      <c r="Y61" s="88">
        <f>股权价值增加表!Y38</f>
        <v>389911646</v>
      </c>
      <c r="Z61" s="88">
        <f>股权价值增加表!Z38</f>
        <v>-905713799</v>
      </c>
      <c r="AA61" s="88">
        <f>股权价值增加表!AA38</f>
        <v>-1054778979</v>
      </c>
      <c r="AB61" s="88">
        <f>股权价值增加表!AB38</f>
        <v>-725576775</v>
      </c>
      <c r="AC61" s="88">
        <f>股权价值增加表!AC38</f>
        <v>1031875934</v>
      </c>
    </row>
    <row r="62" spans="1:88" s="191" customFormat="1" x14ac:dyDescent="0.25">
      <c r="A62" s="88" t="s">
        <v>677</v>
      </c>
      <c r="B62" s="88"/>
      <c r="C62" s="88"/>
      <c r="D62" s="88"/>
      <c r="E62" s="88">
        <f>股权价值增加表!E40</f>
        <v>1880659980</v>
      </c>
      <c r="F62" s="88">
        <f>股权价值增加表!F40</f>
        <v>1353027097</v>
      </c>
      <c r="G62" s="88">
        <f>股权价值增加表!G40</f>
        <v>940261615</v>
      </c>
      <c r="H62" s="88">
        <f>股权价值增加表!H40</f>
        <v>474494165</v>
      </c>
      <c r="I62" s="88">
        <f>股权价值增加表!I40</f>
        <v>467228316</v>
      </c>
      <c r="J62" s="88">
        <f>股权价值增加表!J40</f>
        <v>120127244</v>
      </c>
      <c r="K62" s="88">
        <f>股权价值增加表!K40</f>
        <v>56258311</v>
      </c>
      <c r="L62" s="88">
        <f>股权价值增加表!L40</f>
        <v>13575834</v>
      </c>
      <c r="M62" s="88">
        <f>股权价值增加表!M40</f>
        <v>375133185</v>
      </c>
      <c r="N62" s="88">
        <f>股权价值增加表!N40</f>
        <v>495093867</v>
      </c>
      <c r="O62" s="88">
        <f>股权价值增加表!O40</f>
        <v>411060664</v>
      </c>
      <c r="P62" s="88">
        <f>股权价值增加表!P40</f>
        <v>230942461</v>
      </c>
      <c r="Q62" s="88">
        <f>股权价值增加表!Q40</f>
        <v>459993195</v>
      </c>
      <c r="R62" s="88">
        <f>股权价值增加表!R40</f>
        <v>284689438</v>
      </c>
      <c r="S62" s="88">
        <f>股权价值增加表!S40</f>
        <v>156020200</v>
      </c>
      <c r="T62" s="88">
        <f>股权价值增加表!T40</f>
        <v>64483087</v>
      </c>
      <c r="U62" s="88">
        <f>股权价值增加表!U40</f>
        <v>50284234</v>
      </c>
      <c r="V62" s="88">
        <f>股权价值增加表!V40</f>
        <v>73721600</v>
      </c>
      <c r="W62" s="88">
        <f>股权价值增加表!W40</f>
        <v>23290836</v>
      </c>
      <c r="X62" s="88">
        <f>股权价值增加表!X40</f>
        <v>4560539</v>
      </c>
      <c r="Y62" s="88">
        <f>股权价值增加表!Y40</f>
        <v>1668895</v>
      </c>
      <c r="Z62" s="88">
        <f>股权价值增加表!Z40</f>
        <v>7276636</v>
      </c>
      <c r="AA62" s="88">
        <f>股权价值增加表!AA40</f>
        <v>8253509</v>
      </c>
      <c r="AB62" s="88">
        <f>股权价值增加表!AB40</f>
        <v>1921950</v>
      </c>
      <c r="AC62" s="88">
        <f>股权价值增加表!AC40</f>
        <v>152409979</v>
      </c>
    </row>
    <row r="63" spans="1:88" x14ac:dyDescent="0.25">
      <c r="A63" s="182" t="s">
        <v>678</v>
      </c>
      <c r="B63" s="64"/>
      <c r="C63" s="64"/>
      <c r="D63" s="64"/>
      <c r="E63" s="64">
        <f>股权价值增加表!E42</f>
        <v>7038552583</v>
      </c>
      <c r="F63" s="64">
        <f>股权价值增加表!F42</f>
        <v>6300591592</v>
      </c>
      <c r="G63" s="64">
        <f>股权价值增加表!G42</f>
        <v>4305256684</v>
      </c>
      <c r="H63" s="64">
        <f>股权价值增加表!H42</f>
        <v>2627399119</v>
      </c>
      <c r="I63" s="64">
        <f>股权价值增加表!I42</f>
        <v>1267512388</v>
      </c>
      <c r="J63" s="64">
        <f>股权价值增加表!J42</f>
        <v>137192696</v>
      </c>
      <c r="K63" s="64">
        <f>股权价值增加表!K42</f>
        <v>-613843977</v>
      </c>
      <c r="L63" s="64">
        <f>股权价值增加表!L42</f>
        <v>52394412</v>
      </c>
      <c r="M63" s="64">
        <f>股权价值增加表!M42</f>
        <v>817552076</v>
      </c>
      <c r="N63" s="64">
        <f>股权价值增加表!N42</f>
        <v>1938753004</v>
      </c>
      <c r="O63" s="64">
        <f>股权价值增加表!O42</f>
        <v>2024596916</v>
      </c>
      <c r="P63" s="64">
        <f>股权价值增加表!P42</f>
        <v>1031450851</v>
      </c>
      <c r="Q63" s="64">
        <f>股权价值增加表!Q42</f>
        <v>2883138105</v>
      </c>
      <c r="R63" s="64">
        <f>股权价值增加表!R42</f>
        <v>2003637503</v>
      </c>
      <c r="S63" s="64">
        <f>股权价值增加表!S42</f>
        <v>1135753411</v>
      </c>
      <c r="T63" s="64">
        <f>股权价值增加表!T42</f>
        <v>658584430</v>
      </c>
      <c r="U63" s="64">
        <f>股权价值增加表!U42</f>
        <v>3226004794</v>
      </c>
      <c r="V63" s="64">
        <f>股权价值增加表!V42</f>
        <v>1816540346</v>
      </c>
      <c r="W63" s="64">
        <f>股权价值增加表!W42</f>
        <v>1174801041</v>
      </c>
      <c r="X63" s="64">
        <f>股权价值增加表!X42</f>
        <v>403023554</v>
      </c>
      <c r="Y63" s="64">
        <f>股权价值增加表!Y42</f>
        <v>388242751</v>
      </c>
      <c r="Z63" s="64">
        <f>股权价值增加表!Z42</f>
        <v>-912990435</v>
      </c>
      <c r="AA63" s="64">
        <f>股权价值增加表!AA42</f>
        <v>-1063032488</v>
      </c>
      <c r="AB63" s="64">
        <f>股权价值增加表!AB42</f>
        <v>-727498725</v>
      </c>
      <c r="AC63" s="64">
        <f>股权价值增加表!AC42</f>
        <v>879465955</v>
      </c>
    </row>
    <row r="64" spans="1:88" s="63" customFormat="1" x14ac:dyDescent="0.25">
      <c r="A64" s="212" t="s">
        <v>679</v>
      </c>
      <c r="B64" s="212"/>
      <c r="C64" s="212"/>
      <c r="D64" s="212"/>
      <c r="E64" s="212">
        <f>1-E63/E61</f>
        <v>0.21085493441446079</v>
      </c>
      <c r="F64" s="212">
        <f t="shared" ref="F64:AC64" si="46">1-F63/F61</f>
        <v>0.17678266346670879</v>
      </c>
      <c r="G64" s="212">
        <f t="shared" si="46"/>
        <v>0.17925046895351604</v>
      </c>
      <c r="H64" s="212">
        <f t="shared" si="46"/>
        <v>0.15296920994913243</v>
      </c>
      <c r="I64" s="212">
        <f t="shared" si="46"/>
        <v>0.26933611168669502</v>
      </c>
      <c r="J64" s="212">
        <f t="shared" si="46"/>
        <v>0.46684001247629703</v>
      </c>
      <c r="K64" s="212">
        <f t="shared" si="46"/>
        <v>-0.10089626479027891</v>
      </c>
      <c r="L64" s="212">
        <f t="shared" si="46"/>
        <v>0.20578722716904829</v>
      </c>
      <c r="M64" s="212">
        <f t="shared" si="46"/>
        <v>0.31452823076347214</v>
      </c>
      <c r="N64" s="212">
        <f t="shared" si="46"/>
        <v>0.2034203026078546</v>
      </c>
      <c r="O64" s="212">
        <f t="shared" si="46"/>
        <v>0.16876783804725126</v>
      </c>
      <c r="P64" s="212">
        <f t="shared" si="46"/>
        <v>0.18294018100754961</v>
      </c>
      <c r="Q64" s="212">
        <f t="shared" si="46"/>
        <v>0.13759351749062321</v>
      </c>
      <c r="R64" s="212">
        <f t="shared" si="46"/>
        <v>0.12440942458842463</v>
      </c>
      <c r="S64" s="212">
        <f t="shared" si="46"/>
        <v>0.12077983221782973</v>
      </c>
      <c r="T64" s="212">
        <f t="shared" si="46"/>
        <v>8.9179897428582677E-2</v>
      </c>
      <c r="U64" s="212">
        <f t="shared" si="46"/>
        <v>1.5347923693623478E-2</v>
      </c>
      <c r="V64" s="212">
        <f t="shared" si="46"/>
        <v>3.9000732229732993E-2</v>
      </c>
      <c r="W64" s="212">
        <f t="shared" si="46"/>
        <v>1.9439941499578284E-2</v>
      </c>
      <c r="X64" s="212">
        <f t="shared" si="46"/>
        <v>1.1189197709931209E-2</v>
      </c>
      <c r="Y64" s="212">
        <f t="shared" si="46"/>
        <v>4.2801876197358091E-3</v>
      </c>
      <c r="Z64" s="212">
        <f t="shared" si="46"/>
        <v>-8.0341450114087554E-3</v>
      </c>
      <c r="AA64" s="212">
        <f t="shared" si="46"/>
        <v>-7.8248705788817041E-3</v>
      </c>
      <c r="AB64" s="212">
        <f t="shared" si="46"/>
        <v>-2.6488582135226757E-3</v>
      </c>
      <c r="AC64" s="212">
        <f t="shared" si="46"/>
        <v>0.14770184474522308</v>
      </c>
    </row>
    <row r="65" spans="1:29" ht="42.6" customHeight="1" x14ac:dyDescent="0.25">
      <c r="A65" s="279" t="s">
        <v>680</v>
      </c>
      <c r="B65" s="279"/>
      <c r="C65" s="279"/>
      <c r="D65" s="279"/>
      <c r="E65" s="279"/>
      <c r="F65" s="279"/>
      <c r="G65" s="279"/>
      <c r="H65" s="279"/>
      <c r="I65" s="279"/>
      <c r="J65" s="279"/>
      <c r="K65" s="279"/>
      <c r="L65" s="279"/>
      <c r="M65" s="279"/>
      <c r="N65" s="279"/>
      <c r="O65" s="279"/>
      <c r="P65" s="279"/>
      <c r="Q65" s="279"/>
      <c r="R65" s="279"/>
      <c r="S65" s="279"/>
      <c r="T65" s="279"/>
      <c r="U65" s="279"/>
      <c r="V65" s="279"/>
      <c r="W65" s="279"/>
      <c r="X65" s="279"/>
      <c r="Y65" s="279"/>
      <c r="Z65" s="279"/>
      <c r="AA65" s="279"/>
      <c r="AB65" s="279"/>
      <c r="AC65" s="279"/>
    </row>
    <row r="68" spans="1:29" ht="55.8" customHeight="1" x14ac:dyDescent="0.25">
      <c r="A68" s="277" t="s">
        <v>732</v>
      </c>
      <c r="B68" s="276"/>
      <c r="C68" s="276"/>
      <c r="D68" s="276"/>
      <c r="E68" s="276"/>
      <c r="F68" s="276"/>
      <c r="G68" s="276"/>
      <c r="H68" s="276"/>
      <c r="I68" s="276"/>
      <c r="J68" s="276"/>
      <c r="K68" s="276"/>
      <c r="L68" s="276"/>
      <c r="M68" s="276"/>
      <c r="N68" s="276"/>
      <c r="O68" s="276"/>
      <c r="P68" s="276"/>
      <c r="Q68" s="276"/>
      <c r="R68" s="276"/>
      <c r="S68" s="276"/>
      <c r="T68" s="276"/>
      <c r="U68" s="276"/>
      <c r="V68" s="276"/>
      <c r="W68" s="276"/>
      <c r="X68" s="276"/>
      <c r="Y68" s="276"/>
      <c r="Z68" s="276"/>
      <c r="AA68" s="276"/>
      <c r="AB68" s="276"/>
      <c r="AC68" s="276"/>
    </row>
    <row r="69" spans="1:29" x14ac:dyDescent="0.25">
      <c r="A69" s="281" t="s">
        <v>700</v>
      </c>
      <c r="B69" s="281"/>
      <c r="C69" s="281"/>
      <c r="D69" s="281"/>
      <c r="E69" s="281"/>
      <c r="F69" s="255"/>
      <c r="G69" s="255"/>
      <c r="H69" s="255"/>
      <c r="I69" s="255" t="s">
        <v>704</v>
      </c>
      <c r="J69" s="255"/>
      <c r="K69" s="255"/>
      <c r="L69" s="255"/>
      <c r="M69" s="255" t="s">
        <v>705</v>
      </c>
    </row>
    <row r="70" spans="1:29" ht="57.6" x14ac:dyDescent="0.25">
      <c r="A70" s="282" t="s">
        <v>701</v>
      </c>
      <c r="B70" s="65"/>
      <c r="C70" s="65"/>
      <c r="D70" s="65"/>
      <c r="E70" s="65" t="s">
        <v>702</v>
      </c>
      <c r="F70" s="65"/>
      <c r="G70" s="65"/>
      <c r="H70" s="65"/>
      <c r="I70" s="256" t="s">
        <v>706</v>
      </c>
      <c r="J70" s="257"/>
      <c r="K70" s="257"/>
      <c r="L70" s="257"/>
      <c r="M70" s="256" t="s">
        <v>707</v>
      </c>
    </row>
    <row r="71" spans="1:29" ht="54.6" customHeight="1" x14ac:dyDescent="0.25">
      <c r="A71" s="282"/>
      <c r="B71" s="65"/>
      <c r="C71" s="65"/>
      <c r="D71" s="65"/>
      <c r="E71" s="65" t="s">
        <v>703</v>
      </c>
      <c r="F71" s="65"/>
      <c r="G71" s="65"/>
      <c r="H71" s="65"/>
      <c r="I71" s="256" t="s">
        <v>708</v>
      </c>
      <c r="J71" s="257"/>
      <c r="K71" s="257"/>
      <c r="L71" s="257"/>
      <c r="M71" s="256" t="s">
        <v>709</v>
      </c>
    </row>
    <row r="72" spans="1:29" ht="57.6" x14ac:dyDescent="0.25">
      <c r="A72" s="282" t="s">
        <v>717</v>
      </c>
      <c r="B72" s="65"/>
      <c r="C72" s="65"/>
      <c r="D72" s="65"/>
      <c r="E72" s="65" t="s">
        <v>710</v>
      </c>
      <c r="F72" s="65"/>
      <c r="G72" s="65"/>
      <c r="H72" s="65"/>
      <c r="I72" s="256" t="s">
        <v>718</v>
      </c>
      <c r="J72" s="257"/>
      <c r="K72" s="257"/>
      <c r="L72" s="257"/>
      <c r="M72" s="256" t="s">
        <v>719</v>
      </c>
    </row>
    <row r="73" spans="1:29" ht="43.2" x14ac:dyDescent="0.25">
      <c r="A73" s="282"/>
      <c r="B73" s="65"/>
      <c r="C73" s="65"/>
      <c r="D73" s="65"/>
      <c r="E73" s="65" t="s">
        <v>711</v>
      </c>
      <c r="F73" s="65"/>
      <c r="G73" s="65"/>
      <c r="H73" s="65"/>
      <c r="I73" s="256" t="s">
        <v>720</v>
      </c>
      <c r="J73" s="257"/>
      <c r="K73" s="257"/>
      <c r="L73" s="257"/>
      <c r="M73" s="256" t="s">
        <v>721</v>
      </c>
    </row>
    <row r="74" spans="1:29" ht="72" x14ac:dyDescent="0.25">
      <c r="A74" s="282"/>
      <c r="B74" s="65"/>
      <c r="C74" s="65"/>
      <c r="D74" s="65"/>
      <c r="E74" s="65" t="s">
        <v>712</v>
      </c>
      <c r="F74" s="65"/>
      <c r="G74" s="65"/>
      <c r="H74" s="65"/>
      <c r="I74" s="256" t="s">
        <v>722</v>
      </c>
      <c r="J74" s="257"/>
      <c r="K74" s="257"/>
      <c r="L74" s="257"/>
      <c r="M74" s="256" t="s">
        <v>723</v>
      </c>
    </row>
    <row r="75" spans="1:29" ht="72" x14ac:dyDescent="0.25">
      <c r="A75" s="282"/>
      <c r="B75" s="65"/>
      <c r="C75" s="65"/>
      <c r="D75" s="65"/>
      <c r="E75" s="65" t="s">
        <v>713</v>
      </c>
      <c r="F75" s="65"/>
      <c r="G75" s="65"/>
      <c r="H75" s="65"/>
      <c r="I75" s="256" t="s">
        <v>724</v>
      </c>
      <c r="J75" s="257"/>
      <c r="K75" s="257"/>
      <c r="L75" s="257"/>
      <c r="M75" s="256" t="s">
        <v>725</v>
      </c>
    </row>
    <row r="76" spans="1:29" x14ac:dyDescent="0.25">
      <c r="A76" s="282"/>
      <c r="B76" s="65"/>
      <c r="C76" s="65"/>
      <c r="D76" s="65"/>
      <c r="E76" s="65" t="s">
        <v>714</v>
      </c>
      <c r="F76" s="65"/>
      <c r="G76" s="65"/>
      <c r="H76" s="65"/>
      <c r="I76" s="256" t="s">
        <v>726</v>
      </c>
      <c r="J76" s="257"/>
      <c r="K76" s="257"/>
      <c r="L76" s="257"/>
      <c r="M76" s="256" t="s">
        <v>727</v>
      </c>
    </row>
    <row r="77" spans="1:29" ht="57.6" x14ac:dyDescent="0.25">
      <c r="A77" s="282"/>
      <c r="B77" s="65"/>
      <c r="C77" s="65"/>
      <c r="D77" s="65"/>
      <c r="E77" s="65" t="s">
        <v>715</v>
      </c>
      <c r="F77" s="65"/>
      <c r="G77" s="65"/>
      <c r="H77" s="65"/>
      <c r="I77" s="256" t="s">
        <v>728</v>
      </c>
      <c r="J77" s="257"/>
      <c r="K77" s="257"/>
      <c r="L77" s="257"/>
      <c r="M77" s="256" t="s">
        <v>729</v>
      </c>
    </row>
    <row r="78" spans="1:29" ht="57.6" x14ac:dyDescent="0.25">
      <c r="A78" s="282"/>
      <c r="B78" s="65"/>
      <c r="C78" s="65"/>
      <c r="D78" s="65"/>
      <c r="E78" s="65" t="s">
        <v>716</v>
      </c>
      <c r="F78" s="65"/>
      <c r="G78" s="65"/>
      <c r="H78" s="65"/>
      <c r="I78" s="256" t="s">
        <v>730</v>
      </c>
      <c r="J78" s="257"/>
      <c r="K78" s="257"/>
      <c r="L78" s="257"/>
      <c r="M78" s="256" t="s">
        <v>731</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77" sqref="A77:AG77"/>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0" width="21.5546875" hidden="1" customWidth="1"/>
    <col min="11"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19.33203125" hidden="1" customWidth="1"/>
    <col min="45" max="45" width="20.44140625" bestFit="1" customWidth="1"/>
    <col min="46" max="48" width="20.44140625" hidden="1" customWidth="1"/>
    <col min="49" max="49" width="20.44140625" bestFit="1" customWidth="1"/>
    <col min="50" max="52" width="20.44140625" hidden="1" customWidth="1"/>
    <col min="53" max="53" width="20.44140625" bestFit="1" customWidth="1"/>
    <col min="54" max="56" width="20.44140625" hidden="1" customWidth="1"/>
    <col min="57" max="57" width="20.44140625" bestFit="1" customWidth="1"/>
    <col min="58" max="60" width="20.44140625" hidden="1" customWidth="1"/>
    <col min="61" max="61" width="20.44140625" bestFit="1" customWidth="1"/>
    <col min="62" max="63" width="20.44140625" hidden="1" customWidth="1"/>
    <col min="64" max="64" width="19.33203125" hidden="1" customWidth="1"/>
    <col min="65" max="65" width="19.33203125" bestFit="1" customWidth="1"/>
    <col min="66"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8.33203125" hidden="1" customWidth="1"/>
    <col min="77" max="77" width="18.33203125" bestFit="1" customWidth="1"/>
    <col min="78" max="78" width="17.21875" hidden="1" customWidth="1"/>
    <col min="79" max="81" width="17.21875" bestFit="1" customWidth="1"/>
    <col min="82" max="82" width="9.5546875" hidden="1" customWidth="1"/>
    <col min="83" max="84" width="19.33203125" bestFit="1" customWidth="1"/>
    <col min="85" max="87" width="17.21875" bestFit="1" customWidth="1"/>
    <col min="88" max="89" width="16.109375" bestFit="1" customWidth="1"/>
  </cols>
  <sheetData>
    <row r="1" spans="1:89" s="26" customFormat="1" x14ac:dyDescent="0.25">
      <c r="A1" s="17">
        <v>725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s="26" customFormat="1" x14ac:dyDescent="0.25">
      <c r="A2" s="17" t="s">
        <v>423</v>
      </c>
      <c r="E2" s="26">
        <f>股权价值增加表!E42</f>
        <v>7038552583</v>
      </c>
      <c r="F2" s="26">
        <f>股权价值增加表!F42</f>
        <v>6300591592</v>
      </c>
      <c r="G2" s="26">
        <f>股权价值增加表!G42</f>
        <v>4305256684</v>
      </c>
      <c r="H2" s="26">
        <f>股权价值增加表!H42</f>
        <v>2627399119</v>
      </c>
      <c r="I2" s="26">
        <f>股权价值增加表!I42</f>
        <v>1267512388</v>
      </c>
      <c r="J2" s="26">
        <f>股权价值增加表!J42</f>
        <v>137192696</v>
      </c>
      <c r="K2" s="26">
        <f>股权价值增加表!K42</f>
        <v>-613843977</v>
      </c>
      <c r="L2" s="26">
        <f>股权价值增加表!L42</f>
        <v>52394412</v>
      </c>
      <c r="M2" s="26">
        <f>股权价值增加表!M42</f>
        <v>817552076</v>
      </c>
      <c r="N2" s="26">
        <f>股权价值增加表!N42</f>
        <v>1938753004</v>
      </c>
      <c r="O2" s="26">
        <f>股权价值增加表!O42</f>
        <v>2024596916</v>
      </c>
      <c r="P2" s="26">
        <f>股权价值增加表!P42</f>
        <v>1031450851</v>
      </c>
      <c r="Q2" s="26">
        <f>股权价值增加表!Q42</f>
        <v>2883138105</v>
      </c>
      <c r="R2" s="26">
        <f>股权价值增加表!R42</f>
        <v>2003637503</v>
      </c>
      <c r="S2" s="26">
        <f>股权价值增加表!S42</f>
        <v>1135753411</v>
      </c>
      <c r="T2" s="26">
        <f>股权价值增加表!T42</f>
        <v>658584430</v>
      </c>
      <c r="U2" s="26">
        <f>股权价值增加表!U42</f>
        <v>3226004794</v>
      </c>
      <c r="V2" s="26">
        <f>股权价值增加表!V42</f>
        <v>1816540346</v>
      </c>
      <c r="W2" s="26">
        <f>股权价值增加表!W42</f>
        <v>1174801041</v>
      </c>
      <c r="X2" s="26">
        <f>股权价值增加表!X42</f>
        <v>403023554</v>
      </c>
      <c r="Y2" s="26">
        <f>股权价值增加表!Y42</f>
        <v>388242751</v>
      </c>
      <c r="Z2" s="26">
        <f>股权价值增加表!Z42</f>
        <v>-912990435</v>
      </c>
      <c r="AA2" s="26">
        <f>股权价值增加表!AA42</f>
        <v>-1063032488</v>
      </c>
      <c r="AB2" s="26">
        <f>股权价值增加表!AB42</f>
        <v>-727498725</v>
      </c>
      <c r="AC2" s="26">
        <f>股权价值增加表!AC42</f>
        <v>879465955</v>
      </c>
      <c r="AD2" s="26">
        <f>股权价值增加表!AD42</f>
        <v>-2379942865</v>
      </c>
      <c r="AE2" s="26">
        <f>股权价值增加表!AE42</f>
        <v>-1347525135</v>
      </c>
      <c r="AF2" s="26">
        <f>股权价值增加表!AF42</f>
        <v>-747351679</v>
      </c>
      <c r="AG2" s="26">
        <f>股权价值增加表!AG42</f>
        <v>-2269485522</v>
      </c>
      <c r="AH2" s="26">
        <f>股权价值增加表!AH42</f>
        <v>-1170371868</v>
      </c>
      <c r="AI2" s="26">
        <f>股权价值增加表!AI42</f>
        <v>-653432394</v>
      </c>
      <c r="AJ2" s="26">
        <f>股权价值增加表!AJ42</f>
        <v>-319557781</v>
      </c>
      <c r="AK2" s="26">
        <f>股权价值增加表!AK42</f>
        <v>188141799</v>
      </c>
      <c r="AL2" s="26">
        <f>股权价值增加表!AL42</f>
        <v>-941173925</v>
      </c>
      <c r="AM2" s="26">
        <f>股权价值增加表!AM42</f>
        <v>-919127940</v>
      </c>
      <c r="AN2" s="26">
        <f>股权价值增加表!AN42</f>
        <v>-517014062</v>
      </c>
      <c r="AO2" s="26">
        <f>股权价值增加表!AO42</f>
        <v>-954196922</v>
      </c>
      <c r="AP2" s="26">
        <f>股权价值增加表!AP42</f>
        <v>103304631</v>
      </c>
      <c r="AQ2" s="26">
        <f>股权价值增加表!AQ42</f>
        <v>627370921</v>
      </c>
      <c r="AR2" s="26">
        <f>股权价值增加表!AR42</f>
        <v>379964211</v>
      </c>
      <c r="AS2" s="26">
        <f>股权价值增加表!AS42</f>
        <v>897106952</v>
      </c>
      <c r="AT2" s="26">
        <f>股权价值增加表!AT42</f>
        <v>562830280</v>
      </c>
      <c r="AU2" s="26">
        <f>股权价值增加表!AU42</f>
        <v>36312079</v>
      </c>
      <c r="AV2" s="26">
        <f>股权价值增加表!AV42</f>
        <v>-118101845</v>
      </c>
      <c r="AW2" s="26">
        <f>股权价值增加表!AW42</f>
        <v>-3087206716</v>
      </c>
      <c r="AX2" s="26">
        <f>股权价值增加表!AX42</f>
        <v>-2762938571</v>
      </c>
      <c r="AY2" s="26">
        <f>股权价值增加表!AY42</f>
        <v>-1852788861</v>
      </c>
      <c r="AZ2" s="26">
        <f>股权价值增加表!AZ42</f>
        <v>-532506637</v>
      </c>
      <c r="BA2" s="26">
        <f>股权价值增加表!BA42</f>
        <v>-1593443504</v>
      </c>
      <c r="BB2" s="26">
        <f>股权价值增加表!BB42</f>
        <v>-1321984082</v>
      </c>
      <c r="BC2" s="26">
        <f>股权价值增加表!BC42</f>
        <v>-974319007</v>
      </c>
      <c r="BD2" s="26">
        <f>股权价值增加表!BD42</f>
        <v>-444777251</v>
      </c>
      <c r="BE2" s="26">
        <f>股权价值增加表!BE42</f>
        <v>264977018</v>
      </c>
      <c r="BF2" s="26">
        <f>股权价值增加表!BF42</f>
        <v>486792977.39999962</v>
      </c>
      <c r="BG2" s="26">
        <f>股权价值增加表!BG42</f>
        <v>531690954.05999994</v>
      </c>
      <c r="BH2" s="26">
        <f>股权价值增加表!BH42</f>
        <v>288619753.22999978</v>
      </c>
      <c r="BI2" s="26">
        <f>股权价值增加表!BI42</f>
        <v>403132635</v>
      </c>
      <c r="BJ2" s="26">
        <f>股权价值增加表!BJ42</f>
        <v>311331340.37000036</v>
      </c>
      <c r="BK2" s="26">
        <f>股权价值增加表!BK42</f>
        <v>190252547.5800001</v>
      </c>
      <c r="BL2" s="26">
        <f>股权价值增加表!BL42</f>
        <v>51422757.899999991</v>
      </c>
      <c r="BM2" s="26">
        <f>股权价值增加表!BM42</f>
        <v>154107478</v>
      </c>
      <c r="BN2" s="26">
        <f>股权价值增加表!BN42</f>
        <v>139206343.29999983</v>
      </c>
      <c r="BO2" s="26">
        <f>股权价值增加表!BO42</f>
        <v>110758358.69999996</v>
      </c>
      <c r="BP2" s="26">
        <f>股权价值增加表!BP42</f>
        <v>52381039.249999955</v>
      </c>
      <c r="BQ2" s="26">
        <f>股权价值增加表!BQ42</f>
        <v>90081250</v>
      </c>
      <c r="BR2" s="26">
        <f>股权价值增加表!BR42</f>
        <v>76256673.36999996</v>
      </c>
      <c r="BS2" s="26">
        <f>股权价值增加表!BS42</f>
        <v>119922615</v>
      </c>
      <c r="BT2" s="26">
        <f>股权价值增加表!BT42</f>
        <v>64753676</v>
      </c>
      <c r="BU2" s="26">
        <f>股权价值增加表!BU42</f>
        <v>100655888</v>
      </c>
      <c r="BV2" s="26">
        <f>股权价值增加表!BV42</f>
        <v>19808380.650000006</v>
      </c>
      <c r="BW2" s="26">
        <f>股权价值增加表!BW42</f>
        <v>60142000</v>
      </c>
      <c r="BX2" s="26">
        <f>股权价值增加表!BX42</f>
        <v>34213674.039999999</v>
      </c>
      <c r="BY2" s="26">
        <f>股权价值增加表!BY42</f>
        <v>130995000</v>
      </c>
      <c r="BZ2" s="26">
        <f>股权价值增加表!BZ42</f>
        <v>134323000</v>
      </c>
      <c r="CA2" s="26">
        <f>股权价值增加表!CA42</f>
        <v>114435000</v>
      </c>
      <c r="CB2" s="26">
        <f>股权价值增加表!CB42</f>
        <v>107761000</v>
      </c>
      <c r="CC2" s="26">
        <f>股权价值增加表!CC42</f>
        <v>100586000</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428</v>
      </c>
      <c r="E3" s="26">
        <f>资产资本表!E107</f>
        <v>104284262833</v>
      </c>
      <c r="F3" s="26">
        <f>资产资本表!F107</f>
        <v>104783755073</v>
      </c>
      <c r="G3" s="26">
        <f>资产资本表!G107</f>
        <v>97470111367</v>
      </c>
      <c r="H3" s="26">
        <f>资产资本表!H107</f>
        <v>96491752708</v>
      </c>
      <c r="I3" s="26">
        <f>资产资本表!I107</f>
        <v>92016055160</v>
      </c>
      <c r="J3" s="26">
        <f>资产资本表!J107</f>
        <v>82006094928</v>
      </c>
      <c r="K3" s="26">
        <f>资产资本表!K107</f>
        <v>81435639400</v>
      </c>
      <c r="L3" s="26">
        <f>资产资本表!L107</f>
        <v>81403224231</v>
      </c>
      <c r="M3" s="26">
        <f>资产资本表!M107</f>
        <v>78350829819</v>
      </c>
      <c r="N3" s="26">
        <f>资产资本表!N107</f>
        <v>78944819856</v>
      </c>
      <c r="O3" s="26">
        <f>资产资本表!O107</f>
        <v>78903151940</v>
      </c>
      <c r="P3" s="26">
        <f>资产资本表!P107</f>
        <v>77910005875</v>
      </c>
      <c r="Q3" s="26">
        <f>资产资本表!Q107</f>
        <v>76959406219</v>
      </c>
      <c r="R3" s="26">
        <f>资产资本表!R107</f>
        <v>76570022233</v>
      </c>
      <c r="S3" s="26">
        <f>资产资本表!S107</f>
        <v>76149010216</v>
      </c>
      <c r="T3" s="26">
        <f>资产资本表!T107</f>
        <v>75164552888</v>
      </c>
      <c r="U3" s="26">
        <f>资产资本表!U107</f>
        <v>38154263404</v>
      </c>
      <c r="V3" s="26">
        <f>资产资本表!V107</f>
        <v>41051432679</v>
      </c>
      <c r="W3" s="26">
        <f>资产资本表!W107</f>
        <v>40418911802</v>
      </c>
      <c r="X3" s="26">
        <f>资产资本表!X107</f>
        <v>35667838006</v>
      </c>
      <c r="Y3" s="26">
        <f>资产资本表!Y107</f>
        <v>35264814452</v>
      </c>
      <c r="Z3" s="26">
        <f>资产资本表!Z107</f>
        <v>34128480623</v>
      </c>
      <c r="AA3" s="26">
        <f>资产资本表!AA107</f>
        <v>33980651549</v>
      </c>
      <c r="AB3" s="26">
        <f>资产资本表!AB107</f>
        <v>34318031387</v>
      </c>
      <c r="AC3" s="26">
        <f>资产资本表!AC107</f>
        <v>35045483906</v>
      </c>
      <c r="AD3" s="26">
        <f>资产资本表!AD107</f>
        <v>31897104680</v>
      </c>
      <c r="AE3" s="26">
        <f>资产资本表!AE107</f>
        <v>32929522409</v>
      </c>
      <c r="AF3" s="26">
        <f>资产资本表!AF107</f>
        <v>33536219867</v>
      </c>
      <c r="AG3" s="26">
        <f>资产资本表!AG107</f>
        <v>34259808253</v>
      </c>
      <c r="AH3" s="26">
        <f>资产资本表!AH107</f>
        <v>26386011778</v>
      </c>
      <c r="AI3" s="26">
        <f>资产资本表!AI107</f>
        <v>26911504181</v>
      </c>
      <c r="AJ3" s="26">
        <f>资产资本表!AJ107</f>
        <v>23089536749</v>
      </c>
      <c r="AK3" s="26">
        <f>资产资本表!AK107</f>
        <v>21936151954</v>
      </c>
      <c r="AL3" s="26">
        <f>资产资本表!AL107</f>
        <v>17635170530</v>
      </c>
      <c r="AM3" s="26">
        <f>资产资本表!AM107</f>
        <v>17668415779</v>
      </c>
      <c r="AN3" s="26">
        <f>资产资本表!AN107</f>
        <v>6251855568</v>
      </c>
      <c r="AO3" s="26">
        <f>资产资本表!AO107</f>
        <v>6718801623</v>
      </c>
      <c r="AP3" s="26">
        <f>资产资本表!AP107</f>
        <v>7803008510</v>
      </c>
      <c r="AQ3" s="26">
        <f>资产资本表!AQ107</f>
        <v>6123342937</v>
      </c>
      <c r="AR3" s="26">
        <f>资产资本表!AR107</f>
        <v>5871972171</v>
      </c>
      <c r="AS3" s="26">
        <f>资产资本表!AS107</f>
        <v>5521339174</v>
      </c>
      <c r="AT3" s="26">
        <f>资产资本表!AT107</f>
        <v>4815248345</v>
      </c>
      <c r="AU3" s="26">
        <f>资产资本表!AU107</f>
        <v>4286708476</v>
      </c>
      <c r="AV3" s="26">
        <f>资产资本表!AV107</f>
        <v>4149673945</v>
      </c>
      <c r="AW3" s="26">
        <f>资产资本表!AW107</f>
        <v>4297451541</v>
      </c>
      <c r="AX3" s="26">
        <f>资产资本表!AX107</f>
        <v>4233717635</v>
      </c>
      <c r="AY3" s="26">
        <f>资产资本表!AY107</f>
        <v>1834761744</v>
      </c>
      <c r="AZ3" s="26">
        <f>资产资本表!AZ107</f>
        <v>3068898270</v>
      </c>
      <c r="BA3" s="26">
        <f>资产资本表!BA107</f>
        <v>3611521594</v>
      </c>
      <c r="BB3" s="26">
        <f>资产资本表!BB107</f>
        <v>4138880834</v>
      </c>
      <c r="BC3" s="26">
        <f>资产资本表!BC107</f>
        <v>4528295925</v>
      </c>
      <c r="BD3" s="26">
        <f>资产资本表!BD107</f>
        <v>5088280391</v>
      </c>
      <c r="BE3" s="26">
        <f>资产资本表!BE107</f>
        <v>5481194703</v>
      </c>
      <c r="BF3" s="26">
        <f>资产资本表!BF107</f>
        <v>5775750031.3199997</v>
      </c>
      <c r="BG3" s="26">
        <f>资产资本表!BG107</f>
        <v>5748834264.4500008</v>
      </c>
      <c r="BH3" s="26">
        <f>资产资本表!BH107</f>
        <v>5538049404.8299999</v>
      </c>
      <c r="BI3" s="26">
        <f>资产资本表!BI107</f>
        <v>3080180848</v>
      </c>
      <c r="BJ3" s="26">
        <f>资产资本表!BJ107</f>
        <v>2992428916.1300001</v>
      </c>
      <c r="BK3" s="26">
        <f>资产资本表!BK107</f>
        <v>2821404851.2199998</v>
      </c>
      <c r="BL3" s="26">
        <f>资产资本表!BL107</f>
        <v>2578590694.2200003</v>
      </c>
      <c r="BM3" s="26">
        <f>资产资本表!BM107</f>
        <v>2640890514</v>
      </c>
      <c r="BN3" s="26">
        <f>资产资本表!BN107</f>
        <v>2627029033.3499999</v>
      </c>
      <c r="BO3" s="26">
        <f>资产资本表!BO107</f>
        <v>2546625195.1500001</v>
      </c>
      <c r="BP3" s="26">
        <f>资产资本表!BP107</f>
        <v>2469173821.48</v>
      </c>
      <c r="BQ3" s="26">
        <f>资产资本表!BQ107</f>
        <v>2335783347</v>
      </c>
      <c r="BR3" s="26">
        <f>资产资本表!BR107</f>
        <v>2400207583.4700003</v>
      </c>
      <c r="BS3" s="26">
        <f>资产资本表!BS107</f>
        <v>2227180861</v>
      </c>
      <c r="BT3" s="26">
        <f>资产资本表!BT107</f>
        <v>1333758140</v>
      </c>
      <c r="BU3" s="26">
        <f>资产资本表!BU107</f>
        <v>1254162142</v>
      </c>
      <c r="BV3" s="26">
        <f>资产资本表!BV107</f>
        <v>1135754992.1800001</v>
      </c>
      <c r="BW3" s="26">
        <f>资产资本表!BW107</f>
        <v>1092432000</v>
      </c>
      <c r="BX3" s="26">
        <f>资产资本表!BX107</f>
        <v>990567298.47000003</v>
      </c>
      <c r="BY3" s="26">
        <f>资产资本表!BY107</f>
        <v>958009000</v>
      </c>
      <c r="BZ3" s="26">
        <f>资产资本表!BZ107</f>
        <v>993949000</v>
      </c>
      <c r="CA3" s="26">
        <f>资产资本表!CA107</f>
        <v>574953000</v>
      </c>
      <c r="CB3" s="26">
        <f>资产资本表!CB107</f>
        <v>466652000</v>
      </c>
      <c r="CC3" s="26">
        <f>资产资本表!CC107</f>
        <v>424120000</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4" t="s">
        <v>429</v>
      </c>
      <c r="E4" s="59">
        <f>E2/E3</f>
        <v>6.7493909356884291E-2</v>
      </c>
      <c r="F4" s="59">
        <f t="shared" ref="F4:BQ4" si="0">F2/F3</f>
        <v>6.0129469378249985E-2</v>
      </c>
      <c r="G4" s="59">
        <f t="shared" si="0"/>
        <v>4.4170019133245912E-2</v>
      </c>
      <c r="H4" s="59">
        <f t="shared" si="0"/>
        <v>2.7229261001724615E-2</v>
      </c>
      <c r="I4" s="59">
        <f t="shared" si="0"/>
        <v>1.3774904670668778E-2</v>
      </c>
      <c r="J4" s="59">
        <f t="shared" si="0"/>
        <v>1.672957310312763E-3</v>
      </c>
      <c r="K4" s="59">
        <f t="shared" si="0"/>
        <v>-7.5377805285581139E-3</v>
      </c>
      <c r="L4" s="59">
        <f t="shared" si="0"/>
        <v>6.436405006676277E-4</v>
      </c>
      <c r="M4" s="59">
        <f t="shared" si="0"/>
        <v>1.0434504368219778E-2</v>
      </c>
      <c r="N4" s="59">
        <f t="shared" si="0"/>
        <v>2.4558330838380524E-2</v>
      </c>
      <c r="O4" s="59">
        <f t="shared" si="0"/>
        <v>2.5659265393346464E-2</v>
      </c>
      <c r="P4" s="59">
        <f t="shared" si="0"/>
        <v>1.3239003635231082E-2</v>
      </c>
      <c r="Q4" s="59">
        <f t="shared" si="0"/>
        <v>3.7463102259333712E-2</v>
      </c>
      <c r="R4" s="59">
        <f t="shared" si="0"/>
        <v>2.6167388288108349E-2</v>
      </c>
      <c r="S4" s="59">
        <f t="shared" si="0"/>
        <v>1.4914880807752927E-2</v>
      </c>
      <c r="T4" s="59">
        <f t="shared" si="0"/>
        <v>8.761901783428859E-3</v>
      </c>
      <c r="U4" s="59">
        <f t="shared" si="0"/>
        <v>8.4551620348193995E-2</v>
      </c>
      <c r="V4" s="59">
        <f t="shared" si="0"/>
        <v>4.4250351996344757E-2</v>
      </c>
      <c r="W4" s="59">
        <f t="shared" si="0"/>
        <v>2.9065627663480757E-2</v>
      </c>
      <c r="X4" s="59">
        <f t="shared" si="0"/>
        <v>1.1299354727701855E-2</v>
      </c>
      <c r="Y4" s="59">
        <f t="shared" si="0"/>
        <v>1.1009351871918932E-2</v>
      </c>
      <c r="Z4" s="59">
        <f t="shared" si="0"/>
        <v>-2.6751569900967519E-2</v>
      </c>
      <c r="AA4" s="59">
        <f t="shared" si="0"/>
        <v>-3.1283463957926479E-2</v>
      </c>
      <c r="AB4" s="59">
        <f t="shared" si="0"/>
        <v>-2.1198731267422978E-2</v>
      </c>
      <c r="AC4" s="59">
        <f t="shared" si="0"/>
        <v>2.5094986770875492E-2</v>
      </c>
      <c r="AD4" s="59">
        <f t="shared" si="0"/>
        <v>-7.4613131469962624E-2</v>
      </c>
      <c r="AE4" s="59">
        <f t="shared" si="0"/>
        <v>-4.0921490395855444E-2</v>
      </c>
      <c r="AF4" s="59">
        <f t="shared" si="0"/>
        <v>-2.2284911118900495E-2</v>
      </c>
      <c r="AG4" s="59">
        <f t="shared" si="0"/>
        <v>-6.6243380734662169E-2</v>
      </c>
      <c r="AH4" s="59">
        <f t="shared" si="0"/>
        <v>-4.4355769937760241E-2</v>
      </c>
      <c r="AI4" s="59">
        <f t="shared" si="0"/>
        <v>-2.4280783028892711E-2</v>
      </c>
      <c r="AJ4" s="59">
        <f t="shared" si="0"/>
        <v>-1.3839939037054952E-2</v>
      </c>
      <c r="AK4" s="59">
        <f t="shared" si="0"/>
        <v>8.5767913804815181E-3</v>
      </c>
      <c r="AL4" s="59">
        <f t="shared" si="0"/>
        <v>-5.3369142271628492E-2</v>
      </c>
      <c r="AM4" s="59">
        <f t="shared" si="0"/>
        <v>-5.2020959405564823E-2</v>
      </c>
      <c r="AN4" s="59">
        <f t="shared" si="0"/>
        <v>-8.269769772774764E-2</v>
      </c>
      <c r="AO4" s="59">
        <f t="shared" si="0"/>
        <v>-0.14201891580390838</v>
      </c>
      <c r="AP4" s="59">
        <f t="shared" si="0"/>
        <v>1.3239077064648748E-2</v>
      </c>
      <c r="AQ4" s="59">
        <f t="shared" si="0"/>
        <v>0.10245562390588021</v>
      </c>
      <c r="AR4" s="59">
        <f t="shared" si="0"/>
        <v>6.4708108270086009E-2</v>
      </c>
      <c r="AS4" s="59">
        <f t="shared" si="0"/>
        <v>0.16247995707716686</v>
      </c>
      <c r="AT4" s="59">
        <f t="shared" si="0"/>
        <v>0.11688499526393586</v>
      </c>
      <c r="AU4" s="59">
        <f t="shared" si="0"/>
        <v>8.470853383965922E-3</v>
      </c>
      <c r="AV4" s="59">
        <f t="shared" si="0"/>
        <v>-2.8460511974031735E-2</v>
      </c>
      <c r="AW4" s="59">
        <f t="shared" si="0"/>
        <v>-0.71838080931137605</v>
      </c>
      <c r="AX4" s="59">
        <f t="shared" si="0"/>
        <v>-0.65260341128063915</v>
      </c>
      <c r="AY4" s="59">
        <f t="shared" si="0"/>
        <v>-1.0098253176789584</v>
      </c>
      <c r="AZ4" s="59">
        <f t="shared" si="0"/>
        <v>-0.1735172006858344</v>
      </c>
      <c r="BA4" s="59">
        <f t="shared" si="0"/>
        <v>-0.44121112459835954</v>
      </c>
      <c r="BB4" s="59">
        <f t="shared" si="0"/>
        <v>-0.31940617162499346</v>
      </c>
      <c r="BC4" s="59">
        <f t="shared" si="0"/>
        <v>-0.21516239732057704</v>
      </c>
      <c r="BD4" s="59">
        <f t="shared" si="0"/>
        <v>-8.741209540785308E-2</v>
      </c>
      <c r="BE4" s="59">
        <f t="shared" si="0"/>
        <v>4.8342931123204071E-2</v>
      </c>
      <c r="BF4" s="59">
        <f t="shared" si="0"/>
        <v>8.4282210061079652E-2</v>
      </c>
      <c r="BG4" s="59">
        <f t="shared" si="0"/>
        <v>9.2486742459754592E-2</v>
      </c>
      <c r="BH4" s="59">
        <f t="shared" si="0"/>
        <v>5.2115777981012697E-2</v>
      </c>
      <c r="BI4" s="59">
        <f t="shared" si="0"/>
        <v>0.13087953431752525</v>
      </c>
      <c r="BJ4" s="59">
        <f t="shared" si="0"/>
        <v>0.1040396778322253</v>
      </c>
      <c r="BK4" s="59">
        <f t="shared" si="0"/>
        <v>6.743184959710169E-2</v>
      </c>
      <c r="BL4" s="59">
        <f t="shared" si="0"/>
        <v>1.994219478696866E-2</v>
      </c>
      <c r="BM4" s="59">
        <f t="shared" si="0"/>
        <v>5.8354360842692625E-2</v>
      </c>
      <c r="BN4" s="59">
        <f t="shared" si="0"/>
        <v>5.2990028481901943E-2</v>
      </c>
      <c r="BO4" s="59">
        <f t="shared" si="0"/>
        <v>4.3492210361751375E-2</v>
      </c>
      <c r="BP4" s="59">
        <f t="shared" si="0"/>
        <v>2.1213994249543455E-2</v>
      </c>
      <c r="BQ4" s="59">
        <f t="shared" si="0"/>
        <v>3.8565755730597728E-2</v>
      </c>
      <c r="BR4" s="59">
        <f t="shared" ref="BR4:CJ4" si="1">BR2/BR3</f>
        <v>3.1770865943084411E-2</v>
      </c>
      <c r="BS4" s="59">
        <f t="shared" si="1"/>
        <v>5.3845027631099066E-2</v>
      </c>
      <c r="BT4" s="59">
        <f t="shared" si="1"/>
        <v>4.8549788794541117E-2</v>
      </c>
      <c r="BU4" s="59">
        <f t="shared" si="1"/>
        <v>8.025747599069212E-2</v>
      </c>
      <c r="BV4" s="59">
        <f t="shared" si="1"/>
        <v>1.7440716339691575E-2</v>
      </c>
      <c r="BW4" s="59">
        <f t="shared" si="1"/>
        <v>5.5053312242775751E-2</v>
      </c>
      <c r="BX4" s="59">
        <f t="shared" si="1"/>
        <v>3.4539474594856297E-2</v>
      </c>
      <c r="BY4" s="59">
        <f t="shared" si="1"/>
        <v>0.13673671124175243</v>
      </c>
      <c r="BZ4" s="59">
        <f t="shared" si="1"/>
        <v>0.13514073659714934</v>
      </c>
      <c r="CA4" s="59">
        <f t="shared" si="1"/>
        <v>0.19903366014265514</v>
      </c>
      <c r="CB4" s="59">
        <f t="shared" si="1"/>
        <v>0.230923686172994</v>
      </c>
      <c r="CC4" s="59">
        <f t="shared" si="1"/>
        <v>0.23716401018579647</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425</v>
      </c>
      <c r="E5" s="26">
        <f>股权价值增加表!E47</f>
        <v>-1304188443.6400003</v>
      </c>
      <c r="F5" s="26">
        <f>股权价值增加表!F47</f>
        <v>-2082108813.8400002</v>
      </c>
      <c r="G5" s="26">
        <f>股权价值增加表!G47</f>
        <v>-3492352225.3600006</v>
      </c>
      <c r="H5" s="26">
        <f>股权价值增加表!H47</f>
        <v>-5091941097.6400003</v>
      </c>
      <c r="I5" s="26">
        <f>股权价值增加表!I47</f>
        <v>-6093772024.8000002</v>
      </c>
      <c r="J5" s="26">
        <f>股权价值增加表!J47</f>
        <v>-6423294898.2399998</v>
      </c>
      <c r="K5" s="26">
        <f>股权价值增加表!K47</f>
        <v>-7128695129</v>
      </c>
      <c r="L5" s="26">
        <f>股权价值增加表!L47</f>
        <v>-6459863526.4800005</v>
      </c>
      <c r="M5" s="26">
        <f>股权价值增加表!M47</f>
        <v>-5450514309.5200005</v>
      </c>
      <c r="N5" s="26">
        <f>股权价值增加表!N47</f>
        <v>-4376832584.4800005</v>
      </c>
      <c r="O5" s="26">
        <f>股权价值增加表!O47</f>
        <v>-4287655239.1999998</v>
      </c>
      <c r="P5" s="26">
        <f>股权价值增加表!P47</f>
        <v>-5201349619</v>
      </c>
      <c r="Q5" s="26">
        <f>股权价值增加表!Q47</f>
        <v>-3273614392.5200005</v>
      </c>
      <c r="R5" s="26">
        <f>股权价值增加表!R47</f>
        <v>-4121964275.6400003</v>
      </c>
      <c r="S5" s="26">
        <f>股权价值增加表!S47</f>
        <v>-4956167406.2799997</v>
      </c>
      <c r="T5" s="26">
        <f>股权价值增加表!T47</f>
        <v>-5354579801.04</v>
      </c>
      <c r="U5" s="26">
        <f>股权价值增加表!U47</f>
        <v>173663721.67999983</v>
      </c>
      <c r="V5" s="26">
        <f>股权价值增加表!V47</f>
        <v>-1467574268.3200002</v>
      </c>
      <c r="W5" s="26">
        <f>股权价值增加表!W47</f>
        <v>-2058711903.1599998</v>
      </c>
      <c r="X5" s="26">
        <f>股权价值增加表!X47</f>
        <v>-2450403486.48</v>
      </c>
      <c r="Y5" s="26">
        <f>股权价值增加表!Y47</f>
        <v>-2432942405.1599998</v>
      </c>
      <c r="Z5" s="26">
        <f>股权价值增加表!Z47</f>
        <v>-3643268884.8400002</v>
      </c>
      <c r="AA5" s="26">
        <f>股权价值增加表!AA47</f>
        <v>-3781484611.9200001</v>
      </c>
      <c r="AB5" s="26">
        <f>股权价值增加表!AB47</f>
        <v>-3472941235.96</v>
      </c>
      <c r="AC5" s="26">
        <f>股权价值增加表!AC47</f>
        <v>-1924172757.48</v>
      </c>
      <c r="AD5" s="26">
        <f>股权价值增加表!AD47</f>
        <v>-4931711239.3999996</v>
      </c>
      <c r="AE5" s="26">
        <f>股权价值增加表!AE47</f>
        <v>-3981886927.7200003</v>
      </c>
      <c r="AF5" s="26">
        <f>股权价值增加表!AF47</f>
        <v>-3430249268.3600001</v>
      </c>
      <c r="AG5" s="26">
        <f>股权价值增加表!AG47</f>
        <v>-5010270182.2399998</v>
      </c>
      <c r="AH5" s="26">
        <f>股权价值增加表!AH47</f>
        <v>-3281252810.2399998</v>
      </c>
      <c r="AI5" s="26">
        <f>股权价值增加表!AI47</f>
        <v>-2806352728.48</v>
      </c>
      <c r="AJ5" s="26">
        <f>股权价值增加表!AJ47</f>
        <v>-2166720720.9200001</v>
      </c>
      <c r="AK5" s="26">
        <f>股权价值增加表!AK47</f>
        <v>-1566750357.3199999</v>
      </c>
      <c r="AL5" s="26">
        <f>股权价值增加表!AL47</f>
        <v>-2351987567.4000001</v>
      </c>
      <c r="AM5" s="26">
        <f>股权价值增加表!AM47</f>
        <v>-2332601202.3199997</v>
      </c>
      <c r="AN5" s="26">
        <f>股权价值增加表!AN47</f>
        <v>-1017162507.4400001</v>
      </c>
      <c r="AO5" s="26">
        <f>股权价值增加表!AO47</f>
        <v>-1491701051.8400002</v>
      </c>
      <c r="AP5" s="26">
        <f>股权价值增加表!AP47</f>
        <v>-520936049.80000007</v>
      </c>
      <c r="AQ5" s="26">
        <f>股权价值增加表!AQ47</f>
        <v>137503486.03999996</v>
      </c>
      <c r="AR5" s="26">
        <f>股权价值增加表!AR47</f>
        <v>-89793562.680000007</v>
      </c>
      <c r="AS5" s="26">
        <f>股权价值增加表!AS47</f>
        <v>455399818.07999998</v>
      </c>
      <c r="AT5" s="26">
        <f>股权价值增加表!AT47</f>
        <v>177610412.39999998</v>
      </c>
      <c r="AU5" s="26">
        <f>股权价值增加表!AU47</f>
        <v>-306624599.07999998</v>
      </c>
      <c r="AV5" s="26">
        <f>股权价值增加表!AV47</f>
        <v>-450075760.60000002</v>
      </c>
      <c r="AW5" s="26">
        <f>股权价值增加表!AW47</f>
        <v>-3431002839.2800002</v>
      </c>
      <c r="AX5" s="26">
        <f>股权价值增加表!AX47</f>
        <v>-3101635981.8000002</v>
      </c>
      <c r="AY5" s="26">
        <f>股权价值增加表!AY47</f>
        <v>-1999569800.52</v>
      </c>
      <c r="AZ5" s="26">
        <f>股权价值增加表!AZ47</f>
        <v>-778018498.60000002</v>
      </c>
      <c r="BA5" s="26">
        <f>股权价值增加表!BA47</f>
        <v>-1882365231.52</v>
      </c>
      <c r="BB5" s="26">
        <f>股权价值增加表!BB47</f>
        <v>-1653094548.72</v>
      </c>
      <c r="BC5" s="26">
        <f>股权价值增加表!BC47</f>
        <v>-1336582681</v>
      </c>
      <c r="BD5" s="26">
        <f>股权价值增加表!BD47</f>
        <v>-851839682.27999997</v>
      </c>
      <c r="BE5" s="26">
        <f>股权价值增加表!BE47</f>
        <v>-173518558.24000001</v>
      </c>
      <c r="BF5" s="26">
        <f>股权价值增加表!BF47</f>
        <v>24732974.894399643</v>
      </c>
      <c r="BG5" s="26">
        <f>股权价值增加表!BG47</f>
        <v>71784212.903999925</v>
      </c>
      <c r="BH5" s="26">
        <f>股权价值增加表!BH47</f>
        <v>-154424199.1564002</v>
      </c>
      <c r="BI5" s="26">
        <f>股权价值增加表!BI47</f>
        <v>156718167.16</v>
      </c>
      <c r="BJ5" s="26">
        <f>股权价值增加表!BJ47</f>
        <v>71937027.079600334</v>
      </c>
      <c r="BK5" s="26">
        <f>股权价值增加表!BK47</f>
        <v>-35459840.517599881</v>
      </c>
      <c r="BL5" s="26">
        <f>股权价值增加表!BL47</f>
        <v>-154864497.6376</v>
      </c>
      <c r="BM5" s="26">
        <f>股权价值增加表!BM47</f>
        <v>-57163763.120000005</v>
      </c>
      <c r="BN5" s="26">
        <f>股权价值增加表!BN47</f>
        <v>-70955979.36800015</v>
      </c>
      <c r="BO5" s="26">
        <f>股权价值增加表!BO47</f>
        <v>-92971656.91200006</v>
      </c>
      <c r="BP5" s="26">
        <f>股权价值增加表!BP47</f>
        <v>-145152866.46840006</v>
      </c>
      <c r="BQ5" s="26">
        <f>股权价值增加表!BQ47</f>
        <v>-96781417.75999999</v>
      </c>
      <c r="BR5" s="26">
        <f>股权价值增加表!BR47</f>
        <v>-115759933.30760004</v>
      </c>
      <c r="BS5" s="26">
        <f>股权价值增加表!BS47</f>
        <v>-58251853.879999995</v>
      </c>
      <c r="BT5" s="26">
        <f>股权价值增加表!BT47</f>
        <v>-41946975.200000003</v>
      </c>
      <c r="BU5" s="26">
        <f>股权价值增加表!BU47</f>
        <v>322916.6400000006</v>
      </c>
      <c r="BV5" s="26">
        <f>股权价值增加表!BV47</f>
        <v>-71052018.724399999</v>
      </c>
      <c r="BW5" s="26">
        <f>股权价值增加表!BW47</f>
        <v>-27252560</v>
      </c>
      <c r="BX5" s="26">
        <f>股权价值增加表!BX47</f>
        <v>-45031709.8376</v>
      </c>
      <c r="BY5" s="26">
        <f>股权价值增加表!BY47</f>
        <v>54354280</v>
      </c>
      <c r="BZ5" s="26">
        <f>股权价值增加表!BZ47</f>
        <v>54807080</v>
      </c>
      <c r="CA5" s="26">
        <f>股权价值增加表!CA47</f>
        <v>68438760</v>
      </c>
      <c r="CB5" s="26">
        <f>股权价值增加表!CB47</f>
        <v>70428840</v>
      </c>
      <c r="CC5" s="26">
        <f>股权价值增加表!CC47</f>
        <v>66656400</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x14ac:dyDescent="0.25">
      <c r="A6" s="156" t="s">
        <v>436</v>
      </c>
      <c r="E6" s="156">
        <f>股权价值增加表!E31/股权价值增加表!E4</f>
        <v>0.12294514815395338</v>
      </c>
      <c r="F6" s="156">
        <f>股权价值增加表!F31/股权价值增加表!F4</f>
        <v>0.13063288986687516</v>
      </c>
      <c r="G6" s="156">
        <f>股权价值增加表!G31/股权价值增加表!G4</f>
        <v>0.14224079829545683</v>
      </c>
      <c r="H6" s="156">
        <f>股权价值增加表!H31/股权价值增加表!H4</f>
        <v>0.16384475935263967</v>
      </c>
      <c r="I6" s="156">
        <f>股权价值增加表!I31/股权价值增加表!I4</f>
        <v>6.6291529564334178E-2</v>
      </c>
      <c r="J6" s="156">
        <f>股权价值增加表!J31/股权价值增加表!J4</f>
        <v>4.5752732404374157E-2</v>
      </c>
      <c r="K6" s="156">
        <f>股权价值增加表!K31/股权价值增加表!K4</f>
        <v>2.5608189167433699E-2</v>
      </c>
      <c r="L6" s="156">
        <f>股权价值增加表!L31/股权价值增加表!L4</f>
        <v>3.5497965604462264E-2</v>
      </c>
      <c r="M6" s="156">
        <f>股权价值增加表!M31/股权价值增加表!M4</f>
        <v>7.0219464604064682E-2</v>
      </c>
      <c r="N6" s="156">
        <f>股权价值增加表!N31/股权价值增加表!N4</f>
        <v>9.565213885581221E-2</v>
      </c>
      <c r="O6" s="156">
        <f>股权价值增加表!O31/股权价值增加表!O4</f>
        <v>0.11370928301230152</v>
      </c>
      <c r="P6" s="156">
        <f>股权价值增加表!P31/股权价值增加表!P4</f>
        <v>0.12380395600931347</v>
      </c>
      <c r="Q6" s="156">
        <f>股权价值增加表!Q31/股权价值增加表!Q4</f>
        <v>0.10989592051280628</v>
      </c>
      <c r="R6" s="156">
        <f>股权价值增加表!R31/股权价值增加表!R4</f>
        <v>8.8586924805631503E-2</v>
      </c>
      <c r="S6" s="156">
        <f>股权价值增加表!S31/股权价值增加表!S4</f>
        <v>8.6793166429673635E-2</v>
      </c>
      <c r="T6" s="156">
        <f>股权价值增加表!T31/股权价值增加表!T4</f>
        <v>0.11220496829587963</v>
      </c>
      <c r="U6" s="156">
        <f>股权价值增加表!U31/股权价值增加表!U4</f>
        <v>0.11935091839849254</v>
      </c>
      <c r="V6" s="156">
        <f>股权价值增加表!V31/股权价值增加表!V4</f>
        <v>9.2464751812720278E-2</v>
      </c>
      <c r="W6" s="156">
        <f>股权价值增加表!W31/股权价值增加表!W4</f>
        <v>8.5608257657945747E-2</v>
      </c>
      <c r="X6" s="156">
        <f>股权价值增加表!X31/股权价值增加表!X4</f>
        <v>6.7885711275388894E-2</v>
      </c>
      <c r="Y6" s="156">
        <f>股权价值增加表!Y31/股权价值增加表!Y4</f>
        <v>3.7556132562882649E-2</v>
      </c>
      <c r="Z6" s="156">
        <f>股权价值增加表!Z31/股权价值增加表!Z4</f>
        <v>-3.5540693845020913E-2</v>
      </c>
      <c r="AA6" s="156">
        <f>股权价值增加表!AA31/股权价值增加表!AA4</f>
        <v>-9.7147332409439999E-2</v>
      </c>
      <c r="AB6" s="156">
        <f>股权价值增加表!AB31/股权价值增加表!AB4</f>
        <v>-0.18551345477012901</v>
      </c>
      <c r="AC6" s="156">
        <f>股权价值增加表!AC31/股权价值增加表!AC4</f>
        <v>0.11035882315237261</v>
      </c>
      <c r="AD6" s="156">
        <f>股权价值增加表!AD31/股权价值增加表!AD4</f>
        <v>-0.27393336253492423</v>
      </c>
      <c r="AE6" s="156">
        <f>股权价值增加表!AE31/股权价值增加表!AE4</f>
        <v>-0.28856413779048734</v>
      </c>
      <c r="AF6" s="156">
        <f>股权价值增加表!AF31/股权价值增加表!AF4</f>
        <v>-0.4286954050776739</v>
      </c>
      <c r="AG6" s="156">
        <f>股权价值增加表!AG31/股权价值增加表!AG4</f>
        <v>-0.25235930290360986</v>
      </c>
      <c r="AH6" s="156">
        <f>股权价值增加表!AH31/股权价值增加表!AH4</f>
        <v>-0.18365513247673168</v>
      </c>
      <c r="AI6" s="156">
        <f>股权价值增加表!AI31/股权价值增加表!AI4</f>
        <v>-0.14495003522312666</v>
      </c>
      <c r="AJ6" s="156">
        <f>股权价值增加表!AJ31/股权价值增加表!AJ4</f>
        <v>-0.17124144863501894</v>
      </c>
      <c r="AK6" s="156">
        <f>股权价值增加表!AK31/股权价值增加表!AK4</f>
        <v>6.114566427216795E-2</v>
      </c>
      <c r="AL6" s="156">
        <f>股权价值增加表!AL31/股权价值增加表!AL4</f>
        <v>-0.19285239932456852</v>
      </c>
      <c r="AM6" s="156">
        <f>股权价值增加表!AM31/股权价值增加表!AM4</f>
        <v>-0.36945084926490446</v>
      </c>
      <c r="AN6" s="156">
        <f>股权价值增加表!AN31/股权价值增加表!AN4</f>
        <v>-0.67784210805179645</v>
      </c>
      <c r="AO6" s="156">
        <f>股权价值增加表!AO31/股权价值增加表!AO4</f>
        <v>-7.7044904718599427E-2</v>
      </c>
      <c r="AP6" s="156">
        <f>股权价值增加表!AP31/股权价值增加表!AP4</f>
        <v>2.9503929862142366E-2</v>
      </c>
      <c r="AQ6" s="156">
        <f>股权价值增加表!AQ31/股权价值增加表!AQ4</f>
        <v>0.12655111373187219</v>
      </c>
      <c r="AR6" s="156">
        <f>股权价值增加表!AR31/股权价值增加表!AR4</f>
        <v>0.15226621540258159</v>
      </c>
      <c r="AS6" s="156">
        <f>股权价值增加表!AS31/股权价值增加表!AS4</f>
        <v>0.10121773499673752</v>
      </c>
      <c r="AT6" s="156">
        <f>股权价值增加表!AT31/股权价值增加表!AT4</f>
        <v>0.10522775740848671</v>
      </c>
      <c r="AU6" s="156">
        <f>股权价值增加表!AU31/股权价值增加表!AU4</f>
        <v>4.6077192617882075E-2</v>
      </c>
      <c r="AV6" s="156">
        <f>股权价值增加表!AV31/股权价值增加表!AV4</f>
        <v>-2.5440495429365439E-3</v>
      </c>
      <c r="AW6" s="156">
        <f>股权价值增加表!AW31/股权价值增加表!AW4</f>
        <v>-0.27895087173414229</v>
      </c>
      <c r="AX6" s="156">
        <f>股权价值增加表!AX31/股权价值增加表!AX4</f>
        <v>-0.33228845145953451</v>
      </c>
      <c r="AY6" s="156">
        <f>股权价值增加表!AY31/股权价值增加表!AY4</f>
        <v>-0.35022743164052444</v>
      </c>
      <c r="AZ6" s="156">
        <f>股权价值增加表!AZ31/股权价值增加表!AZ4</f>
        <v>-0.17264639771338255</v>
      </c>
      <c r="BA6" s="156">
        <f>股权价值增加表!BA31/股权价值增加表!BA4</f>
        <v>-8.0965666792691959E-2</v>
      </c>
      <c r="BB6" s="156">
        <f>股权价值增加表!BB31/股权价值增加表!BB4</f>
        <v>-0.11867220530452402</v>
      </c>
      <c r="BC6" s="156">
        <f>股权价值增加表!BC31/股权价值增加表!BC4</f>
        <v>-0.180820559733013</v>
      </c>
      <c r="BD6" s="156">
        <f>股权价值增加表!BD31/股权价值增加表!BD4</f>
        <v>-0.18871541771860148</v>
      </c>
      <c r="BE6" s="156">
        <f>股权价值增加表!BE31/股权价值增加表!BE4</f>
        <v>2.3468528853541774E-2</v>
      </c>
      <c r="BF6" s="156">
        <f>股权价值增加表!BF31/股权价值增加表!BF4</f>
        <v>6.2259686777338764E-2</v>
      </c>
      <c r="BG6" s="156">
        <f>股权价值增加表!BG31/股权价值增加表!BG4</f>
        <v>9.6105329785515531E-2</v>
      </c>
      <c r="BH6" s="156">
        <f>股权价值增加表!BH31/股权价值增加表!BH4</f>
        <v>8.7509475703330092E-2</v>
      </c>
      <c r="BI6" s="156">
        <f>股权价值增加表!BI31/股权价值增加表!BI4</f>
        <v>6.1213421314788768E-2</v>
      </c>
      <c r="BJ6" s="156">
        <f>股权价值增加表!BJ31/股权价值增加表!BJ4</f>
        <v>6.6684987569423704E-2</v>
      </c>
      <c r="BK6" s="156">
        <f>股权价值增加表!BK31/股权价值增加表!BK4</f>
        <v>7.5782630474116194E-2</v>
      </c>
      <c r="BL6" s="156">
        <f>股权价值增加表!BL31/股权价值增加表!BL4</f>
        <v>9.4651795009527015E-2</v>
      </c>
      <c r="BM6" s="156">
        <f>股权价值增加表!BM31/股权价值增加表!BM4</f>
        <v>5.579312759332148E-2</v>
      </c>
      <c r="BN6" s="156">
        <f>股权价值增加表!BN31/股权价值增加表!BN4</f>
        <v>6.968817830702953E-2</v>
      </c>
      <c r="BO6" s="156">
        <f>股权价值增加表!BO31/股权价值增加表!BO4</f>
        <v>8.4633226456151442E-2</v>
      </c>
      <c r="BP6" s="156">
        <f>股权价值增加表!BP31/股权价值增加表!BP4</f>
        <v>7.9697914355485289E-2</v>
      </c>
      <c r="BQ6" s="156">
        <f>股权价值增加表!BQ31/股权价值增加表!BQ4</f>
        <v>4.9104606561726244E-2</v>
      </c>
      <c r="BR6" s="156">
        <f>股权价值增加表!BR31/股权价值增加表!BR4</f>
        <v>7.2373856056463806E-2</v>
      </c>
      <c r="BS6" s="156">
        <f>股权价值增加表!BS31/股权价值增加表!BS4</f>
        <v>7.2719259180460058E-2</v>
      </c>
      <c r="BT6" s="156">
        <f>股权价值增加表!BT31/股权价值增加表!BT4</f>
        <v>8.4611238995894386E-2</v>
      </c>
      <c r="BU6" s="156">
        <f>股权价值增加表!BU31/股权价值增加表!BU4</f>
        <v>0.16657817272814729</v>
      </c>
      <c r="BV6" s="156">
        <f>股权价值增加表!BV31/股权价值增加表!BV4</f>
        <v>0.15452569196634205</v>
      </c>
      <c r="BW6" s="156">
        <f>股权价值增加表!BW31/股权价值增加表!BW4</f>
        <v>0.25880326909392537</v>
      </c>
      <c r="BX6" s="156">
        <f>股权价值增加表!BX31/股权价值增加表!BX4</f>
        <v>0.32645053730645668</v>
      </c>
      <c r="BY6" s="156">
        <f>股权价值增加表!BY31/股权价值增加表!BY4</f>
        <v>0.49304980007270083</v>
      </c>
      <c r="BZ6" s="156">
        <f>股权价值增加表!BZ31/股权价值增加表!BZ4</f>
        <v>1.2796169285881442</v>
      </c>
      <c r="CA6" s="156">
        <f>股权价值增加表!CA31/股权价值增加表!CA4</f>
        <v>0.6941333403081108</v>
      </c>
      <c r="CB6" s="156">
        <f>股权价值增加表!CB31/股权价值增加表!CB4</f>
        <v>0.65032450399577846</v>
      </c>
      <c r="CC6" s="156">
        <f>股权价值增加表!CC31/股权价值增加表!CC4</f>
        <v>0.82907739331711083</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x14ac:dyDescent="0.25">
      <c r="A7" s="241" t="s">
        <v>430</v>
      </c>
      <c r="E7" s="61">
        <f>股权价值增加表!E4/资产资本表!E70</f>
        <v>0.43273015975810358</v>
      </c>
      <c r="F7" s="61">
        <f>股权价值增加表!F4/资产资本表!F70</f>
        <v>0.34324352240889461</v>
      </c>
      <c r="G7" s="61">
        <f>股权价值增加表!G4/资产资本表!G70</f>
        <v>0.23732690277622098</v>
      </c>
      <c r="H7" s="61">
        <f>股权价值增加表!H4/资产资本表!H70</f>
        <v>0.12289372811683656</v>
      </c>
      <c r="I7" s="61">
        <f>股权价值增加表!I4/资产资本表!I70</f>
        <v>0.40517389219349081</v>
      </c>
      <c r="J7" s="61">
        <f>股权价值增加表!J4/资产资本表!J70</f>
        <v>0.31632472330554062</v>
      </c>
      <c r="K7" s="61">
        <f>股权价值增加表!K4/资产资本表!K70</f>
        <v>0.18108886653965231</v>
      </c>
      <c r="L7" s="61">
        <f>股权价值增加表!L4/资产资本表!L70</f>
        <v>8.7971961947811803E-2</v>
      </c>
      <c r="M7" s="61">
        <f>股权价值增加表!M4/资产资本表!M70</f>
        <v>0.37806333336457121</v>
      </c>
      <c r="N7" s="61">
        <f>股权价值增加表!N4/资产资本表!N70</f>
        <v>0.2924419663281953</v>
      </c>
      <c r="O7" s="61">
        <f>股权价值增加表!O4/资产资本表!O70</f>
        <v>0.18918507010054511</v>
      </c>
      <c r="P7" s="61">
        <f>股权价值增加表!P4/资产资本表!P70</f>
        <v>9.8556488415080287E-2</v>
      </c>
      <c r="Q7" s="61">
        <f>股权价值增加表!Q4/资产资本表!Q70</f>
        <v>0.31500596741975817</v>
      </c>
      <c r="R7" s="61">
        <f>股权价值增加表!R4/资产资本表!R70</f>
        <v>0.2228038608737401</v>
      </c>
      <c r="S7" s="61">
        <f>股权价值增加表!S4/资产资本表!S70</f>
        <v>0.14228243877353713</v>
      </c>
      <c r="T7" s="61">
        <f>股权价值增加表!T4/资产资本表!T70</f>
        <v>7.2150846472218338E-2</v>
      </c>
      <c r="U7" s="61">
        <f>股权价值增加表!U4/资产资本表!U70</f>
        <v>0.42905344446189347</v>
      </c>
      <c r="V7" s="61">
        <f>股权价值增加表!V4/资产资本表!V70</f>
        <v>0.3160482942432753</v>
      </c>
      <c r="W7" s="61">
        <f>股权价值增加表!W4/资产资本表!W70</f>
        <v>0.21592320740717544</v>
      </c>
      <c r="X7" s="61">
        <f>股权价值增加表!X4/资产资本表!X70</f>
        <v>0.1380760029393468</v>
      </c>
      <c r="Y7" s="61">
        <f>股权价值增加表!Y4/资产资本表!Y70</f>
        <v>0.45468872949962452</v>
      </c>
      <c r="Z7" s="61">
        <f>股权价值增加表!Z4/资产资本表!Z70</f>
        <v>0.29612054311377772</v>
      </c>
      <c r="AA7" s="61">
        <f>股权价值增加表!AA4/资产资本表!AA70</f>
        <v>0.16611172605251262</v>
      </c>
      <c r="AB7" s="61">
        <f>股权价值增加表!AB4/资产资本表!AB70</f>
        <v>7.1941035741048057E-2</v>
      </c>
      <c r="AC7" s="61">
        <f>股权价值增加表!AC4/资产资本表!AC70</f>
        <v>0.21335201849749161</v>
      </c>
      <c r="AD7" s="61">
        <f>股权价值增加表!AD4/资产资本表!AD70</f>
        <v>0.14866959780830555</v>
      </c>
      <c r="AE7" s="61">
        <f>股权价值增加表!AE4/资产资本表!AE70</f>
        <v>8.8031644273183884E-2</v>
      </c>
      <c r="AF7" s="61">
        <f>股权价值增加表!AF4/资产资本表!AF70</f>
        <v>3.915292047511397E-2</v>
      </c>
      <c r="AG7" s="61">
        <f>股权价值增加表!AG4/资产资本表!AG70</f>
        <v>0.16663352538707016</v>
      </c>
      <c r="AH7" s="61">
        <f>股权价值增加表!AH4/资产资本表!AH70</f>
        <v>0.16246739256345061</v>
      </c>
      <c r="AI7" s="61">
        <f>股权价值增加表!AI4/资产资本表!AI70</f>
        <v>0.11895902583844037</v>
      </c>
      <c r="AJ7" s="61">
        <f>股权价值增加表!AJ4/资产资本表!AJ70</f>
        <v>6.4508966172179147E-2</v>
      </c>
      <c r="AK7" s="61">
        <f>股权价值增加表!AK4/资产资本表!AK70</f>
        <v>0.2255477098484279</v>
      </c>
      <c r="AL7" s="61">
        <f>股权价值增加表!AL4/资产资本表!AL70</f>
        <v>0.18342730132451718</v>
      </c>
      <c r="AM7" s="61">
        <f>股权价值增加表!AM4/资产资本表!AM70</f>
        <v>9.6334807474912271E-2</v>
      </c>
      <c r="AN7" s="61">
        <f>股权价值增加表!AN4/资产资本表!AN70</f>
        <v>5.6265789111983509E-2</v>
      </c>
      <c r="AO7" s="61">
        <f>股权价值增加表!AO4/资产资本表!AO70</f>
        <v>0.67957997661327874</v>
      </c>
      <c r="AP7" s="61">
        <f>股权价值增加表!AP4/资产资本表!AP70</f>
        <v>0.60397703472833442</v>
      </c>
      <c r="AQ7" s="61">
        <f>股权价值增加表!AQ4/资产资本表!AQ70</f>
        <v>0.48842683151301558</v>
      </c>
      <c r="AR7" s="61">
        <f>股权价值增加表!AR4/资产资本表!AR70</f>
        <v>0.26782412348184509</v>
      </c>
      <c r="AS7" s="61">
        <f>股权价值增加表!AS4/资产资本表!AS70</f>
        <v>0.99634782303746594</v>
      </c>
      <c r="AT7" s="61">
        <f>股权价值增加表!AT4/资产资本表!AT70</f>
        <v>0.67999512160247899</v>
      </c>
      <c r="AU7" s="61">
        <f>股权价值增加表!AU4/资产资本表!AU70</f>
        <v>0.40035743463787482</v>
      </c>
      <c r="AV7" s="61">
        <f>股权价值增加表!AV4/资产资本表!AV70</f>
        <v>0.16630433265441577</v>
      </c>
      <c r="AW7" s="61">
        <f>股权价值增加表!AW4/资产资本表!AW70</f>
        <v>0.62680184501048897</v>
      </c>
      <c r="AX7" s="61">
        <f>股权价值增加表!AX4/资产资本表!AX70</f>
        <v>0.46282045537520156</v>
      </c>
      <c r="AY7" s="61">
        <f>股权价值增加表!AY4/资产资本表!AY70</f>
        <v>0.25962153956522971</v>
      </c>
      <c r="AZ7" s="61">
        <f>股权价值增加表!AZ4/资产资本表!AZ70</f>
        <v>0.13339128518932677</v>
      </c>
      <c r="BA7" s="61">
        <f>股权价值增加表!BA4/资产资本表!BA70</f>
        <v>0.73781508912672045</v>
      </c>
      <c r="BB7" s="61">
        <f>股权价值增加表!BB4/资产资本表!BB70</f>
        <v>0.43079882845251322</v>
      </c>
      <c r="BC7" s="61">
        <f>股权价值增加表!BC4/资产资本表!BC70</f>
        <v>0.21077627774443261</v>
      </c>
      <c r="BD7" s="61">
        <f>股权价值增加表!BD4/资产资本表!BD70</f>
        <v>0.13468777938933885</v>
      </c>
      <c r="BE7" s="61">
        <f>股权价值增加表!BE4/资产资本表!BE70</f>
        <v>0.83956100155308755</v>
      </c>
      <c r="BF7" s="61">
        <f>股权价值增加表!BF4/资产资本表!BF70</f>
        <v>0.66047172310614199</v>
      </c>
      <c r="BG7" s="61">
        <f>股权价值增加表!BG4/资产资本表!BG70</f>
        <v>0.55086148562776294</v>
      </c>
      <c r="BH7" s="61">
        <f>股权价值增加表!BH4/资产资本表!BH70</f>
        <v>0.32518008228539091</v>
      </c>
      <c r="BI7" s="61">
        <f>股权价值增加表!BI4/资产资本表!BI70</f>
        <v>1.1242457868380029</v>
      </c>
      <c r="BJ7" s="61">
        <f>股权价值增加表!BJ4/资产资本表!BJ70</f>
        <v>0.92817765545353781</v>
      </c>
      <c r="BK7" s="61">
        <f>股权价值增加表!BK4/资产资本表!BK70</f>
        <v>0.57084511939504079</v>
      </c>
      <c r="BL7" s="61">
        <f>股权价值增加表!BL4/资产资本表!BL70</f>
        <v>0.28262891982085209</v>
      </c>
      <c r="BM7" s="61">
        <f>股权价值增加表!BM4/资产资本表!BM70</f>
        <v>0.88893403108338098</v>
      </c>
      <c r="BN7" s="61">
        <f>股权价值增加表!BN4/资产资本表!BN70</f>
        <v>0.82674449523949578</v>
      </c>
      <c r="BO7" s="61">
        <f>股权价值增加表!BO4/资产资本表!BO70</f>
        <v>0.51631260070758211</v>
      </c>
      <c r="BP7" s="61">
        <f>股权价值增加表!BP4/资产资本表!BP70</f>
        <v>0.28383183506812792</v>
      </c>
      <c r="BQ7" s="61">
        <f>股权价值增加表!BQ4/资产资本表!BQ70</f>
        <v>0.78647764295913358</v>
      </c>
      <c r="BR7" s="61">
        <f>股权价值增加表!BR4/资产资本表!BR70</f>
        <v>0.38767796519777364</v>
      </c>
      <c r="BS7" s="61">
        <f>股权价值增加表!BS4/资产资本表!BS70</f>
        <v>0.66309054683911406</v>
      </c>
      <c r="BT7" s="61">
        <f>股权价值增加表!BT4/资产资本表!BT70</f>
        <v>0.45873708152507381</v>
      </c>
      <c r="BU7" s="61">
        <f>股权价值增加表!BU4/资产资本表!BU70</f>
        <v>0.41228120451984768</v>
      </c>
      <c r="BV7" s="61">
        <f>股权价值增加表!BV4/资产资本表!BV70</f>
        <v>0.12728528679961315</v>
      </c>
      <c r="BW7" s="61">
        <f>股权价值增加表!BW4/资产资本表!BW70</f>
        <v>0.1639661956117259</v>
      </c>
      <c r="BX7" s="61">
        <f>股权价值增加表!BX4/资产资本表!BX70</f>
        <v>8.5367127367401499E-2</v>
      </c>
      <c r="BY7" s="61">
        <f>股权价值增加表!BY4/资产资本表!BY70</f>
        <v>0.22248641304347827</v>
      </c>
      <c r="BZ7" s="61">
        <f>股权价值增加表!BZ4/资产资本表!BZ70</f>
        <v>0.15884558085537734</v>
      </c>
      <c r="CA7" s="61">
        <f>股权价值增加表!CA4/资产资本表!CA70</f>
        <v>0.23926759696054492</v>
      </c>
      <c r="CB7" s="61">
        <f>股权价值增加表!CB4/资产资本表!CB70</f>
        <v>0.26402164811189455</v>
      </c>
      <c r="CC7" s="61">
        <f>股权价值增加表!CC4/资产资本表!CC70</f>
        <v>0.22806788975613224</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437</v>
      </c>
      <c r="E8" s="63">
        <f>股权价值增加表!E31/资产资本表!E70</f>
        <v>5.3202073602143955E-2</v>
      </c>
      <c r="F8" s="63">
        <f>股权价值增加表!F31/资产资本表!F70</f>
        <v>4.4838893260359419E-2</v>
      </c>
      <c r="G8" s="63">
        <f>股权价值增加表!G31/资产资本表!G70</f>
        <v>3.3757568107877937E-2</v>
      </c>
      <c r="H8" s="63">
        <f>股权价值增加表!H31/资产资本表!H70</f>
        <v>2.0135493309251816E-2</v>
      </c>
      <c r="I8" s="63">
        <f>股权价值增加表!I31/资产资本表!I70</f>
        <v>2.685959705304115E-2</v>
      </c>
      <c r="J8" s="63">
        <f>股权价值增加表!J31/资产资本表!J70</f>
        <v>1.4472720418286096E-2</v>
      </c>
      <c r="K8" s="63">
        <f>股权价值增加表!K31/资产资本表!K70</f>
        <v>4.6373579504635706E-3</v>
      </c>
      <c r="L8" s="63">
        <f>股权价值增加表!L31/资产资本表!L70</f>
        <v>3.1228256793804864E-3</v>
      </c>
      <c r="M8" s="63">
        <f>股权价值增加表!M31/资产资本表!M70</f>
        <v>2.6547404855288212E-2</v>
      </c>
      <c r="N8" s="63">
        <f>股权价值增加表!N31/资产资本表!N70</f>
        <v>2.7972699570491297E-2</v>
      </c>
      <c r="O8" s="63">
        <f>股权价值增加表!O31/资产资本表!O70</f>
        <v>2.1512098677764987E-2</v>
      </c>
      <c r="P8" s="63">
        <f>股权价值增加表!P31/资产资本表!P70</f>
        <v>1.2201683156173013E-2</v>
      </c>
      <c r="Q8" s="63">
        <f>股权价值增加表!Q31/资产资本表!Q70</f>
        <v>3.4617870756621386E-2</v>
      </c>
      <c r="R8" s="63">
        <f>股权价值增加表!R31/资产资本表!R70</f>
        <v>1.9737508869626396E-2</v>
      </c>
      <c r="S8" s="63">
        <f>股权价值增加表!S31/资产资本表!S70</f>
        <v>1.2349143388491459E-2</v>
      </c>
      <c r="T8" s="63">
        <f>股权价值增加表!T31/资产资本表!T70</f>
        <v>8.0956834409361376E-3</v>
      </c>
      <c r="U8" s="63">
        <f>股权价值增加表!U31/资产资本表!U70</f>
        <v>5.1207922638563601E-2</v>
      </c>
      <c r="V8" s="63">
        <f>股权价值增加表!V31/资产资本表!V70</f>
        <v>2.9223327088038042E-2</v>
      </c>
      <c r="W8" s="63">
        <f>股权价值增加表!W31/资产资本表!W70</f>
        <v>1.8484809574043536E-2</v>
      </c>
      <c r="X8" s="63">
        <f>股权价值增加表!X31/资产资本表!X70</f>
        <v>9.3733876696002437E-3</v>
      </c>
      <c r="Y8" s="63">
        <f>股权价值增加表!Y31/资产资本表!Y70</f>
        <v>1.7076350199936589E-2</v>
      </c>
      <c r="Z8" s="63">
        <f>股权价值增加表!Z31/资产资本表!Z70</f>
        <v>-1.0524329564028089E-2</v>
      </c>
      <c r="AA8" s="63">
        <f>股权价值增加表!AA31/资产资本表!AA70</f>
        <v>-1.6137311067929278E-2</v>
      </c>
      <c r="AB8" s="63">
        <f>股权价值增加表!AB31/资产资本表!AB70</f>
        <v>-1.3346030080063154E-2</v>
      </c>
      <c r="AC8" s="63">
        <f>股权价值增加表!AC31/资产资本表!AC70</f>
        <v>2.3545277678566408E-2</v>
      </c>
      <c r="AD8" s="63">
        <f>股权价值增加表!AD31/资产资本表!AD70</f>
        <v>-4.0725562834343941E-2</v>
      </c>
      <c r="AE8" s="63">
        <f>股权价值增加表!AE31/资产资本表!AE70</f>
        <v>-2.5402775527970201E-2</v>
      </c>
      <c r="AF8" s="63">
        <f>股权价值增加表!AF31/资产资本表!AF70</f>
        <v>-1.6784677103052936E-2</v>
      </c>
      <c r="AG8" s="63">
        <f>股权价值增加表!AG31/资产资本表!AG70</f>
        <v>-4.2051520307052004E-2</v>
      </c>
      <c r="AH8" s="63">
        <f>股权价值增加表!AH31/资产资本表!AH70</f>
        <v>-2.9837970504389692E-2</v>
      </c>
      <c r="AI8" s="63">
        <f>股权价值增加表!AI31/资产资本表!AI70</f>
        <v>-1.7243114985390766E-2</v>
      </c>
      <c r="AJ8" s="63">
        <f>股权价值增加表!AJ31/资产资本表!AJ70</f>
        <v>-1.1046608817271389E-2</v>
      </c>
      <c r="AK8" s="63">
        <f>股权价值增加表!AK31/资产资本表!AK70</f>
        <v>1.379126454374832E-2</v>
      </c>
      <c r="AL8" s="63">
        <f>股权价值增加表!AL31/资产资本表!AL70</f>
        <v>-3.537439516206374E-2</v>
      </c>
      <c r="AM8" s="63">
        <f>股权价值增加表!AM31/资产资本表!AM70</f>
        <v>-3.5590976435377404E-2</v>
      </c>
      <c r="AN8" s="63">
        <f>股权价值增加表!AN31/资产资本表!AN70</f>
        <v>-3.8139321102864721E-2</v>
      </c>
      <c r="AO8" s="63">
        <f>股权价值增加表!AO31/资产资本表!AO70</f>
        <v>-5.2358174546838089E-2</v>
      </c>
      <c r="AP8" s="63">
        <f>股权价值增加表!AP31/资产资本表!AP70</f>
        <v>1.7819696070969501E-2</v>
      </c>
      <c r="AQ8" s="63">
        <f>股权价值增加表!AQ31/资产资本表!AQ70</f>
        <v>6.1810959504501613E-2</v>
      </c>
      <c r="AR8" s="63">
        <f>股权价值增加表!AR31/资产资本表!AR70</f>
        <v>4.0780565676094227E-2</v>
      </c>
      <c r="AS8" s="63">
        <f>股权价值增加表!AS31/资产资本表!AS70</f>
        <v>0.10084806991678255</v>
      </c>
      <c r="AT8" s="63">
        <f>股权价值增加表!AT31/资产资本表!AT70</f>
        <v>7.1554361694940088E-2</v>
      </c>
      <c r="AU8" s="63">
        <f>股权价值增加表!AU31/资产资本表!AU70</f>
        <v>1.8447346631810493E-2</v>
      </c>
      <c r="AV8" s="63">
        <f>股权价值增加表!AV31/资产资本表!AV70</f>
        <v>-4.2308646147783341E-4</v>
      </c>
      <c r="AW8" s="63">
        <f>股权价值增加表!AW31/资产资本表!AW70</f>
        <v>-0.17484692107024466</v>
      </c>
      <c r="AX8" s="63">
        <f>股权价值增加表!AX31/资产资本表!AX70</f>
        <v>-0.15378989242042229</v>
      </c>
      <c r="AY8" s="63">
        <f>股权价值增加表!AY31/资产资本表!AY70</f>
        <v>-9.0926585000489196E-2</v>
      </c>
      <c r="AZ8" s="63">
        <f>股权价值增加表!AZ31/资产资本表!AZ70</f>
        <v>-2.3029524874295746E-2</v>
      </c>
      <c r="BA8" s="63">
        <f>股权价值增加表!BA31/资产资本表!BA70</f>
        <v>-5.9737690660854367E-2</v>
      </c>
      <c r="BB8" s="63">
        <f>股权价值增加表!BB31/资产资本表!BB70</f>
        <v>-5.1123847015065074E-2</v>
      </c>
      <c r="BC8" s="63">
        <f>股权价值增加表!BC31/资产资本表!BC70</f>
        <v>-3.8112684520189316E-2</v>
      </c>
      <c r="BD8" s="63">
        <f>股权价值增加表!BD31/资产资本表!BD70</f>
        <v>-2.5417660549049922E-2</v>
      </c>
      <c r="BE8" s="63">
        <f>股权价值增加表!BE31/资产资本表!BE70</f>
        <v>1.9703261589257063E-2</v>
      </c>
      <c r="BF8" s="63">
        <f>股权价值增加表!BF31/资产资本表!BF70</f>
        <v>4.1120762605877624E-2</v>
      </c>
      <c r="BG8" s="63">
        <f>股权价值增加表!BG31/资产资本表!BG70</f>
        <v>5.2940724742395182E-2</v>
      </c>
      <c r="BH8" s="63">
        <f>股权价值增加表!BH31/资产资本表!BH70</f>
        <v>2.8456338509960297E-2</v>
      </c>
      <c r="BI8" s="63">
        <f>股权价值增加表!BI31/资产资本表!BI70</f>
        <v>6.8818931011090878E-2</v>
      </c>
      <c r="BJ8" s="63">
        <f>股权价值增加表!BJ31/资产资本表!BJ70</f>
        <v>6.1895515416136006E-2</v>
      </c>
      <c r="BK8" s="63">
        <f>股权价值增加表!BK31/资产资本表!BK70</f>
        <v>4.3260144741067111E-2</v>
      </c>
      <c r="BL8" s="63">
        <f>股权价值增加表!BL31/资产资本表!BL70</f>
        <v>2.6751334582647342E-2</v>
      </c>
      <c r="BM8" s="63">
        <f>股权价值增加表!BM31/资产资本表!BM70</f>
        <v>4.959640981828068E-2</v>
      </c>
      <c r="BN8" s="63">
        <f>股权价值增加表!BN31/资产资本表!BN70</f>
        <v>5.7614317798605104E-2</v>
      </c>
      <c r="BO8" s="63">
        <f>股权价值增加表!BO31/资产资本表!BO70</f>
        <v>4.3697201257849295E-2</v>
      </c>
      <c r="BP8" s="63">
        <f>股权价值增加表!BP31/资产资本表!BP70</f>
        <v>2.2620805282619887E-2</v>
      </c>
      <c r="BQ8" s="63">
        <f>股权价值增加表!BQ31/资产资本表!BQ70</f>
        <v>3.8619675227102059E-2</v>
      </c>
      <c r="BR8" s="63">
        <f>股权价值增加表!BR31/资产资本表!BR70</f>
        <v>2.8057749249486452E-2</v>
      </c>
      <c r="BS8" s="63">
        <f>股权价值增加表!BS31/资产资本表!BS70</f>
        <v>4.8219453335706527E-2</v>
      </c>
      <c r="BT8" s="63">
        <f>股权价值增加表!BT31/资产资本表!BT70</f>
        <v>3.8814312841197109E-2</v>
      </c>
      <c r="BU8" s="63">
        <f>股权价值增加表!BU31/资产资本表!BU70</f>
        <v>6.8677049699075815E-2</v>
      </c>
      <c r="BV8" s="63">
        <f>股权价值增加表!BV31/资产资本表!BV70</f>
        <v>1.9668847019844525E-2</v>
      </c>
      <c r="BW8" s="63">
        <f>股权价值增加表!BW31/资产资本表!BW70</f>
        <v>4.2434987445208711E-2</v>
      </c>
      <c r="BX8" s="63">
        <f>股权价值增加表!BX31/资产资本表!BX70</f>
        <v>2.7868144597396945E-2</v>
      </c>
      <c r="BY8" s="63">
        <f>股权价值增加表!BY31/资产资本表!BY70</f>
        <v>0.1096968814699793</v>
      </c>
      <c r="BZ8" s="63">
        <f>股权价值增加表!BZ31/资产资本表!BZ70</f>
        <v>0.20326149429395768</v>
      </c>
      <c r="CA8" s="63">
        <f>股权价值增加表!CA31/资产资本表!CA70</f>
        <v>0.1660836163057178</v>
      </c>
      <c r="CB8" s="63">
        <f>股权价值增加表!CB31/资产资本表!CB70</f>
        <v>0.17169974735251578</v>
      </c>
      <c r="CC8" s="63">
        <f>股权价值增加表!CC31/资产资本表!CC70</f>
        <v>0.1890859315383483</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x14ac:dyDescent="0.25">
      <c r="A9" s="156" t="s">
        <v>431</v>
      </c>
      <c r="E9" s="156">
        <f>股权价值增加表!E38/股权价值增加表!E31</f>
        <v>0.77341049739491596</v>
      </c>
      <c r="F9" s="156">
        <f>股权价值增加表!F38/股权价值增加表!F31</f>
        <v>0.84411676958336945</v>
      </c>
      <c r="G9" s="156">
        <f>股权价值增加表!G38/股权价值增加表!G31</f>
        <v>0.8267618133089949</v>
      </c>
      <c r="H9" s="156">
        <f>股权价值增加表!H38/股权价值增加表!H31</f>
        <v>0.86625149330369799</v>
      </c>
      <c r="I9" s="156">
        <f>股权价值增加表!I38/股权价值增加表!I31</f>
        <v>0.37982598327610761</v>
      </c>
      <c r="J9" s="156">
        <f>股权价值增加表!J38/股权价值增加表!J31</f>
        <v>0.12268564258956047</v>
      </c>
      <c r="K9" s="156">
        <f>股权价值增加表!K38/股权价值增加表!K31</f>
        <v>-0.82325578855828829</v>
      </c>
      <c r="L9" s="156">
        <f>股权价值增加表!L38/股权价值增加表!L31</f>
        <v>0.15111910530309713</v>
      </c>
      <c r="M9" s="156">
        <f>股权价值增加表!M38/股权价值增加表!M31</f>
        <v>0.3493172614166497</v>
      </c>
      <c r="N9" s="156">
        <f>股权价值增加表!N38/股权价值增加表!N31</f>
        <v>0.69863977060103999</v>
      </c>
      <c r="O9" s="156">
        <f>股权价值增加表!O38/股权价值增加表!O31</f>
        <v>0.93248806322420064</v>
      </c>
      <c r="P9" s="156">
        <f>股权价值增加表!P38/股权价值增加表!P31</f>
        <v>0.88032810336962197</v>
      </c>
      <c r="Q9" s="156">
        <f>股权价值增加表!Q38/股权价值增加表!Q31</f>
        <v>0.82628815214346507</v>
      </c>
      <c r="R9" s="156">
        <f>股权价值增加表!R38/股权价值增加表!R31</f>
        <v>1.0214868339555105</v>
      </c>
      <c r="S9" s="156">
        <f>股权价值增加表!S38/股权价值增加表!S31</f>
        <v>0.92367639197291718</v>
      </c>
      <c r="T9" s="156">
        <f>股权价值增加表!T38/股权价值增加表!T31</f>
        <v>0.7963942242420492</v>
      </c>
      <c r="U9" s="156">
        <f>股权价值增加表!U38/股权价值增加表!U31</f>
        <v>0.81277487583963848</v>
      </c>
      <c r="V9" s="156">
        <f>股权价值增加表!V38/股权价值增加表!V31</f>
        <v>0.82518942120369665</v>
      </c>
      <c r="W9" s="156">
        <f>股权价值增加表!W38/股权价值增加表!W31</f>
        <v>0.8610046519618455</v>
      </c>
      <c r="X9" s="156">
        <f>股权价值增加表!X38/股权价值增加表!X31</f>
        <v>0.74503353482762003</v>
      </c>
      <c r="Y9" s="156">
        <f>股权价值增加表!Y38/股权价值增加表!Y31</f>
        <v>0.4028508103726578</v>
      </c>
      <c r="Z9" s="156">
        <f>股权价值增加表!Z38/股权价值增加表!Z31</f>
        <v>1.4882899843285962</v>
      </c>
      <c r="AA9" s="156">
        <f>股权价值增加表!AA38/股权价值增加表!AA31</f>
        <v>1.1299460949372568</v>
      </c>
      <c r="AB9" s="156">
        <f>股权价值增加表!AB38/股权价值增加表!AB31</f>
        <v>0.94298931434012701</v>
      </c>
      <c r="AC9" s="156">
        <f>股权价值增加表!AC38/股权价值增加表!AC31</f>
        <v>0.73384241683715534</v>
      </c>
      <c r="AD9" s="156">
        <f>股权价值增加表!AD38/股权价值增加表!AD31</f>
        <v>1.0211055505046331</v>
      </c>
      <c r="AE9" s="156">
        <f>股权价值增加表!AE38/股权价值增加表!AE31</f>
        <v>0.94718980241501227</v>
      </c>
      <c r="AF9" s="156">
        <f>股权价值增加表!AF38/股权价值增加表!AF31</f>
        <v>0.88606094719738082</v>
      </c>
      <c r="AG9" s="156">
        <f>股权价值增加表!AG38/股权价值增加表!AG31</f>
        <v>1.1074215055445384</v>
      </c>
      <c r="AH9" s="156">
        <f>股权价值增加表!AH38/股权价值增加表!AH31</f>
        <v>1.0132038695324528</v>
      </c>
      <c r="AI9" s="156">
        <f>股权价值增加表!AI38/股权价值增加表!AI31</f>
        <v>1.0521149836339716</v>
      </c>
      <c r="AJ9" s="156">
        <f>股权价值增加表!AJ38/股权价值增加表!AJ31</f>
        <v>0.99063256467506822</v>
      </c>
      <c r="AK9" s="156">
        <f>股权价值增加表!AK38/股权价值增加表!AK31</f>
        <v>0.44871348760465041</v>
      </c>
      <c r="AL9" s="156">
        <f>股权价值增加表!AL38/股权价值增加表!AL31</f>
        <v>1.1119949859737659</v>
      </c>
      <c r="AM9" s="156">
        <f>股权价值增加表!AM38/股权价值增加表!AM31</f>
        <v>1.0745357180458011</v>
      </c>
      <c r="AN9" s="156">
        <f>股权价值增加表!AN38/股权价值增加表!AN31</f>
        <v>1.0537856719515575</v>
      </c>
      <c r="AO9" s="156">
        <f>股权价值增加表!AO38/股权价值增加表!AO31</f>
        <v>1.3810717437141404</v>
      </c>
      <c r="AP9" s="156">
        <f>股权价值增加表!AP38/股权价值增加表!AP31</f>
        <v>0.76636975665502916</v>
      </c>
      <c r="AQ9" s="156">
        <f>股权价值增加表!AQ38/股权价值增加表!AQ31</f>
        <v>0.98179544597398849</v>
      </c>
      <c r="AR9" s="156">
        <f>股权价值增加表!AR38/股权价值增加表!AR31</f>
        <v>0.92393565920547271</v>
      </c>
      <c r="AS9" s="156">
        <f>股权价值增加表!AS38/股权价值增加表!AS31</f>
        <v>0.74364383258566202</v>
      </c>
      <c r="AT9" s="156">
        <f>股权价值增加表!AT38/股权价值增加表!AT31</f>
        <v>0.68902360207089242</v>
      </c>
      <c r="AU9" s="156">
        <f>股权价值增加表!AU38/股权价值增加表!AU31</f>
        <v>0.21506672793963827</v>
      </c>
      <c r="AV9" s="156">
        <f>股权价值增加表!AV38/股权价值增加表!AV31</f>
        <v>20.977231040016942</v>
      </c>
      <c r="AW9" s="156">
        <f>股权价值增加表!AW38/股权价值增加表!AW31</f>
        <v>1.2548583402666171</v>
      </c>
      <c r="AX9" s="156">
        <f>股权价值增加表!AX38/股权价值增加表!AX31</f>
        <v>1.2460214322283443</v>
      </c>
      <c r="AY9" s="156">
        <f>股权价值增加表!AY38/股权价值增加表!AY31</f>
        <v>1.2304393771375068</v>
      </c>
      <c r="AZ9" s="156">
        <f>股权价值增加表!AZ38/股权价值增加表!AZ31</f>
        <v>1.2796479650089896</v>
      </c>
      <c r="BA9" s="156">
        <f>股权价值增加表!BA38/股权价值增加表!BA31</f>
        <v>1.4236656716195744</v>
      </c>
      <c r="BB9" s="156">
        <f>股权价值增加表!BB38/股权价值增加表!BB31</f>
        <v>1.2703438152219615</v>
      </c>
      <c r="BC9" s="156">
        <f>股权价值增加表!BC38/股权价值增加表!BC31</f>
        <v>1.2184705788186114</v>
      </c>
      <c r="BD9" s="156">
        <f>股权价值增加表!BD38/股权价值增加表!BD31</f>
        <v>1.1242090395511863</v>
      </c>
      <c r="BE9" s="156">
        <f>股权价值增加表!BE38/股权价值增加表!BE31</f>
        <v>0.95239882897746142</v>
      </c>
      <c r="BF9" s="156">
        <f>股权价值增加表!BF38/股权价值增加表!BF31</f>
        <v>0.89146949959845456</v>
      </c>
      <c r="BG9" s="156">
        <f>股权价值增加表!BG38/股权价值增加表!BG31</f>
        <v>0.93938453935982758</v>
      </c>
      <c r="BH9" s="156">
        <f>股权价值增加表!BH38/股权价值增加表!BH31</f>
        <v>0.9342594601934574</v>
      </c>
      <c r="BI9" s="156">
        <f>股权价值增加表!BI38/股权价值增加表!BI31</f>
        <v>0.61665355141745248</v>
      </c>
      <c r="BJ9" s="156">
        <f>股权价值增加表!BJ38/股权价值增加表!BJ31</f>
        <v>0.64945754595213712</v>
      </c>
      <c r="BK9" s="156">
        <f>股权价值增加表!BK38/股权价值增加表!BK31</f>
        <v>0.56611000539229051</v>
      </c>
      <c r="BL9" s="156">
        <f>股权价值增加表!BL38/股权价值增加表!BL31</f>
        <v>0.29132024188594308</v>
      </c>
      <c r="BM9" s="156">
        <f>股权价值增加表!BM38/股权价值增加表!BM31</f>
        <v>0.75437187120452043</v>
      </c>
      <c r="BN9" s="156">
        <f>股权价值增加表!BN38/股权价值增加表!BN31</f>
        <v>0.75469772771981025</v>
      </c>
      <c r="BO9" s="156">
        <f>股权价值增加表!BO38/股权价值增加表!BO31</f>
        <v>0.81305520842360224</v>
      </c>
      <c r="BP9" s="156">
        <f>股权价值增加表!BP38/股权价值增加表!BP31</f>
        <v>0.81152689157652047</v>
      </c>
      <c r="BQ9" s="156">
        <f>股权价值增加表!BQ38/股权价值增加表!BQ31</f>
        <v>0.84338990027719407</v>
      </c>
      <c r="BR9" s="156">
        <f>股权价值增加表!BR38/股权价值增加表!BR31</f>
        <v>0.90584527038987739</v>
      </c>
      <c r="BS9" s="156">
        <f>股权价值增加表!BS38/股权价值增加表!BS31</f>
        <v>0.84032661427692346</v>
      </c>
      <c r="BT9" s="156">
        <f>股权价值增加表!BT38/股权价值增加表!BT31</f>
        <v>0.88115231487629009</v>
      </c>
      <c r="BU9" s="156">
        <f>股权价值增加表!BU38/股权价值增加表!BU31</f>
        <v>0.89239319592495281</v>
      </c>
      <c r="BV9" s="156">
        <f>股权价值增加表!BV38/股权价值增加表!BV31</f>
        <v>0.79573425163660783</v>
      </c>
      <c r="BW9" s="156">
        <f>股权价值增加表!BW38/股权价值增加表!BW31</f>
        <v>1.0680712600667046</v>
      </c>
      <c r="BX9" s="156">
        <f>股权价值增加表!BX38/股权价值增加表!BX31</f>
        <v>1.0997835471446977</v>
      </c>
      <c r="BY9" s="156">
        <f>股权价值增加表!BY38/股权价值增加表!BY31</f>
        <v>1.069383211194503</v>
      </c>
      <c r="BZ9" s="156">
        <f>股权价值增加表!BZ38/股权价值增加表!BZ31</f>
        <v>1</v>
      </c>
      <c r="CA9" s="156">
        <f>股权价值增加表!CA38/股权价值增加表!CA31</f>
        <v>0.88450118317331605</v>
      </c>
      <c r="CB9" s="156">
        <f>股权价值增加表!CB38/股权价值增加表!CB31</f>
        <v>0.90814107175720671</v>
      </c>
      <c r="CC9" s="156">
        <f>股权价值增加表!CC38/股权价值增加表!CC31</f>
        <v>0.9042352330586203</v>
      </c>
      <c r="CD9" s="156" t="e">
        <f>股权价值增加表!CD38/股权价值增加表!CD31</f>
        <v>#DIV/0!</v>
      </c>
      <c r="CE9" s="156">
        <f>股权价值增加表!CE38/股权价值增加表!CE31</f>
        <v>1</v>
      </c>
      <c r="CF9" s="156">
        <f>股权价值增加表!CF38/股权价值增加表!CF31</f>
        <v>1</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x14ac:dyDescent="0.25">
      <c r="A10" s="241" t="s">
        <v>432</v>
      </c>
      <c r="E10" s="61">
        <f>资产资本表!E70/资产资本表!E107</f>
        <v>2.0785913543841676</v>
      </c>
      <c r="F10" s="61">
        <f>资产资本表!F70/资产资本表!F107</f>
        <v>1.9298139911584919</v>
      </c>
      <c r="G10" s="61">
        <f>资产资本表!G70/资产资本表!G107</f>
        <v>1.9282590683448479</v>
      </c>
      <c r="H10" s="61">
        <f>资产资本表!H70/资产资本表!H107</f>
        <v>1.8430214381343271</v>
      </c>
      <c r="I10" s="61">
        <f>资产资本表!I70/资产资本表!I107</f>
        <v>1.8479354395418313</v>
      </c>
      <c r="J10" s="61">
        <f>资产资本表!J70/资产资本表!J107</f>
        <v>1.7671906104934971</v>
      </c>
      <c r="K10" s="61">
        <f>资产资本表!K70/资产资本表!K107</f>
        <v>1.7934599272637382</v>
      </c>
      <c r="L10" s="61">
        <f>资产资本表!L70/资产资本表!L107</f>
        <v>1.7172731554994665</v>
      </c>
      <c r="M10" s="61">
        <f>资产资本表!M70/资产资本表!M107</f>
        <v>1.641497146783397</v>
      </c>
      <c r="N10" s="61">
        <f>资产资本表!N70/资产资本表!N107</f>
        <v>1.5775456189546897</v>
      </c>
      <c r="O10" s="61">
        <f>资产资本表!O70/资产资本表!O107</f>
        <v>1.538848330271152</v>
      </c>
      <c r="P10" s="61">
        <f>资产资本表!P70/资产资本表!P107</f>
        <v>1.5084716001633853</v>
      </c>
      <c r="Q10" s="61">
        <f>资产资本表!Q70/资产资本表!Q107</f>
        <v>1.5186575291708202</v>
      </c>
      <c r="R10" s="61">
        <f>资产资本表!R70/资产资本表!R107</f>
        <v>1.4822934480105756</v>
      </c>
      <c r="S10" s="61">
        <f>资产资本表!S70/资产资本表!S107</f>
        <v>1.4871866165268293</v>
      </c>
      <c r="T10" s="61">
        <f>资产资本表!T70/资产资本表!T107</f>
        <v>1.4920526684048783</v>
      </c>
      <c r="U10" s="61">
        <f>资产资本表!U70/资产资本表!U107</f>
        <v>2.0631542807021503</v>
      </c>
      <c r="V10" s="61">
        <f>资产资本表!V70/资产资本表!V107</f>
        <v>1.9094591079910992</v>
      </c>
      <c r="W10" s="61">
        <f>资产资本表!W70/资产资本表!W107</f>
        <v>1.8624517395412683</v>
      </c>
      <c r="X10" s="61">
        <f>资产资本表!X70/资产资本表!X107</f>
        <v>1.6363192525765673</v>
      </c>
      <c r="Y10" s="61">
        <f>资产资本表!Y70/资产资本表!Y107</f>
        <v>1.6072569397224061</v>
      </c>
      <c r="Z10" s="61">
        <f>资产资本表!Z70/资产资本表!Z107</f>
        <v>1.6943067140243842</v>
      </c>
      <c r="AA10" s="61">
        <f>资产资本表!AA70/资产资本表!AA107</f>
        <v>1.7023186922883566</v>
      </c>
      <c r="AB10" s="61">
        <f>资产资本表!AB70/资产资本表!AB107</f>
        <v>1.6799723542370686</v>
      </c>
      <c r="AC10" s="61">
        <f>资产资本表!AC70/资产资本表!AC107</f>
        <v>1.7040753536513602</v>
      </c>
      <c r="AD10" s="61">
        <f>资产资本表!AD70/资产资本表!AD107</f>
        <v>1.7955300781550434</v>
      </c>
      <c r="AE10" s="61">
        <f>资产资本表!AE70/资产资本表!AE107</f>
        <v>1.7041416539847152</v>
      </c>
      <c r="AF10" s="61">
        <f>资产资本表!AF70/资产资本表!AF107</f>
        <v>1.5000645812052935</v>
      </c>
      <c r="AG10" s="61">
        <f>资产资本表!AG70/资产资本表!AG107</f>
        <v>1.4057674082511158</v>
      </c>
      <c r="AH10" s="61">
        <f>资产资本表!AH70/资产资本表!AH107</f>
        <v>1.4467592704869747</v>
      </c>
      <c r="AI10" s="61">
        <f>资产资本表!AI70/资产资本表!AI107</f>
        <v>1.3077009823124759</v>
      </c>
      <c r="AJ10" s="61">
        <f>资产资本表!AJ70/资产资本表!AJ107</f>
        <v>1.271340753740819</v>
      </c>
      <c r="AK10" s="61">
        <f>资产资本表!AK70/资产资本表!AK107</f>
        <v>1.2630633929369617</v>
      </c>
      <c r="AL10" s="61">
        <f>资产资本表!AL70/资产资本表!AL107</f>
        <v>1.3430661177734582</v>
      </c>
      <c r="AM10" s="61">
        <f>资产资本表!AM70/资产资本表!AM107</f>
        <v>1.350176872753567</v>
      </c>
      <c r="AN10" s="61">
        <f>资产资本表!AN70/资产资本表!AN107</f>
        <v>2.0493621398708552</v>
      </c>
      <c r="AO10" s="61">
        <f>资产资本表!AO70/资产资本表!AO107</f>
        <v>1.8252481853340172</v>
      </c>
      <c r="AP10" s="61">
        <f>资产资本表!AP70/资产资本表!AP107</f>
        <v>1.5430142724527158</v>
      </c>
      <c r="AQ10" s="61">
        <f>资产资本表!AQ70/资产资本表!AQ107</f>
        <v>1.8409431214255705</v>
      </c>
      <c r="AR10" s="61">
        <f>资产资本表!AR70/资产资本表!AR107</f>
        <v>1.8673638550525753</v>
      </c>
      <c r="AS10" s="61">
        <f>资产资本表!AS70/资产资本表!AS107</f>
        <v>2.0305571709476729</v>
      </c>
      <c r="AT10" s="61">
        <f>资产资本表!AT70/资产资本表!AT107</f>
        <v>2.4206656539539293</v>
      </c>
      <c r="AU10" s="61">
        <f>资产资本表!AU70/资产资本表!AU107</f>
        <v>2.7322862341992393</v>
      </c>
      <c r="AV10" s="61">
        <f>资产资本表!AV70/资产资本表!AV107</f>
        <v>3.1195653508145686</v>
      </c>
      <c r="AW10" s="61">
        <f>资产资本表!AW70/资产资本表!AW107</f>
        <v>3.2600347173990389</v>
      </c>
      <c r="AX10" s="61">
        <f>资产资本表!AX70/资产资本表!AX107</f>
        <v>3.3989479947922887</v>
      </c>
      <c r="AY10" s="61">
        <f>资产资本表!AY70/资产资本表!AY107</f>
        <v>9.0082207654750395</v>
      </c>
      <c r="AZ10" s="61">
        <f>资产资本表!AZ70/资产资本表!AZ107</f>
        <v>5.8744025258940891</v>
      </c>
      <c r="BA10" s="61">
        <f>资产资本表!BA70/资产资本表!BA107</f>
        <v>5.0520211783620859</v>
      </c>
      <c r="BB10" s="61">
        <f>资产资本表!BB70/资产资本表!BB107</f>
        <v>4.7939935788931676</v>
      </c>
      <c r="BC10" s="61">
        <f>资产资本表!BC70/资产资本表!BC107</f>
        <v>4.5279243829454456</v>
      </c>
      <c r="BD10" s="61">
        <f>资产资本表!BD70/资产资本表!BD107</f>
        <v>3.0377585577516184</v>
      </c>
      <c r="BE10" s="61">
        <f>资产资本表!BE70/资产资本表!BE107</f>
        <v>2.7036626595090687</v>
      </c>
      <c r="BF10" s="61">
        <f>资产资本表!BF70/资产资本表!BF107</f>
        <v>2.4407680706081707</v>
      </c>
      <c r="BG10" s="61">
        <f>资产资本表!BG70/资产资本表!BG107</f>
        <v>1.9686086379466592</v>
      </c>
      <c r="BH10" s="61">
        <f>资产资本表!BH70/资产资本表!BH107</f>
        <v>2.0512626621066983</v>
      </c>
      <c r="BI10" s="61">
        <f>资产资本表!BI70/资产资本表!BI107</f>
        <v>3.2285569314727458</v>
      </c>
      <c r="BJ10" s="61">
        <f>资产资本表!BJ70/资产资本表!BJ107</f>
        <v>2.7544342229554646</v>
      </c>
      <c r="BK10" s="61">
        <f>资产资本表!BK70/资产资本表!BK107</f>
        <v>2.9169207590507105</v>
      </c>
      <c r="BL10" s="61">
        <f>资产资本表!BL70/资产资本表!BL107</f>
        <v>3.0921739704338358</v>
      </c>
      <c r="BM10" s="61">
        <f>资产资本表!BM70/资产资本表!BM107</f>
        <v>2.0372437503480691</v>
      </c>
      <c r="BN10" s="61">
        <f>资产资本表!BN70/资产资本表!BN107</f>
        <v>1.5744805423202695</v>
      </c>
      <c r="BO10" s="61">
        <f>资产资本表!BO70/资产资本表!BO107</f>
        <v>1.5304567371369431</v>
      </c>
      <c r="BP10" s="61">
        <f>资产资本表!BP70/资产资本表!BP107</f>
        <v>1.4830537531639147</v>
      </c>
      <c r="BQ10" s="61">
        <f>资产资本表!BQ70/资产资本表!BQ107</f>
        <v>1.4531752824419808</v>
      </c>
      <c r="BR10" s="61">
        <f>资产资本表!BR70/资产资本表!BR107</f>
        <v>1.3715970890903351</v>
      </c>
      <c r="BS10" s="61">
        <f>资产资本表!BS70/资产资本表!BS107</f>
        <v>1.5132640276401872</v>
      </c>
      <c r="BT10" s="61">
        <f>资产资本表!BT70/资产资本表!BT107</f>
        <v>1.6233136061685067</v>
      </c>
      <c r="BU10" s="61">
        <f>资产资本表!BU70/资产资本表!BU107</f>
        <v>1.4347972010464338</v>
      </c>
      <c r="BV10" s="61">
        <f>资产资本表!BV70/资产资本表!BV107</f>
        <v>1.3885604323718959</v>
      </c>
      <c r="BW10" s="61">
        <f>资产资本表!BW70/资产资本表!BW107</f>
        <v>1.3258957994639484</v>
      </c>
      <c r="BX10" s="61">
        <f>资产资本表!BX70/资产资本表!BX107</f>
        <v>1.251167798497171</v>
      </c>
      <c r="BY10" s="61">
        <f>资产资本表!BY70/资产资本表!BY107</f>
        <v>1.2906768099255852</v>
      </c>
      <c r="BZ10" s="61">
        <f>资产资本表!BZ70/资产资本表!BZ107</f>
        <v>0.70369204053729117</v>
      </c>
      <c r="CA10" s="61">
        <f>资产资本表!CA70/资产资本表!CA107</f>
        <v>1.3896074983520392</v>
      </c>
      <c r="CB10" s="61">
        <f>资产资本表!CB70/资产资本表!CB107</f>
        <v>1.4919618902308358</v>
      </c>
      <c r="CC10" s="61">
        <f>资产资本表!CC70/资产资本表!CC107</f>
        <v>1.3935136282184288</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438</v>
      </c>
      <c r="E11" s="28">
        <f>E9*E10</f>
        <v>1.6076043732750311</v>
      </c>
      <c r="F11" s="28">
        <f t="shared" ref="F11:BQ11" si="2">F9*F10</f>
        <v>1.6289883521134954</v>
      </c>
      <c r="G11" s="28">
        <f t="shared" si="2"/>
        <v>1.5942109638742996</v>
      </c>
      <c r="H11" s="28">
        <f t="shared" si="2"/>
        <v>1.5965200729745899</v>
      </c>
      <c r="I11" s="28">
        <f t="shared" si="2"/>
        <v>0.70189389535474223</v>
      </c>
      <c r="J11" s="28">
        <f t="shared" si="2"/>
        <v>0.21680891562663235</v>
      </c>
      <c r="K11" s="28">
        <f t="shared" si="2"/>
        <v>-1.4764762666671991</v>
      </c>
      <c r="L11" s="28">
        <f t="shared" si="2"/>
        <v>0.25951278282010576</v>
      </c>
      <c r="M11" s="28">
        <f t="shared" si="2"/>
        <v>0.57340328793762052</v>
      </c>
      <c r="N11" s="28">
        <f t="shared" si="2"/>
        <v>1.1021361093391802</v>
      </c>
      <c r="O11" s="28">
        <f t="shared" si="2"/>
        <v>1.4349576990903417</v>
      </c>
      <c r="P11" s="28">
        <f t="shared" si="2"/>
        <v>1.3279499427587718</v>
      </c>
      <c r="Q11" s="28">
        <f t="shared" si="2"/>
        <v>1.2548487235173174</v>
      </c>
      <c r="R11" s="28">
        <f t="shared" si="2"/>
        <v>1.51414324120132</v>
      </c>
      <c r="S11" s="28">
        <f t="shared" si="2"/>
        <v>1.373679168143912</v>
      </c>
      <c r="T11" s="28">
        <f t="shared" si="2"/>
        <v>1.1882621273825824</v>
      </c>
      <c r="U11" s="28">
        <f t="shared" si="2"/>
        <v>1.6768799643357089</v>
      </c>
      <c r="V11" s="28">
        <f t="shared" si="2"/>
        <v>1.5756654561353021</v>
      </c>
      <c r="W11" s="28">
        <f t="shared" si="2"/>
        <v>1.6035796117994634</v>
      </c>
      <c r="X11" s="28">
        <f t="shared" si="2"/>
        <v>1.2191127168536091</v>
      </c>
      <c r="Y11" s="28">
        <f t="shared" si="2"/>
        <v>0.64748476064424931</v>
      </c>
      <c r="Z11" s="28">
        <f t="shared" si="2"/>
        <v>2.5216197128631861</v>
      </c>
      <c r="AA11" s="28">
        <f t="shared" si="2"/>
        <v>1.9235283586899263</v>
      </c>
      <c r="AB11" s="28">
        <f t="shared" si="2"/>
        <v>1.5841959784323822</v>
      </c>
      <c r="AC11" s="28">
        <f t="shared" si="2"/>
        <v>1.2505227759961444</v>
      </c>
      <c r="AD11" s="28">
        <f t="shared" si="2"/>
        <v>1.8334257289021325</v>
      </c>
      <c r="AE11" s="28">
        <f t="shared" si="2"/>
        <v>1.6141455965249745</v>
      </c>
      <c r="AF11" s="28">
        <f t="shared" si="2"/>
        <v>1.3291486436800048</v>
      </c>
      <c r="AG11" s="28">
        <f t="shared" si="2"/>
        <v>1.5567770596908945</v>
      </c>
      <c r="AH11" s="28">
        <f t="shared" si="2"/>
        <v>1.4658620911393514</v>
      </c>
      <c r="AI11" s="28">
        <f t="shared" si="2"/>
        <v>1.3758517976038191</v>
      </c>
      <c r="AJ11" s="28">
        <f t="shared" si="2"/>
        <v>1.2594315514542018</v>
      </c>
      <c r="AK11" s="28">
        <f t="shared" si="2"/>
        <v>0.56675358011050703</v>
      </c>
      <c r="AL11" s="28">
        <f t="shared" si="2"/>
        <v>1.4934827887953368</v>
      </c>
      <c r="AM11" s="28">
        <f t="shared" si="2"/>
        <v>1.4508132754530882</v>
      </c>
      <c r="AN11" s="28">
        <f t="shared" si="2"/>
        <v>2.159588459635891</v>
      </c>
      <c r="AO11" s="28">
        <f t="shared" si="2"/>
        <v>2.5207986940303218</v>
      </c>
      <c r="AP11" s="28">
        <f t="shared" si="2"/>
        <v>1.1825194724948247</v>
      </c>
      <c r="AQ11" s="28">
        <f t="shared" si="2"/>
        <v>1.8074295729127645</v>
      </c>
      <c r="AR11" s="28">
        <f t="shared" si="2"/>
        <v>1.7253240543944739</v>
      </c>
      <c r="AS11" s="28">
        <f t="shared" si="2"/>
        <v>1.5100113168878266</v>
      </c>
      <c r="AT11" s="28">
        <f t="shared" si="2"/>
        <v>1.6678957682966287</v>
      </c>
      <c r="AU11" s="28">
        <f t="shared" si="2"/>
        <v>0.58762386018374657</v>
      </c>
      <c r="AV11" s="28">
        <f t="shared" si="2"/>
        <v>65.439843108468708</v>
      </c>
      <c r="AW11" s="28">
        <f t="shared" si="2"/>
        <v>4.0908817546869081</v>
      </c>
      <c r="AX11" s="28">
        <f t="shared" si="2"/>
        <v>4.2351620485407464</v>
      </c>
      <c r="AY11" s="28">
        <f t="shared" si="2"/>
        <v>11.084069547788262</v>
      </c>
      <c r="AZ11" s="28">
        <f t="shared" si="2"/>
        <v>7.5171672379040393</v>
      </c>
      <c r="BA11" s="28">
        <f t="shared" si="2"/>
        <v>7.1923891239291722</v>
      </c>
      <c r="BB11" s="28">
        <f t="shared" si="2"/>
        <v>6.0900200931607316</v>
      </c>
      <c r="BC11" s="28">
        <f t="shared" si="2"/>
        <v>5.5171426437344415</v>
      </c>
      <c r="BD11" s="28">
        <f t="shared" si="2"/>
        <v>3.4150756305983441</v>
      </c>
      <c r="BE11" s="28">
        <f t="shared" si="2"/>
        <v>2.5749651508665261</v>
      </c>
      <c r="BF11" s="28">
        <f t="shared" si="2"/>
        <v>2.1758702905409515</v>
      </c>
      <c r="BG11" s="28">
        <f t="shared" si="2"/>
        <v>1.8492805185373</v>
      </c>
      <c r="BH11" s="28">
        <f t="shared" si="2"/>
        <v>1.9164115474147982</v>
      </c>
      <c r="BI11" s="28">
        <f t="shared" si="2"/>
        <v>1.9909010977461015</v>
      </c>
      <c r="BJ11" s="28">
        <f t="shared" si="2"/>
        <v>1.7888880909272378</v>
      </c>
      <c r="BK11" s="28">
        <f t="shared" si="2"/>
        <v>1.6512980266350819</v>
      </c>
      <c r="BL11" s="28">
        <f t="shared" si="2"/>
        <v>0.90081286902020208</v>
      </c>
      <c r="BM11" s="28">
        <f t="shared" si="2"/>
        <v>1.5368393800497877</v>
      </c>
      <c r="BN11" s="28">
        <f t="shared" si="2"/>
        <v>1.1882568876281618</v>
      </c>
      <c r="BO11" s="28">
        <f t="shared" si="2"/>
        <v>1.2443458213961835</v>
      </c>
      <c r="BP11" s="28">
        <f t="shared" si="2"/>
        <v>1.2035380023460041</v>
      </c>
      <c r="BQ11" s="28">
        <f t="shared" si="2"/>
        <v>1.2255933565440256</v>
      </c>
      <c r="BR11" s="28">
        <f t="shared" ref="BR11:CJ11" si="3">BR9*BR10</f>
        <v>1.2424547360330034</v>
      </c>
      <c r="BS11" s="28">
        <f t="shared" si="3"/>
        <v>1.2716360368539392</v>
      </c>
      <c r="BT11" s="28">
        <f t="shared" si="3"/>
        <v>1.4303865418455579</v>
      </c>
      <c r="BU11" s="28">
        <f t="shared" si="3"/>
        <v>1.2804032597460042</v>
      </c>
      <c r="BV11" s="28">
        <f t="shared" si="3"/>
        <v>1.1049250965056552</v>
      </c>
      <c r="BW11" s="28">
        <f t="shared" si="3"/>
        <v>1.41615119725061</v>
      </c>
      <c r="BX11" s="28">
        <f t="shared" si="3"/>
        <v>1.376013759504441</v>
      </c>
      <c r="BY11" s="28">
        <f t="shared" si="3"/>
        <v>1.3802281116124995</v>
      </c>
      <c r="BZ11" s="28">
        <f t="shared" si="3"/>
        <v>0.70369204053729117</v>
      </c>
      <c r="CA11" s="28">
        <f t="shared" si="3"/>
        <v>1.2291094764388906</v>
      </c>
      <c r="CB11" s="28">
        <f t="shared" si="3"/>
        <v>1.3549118700151392</v>
      </c>
      <c r="CC11" s="28">
        <f t="shared" si="3"/>
        <v>1.2600641203824545</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6" customFormat="1" x14ac:dyDescent="0.25">
      <c r="A12" s="156" t="s">
        <v>433</v>
      </c>
      <c r="E12" s="156">
        <f>E2/股权价值增加表!E38</f>
        <v>0.78914506558553921</v>
      </c>
      <c r="F12" s="156">
        <f>F2/股权价值增加表!F38</f>
        <v>0.82321733653329121</v>
      </c>
      <c r="G12" s="156">
        <f>G2/股权价值增加表!G38</f>
        <v>0.82074953104648396</v>
      </c>
      <c r="H12" s="156">
        <f>H2/股权价值增加表!H38</f>
        <v>0.84703079005086757</v>
      </c>
      <c r="I12" s="156">
        <f>I2/股权价值增加表!I38</f>
        <v>0.73066388831330498</v>
      </c>
      <c r="J12" s="156">
        <f>J2/股权价值增加表!J38</f>
        <v>0.53315998752370297</v>
      </c>
      <c r="K12" s="156">
        <f>K2/股权价值增加表!K38</f>
        <v>1.1008962647902789</v>
      </c>
      <c r="L12" s="156">
        <f>L2/股权价值增加表!L38</f>
        <v>0.79421277283095171</v>
      </c>
      <c r="M12" s="156">
        <f>M2/股权价值增加表!M38</f>
        <v>0.68547176923652786</v>
      </c>
      <c r="N12" s="156">
        <f>N2/股权价值增加表!N38</f>
        <v>0.7965796973921454</v>
      </c>
      <c r="O12" s="156">
        <f>O2/股权价值增加表!O38</f>
        <v>0.83123216195274874</v>
      </c>
      <c r="P12" s="156">
        <f>P2/股权价值增加表!P38</f>
        <v>0.81705981899245039</v>
      </c>
      <c r="Q12" s="156">
        <f>Q2/股权价值增加表!Q38</f>
        <v>0.86240648250937679</v>
      </c>
      <c r="R12" s="156">
        <f>R2/股权价值增加表!R38</f>
        <v>0.87559057541157537</v>
      </c>
      <c r="S12" s="156">
        <f>S2/股权价值增加表!S38</f>
        <v>0.87922016778217027</v>
      </c>
      <c r="T12" s="156">
        <f>T2/股权价值增加表!T38</f>
        <v>0.91082010257141732</v>
      </c>
      <c r="U12" s="156">
        <f>U2/股权价值增加表!U38</f>
        <v>0.98465207630637652</v>
      </c>
      <c r="V12" s="156">
        <f>V2/股权价值增加表!V38</f>
        <v>0.96099926777026701</v>
      </c>
      <c r="W12" s="156">
        <f>W2/股权价值增加表!W38</f>
        <v>0.98056005850042172</v>
      </c>
      <c r="X12" s="156">
        <f>X2/股权价值增加表!X38</f>
        <v>0.98881080229006879</v>
      </c>
      <c r="Y12" s="156">
        <f>Y2/股权价值增加表!Y38</f>
        <v>0.99571981238026419</v>
      </c>
      <c r="Z12" s="156">
        <f>Z2/股权价值增加表!Z38</f>
        <v>1.0080341450114088</v>
      </c>
      <c r="AA12" s="156">
        <f>AA2/股权价值增加表!AA38</f>
        <v>1.0078248705788817</v>
      </c>
      <c r="AB12" s="156">
        <f>AB2/股权价值增加表!AB38</f>
        <v>1.0026488582135227</v>
      </c>
      <c r="AC12" s="156">
        <f>AC2/股权价值增加表!AC38</f>
        <v>0.85229815525477692</v>
      </c>
      <c r="AD12" s="156">
        <f>AD2/股权价值增加表!AD38</f>
        <v>0.99927460537114865</v>
      </c>
      <c r="AE12" s="156">
        <f>AE2/股权价值增加表!AE38</f>
        <v>0.99799316390766946</v>
      </c>
      <c r="AF12" s="156">
        <f>AF2/股权价值增加表!AF38</f>
        <v>0.99890540476353351</v>
      </c>
      <c r="AG12" s="156">
        <f>AG2/股权价值增加表!AG38</f>
        <v>1.0118924688440101</v>
      </c>
      <c r="AH12" s="156">
        <f>AH2/股权价值增加表!AH38</f>
        <v>1.0141162184013603</v>
      </c>
      <c r="AI12" s="156">
        <f>AI2/股权价值增加表!AI38</f>
        <v>1.0234704504505583</v>
      </c>
      <c r="AJ12" s="156">
        <f>AJ2/股权价值增加表!AJ38</f>
        <v>0.9947882180295553</v>
      </c>
      <c r="AK12" s="156">
        <f>AK2/股权价值增加表!AK38</f>
        <v>1.0973027943988471</v>
      </c>
      <c r="AL12" s="156">
        <f>AL2/股权价值增加表!AL38</f>
        <v>1.0101851454701867</v>
      </c>
      <c r="AM12" s="156">
        <f>AM2/股权价值增加表!AM38</f>
        <v>1.0074579623266962</v>
      </c>
      <c r="AN12" s="156">
        <f>AN2/股权价值增加表!AN38</f>
        <v>1.004036411778662</v>
      </c>
      <c r="AO12" s="156">
        <f>AO2/股权价值增加表!AO38</f>
        <v>1.0760278973457775</v>
      </c>
      <c r="AP12" s="156">
        <f>AP2/股权价值增加表!AP38</f>
        <v>0.6282740421167643</v>
      </c>
      <c r="AQ12" s="156">
        <f>AQ2/股权价值增加表!AQ38</f>
        <v>0.91708361272923755</v>
      </c>
      <c r="AR12" s="156">
        <f>AR2/股权价值增加表!AR38</f>
        <v>0.91967584607927055</v>
      </c>
      <c r="AS12" s="156">
        <f>AS2/股权价值增加表!AS38</f>
        <v>1.0669694941525292</v>
      </c>
      <c r="AT12" s="156">
        <f>AT2/股权价值增加表!AT38</f>
        <v>0.97938566898167023</v>
      </c>
      <c r="AU12" s="156">
        <f>AU2/股权价值增加表!AU38</f>
        <v>0.78143675546236813</v>
      </c>
      <c r="AV12" s="156">
        <f>AV2/股权价值增加表!AV38</f>
        <v>1.0279484368926026</v>
      </c>
      <c r="AW12" s="156">
        <f>AW2/股权价值增加表!AW38</f>
        <v>1.0043377955117809</v>
      </c>
      <c r="AX12" s="156">
        <f>AX2/股权价值增加表!AX38</f>
        <v>1.0019626073391583</v>
      </c>
      <c r="AY12" s="156">
        <f>AY2/股权价值增加表!AY38</f>
        <v>1.0019732621405708</v>
      </c>
      <c r="AZ12" s="156">
        <f>AZ2/股权价值增加表!AZ38</f>
        <v>1.0023129518317533</v>
      </c>
      <c r="BA12" s="156">
        <f>BA2/股权价值增加表!BA38</f>
        <v>1.0268921852126007</v>
      </c>
      <c r="BB12" s="156">
        <f>BB2/股权价值增加表!BB38</f>
        <v>1.025890601894788</v>
      </c>
      <c r="BC12" s="156">
        <f>BC2/股权价值增加表!BC38</f>
        <v>1.0232520464623318</v>
      </c>
      <c r="BD12" s="156">
        <f>BD2/股权价值增加表!BD38</f>
        <v>1.0070142811279252</v>
      </c>
      <c r="BE12" s="156">
        <f>BE2/股权价值增加表!BE38</f>
        <v>0.95284772181769128</v>
      </c>
      <c r="BF12" s="156">
        <f>BF2/股权价值增加表!BF38</f>
        <v>0.94198015312734007</v>
      </c>
      <c r="BG12" s="156">
        <f>BG2/股权价值增加表!BG38</f>
        <v>0.94468453591584645</v>
      </c>
      <c r="BH12" s="156">
        <f>BH2/股权价值增加表!BH38</f>
        <v>0.95565564114392954</v>
      </c>
      <c r="BI12" s="156">
        <f>BI2/股权价值增加表!BI38</f>
        <v>0.95524359134088022</v>
      </c>
      <c r="BJ12" s="156">
        <f>BJ2/股权价值增加表!BJ38</f>
        <v>0.93962949769523529</v>
      </c>
      <c r="BK12" s="156">
        <f>BK2/股权价值增加表!BK38</f>
        <v>0.94395576263114211</v>
      </c>
      <c r="BL12" s="156">
        <f>BL2/股权价值增加表!BL38</f>
        <v>0.82754747686833063</v>
      </c>
      <c r="BM12" s="156">
        <f>BM2/股权价值增加表!BM38</f>
        <v>0.7655870809668559</v>
      </c>
      <c r="BN12" s="156">
        <f>BN2/股权价值增加表!BN38</f>
        <v>0.774022149677833</v>
      </c>
      <c r="BO12" s="156">
        <f>BO2/股权价值增加表!BO38</f>
        <v>0.7998651301391676</v>
      </c>
      <c r="BP12" s="156">
        <f>BP2/股权价值增加表!BP38</f>
        <v>0.77921010775319888</v>
      </c>
      <c r="BQ12" s="156">
        <f>BQ2/股权价值增加表!BQ38</f>
        <v>0.81479213980351084</v>
      </c>
      <c r="BR12" s="156">
        <f>BR2/股权价值增加表!BR38</f>
        <v>0.91137192632712372</v>
      </c>
      <c r="BS12" s="156">
        <f>BS2/股权价值增加表!BS38</f>
        <v>0.87813339769518295</v>
      </c>
      <c r="BT12" s="156">
        <f>BT2/股权价值增加表!BT38</f>
        <v>0.87446418645159552</v>
      </c>
      <c r="BU12" s="156">
        <f>BU2/股权价值增加表!BU38</f>
        <v>0.91269799480147118</v>
      </c>
      <c r="BV12" s="156">
        <f>BV2/股权价值增加表!BV38</f>
        <v>0.80251392744907901</v>
      </c>
      <c r="BW12" s="156">
        <f>BW2/股权价值增加表!BW38</f>
        <v>0.91611448765403891</v>
      </c>
      <c r="BX12" s="156">
        <f>BX2/股权价值增加表!BX38</f>
        <v>0.90070981443034948</v>
      </c>
      <c r="BY12" s="156">
        <f>BY2/股权价值增加表!BY38</f>
        <v>0.90310860467841902</v>
      </c>
      <c r="BZ12" s="156">
        <f>BZ2/股权价值增加表!BZ38</f>
        <v>0.94481880591975687</v>
      </c>
      <c r="CA12" s="156">
        <f>CA2/股权价值增加表!CA38</f>
        <v>0.97501022425192552</v>
      </c>
      <c r="CB12" s="156">
        <f>CB2/股权价值增加表!CB38</f>
        <v>0.99263087112314741</v>
      </c>
      <c r="CC12" s="156">
        <f>CC2/股权价值增加表!CC38</f>
        <v>0.99539836320273922</v>
      </c>
      <c r="CD12" s="156" t="e">
        <f>CD2/股权价值增加表!CD38</f>
        <v>#DIV/0!</v>
      </c>
      <c r="CE12" s="156">
        <f>CE2/股权价值增加表!CE38</f>
        <v>-2.5981368870487773</v>
      </c>
      <c r="CF12" s="156">
        <f>CF2/股权价值增加表!CF38</f>
        <v>-6.859739633359264</v>
      </c>
      <c r="CG12" s="156" t="e">
        <f>CG2/股权价值增加表!CG38</f>
        <v>#DIV/0!</v>
      </c>
      <c r="CH12" s="156" t="e">
        <f>CH2/股权价值增加表!CH38</f>
        <v>#DIV/0!</v>
      </c>
      <c r="CI12" s="156" t="e">
        <f>CI2/股权价值增加表!CI38</f>
        <v>#DIV/0!</v>
      </c>
      <c r="CJ12" s="156" t="e">
        <f>CJ2/股权价值增加表!CJ38</f>
        <v>#DIV/0!</v>
      </c>
    </row>
    <row r="13" spans="1:89" s="63" customFormat="1" x14ac:dyDescent="0.25">
      <c r="A13" s="17" t="s">
        <v>434</v>
      </c>
      <c r="E13" s="63">
        <f>1-E2/股权价值增加表!E38</f>
        <v>0.21085493441446079</v>
      </c>
      <c r="F13" s="63">
        <f>1-F2/股权价值增加表!F38</f>
        <v>0.17678266346670879</v>
      </c>
      <c r="G13" s="63">
        <f>1-G2/股权价值增加表!G38</f>
        <v>0.17925046895351604</v>
      </c>
      <c r="H13" s="63">
        <f>1-H2/股权价值增加表!H38</f>
        <v>0.15296920994913243</v>
      </c>
      <c r="I13" s="63">
        <f>1-I2/股权价值增加表!I38</f>
        <v>0.26933611168669502</v>
      </c>
      <c r="J13" s="63">
        <f>1-J2/股权价值增加表!J38</f>
        <v>0.46684001247629703</v>
      </c>
      <c r="K13" s="63">
        <f>1-K2/股权价值增加表!K38</f>
        <v>-0.10089626479027891</v>
      </c>
      <c r="L13" s="63">
        <f>1-L2/股权价值增加表!L38</f>
        <v>0.20578722716904829</v>
      </c>
      <c r="M13" s="63">
        <f>1-M2/股权价值增加表!M38</f>
        <v>0.31452823076347214</v>
      </c>
      <c r="N13" s="63">
        <f>1-N2/股权价值增加表!N38</f>
        <v>0.2034203026078546</v>
      </c>
      <c r="O13" s="63">
        <f>1-O2/股权价值增加表!O38</f>
        <v>0.16876783804725126</v>
      </c>
      <c r="P13" s="63">
        <f>1-P2/股权价值增加表!P38</f>
        <v>0.18294018100754961</v>
      </c>
      <c r="Q13" s="63">
        <f>1-Q2/股权价值增加表!Q38</f>
        <v>0.13759351749062321</v>
      </c>
      <c r="R13" s="63">
        <f>1-R2/股权价值增加表!R38</f>
        <v>0.12440942458842463</v>
      </c>
      <c r="S13" s="63">
        <f>1-S2/股权价值增加表!S38</f>
        <v>0.12077983221782973</v>
      </c>
      <c r="T13" s="63">
        <f>1-T2/股权价值增加表!T38</f>
        <v>8.9179897428582677E-2</v>
      </c>
      <c r="U13" s="63">
        <f>1-U2/股权价值增加表!U38</f>
        <v>1.5347923693623478E-2</v>
      </c>
      <c r="V13" s="63">
        <f>1-V2/股权价值增加表!V38</f>
        <v>3.9000732229732993E-2</v>
      </c>
      <c r="W13" s="63">
        <f>1-W2/股权价值增加表!W38</f>
        <v>1.9439941499578284E-2</v>
      </c>
      <c r="X13" s="63">
        <f>1-X2/股权价值增加表!X38</f>
        <v>1.1189197709931209E-2</v>
      </c>
      <c r="Y13" s="63">
        <f>1-Y2/股权价值增加表!Y38</f>
        <v>4.2801876197358091E-3</v>
      </c>
      <c r="Z13" s="63">
        <f>1-Z2/股权价值增加表!Z38</f>
        <v>-8.0341450114087554E-3</v>
      </c>
      <c r="AA13" s="63">
        <f>1-AA2/股权价值增加表!AA38</f>
        <v>-7.8248705788817041E-3</v>
      </c>
      <c r="AB13" s="63">
        <f>1-AB2/股权价值增加表!AB38</f>
        <v>-2.6488582135226757E-3</v>
      </c>
      <c r="AC13" s="63">
        <f>1-AC2/股权价值增加表!AC38</f>
        <v>0.14770184474522308</v>
      </c>
      <c r="AD13" s="63">
        <f>1-AD2/股权价值增加表!AD38</f>
        <v>7.253946288513502E-4</v>
      </c>
      <c r="AE13" s="63">
        <f>1-AE2/股权价值增加表!AE38</f>
        <v>2.0068360923305439E-3</v>
      </c>
      <c r="AF13" s="63">
        <f>1-AF2/股权价值增加表!AF38</f>
        <v>1.094595236466489E-3</v>
      </c>
      <c r="AG13" s="63">
        <f>1-AG2/股权价值增加表!AG38</f>
        <v>-1.1892468844010073E-2</v>
      </c>
      <c r="AH13" s="63">
        <f>1-AH2/股权价值增加表!AH38</f>
        <v>-1.4116218401360348E-2</v>
      </c>
      <c r="AI13" s="63">
        <f>1-AI2/股权价值增加表!AI38</f>
        <v>-2.3470450450558289E-2</v>
      </c>
      <c r="AJ13" s="63">
        <f>1-AJ2/股权价值增加表!AJ38</f>
        <v>5.2117819704446955E-3</v>
      </c>
      <c r="AK13" s="63">
        <f>1-AK2/股权价值增加表!AK38</f>
        <v>-9.7302794398847148E-2</v>
      </c>
      <c r="AL13" s="63">
        <f>1-AL2/股权价值增加表!AL38</f>
        <v>-1.0185145470186674E-2</v>
      </c>
      <c r="AM13" s="63">
        <f>1-AM2/股权价值增加表!AM38</f>
        <v>-7.4579623266961548E-3</v>
      </c>
      <c r="AN13" s="63">
        <f>1-AN2/股权价值增加表!AN38</f>
        <v>-4.0364117786619857E-3</v>
      </c>
      <c r="AO13" s="63">
        <f>1-AO2/股权价值增加表!AO38</f>
        <v>-7.6027897345777529E-2</v>
      </c>
      <c r="AP13" s="63">
        <f>1-AP2/股权价值增加表!AP38</f>
        <v>0.3717259578832357</v>
      </c>
      <c r="AQ13" s="63">
        <f>1-AQ2/股权价值增加表!AQ38</f>
        <v>8.2916387270762448E-2</v>
      </c>
      <c r="AR13" s="63">
        <f>1-AR2/股权价值增加表!AR38</f>
        <v>8.0324153920729446E-2</v>
      </c>
      <c r="AS13" s="63">
        <f>1-AS2/股权价值增加表!AS38</f>
        <v>-6.6969494152529174E-2</v>
      </c>
      <c r="AT13" s="63">
        <f>1-AT2/股权价值增加表!AT38</f>
        <v>2.0614331018329768E-2</v>
      </c>
      <c r="AU13" s="63">
        <f>1-AU2/股权价值增加表!AU38</f>
        <v>0.21856324453763187</v>
      </c>
      <c r="AV13" s="63">
        <f>1-AV2/股权价值增加表!AV38</f>
        <v>-2.7948436892602624E-2</v>
      </c>
      <c r="AW13" s="63">
        <f>1-AW2/股权价值增加表!AW38</f>
        <v>-4.3377955117809286E-3</v>
      </c>
      <c r="AX13" s="63">
        <f>1-AX2/股权价值增加表!AX38</f>
        <v>-1.9626073391583176E-3</v>
      </c>
      <c r="AY13" s="63">
        <f>1-AY2/股权价值增加表!AY38</f>
        <v>-1.9732621405708084E-3</v>
      </c>
      <c r="AZ13" s="63">
        <f>1-AZ2/股权价值增加表!AZ38</f>
        <v>-2.3129518317532849E-3</v>
      </c>
      <c r="BA13" s="63">
        <f>1-BA2/股权价值增加表!BA38</f>
        <v>-2.6892185212600728E-2</v>
      </c>
      <c r="BB13" s="63">
        <f>1-BB2/股权价值增加表!BB38</f>
        <v>-2.5890601894787979E-2</v>
      </c>
      <c r="BC13" s="63">
        <f>1-BC2/股权价值增加表!BC38</f>
        <v>-2.325204646233181E-2</v>
      </c>
      <c r="BD13" s="63">
        <f>1-BD2/股权价值增加表!BD38</f>
        <v>-7.0142811279252371E-3</v>
      </c>
      <c r="BE13" s="63">
        <f>1-BE2/股权价值增加表!BE38</f>
        <v>4.7152278182308716E-2</v>
      </c>
      <c r="BF13" s="63">
        <f>1-BF2/股权价值增加表!BF38</f>
        <v>5.801984687265993E-2</v>
      </c>
      <c r="BG13" s="63">
        <f>1-BG2/股权价值增加表!BG38</f>
        <v>5.5315464084153554E-2</v>
      </c>
      <c r="BH13" s="63">
        <f>1-BH2/股权价值增加表!BH38</f>
        <v>4.4344358856070465E-2</v>
      </c>
      <c r="BI13" s="63">
        <f>1-BI2/股权价值增加表!BI38</f>
        <v>4.4756408659119784E-2</v>
      </c>
      <c r="BJ13" s="63">
        <f>1-BJ2/股权价值增加表!BJ38</f>
        <v>6.0370502304764706E-2</v>
      </c>
      <c r="BK13" s="63">
        <f>1-BK2/股权价值增加表!BK38</f>
        <v>5.6044237368857885E-2</v>
      </c>
      <c r="BL13" s="63">
        <f>1-BL2/股权价值增加表!BL38</f>
        <v>0.17245252313166937</v>
      </c>
      <c r="BM13" s="63">
        <f>1-BM2/股权价值增加表!BM38</f>
        <v>0.2344129190331441</v>
      </c>
      <c r="BN13" s="63">
        <f>1-BN2/股权价值增加表!BN38</f>
        <v>0.225977850322167</v>
      </c>
      <c r="BO13" s="63">
        <f>1-BO2/股权价值增加表!BO38</f>
        <v>0.2001348698608324</v>
      </c>
      <c r="BP13" s="63">
        <f>1-BP2/股权价值增加表!BP38</f>
        <v>0.22078989224680112</v>
      </c>
      <c r="BQ13" s="63">
        <f>1-BQ2/股权价值增加表!BQ38</f>
        <v>0.18520786019648916</v>
      </c>
      <c r="BR13" s="63">
        <f>1-BR2/股权价值增加表!BR38</f>
        <v>8.8628073672876284E-2</v>
      </c>
      <c r="BS13" s="63">
        <f>1-BS2/股权价值增加表!BS38</f>
        <v>0.12186660230481705</v>
      </c>
      <c r="BT13" s="63">
        <f>1-BT2/股权价值增加表!BT38</f>
        <v>0.12553581354840448</v>
      </c>
      <c r="BU13" s="63">
        <f>1-BU2/股权价值增加表!BU38</f>
        <v>8.730200519852882E-2</v>
      </c>
      <c r="BV13" s="63">
        <f>1-BV2/股权价值增加表!BV38</f>
        <v>0.19748607255092099</v>
      </c>
      <c r="BW13" s="63">
        <f>1-BW2/股权价值增加表!BW38</f>
        <v>8.3885512345961089E-2</v>
      </c>
      <c r="BX13" s="63">
        <f>1-BX2/股权价值增加表!BX38</f>
        <v>9.9290185569650524E-2</v>
      </c>
      <c r="BY13" s="63">
        <f>1-BY2/股权价值增加表!BY38</f>
        <v>9.6891395321580975E-2</v>
      </c>
      <c r="BZ13" s="63">
        <f>1-BZ2/股权价值增加表!BZ38</f>
        <v>5.5181194080243134E-2</v>
      </c>
      <c r="CA13" s="63">
        <f>1-CA2/股权价值增加表!CA38</f>
        <v>2.4989775748074483E-2</v>
      </c>
      <c r="CB13" s="63">
        <f>1-CB2/股权价值增加表!CB38</f>
        <v>7.3691288768525931E-3</v>
      </c>
      <c r="CC13" s="63">
        <f>1-CC2/股权价值增加表!CC38</f>
        <v>4.6016367972607775E-3</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4" t="s">
        <v>435</v>
      </c>
      <c r="E14" s="59">
        <f>E6*E7*E9*E10*E12</f>
        <v>6.7493909356884305E-2</v>
      </c>
      <c r="F14" s="59">
        <f t="shared" ref="F14:BQ14" si="4">F6*F7*F9*F10*F12</f>
        <v>6.0129469378249999E-2</v>
      </c>
      <c r="G14" s="59">
        <f t="shared" si="4"/>
        <v>4.4170019133245926E-2</v>
      </c>
      <c r="H14" s="59">
        <f t="shared" si="4"/>
        <v>2.7229261001724625E-2</v>
      </c>
      <c r="I14" s="59">
        <f t="shared" si="4"/>
        <v>1.3774904670668777E-2</v>
      </c>
      <c r="J14" s="59">
        <f t="shared" si="4"/>
        <v>1.6729573103127632E-3</v>
      </c>
      <c r="K14" s="59">
        <f t="shared" si="4"/>
        <v>-7.5377805285581165E-3</v>
      </c>
      <c r="L14" s="59">
        <f t="shared" si="4"/>
        <v>6.4364050066762759E-4</v>
      </c>
      <c r="M14" s="59">
        <f t="shared" si="4"/>
        <v>1.043450436821978E-2</v>
      </c>
      <c r="N14" s="59">
        <f t="shared" si="4"/>
        <v>2.4558330838380524E-2</v>
      </c>
      <c r="O14" s="59">
        <f t="shared" si="4"/>
        <v>2.5659265393346464E-2</v>
      </c>
      <c r="P14" s="59">
        <f t="shared" si="4"/>
        <v>1.3239003635231082E-2</v>
      </c>
      <c r="Q14" s="59">
        <f t="shared" si="4"/>
        <v>3.7463102259333719E-2</v>
      </c>
      <c r="R14" s="59">
        <f t="shared" si="4"/>
        <v>2.6167388288108353E-2</v>
      </c>
      <c r="S14" s="59">
        <f t="shared" si="4"/>
        <v>1.4914880807752924E-2</v>
      </c>
      <c r="T14" s="59">
        <f t="shared" si="4"/>
        <v>8.7619017834288607E-3</v>
      </c>
      <c r="U14" s="59">
        <f t="shared" si="4"/>
        <v>8.4551620348194009E-2</v>
      </c>
      <c r="V14" s="59">
        <f t="shared" si="4"/>
        <v>4.4250351996344757E-2</v>
      </c>
      <c r="W14" s="59">
        <f t="shared" si="4"/>
        <v>2.9065627663480753E-2</v>
      </c>
      <c r="X14" s="59">
        <f t="shared" si="4"/>
        <v>1.1299354727701856E-2</v>
      </c>
      <c r="Y14" s="59">
        <f t="shared" si="4"/>
        <v>1.1009351871918932E-2</v>
      </c>
      <c r="Z14" s="59">
        <f t="shared" si="4"/>
        <v>-2.6751569900967522E-2</v>
      </c>
      <c r="AA14" s="59">
        <f t="shared" si="4"/>
        <v>-3.1283463957926472E-2</v>
      </c>
      <c r="AB14" s="59">
        <f t="shared" si="4"/>
        <v>-2.1198731267422978E-2</v>
      </c>
      <c r="AC14" s="59">
        <f t="shared" si="4"/>
        <v>2.5094986770875488E-2</v>
      </c>
      <c r="AD14" s="59">
        <f t="shared" si="4"/>
        <v>-7.4613131469962624E-2</v>
      </c>
      <c r="AE14" s="59">
        <f t="shared" si="4"/>
        <v>-4.0921490395855444E-2</v>
      </c>
      <c r="AF14" s="59">
        <f t="shared" si="4"/>
        <v>-2.2284911118900495E-2</v>
      </c>
      <c r="AG14" s="59">
        <f t="shared" si="4"/>
        <v>-6.6243380734662169E-2</v>
      </c>
      <c r="AH14" s="59">
        <f t="shared" si="4"/>
        <v>-4.4355769937760241E-2</v>
      </c>
      <c r="AI14" s="59">
        <f t="shared" si="4"/>
        <v>-2.4280783028892711E-2</v>
      </c>
      <c r="AJ14" s="59">
        <f t="shared" si="4"/>
        <v>-1.3839939037054954E-2</v>
      </c>
      <c r="AK14" s="59">
        <f t="shared" si="4"/>
        <v>8.5767913804815216E-3</v>
      </c>
      <c r="AL14" s="59">
        <f t="shared" si="4"/>
        <v>-5.3369142271628499E-2</v>
      </c>
      <c r="AM14" s="59">
        <f t="shared" si="4"/>
        <v>-5.2020959405564823E-2</v>
      </c>
      <c r="AN14" s="59">
        <f t="shared" si="4"/>
        <v>-8.269769772774764E-2</v>
      </c>
      <c r="AO14" s="59">
        <f t="shared" si="4"/>
        <v>-0.14201891580390838</v>
      </c>
      <c r="AP14" s="59">
        <f t="shared" si="4"/>
        <v>1.3239077064648747E-2</v>
      </c>
      <c r="AQ14" s="59">
        <f t="shared" si="4"/>
        <v>0.10245562390588023</v>
      </c>
      <c r="AR14" s="59">
        <f t="shared" si="4"/>
        <v>6.4708108270086023E-2</v>
      </c>
      <c r="AS14" s="59">
        <f t="shared" si="4"/>
        <v>0.16247995707716686</v>
      </c>
      <c r="AT14" s="59">
        <f t="shared" si="4"/>
        <v>0.11688499526393584</v>
      </c>
      <c r="AU14" s="59">
        <f t="shared" si="4"/>
        <v>8.4708533839659237E-3</v>
      </c>
      <c r="AV14" s="59">
        <f t="shared" si="4"/>
        <v>-2.8460511974031731E-2</v>
      </c>
      <c r="AW14" s="59">
        <f t="shared" si="4"/>
        <v>-0.71838080931137605</v>
      </c>
      <c r="AX14" s="59">
        <f t="shared" si="4"/>
        <v>-0.65260341128063926</v>
      </c>
      <c r="AY14" s="59">
        <f t="shared" si="4"/>
        <v>-1.0098253176789582</v>
      </c>
      <c r="AZ14" s="59">
        <f t="shared" si="4"/>
        <v>-0.1735172006858344</v>
      </c>
      <c r="BA14" s="59">
        <f t="shared" si="4"/>
        <v>-0.44121112459835954</v>
      </c>
      <c r="BB14" s="59">
        <f t="shared" si="4"/>
        <v>-0.31940617162499341</v>
      </c>
      <c r="BC14" s="59">
        <f t="shared" si="4"/>
        <v>-0.21516239732057707</v>
      </c>
      <c r="BD14" s="59">
        <f t="shared" si="4"/>
        <v>-8.7412095407853108E-2</v>
      </c>
      <c r="BE14" s="59">
        <f t="shared" si="4"/>
        <v>4.8342931123204071E-2</v>
      </c>
      <c r="BF14" s="59">
        <f t="shared" si="4"/>
        <v>8.4282210061079624E-2</v>
      </c>
      <c r="BG14" s="59">
        <f t="shared" si="4"/>
        <v>9.2486742459754606E-2</v>
      </c>
      <c r="BH14" s="59">
        <f t="shared" si="4"/>
        <v>5.2115777981012704E-2</v>
      </c>
      <c r="BI14" s="59">
        <f t="shared" si="4"/>
        <v>0.13087953431752525</v>
      </c>
      <c r="BJ14" s="59">
        <f t="shared" si="4"/>
        <v>0.1040396778322253</v>
      </c>
      <c r="BK14" s="59">
        <f t="shared" si="4"/>
        <v>6.743184959710169E-2</v>
      </c>
      <c r="BL14" s="59">
        <f t="shared" si="4"/>
        <v>1.9942194786968657E-2</v>
      </c>
      <c r="BM14" s="59">
        <f t="shared" si="4"/>
        <v>5.8354360842692625E-2</v>
      </c>
      <c r="BN14" s="59">
        <f t="shared" si="4"/>
        <v>5.2990028481901957E-2</v>
      </c>
      <c r="BO14" s="59">
        <f t="shared" si="4"/>
        <v>4.3492210361751382E-2</v>
      </c>
      <c r="BP14" s="59">
        <f t="shared" si="4"/>
        <v>2.1213994249543455E-2</v>
      </c>
      <c r="BQ14" s="59">
        <f t="shared" si="4"/>
        <v>3.8565755730597728E-2</v>
      </c>
      <c r="BR14" s="59">
        <f t="shared" ref="BR14:CJ14" si="5">BR6*BR7*BR9*BR10*BR12</f>
        <v>3.1770865943084411E-2</v>
      </c>
      <c r="BS14" s="59">
        <f t="shared" si="5"/>
        <v>5.3845027631099059E-2</v>
      </c>
      <c r="BT14" s="59">
        <f t="shared" si="5"/>
        <v>4.8549788794541117E-2</v>
      </c>
      <c r="BU14" s="59">
        <f t="shared" si="5"/>
        <v>8.025747599069212E-2</v>
      </c>
      <c r="BV14" s="59">
        <f t="shared" si="5"/>
        <v>1.7440716339691575E-2</v>
      </c>
      <c r="BW14" s="59">
        <f t="shared" si="5"/>
        <v>5.5053312242775751E-2</v>
      </c>
      <c r="BX14" s="59">
        <f t="shared" si="5"/>
        <v>3.4539474594856297E-2</v>
      </c>
      <c r="BY14" s="59">
        <f t="shared" si="5"/>
        <v>0.13673671124175243</v>
      </c>
      <c r="BZ14" s="59">
        <f t="shared" si="5"/>
        <v>0.13514073659714937</v>
      </c>
      <c r="CA14" s="59">
        <f t="shared" si="5"/>
        <v>0.19903366014265517</v>
      </c>
      <c r="CB14" s="59">
        <f t="shared" si="5"/>
        <v>0.23092368617299402</v>
      </c>
      <c r="CC14" s="59">
        <f t="shared" si="5"/>
        <v>0.2371640101857965</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7" t="s">
        <v>695</v>
      </c>
      <c r="B15" s="276"/>
      <c r="C15" s="276"/>
      <c r="D15" s="276"/>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row>
    <row r="17" spans="1:89" ht="15" thickBot="1" x14ac:dyDescent="0.3"/>
    <row r="18" spans="1:89" s="248" customFormat="1" x14ac:dyDescent="0.25">
      <c r="A18" s="247" t="s">
        <v>439</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35064</v>
      </c>
      <c r="CC18" s="1">
        <v>34699</v>
      </c>
      <c r="CD18" s="1">
        <v>25569</v>
      </c>
      <c r="CE18" s="1"/>
      <c r="CF18" s="1"/>
      <c r="CG18" s="1"/>
      <c r="CH18" s="1"/>
      <c r="CI18" s="1"/>
      <c r="CJ18" s="1"/>
      <c r="CK18" s="1"/>
    </row>
    <row r="19" spans="1:89" s="115" customFormat="1" x14ac:dyDescent="0.25">
      <c r="A19" s="157" t="s">
        <v>445</v>
      </c>
      <c r="B19" s="75">
        <v>43373</v>
      </c>
      <c r="C19" s="75">
        <v>43281</v>
      </c>
      <c r="D19" s="75">
        <v>43190</v>
      </c>
      <c r="E19" s="75">
        <f>股权价值增加表!E4</f>
        <v>93800479215</v>
      </c>
      <c r="F19" s="75">
        <f>股权价值增加表!F4</f>
        <v>69408356144</v>
      </c>
      <c r="G19" s="75">
        <f>股权价值增加表!G4</f>
        <v>44605027995</v>
      </c>
      <c r="H19" s="75">
        <f>股权价值增加表!H4</f>
        <v>21854974362</v>
      </c>
      <c r="I19" s="75">
        <f>股权价值增加表!I4</f>
        <v>68895658963</v>
      </c>
      <c r="J19" s="75">
        <f>股权价值增加表!J4</f>
        <v>45841905735</v>
      </c>
      <c r="K19" s="75">
        <f>股权价值增加表!K4</f>
        <v>26448310717</v>
      </c>
      <c r="L19" s="75">
        <f>股权价值增加表!L4</f>
        <v>12297738830</v>
      </c>
      <c r="M19" s="75">
        <f>股权价值增加表!M4</f>
        <v>48623732312</v>
      </c>
      <c r="N19" s="75">
        <f>股权价值增加表!N4</f>
        <v>36420446042</v>
      </c>
      <c r="O19" s="75">
        <f>股权价值增加表!O4</f>
        <v>22970848112</v>
      </c>
      <c r="P19" s="75">
        <f>股权价值增加表!P4</f>
        <v>11582854379</v>
      </c>
      <c r="Q19" s="75">
        <f>股权价值增加表!Q4</f>
        <v>36816316676</v>
      </c>
      <c r="R19" s="75">
        <f>股权价值增加表!R4</f>
        <v>25288069384</v>
      </c>
      <c r="S19" s="75">
        <f>股权价值增加表!S4</f>
        <v>16113171584</v>
      </c>
      <c r="T19" s="75">
        <f>股权价值增加表!T4</f>
        <v>8091679315</v>
      </c>
      <c r="U19" s="75">
        <f>股权价值增加表!U4</f>
        <v>33774285620</v>
      </c>
      <c r="V19" s="75">
        <f>股权价值增加表!V4</f>
        <v>24773771714</v>
      </c>
      <c r="W19" s="75">
        <f>股权价值增加表!W4</f>
        <v>16254326067</v>
      </c>
      <c r="X19" s="75">
        <f>股权价值增加表!X4</f>
        <v>8058663697</v>
      </c>
      <c r="Y19" s="75">
        <f>股权价值增加表!Y4</f>
        <v>25771583386</v>
      </c>
      <c r="Z19" s="75">
        <f>股权价值增加表!Z4</f>
        <v>17122908001</v>
      </c>
      <c r="AA19" s="75">
        <f>股权价值增加表!AA4</f>
        <v>9608882013</v>
      </c>
      <c r="AB19" s="75">
        <f>股权价值增加表!AB4</f>
        <v>4147641280</v>
      </c>
      <c r="AC19" s="75">
        <f>股权价值增加表!AC4</f>
        <v>12741413562</v>
      </c>
      <c r="AD19" s="75">
        <f>股权价值增加表!AD4</f>
        <v>8514636554</v>
      </c>
      <c r="AE19" s="75">
        <f>股权价值增加表!AE4</f>
        <v>4940033997</v>
      </c>
      <c r="AF19" s="75">
        <f>股权价值增加表!AF4</f>
        <v>1969646222</v>
      </c>
      <c r="AG19" s="75">
        <f>股权价值增加表!AG4</f>
        <v>8025290848</v>
      </c>
      <c r="AH19" s="75">
        <f>股权价值增加表!AH4</f>
        <v>6202063899</v>
      </c>
      <c r="AI19" s="75">
        <f>股权价值增加表!AI4</f>
        <v>4186429883</v>
      </c>
      <c r="AJ19" s="75">
        <f>股权价值增加表!AJ4</f>
        <v>1893639353</v>
      </c>
      <c r="AK19" s="75">
        <f>股权价值增加表!AK4</f>
        <v>6249194126</v>
      </c>
      <c r="AL19" s="75">
        <f>股权价值增加表!AL4</f>
        <v>4344512321</v>
      </c>
      <c r="AM19" s="75">
        <f>股权价值增加表!AM4</f>
        <v>2298113686</v>
      </c>
      <c r="AN19" s="75">
        <f>股权价值增加表!AN4</f>
        <v>720895076</v>
      </c>
      <c r="AO19" s="75">
        <f>股权价值增加表!AO4</f>
        <v>8334015771</v>
      </c>
      <c r="AP19" s="75">
        <f>股权价值增加表!AP4</f>
        <v>7271976208</v>
      </c>
      <c r="AQ19" s="75">
        <f>股权价值增加表!AQ4</f>
        <v>5505901872</v>
      </c>
      <c r="AR19" s="75">
        <f>股权价值增加表!AR4</f>
        <v>2936720597</v>
      </c>
      <c r="AS19" s="75">
        <f>股权价值增加表!AS4</f>
        <v>11170448855</v>
      </c>
      <c r="AT19" s="75">
        <f>股权价值增加表!AT4</f>
        <v>7926095410</v>
      </c>
      <c r="AU19" s="75">
        <f>股权价值增加表!AU4</f>
        <v>4689192282</v>
      </c>
      <c r="AV19" s="75">
        <f>股权价值增加表!AV4</f>
        <v>2152839364</v>
      </c>
      <c r="AW19" s="75">
        <f>股权价值增加表!AW4</f>
        <v>8781394325</v>
      </c>
      <c r="AX19" s="75">
        <f>股权价值增加表!AX4</f>
        <v>6660072468</v>
      </c>
      <c r="AY19" s="75">
        <f>股权价值增加表!AY4</f>
        <v>4291008928</v>
      </c>
      <c r="AZ19" s="75">
        <f>股权价值增加表!AZ4</f>
        <v>2404770586</v>
      </c>
      <c r="BA19" s="75">
        <f>股权价值增加表!BA4</f>
        <v>13461793093</v>
      </c>
      <c r="BB19" s="75">
        <f>股权价值增加表!BB4</f>
        <v>8547810470</v>
      </c>
      <c r="BC19" s="75">
        <f>股权价值增加表!BC4</f>
        <v>4321710751</v>
      </c>
      <c r="BD19" s="75">
        <f>股权价值增加表!BD4</f>
        <v>2081864602</v>
      </c>
      <c r="BE19" s="75">
        <f>股权价值增加表!BE4</f>
        <v>12441707566</v>
      </c>
      <c r="BF19" s="75">
        <f>股权价值增加表!BF4</f>
        <v>9310845738</v>
      </c>
      <c r="BG19" s="75">
        <f>股权价值增加表!BG4</f>
        <v>6234212244.3900003</v>
      </c>
      <c r="BH19" s="75">
        <f>股权价值增加表!BH4</f>
        <v>3694043772.3099999</v>
      </c>
      <c r="BI19" s="75">
        <f>股权价值增加表!BI4</f>
        <v>11180106328</v>
      </c>
      <c r="BJ19" s="75">
        <f>股权价值增加表!BJ4</f>
        <v>7650456631.9200001</v>
      </c>
      <c r="BK19" s="75">
        <f>股权价值增加表!BK4</f>
        <v>4697949372.4700003</v>
      </c>
      <c r="BL19" s="75">
        <f>股权价值增加表!BL4</f>
        <v>2253527850.46</v>
      </c>
      <c r="BM19" s="75">
        <f>股权价值增加表!BM4</f>
        <v>4782587489</v>
      </c>
      <c r="BN19" s="75">
        <f>股权价值增加表!BN4</f>
        <v>3419585621.9699998</v>
      </c>
      <c r="BO19" s="75">
        <f>股权价值增加表!BO4</f>
        <v>2012328199.5899999</v>
      </c>
      <c r="BP19" s="75">
        <f>股权价值增加表!BP4</f>
        <v>1039368764.79</v>
      </c>
      <c r="BQ19" s="75">
        <f>股权价值增加表!BQ4</f>
        <v>2669543128</v>
      </c>
      <c r="BR19" s="75">
        <f>股权价值增加表!BR4</f>
        <v>1276281504.5799999</v>
      </c>
      <c r="BS19" s="75">
        <f>股权价值增加表!BS4</f>
        <v>2234822478</v>
      </c>
      <c r="BT19" s="75">
        <f>股权价值增加表!BT4</f>
        <v>993215204</v>
      </c>
      <c r="BU19" s="75">
        <f>股权价值增加表!BU4</f>
        <v>741886971</v>
      </c>
      <c r="BV19" s="75">
        <f>股权价值增加表!BV4</f>
        <v>200737099.93000001</v>
      </c>
      <c r="BW19" s="75">
        <f>股权价值增加表!BW4</f>
        <v>237497000</v>
      </c>
      <c r="BX19" s="75">
        <f>股权价值增加表!BX4</f>
        <v>105801107.16</v>
      </c>
      <c r="BY19" s="75">
        <f>股权价值增加表!BY4</f>
        <v>275100000</v>
      </c>
      <c r="BZ19" s="75">
        <f>股权价值增加表!BZ4</f>
        <v>111102000</v>
      </c>
      <c r="CA19" s="75">
        <f>股权价值增加表!CA4</f>
        <v>191165000</v>
      </c>
      <c r="CB19" s="75">
        <f>股权价值增加表!CB4</f>
        <v>183819000</v>
      </c>
      <c r="CC19" s="75">
        <f>股权价值增加表!CC4</f>
        <v>134792000</v>
      </c>
      <c r="CD19" s="75">
        <f>股权价值增加表!CD4</f>
        <v>0</v>
      </c>
      <c r="CE19" s="75">
        <f>股权价值增加表!CE4</f>
        <v>0</v>
      </c>
      <c r="CF19" s="75">
        <f>股权价值增加表!CF4</f>
        <v>0</v>
      </c>
      <c r="CG19" s="75">
        <f>股权价值增加表!CG4</f>
        <v>0</v>
      </c>
      <c r="CH19" s="75">
        <f>股权价值增加表!CH4</f>
        <v>0</v>
      </c>
      <c r="CI19" s="75">
        <f>股权价值增加表!CI4</f>
        <v>0</v>
      </c>
      <c r="CJ19" s="75">
        <f>股权价值增加表!CJ4</f>
        <v>0</v>
      </c>
      <c r="CK19" s="75">
        <f>股权价值增加表!CK4</f>
        <v>0</v>
      </c>
    </row>
    <row r="20" spans="1:89" s="75" customFormat="1" x14ac:dyDescent="0.25">
      <c r="A20" s="157" t="s">
        <v>446</v>
      </c>
      <c r="E20" s="75">
        <f>股权价值增加表!E15</f>
        <v>10695122066</v>
      </c>
      <c r="F20" s="75">
        <f>股权价值增加表!F15</f>
        <v>9040950087</v>
      </c>
      <c r="G20" s="75">
        <f>股权价值增加表!G15</f>
        <v>6339470919</v>
      </c>
      <c r="H20" s="75">
        <f>股权价值增加表!H15</f>
        <v>3552450207</v>
      </c>
      <c r="I20" s="75">
        <f>股权价值增加表!I15</f>
        <v>4605551421</v>
      </c>
      <c r="J20" s="75">
        <f>股权价值增加表!J15</f>
        <v>1985529617</v>
      </c>
      <c r="K20" s="75">
        <f>股权价值增加表!K15</f>
        <v>634015494</v>
      </c>
      <c r="L20" s="75">
        <f>股权价值增加表!L15</f>
        <v>459267459</v>
      </c>
      <c r="M20" s="75">
        <f>股权价值增加表!M15</f>
        <v>3267310191</v>
      </c>
      <c r="N20" s="75">
        <f>股权价值增加表!N15</f>
        <v>3400036131</v>
      </c>
      <c r="O20" s="75">
        <f>股权价值增加表!O15</f>
        <v>2475896371</v>
      </c>
      <c r="P20" s="75">
        <f>股权价值增加表!P15</f>
        <v>1348411382</v>
      </c>
      <c r="Q20" s="75">
        <f>股权价值增加表!Q15</f>
        <v>2942653415</v>
      </c>
      <c r="R20" s="75">
        <f>股权价值增加表!R15</f>
        <v>2216824320</v>
      </c>
      <c r="S20" s="75">
        <f>股权价值增加表!S15</f>
        <v>1418734150</v>
      </c>
      <c r="T20" s="75">
        <f>股权价值增加表!T15</f>
        <v>937653946</v>
      </c>
      <c r="U20" s="75">
        <f>股权价值增加表!U15</f>
        <v>3386817560</v>
      </c>
      <c r="V20" s="75">
        <f>股权价值增加表!V15</f>
        <v>2284679624</v>
      </c>
      <c r="W20" s="75">
        <f>股权价值增加表!W15</f>
        <v>1380359273</v>
      </c>
      <c r="X20" s="75">
        <f>股权价值增加表!X15</f>
        <v>543608095</v>
      </c>
      <c r="Y20" s="75">
        <f>股权价值增加表!Y15</f>
        <v>466280978</v>
      </c>
      <c r="Z20" s="75">
        <f>股权价值增加表!Z15</f>
        <v>-609358386</v>
      </c>
      <c r="AA20" s="75">
        <f>股权价值增加表!AA15</f>
        <v>-943798678</v>
      </c>
      <c r="AB20" s="75">
        <f>股权价值增加表!AB15</f>
        <v>-751123301</v>
      </c>
      <c r="AC20" s="75">
        <f>股权价值增加表!AC15</f>
        <v>-3671976578</v>
      </c>
      <c r="AD20" s="75">
        <f>股权价值增加表!AD15</f>
        <v>-2255158655</v>
      </c>
      <c r="AE20" s="75">
        <f>股权价值增加表!AE15</f>
        <v>-1396457044</v>
      </c>
      <c r="AF20" s="75">
        <f>股权价值增加表!AF15</f>
        <v>-827927283</v>
      </c>
      <c r="AG20" s="75">
        <f>股权价值增加表!AG15</f>
        <v>-2329800097</v>
      </c>
      <c r="AH20" s="75">
        <f>股权价值增加表!AH15</f>
        <v>-1120517898</v>
      </c>
      <c r="AI20" s="75">
        <f>股权价值增加表!AI15</f>
        <v>-576580454</v>
      </c>
      <c r="AJ20" s="75">
        <f>股权价值增加表!AJ15</f>
        <v>-334760729</v>
      </c>
      <c r="AK20" s="75">
        <f>股权价值增加表!AK15</f>
        <v>87170908</v>
      </c>
      <c r="AL20" s="75">
        <f>股权价值增加表!AL15</f>
        <v>-700799808</v>
      </c>
      <c r="AM20" s="75">
        <f>股权价值增加表!AM15</f>
        <v>-725272688</v>
      </c>
      <c r="AN20" s="75">
        <f>股权价值增加表!AN15</f>
        <v>-474367127</v>
      </c>
      <c r="AO20" s="75">
        <f>股权价值增加表!AO15</f>
        <v>-541099047</v>
      </c>
      <c r="AP20" s="75">
        <f>股权价值增加表!AP15</f>
        <v>185767785</v>
      </c>
      <c r="AQ20" s="75">
        <f>股权价值增加表!AQ15</f>
        <v>645871574</v>
      </c>
      <c r="AR20" s="75">
        <f>股权价值增加表!AR15</f>
        <v>403349082</v>
      </c>
      <c r="AS20" s="75">
        <f>股权价值增加表!AS15</f>
        <v>1258963394</v>
      </c>
      <c r="AT20" s="75">
        <f>股权价值增加表!AT15</f>
        <v>571311888</v>
      </c>
      <c r="AU20" s="75">
        <f>股权价值增加表!AU15</f>
        <v>-5542100</v>
      </c>
      <c r="AV20" s="75">
        <f>股权价值增加表!AV15</f>
        <v>-223345041</v>
      </c>
      <c r="AW20" s="75">
        <f>股权价值增加表!AW15</f>
        <v>-2606745970</v>
      </c>
      <c r="AX20" s="75">
        <f>股权价值增加表!AX15</f>
        <v>-2351122224</v>
      </c>
      <c r="AY20" s="75">
        <f>股权价值增加表!AY15</f>
        <v>-1590308957</v>
      </c>
      <c r="AZ20" s="75">
        <f>股权价值增加表!AZ15</f>
        <v>-454123545</v>
      </c>
      <c r="BA20" s="75">
        <f>股权价值增加表!BA15</f>
        <v>-1203244643</v>
      </c>
      <c r="BB20" s="75">
        <f>股权价值增加表!BB15</f>
        <v>-1104327106</v>
      </c>
      <c r="BC20" s="75">
        <f>股权价值增加表!BC15</f>
        <v>-847860333</v>
      </c>
      <c r="BD20" s="75">
        <f>股权价值增加表!BD15</f>
        <v>-425619871</v>
      </c>
      <c r="BE20" s="75">
        <f>股权价值增加表!BE15</f>
        <v>5876527</v>
      </c>
      <c r="BF20" s="75">
        <f>股权价值增加表!BF15</f>
        <v>373130546.45999962</v>
      </c>
      <c r="BG20" s="75">
        <f>股权价值增加表!BG15</f>
        <v>433961112.1699999</v>
      </c>
      <c r="BH20" s="75">
        <f>股权价值增加表!BH15</f>
        <v>245138208.08999979</v>
      </c>
      <c r="BI20" s="75">
        <f>股权价值增加表!BI15</f>
        <v>631168398</v>
      </c>
      <c r="BJ20" s="75">
        <f>股权价值增加表!BJ15</f>
        <v>505488697.03000033</v>
      </c>
      <c r="BK20" s="75">
        <f>股权价值增加表!BK15</f>
        <v>349988260.70000011</v>
      </c>
      <c r="BL20" s="75">
        <f>股权价值增加表!BL15</f>
        <v>197742378.23999998</v>
      </c>
      <c r="BM20" s="75">
        <f>股权价值增加表!BM15</f>
        <v>201456326</v>
      </c>
      <c r="BN20" s="75">
        <f>股权价值增加表!BN15</f>
        <v>199168287.66999981</v>
      </c>
      <c r="BO20" s="75">
        <f>股权价值增加表!BO15</f>
        <v>152501569.33999997</v>
      </c>
      <c r="BP20" s="75">
        <f>股权价值增加表!BP15</f>
        <v>80027429.649999946</v>
      </c>
      <c r="BQ20" s="75">
        <f>股权价值增加表!BQ15</f>
        <v>147052602</v>
      </c>
      <c r="BR20" s="75">
        <f>股权价值增加表!BR15</f>
        <v>81903127.149999961</v>
      </c>
      <c r="BS20" s="75">
        <f>股权价值增加表!BS15</f>
        <v>104506543</v>
      </c>
      <c r="BT20" s="75">
        <f>股权价值增加表!BT15</f>
        <v>52769982</v>
      </c>
      <c r="BU20" s="75">
        <f>股权价值增加表!BU15</f>
        <v>71319335</v>
      </c>
      <c r="BV20" s="75">
        <f>股权价值增加表!BV15</f>
        <v>15065053.060000002</v>
      </c>
      <c r="BW20" s="75">
        <f>股权价值增加表!BW15</f>
        <v>20757000</v>
      </c>
      <c r="BX20" s="75">
        <f>股权价值增加表!BX15</f>
        <v>14946462.219999999</v>
      </c>
      <c r="BY20" s="75">
        <f>股权价值增加表!BY15</f>
        <v>74250000</v>
      </c>
      <c r="BZ20" s="75">
        <f>股权价值增加表!BZ15</f>
        <v>111102000</v>
      </c>
      <c r="CA20" s="75">
        <f>股权价值增加表!CA15</f>
        <v>26584000</v>
      </c>
      <c r="CB20" s="75">
        <f>股权价值增加表!CB15</f>
        <v>13372000</v>
      </c>
      <c r="CC20" s="75">
        <f>股权价值增加表!CC15</f>
        <v>11654000</v>
      </c>
      <c r="CD20" s="75">
        <f>股权价值增加表!CD15</f>
        <v>0</v>
      </c>
      <c r="CE20" s="75">
        <f>股权价值增加表!CE15</f>
        <v>0</v>
      </c>
      <c r="CF20" s="75">
        <f>股权价值增加表!CF15</f>
        <v>0</v>
      </c>
      <c r="CG20" s="75">
        <f>股权价值增加表!CG15</f>
        <v>0</v>
      </c>
      <c r="CH20" s="75">
        <f>股权价值增加表!CH15</f>
        <v>0</v>
      </c>
      <c r="CI20" s="75">
        <f>股权价值增加表!CI15</f>
        <v>0</v>
      </c>
      <c r="CJ20" s="75">
        <f>股权价值增加表!CJ15</f>
        <v>0</v>
      </c>
      <c r="CK20" s="75">
        <f>股权价值增加表!CK15</f>
        <v>0</v>
      </c>
    </row>
    <row r="21" spans="1:89" s="242" customFormat="1" x14ac:dyDescent="0.25">
      <c r="A21" s="232" t="s">
        <v>447</v>
      </c>
      <c r="E21" s="242">
        <f>E20/E19</f>
        <v>0.1140199085922122</v>
      </c>
      <c r="F21" s="242">
        <f t="shared" ref="F21:BQ21" si="6">F20/F19</f>
        <v>0.13025737230028814</v>
      </c>
      <c r="G21" s="242">
        <f t="shared" si="6"/>
        <v>0.14212458110575837</v>
      </c>
      <c r="H21" s="242">
        <f t="shared" si="6"/>
        <v>0.16254652822548116</v>
      </c>
      <c r="I21" s="242">
        <f t="shared" si="6"/>
        <v>6.6848209166173789E-2</v>
      </c>
      <c r="J21" s="242">
        <f t="shared" si="6"/>
        <v>4.3312545261050543E-2</v>
      </c>
      <c r="K21" s="242">
        <f t="shared" si="6"/>
        <v>2.3971871050065902E-2</v>
      </c>
      <c r="L21" s="242">
        <f t="shared" si="6"/>
        <v>3.734568324703965E-2</v>
      </c>
      <c r="M21" s="242">
        <f t="shared" si="6"/>
        <v>6.7195791759359663E-2</v>
      </c>
      <c r="N21" s="242">
        <f t="shared" si="6"/>
        <v>9.3355148014362149E-2</v>
      </c>
      <c r="O21" s="242">
        <f t="shared" si="6"/>
        <v>0.10778428201380116</v>
      </c>
      <c r="P21" s="242">
        <f t="shared" si="6"/>
        <v>0.11641442928305332</v>
      </c>
      <c r="Q21" s="242">
        <f t="shared" si="6"/>
        <v>7.9927968919233885E-2</v>
      </c>
      <c r="R21" s="242">
        <f t="shared" si="6"/>
        <v>8.7662853432480911E-2</v>
      </c>
      <c r="S21" s="242">
        <f t="shared" si="6"/>
        <v>8.8048100437828736E-2</v>
      </c>
      <c r="T21" s="242">
        <f t="shared" si="6"/>
        <v>0.11587878232665724</v>
      </c>
      <c r="U21" s="242">
        <f t="shared" si="6"/>
        <v>0.10027799249718077</v>
      </c>
      <c r="V21" s="242">
        <f t="shared" si="6"/>
        <v>9.2221711347606233E-2</v>
      </c>
      <c r="W21" s="242">
        <f t="shared" si="6"/>
        <v>8.4922577983866404E-2</v>
      </c>
      <c r="X21" s="242">
        <f t="shared" si="6"/>
        <v>6.7456356964290379E-2</v>
      </c>
      <c r="Y21" s="242">
        <f t="shared" si="6"/>
        <v>1.8092833917736684E-2</v>
      </c>
      <c r="Z21" s="242">
        <f t="shared" si="6"/>
        <v>-3.5587318810824227E-2</v>
      </c>
      <c r="AA21" s="242">
        <f t="shared" si="6"/>
        <v>-9.8221486820539647E-2</v>
      </c>
      <c r="AB21" s="242">
        <f t="shared" si="6"/>
        <v>-0.18109649564486927</v>
      </c>
      <c r="AC21" s="242">
        <f t="shared" si="6"/>
        <v>-0.28819224492887552</v>
      </c>
      <c r="AD21" s="242">
        <f t="shared" si="6"/>
        <v>-0.26485671357758345</v>
      </c>
      <c r="AE21" s="242">
        <f t="shared" si="6"/>
        <v>-0.28268166673509637</v>
      </c>
      <c r="AF21" s="242">
        <f t="shared" si="6"/>
        <v>-0.42034314271895679</v>
      </c>
      <c r="AG21" s="242">
        <f t="shared" si="6"/>
        <v>-0.29030724756606352</v>
      </c>
      <c r="AH21" s="242">
        <f t="shared" si="6"/>
        <v>-0.18066855102551727</v>
      </c>
      <c r="AI21" s="242">
        <f t="shared" si="6"/>
        <v>-0.13772605062402762</v>
      </c>
      <c r="AJ21" s="242">
        <f t="shared" si="6"/>
        <v>-0.17678167094999109</v>
      </c>
      <c r="AK21" s="242">
        <f t="shared" si="6"/>
        <v>1.3949143880380073E-2</v>
      </c>
      <c r="AL21" s="242">
        <f t="shared" si="6"/>
        <v>-0.16130689850102511</v>
      </c>
      <c r="AM21" s="242">
        <f t="shared" si="6"/>
        <v>-0.31559478211122755</v>
      </c>
      <c r="AN21" s="242">
        <f t="shared" si="6"/>
        <v>-0.65802520060492131</v>
      </c>
      <c r="AO21" s="242">
        <f t="shared" si="6"/>
        <v>-6.4926568639679147E-2</v>
      </c>
      <c r="AP21" s="242">
        <f t="shared" si="6"/>
        <v>2.5545708578588903E-2</v>
      </c>
      <c r="AQ21" s="242">
        <f t="shared" si="6"/>
        <v>0.11730531873162305</v>
      </c>
      <c r="AR21" s="242">
        <f t="shared" si="6"/>
        <v>0.13734676782395994</v>
      </c>
      <c r="AS21" s="242">
        <f t="shared" si="6"/>
        <v>0.11270481699904798</v>
      </c>
      <c r="AT21" s="242">
        <f t="shared" si="6"/>
        <v>7.2079865109774141E-2</v>
      </c>
      <c r="AU21" s="242">
        <f t="shared" si="6"/>
        <v>-1.1818879812785634E-3</v>
      </c>
      <c r="AV21" s="242">
        <f t="shared" si="6"/>
        <v>-0.10374440598532274</v>
      </c>
      <c r="AW21" s="242">
        <f t="shared" si="6"/>
        <v>-0.29684875471071615</v>
      </c>
      <c r="AX21" s="242">
        <f t="shared" si="6"/>
        <v>-0.35301751374276485</v>
      </c>
      <c r="AY21" s="242">
        <f t="shared" si="6"/>
        <v>-0.37061422702311375</v>
      </c>
      <c r="AZ21" s="242">
        <f t="shared" si="6"/>
        <v>-0.18884277263028698</v>
      </c>
      <c r="BA21" s="242">
        <f t="shared" si="6"/>
        <v>-8.9382197058553464E-2</v>
      </c>
      <c r="BB21" s="242">
        <f t="shared" si="6"/>
        <v>-0.12919414976219051</v>
      </c>
      <c r="BC21" s="242">
        <f t="shared" si="6"/>
        <v>-0.19618627479958342</v>
      </c>
      <c r="BD21" s="242">
        <f t="shared" si="6"/>
        <v>-0.2044416676238775</v>
      </c>
      <c r="BE21" s="242">
        <f t="shared" si="6"/>
        <v>4.7232479696428833E-4</v>
      </c>
      <c r="BF21" s="242">
        <f t="shared" si="6"/>
        <v>4.0074828534335624E-2</v>
      </c>
      <c r="BG21" s="242">
        <f t="shared" si="6"/>
        <v>6.9609614680749735E-2</v>
      </c>
      <c r="BH21" s="242">
        <f t="shared" si="6"/>
        <v>6.6360396140272934E-2</v>
      </c>
      <c r="BI21" s="242">
        <f t="shared" si="6"/>
        <v>5.6454597074740806E-2</v>
      </c>
      <c r="BJ21" s="242">
        <f t="shared" si="6"/>
        <v>6.6073009932629365E-2</v>
      </c>
      <c r="BK21" s="242">
        <f t="shared" si="6"/>
        <v>7.4498091178021739E-2</v>
      </c>
      <c r="BL21" s="242">
        <f t="shared" si="6"/>
        <v>8.7747918535657735E-2</v>
      </c>
      <c r="BM21" s="242">
        <f t="shared" si="6"/>
        <v>4.2122873123252129E-2</v>
      </c>
      <c r="BN21" s="242">
        <f t="shared" si="6"/>
        <v>5.8243398378561531E-2</v>
      </c>
      <c r="BO21" s="242">
        <f t="shared" si="6"/>
        <v>7.5783646708857566E-2</v>
      </c>
      <c r="BP21" s="242">
        <f t="shared" si="6"/>
        <v>7.6996184954787578E-2</v>
      </c>
      <c r="BQ21" s="242">
        <f t="shared" si="6"/>
        <v>5.508530671694771E-2</v>
      </c>
      <c r="BR21" s="242">
        <f t="shared" ref="BR21:CK21" si="7">BR20/BR19</f>
        <v>6.4173246149917942E-2</v>
      </c>
      <c r="BS21" s="242">
        <f t="shared" si="7"/>
        <v>4.6762793926041761E-2</v>
      </c>
      <c r="BT21" s="242">
        <f t="shared" si="7"/>
        <v>5.3130461341588567E-2</v>
      </c>
      <c r="BU21" s="242">
        <f t="shared" si="7"/>
        <v>9.6132346014740841E-2</v>
      </c>
      <c r="BV21" s="242">
        <f t="shared" si="7"/>
        <v>7.5048673440302804E-2</v>
      </c>
      <c r="BW21" s="242">
        <f t="shared" si="7"/>
        <v>8.7398998724194404E-2</v>
      </c>
      <c r="BX21" s="242">
        <f t="shared" si="7"/>
        <v>0.14126943111660345</v>
      </c>
      <c r="BY21" s="242">
        <f t="shared" si="7"/>
        <v>0.26990185387131954</v>
      </c>
      <c r="BZ21" s="242">
        <f t="shared" si="7"/>
        <v>1</v>
      </c>
      <c r="CA21" s="242">
        <f t="shared" si="7"/>
        <v>0.13906311301755028</v>
      </c>
      <c r="CB21" s="242">
        <f t="shared" si="7"/>
        <v>7.2745472448441123E-2</v>
      </c>
      <c r="CC21" s="242">
        <f t="shared" si="7"/>
        <v>8.6459137040773931E-2</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x14ac:dyDescent="0.25">
      <c r="A22" s="26" t="s">
        <v>682</v>
      </c>
      <c r="E22" s="26">
        <f>资产资本表!E69</f>
        <v>150460663012</v>
      </c>
      <c r="F22" s="191">
        <f>资产资本表!F69</f>
        <v>144117825752</v>
      </c>
      <c r="G22" s="191">
        <f>资产资本表!G69</f>
        <v>133077741873</v>
      </c>
      <c r="H22" s="191">
        <f>资产资本表!H69</f>
        <v>122525192806</v>
      </c>
      <c r="I22" s="191">
        <f>资产资本表!I69</f>
        <v>108590223694</v>
      </c>
      <c r="J22" s="191">
        <f>资产资本表!J69</f>
        <v>100099049243</v>
      </c>
      <c r="K22" s="191">
        <f>资产资本表!K69</f>
        <v>98024551450</v>
      </c>
      <c r="L22" s="191">
        <f>资产资本表!L69</f>
        <v>88583178766</v>
      </c>
      <c r="M22" s="191">
        <f>资产资本表!M69</f>
        <v>86609784850</v>
      </c>
      <c r="N22" s="191">
        <f>资产资本表!N69</f>
        <v>87199803584</v>
      </c>
      <c r="O22" s="191">
        <f>资产资本表!O69</f>
        <v>83621944464</v>
      </c>
      <c r="P22" s="191">
        <f>资产资本表!P69</f>
        <v>78387666603</v>
      </c>
      <c r="Q22" s="191">
        <f>资产资本表!Q69</f>
        <v>74212531258</v>
      </c>
      <c r="R22" s="191">
        <f>资产资本表!R69</f>
        <v>69972787639</v>
      </c>
      <c r="S22" s="191">
        <f>资产资本表!S69</f>
        <v>65951197827</v>
      </c>
      <c r="T22" s="191">
        <f>资产资本表!T69</f>
        <v>59052763397</v>
      </c>
      <c r="U22" s="191">
        <f>资产资本表!U69</f>
        <v>55615762312</v>
      </c>
      <c r="V22" s="191">
        <f>资产资本表!V69</f>
        <v>52537032265</v>
      </c>
      <c r="W22" s="191">
        <f>资产资本表!W69</f>
        <v>44254187572</v>
      </c>
      <c r="X22" s="191">
        <f>资产资本表!X69</f>
        <v>39408027654</v>
      </c>
      <c r="Y22" s="191">
        <f>资产资本表!Y69</f>
        <v>39039344128</v>
      </c>
      <c r="Z22" s="191">
        <f>资产资本表!Z69</f>
        <v>41395455020</v>
      </c>
      <c r="AA22" s="191">
        <f>资产资本表!AA69</f>
        <v>39871522374</v>
      </c>
      <c r="AB22" s="191">
        <f>资产资本表!AB69</f>
        <v>39275546564</v>
      </c>
      <c r="AC22" s="191">
        <f>资产资本表!AC69</f>
        <v>36914849621</v>
      </c>
      <c r="AD22" s="191">
        <f>资产资本表!AD69</f>
        <v>35963203241</v>
      </c>
      <c r="AE22" s="191">
        <f>资产资本表!AE69</f>
        <v>32124304440</v>
      </c>
      <c r="AF22" s="191">
        <f>资产资本表!AF69</f>
        <v>27791581675</v>
      </c>
      <c r="AG22" s="191">
        <f>资产资本表!AG69</f>
        <v>22393006424</v>
      </c>
      <c r="AH22" s="191">
        <f>资产资本表!AH69</f>
        <v>20229547751</v>
      </c>
      <c r="AI22" s="191">
        <f>资产资本表!AI69</f>
        <v>16346371978</v>
      </c>
      <c r="AJ22" s="191">
        <f>资产资本表!AJ69</f>
        <v>11580471048</v>
      </c>
      <c r="AK22" s="191">
        <f>资产资本表!AK69</f>
        <v>10381509935</v>
      </c>
      <c r="AL22" s="191">
        <f>资产资本表!AL69</f>
        <v>9729485823</v>
      </c>
      <c r="AM22" s="191">
        <f>资产资本表!AM69</f>
        <v>9304738280</v>
      </c>
      <c r="AN22" s="191">
        <f>资产资本表!AN69</f>
        <v>8162081368</v>
      </c>
      <c r="AO22" s="191">
        <f>资产资本表!AO69</f>
        <v>7784133222</v>
      </c>
      <c r="AP22" s="191">
        <f>资产资本表!AP69</f>
        <v>8327828039</v>
      </c>
      <c r="AQ22" s="191">
        <f>资产资本表!AQ69</f>
        <v>8785077976</v>
      </c>
      <c r="AR22" s="191">
        <f>资产资本表!AR69</f>
        <v>8479978575</v>
      </c>
      <c r="AS22" s="191">
        <f>资产资本表!AS69</f>
        <v>8608311883</v>
      </c>
      <c r="AT22" s="191">
        <f>资产资本表!AT69</f>
        <v>7430133751</v>
      </c>
      <c r="AU22" s="191">
        <f>资产资本表!AU69</f>
        <v>7716816783</v>
      </c>
      <c r="AV22" s="191">
        <f>资产资本表!AV69</f>
        <v>8901392166</v>
      </c>
      <c r="AW22" s="191">
        <f>资产资本表!AW69</f>
        <v>9382845167</v>
      </c>
      <c r="AX22" s="191">
        <f>资产资本表!AX69</f>
        <v>9359685619</v>
      </c>
      <c r="AY22" s="191">
        <f>资产资本表!AY69</f>
        <v>12436584593</v>
      </c>
      <c r="AZ22" s="191">
        <f>资产资本表!AZ69</f>
        <v>13508588072</v>
      </c>
      <c r="BA22" s="191">
        <f>资产资本表!BA69</f>
        <v>13559196447</v>
      </c>
      <c r="BB22" s="191">
        <f>资产资本表!BB69</f>
        <v>13865273637</v>
      </c>
      <c r="BC22" s="191">
        <f>资产资本表!BC69</f>
        <v>13442608309</v>
      </c>
      <c r="BD22" s="191">
        <f>资产资本表!BD69</f>
        <v>11492343282</v>
      </c>
      <c r="BE22" s="191">
        <f>资产资本表!BE69</f>
        <v>10760410397</v>
      </c>
      <c r="BF22" s="191">
        <f>资产资本表!BF69</f>
        <v>8294172785.2799997</v>
      </c>
      <c r="BG22" s="191">
        <f>资产资本表!BG69</f>
        <v>6458299787.2600002</v>
      </c>
      <c r="BH22" s="191">
        <f>资产资本表!BH69</f>
        <v>5815877477.8600006</v>
      </c>
      <c r="BI22" s="191">
        <f>资产资本表!BI69</f>
        <v>5699468384</v>
      </c>
      <c r="BJ22" s="191">
        <f>资产资本表!BJ69</f>
        <v>5566723889.54</v>
      </c>
      <c r="BK22" s="191">
        <f>资产资本表!BK69</f>
        <v>5554879817.2099991</v>
      </c>
      <c r="BL22" s="191">
        <f>资产资本表!BL69</f>
        <v>4941033424.2199993</v>
      </c>
      <c r="BM22" s="191">
        <f>资产资本表!BM69</f>
        <v>2200556547</v>
      </c>
      <c r="BN22" s="191">
        <f>资产资本表!BN69</f>
        <v>2018940035.7400005</v>
      </c>
      <c r="BO22" s="191">
        <f>资产资本表!BO69</f>
        <v>2034077642.79</v>
      </c>
      <c r="BP22" s="191">
        <f>资产资本表!BP69</f>
        <v>1658416637.8100002</v>
      </c>
      <c r="BQ22" s="191">
        <f>资产资本表!BQ69</f>
        <v>1336764135</v>
      </c>
      <c r="BR22" s="191">
        <f>资产资本表!BR69</f>
        <v>1180743765.9499998</v>
      </c>
      <c r="BS22" s="191">
        <f>资产资本表!BS69</f>
        <v>1200562124</v>
      </c>
      <c r="BT22" s="191">
        <f>资产资本表!BT69</f>
        <v>943661329</v>
      </c>
      <c r="BU22" s="191">
        <f>资产资本表!BU69</f>
        <v>739124857</v>
      </c>
      <c r="BV22" s="191">
        <f>资产资本表!BV69</f>
        <v>527296663.41000003</v>
      </c>
      <c r="BW22" s="191">
        <f>资产资本表!BW69</f>
        <v>449802000</v>
      </c>
      <c r="BX22" s="191">
        <f>资产资本表!BX69</f>
        <v>231658883.96000001</v>
      </c>
      <c r="BY22" s="191">
        <f>资产资本表!BY69</f>
        <v>174333000</v>
      </c>
      <c r="BZ22" s="191">
        <f>资产资本表!BZ69</f>
        <v>175413000</v>
      </c>
      <c r="CA22" s="191">
        <f>资产资本表!CA69</f>
        <v>252213000</v>
      </c>
      <c r="CB22" s="191">
        <f>资产资本表!CB69</f>
        <v>246318000</v>
      </c>
      <c r="CC22" s="191">
        <f>资产资本表!CC69</f>
        <v>243203000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x14ac:dyDescent="0.25">
      <c r="A23" s="243" t="s">
        <v>683</v>
      </c>
      <c r="E23" s="244">
        <f>E19/E22</f>
        <v>0.6234219452264339</v>
      </c>
      <c r="F23" s="244">
        <f t="shared" ref="F23:BQ23" si="8">F19/F22</f>
        <v>0.48160840466354859</v>
      </c>
      <c r="G23" s="244">
        <f t="shared" si="8"/>
        <v>0.33518022899402583</v>
      </c>
      <c r="H23" s="244">
        <f t="shared" si="8"/>
        <v>0.17837127093204438</v>
      </c>
      <c r="I23" s="244">
        <f t="shared" si="8"/>
        <v>0.63445544745485893</v>
      </c>
      <c r="J23" s="244">
        <f t="shared" si="8"/>
        <v>0.45796544604249334</v>
      </c>
      <c r="K23" s="244">
        <f t="shared" si="8"/>
        <v>0.26981312666848217</v>
      </c>
      <c r="L23" s="244">
        <f t="shared" si="8"/>
        <v>0.13882702112649992</v>
      </c>
      <c r="M23" s="244">
        <f t="shared" si="8"/>
        <v>0.56141153561588597</v>
      </c>
      <c r="N23" s="244">
        <f t="shared" si="8"/>
        <v>0.41766660640371744</v>
      </c>
      <c r="O23" s="244">
        <f t="shared" si="8"/>
        <v>0.27469880375586286</v>
      </c>
      <c r="P23" s="244">
        <f t="shared" si="8"/>
        <v>0.14776373479341084</v>
      </c>
      <c r="Q23" s="244">
        <f t="shared" si="8"/>
        <v>0.49609299200438278</v>
      </c>
      <c r="R23" s="244">
        <f t="shared" si="8"/>
        <v>0.36139862705577636</v>
      </c>
      <c r="S23" s="244">
        <f t="shared" si="8"/>
        <v>0.2443196198841952</v>
      </c>
      <c r="T23" s="244">
        <f t="shared" si="8"/>
        <v>0.13702456666762988</v>
      </c>
      <c r="U23" s="244">
        <f t="shared" si="8"/>
        <v>0.60727901975934351</v>
      </c>
      <c r="V23" s="244">
        <f t="shared" si="8"/>
        <v>0.47154874658773227</v>
      </c>
      <c r="W23" s="244">
        <f t="shared" si="8"/>
        <v>0.36729464393747563</v>
      </c>
      <c r="X23" s="244">
        <f t="shared" si="8"/>
        <v>0.20449294665935985</v>
      </c>
      <c r="Y23" s="244">
        <f t="shared" si="8"/>
        <v>0.66014386157466132</v>
      </c>
      <c r="Z23" s="244">
        <f t="shared" si="8"/>
        <v>0.41364222214074359</v>
      </c>
      <c r="AA23" s="244">
        <f t="shared" si="8"/>
        <v>0.24099611554501113</v>
      </c>
      <c r="AB23" s="244">
        <f t="shared" si="8"/>
        <v>0.10560365527291558</v>
      </c>
      <c r="AC23" s="244">
        <f t="shared" si="8"/>
        <v>0.34515685944313601</v>
      </c>
      <c r="AD23" s="244">
        <f t="shared" si="8"/>
        <v>0.23675968174861725</v>
      </c>
      <c r="AE23" s="244">
        <f t="shared" si="8"/>
        <v>0.15377870690482101</v>
      </c>
      <c r="AF23" s="244">
        <f t="shared" si="8"/>
        <v>7.0872044816787133E-2</v>
      </c>
      <c r="AG23" s="244">
        <f t="shared" si="8"/>
        <v>0.35838380501685513</v>
      </c>
      <c r="AH23" s="244">
        <f t="shared" si="8"/>
        <v>0.30658440689527605</v>
      </c>
      <c r="AI23" s="244">
        <f t="shared" si="8"/>
        <v>0.25610758697002411</v>
      </c>
      <c r="AJ23" s="244">
        <f t="shared" si="8"/>
        <v>0.16352006279805345</v>
      </c>
      <c r="AK23" s="244">
        <f t="shared" si="8"/>
        <v>0.60195425955636772</v>
      </c>
      <c r="AL23" s="244">
        <f t="shared" si="8"/>
        <v>0.44653051559310547</v>
      </c>
      <c r="AM23" s="244">
        <f t="shared" si="8"/>
        <v>0.24698316243237742</v>
      </c>
      <c r="AN23" s="244">
        <f t="shared" si="8"/>
        <v>8.8322456429596324E-2</v>
      </c>
      <c r="AO23" s="244">
        <f t="shared" si="8"/>
        <v>1.0706414617167506</v>
      </c>
      <c r="AP23" s="244">
        <f t="shared" si="8"/>
        <v>0.87321402098418133</v>
      </c>
      <c r="AQ23" s="244">
        <f t="shared" si="8"/>
        <v>0.6267334094292164</v>
      </c>
      <c r="AR23" s="244">
        <f t="shared" si="8"/>
        <v>0.34631226612503557</v>
      </c>
      <c r="AS23" s="244">
        <f t="shared" si="8"/>
        <v>1.297635239849964</v>
      </c>
      <c r="AT23" s="244">
        <f t="shared" si="8"/>
        <v>1.0667500311058666</v>
      </c>
      <c r="AU23" s="244">
        <f t="shared" si="8"/>
        <v>0.60765888498612552</v>
      </c>
      <c r="AV23" s="244">
        <f t="shared" si="8"/>
        <v>0.24185423177096319</v>
      </c>
      <c r="AW23" s="244">
        <f t="shared" si="8"/>
        <v>0.93589888447532554</v>
      </c>
      <c r="AX23" s="244">
        <f t="shared" si="8"/>
        <v>0.71157010385906205</v>
      </c>
      <c r="AY23" s="244">
        <f t="shared" si="8"/>
        <v>0.34503113744067787</v>
      </c>
      <c r="AZ23" s="244">
        <f t="shared" si="8"/>
        <v>0.17801790780670124</v>
      </c>
      <c r="BA23" s="244">
        <f t="shared" si="8"/>
        <v>0.99281643610808878</v>
      </c>
      <c r="BB23" s="244">
        <f t="shared" si="8"/>
        <v>0.61649057160976961</v>
      </c>
      <c r="BC23" s="244">
        <f t="shared" si="8"/>
        <v>0.32149346701611164</v>
      </c>
      <c r="BD23" s="244">
        <f t="shared" si="8"/>
        <v>0.18115231601728621</v>
      </c>
      <c r="BE23" s="244">
        <f t="shared" si="8"/>
        <v>1.1562484242672328</v>
      </c>
      <c r="BF23" s="244">
        <f t="shared" si="8"/>
        <v>1.1225767751697107</v>
      </c>
      <c r="BG23" s="244">
        <f t="shared" si="8"/>
        <v>0.96530239377985405</v>
      </c>
      <c r="BH23" s="244">
        <f t="shared" si="8"/>
        <v>0.63516533599144065</v>
      </c>
      <c r="BI23" s="244">
        <f t="shared" si="8"/>
        <v>1.9616051138007331</v>
      </c>
      <c r="BJ23" s="244">
        <f t="shared" si="8"/>
        <v>1.3743193992961249</v>
      </c>
      <c r="BK23" s="244">
        <f t="shared" si="8"/>
        <v>0.84573375609584267</v>
      </c>
      <c r="BL23" s="244">
        <f t="shared" si="8"/>
        <v>0.4560843161703052</v>
      </c>
      <c r="BM23" s="244">
        <f t="shared" si="8"/>
        <v>2.1733535979886818</v>
      </c>
      <c r="BN23" s="244">
        <f t="shared" si="8"/>
        <v>1.6937529403723086</v>
      </c>
      <c r="BO23" s="244">
        <f t="shared" si="8"/>
        <v>0.98930746656741786</v>
      </c>
      <c r="BP23" s="244">
        <f t="shared" si="8"/>
        <v>0.62672355130404656</v>
      </c>
      <c r="BQ23" s="244">
        <f t="shared" si="8"/>
        <v>1.9970188143924135</v>
      </c>
      <c r="BR23" s="244">
        <f t="shared" ref="BR23:CK23" si="9">BR19/BR22</f>
        <v>1.0809131848798139</v>
      </c>
      <c r="BS23" s="244">
        <f t="shared" si="9"/>
        <v>1.8614800794765036</v>
      </c>
      <c r="BT23" s="244">
        <f t="shared" si="9"/>
        <v>1.0525123510703913</v>
      </c>
      <c r="BU23" s="244">
        <f t="shared" si="9"/>
        <v>1.0037370059656916</v>
      </c>
      <c r="BV23" s="244">
        <f t="shared" si="9"/>
        <v>0.38069101107494907</v>
      </c>
      <c r="BW23" s="244">
        <f t="shared" si="9"/>
        <v>0.52800343262146454</v>
      </c>
      <c r="BX23" s="244">
        <f t="shared" si="9"/>
        <v>0.45671076952208933</v>
      </c>
      <c r="BY23" s="244">
        <f t="shared" si="9"/>
        <v>1.5780144895114523</v>
      </c>
      <c r="BZ23" s="244">
        <f t="shared" si="9"/>
        <v>0.63337380923876796</v>
      </c>
      <c r="CA23" s="244">
        <f t="shared" si="9"/>
        <v>0.75795062110200506</v>
      </c>
      <c r="CB23" s="244">
        <f t="shared" si="9"/>
        <v>0.74626702068058359</v>
      </c>
      <c r="CC23" s="244">
        <f t="shared" si="9"/>
        <v>0.55423658425266131</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5" thickBot="1" x14ac:dyDescent="0.3">
      <c r="A24" s="158" t="s">
        <v>690</v>
      </c>
      <c r="E24" s="159">
        <f>E21*E23</f>
        <v>7.1082513209097115E-2</v>
      </c>
      <c r="F24" s="159">
        <f t="shared" ref="F24:BQ24" si="10">F21*F23</f>
        <v>6.2733045269207671E-2</v>
      </c>
      <c r="G24" s="159">
        <f t="shared" si="10"/>
        <v>4.7637349640708086E-2</v>
      </c>
      <c r="H24" s="159">
        <f t="shared" si="10"/>
        <v>2.8993630825170501E-2</v>
      </c>
      <c r="I24" s="159">
        <f t="shared" si="10"/>
        <v>4.2412210458080794E-2</v>
      </c>
      <c r="J24" s="159">
        <f t="shared" si="10"/>
        <v>1.9835649109712694E-2</v>
      </c>
      <c r="K24" s="159">
        <f t="shared" si="10"/>
        <v>6.4679254801119522E-3</v>
      </c>
      <c r="L24" s="159">
        <f t="shared" si="10"/>
        <v>5.1845899571203473E-3</v>
      </c>
      <c r="M24" s="159">
        <f t="shared" si="10"/>
        <v>3.7724492638547408E-2</v>
      </c>
      <c r="N24" s="159">
        <f t="shared" si="10"/>
        <v>3.8991327861475383E-2</v>
      </c>
      <c r="O24" s="159">
        <f t="shared" si="10"/>
        <v>2.9608213332875746E-2</v>
      </c>
      <c r="P24" s="159">
        <f t="shared" si="10"/>
        <v>1.7201830854707372E-2</v>
      </c>
      <c r="Q24" s="159">
        <f t="shared" si="10"/>
        <v>3.9651705245976054E-2</v>
      </c>
      <c r="R24" s="159">
        <f t="shared" si="10"/>
        <v>3.1681234874290351E-2</v>
      </c>
      <c r="S24" s="159">
        <f t="shared" si="10"/>
        <v>2.1511878430495759E-2</v>
      </c>
      <c r="T24" s="159">
        <f t="shared" si="10"/>
        <v>1.5878239934282817E-2</v>
      </c>
      <c r="U24" s="159">
        <f t="shared" si="10"/>
        <v>6.0896720987122739E-2</v>
      </c>
      <c r="V24" s="159">
        <f t="shared" si="10"/>
        <v>4.3487032394139362E-2</v>
      </c>
      <c r="W24" s="159">
        <f t="shared" si="10"/>
        <v>3.1191608042836719E-2</v>
      </c>
      <c r="X24" s="159">
        <f t="shared" si="10"/>
        <v>1.3794349206533369E-2</v>
      </c>
      <c r="Y24" s="159">
        <f t="shared" si="10"/>
        <v>1.1943873249283704E-2</v>
      </c>
      <c r="Z24" s="159">
        <f t="shared" si="10"/>
        <v>-1.4720417632940418E-2</v>
      </c>
      <c r="AA24" s="159">
        <f t="shared" si="10"/>
        <v>-2.3670996786805561E-2</v>
      </c>
      <c r="AB24" s="159">
        <f t="shared" si="10"/>
        <v>-1.9124451897213832E-2</v>
      </c>
      <c r="AC24" s="159">
        <f t="shared" si="10"/>
        <v>-9.9471530175517714E-2</v>
      </c>
      <c r="AD24" s="159">
        <f t="shared" si="10"/>
        <v>-6.2707391215613334E-2</v>
      </c>
      <c r="AE24" s="159">
        <f t="shared" si="10"/>
        <v>-4.3470421176222677E-2</v>
      </c>
      <c r="AF24" s="159">
        <f t="shared" si="10"/>
        <v>-2.9790578049207057E-2</v>
      </c>
      <c r="AG24" s="159">
        <f t="shared" si="10"/>
        <v>-0.104041416006696</v>
      </c>
      <c r="AH24" s="159">
        <f t="shared" si="10"/>
        <v>-5.5390160560787126E-2</v>
      </c>
      <c r="AI24" s="159">
        <f t="shared" si="10"/>
        <v>-3.5272686488231099E-2</v>
      </c>
      <c r="AJ24" s="159">
        <f t="shared" si="10"/>
        <v>-2.8907349935287364E-2</v>
      </c>
      <c r="AK24" s="159">
        <f t="shared" si="10"/>
        <v>8.3967465759594243E-3</v>
      </c>
      <c r="AL24" s="159">
        <f t="shared" si="10"/>
        <v>-7.2028452556387471E-2</v>
      </c>
      <c r="AM24" s="159">
        <f t="shared" si="10"/>
        <v>-7.7946597332988074E-2</v>
      </c>
      <c r="AN24" s="159">
        <f t="shared" si="10"/>
        <v>-5.8118402110004547E-2</v>
      </c>
      <c r="AO24" s="159">
        <f t="shared" si="10"/>
        <v>-6.9513076352639022E-2</v>
      </c>
      <c r="AP24" s="159">
        <f t="shared" si="10"/>
        <v>2.2306870906799711E-2</v>
      </c>
      <c r="AQ24" s="159">
        <f t="shared" si="10"/>
        <v>7.3519162352851039E-2</v>
      </c>
      <c r="AR24" s="159">
        <f t="shared" si="10"/>
        <v>4.7564870410064686E-2</v>
      </c>
      <c r="AS24" s="159">
        <f t="shared" si="10"/>
        <v>0.14624974223880594</v>
      </c>
      <c r="AT24" s="159">
        <f t="shared" si="10"/>
        <v>7.6891198347958239E-2</v>
      </c>
      <c r="AU24" s="159">
        <f t="shared" si="10"/>
        <v>-7.1818473288223458E-4</v>
      </c>
      <c r="AV24" s="159">
        <f t="shared" si="10"/>
        <v>-2.5091023610115146E-2</v>
      </c>
      <c r="AW24" s="159">
        <f t="shared" si="10"/>
        <v>-0.27782041839164878</v>
      </c>
      <c r="AX24" s="159">
        <f t="shared" si="10"/>
        <v>-0.25119670891800705</v>
      </c>
      <c r="AY24" s="159">
        <f t="shared" si="10"/>
        <v>-0.12787344830148256</v>
      </c>
      <c r="AZ24" s="159">
        <f t="shared" si="10"/>
        <v>-3.3617395288060271E-2</v>
      </c>
      <c r="BA24" s="159">
        <f t="shared" si="10"/>
        <v>-8.8740114335183945E-2</v>
      </c>
      <c r="BB24" s="159">
        <f t="shared" si="10"/>
        <v>-7.9646975235531006E-2</v>
      </c>
      <c r="BC24" s="159">
        <f t="shared" si="10"/>
        <v>-6.3072605666293691E-2</v>
      </c>
      <c r="BD24" s="159">
        <f t="shared" si="10"/>
        <v>-3.7035081580501644E-2</v>
      </c>
      <c r="BE24" s="159">
        <f t="shared" si="10"/>
        <v>5.4612480223229908E-4</v>
      </c>
      <c r="BF24" s="159">
        <f t="shared" si="10"/>
        <v>4.4987071781553589E-2</v>
      </c>
      <c r="BG24" s="159">
        <f t="shared" si="10"/>
        <v>6.7194327681420987E-2</v>
      </c>
      <c r="BH24" s="159">
        <f t="shared" si="10"/>
        <v>4.2149823310961558E-2</v>
      </c>
      <c r="BI24" s="159">
        <f t="shared" si="10"/>
        <v>0.11074162631937147</v>
      </c>
      <c r="BJ24" s="159">
        <f t="shared" si="10"/>
        <v>9.0805419320298078E-2</v>
      </c>
      <c r="BK24" s="159">
        <f t="shared" si="10"/>
        <v>6.300555047395888E-2</v>
      </c>
      <c r="BL24" s="159">
        <f t="shared" si="10"/>
        <v>4.0020449420703104E-2</v>
      </c>
      <c r="BM24" s="159">
        <f t="shared" si="10"/>
        <v>9.154789786004075E-2</v>
      </c>
      <c r="BN24" s="159">
        <f t="shared" si="10"/>
        <v>9.8649927260964346E-2</v>
      </c>
      <c r="BO24" s="159">
        <f t="shared" si="10"/>
        <v>7.4973327532780118E-2</v>
      </c>
      <c r="BP24" s="159">
        <f t="shared" si="10"/>
        <v>4.8255322471727667E-2</v>
      </c>
      <c r="BQ24" s="159">
        <f t="shared" si="10"/>
        <v>0.11000639391032137</v>
      </c>
      <c r="BR24" s="159">
        <f t="shared" ref="BR24:CK24" si="11">BR21*BR23</f>
        <v>6.9365707879984057E-2</v>
      </c>
      <c r="BS24" s="159">
        <f t="shared" si="11"/>
        <v>8.7048009353991582E-2</v>
      </c>
      <c r="BT24" s="159">
        <f t="shared" si="11"/>
        <v>5.5920466780089918E-2</v>
      </c>
      <c r="BU24" s="159">
        <f t="shared" si="11"/>
        <v>9.6491593165293862E-2</v>
      </c>
      <c r="BV24" s="159">
        <f t="shared" si="11"/>
        <v>2.8570355371822551E-2</v>
      </c>
      <c r="BW24" s="159">
        <f t="shared" si="11"/>
        <v>4.6146971334053648E-2</v>
      </c>
      <c r="BX24" s="159">
        <f t="shared" si="11"/>
        <v>6.4519270595211758E-2</v>
      </c>
      <c r="BY24" s="159">
        <f t="shared" si="11"/>
        <v>0.42590903615494491</v>
      </c>
      <c r="BZ24" s="159">
        <f t="shared" si="11"/>
        <v>0.63337380923876796</v>
      </c>
      <c r="CA24" s="159">
        <f t="shared" si="11"/>
        <v>0.10540297288403057</v>
      </c>
      <c r="CB24" s="159">
        <f t="shared" si="11"/>
        <v>5.4287546992099638E-2</v>
      </c>
      <c r="CC24" s="159">
        <f t="shared" si="11"/>
        <v>4.7918816790911291E-2</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x14ac:dyDescent="0.25">
      <c r="A25" s="245" t="s">
        <v>440</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35064</v>
      </c>
      <c r="CC25" s="1">
        <v>34699</v>
      </c>
      <c r="CD25" s="1">
        <v>25569</v>
      </c>
      <c r="CE25" s="1"/>
      <c r="CF25" s="1"/>
      <c r="CG25" s="1"/>
      <c r="CH25" s="1"/>
      <c r="CI25" s="1"/>
      <c r="CJ25" s="1"/>
      <c r="CK25" s="1"/>
    </row>
    <row r="26" spans="1:89" s="75" customFormat="1" x14ac:dyDescent="0.25">
      <c r="A26" s="145" t="s">
        <v>441</v>
      </c>
      <c r="E26" s="75">
        <f>利润表!E14</f>
        <v>169034</v>
      </c>
      <c r="F26" s="75">
        <f>利润表!F14</f>
        <v>-9369632</v>
      </c>
      <c r="G26" s="75">
        <f>利润表!G14</f>
        <v>-13690554</v>
      </c>
      <c r="H26" s="75">
        <f>利润表!H14</f>
        <v>1524106</v>
      </c>
      <c r="I26" s="75">
        <f>利润表!I14</f>
        <v>-15121347</v>
      </c>
      <c r="J26" s="75">
        <f>利润表!J14</f>
        <v>-9868958</v>
      </c>
      <c r="K26" s="75">
        <f>利润表!K14</f>
        <v>-11180961</v>
      </c>
      <c r="L26" s="75">
        <f>利润表!L14</f>
        <v>-10380596</v>
      </c>
      <c r="M26" s="75">
        <f>利润表!M14</f>
        <v>4748739</v>
      </c>
      <c r="N26" s="75">
        <f>利润表!N14</f>
        <v>13474267</v>
      </c>
      <c r="O26" s="75">
        <f>利润表!O14</f>
        <v>10557037</v>
      </c>
      <c r="P26" s="75">
        <f>利润表!P14</f>
        <v>2935706</v>
      </c>
      <c r="Q26" s="75">
        <f>利润表!Q14</f>
        <v>3569978</v>
      </c>
      <c r="R26" s="75">
        <f>利润表!R14</f>
        <v>5849368</v>
      </c>
      <c r="S26" s="75">
        <f>利润表!S14</f>
        <v>4390960</v>
      </c>
      <c r="T26" s="75">
        <f>利润表!T14</f>
        <v>1374620</v>
      </c>
      <c r="U26" s="75">
        <f>利润表!U14</f>
        <v>87148</v>
      </c>
      <c r="V26" s="75">
        <f>利润表!V14</f>
        <v>-144028</v>
      </c>
      <c r="W26" s="75">
        <f>利润表!W14</f>
        <v>-545119</v>
      </c>
      <c r="X26" s="75">
        <f>利润表!X14</f>
        <v>565295</v>
      </c>
      <c r="Y26" s="75">
        <f>利润表!Y14</f>
        <v>-5958382</v>
      </c>
      <c r="Z26" s="75">
        <f>利润表!Z14</f>
        <v>-10993560</v>
      </c>
      <c r="AA26" s="75">
        <f>利润表!AA14</f>
        <v>-5766868</v>
      </c>
      <c r="AB26" s="75">
        <f>利润表!AB14</f>
        <v>0</v>
      </c>
      <c r="AC26" s="75">
        <f>利润表!AC14</f>
        <v>-5205134</v>
      </c>
      <c r="AD26" s="75">
        <f>利润表!AD14</f>
        <v>-3782614</v>
      </c>
      <c r="AE26" s="75">
        <f>利润表!AE14</f>
        <v>0</v>
      </c>
      <c r="AF26" s="75">
        <f>利润表!AF14</f>
        <v>0</v>
      </c>
      <c r="AG26" s="75">
        <f>利润表!AG14</f>
        <v>-6676583</v>
      </c>
      <c r="AH26" s="75">
        <f>利润表!AH14</f>
        <v>2011566</v>
      </c>
      <c r="AI26" s="75">
        <f>利润表!AI14</f>
        <v>3414968</v>
      </c>
      <c r="AJ26" s="75">
        <f>利润表!AJ14</f>
        <v>0</v>
      </c>
      <c r="AK26" s="75">
        <f>利润表!AK14</f>
        <v>-204544825</v>
      </c>
      <c r="AL26" s="75">
        <f>利润表!AL14</f>
        <v>0</v>
      </c>
      <c r="AM26" s="75">
        <f>利润表!AM14</f>
        <v>-124597880</v>
      </c>
      <c r="AN26" s="75">
        <f>利润表!AN14</f>
        <v>-14285911</v>
      </c>
      <c r="AO26" s="75">
        <f>利润表!AO14</f>
        <v>-281318326</v>
      </c>
      <c r="AP26" s="75">
        <f>利润表!AP14</f>
        <v>0</v>
      </c>
      <c r="AQ26" s="75">
        <f>利润表!AQ14</f>
        <v>0</v>
      </c>
      <c r="AR26" s="75">
        <f>利润表!AR14</f>
        <v>0</v>
      </c>
      <c r="AS26" s="75">
        <f>利润表!AS14</f>
        <v>-83656078</v>
      </c>
      <c r="AT26" s="75">
        <f>利润表!AT14</f>
        <v>62470022</v>
      </c>
      <c r="AU26" s="75">
        <f>利润表!AU14</f>
        <v>0</v>
      </c>
      <c r="AV26" s="75">
        <f>利润表!AV14</f>
        <v>0</v>
      </c>
      <c r="AW26" s="75">
        <f>利润表!AW14</f>
        <v>0</v>
      </c>
      <c r="AX26" s="75">
        <f>利润表!AX14</f>
        <v>0</v>
      </c>
      <c r="AY26" s="75">
        <f>利润表!AY14</f>
        <v>0</v>
      </c>
      <c r="AZ26" s="75">
        <f>利润表!AZ14</f>
        <v>0</v>
      </c>
      <c r="BA26" s="75">
        <f>利润表!BA14</f>
        <v>0</v>
      </c>
      <c r="BB26" s="75">
        <f>利润表!BB14</f>
        <v>0</v>
      </c>
      <c r="BC26" s="75">
        <f>利润表!BC14</f>
        <v>0</v>
      </c>
      <c r="BD26" s="75">
        <f>利润表!BD14</f>
        <v>0</v>
      </c>
      <c r="BE26" s="75">
        <f>利润表!BE14</f>
        <v>0</v>
      </c>
      <c r="BF26" s="75">
        <f>利润表!BF14</f>
        <v>0</v>
      </c>
      <c r="BG26" s="75">
        <f>利润表!BG14</f>
        <v>0</v>
      </c>
      <c r="BH26" s="75">
        <f>利润表!BH14</f>
        <v>0</v>
      </c>
      <c r="BI26" s="75">
        <f>利润表!BI14</f>
        <v>0</v>
      </c>
      <c r="BJ26" s="75">
        <f>利润表!BJ14</f>
        <v>0</v>
      </c>
      <c r="BK26" s="75">
        <f>利润表!BK14</f>
        <v>0</v>
      </c>
      <c r="BL26" s="75">
        <f>利润表!BL14</f>
        <v>0</v>
      </c>
      <c r="BM26" s="75">
        <f>利润表!BM14</f>
        <v>0</v>
      </c>
      <c r="BN26" s="75">
        <f>利润表!BN14</f>
        <v>0</v>
      </c>
      <c r="BO26" s="75">
        <f>利润表!BO14</f>
        <v>0</v>
      </c>
      <c r="BP26" s="75">
        <f>利润表!BP14</f>
        <v>0</v>
      </c>
      <c r="BQ26" s="75">
        <f>利润表!BQ14</f>
        <v>0</v>
      </c>
      <c r="BR26" s="75">
        <f>利润表!BR14</f>
        <v>0</v>
      </c>
      <c r="BS26" s="75">
        <f>利润表!BS14</f>
        <v>0</v>
      </c>
      <c r="BT26" s="75">
        <f>利润表!BT14</f>
        <v>0</v>
      </c>
      <c r="BU26" s="75">
        <f>利润表!BU14</f>
        <v>0</v>
      </c>
      <c r="BV26" s="75">
        <f>利润表!BV14</f>
        <v>0</v>
      </c>
      <c r="BW26" s="75">
        <f>利润表!BW14</f>
        <v>0</v>
      </c>
      <c r="BX26" s="75">
        <f>利润表!BX14</f>
        <v>0</v>
      </c>
      <c r="BY26" s="75">
        <f>利润表!BY14</f>
        <v>0</v>
      </c>
      <c r="BZ26" s="75">
        <f>利润表!BZ14</f>
        <v>0</v>
      </c>
      <c r="CA26" s="75">
        <f>利润表!CA14</f>
        <v>0</v>
      </c>
      <c r="CB26" s="75">
        <f>利润表!CB14</f>
        <v>0</v>
      </c>
      <c r="CC26" s="75">
        <f>利润表!CC14</f>
        <v>0</v>
      </c>
      <c r="CD26" s="75">
        <f>利润表!CD14</f>
        <v>0</v>
      </c>
      <c r="CE26" s="75">
        <f>利润表!CE14</f>
        <v>0</v>
      </c>
      <c r="CF26" s="75">
        <f>利润表!CF14</f>
        <v>0</v>
      </c>
      <c r="CG26" s="75">
        <f>利润表!CG14</f>
        <v>0</v>
      </c>
      <c r="CH26" s="75">
        <f>利润表!CH14</f>
        <v>0</v>
      </c>
      <c r="CI26" s="75">
        <f>利润表!CI14</f>
        <v>0</v>
      </c>
      <c r="CJ26" s="75">
        <f>利润表!CJ14</f>
        <v>0</v>
      </c>
    </row>
    <row r="27" spans="1:89" s="75" customFormat="1" x14ac:dyDescent="0.25">
      <c r="A27" s="145" t="s">
        <v>442</v>
      </c>
      <c r="E27" s="75">
        <f>资产资本表!E19</f>
        <v>6928854415</v>
      </c>
      <c r="F27" s="75">
        <f>资产资本表!F19</f>
        <v>2353204156</v>
      </c>
      <c r="G27" s="75">
        <f>资产资本表!G19</f>
        <v>1981030454</v>
      </c>
      <c r="H27" s="75">
        <f>资产资本表!H19</f>
        <v>2002572698</v>
      </c>
      <c r="I27" s="75">
        <f>资产资本表!I19</f>
        <v>1356111395</v>
      </c>
      <c r="J27" s="75">
        <f>资产资本表!J19</f>
        <v>2002226109</v>
      </c>
      <c r="K27" s="75">
        <f>资产资本表!K19</f>
        <v>1700914108</v>
      </c>
      <c r="L27" s="75">
        <f>资产资本表!L19</f>
        <v>1693922362</v>
      </c>
      <c r="M27" s="75">
        <f>资产资本表!M19</f>
        <v>1260302959</v>
      </c>
      <c r="N27" s="75">
        <f>资产资本表!N19</f>
        <v>739896624</v>
      </c>
      <c r="O27" s="75">
        <f>资产资本表!O19</f>
        <v>658876472</v>
      </c>
      <c r="P27" s="75">
        <f>资产资本表!P19</f>
        <v>641755139</v>
      </c>
      <c r="Q27" s="75">
        <f>资产资本表!Q19</f>
        <v>638819435</v>
      </c>
      <c r="R27" s="75">
        <f>资产资本表!R19</f>
        <v>977223524</v>
      </c>
      <c r="S27" s="75">
        <f>资产资本表!S19</f>
        <v>988203148</v>
      </c>
      <c r="T27" s="75">
        <f>资产资本表!T19</f>
        <v>991222703</v>
      </c>
      <c r="U27" s="75">
        <f>资产资本表!U19</f>
        <v>989848083</v>
      </c>
      <c r="V27" s="75">
        <f>资产资本表!V19</f>
        <v>992116907</v>
      </c>
      <c r="W27" s="75">
        <f>资产资本表!W19</f>
        <v>991715815</v>
      </c>
      <c r="X27" s="75">
        <f>资产资本表!X19</f>
        <v>971975116</v>
      </c>
      <c r="Y27" s="75">
        <f>资产资本表!Y19</f>
        <v>971409821</v>
      </c>
      <c r="Z27" s="75">
        <f>资产资本表!Z19</f>
        <v>959560829</v>
      </c>
      <c r="AA27" s="75">
        <f>资产资本表!AA19</f>
        <v>946293066</v>
      </c>
      <c r="AB27" s="75">
        <f>资产资本表!AB19</f>
        <v>957524281</v>
      </c>
      <c r="AC27" s="75">
        <f>资产资本表!AC19</f>
        <v>958879205</v>
      </c>
      <c r="AD27" s="75">
        <f>资产资本表!AD19</f>
        <v>59381694</v>
      </c>
      <c r="AE27" s="75">
        <f>资产资本表!AE19</f>
        <v>60331623</v>
      </c>
      <c r="AF27" s="75">
        <f>资产资本表!AF19</f>
        <v>61881116</v>
      </c>
      <c r="AG27" s="75">
        <f>资产资本表!AG19</f>
        <v>63164307</v>
      </c>
      <c r="AH27" s="75">
        <f>资产资本表!AH19</f>
        <v>65024243</v>
      </c>
      <c r="AI27" s="75">
        <f>资产资本表!AI19</f>
        <v>67004833</v>
      </c>
      <c r="AJ27" s="75">
        <f>资产资本表!AJ19</f>
        <v>62274081</v>
      </c>
      <c r="AK27" s="75">
        <f>资产资本表!AK19</f>
        <v>64230890</v>
      </c>
      <c r="AL27" s="75">
        <f>资产资本表!AL19</f>
        <v>396453171</v>
      </c>
      <c r="AM27" s="75">
        <f>资产资本表!AM19</f>
        <v>209838134</v>
      </c>
      <c r="AN27" s="75">
        <f>资产资本表!AN19</f>
        <v>320045139</v>
      </c>
      <c r="AO27" s="75">
        <f>资产资本表!AO19</f>
        <v>340783862</v>
      </c>
      <c r="AP27" s="75">
        <f>资产资本表!AP19</f>
        <v>553320382</v>
      </c>
      <c r="AQ27" s="75">
        <f>资产资本表!AQ19</f>
        <v>612351087</v>
      </c>
      <c r="AR27" s="75">
        <f>资产资本表!AR19</f>
        <v>625466906</v>
      </c>
      <c r="AS27" s="75">
        <f>资产资本表!AS19</f>
        <v>641652657</v>
      </c>
      <c r="AT27" s="75">
        <f>资产资本表!AT19</f>
        <v>1933155846</v>
      </c>
      <c r="AU27" s="75">
        <f>资产资本表!AU19</f>
        <v>1899604979</v>
      </c>
      <c r="AV27" s="75">
        <f>资产资本表!AV19</f>
        <v>1967960807</v>
      </c>
      <c r="AW27" s="75">
        <f>资产资本表!AW19</f>
        <v>2817778818</v>
      </c>
      <c r="AX27" s="75">
        <f>资产资本表!AX19</f>
        <v>2634553967</v>
      </c>
      <c r="AY27" s="75">
        <f>资产资本表!AY19</f>
        <v>2580944786</v>
      </c>
      <c r="AZ27" s="75">
        <f>资产资本表!AZ19</f>
        <v>2624620305</v>
      </c>
      <c r="BA27" s="75">
        <f>资产资本表!BA19</f>
        <v>2605606712</v>
      </c>
      <c r="BB27" s="75">
        <f>资产资本表!BB19</f>
        <v>2270871525</v>
      </c>
      <c r="BC27" s="75">
        <f>资产资本表!BC19</f>
        <v>2262816984</v>
      </c>
      <c r="BD27" s="75">
        <f>资产资本表!BD19</f>
        <v>2250333852</v>
      </c>
      <c r="BE27" s="75">
        <f>资产资本表!BE19</f>
        <v>2219799838</v>
      </c>
      <c r="BF27" s="75">
        <f>资产资本表!BF19</f>
        <v>2143353650.98</v>
      </c>
      <c r="BG27" s="75">
        <f>资产资本表!BG19</f>
        <v>2065685939.9000001</v>
      </c>
      <c r="BH27" s="75">
        <f>资产资本表!BH19</f>
        <v>2074452135.79</v>
      </c>
      <c r="BI27" s="75">
        <f>资产资本表!BI19</f>
        <v>1993438496</v>
      </c>
      <c r="BJ27" s="75">
        <f>资产资本表!BJ19</f>
        <v>903179170.05999994</v>
      </c>
      <c r="BK27" s="75">
        <f>资产资本表!BK19</f>
        <v>845880901.57000005</v>
      </c>
      <c r="BL27" s="75">
        <f>资产资本表!BL19</f>
        <v>908250874.90999997</v>
      </c>
      <c r="BM27" s="75">
        <f>资产资本表!BM19</f>
        <v>885333370</v>
      </c>
      <c r="BN27" s="75">
        <f>资产资本表!BN19</f>
        <v>876137245.87</v>
      </c>
      <c r="BO27" s="75">
        <f>资产资本表!BO19</f>
        <v>855196372.86000001</v>
      </c>
      <c r="BP27" s="75">
        <f>资产资本表!BP19</f>
        <v>789076874.54999995</v>
      </c>
      <c r="BQ27" s="75">
        <f>资产资本表!BQ19</f>
        <v>840789461</v>
      </c>
      <c r="BR27" s="75">
        <f>资产资本表!BR19</f>
        <v>837779326.84000003</v>
      </c>
      <c r="BS27" s="75">
        <f>资产资本表!BS19</f>
        <v>763187795</v>
      </c>
      <c r="BT27" s="75">
        <f>资产资本表!BT19</f>
        <v>760202945</v>
      </c>
      <c r="BU27" s="75">
        <f>资产资本表!BU19</f>
        <v>725872054</v>
      </c>
      <c r="BV27" s="75">
        <f>资产资本表!BV19</f>
        <v>684704095.50999999</v>
      </c>
      <c r="BW27" s="75">
        <f>资产资本表!BW19</f>
        <v>664774000</v>
      </c>
      <c r="BX27" s="75">
        <f>资产资本表!BX19</f>
        <v>681086144.38</v>
      </c>
      <c r="BY27" s="75">
        <f>资产资本表!BY19</f>
        <v>650061000</v>
      </c>
      <c r="BZ27" s="75">
        <f>资产资本表!BZ19</f>
        <v>524021000</v>
      </c>
      <c r="CA27" s="75">
        <f>资产资本表!CA19</f>
        <v>499012000</v>
      </c>
      <c r="CB27" s="75">
        <f>资产资本表!CB19</f>
        <v>408560000</v>
      </c>
      <c r="CC27" s="75">
        <f>资产资本表!CC19</f>
        <v>319932000</v>
      </c>
      <c r="CD27" s="75">
        <f>资产资本表!CD19</f>
        <v>0</v>
      </c>
      <c r="CE27" s="75">
        <f>资产资本表!CE19</f>
        <v>0</v>
      </c>
      <c r="CF27" s="75">
        <f>资产资本表!CF19</f>
        <v>0</v>
      </c>
      <c r="CG27" s="75">
        <f>资产资本表!CG19</f>
        <v>0</v>
      </c>
      <c r="CH27" s="75">
        <f>资产资本表!CH19</f>
        <v>0</v>
      </c>
      <c r="CI27" s="75">
        <f>资产资本表!CI19</f>
        <v>0</v>
      </c>
      <c r="CJ27" s="75">
        <f>资产资本表!CJ19</f>
        <v>0</v>
      </c>
      <c r="CK27" s="75">
        <f>资产资本表!CK19</f>
        <v>0</v>
      </c>
    </row>
    <row r="28" spans="1:89" s="109" customFormat="1" x14ac:dyDescent="0.25">
      <c r="A28" s="143" t="s">
        <v>443</v>
      </c>
      <c r="E28" s="109">
        <f>E26/E27</f>
        <v>2.4395663391925949E-5</v>
      </c>
      <c r="F28" s="109">
        <f t="shared" ref="F28:BQ28" si="12">F26/F27</f>
        <v>-3.9816485858696574E-3</v>
      </c>
      <c r="G28" s="109">
        <f t="shared" si="12"/>
        <v>-6.9108246025984619E-3</v>
      </c>
      <c r="H28" s="109">
        <f t="shared" si="12"/>
        <v>7.6107399322988269E-4</v>
      </c>
      <c r="I28" s="109">
        <f t="shared" si="12"/>
        <v>-1.1150519828793268E-2</v>
      </c>
      <c r="J28" s="109">
        <f t="shared" si="12"/>
        <v>-4.9289927624253148E-3</v>
      </c>
      <c r="K28" s="109">
        <f t="shared" si="12"/>
        <v>-6.5735012411338055E-3</v>
      </c>
      <c r="L28" s="109">
        <f t="shared" si="12"/>
        <v>-6.1281415446595303E-3</v>
      </c>
      <c r="M28" s="109">
        <f t="shared" si="12"/>
        <v>3.7679345002632814E-3</v>
      </c>
      <c r="N28" s="109">
        <f t="shared" si="12"/>
        <v>1.821101294820883E-2</v>
      </c>
      <c r="O28" s="109">
        <f t="shared" si="12"/>
        <v>1.6022786438183816E-2</v>
      </c>
      <c r="P28" s="109">
        <f t="shared" si="12"/>
        <v>4.5744955070784405E-3</v>
      </c>
      <c r="Q28" s="109">
        <f t="shared" si="12"/>
        <v>5.5883991694773653E-3</v>
      </c>
      <c r="R28" s="109">
        <f t="shared" si="12"/>
        <v>5.9857011792524145E-3</v>
      </c>
      <c r="S28" s="109">
        <f t="shared" si="12"/>
        <v>4.4433778711257454E-3</v>
      </c>
      <c r="T28" s="109">
        <f t="shared" si="12"/>
        <v>1.3867922877872179E-3</v>
      </c>
      <c r="U28" s="109">
        <f t="shared" si="12"/>
        <v>8.8041792974811472E-5</v>
      </c>
      <c r="V28" s="109">
        <f t="shared" si="12"/>
        <v>-1.4517240759006641E-4</v>
      </c>
      <c r="W28" s="109">
        <f t="shared" si="12"/>
        <v>-5.4967258942018591E-4</v>
      </c>
      <c r="X28" s="109">
        <f t="shared" si="12"/>
        <v>5.8159410739482345E-4</v>
      </c>
      <c r="Y28" s="109">
        <f t="shared" si="12"/>
        <v>-6.1337469224536489E-3</v>
      </c>
      <c r="Z28" s="109">
        <f t="shared" si="12"/>
        <v>-1.1456866170180026E-2</v>
      </c>
      <c r="AA28" s="109">
        <f t="shared" si="12"/>
        <v>-6.0941670262645671E-3</v>
      </c>
      <c r="AB28" s="109">
        <f t="shared" si="12"/>
        <v>0</v>
      </c>
      <c r="AC28" s="109">
        <f t="shared" si="12"/>
        <v>-5.4283521562030332E-3</v>
      </c>
      <c r="AD28" s="109">
        <f t="shared" si="12"/>
        <v>-6.3700001552667057E-2</v>
      </c>
      <c r="AE28" s="109">
        <f t="shared" si="12"/>
        <v>0</v>
      </c>
      <c r="AF28" s="109">
        <f t="shared" si="12"/>
        <v>0</v>
      </c>
      <c r="AG28" s="109">
        <f t="shared" si="12"/>
        <v>-0.1057018325238651</v>
      </c>
      <c r="AH28" s="109">
        <f t="shared" si="12"/>
        <v>3.0935631192200115E-2</v>
      </c>
      <c r="AI28" s="109">
        <f t="shared" si="12"/>
        <v>5.0965995243955016E-2</v>
      </c>
      <c r="AJ28" s="109">
        <f t="shared" si="12"/>
        <v>0</v>
      </c>
      <c r="AK28" s="109">
        <f t="shared" si="12"/>
        <v>-3.1845242219125409</v>
      </c>
      <c r="AL28" s="109">
        <f t="shared" si="12"/>
        <v>0</v>
      </c>
      <c r="AM28" s="109">
        <f t="shared" si="12"/>
        <v>-0.59378091877237149</v>
      </c>
      <c r="AN28" s="109">
        <f t="shared" si="12"/>
        <v>-4.4637175382938717E-2</v>
      </c>
      <c r="AO28" s="109">
        <f t="shared" si="12"/>
        <v>-0.82550366190755831</v>
      </c>
      <c r="AP28" s="109">
        <f t="shared" si="12"/>
        <v>0</v>
      </c>
      <c r="AQ28" s="109">
        <f t="shared" si="12"/>
        <v>0</v>
      </c>
      <c r="AR28" s="109">
        <f t="shared" si="12"/>
        <v>0</v>
      </c>
      <c r="AS28" s="109">
        <f t="shared" si="12"/>
        <v>-0.13037595510182701</v>
      </c>
      <c r="AT28" s="109">
        <f t="shared" si="12"/>
        <v>3.2315046988715464E-2</v>
      </c>
      <c r="AU28" s="109">
        <f t="shared" si="12"/>
        <v>0</v>
      </c>
      <c r="AV28" s="109">
        <f t="shared" si="12"/>
        <v>0</v>
      </c>
      <c r="AW28" s="109">
        <f t="shared" si="12"/>
        <v>0</v>
      </c>
      <c r="AX28" s="109">
        <f t="shared" si="12"/>
        <v>0</v>
      </c>
      <c r="AY28" s="109">
        <f t="shared" si="12"/>
        <v>0</v>
      </c>
      <c r="AZ28" s="109">
        <f t="shared" si="12"/>
        <v>0</v>
      </c>
      <c r="BA28" s="109">
        <f t="shared" si="12"/>
        <v>0</v>
      </c>
      <c r="BB28" s="109">
        <f t="shared" si="12"/>
        <v>0</v>
      </c>
      <c r="BC28" s="109">
        <f t="shared" si="12"/>
        <v>0</v>
      </c>
      <c r="BD28" s="109">
        <f t="shared" si="12"/>
        <v>0</v>
      </c>
      <c r="BE28" s="109">
        <f t="shared" si="12"/>
        <v>0</v>
      </c>
      <c r="BF28" s="109">
        <f t="shared" si="12"/>
        <v>0</v>
      </c>
      <c r="BG28" s="109">
        <f t="shared" si="12"/>
        <v>0</v>
      </c>
      <c r="BH28" s="109">
        <f t="shared" si="12"/>
        <v>0</v>
      </c>
      <c r="BI28" s="109">
        <f t="shared" si="12"/>
        <v>0</v>
      </c>
      <c r="BJ28" s="109">
        <f t="shared" si="12"/>
        <v>0</v>
      </c>
      <c r="BK28" s="109">
        <f t="shared" si="12"/>
        <v>0</v>
      </c>
      <c r="BL28" s="109">
        <f t="shared" si="12"/>
        <v>0</v>
      </c>
      <c r="BM28" s="109">
        <f t="shared" si="12"/>
        <v>0</v>
      </c>
      <c r="BN28" s="109">
        <f t="shared" si="12"/>
        <v>0</v>
      </c>
      <c r="BO28" s="109">
        <f t="shared" si="12"/>
        <v>0</v>
      </c>
      <c r="BP28" s="109">
        <f t="shared" si="12"/>
        <v>0</v>
      </c>
      <c r="BQ28" s="109">
        <f t="shared" si="12"/>
        <v>0</v>
      </c>
      <c r="BR28" s="109">
        <f t="shared" ref="BR28:CJ28" si="13">BR26/BR27</f>
        <v>0</v>
      </c>
      <c r="BS28" s="109">
        <f t="shared" si="13"/>
        <v>0</v>
      </c>
      <c r="BT28" s="109">
        <f t="shared" si="13"/>
        <v>0</v>
      </c>
      <c r="BU28" s="109">
        <f t="shared" si="13"/>
        <v>0</v>
      </c>
      <c r="BV28" s="109">
        <f t="shared" si="13"/>
        <v>0</v>
      </c>
      <c r="BW28" s="109">
        <f t="shared" si="13"/>
        <v>0</v>
      </c>
      <c r="BX28" s="109">
        <f t="shared" si="13"/>
        <v>0</v>
      </c>
      <c r="BY28" s="109">
        <f t="shared" si="13"/>
        <v>0</v>
      </c>
      <c r="BZ28" s="109">
        <f t="shared" si="13"/>
        <v>0</v>
      </c>
      <c r="CA28" s="109">
        <f t="shared" si="13"/>
        <v>0</v>
      </c>
      <c r="CB28" s="109">
        <f t="shared" si="13"/>
        <v>0</v>
      </c>
      <c r="CC28" s="109">
        <f t="shared" si="13"/>
        <v>0</v>
      </c>
      <c r="CD28" s="109" t="e">
        <f t="shared" si="13"/>
        <v>#DIV/0!</v>
      </c>
      <c r="CE28" s="109" t="e">
        <f t="shared" si="13"/>
        <v>#DIV/0!</v>
      </c>
      <c r="CF28" s="109" t="e">
        <f t="shared" si="13"/>
        <v>#DIV/0!</v>
      </c>
      <c r="CG28" s="109" t="e">
        <f t="shared" si="13"/>
        <v>#DIV/0!</v>
      </c>
      <c r="CH28" s="109" t="e">
        <f t="shared" si="13"/>
        <v>#DIV/0!</v>
      </c>
      <c r="CI28" s="109" t="e">
        <f t="shared" si="13"/>
        <v>#DIV/0!</v>
      </c>
      <c r="CJ28" s="109" t="e">
        <f t="shared" si="13"/>
        <v>#DIV/0!</v>
      </c>
    </row>
    <row r="29" spans="1:89" s="26" customFormat="1" ht="159.6" customHeight="1" x14ac:dyDescent="0.25">
      <c r="A29" s="288" t="s">
        <v>692</v>
      </c>
      <c r="B29" s="279"/>
      <c r="C29" s="279"/>
      <c r="D29" s="279"/>
      <c r="E29" s="279"/>
      <c r="F29" s="279"/>
      <c r="G29" s="279"/>
      <c r="H29" s="279"/>
      <c r="I29" s="279"/>
      <c r="J29" s="279"/>
      <c r="K29" s="279"/>
      <c r="L29" s="279"/>
      <c r="M29" s="279"/>
      <c r="N29" s="279"/>
      <c r="O29" s="279"/>
      <c r="P29" s="279"/>
      <c r="Q29" s="279"/>
      <c r="R29" s="279"/>
      <c r="S29" s="279"/>
      <c r="T29" s="279"/>
      <c r="U29" s="279"/>
    </row>
    <row r="30" spans="1:89" s="26" customFormat="1" x14ac:dyDescent="0.25">
      <c r="A30" s="17"/>
    </row>
    <row r="31" spans="1:89" s="115" customFormat="1" x14ac:dyDescent="0.25">
      <c r="A31" s="117" t="s">
        <v>444</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35064</v>
      </c>
      <c r="CC31" s="1">
        <v>34699</v>
      </c>
      <c r="CD31" s="1">
        <v>25569</v>
      </c>
      <c r="CE31" s="1"/>
      <c r="CF31" s="1"/>
      <c r="CG31" s="1"/>
      <c r="CH31" s="1"/>
      <c r="CI31" s="1"/>
      <c r="CJ31" s="1"/>
      <c r="CK31" s="1"/>
    </row>
    <row r="32" spans="1:89" s="75" customFormat="1" x14ac:dyDescent="0.25">
      <c r="A32" s="145" t="s">
        <v>448</v>
      </c>
      <c r="E32" s="75">
        <f>股权价值增加表!E29</f>
        <v>669891580.0109303</v>
      </c>
      <c r="F32" s="75">
        <f>股权价值增加表!F29</f>
        <v>22961795.486722797</v>
      </c>
      <c r="G32" s="75">
        <f>股权价值增加表!G29</f>
        <v>12981316.495750844</v>
      </c>
      <c r="H32" s="75">
        <f>股权价值增加表!H29</f>
        <v>26188670.605880693</v>
      </c>
      <c r="I32" s="75">
        <f>股权价值增加表!I29</f>
        <v>-8339690.4310172535</v>
      </c>
      <c r="J32" s="75">
        <f>股权价值增加表!J29</f>
        <v>55133190.517072842</v>
      </c>
      <c r="K32" s="75">
        <f>股权价值增加表!K29</f>
        <v>62611150.495967999</v>
      </c>
      <c r="L32" s="75">
        <f>股权价值增加表!L29</f>
        <v>-20096956.55374755</v>
      </c>
      <c r="M32" s="75">
        <f>股权价值增加表!M29</f>
        <v>113077131.88699687</v>
      </c>
      <c r="N32" s="75">
        <f>股权价值增加表!N29</f>
        <v>45727120.651792467</v>
      </c>
      <c r="O32" s="75">
        <f>股权价值增加表!O29</f>
        <v>116414564.35520191</v>
      </c>
      <c r="P32" s="75">
        <f>股权价值增加表!P29</f>
        <v>77451609.507745266</v>
      </c>
      <c r="Q32" s="75">
        <f>股权价值增加表!Q29</f>
        <v>953188448.53233027</v>
      </c>
      <c r="R32" s="75">
        <f>股权价值增加表!R29</f>
        <v>16548930.861300085</v>
      </c>
      <c r="S32" s="75">
        <f>股权价值增加表!S29</f>
        <v>-24917914.129555784</v>
      </c>
      <c r="T32" s="75">
        <f>股权价值增加表!T29</f>
        <v>-31101945</v>
      </c>
      <c r="U32" s="75">
        <f>股权价值增加表!U29</f>
        <v>633687545.62893808</v>
      </c>
      <c r="V32" s="75">
        <f>股权价值增加表!V29</f>
        <v>6080421.198982399</v>
      </c>
      <c r="W32" s="75">
        <f>股权价值增加表!W29</f>
        <v>11648193.227432232</v>
      </c>
      <c r="X32" s="75">
        <f>股权价值增加表!X29</f>
        <v>2894727</v>
      </c>
      <c r="Y32" s="75">
        <f>股权价值增加表!Y29</f>
        <v>505569865.41150653</v>
      </c>
      <c r="Z32" s="75">
        <f>股权价值增加表!Z29</f>
        <v>11805326.510745576</v>
      </c>
      <c r="AA32" s="75">
        <f>股权价值增加表!AA29</f>
        <v>16104051.064008055</v>
      </c>
      <c r="AB32" s="75">
        <f>股权价值增加表!AB29</f>
        <v>-18323551.004214957</v>
      </c>
      <c r="AC32" s="75">
        <f>股权价值增加表!AC29</f>
        <v>4339694893.8766861</v>
      </c>
      <c r="AD32" s="75">
        <f>股权价值增加表!AD29</f>
        <v>-73497951.856703773</v>
      </c>
      <c r="AE32" s="75">
        <f>股权价值增加表!AE29</f>
        <v>-29043406.237675868</v>
      </c>
      <c r="AF32" s="75">
        <f>股权价值增加表!AF29</f>
        <v>-16440107.133489616</v>
      </c>
      <c r="AG32" s="75">
        <f>股权价值增加表!AG29</f>
        <v>315028677.68643427</v>
      </c>
      <c r="AH32" s="75">
        <f>股权价值增加表!AH29</f>
        <v>-20504067.161199894</v>
      </c>
      <c r="AI32" s="75">
        <f>股权价值增加表!AI29</f>
        <v>-33608489.614910588</v>
      </c>
      <c r="AJ32" s="75">
        <f>股权价值增加表!AJ29</f>
        <v>10501382.483375071</v>
      </c>
      <c r="AK32" s="75">
        <f>股权价值增加表!AK29</f>
        <v>521348880.67954272</v>
      </c>
      <c r="AL32" s="75">
        <f>股权价值增加表!AL29</f>
        <v>-138445689.32280746</v>
      </c>
      <c r="AM32" s="75">
        <f>股权价值增加表!AM29</f>
        <v>836708.94958175614</v>
      </c>
      <c r="AN32" s="75">
        <f>股权价值增加表!AN29</f>
        <v>0</v>
      </c>
      <c r="AO32" s="75">
        <f>股权价值增加表!AO29</f>
        <v>194033570.630804</v>
      </c>
      <c r="AP32" s="75">
        <f>股权价值增加表!AP29</f>
        <v>18084297.201226778</v>
      </c>
      <c r="AQ32" s="75">
        <f>股权价值增加表!AQ29</f>
        <v>46685461.906384163</v>
      </c>
      <c r="AR32" s="75">
        <f>股权价值增加表!AR29</f>
        <v>40294906.519402832</v>
      </c>
      <c r="AS32" s="75">
        <f>股权价值增加表!AS29</f>
        <v>-47650627.143441215</v>
      </c>
      <c r="AT32" s="75">
        <f>股权价值增加表!AT29</f>
        <v>196135040.32147536</v>
      </c>
      <c r="AU32" s="75">
        <f>股权价值增加表!AU29</f>
        <v>173171789.42706156</v>
      </c>
      <c r="AV32" s="75">
        <f>股权价值增加表!AV29</f>
        <v>223957184.15119407</v>
      </c>
      <c r="AW32" s="75">
        <f>股权价值增加表!AW29</f>
        <v>157850132.24130431</v>
      </c>
      <c r="AX32" s="75">
        <f>股权价值增加表!AX29</f>
        <v>138328008.79329079</v>
      </c>
      <c r="AY32" s="75">
        <f>股权价值增加表!AY29</f>
        <v>87652541.816169426</v>
      </c>
      <c r="AZ32" s="75">
        <f>股权价值增加表!AZ29</f>
        <v>39038652.157073863</v>
      </c>
      <c r="BA32" s="75">
        <f>股权价值增加表!BA29</f>
        <v>116348516.31626996</v>
      </c>
      <c r="BB32" s="75">
        <f>股权价值增加表!BB29</f>
        <v>92268177.041598648</v>
      </c>
      <c r="BC32" s="75">
        <f>股权价值增加表!BC29</f>
        <v>67950255.489737794</v>
      </c>
      <c r="BD32" s="75">
        <f>股权价值增加表!BD29</f>
        <v>32969570.024028625</v>
      </c>
      <c r="BE32" s="75">
        <f>股权价值增加表!BE29</f>
        <v>272621211.21569848</v>
      </c>
      <c r="BF32" s="75">
        <f>股权价值增加表!BF29</f>
        <v>194575225.27053523</v>
      </c>
      <c r="BG32" s="75">
        <f>股权价值增加表!BG29</f>
        <v>156042908.06633863</v>
      </c>
      <c r="BH32" s="75">
        <f>股权价值增加表!BH29</f>
        <v>74661194.870321378</v>
      </c>
      <c r="BI32" s="75">
        <f>股权价值增加表!BI29</f>
        <v>50822933.827918395</v>
      </c>
      <c r="BJ32" s="75">
        <f>股权价值增加表!BJ29</f>
        <v>4399259.209958218</v>
      </c>
      <c r="BK32" s="75">
        <f>股权价值增加表!BK29</f>
        <v>5696490.3882444957</v>
      </c>
      <c r="BL32" s="75">
        <f>股权价值增加表!BL29</f>
        <v>12875048.119341411</v>
      </c>
      <c r="BM32" s="75">
        <f>股权价值增加表!BM29</f>
        <v>50053461.696903288</v>
      </c>
      <c r="BN32" s="75">
        <f>股权价值增加表!BN29</f>
        <v>30292444.243619855</v>
      </c>
      <c r="BO32" s="75">
        <f>股权价值增加表!BO29</f>
        <v>14244205.306603186</v>
      </c>
      <c r="BP32" s="75">
        <f>股权价值增加表!BP29</f>
        <v>2188094.5659925193</v>
      </c>
      <c r="BQ32" s="75">
        <f>股权价值增加表!BQ29</f>
        <v>-13008757.013770085</v>
      </c>
      <c r="BR32" s="75">
        <f>股权价值增加表!BR29</f>
        <v>9538679.9168395512</v>
      </c>
      <c r="BS32" s="75">
        <f>股权价值增加表!BS29</f>
        <v>50938842.92177476</v>
      </c>
      <c r="BT32" s="75">
        <f>股权价值增加表!BT29</f>
        <v>27342035.242584903</v>
      </c>
      <c r="BU32" s="75">
        <f>股权价值增加表!BU29</f>
        <v>47700190.183328114</v>
      </c>
      <c r="BV32" s="75">
        <f>股权价值增加表!BV29</f>
        <v>12803296.131855547</v>
      </c>
      <c r="BW32" s="75">
        <f>股权价值增加表!BW29</f>
        <v>37293188.563420616</v>
      </c>
      <c r="BX32" s="75">
        <f>股权价值增加表!BX29</f>
        <v>17647036.398154076</v>
      </c>
      <c r="BY32" s="75">
        <f>股权价值增加表!BY29</f>
        <v>55440031.023998789</v>
      </c>
      <c r="BZ32" s="75">
        <f>股权价值增加表!BZ29</f>
        <v>29351741.024703167</v>
      </c>
      <c r="CA32" s="75">
        <f>股权价值增加表!CA29</f>
        <v>103458334.89537182</v>
      </c>
      <c r="CB32" s="75">
        <f>股权价值增加表!CB29</f>
        <v>105387619.58714455</v>
      </c>
      <c r="CC32" s="75">
        <f>股权价值增加表!CC29</f>
        <v>99638380.758230999</v>
      </c>
      <c r="CD32" s="75" t="e">
        <f>股权价值增加表!CD29</f>
        <v>#DIV/0!</v>
      </c>
      <c r="CE32" s="75">
        <f>股权价值增加表!CE29</f>
        <v>-20081000</v>
      </c>
      <c r="CF32" s="75">
        <f>股权价值增加表!CF29</f>
        <v>-14354563.84</v>
      </c>
      <c r="CG32" s="75" t="e">
        <f>股权价值增加表!CG29</f>
        <v>#DIV/0!</v>
      </c>
      <c r="CH32" s="75" t="e">
        <f>股权价值增加表!CH29</f>
        <v>#DIV/0!</v>
      </c>
      <c r="CI32" s="75" t="e">
        <f>股权价值增加表!CI29</f>
        <v>#DIV/0!</v>
      </c>
      <c r="CJ32" s="75" t="e">
        <f>股权价值增加表!CJ29</f>
        <v>#DIV/0!</v>
      </c>
    </row>
    <row r="33" spans="1:89" s="75" customFormat="1" x14ac:dyDescent="0.25">
      <c r="A33" s="146" t="s">
        <v>449</v>
      </c>
    </row>
    <row r="34" spans="1:89" s="75" customFormat="1" x14ac:dyDescent="0.25">
      <c r="A34" s="145" t="s">
        <v>450</v>
      </c>
      <c r="E34" s="75">
        <f>资产资本表!E4</f>
        <v>57128659576</v>
      </c>
      <c r="F34" s="75">
        <f>资产资本表!F4</f>
        <v>53519407759</v>
      </c>
      <c r="G34" s="75">
        <f>资产资本表!G4</f>
        <v>50760400727</v>
      </c>
      <c r="H34" s="75">
        <f>资产资本表!H4</f>
        <v>51228997839</v>
      </c>
      <c r="I34" s="75">
        <f>资产资本表!I4</f>
        <v>58152817223</v>
      </c>
      <c r="J34" s="75">
        <f>资产资本表!J4</f>
        <v>41018466851</v>
      </c>
      <c r="K34" s="75">
        <f>资产资本表!K4</f>
        <v>44519079579</v>
      </c>
      <c r="L34" s="75">
        <f>资产资本表!L4</f>
        <v>47770767906</v>
      </c>
      <c r="M34" s="75">
        <f>资产资本表!M4</f>
        <v>38866861836</v>
      </c>
      <c r="N34" s="75">
        <f>资产资本表!N4</f>
        <v>34825388176</v>
      </c>
      <c r="O34" s="75">
        <f>资产资本表!O4</f>
        <v>35265302750</v>
      </c>
      <c r="P34" s="75">
        <f>资产资本表!P4</f>
        <v>36572785233</v>
      </c>
      <c r="Q34" s="75">
        <f>资产资本表!Q4</f>
        <v>40172401999</v>
      </c>
      <c r="R34" s="75">
        <f>资产资本表!R4</f>
        <v>40661271821</v>
      </c>
      <c r="S34" s="75">
        <f>资产资本表!S4</f>
        <v>44591345895</v>
      </c>
      <c r="T34" s="75">
        <f>资产资本表!T4</f>
        <v>50531922101</v>
      </c>
      <c r="U34" s="75">
        <f>资产资本表!U4</f>
        <v>20464553422</v>
      </c>
      <c r="V34" s="75">
        <f>资产资本表!V4</f>
        <v>23365935107</v>
      </c>
      <c r="W34" s="75">
        <f>资产资本表!W4</f>
        <v>28542101405</v>
      </c>
      <c r="X34" s="75">
        <f>资产资本表!X4</f>
        <v>16540286439</v>
      </c>
      <c r="Y34" s="75">
        <f>资产资本表!Y4</f>
        <v>15211851133</v>
      </c>
      <c r="Z34" s="75">
        <f>资产资本表!Z4</f>
        <v>14039248421</v>
      </c>
      <c r="AA34" s="75">
        <f>资产资本表!AA4</f>
        <v>15575508881</v>
      </c>
      <c r="AB34" s="75">
        <f>资产资本表!AB4</f>
        <v>15956853365</v>
      </c>
      <c r="AC34" s="75">
        <f>资产资本表!AC4</f>
        <v>20325469116</v>
      </c>
      <c r="AD34" s="75">
        <f>资产资本表!AD4</f>
        <v>19684537758</v>
      </c>
      <c r="AE34" s="75">
        <f>资产资本表!AE4</f>
        <v>22317926668</v>
      </c>
      <c r="AF34" s="75">
        <f>资产资本表!AF4</f>
        <v>20830639175</v>
      </c>
      <c r="AG34" s="75">
        <f>资产资本表!AG4</f>
        <v>23997831673</v>
      </c>
      <c r="AH34" s="75">
        <f>资产资本表!AH4</f>
        <v>16503919807</v>
      </c>
      <c r="AI34" s="75">
        <f>资产资本表!AI4</f>
        <v>17427462074</v>
      </c>
      <c r="AJ34" s="75">
        <f>资产资本表!AJ4</f>
        <v>16281329810</v>
      </c>
      <c r="AK34" s="75">
        <f>资产资本表!AK4</f>
        <v>15836411922</v>
      </c>
      <c r="AL34" s="75">
        <f>资产资本表!AL4</f>
        <v>13283122033</v>
      </c>
      <c r="AM34" s="75">
        <f>资产资本表!AM4</f>
        <v>14078586689</v>
      </c>
      <c r="AN34" s="75">
        <f>资产资本表!AN4</f>
        <v>4100971349</v>
      </c>
      <c r="AO34" s="75">
        <f>资产资本表!AO4</f>
        <v>3903740704</v>
      </c>
      <c r="AP34" s="75">
        <f>资产资本表!AP4</f>
        <v>2984353149</v>
      </c>
      <c r="AQ34" s="75">
        <f>资产资本表!AQ4</f>
        <v>1620166213</v>
      </c>
      <c r="AR34" s="75">
        <f>资产资本表!AR4</f>
        <v>1633981977</v>
      </c>
      <c r="AS34" s="75">
        <f>资产资本表!AS4</f>
        <v>1704436404</v>
      </c>
      <c r="AT34" s="75">
        <f>资产资本表!AT4</f>
        <v>2119100548</v>
      </c>
      <c r="AU34" s="75">
        <f>资产资本表!AU4</f>
        <v>1920791106</v>
      </c>
      <c r="AV34" s="75">
        <f>资产资本表!AV4</f>
        <v>1887177195</v>
      </c>
      <c r="AW34" s="75">
        <f>资产资本表!AW4</f>
        <v>1809217235</v>
      </c>
      <c r="AX34" s="75">
        <f>资产资本表!AX4</f>
        <v>2395946480</v>
      </c>
      <c r="AY34" s="75">
        <f>资产资本表!AY4</f>
        <v>1510409463</v>
      </c>
      <c r="AZ34" s="75">
        <f>资产资本表!AZ4</f>
        <v>1894571073</v>
      </c>
      <c r="BA34" s="75">
        <f>资产资本表!BA4</f>
        <v>2080680420</v>
      </c>
      <c r="BB34" s="75">
        <f>资产资本表!BB4</f>
        <v>3677332912</v>
      </c>
      <c r="BC34" s="75">
        <f>资产资本表!BC4</f>
        <v>4793160032</v>
      </c>
      <c r="BD34" s="75">
        <f>资产资本表!BD4</f>
        <v>1704577066</v>
      </c>
      <c r="BE34" s="75">
        <f>资产资本表!BE4</f>
        <v>1834288334</v>
      </c>
      <c r="BF34" s="75">
        <f>资产资本表!BF4</f>
        <v>3656404811.3099999</v>
      </c>
      <c r="BG34" s="75">
        <f>资产资本表!BG4</f>
        <v>2790569226.0900002</v>
      </c>
      <c r="BH34" s="75">
        <f>资产资本表!BH4</f>
        <v>3462370529.1199999</v>
      </c>
      <c r="BI34" s="75">
        <f>资产资本表!BI4</f>
        <v>2251459425</v>
      </c>
      <c r="BJ34" s="75">
        <f>资产资本表!BJ4</f>
        <v>1747470380.95</v>
      </c>
      <c r="BK34" s="75">
        <f>资产资本表!BK4</f>
        <v>1812508377.8900001</v>
      </c>
      <c r="BL34" s="75">
        <f>资产资本表!BL4</f>
        <v>2079395236.02</v>
      </c>
      <c r="BM34" s="75">
        <f>资产资本表!BM4</f>
        <v>2294225705</v>
      </c>
      <c r="BN34" s="75">
        <f>资产资本表!BN4</f>
        <v>1161267124.49</v>
      </c>
      <c r="BO34" s="75">
        <f>资产资本表!BO4</f>
        <v>1007925671.23</v>
      </c>
      <c r="BP34" s="75">
        <f>资产资本表!BP4</f>
        <v>1214123990.8</v>
      </c>
      <c r="BQ34" s="75">
        <f>资产资本表!BQ4</f>
        <v>1182597735</v>
      </c>
      <c r="BR34" s="75">
        <f>资产资本表!BR4</f>
        <v>1273594641.9100001</v>
      </c>
      <c r="BS34" s="75">
        <f>资产资本表!BS4</f>
        <v>1405962761</v>
      </c>
      <c r="BT34" s="75">
        <f>资产资本表!BT4</f>
        <v>461243462</v>
      </c>
      <c r="BU34" s="75">
        <f>资产资本表!BU4</f>
        <v>329471420</v>
      </c>
      <c r="BV34" s="75">
        <f>资产资本表!BV4</f>
        <v>365063684.08999997</v>
      </c>
      <c r="BW34" s="75">
        <f>资产资本表!BW4</f>
        <v>333875000</v>
      </c>
      <c r="BX34" s="75">
        <f>资产资本表!BX4</f>
        <v>324860877.75</v>
      </c>
      <c r="BY34" s="75">
        <f>资产资本表!BY4</f>
        <v>412086000</v>
      </c>
      <c r="BZ34" s="75">
        <f>资产资本表!BZ4</f>
        <v>0</v>
      </c>
      <c r="CA34" s="75">
        <f>资产资本表!CA4</f>
        <v>47734000</v>
      </c>
      <c r="CB34" s="75">
        <f>资产资本表!CB4</f>
        <v>41349000</v>
      </c>
      <c r="CC34" s="75">
        <f>资产资本表!CC4</f>
        <v>27882000</v>
      </c>
      <c r="CD34" s="75">
        <f>资产资本表!CD4</f>
        <v>0</v>
      </c>
      <c r="CE34" s="75">
        <f>资产资本表!CE4</f>
        <v>0</v>
      </c>
      <c r="CF34" s="75">
        <f>资产资本表!CF4</f>
        <v>0</v>
      </c>
      <c r="CG34" s="75">
        <f>资产资本表!CG4</f>
        <v>0</v>
      </c>
      <c r="CH34" s="75">
        <f>资产资本表!CH4</f>
        <v>0</v>
      </c>
      <c r="CI34" s="75">
        <f>资产资本表!CI4</f>
        <v>0</v>
      </c>
      <c r="CJ34" s="75">
        <f>资产资本表!CJ4</f>
        <v>0</v>
      </c>
    </row>
    <row r="35" spans="1:89" s="75" customFormat="1" x14ac:dyDescent="0.25">
      <c r="A35" s="145" t="s">
        <v>451</v>
      </c>
      <c r="E35" s="75">
        <f>利润表!E12</f>
        <v>32048211</v>
      </c>
      <c r="F35" s="75">
        <f>利润表!F12</f>
        <v>0</v>
      </c>
      <c r="G35" s="75">
        <f>利润表!G12</f>
        <v>0</v>
      </c>
      <c r="H35" s="75">
        <f>利润表!H12</f>
        <v>371955</v>
      </c>
      <c r="I35" s="75">
        <f>利润表!I12</f>
        <v>0</v>
      </c>
      <c r="J35" s="75">
        <f>利润表!J12</f>
        <v>21846353</v>
      </c>
      <c r="K35" s="75">
        <f>利润表!K12</f>
        <v>4623937</v>
      </c>
      <c r="L35" s="75">
        <f>利润表!L12</f>
        <v>0</v>
      </c>
      <c r="M35" s="75">
        <f>利润表!M12</f>
        <v>0</v>
      </c>
      <c r="N35" s="75">
        <f>利润表!N12</f>
        <v>0</v>
      </c>
      <c r="O35" s="75">
        <f>利润表!O12</f>
        <v>0</v>
      </c>
      <c r="P35" s="75">
        <f>利润表!P12</f>
        <v>0</v>
      </c>
      <c r="Q35" s="75">
        <f>利润表!Q12</f>
        <v>0</v>
      </c>
      <c r="R35" s="75">
        <f>利润表!R12</f>
        <v>0</v>
      </c>
      <c r="S35" s="75">
        <f>利润表!S12</f>
        <v>0</v>
      </c>
      <c r="T35" s="75">
        <f>利润表!T12</f>
        <v>0</v>
      </c>
      <c r="U35" s="75">
        <f>利润表!U12</f>
        <v>0</v>
      </c>
      <c r="V35" s="75">
        <f>利润表!V12</f>
        <v>0</v>
      </c>
      <c r="W35" s="75">
        <f>利润表!W12</f>
        <v>0</v>
      </c>
      <c r="X35" s="75">
        <f>利润表!X12</f>
        <v>0</v>
      </c>
      <c r="Y35" s="75">
        <f>利润表!Y12</f>
        <v>0</v>
      </c>
      <c r="Z35" s="75">
        <f>利润表!Z12</f>
        <v>0</v>
      </c>
      <c r="AA35" s="75">
        <f>利润表!AA12</f>
        <v>0</v>
      </c>
      <c r="AB35" s="75">
        <f>利润表!AB12</f>
        <v>0</v>
      </c>
      <c r="AC35" s="75">
        <f>利润表!AC12</f>
        <v>-67794013</v>
      </c>
      <c r="AD35" s="75">
        <f>利润表!AD12</f>
        <v>-8670137</v>
      </c>
      <c r="AE35" s="75">
        <f>利润表!AE12</f>
        <v>-8670137</v>
      </c>
      <c r="AF35" s="75">
        <f>利润表!AF12</f>
        <v>-8670137</v>
      </c>
      <c r="AG35" s="75">
        <f>利润表!AG12</f>
        <v>67794013</v>
      </c>
      <c r="AH35" s="75">
        <f>利润表!AH12</f>
        <v>0</v>
      </c>
      <c r="AI35" s="75">
        <f>利润表!AI12</f>
        <v>0</v>
      </c>
      <c r="AJ35" s="75">
        <f>利润表!AJ12</f>
        <v>0</v>
      </c>
      <c r="AK35" s="75">
        <f>利润表!AK12</f>
        <v>0</v>
      </c>
      <c r="AL35" s="75">
        <f>利润表!AL12</f>
        <v>0</v>
      </c>
      <c r="AM35" s="75">
        <f>利润表!AM12</f>
        <v>0</v>
      </c>
      <c r="AN35" s="75">
        <f>利润表!AN12</f>
        <v>0</v>
      </c>
      <c r="AO35" s="75">
        <f>利润表!AO12</f>
        <v>0</v>
      </c>
      <c r="AP35" s="75">
        <f>利润表!AP12</f>
        <v>0</v>
      </c>
      <c r="AQ35" s="75">
        <f>利润表!AQ12</f>
        <v>0</v>
      </c>
      <c r="AR35" s="75">
        <f>利润表!AR12</f>
        <v>0</v>
      </c>
      <c r="AS35" s="75">
        <f>利润表!AS12</f>
        <v>0</v>
      </c>
      <c r="AT35" s="75">
        <f>利润表!AT12</f>
        <v>0</v>
      </c>
      <c r="AU35" s="75">
        <f>利润表!AU12</f>
        <v>0</v>
      </c>
      <c r="AV35" s="75">
        <f>利润表!AV12</f>
        <v>0</v>
      </c>
      <c r="AW35" s="75">
        <f>利润表!AW12</f>
        <v>0</v>
      </c>
      <c r="AX35" s="75">
        <f>利润表!AX12</f>
        <v>0</v>
      </c>
      <c r="AY35" s="75">
        <f>利润表!AY12</f>
        <v>0</v>
      </c>
      <c r="AZ35" s="75">
        <f>利润表!AZ12</f>
        <v>0</v>
      </c>
      <c r="BA35" s="75">
        <f>利润表!BA12</f>
        <v>0</v>
      </c>
      <c r="BB35" s="75">
        <f>利润表!BB12</f>
        <v>0</v>
      </c>
      <c r="BC35" s="75">
        <f>利润表!BC12</f>
        <v>0</v>
      </c>
      <c r="BD35" s="75">
        <f>利润表!BD12</f>
        <v>0</v>
      </c>
      <c r="BE35" s="75">
        <f>利润表!BE12</f>
        <v>0</v>
      </c>
      <c r="BF35" s="75">
        <f>利润表!BF12</f>
        <v>0</v>
      </c>
      <c r="BG35" s="75">
        <f>利润表!BG12</f>
        <v>0</v>
      </c>
      <c r="BH35" s="75">
        <f>利润表!BH12</f>
        <v>0</v>
      </c>
      <c r="BI35" s="75">
        <f>利润表!BI12</f>
        <v>0</v>
      </c>
      <c r="BJ35" s="75">
        <f>利润表!BJ12</f>
        <v>0</v>
      </c>
      <c r="BK35" s="75">
        <f>利润表!BK12</f>
        <v>0</v>
      </c>
      <c r="BL35" s="75">
        <f>利润表!BL12</f>
        <v>0</v>
      </c>
      <c r="BM35" s="75">
        <f>利润表!BM12</f>
        <v>0</v>
      </c>
      <c r="BN35" s="75">
        <f>利润表!BN12</f>
        <v>0</v>
      </c>
      <c r="BO35" s="75">
        <f>利润表!BO12</f>
        <v>0</v>
      </c>
      <c r="BP35" s="75">
        <f>利润表!BP12</f>
        <v>0</v>
      </c>
      <c r="BQ35" s="75">
        <f>利润表!BQ12</f>
        <v>0</v>
      </c>
      <c r="BR35" s="75">
        <f>利润表!BR12</f>
        <v>0</v>
      </c>
      <c r="BS35" s="75">
        <f>利润表!BS12</f>
        <v>0</v>
      </c>
      <c r="BT35" s="75">
        <f>利润表!BT12</f>
        <v>0</v>
      </c>
      <c r="BU35" s="75">
        <f>利润表!BU12</f>
        <v>0</v>
      </c>
      <c r="BV35" s="75">
        <f>利润表!BV12</f>
        <v>0</v>
      </c>
      <c r="BW35" s="75">
        <f>利润表!BW12</f>
        <v>0</v>
      </c>
      <c r="BX35" s="75">
        <f>利润表!BX12</f>
        <v>0</v>
      </c>
      <c r="BY35" s="75">
        <f>利润表!BY12</f>
        <v>0</v>
      </c>
      <c r="BZ35" s="75">
        <f>利润表!BZ12</f>
        <v>0</v>
      </c>
      <c r="CA35" s="75">
        <f>利润表!CA12</f>
        <v>0</v>
      </c>
      <c r="CB35" s="75">
        <f>利润表!CB12</f>
        <v>0</v>
      </c>
      <c r="CC35" s="75">
        <f>利润表!CC12</f>
        <v>0</v>
      </c>
      <c r="CD35" s="75">
        <f>利润表!CD12</f>
        <v>0</v>
      </c>
      <c r="CE35" s="75">
        <f>利润表!CE12</f>
        <v>0</v>
      </c>
      <c r="CF35" s="75">
        <f>利润表!CF12</f>
        <v>0</v>
      </c>
      <c r="CG35" s="75">
        <f>利润表!CG12</f>
        <v>0</v>
      </c>
      <c r="CH35" s="75">
        <f>利润表!CH12</f>
        <v>0</v>
      </c>
      <c r="CI35" s="75">
        <f>利润表!CI12</f>
        <v>0</v>
      </c>
      <c r="CJ35" s="75">
        <f>利润表!CJ12</f>
        <v>0</v>
      </c>
    </row>
    <row r="36" spans="1:89" s="75" customFormat="1" x14ac:dyDescent="0.25">
      <c r="A36" s="145" t="s">
        <v>452</v>
      </c>
      <c r="E36" s="75">
        <f>资产资本表!E13</f>
        <v>89628559</v>
      </c>
      <c r="F36" s="75">
        <f>资产资本表!F13</f>
        <v>102086542</v>
      </c>
      <c r="G36" s="75">
        <f>资产资本表!G13</f>
        <v>89188241</v>
      </c>
      <c r="H36" s="75">
        <f>资产资本表!H13</f>
        <v>101354581</v>
      </c>
      <c r="I36" s="75">
        <f>资产资本表!I13</f>
        <v>125141573</v>
      </c>
      <c r="J36" s="75">
        <f>资产资本表!J13</f>
        <v>95871850</v>
      </c>
      <c r="K36" s="75">
        <f>资产资本表!K13</f>
        <v>107730119</v>
      </c>
      <c r="L36" s="75">
        <f>资产资本表!L13</f>
        <v>102873613</v>
      </c>
      <c r="M36" s="75">
        <f>资产资本表!M13</f>
        <v>194518278</v>
      </c>
      <c r="N36" s="75">
        <f>资产资本表!N13</f>
        <v>251422668</v>
      </c>
      <c r="O36" s="75">
        <f>资产资本表!O13</f>
        <v>241603019</v>
      </c>
      <c r="P36" s="75">
        <f>资产资本表!P13</f>
        <v>289509584</v>
      </c>
      <c r="Q36" s="75">
        <f>资产资本表!Q13</f>
        <v>275877747</v>
      </c>
      <c r="R36" s="75">
        <f>资产资本表!R13</f>
        <v>304242276</v>
      </c>
      <c r="S36" s="75">
        <f>资产资本表!S13</f>
        <v>211529571</v>
      </c>
      <c r="T36" s="75">
        <f>资产资本表!T13</f>
        <v>78249771</v>
      </c>
      <c r="U36" s="75">
        <f>资产资本表!U13</f>
        <v>109045546</v>
      </c>
      <c r="V36" s="75">
        <f>资产资本表!V13</f>
        <v>96346279</v>
      </c>
      <c r="W36" s="75">
        <f>资产资本表!W13</f>
        <v>82336282</v>
      </c>
      <c r="X36" s="75">
        <f>资产资本表!X13</f>
        <v>39178603</v>
      </c>
      <c r="Y36" s="75">
        <f>资产资本表!Y13</f>
        <v>30850933</v>
      </c>
      <c r="Z36" s="75">
        <f>资产资本表!Z13</f>
        <v>37642050</v>
      </c>
      <c r="AA36" s="75">
        <f>资产资本表!AA13</f>
        <v>46241459</v>
      </c>
      <c r="AB36" s="75">
        <f>资产资本表!AB13</f>
        <v>67999851</v>
      </c>
      <c r="AC36" s="75">
        <f>资产资本表!AC13</f>
        <v>105243519</v>
      </c>
      <c r="AD36" s="75">
        <f>资产资本表!AD13</f>
        <v>86537208</v>
      </c>
      <c r="AE36" s="75">
        <f>资产资本表!AE13</f>
        <v>80535776</v>
      </c>
      <c r="AF36" s="75">
        <f>资产资本表!AF13</f>
        <v>57234109</v>
      </c>
      <c r="AG36" s="75">
        <f>资产资本表!AG13</f>
        <v>57851997</v>
      </c>
      <c r="AH36" s="75">
        <f>资产资本表!AH13</f>
        <v>50151702</v>
      </c>
      <c r="AI36" s="75">
        <f>资产资本表!AI13</f>
        <v>30321304</v>
      </c>
      <c r="AJ36" s="75">
        <f>资产资本表!AJ13</f>
        <v>38198522</v>
      </c>
      <c r="AK36" s="75">
        <f>资产资本表!AK13</f>
        <v>36303904</v>
      </c>
      <c r="AL36" s="75">
        <f>资产资本表!AL13</f>
        <v>24206069</v>
      </c>
      <c r="AM36" s="75">
        <f>资产资本表!AM13</f>
        <v>18713672</v>
      </c>
      <c r="AN36" s="75">
        <f>资产资本表!AN13</f>
        <v>6192252</v>
      </c>
      <c r="AO36" s="75">
        <f>资产资本表!AO13</f>
        <v>6561758</v>
      </c>
      <c r="AP36" s="75">
        <f>资产资本表!AP13</f>
        <v>4758428</v>
      </c>
      <c r="AQ36" s="75">
        <f>资产资本表!AQ13</f>
        <v>1818092</v>
      </c>
      <c r="AR36" s="75">
        <f>资产资本表!AR13</f>
        <v>467594</v>
      </c>
      <c r="AS36" s="75">
        <f>资产资本表!AS13</f>
        <v>1516906</v>
      </c>
      <c r="AT36" s="75">
        <f>资产资本表!AT13</f>
        <v>3315917</v>
      </c>
      <c r="AU36" s="75">
        <f>资产资本表!AU13</f>
        <v>8856198</v>
      </c>
      <c r="AV36" s="75">
        <f>资产资本表!AV13</f>
        <v>5514140</v>
      </c>
      <c r="AW36" s="75">
        <f>资产资本表!AW13</f>
        <v>0</v>
      </c>
      <c r="AX36" s="75">
        <f>资产资本表!AX13</f>
        <v>0</v>
      </c>
      <c r="AY36" s="75">
        <f>资产资本表!AY13</f>
        <v>0</v>
      </c>
      <c r="AZ36" s="75">
        <f>资产资本表!AZ13</f>
        <v>0</v>
      </c>
      <c r="BA36" s="75">
        <f>资产资本表!BA13</f>
        <v>0</v>
      </c>
      <c r="BB36" s="75">
        <f>资产资本表!BB13</f>
        <v>6894406</v>
      </c>
      <c r="BC36" s="75">
        <f>资产资本表!BC13</f>
        <v>5024157</v>
      </c>
      <c r="BD36" s="75">
        <f>资产资本表!BD13</f>
        <v>9542814</v>
      </c>
      <c r="BE36" s="75">
        <f>资产资本表!BE13</f>
        <v>4632591</v>
      </c>
      <c r="BF36" s="75">
        <f>资产资本表!BF13</f>
        <v>3089731.38</v>
      </c>
      <c r="BG36" s="75">
        <f>资产资本表!BG13</f>
        <v>2471914.25</v>
      </c>
      <c r="BH36" s="75">
        <f>资产资本表!BH13</f>
        <v>7266074.0599999996</v>
      </c>
      <c r="BI36" s="75">
        <f>资产资本表!BI13</f>
        <v>0</v>
      </c>
      <c r="BJ36" s="75">
        <f>资产资本表!BJ13</f>
        <v>1793702.38</v>
      </c>
      <c r="BK36" s="75">
        <f>资产资本表!BK13</f>
        <v>5429884.2599999998</v>
      </c>
      <c r="BL36" s="75">
        <f>资产资本表!BL13</f>
        <v>825550.82</v>
      </c>
      <c r="BM36" s="75">
        <f>资产资本表!BM13</f>
        <v>0</v>
      </c>
      <c r="BN36" s="75">
        <f>资产资本表!BN13</f>
        <v>0</v>
      </c>
      <c r="BO36" s="75">
        <f>资产资本表!BO13</f>
        <v>0</v>
      </c>
      <c r="BP36" s="75">
        <f>资产资本表!BP13</f>
        <v>0</v>
      </c>
      <c r="BQ36" s="75">
        <f>资产资本表!BQ13</f>
        <v>0</v>
      </c>
      <c r="BR36" s="75">
        <f>资产资本表!BR13</f>
        <v>0</v>
      </c>
      <c r="BS36" s="75">
        <f>资产资本表!BS13</f>
        <v>0</v>
      </c>
      <c r="BT36" s="75">
        <f>资产资本表!BT13</f>
        <v>0</v>
      </c>
      <c r="BU36" s="75">
        <f>资产资本表!BU13</f>
        <v>0</v>
      </c>
      <c r="BV36" s="75">
        <f>资产资本表!BV13</f>
        <v>0</v>
      </c>
      <c r="BW36" s="75">
        <f>资产资本表!BW13</f>
        <v>0</v>
      </c>
      <c r="BX36" s="75">
        <f>资产资本表!BX13</f>
        <v>0</v>
      </c>
      <c r="BY36" s="75">
        <f>资产资本表!BY13</f>
        <v>0</v>
      </c>
      <c r="BZ36" s="75">
        <f>资产资本表!BZ13</f>
        <v>0</v>
      </c>
      <c r="CA36" s="75">
        <f>资产资本表!CA13</f>
        <v>0</v>
      </c>
      <c r="CB36" s="75">
        <f>资产资本表!CB13</f>
        <v>0</v>
      </c>
      <c r="CC36" s="75">
        <f>资产资本表!CC13</f>
        <v>0</v>
      </c>
      <c r="CD36" s="75">
        <f>资产资本表!CD13</f>
        <v>0</v>
      </c>
      <c r="CE36" s="75">
        <f>资产资本表!CE13</f>
        <v>0</v>
      </c>
      <c r="CF36" s="75">
        <f>资产资本表!CF13</f>
        <v>0</v>
      </c>
      <c r="CG36" s="75">
        <f>资产资本表!CG13</f>
        <v>0</v>
      </c>
      <c r="CH36" s="75">
        <f>资产资本表!CH13</f>
        <v>0</v>
      </c>
      <c r="CI36" s="75">
        <f>资产资本表!CI13</f>
        <v>0</v>
      </c>
      <c r="CJ36" s="75">
        <f>资产资本表!CJ13</f>
        <v>0</v>
      </c>
    </row>
    <row r="37" spans="1:89" s="75" customFormat="1" x14ac:dyDescent="0.25">
      <c r="A37" s="145" t="s">
        <v>453</v>
      </c>
      <c r="E37" s="75">
        <f>资产资本表!E11</f>
        <v>0</v>
      </c>
      <c r="F37" s="75">
        <f>资产资本表!F11</f>
        <v>0</v>
      </c>
      <c r="G37" s="75">
        <f>资产资本表!G11</f>
        <v>10250449</v>
      </c>
      <c r="H37" s="75">
        <f>资产资本表!H11</f>
        <v>0</v>
      </c>
      <c r="I37" s="75">
        <f>资产资本表!I11</f>
        <v>0</v>
      </c>
      <c r="J37" s="75">
        <f>资产资本表!J11</f>
        <v>0</v>
      </c>
      <c r="K37" s="75">
        <f>资产资本表!K11</f>
        <v>6651480</v>
      </c>
      <c r="L37" s="75">
        <f>资产资本表!L11</f>
        <v>0</v>
      </c>
      <c r="M37" s="75">
        <f>资产资本表!M11</f>
        <v>0</v>
      </c>
      <c r="N37" s="75">
        <f>资产资本表!N11</f>
        <v>0</v>
      </c>
      <c r="O37" s="75">
        <f>资产资本表!O11</f>
        <v>0</v>
      </c>
      <c r="P37" s="75">
        <f>资产资本表!P11</f>
        <v>0</v>
      </c>
      <c r="Q37" s="75">
        <f>资产资本表!Q11</f>
        <v>0</v>
      </c>
      <c r="R37" s="75">
        <f>资产资本表!R11</f>
        <v>0</v>
      </c>
      <c r="S37" s="75">
        <f>资产资本表!S11</f>
        <v>0</v>
      </c>
      <c r="T37" s="75">
        <f>资产资本表!T11</f>
        <v>0</v>
      </c>
      <c r="U37" s="75">
        <f>资产资本表!U11</f>
        <v>0</v>
      </c>
      <c r="V37" s="75">
        <f>资产资本表!V11</f>
        <v>0</v>
      </c>
      <c r="W37" s="75">
        <f>资产资本表!W11</f>
        <v>0</v>
      </c>
      <c r="X37" s="75">
        <f>资产资本表!X11</f>
        <v>0</v>
      </c>
      <c r="Y37" s="75">
        <f>资产资本表!Y11</f>
        <v>0</v>
      </c>
      <c r="Z37" s="75">
        <f>资产资本表!Z11</f>
        <v>0</v>
      </c>
      <c r="AA37" s="75">
        <f>资产资本表!AA11</f>
        <v>0</v>
      </c>
      <c r="AB37" s="75">
        <f>资产资本表!AB11</f>
        <v>0</v>
      </c>
      <c r="AC37" s="75">
        <f>资产资本表!AC11</f>
        <v>0</v>
      </c>
      <c r="AD37" s="75">
        <f>资产资本表!AD11</f>
        <v>0</v>
      </c>
      <c r="AE37" s="75">
        <f>资产资本表!AE11</f>
        <v>0</v>
      </c>
      <c r="AF37" s="75">
        <f>资产资本表!AF11</f>
        <v>0</v>
      </c>
      <c r="AG37" s="75">
        <f>资产资本表!AG11</f>
        <v>0</v>
      </c>
      <c r="AH37" s="75">
        <f>资产资本表!AH11</f>
        <v>0</v>
      </c>
      <c r="AI37" s="75">
        <f>资产资本表!AI11</f>
        <v>0</v>
      </c>
      <c r="AJ37" s="75">
        <f>资产资本表!AJ11</f>
        <v>0</v>
      </c>
      <c r="AK37" s="75">
        <f>资产资本表!AK11</f>
        <v>0</v>
      </c>
      <c r="AL37" s="75">
        <f>资产资本表!AL11</f>
        <v>0</v>
      </c>
      <c r="AM37" s="75">
        <f>资产资本表!AM11</f>
        <v>0</v>
      </c>
      <c r="AN37" s="75">
        <f>资产资本表!AN11</f>
        <v>0</v>
      </c>
      <c r="AO37" s="75">
        <f>资产资本表!AO11</f>
        <v>0</v>
      </c>
      <c r="AP37" s="75">
        <f>资产资本表!AP11</f>
        <v>0</v>
      </c>
      <c r="AQ37" s="75">
        <f>资产资本表!AQ11</f>
        <v>0</v>
      </c>
      <c r="AR37" s="75">
        <f>资产资本表!AR11</f>
        <v>0</v>
      </c>
      <c r="AS37" s="75">
        <f>资产资本表!AS11</f>
        <v>0</v>
      </c>
      <c r="AT37" s="75">
        <f>资产资本表!AT11</f>
        <v>6698641</v>
      </c>
      <c r="AU37" s="75">
        <f>资产资本表!AU11</f>
        <v>0</v>
      </c>
      <c r="AV37" s="75">
        <f>资产资本表!AV11</f>
        <v>0</v>
      </c>
      <c r="AW37" s="75">
        <f>资产资本表!AW11</f>
        <v>0</v>
      </c>
      <c r="AX37" s="75">
        <f>资产资本表!AX11</f>
        <v>0</v>
      </c>
      <c r="AY37" s="75">
        <f>资产资本表!AY11</f>
        <v>0</v>
      </c>
      <c r="AZ37" s="75">
        <f>资产资本表!AZ11</f>
        <v>0</v>
      </c>
      <c r="BA37" s="75">
        <f>资产资本表!BA11</f>
        <v>0</v>
      </c>
      <c r="BB37" s="75">
        <f>资产资本表!BB11</f>
        <v>20723612</v>
      </c>
      <c r="BC37" s="75">
        <f>资产资本表!BC11</f>
        <v>0</v>
      </c>
      <c r="BD37" s="75">
        <f>资产资本表!BD11</f>
        <v>0</v>
      </c>
      <c r="BE37" s="75">
        <f>资产资本表!BE11</f>
        <v>0</v>
      </c>
      <c r="BF37" s="75">
        <f>资产资本表!BF11</f>
        <v>0</v>
      </c>
      <c r="BG37" s="75">
        <f>资产资本表!BG11</f>
        <v>0</v>
      </c>
      <c r="BH37" s="75">
        <f>资产资本表!BH11</f>
        <v>0</v>
      </c>
      <c r="BI37" s="75">
        <f>资产资本表!BI11</f>
        <v>0</v>
      </c>
      <c r="BJ37" s="75">
        <f>资产资本表!BJ11</f>
        <v>0</v>
      </c>
      <c r="BK37" s="75">
        <f>资产资本表!BK11</f>
        <v>0</v>
      </c>
      <c r="BL37" s="75">
        <f>资产资本表!BL11</f>
        <v>0</v>
      </c>
      <c r="BM37" s="75">
        <f>资产资本表!BM11</f>
        <v>0</v>
      </c>
      <c r="BN37" s="75">
        <f>资产资本表!BN11</f>
        <v>0</v>
      </c>
      <c r="BO37" s="75">
        <f>资产资本表!BO11</f>
        <v>0</v>
      </c>
      <c r="BP37" s="75">
        <f>资产资本表!BP11</f>
        <v>0</v>
      </c>
      <c r="BQ37" s="75">
        <f>资产资本表!BQ11</f>
        <v>0</v>
      </c>
      <c r="BR37" s="75">
        <f>资产资本表!BR11</f>
        <v>0</v>
      </c>
      <c r="BS37" s="75">
        <f>资产资本表!BS11</f>
        <v>0</v>
      </c>
      <c r="BT37" s="75">
        <f>资产资本表!BT11</f>
        <v>0</v>
      </c>
      <c r="BU37" s="75">
        <f>资产资本表!BU11</f>
        <v>0</v>
      </c>
      <c r="BV37" s="75">
        <f>资产资本表!BV11</f>
        <v>0</v>
      </c>
      <c r="BW37" s="75">
        <f>资产资本表!BW11</f>
        <v>0</v>
      </c>
      <c r="BX37" s="75">
        <f>资产资本表!BX11</f>
        <v>0</v>
      </c>
      <c r="BY37" s="75">
        <f>资产资本表!BY11</f>
        <v>0</v>
      </c>
      <c r="BZ37" s="75">
        <f>资产资本表!BZ11</f>
        <v>0</v>
      </c>
      <c r="CA37" s="75">
        <f>资产资本表!CA11</f>
        <v>0</v>
      </c>
      <c r="CB37" s="75">
        <f>资产资本表!CB11</f>
        <v>0</v>
      </c>
      <c r="CC37" s="75">
        <f>资产资本表!CC11</f>
        <v>0</v>
      </c>
      <c r="CD37" s="75">
        <f>资产资本表!CD11</f>
        <v>0</v>
      </c>
      <c r="CE37" s="75">
        <f>资产资本表!CE11</f>
        <v>0</v>
      </c>
      <c r="CF37" s="75">
        <f>资产资本表!CF11</f>
        <v>0</v>
      </c>
      <c r="CG37" s="75">
        <f>资产资本表!CG11</f>
        <v>0</v>
      </c>
      <c r="CH37" s="75">
        <f>资产资本表!CH11</f>
        <v>0</v>
      </c>
      <c r="CI37" s="75">
        <f>资产资本表!CI11</f>
        <v>0</v>
      </c>
      <c r="CJ37" s="75">
        <f>资产资本表!CJ11</f>
        <v>0</v>
      </c>
    </row>
    <row r="38" spans="1:89" s="75" customFormat="1" x14ac:dyDescent="0.25">
      <c r="A38" s="145" t="s">
        <v>454</v>
      </c>
      <c r="E38" s="75">
        <f>资产资本表!E8</f>
        <v>859899356</v>
      </c>
      <c r="F38" s="75">
        <f>资产资本表!F8</f>
        <v>850425725</v>
      </c>
      <c r="G38" s="75">
        <f>资产资本表!G8</f>
        <v>757249677</v>
      </c>
      <c r="H38" s="75">
        <f>资产资本表!H8</f>
        <v>787513973</v>
      </c>
      <c r="I38" s="75">
        <f>资产资本表!I8</f>
        <v>622502556</v>
      </c>
      <c r="J38" s="75">
        <f>资产资本表!J8</f>
        <v>504652648</v>
      </c>
      <c r="K38" s="75">
        <f>资产资本表!K8</f>
        <v>446293769</v>
      </c>
      <c r="L38" s="75">
        <f>资产资本表!L8</f>
        <v>413312323</v>
      </c>
      <c r="M38" s="75">
        <f>资产资本表!M8</f>
        <v>454096246</v>
      </c>
      <c r="N38" s="75">
        <f>资产资本表!N8</f>
        <v>285369654</v>
      </c>
      <c r="O38" s="75">
        <f>资产资本表!O8</f>
        <v>391669279</v>
      </c>
      <c r="P38" s="75">
        <f>资产资本表!P8</f>
        <v>386002813</v>
      </c>
      <c r="Q38" s="75">
        <f>资产资本表!Q8</f>
        <v>323530493</v>
      </c>
      <c r="R38" s="75">
        <f>资产资本表!R8</f>
        <v>313534194</v>
      </c>
      <c r="S38" s="75">
        <f>资产资本表!S8</f>
        <v>226073866</v>
      </c>
      <c r="T38" s="75">
        <f>资产资本表!T8</f>
        <v>223345075</v>
      </c>
      <c r="U38" s="75">
        <f>资产资本表!U8</f>
        <v>254506569</v>
      </c>
      <c r="V38" s="75">
        <f>资产资本表!V8</f>
        <v>122916200</v>
      </c>
      <c r="W38" s="75">
        <f>资产资本表!W8</f>
        <v>126552470</v>
      </c>
      <c r="X38" s="75">
        <f>资产资本表!X8</f>
        <v>118693337</v>
      </c>
      <c r="Y38" s="75">
        <f>资产资本表!Y8</f>
        <v>116600700</v>
      </c>
      <c r="Z38" s="75">
        <f>资产资本表!Z8</f>
        <v>83295158</v>
      </c>
      <c r="AA38" s="75">
        <f>资产资本表!AA8</f>
        <v>87726361</v>
      </c>
      <c r="AB38" s="75">
        <f>资产资本表!AB8</f>
        <v>57211342</v>
      </c>
      <c r="AC38" s="75">
        <f>资产资本表!AC8</f>
        <v>74718931</v>
      </c>
      <c r="AD38" s="75">
        <f>资产资本表!AD8</f>
        <v>108291709</v>
      </c>
      <c r="AE38" s="75">
        <f>资产资本表!AE8</f>
        <v>152598955</v>
      </c>
      <c r="AF38" s="75">
        <f>资产资本表!AF8</f>
        <v>173174403</v>
      </c>
      <c r="AG38" s="75">
        <f>资产资本表!AG8</f>
        <v>173899899</v>
      </c>
      <c r="AH38" s="75">
        <f>资产资本表!AH8</f>
        <v>167459674</v>
      </c>
      <c r="AI38" s="75">
        <f>资产资本表!AI8</f>
        <v>154745799</v>
      </c>
      <c r="AJ38" s="75">
        <f>资产资本表!AJ8</f>
        <v>196357738</v>
      </c>
      <c r="AK38" s="75">
        <f>资产资本表!AK8</f>
        <v>183909549</v>
      </c>
      <c r="AL38" s="75">
        <f>资产资本表!AL8</f>
        <v>103036069</v>
      </c>
      <c r="AM38" s="75">
        <f>资产资本表!AM8</f>
        <v>74086125</v>
      </c>
      <c r="AN38" s="75">
        <f>资产资本表!AN8</f>
        <v>50921082</v>
      </c>
      <c r="AO38" s="75">
        <f>资产资本表!AO8</f>
        <v>53707522</v>
      </c>
      <c r="AP38" s="75">
        <f>资产资本表!AP8</f>
        <v>50176512</v>
      </c>
      <c r="AQ38" s="75">
        <f>资产资本表!AQ8</f>
        <v>86954969</v>
      </c>
      <c r="AR38" s="75">
        <f>资产资本表!AR8</f>
        <v>101064099</v>
      </c>
      <c r="AS38" s="75">
        <f>资产资本表!AS8</f>
        <v>129109597</v>
      </c>
      <c r="AT38" s="75">
        <f>资产资本表!AT8</f>
        <v>0</v>
      </c>
      <c r="AU38" s="75">
        <f>资产资本表!AU8</f>
        <v>0</v>
      </c>
      <c r="AV38" s="75">
        <f>资产资本表!AV8</f>
        <v>0</v>
      </c>
      <c r="AW38" s="75">
        <f>资产资本表!AW8</f>
        <v>0</v>
      </c>
      <c r="AX38" s="75">
        <f>资产资本表!AX8</f>
        <v>0</v>
      </c>
      <c r="AY38" s="75">
        <f>资产资本表!AY8</f>
        <v>0</v>
      </c>
      <c r="AZ38" s="75">
        <f>资产资本表!AZ8</f>
        <v>0</v>
      </c>
      <c r="BA38" s="75">
        <f>资产资本表!BA8</f>
        <v>0</v>
      </c>
      <c r="BB38" s="75">
        <f>资产资本表!BB8</f>
        <v>0</v>
      </c>
      <c r="BC38" s="75">
        <f>资产资本表!BC8</f>
        <v>0</v>
      </c>
      <c r="BD38" s="75">
        <f>资产资本表!BD8</f>
        <v>0</v>
      </c>
      <c r="BE38" s="75">
        <f>资产资本表!BE8</f>
        <v>0</v>
      </c>
      <c r="BF38" s="75">
        <f>资产资本表!BF8</f>
        <v>0</v>
      </c>
      <c r="BG38" s="75">
        <f>资产资本表!BG8</f>
        <v>0</v>
      </c>
      <c r="BH38" s="75">
        <f>资产资本表!BH8</f>
        <v>0</v>
      </c>
      <c r="BI38" s="75">
        <f>资产资本表!BI8</f>
        <v>0</v>
      </c>
      <c r="BJ38" s="75">
        <f>资产资本表!BJ8</f>
        <v>0</v>
      </c>
      <c r="BK38" s="75">
        <f>资产资本表!BK8</f>
        <v>0</v>
      </c>
      <c r="BL38" s="75">
        <f>资产资本表!BL8</f>
        <v>0</v>
      </c>
      <c r="BM38" s="75">
        <f>资产资本表!BM8</f>
        <v>0</v>
      </c>
      <c r="BN38" s="75">
        <f>资产资本表!BN8</f>
        <v>0</v>
      </c>
      <c r="BO38" s="75">
        <f>资产资本表!BO8</f>
        <v>0</v>
      </c>
      <c r="BP38" s="75">
        <f>资产资本表!BP8</f>
        <v>0</v>
      </c>
      <c r="BQ38" s="75">
        <f>资产资本表!BQ8</f>
        <v>0</v>
      </c>
      <c r="BR38" s="75">
        <f>资产资本表!BR8</f>
        <v>0</v>
      </c>
      <c r="BS38" s="75">
        <f>资产资本表!BS8</f>
        <v>0</v>
      </c>
      <c r="BT38" s="75">
        <f>资产资本表!BT8</f>
        <v>0</v>
      </c>
      <c r="BU38" s="75">
        <f>资产资本表!BU8</f>
        <v>0</v>
      </c>
      <c r="BV38" s="75">
        <f>资产资本表!BV8</f>
        <v>0</v>
      </c>
      <c r="BW38" s="75">
        <f>资产资本表!BW8</f>
        <v>0</v>
      </c>
      <c r="BX38" s="75">
        <f>资产资本表!BX8</f>
        <v>0</v>
      </c>
      <c r="BY38" s="75">
        <f>资产资本表!BY8</f>
        <v>0</v>
      </c>
      <c r="BZ38" s="75">
        <f>资产资本表!BZ8</f>
        <v>0</v>
      </c>
      <c r="CA38" s="75">
        <f>资产资本表!CA8</f>
        <v>0</v>
      </c>
      <c r="CB38" s="75">
        <f>资产资本表!CB8</f>
        <v>0</v>
      </c>
      <c r="CC38" s="75">
        <f>资产资本表!CC8</f>
        <v>0</v>
      </c>
      <c r="CD38" s="75">
        <f>资产资本表!CD8</f>
        <v>0</v>
      </c>
      <c r="CE38" s="75">
        <f>资产资本表!CE8</f>
        <v>0</v>
      </c>
      <c r="CF38" s="75">
        <f>资产资本表!CF8</f>
        <v>0</v>
      </c>
      <c r="CG38" s="75">
        <f>资产资本表!CG8</f>
        <v>0</v>
      </c>
      <c r="CH38" s="75">
        <f>资产资本表!CH8</f>
        <v>0</v>
      </c>
      <c r="CI38" s="75">
        <f>资产资本表!CI8</f>
        <v>0</v>
      </c>
      <c r="CJ38" s="75">
        <f>资产资本表!CJ8</f>
        <v>0</v>
      </c>
      <c r="CK38" s="75">
        <f>资产资本表!CK8</f>
        <v>0</v>
      </c>
    </row>
    <row r="39" spans="1:89" s="75" customFormat="1" x14ac:dyDescent="0.25">
      <c r="A39" s="145" t="s">
        <v>455</v>
      </c>
      <c r="E39" s="75">
        <f>资产资本表!E9</f>
        <v>0</v>
      </c>
      <c r="F39" s="75">
        <f>资产资本表!F9</f>
        <v>0</v>
      </c>
      <c r="G39" s="75">
        <f>资产资本表!G9</f>
        <v>0</v>
      </c>
      <c r="H39" s="75">
        <f>资产资本表!H9</f>
        <v>0</v>
      </c>
      <c r="I39" s="75">
        <f>资产资本表!I9</f>
        <v>0</v>
      </c>
      <c r="J39" s="75">
        <f>资产资本表!J9</f>
        <v>0</v>
      </c>
      <c r="K39" s="75">
        <f>资产资本表!K9</f>
        <v>0</v>
      </c>
      <c r="L39" s="75">
        <f>资产资本表!L9</f>
        <v>0</v>
      </c>
      <c r="M39" s="75">
        <f>资产资本表!M9</f>
        <v>0</v>
      </c>
      <c r="N39" s="75">
        <f>资产资本表!N9</f>
        <v>0</v>
      </c>
      <c r="O39" s="75">
        <f>资产资本表!O9</f>
        <v>0</v>
      </c>
      <c r="P39" s="75">
        <f>资产资本表!P9</f>
        <v>0</v>
      </c>
      <c r="Q39" s="75">
        <f>资产资本表!Q9</f>
        <v>0</v>
      </c>
      <c r="R39" s="75">
        <f>资产资本表!R9</f>
        <v>0</v>
      </c>
      <c r="S39" s="75">
        <f>资产资本表!S9</f>
        <v>0</v>
      </c>
      <c r="T39" s="75">
        <f>资产资本表!T9</f>
        <v>0</v>
      </c>
      <c r="U39" s="75">
        <f>资产资本表!U9</f>
        <v>0</v>
      </c>
      <c r="V39" s="75">
        <f>资产资本表!V9</f>
        <v>0</v>
      </c>
      <c r="W39" s="75">
        <f>资产资本表!W9</f>
        <v>0</v>
      </c>
      <c r="X39" s="75">
        <f>资产资本表!X9</f>
        <v>0</v>
      </c>
      <c r="Y39" s="75">
        <f>资产资本表!Y9</f>
        <v>0</v>
      </c>
      <c r="Z39" s="75">
        <f>资产资本表!Z9</f>
        <v>0</v>
      </c>
      <c r="AA39" s="75">
        <f>资产资本表!AA9</f>
        <v>0</v>
      </c>
      <c r="AB39" s="75">
        <f>资产资本表!AB9</f>
        <v>0</v>
      </c>
      <c r="AC39" s="75">
        <f>资产资本表!AC9</f>
        <v>0</v>
      </c>
      <c r="AD39" s="75">
        <f>资产资本表!AD9</f>
        <v>0</v>
      </c>
      <c r="AE39" s="75">
        <f>资产资本表!AE9</f>
        <v>0</v>
      </c>
      <c r="AF39" s="75">
        <f>资产资本表!AF9</f>
        <v>0</v>
      </c>
      <c r="AG39" s="75">
        <f>资产资本表!AG9</f>
        <v>0</v>
      </c>
      <c r="AH39" s="75">
        <f>资产资本表!AH9</f>
        <v>0</v>
      </c>
      <c r="AI39" s="75">
        <f>资产资本表!AI9</f>
        <v>0</v>
      </c>
      <c r="AJ39" s="75">
        <f>资产资本表!AJ9</f>
        <v>0</v>
      </c>
      <c r="AK39" s="75">
        <f>资产资本表!AK9</f>
        <v>0</v>
      </c>
      <c r="AL39" s="75">
        <f>资产资本表!AL9</f>
        <v>0</v>
      </c>
      <c r="AM39" s="75">
        <f>资产资本表!AM9</f>
        <v>0</v>
      </c>
      <c r="AN39" s="75">
        <f>资产资本表!AN9</f>
        <v>0</v>
      </c>
      <c r="AO39" s="75">
        <f>资产资本表!AO9</f>
        <v>0</v>
      </c>
      <c r="AP39" s="75">
        <f>资产资本表!AP9</f>
        <v>0</v>
      </c>
      <c r="AQ39" s="75">
        <f>资产资本表!AQ9</f>
        <v>0</v>
      </c>
      <c r="AR39" s="75">
        <f>资产资本表!AR9</f>
        <v>0</v>
      </c>
      <c r="AS39" s="75">
        <f>资产资本表!AS9</f>
        <v>0</v>
      </c>
      <c r="AT39" s="75">
        <f>资产资本表!AT9</f>
        <v>0</v>
      </c>
      <c r="AU39" s="75">
        <f>资产资本表!AU9</f>
        <v>0</v>
      </c>
      <c r="AV39" s="75">
        <f>资产资本表!AV9</f>
        <v>0</v>
      </c>
      <c r="AW39" s="75">
        <f>资产资本表!AW9</f>
        <v>0</v>
      </c>
      <c r="AX39" s="75">
        <f>资产资本表!AX9</f>
        <v>0</v>
      </c>
      <c r="AY39" s="75">
        <f>资产资本表!AY9</f>
        <v>0</v>
      </c>
      <c r="AZ39" s="75">
        <f>资产资本表!AZ9</f>
        <v>164299</v>
      </c>
      <c r="BA39" s="75">
        <f>资产资本表!BA9</f>
        <v>0</v>
      </c>
      <c r="BB39" s="75">
        <f>资产资本表!BB9</f>
        <v>172050</v>
      </c>
      <c r="BC39" s="75">
        <f>资产资本表!BC9</f>
        <v>172050</v>
      </c>
      <c r="BD39" s="75">
        <f>资产资本表!BD9</f>
        <v>170288</v>
      </c>
      <c r="BE39" s="75">
        <f>资产资本表!BE9</f>
        <v>170288</v>
      </c>
      <c r="BF39" s="75">
        <f>资产资本表!BF9</f>
        <v>245281.31</v>
      </c>
      <c r="BG39" s="75">
        <f>资产资本表!BG9</f>
        <v>177923.62</v>
      </c>
      <c r="BH39" s="75">
        <f>资产资本表!BH9</f>
        <v>27748.2</v>
      </c>
      <c r="BI39" s="75">
        <f>资产资本表!BI9</f>
        <v>172922</v>
      </c>
      <c r="BJ39" s="75">
        <f>资产资本表!BJ9</f>
        <v>23281473.420000002</v>
      </c>
      <c r="BK39" s="75">
        <f>资产资本表!BK9</f>
        <v>11115399.279999999</v>
      </c>
      <c r="BL39" s="75">
        <f>资产资本表!BL9</f>
        <v>23520645.530000001</v>
      </c>
      <c r="BM39" s="75">
        <f>资产资本表!BM9</f>
        <v>22073</v>
      </c>
      <c r="BN39" s="75">
        <f>资产资本表!BN9</f>
        <v>0</v>
      </c>
      <c r="BO39" s="75">
        <f>资产资本表!BO9</f>
        <v>300000</v>
      </c>
      <c r="BP39" s="75">
        <f>资产资本表!BP9</f>
        <v>300000</v>
      </c>
      <c r="BQ39" s="75">
        <f>资产资本表!BQ9</f>
        <v>34151294</v>
      </c>
      <c r="BR39" s="75">
        <f>资产资本表!BR9</f>
        <v>0</v>
      </c>
      <c r="BS39" s="75">
        <f>资产资本表!BS9</f>
        <v>600000</v>
      </c>
      <c r="BT39" s="75">
        <f>资产资本表!BT9</f>
        <v>0</v>
      </c>
      <c r="BU39" s="75">
        <f>资产资本表!BU9</f>
        <v>0</v>
      </c>
      <c r="BV39" s="75">
        <f>资产资本表!BV9</f>
        <v>0</v>
      </c>
      <c r="BW39" s="75">
        <f>资产资本表!BW9</f>
        <v>0</v>
      </c>
      <c r="BX39" s="75">
        <f>资产资本表!BX9</f>
        <v>1760000</v>
      </c>
      <c r="BY39" s="75">
        <f>资产资本表!BY9</f>
        <v>0</v>
      </c>
      <c r="BZ39" s="75">
        <f>资产资本表!BZ9</f>
        <v>0</v>
      </c>
      <c r="CA39" s="75">
        <f>资产资本表!CA9</f>
        <v>0</v>
      </c>
      <c r="CB39" s="75">
        <f>资产资本表!CB9</f>
        <v>0</v>
      </c>
      <c r="CC39" s="75">
        <f>资产资本表!CC9</f>
        <v>0</v>
      </c>
      <c r="CD39" s="75">
        <f>资产资本表!CD9</f>
        <v>0</v>
      </c>
      <c r="CE39" s="75">
        <f>资产资本表!CE9</f>
        <v>0</v>
      </c>
      <c r="CF39" s="75">
        <f>资产资本表!CF9</f>
        <v>0</v>
      </c>
      <c r="CG39" s="75">
        <f>资产资本表!CG9</f>
        <v>0</v>
      </c>
      <c r="CH39" s="75">
        <f>资产资本表!CH9</f>
        <v>0</v>
      </c>
      <c r="CI39" s="75">
        <f>资产资本表!CI9</f>
        <v>0</v>
      </c>
      <c r="CJ39" s="75">
        <f>资产资本表!CJ9</f>
        <v>0</v>
      </c>
      <c r="CK39" s="75">
        <f>资产资本表!CK9</f>
        <v>0</v>
      </c>
    </row>
    <row r="40" spans="1:89" s="75" customFormat="1" x14ac:dyDescent="0.25">
      <c r="A40" s="145" t="s">
        <v>456</v>
      </c>
      <c r="E40" s="75">
        <f>资产资本表!E10</f>
        <v>1296662205</v>
      </c>
      <c r="F40" s="75">
        <f>资产资本表!F10</f>
        <v>1270206652</v>
      </c>
      <c r="G40" s="75">
        <f>资产资本表!G10</f>
        <v>1271764715</v>
      </c>
      <c r="H40" s="75">
        <f>资产资本表!H10</f>
        <v>1190736947</v>
      </c>
      <c r="I40" s="75">
        <f>资产资本表!I10</f>
        <v>1192932896</v>
      </c>
      <c r="J40" s="75">
        <f>资产资本表!J10</f>
        <v>1200134259</v>
      </c>
      <c r="K40" s="75">
        <f>资产资本表!K10</f>
        <v>1210463063</v>
      </c>
      <c r="L40" s="75">
        <f>资产资本表!L10</f>
        <v>1227516773</v>
      </c>
      <c r="M40" s="75">
        <f>资产资本表!M10</f>
        <v>1227099427</v>
      </c>
      <c r="N40" s="75">
        <f>资产资本表!N10</f>
        <v>1237173997</v>
      </c>
      <c r="O40" s="75">
        <f>资产资本表!O10</f>
        <v>1240587632</v>
      </c>
      <c r="P40" s="75">
        <f>资产资本表!P10</f>
        <v>1247311859</v>
      </c>
      <c r="Q40" s="75">
        <f>资产资本表!Q10</f>
        <v>1251820763</v>
      </c>
      <c r="R40" s="75">
        <f>资产资本表!R10</f>
        <v>1270182816</v>
      </c>
      <c r="S40" s="75">
        <f>资产资本表!S10</f>
        <v>1279438548</v>
      </c>
      <c r="T40" s="75">
        <f>资产资本表!T10</f>
        <v>1271968659</v>
      </c>
      <c r="U40" s="75">
        <f>资产资本表!U10</f>
        <v>1284415937</v>
      </c>
      <c r="V40" s="75">
        <f>资产资本表!V10</f>
        <v>1271685267</v>
      </c>
      <c r="W40" s="75">
        <f>资产资本表!W10</f>
        <v>1281379052</v>
      </c>
      <c r="X40" s="75">
        <f>资产资本表!X10</f>
        <v>1285808878</v>
      </c>
      <c r="Y40" s="75">
        <f>资产资本表!Y10</f>
        <v>1309561041</v>
      </c>
      <c r="Z40" s="75">
        <f>资产资本表!Z10</f>
        <v>1308912381</v>
      </c>
      <c r="AA40" s="75">
        <f>资产资本表!AA10</f>
        <v>1318606167</v>
      </c>
      <c r="AB40" s="75">
        <f>资产资本表!AB10</f>
        <v>1338208579</v>
      </c>
      <c r="AC40" s="75">
        <f>资产资本表!AC10</f>
        <v>1340984989</v>
      </c>
      <c r="AD40" s="75">
        <f>资产资本表!AD10</f>
        <v>1370259249</v>
      </c>
      <c r="AE40" s="75">
        <f>资产资本表!AE10</f>
        <v>1380873321</v>
      </c>
      <c r="AF40" s="75">
        <f>资产资本表!AF10</f>
        <v>1391985132</v>
      </c>
      <c r="AG40" s="75">
        <f>资产资本表!AG10</f>
        <v>1407773542</v>
      </c>
      <c r="AH40" s="75">
        <f>资产资本表!AH10</f>
        <v>1158103974</v>
      </c>
      <c r="AI40" s="75">
        <f>资产资本表!AI10</f>
        <v>1166294465</v>
      </c>
      <c r="AJ40" s="75">
        <f>资产资本表!AJ10</f>
        <v>1196037855</v>
      </c>
      <c r="AK40" s="75">
        <f>资产资本表!AK10</f>
        <v>1204384315</v>
      </c>
      <c r="AL40" s="75">
        <f>资产资本表!AL10</f>
        <v>148896855</v>
      </c>
      <c r="AM40" s="75">
        <f>资产资本表!AM10</f>
        <v>169523463</v>
      </c>
      <c r="AN40" s="75">
        <f>资产资本表!AN10</f>
        <v>172104915</v>
      </c>
      <c r="AO40" s="75">
        <f>资产资本表!AO10</f>
        <v>174553402</v>
      </c>
      <c r="AP40" s="75">
        <f>资产资本表!AP10</f>
        <v>119716989</v>
      </c>
      <c r="AQ40" s="75">
        <f>资产资本表!AQ10</f>
        <v>166357723</v>
      </c>
      <c r="AR40" s="75">
        <f>资产资本表!AR10</f>
        <v>124149439</v>
      </c>
      <c r="AS40" s="75">
        <f>资产资本表!AS10</f>
        <v>126367406</v>
      </c>
      <c r="AT40" s="75">
        <f>资产资本表!AT10</f>
        <v>163701581</v>
      </c>
      <c r="AU40" s="75">
        <f>资产资本表!AU10</f>
        <v>166445493</v>
      </c>
      <c r="AV40" s="75">
        <f>资产资本表!AV10</f>
        <v>183134748</v>
      </c>
      <c r="AW40" s="75">
        <f>资产资本表!AW10</f>
        <v>0</v>
      </c>
      <c r="AX40" s="75">
        <f>资产资本表!AX10</f>
        <v>0</v>
      </c>
      <c r="AY40" s="75">
        <f>资产资本表!AY10</f>
        <v>0</v>
      </c>
      <c r="AZ40" s="75">
        <f>资产资本表!AZ10</f>
        <v>0</v>
      </c>
      <c r="BA40" s="75">
        <f>资产资本表!BA10</f>
        <v>0</v>
      </c>
      <c r="BB40" s="75">
        <f>资产资本表!BB10</f>
        <v>0</v>
      </c>
      <c r="BC40" s="75">
        <f>资产资本表!BC10</f>
        <v>0</v>
      </c>
      <c r="BD40" s="75">
        <f>资产资本表!BD10</f>
        <v>0</v>
      </c>
      <c r="BE40" s="75">
        <f>资产资本表!BE10</f>
        <v>0</v>
      </c>
      <c r="BF40" s="75">
        <f>资产资本表!BF10</f>
        <v>0</v>
      </c>
      <c r="BG40" s="75">
        <f>资产资本表!BG10</f>
        <v>0</v>
      </c>
      <c r="BH40" s="75">
        <f>资产资本表!BH10</f>
        <v>0</v>
      </c>
      <c r="BI40" s="75">
        <f>资产资本表!BI10</f>
        <v>0</v>
      </c>
      <c r="BJ40" s="75">
        <f>资产资本表!BJ10</f>
        <v>0</v>
      </c>
      <c r="BK40" s="75">
        <f>资产资本表!BK10</f>
        <v>0</v>
      </c>
      <c r="BL40" s="75">
        <f>资产资本表!BL10</f>
        <v>0</v>
      </c>
      <c r="BM40" s="75">
        <f>资产资本表!BM10</f>
        <v>0</v>
      </c>
      <c r="BN40" s="75">
        <f>资产资本表!BN10</f>
        <v>0</v>
      </c>
      <c r="BO40" s="75">
        <f>资产资本表!BO10</f>
        <v>0</v>
      </c>
      <c r="BP40" s="75">
        <f>资产资本表!BP10</f>
        <v>0</v>
      </c>
      <c r="BQ40" s="75">
        <f>资产资本表!BQ10</f>
        <v>0</v>
      </c>
      <c r="BR40" s="75">
        <f>资产资本表!BR10</f>
        <v>0</v>
      </c>
      <c r="BS40" s="75">
        <f>资产资本表!BS10</f>
        <v>0</v>
      </c>
      <c r="BT40" s="75">
        <f>资产资本表!BT10</f>
        <v>0</v>
      </c>
      <c r="BU40" s="75">
        <f>资产资本表!BU10</f>
        <v>0</v>
      </c>
      <c r="BV40" s="75">
        <f>资产资本表!BV10</f>
        <v>0</v>
      </c>
      <c r="BW40" s="75">
        <f>资产资本表!BW10</f>
        <v>0</v>
      </c>
      <c r="BX40" s="75">
        <f>资产资本表!BX10</f>
        <v>0</v>
      </c>
      <c r="BY40" s="75">
        <f>资产资本表!BY10</f>
        <v>0</v>
      </c>
      <c r="BZ40" s="75">
        <f>资产资本表!BZ10</f>
        <v>0</v>
      </c>
      <c r="CA40" s="75">
        <f>资产资本表!CA10</f>
        <v>0</v>
      </c>
      <c r="CB40" s="75">
        <f>资产资本表!CB10</f>
        <v>0</v>
      </c>
      <c r="CC40" s="75">
        <f>资产资本表!CC10</f>
        <v>0</v>
      </c>
      <c r="CD40" s="75">
        <f>资产资本表!CD10</f>
        <v>0</v>
      </c>
      <c r="CE40" s="75">
        <f>资产资本表!CE10</f>
        <v>0</v>
      </c>
      <c r="CF40" s="75">
        <f>资产资本表!CF10</f>
        <v>0</v>
      </c>
      <c r="CG40" s="75">
        <f>资产资本表!CG10</f>
        <v>0</v>
      </c>
      <c r="CH40" s="75">
        <f>资产资本表!CH10</f>
        <v>0</v>
      </c>
      <c r="CI40" s="75">
        <f>资产资本表!CI10</f>
        <v>0</v>
      </c>
      <c r="CJ40" s="75">
        <f>资产资本表!CJ10</f>
        <v>0</v>
      </c>
      <c r="CK40" s="75">
        <f>资产资本表!CK10</f>
        <v>0</v>
      </c>
    </row>
    <row r="41" spans="1:89" s="75" customFormat="1" x14ac:dyDescent="0.25">
      <c r="A41" s="145" t="s">
        <v>457</v>
      </c>
      <c r="E41" s="75">
        <f>资产资本表!E12</f>
        <v>0</v>
      </c>
      <c r="F41" s="75">
        <f>资产资本表!F12</f>
        <v>0</v>
      </c>
      <c r="G41" s="75">
        <f>资产资本表!G12</f>
        <v>0</v>
      </c>
      <c r="H41" s="75">
        <f>资产资本表!H12</f>
        <v>0</v>
      </c>
      <c r="I41" s="75">
        <f>资产资本表!I12</f>
        <v>0</v>
      </c>
      <c r="J41" s="75">
        <f>资产资本表!J12</f>
        <v>0</v>
      </c>
      <c r="K41" s="75">
        <f>资产资本表!K12</f>
        <v>0</v>
      </c>
      <c r="L41" s="75">
        <f>资产资本表!L12</f>
        <v>0</v>
      </c>
      <c r="M41" s="75">
        <f>资产资本表!M12</f>
        <v>0</v>
      </c>
      <c r="N41" s="75">
        <f>资产资本表!N12</f>
        <v>0</v>
      </c>
      <c r="O41" s="75">
        <f>资产资本表!O12</f>
        <v>0</v>
      </c>
      <c r="P41" s="75">
        <f>资产资本表!P12</f>
        <v>0</v>
      </c>
      <c r="Q41" s="75">
        <f>资产资本表!Q12</f>
        <v>0</v>
      </c>
      <c r="R41" s="75">
        <f>资产资本表!R12</f>
        <v>0</v>
      </c>
      <c r="S41" s="75">
        <f>资产资本表!S12</f>
        <v>0</v>
      </c>
      <c r="T41" s="75">
        <f>资产资本表!T12</f>
        <v>0</v>
      </c>
      <c r="U41" s="75">
        <f>资产资本表!U12</f>
        <v>0</v>
      </c>
      <c r="V41" s="75">
        <f>资产资本表!V12</f>
        <v>0</v>
      </c>
      <c r="W41" s="75">
        <f>资产资本表!W12</f>
        <v>0</v>
      </c>
      <c r="X41" s="75">
        <f>资产资本表!X12</f>
        <v>0</v>
      </c>
      <c r="Y41" s="75">
        <f>资产资本表!Y12</f>
        <v>0</v>
      </c>
      <c r="Z41" s="75">
        <f>资产资本表!Z12</f>
        <v>0</v>
      </c>
      <c r="AA41" s="75">
        <f>资产资本表!AA12</f>
        <v>0</v>
      </c>
      <c r="AB41" s="75">
        <f>资产资本表!AB12</f>
        <v>0</v>
      </c>
      <c r="AC41" s="75">
        <f>资产资本表!AC12</f>
        <v>0</v>
      </c>
      <c r="AD41" s="75">
        <f>资产资本表!AD12</f>
        <v>0</v>
      </c>
      <c r="AE41" s="75">
        <f>资产资本表!AE12</f>
        <v>0</v>
      </c>
      <c r="AF41" s="75">
        <f>资产资本表!AF12</f>
        <v>0</v>
      </c>
      <c r="AG41" s="75">
        <f>资产资本表!AG12</f>
        <v>0</v>
      </c>
      <c r="AH41" s="75">
        <f>资产资本表!AH12</f>
        <v>0</v>
      </c>
      <c r="AI41" s="75">
        <f>资产资本表!AI12</f>
        <v>0</v>
      </c>
      <c r="AJ41" s="75">
        <f>资产资本表!AJ12</f>
        <v>0</v>
      </c>
      <c r="AK41" s="75">
        <f>资产资本表!AK12</f>
        <v>0</v>
      </c>
      <c r="AL41" s="75">
        <f>资产资本表!AL12</f>
        <v>0</v>
      </c>
      <c r="AM41" s="75">
        <f>资产资本表!AM12</f>
        <v>0</v>
      </c>
      <c r="AN41" s="75">
        <f>资产资本表!AN12</f>
        <v>0</v>
      </c>
      <c r="AO41" s="75">
        <f>资产资本表!AO12</f>
        <v>0</v>
      </c>
      <c r="AP41" s="75">
        <f>资产资本表!AP12</f>
        <v>0</v>
      </c>
      <c r="AQ41" s="75">
        <f>资产资本表!AQ12</f>
        <v>0</v>
      </c>
      <c r="AR41" s="75">
        <f>资产资本表!AR12</f>
        <v>0</v>
      </c>
      <c r="AS41" s="75">
        <f>资产资本表!AS12</f>
        <v>0</v>
      </c>
      <c r="AT41" s="75">
        <f>资产资本表!AT12</f>
        <v>0</v>
      </c>
      <c r="AU41" s="75">
        <f>资产资本表!AU12</f>
        <v>0</v>
      </c>
      <c r="AV41" s="75">
        <f>资产资本表!AV12</f>
        <v>0</v>
      </c>
      <c r="AW41" s="75">
        <f>资产资本表!AW12</f>
        <v>0</v>
      </c>
      <c r="AX41" s="75">
        <f>资产资本表!AX12</f>
        <v>0</v>
      </c>
      <c r="AY41" s="75">
        <f>资产资本表!AY12</f>
        <v>0</v>
      </c>
      <c r="AZ41" s="75">
        <f>资产资本表!AZ12</f>
        <v>0</v>
      </c>
      <c r="BA41" s="75">
        <f>资产资本表!BA12</f>
        <v>0</v>
      </c>
      <c r="BB41" s="75">
        <f>资产资本表!BB12</f>
        <v>0</v>
      </c>
      <c r="BC41" s="75">
        <f>资产资本表!BC12</f>
        <v>0</v>
      </c>
      <c r="BD41" s="75">
        <f>资产资本表!BD12</f>
        <v>0</v>
      </c>
      <c r="BE41" s="75">
        <f>资产资本表!BE12</f>
        <v>0</v>
      </c>
      <c r="BF41" s="75">
        <f>资产资本表!BF12</f>
        <v>0</v>
      </c>
      <c r="BG41" s="75">
        <f>资产资本表!BG12</f>
        <v>0</v>
      </c>
      <c r="BH41" s="75">
        <f>资产资本表!BH12</f>
        <v>0</v>
      </c>
      <c r="BI41" s="75">
        <f>资产资本表!BI12</f>
        <v>0</v>
      </c>
      <c r="BJ41" s="75">
        <f>资产资本表!BJ12</f>
        <v>0</v>
      </c>
      <c r="BK41" s="75">
        <f>资产资本表!BK12</f>
        <v>0</v>
      </c>
      <c r="BL41" s="75">
        <f>资产资本表!BL12</f>
        <v>0</v>
      </c>
      <c r="BM41" s="75">
        <f>资产资本表!BM12</f>
        <v>0</v>
      </c>
      <c r="BN41" s="75">
        <f>资产资本表!BN12</f>
        <v>0</v>
      </c>
      <c r="BO41" s="75">
        <f>资产资本表!BO12</f>
        <v>0</v>
      </c>
      <c r="BP41" s="75">
        <f>资产资本表!BP12</f>
        <v>0</v>
      </c>
      <c r="BQ41" s="75">
        <f>资产资本表!BQ12</f>
        <v>0</v>
      </c>
      <c r="BR41" s="75">
        <f>资产资本表!BR12</f>
        <v>0</v>
      </c>
      <c r="BS41" s="75">
        <f>资产资本表!BS12</f>
        <v>0</v>
      </c>
      <c r="BT41" s="75">
        <f>资产资本表!BT12</f>
        <v>0</v>
      </c>
      <c r="BU41" s="75">
        <f>资产资本表!BU12</f>
        <v>0</v>
      </c>
      <c r="BV41" s="75">
        <f>资产资本表!BV12</f>
        <v>0</v>
      </c>
      <c r="BW41" s="75">
        <f>资产资本表!BW12</f>
        <v>0</v>
      </c>
      <c r="BX41" s="75">
        <f>资产资本表!BX12</f>
        <v>0</v>
      </c>
      <c r="BY41" s="75">
        <f>资产资本表!BY12</f>
        <v>0</v>
      </c>
      <c r="BZ41" s="75">
        <f>资产资本表!BZ12</f>
        <v>0</v>
      </c>
      <c r="CA41" s="75">
        <f>资产资本表!CA12</f>
        <v>0</v>
      </c>
      <c r="CB41" s="75">
        <f>资产资本表!CB12</f>
        <v>0</v>
      </c>
      <c r="CC41" s="75">
        <f>资产资本表!CC12</f>
        <v>0</v>
      </c>
      <c r="CD41" s="75">
        <f>资产资本表!CD12</f>
        <v>0</v>
      </c>
      <c r="CE41" s="75">
        <f>资产资本表!CE12</f>
        <v>0</v>
      </c>
      <c r="CF41" s="75">
        <f>资产资本表!CF12</f>
        <v>0</v>
      </c>
      <c r="CG41" s="75">
        <f>资产资本表!CG12</f>
        <v>0</v>
      </c>
      <c r="CH41" s="75">
        <f>资产资本表!CH12</f>
        <v>0</v>
      </c>
      <c r="CI41" s="75">
        <f>资产资本表!CI12</f>
        <v>0</v>
      </c>
      <c r="CJ41" s="75">
        <f>资产资本表!CJ12</f>
        <v>0</v>
      </c>
    </row>
    <row r="42" spans="1:89" s="75" customFormat="1" x14ac:dyDescent="0.25">
      <c r="A42" s="145" t="s">
        <v>458</v>
      </c>
      <c r="E42" s="75">
        <f>资产资本表!E6</f>
        <v>0</v>
      </c>
      <c r="F42" s="75">
        <f>资产资本表!F6</f>
        <v>0</v>
      </c>
      <c r="G42" s="75">
        <f>资产资本表!G6</f>
        <v>0</v>
      </c>
      <c r="H42" s="75">
        <f>资产资本表!H6</f>
        <v>0</v>
      </c>
      <c r="I42" s="75">
        <f>资产资本表!I6</f>
        <v>0</v>
      </c>
      <c r="J42" s="75">
        <f>资产资本表!J6</f>
        <v>0</v>
      </c>
      <c r="K42" s="75">
        <f>资产资本表!K6</f>
        <v>0</v>
      </c>
      <c r="L42" s="75">
        <f>资产资本表!L6</f>
        <v>0</v>
      </c>
      <c r="M42" s="75">
        <f>资产资本表!M6</f>
        <v>0</v>
      </c>
      <c r="N42" s="75">
        <f>资产资本表!N6</f>
        <v>0</v>
      </c>
      <c r="O42" s="75">
        <f>资产资本表!O6</f>
        <v>0</v>
      </c>
      <c r="P42" s="75">
        <f>资产资本表!P6</f>
        <v>0</v>
      </c>
      <c r="Q42" s="75">
        <f>资产资本表!Q6</f>
        <v>0</v>
      </c>
      <c r="R42" s="75">
        <f>资产资本表!R6</f>
        <v>0</v>
      </c>
      <c r="S42" s="75">
        <f>资产资本表!S6</f>
        <v>0</v>
      </c>
      <c r="T42" s="75">
        <f>资产资本表!T6</f>
        <v>0</v>
      </c>
      <c r="U42" s="75">
        <f>资产资本表!U6</f>
        <v>0</v>
      </c>
      <c r="V42" s="75">
        <f>资产资本表!V6</f>
        <v>0</v>
      </c>
      <c r="W42" s="75">
        <f>资产资本表!W6</f>
        <v>0</v>
      </c>
      <c r="X42" s="75">
        <f>资产资本表!X6</f>
        <v>0</v>
      </c>
      <c r="Y42" s="75">
        <f>资产资本表!Y6</f>
        <v>0</v>
      </c>
      <c r="Z42" s="75">
        <f>资产资本表!Z6</f>
        <v>0</v>
      </c>
      <c r="AA42" s="75">
        <f>资产资本表!AA6</f>
        <v>0</v>
      </c>
      <c r="AB42" s="75">
        <f>资产资本表!AB6</f>
        <v>0</v>
      </c>
      <c r="AC42" s="75">
        <f>资产资本表!AC6</f>
        <v>0</v>
      </c>
      <c r="AD42" s="75">
        <f>资产资本表!AD6</f>
        <v>0</v>
      </c>
      <c r="AE42" s="75">
        <f>资产资本表!AE6</f>
        <v>0</v>
      </c>
      <c r="AF42" s="75">
        <f>资产资本表!AF6</f>
        <v>0</v>
      </c>
      <c r="AG42" s="75">
        <f>资产资本表!AG6</f>
        <v>0</v>
      </c>
      <c r="AH42" s="75">
        <f>资产资本表!AH6</f>
        <v>0</v>
      </c>
      <c r="AI42" s="75">
        <f>资产资本表!AI6</f>
        <v>0</v>
      </c>
      <c r="AJ42" s="75">
        <f>资产资本表!AJ6</f>
        <v>0</v>
      </c>
      <c r="AK42" s="75">
        <f>资产资本表!AK6</f>
        <v>0</v>
      </c>
      <c r="AL42" s="75">
        <f>资产资本表!AL6</f>
        <v>0</v>
      </c>
      <c r="AM42" s="75">
        <f>资产资本表!AM6</f>
        <v>0</v>
      </c>
      <c r="AN42" s="75">
        <f>资产资本表!AN6</f>
        <v>0</v>
      </c>
      <c r="AO42" s="75">
        <f>资产资本表!AO6</f>
        <v>0</v>
      </c>
      <c r="AP42" s="75">
        <f>资产资本表!AP6</f>
        <v>0</v>
      </c>
      <c r="AQ42" s="75">
        <f>资产资本表!AQ6</f>
        <v>0</v>
      </c>
      <c r="AR42" s="75">
        <f>资产资本表!AR6</f>
        <v>0</v>
      </c>
      <c r="AS42" s="75">
        <f>资产资本表!AS6</f>
        <v>0</v>
      </c>
      <c r="AT42" s="75">
        <f>资产资本表!AT6</f>
        <v>0</v>
      </c>
      <c r="AU42" s="75">
        <f>资产资本表!AU6</f>
        <v>0</v>
      </c>
      <c r="AV42" s="75">
        <f>资产资本表!AV6</f>
        <v>0</v>
      </c>
      <c r="AW42" s="75">
        <f>资产资本表!AW6</f>
        <v>0</v>
      </c>
      <c r="AX42" s="75">
        <f>资产资本表!AX6</f>
        <v>0</v>
      </c>
      <c r="AY42" s="75">
        <f>资产资本表!AY6</f>
        <v>0</v>
      </c>
      <c r="AZ42" s="75">
        <f>资产资本表!AZ6</f>
        <v>0</v>
      </c>
      <c r="BA42" s="75">
        <f>资产资本表!BA6</f>
        <v>0</v>
      </c>
      <c r="BB42" s="75">
        <f>资产资本表!BB6</f>
        <v>0</v>
      </c>
      <c r="BC42" s="75">
        <f>资产资本表!BC6</f>
        <v>0</v>
      </c>
      <c r="BD42" s="75">
        <f>资产资本表!BD6</f>
        <v>0</v>
      </c>
      <c r="BE42" s="75">
        <f>资产资本表!BE6</f>
        <v>0</v>
      </c>
      <c r="BF42" s="75">
        <f>资产资本表!BF6</f>
        <v>0</v>
      </c>
      <c r="BG42" s="75">
        <f>资产资本表!BG6</f>
        <v>0</v>
      </c>
      <c r="BH42" s="75">
        <f>资产资本表!BH6</f>
        <v>0</v>
      </c>
      <c r="BI42" s="75">
        <f>资产资本表!BI6</f>
        <v>0</v>
      </c>
      <c r="BJ42" s="75">
        <f>资产资本表!BJ6</f>
        <v>0</v>
      </c>
      <c r="BK42" s="75">
        <f>资产资本表!BK6</f>
        <v>0</v>
      </c>
      <c r="BL42" s="75">
        <f>资产资本表!BL6</f>
        <v>0</v>
      </c>
      <c r="BM42" s="75">
        <f>资产资本表!BM6</f>
        <v>0</v>
      </c>
      <c r="BN42" s="75">
        <f>资产资本表!BN6</f>
        <v>0</v>
      </c>
      <c r="BO42" s="75">
        <f>资产资本表!BO6</f>
        <v>0</v>
      </c>
      <c r="BP42" s="75">
        <f>资产资本表!BP6</f>
        <v>0</v>
      </c>
      <c r="BQ42" s="75">
        <f>资产资本表!BQ6</f>
        <v>0</v>
      </c>
      <c r="BR42" s="75">
        <f>资产资本表!BR6</f>
        <v>0</v>
      </c>
      <c r="BS42" s="75">
        <f>资产资本表!BS6</f>
        <v>0</v>
      </c>
      <c r="BT42" s="75">
        <f>资产资本表!BT6</f>
        <v>0</v>
      </c>
      <c r="BU42" s="75">
        <f>资产资本表!BU6</f>
        <v>0</v>
      </c>
      <c r="BV42" s="75">
        <f>资产资本表!BV6</f>
        <v>0</v>
      </c>
      <c r="BW42" s="75">
        <f>资产资本表!BW6</f>
        <v>0</v>
      </c>
      <c r="BX42" s="75">
        <f>资产资本表!BX6</f>
        <v>0</v>
      </c>
      <c r="BY42" s="75">
        <f>资产资本表!BY6</f>
        <v>0</v>
      </c>
      <c r="BZ42" s="75">
        <f>资产资本表!BZ6</f>
        <v>0</v>
      </c>
      <c r="CA42" s="75">
        <f>资产资本表!CA6</f>
        <v>0</v>
      </c>
      <c r="CB42" s="75">
        <f>资产资本表!CB6</f>
        <v>0</v>
      </c>
      <c r="CC42" s="75">
        <f>资产资本表!CC6</f>
        <v>0</v>
      </c>
      <c r="CD42" s="75">
        <f>资产资本表!CD6</f>
        <v>0</v>
      </c>
      <c r="CE42" s="75">
        <f>资产资本表!CE6</f>
        <v>0</v>
      </c>
      <c r="CF42" s="75">
        <f>资产资本表!CF6</f>
        <v>0</v>
      </c>
      <c r="CG42" s="75">
        <f>资产资本表!CG6</f>
        <v>0</v>
      </c>
      <c r="CH42" s="75">
        <f>资产资本表!CH6</f>
        <v>0</v>
      </c>
      <c r="CI42" s="75">
        <f>资产资本表!CI6</f>
        <v>0</v>
      </c>
      <c r="CJ42" s="75">
        <f>资产资本表!CJ6</f>
        <v>0</v>
      </c>
    </row>
    <row r="43" spans="1:89" s="75" customFormat="1" x14ac:dyDescent="0.25">
      <c r="A43" s="146" t="s">
        <v>459</v>
      </c>
      <c r="E43" s="75">
        <f>SUM(E34:E42)</f>
        <v>59406897907</v>
      </c>
      <c r="F43" s="75">
        <f t="shared" ref="F43:BQ43" si="14">SUM(F34:F42)</f>
        <v>55742126678</v>
      </c>
      <c r="G43" s="75">
        <f t="shared" si="14"/>
        <v>52888853809</v>
      </c>
      <c r="H43" s="75">
        <f t="shared" si="14"/>
        <v>53308975295</v>
      </c>
      <c r="I43" s="75">
        <f t="shared" si="14"/>
        <v>60093394248</v>
      </c>
      <c r="J43" s="75">
        <f t="shared" si="14"/>
        <v>42840971961</v>
      </c>
      <c r="K43" s="75">
        <f t="shared" si="14"/>
        <v>46294841947</v>
      </c>
      <c r="L43" s="75">
        <f t="shared" si="14"/>
        <v>49514470615</v>
      </c>
      <c r="M43" s="75">
        <f t="shared" si="14"/>
        <v>40742575787</v>
      </c>
      <c r="N43" s="75">
        <f t="shared" si="14"/>
        <v>36599354495</v>
      </c>
      <c r="O43" s="75">
        <f t="shared" si="14"/>
        <v>37139162680</v>
      </c>
      <c r="P43" s="75">
        <f t="shared" si="14"/>
        <v>38495609489</v>
      </c>
      <c r="Q43" s="75">
        <f t="shared" si="14"/>
        <v>42023631002</v>
      </c>
      <c r="R43" s="75">
        <f t="shared" si="14"/>
        <v>42549231107</v>
      </c>
      <c r="S43" s="75">
        <f t="shared" si="14"/>
        <v>46308387880</v>
      </c>
      <c r="T43" s="75">
        <f t="shared" si="14"/>
        <v>52105485606</v>
      </c>
      <c r="U43" s="75">
        <f t="shared" si="14"/>
        <v>22112521474</v>
      </c>
      <c r="V43" s="75">
        <f t="shared" si="14"/>
        <v>24856882853</v>
      </c>
      <c r="W43" s="75">
        <f t="shared" si="14"/>
        <v>30032369209</v>
      </c>
      <c r="X43" s="75">
        <f t="shared" si="14"/>
        <v>17983967257</v>
      </c>
      <c r="Y43" s="75">
        <f t="shared" si="14"/>
        <v>16668863807</v>
      </c>
      <c r="Z43" s="75">
        <f t="shared" si="14"/>
        <v>15469098010</v>
      </c>
      <c r="AA43" s="75">
        <f t="shared" si="14"/>
        <v>17028082868</v>
      </c>
      <c r="AB43" s="75">
        <f t="shared" si="14"/>
        <v>17420273137</v>
      </c>
      <c r="AC43" s="75">
        <f t="shared" si="14"/>
        <v>21778622542</v>
      </c>
      <c r="AD43" s="75">
        <f t="shared" si="14"/>
        <v>21240955787</v>
      </c>
      <c r="AE43" s="75">
        <f t="shared" si="14"/>
        <v>23923264583</v>
      </c>
      <c r="AF43" s="75">
        <f t="shared" si="14"/>
        <v>22444362682</v>
      </c>
      <c r="AG43" s="75">
        <f t="shared" si="14"/>
        <v>25705151124</v>
      </c>
      <c r="AH43" s="75">
        <f t="shared" si="14"/>
        <v>17879635157</v>
      </c>
      <c r="AI43" s="75">
        <f t="shared" si="14"/>
        <v>18778823642</v>
      </c>
      <c r="AJ43" s="75">
        <f t="shared" si="14"/>
        <v>17711923925</v>
      </c>
      <c r="AK43" s="75">
        <f t="shared" si="14"/>
        <v>17261009690</v>
      </c>
      <c r="AL43" s="75">
        <f t="shared" si="14"/>
        <v>13559261026</v>
      </c>
      <c r="AM43" s="75">
        <f t="shared" si="14"/>
        <v>14340909949</v>
      </c>
      <c r="AN43" s="75">
        <f t="shared" si="14"/>
        <v>4330189598</v>
      </c>
      <c r="AO43" s="75">
        <f t="shared" si="14"/>
        <v>4138563386</v>
      </c>
      <c r="AP43" s="75">
        <f t="shared" si="14"/>
        <v>3159005078</v>
      </c>
      <c r="AQ43" s="75">
        <f t="shared" si="14"/>
        <v>1875296997</v>
      </c>
      <c r="AR43" s="75">
        <f t="shared" si="14"/>
        <v>1859663109</v>
      </c>
      <c r="AS43" s="75">
        <f t="shared" si="14"/>
        <v>1961430313</v>
      </c>
      <c r="AT43" s="75">
        <f t="shared" si="14"/>
        <v>2292816687</v>
      </c>
      <c r="AU43" s="75">
        <f t="shared" si="14"/>
        <v>2096092797</v>
      </c>
      <c r="AV43" s="75">
        <f t="shared" si="14"/>
        <v>2075826083</v>
      </c>
      <c r="AW43" s="75">
        <f t="shared" si="14"/>
        <v>1809217235</v>
      </c>
      <c r="AX43" s="75">
        <f t="shared" si="14"/>
        <v>2395946480</v>
      </c>
      <c r="AY43" s="75">
        <f t="shared" si="14"/>
        <v>1510409463</v>
      </c>
      <c r="AZ43" s="75">
        <f t="shared" si="14"/>
        <v>1894735372</v>
      </c>
      <c r="BA43" s="75">
        <f t="shared" si="14"/>
        <v>2080680420</v>
      </c>
      <c r="BB43" s="75">
        <f t="shared" si="14"/>
        <v>3705122980</v>
      </c>
      <c r="BC43" s="75">
        <f t="shared" si="14"/>
        <v>4798356239</v>
      </c>
      <c r="BD43" s="75">
        <f t="shared" si="14"/>
        <v>1714290168</v>
      </c>
      <c r="BE43" s="75">
        <f t="shared" si="14"/>
        <v>1839091213</v>
      </c>
      <c r="BF43" s="75">
        <f t="shared" si="14"/>
        <v>3659739824</v>
      </c>
      <c r="BG43" s="75">
        <f t="shared" si="14"/>
        <v>2793219063.96</v>
      </c>
      <c r="BH43" s="75">
        <f t="shared" si="14"/>
        <v>3469664351.3799996</v>
      </c>
      <c r="BI43" s="75">
        <f t="shared" si="14"/>
        <v>2251632347</v>
      </c>
      <c r="BJ43" s="75">
        <f t="shared" si="14"/>
        <v>1772545556.7500002</v>
      </c>
      <c r="BK43" s="75">
        <f t="shared" si="14"/>
        <v>1829053661.4300001</v>
      </c>
      <c r="BL43" s="75">
        <f t="shared" si="14"/>
        <v>2103741432.3699999</v>
      </c>
      <c r="BM43" s="75">
        <f t="shared" si="14"/>
        <v>2294247778</v>
      </c>
      <c r="BN43" s="75">
        <f t="shared" si="14"/>
        <v>1161267124.49</v>
      </c>
      <c r="BO43" s="75">
        <f t="shared" si="14"/>
        <v>1008225671.23</v>
      </c>
      <c r="BP43" s="75">
        <f t="shared" si="14"/>
        <v>1214423990.8</v>
      </c>
      <c r="BQ43" s="75">
        <f t="shared" si="14"/>
        <v>1216749029</v>
      </c>
      <c r="BR43" s="75">
        <f t="shared" ref="BR43:CJ43" si="15">SUM(BR34:BR42)</f>
        <v>1273594641.9100001</v>
      </c>
      <c r="BS43" s="75">
        <f t="shared" si="15"/>
        <v>1406562761</v>
      </c>
      <c r="BT43" s="75">
        <f t="shared" si="15"/>
        <v>461243462</v>
      </c>
      <c r="BU43" s="75">
        <f t="shared" si="15"/>
        <v>329471420</v>
      </c>
      <c r="BV43" s="75">
        <f t="shared" si="15"/>
        <v>365063684.08999997</v>
      </c>
      <c r="BW43" s="75">
        <f t="shared" si="15"/>
        <v>333875000</v>
      </c>
      <c r="BX43" s="75">
        <f t="shared" si="15"/>
        <v>326620877.75</v>
      </c>
      <c r="BY43" s="75">
        <f t="shared" si="15"/>
        <v>412086000</v>
      </c>
      <c r="BZ43" s="75">
        <f t="shared" si="15"/>
        <v>0</v>
      </c>
      <c r="CA43" s="75">
        <f t="shared" si="15"/>
        <v>47734000</v>
      </c>
      <c r="CB43" s="75">
        <f t="shared" si="15"/>
        <v>41349000</v>
      </c>
      <c r="CC43" s="75">
        <f t="shared" si="15"/>
        <v>27882000</v>
      </c>
      <c r="CD43" s="75">
        <f t="shared" si="15"/>
        <v>0</v>
      </c>
      <c r="CE43" s="75">
        <f t="shared" si="15"/>
        <v>0</v>
      </c>
      <c r="CF43" s="75">
        <f t="shared" si="15"/>
        <v>0</v>
      </c>
      <c r="CG43" s="75">
        <f t="shared" si="15"/>
        <v>0</v>
      </c>
      <c r="CH43" s="75">
        <f t="shared" si="15"/>
        <v>0</v>
      </c>
      <c r="CI43" s="75">
        <f t="shared" si="15"/>
        <v>0</v>
      </c>
      <c r="CJ43" s="75">
        <f t="shared" si="15"/>
        <v>0</v>
      </c>
    </row>
    <row r="44" spans="1:89" s="109" customFormat="1" x14ac:dyDescent="0.25">
      <c r="A44" s="143" t="s">
        <v>460</v>
      </c>
      <c r="E44" s="109">
        <f>E32/E43</f>
        <v>1.127632654813299E-2</v>
      </c>
      <c r="F44" s="109">
        <f t="shared" ref="F44:BQ44" si="16">F32/F43</f>
        <v>4.1192894593641751E-4</v>
      </c>
      <c r="G44" s="109">
        <f t="shared" si="16"/>
        <v>2.4544522259134001E-4</v>
      </c>
      <c r="H44" s="109">
        <f t="shared" si="16"/>
        <v>4.9126193968198457E-4</v>
      </c>
      <c r="I44" s="109">
        <f t="shared" si="16"/>
        <v>-1.3877882145581769E-4</v>
      </c>
      <c r="J44" s="109">
        <f t="shared" si="16"/>
        <v>1.2869266964172284E-3</v>
      </c>
      <c r="K44" s="109">
        <f t="shared" si="16"/>
        <v>1.3524433362932203E-3</v>
      </c>
      <c r="L44" s="109">
        <f t="shared" si="16"/>
        <v>-4.0588046896454836E-4</v>
      </c>
      <c r="M44" s="109">
        <f t="shared" si="16"/>
        <v>2.7754045909654324E-3</v>
      </c>
      <c r="N44" s="109">
        <f t="shared" si="16"/>
        <v>1.2493969164958756E-3</v>
      </c>
      <c r="O44" s="109">
        <f t="shared" si="16"/>
        <v>3.1345500532216609E-3</v>
      </c>
      <c r="P44" s="109">
        <f t="shared" si="16"/>
        <v>2.0119595594369488E-3</v>
      </c>
      <c r="Q44" s="109">
        <f t="shared" si="16"/>
        <v>2.2682201080791088E-2</v>
      </c>
      <c r="R44" s="109">
        <f t="shared" si="16"/>
        <v>3.8893607312630221E-4</v>
      </c>
      <c r="S44" s="109">
        <f t="shared" si="16"/>
        <v>-5.3808640875441726E-4</v>
      </c>
      <c r="T44" s="109">
        <f t="shared" si="16"/>
        <v>-5.9690346684761685E-4</v>
      </c>
      <c r="U44" s="109">
        <f t="shared" si="16"/>
        <v>2.8657407811860384E-2</v>
      </c>
      <c r="V44" s="109">
        <f t="shared" si="16"/>
        <v>2.4461720461656949E-4</v>
      </c>
      <c r="W44" s="109">
        <f t="shared" si="16"/>
        <v>3.8785462266964743E-4</v>
      </c>
      <c r="X44" s="109">
        <f t="shared" si="16"/>
        <v>1.6096153638587554E-4</v>
      </c>
      <c r="Y44" s="109">
        <f t="shared" si="16"/>
        <v>3.0330193543197298E-2</v>
      </c>
      <c r="Z44" s="109">
        <f t="shared" si="16"/>
        <v>7.6315545373841583E-4</v>
      </c>
      <c r="AA44" s="109">
        <f t="shared" si="16"/>
        <v>9.4573483044715326E-4</v>
      </c>
      <c r="AB44" s="109">
        <f t="shared" si="16"/>
        <v>-1.0518521070313432E-3</v>
      </c>
      <c r="AC44" s="109">
        <f t="shared" si="16"/>
        <v>0.19926397482244798</v>
      </c>
      <c r="AD44" s="109">
        <f t="shared" si="16"/>
        <v>-3.4601998419339667E-3</v>
      </c>
      <c r="AE44" s="109">
        <f t="shared" si="16"/>
        <v>-1.2140235349950637E-3</v>
      </c>
      <c r="AF44" s="109">
        <f t="shared" si="16"/>
        <v>-7.3248268914645118E-4</v>
      </c>
      <c r="AG44" s="109">
        <f t="shared" si="16"/>
        <v>1.2255468803383265E-2</v>
      </c>
      <c r="AH44" s="109">
        <f t="shared" si="16"/>
        <v>-1.1467833085605447E-3</v>
      </c>
      <c r="AI44" s="109">
        <f t="shared" si="16"/>
        <v>-1.7897015412479365E-3</v>
      </c>
      <c r="AJ44" s="109">
        <f t="shared" si="16"/>
        <v>5.9289902823897044E-4</v>
      </c>
      <c r="AK44" s="109">
        <f t="shared" si="16"/>
        <v>3.0203846127354949E-2</v>
      </c>
      <c r="AL44" s="109">
        <f t="shared" si="16"/>
        <v>-1.0210415527611472E-2</v>
      </c>
      <c r="AM44" s="109">
        <f t="shared" si="16"/>
        <v>5.8344202185029436E-5</v>
      </c>
      <c r="AN44" s="109">
        <f t="shared" si="16"/>
        <v>0</v>
      </c>
      <c r="AO44" s="109">
        <f t="shared" si="16"/>
        <v>4.6884281460369541E-2</v>
      </c>
      <c r="AP44" s="109">
        <f t="shared" si="16"/>
        <v>5.7246812697990786E-3</v>
      </c>
      <c r="AQ44" s="109">
        <f t="shared" si="16"/>
        <v>2.4894969693370742E-2</v>
      </c>
      <c r="AR44" s="109">
        <f t="shared" si="16"/>
        <v>2.1667852808603966E-2</v>
      </c>
      <c r="AS44" s="109">
        <f t="shared" si="16"/>
        <v>-2.4293816011520575E-2</v>
      </c>
      <c r="AT44" s="109">
        <f t="shared" si="16"/>
        <v>8.5543271485041913E-2</v>
      </c>
      <c r="AU44" s="109">
        <f t="shared" si="16"/>
        <v>8.2616470833214523E-2</v>
      </c>
      <c r="AV44" s="109">
        <f t="shared" si="16"/>
        <v>0.10788822145809508</v>
      </c>
      <c r="AW44" s="109">
        <f t="shared" si="16"/>
        <v>8.7247749572374772E-2</v>
      </c>
      <c r="AX44" s="109">
        <f t="shared" si="16"/>
        <v>5.7734181438514769E-2</v>
      </c>
      <c r="AY44" s="109">
        <f t="shared" si="16"/>
        <v>5.8032304460058477E-2</v>
      </c>
      <c r="AZ44" s="109">
        <f t="shared" si="16"/>
        <v>2.0603749069120065E-2</v>
      </c>
      <c r="BA44" s="109">
        <f t="shared" si="16"/>
        <v>5.5918494353049165E-2</v>
      </c>
      <c r="BB44" s="109">
        <f t="shared" si="16"/>
        <v>2.4902864908845388E-2</v>
      </c>
      <c r="BC44" s="109">
        <f t="shared" si="16"/>
        <v>1.4161152716726791E-2</v>
      </c>
      <c r="BD44" s="109">
        <f t="shared" si="16"/>
        <v>1.9232199215429804E-2</v>
      </c>
      <c r="BE44" s="109">
        <f t="shared" si="16"/>
        <v>0.14823691684709195</v>
      </c>
      <c r="BF44" s="109">
        <f t="shared" si="16"/>
        <v>5.3166409260718868E-2</v>
      </c>
      <c r="BG44" s="109">
        <f t="shared" si="16"/>
        <v>5.5864901568126069E-2</v>
      </c>
      <c r="BH44" s="109">
        <f t="shared" si="16"/>
        <v>2.1518275922172751E-2</v>
      </c>
      <c r="BI44" s="109">
        <f t="shared" si="16"/>
        <v>2.2571595178774714E-2</v>
      </c>
      <c r="BJ44" s="109">
        <f t="shared" si="16"/>
        <v>2.4818878099947699E-3</v>
      </c>
      <c r="BK44" s="109">
        <f t="shared" si="16"/>
        <v>3.1144468357428268E-3</v>
      </c>
      <c r="BL44" s="109">
        <f t="shared" si="16"/>
        <v>6.1200715645158173E-3</v>
      </c>
      <c r="BM44" s="109">
        <f t="shared" si="16"/>
        <v>2.1816938073069492E-2</v>
      </c>
      <c r="BN44" s="109">
        <f t="shared" si="16"/>
        <v>2.6085681411952097E-2</v>
      </c>
      <c r="BO44" s="109">
        <f t="shared" si="16"/>
        <v>1.4127993080384231E-2</v>
      </c>
      <c r="BP44" s="109">
        <f t="shared" si="16"/>
        <v>1.8017550563630708E-3</v>
      </c>
      <c r="BQ44" s="109">
        <f t="shared" si="16"/>
        <v>-1.06914052969999E-2</v>
      </c>
      <c r="BR44" s="109">
        <f t="shared" ref="BR44:CK44" si="17">BR32/BR43</f>
        <v>7.4895729009463062E-3</v>
      </c>
      <c r="BS44" s="109">
        <f t="shared" si="17"/>
        <v>3.6215122662254781E-2</v>
      </c>
      <c r="BT44" s="109">
        <f t="shared" si="17"/>
        <v>5.9278965438397703E-2</v>
      </c>
      <c r="BU44" s="109">
        <f t="shared" si="17"/>
        <v>0.14477793000475767</v>
      </c>
      <c r="BV44" s="109">
        <f t="shared" si="17"/>
        <v>3.5071404496918195E-2</v>
      </c>
      <c r="BW44" s="109">
        <f t="shared" si="17"/>
        <v>0.11169805634869522</v>
      </c>
      <c r="BX44" s="109">
        <f t="shared" si="17"/>
        <v>5.4029113263425112E-2</v>
      </c>
      <c r="BY44" s="109">
        <f t="shared" si="17"/>
        <v>0.13453509952776554</v>
      </c>
      <c r="BZ44" s="109" t="e">
        <f t="shared" si="17"/>
        <v>#DIV/0!</v>
      </c>
      <c r="CA44" s="109">
        <f t="shared" si="17"/>
        <v>2.1673929462306076</v>
      </c>
      <c r="CB44" s="109">
        <f t="shared" si="17"/>
        <v>2.5487344213196099</v>
      </c>
      <c r="CC44" s="109">
        <f t="shared" si="17"/>
        <v>3.573573658928018</v>
      </c>
      <c r="CD44" s="109" t="e">
        <f t="shared" si="17"/>
        <v>#DIV/0!</v>
      </c>
      <c r="CE44" s="109" t="e">
        <f t="shared" si="17"/>
        <v>#DIV/0!</v>
      </c>
      <c r="CF44" s="109" t="e">
        <f t="shared" si="17"/>
        <v>#DIV/0!</v>
      </c>
      <c r="CG44" s="109" t="e">
        <f t="shared" si="17"/>
        <v>#DIV/0!</v>
      </c>
      <c r="CH44" s="109" t="e">
        <f t="shared" si="17"/>
        <v>#DIV/0!</v>
      </c>
      <c r="CI44" s="109" t="e">
        <f t="shared" si="17"/>
        <v>#DIV/0!</v>
      </c>
      <c r="CJ44" s="109" t="e">
        <f t="shared" si="17"/>
        <v>#DIV/0!</v>
      </c>
      <c r="CK44" s="109" t="e">
        <f t="shared" si="17"/>
        <v>#DIV/0!</v>
      </c>
    </row>
    <row r="45" spans="1:89" s="16" customFormat="1" ht="81.599999999999994" customHeight="1" x14ac:dyDescent="0.25">
      <c r="A45" s="277" t="s">
        <v>693</v>
      </c>
      <c r="B45" s="276"/>
      <c r="C45" s="276"/>
      <c r="D45" s="276"/>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row>
    <row r="46" spans="1:89" s="57" customFormat="1" x14ac:dyDescent="0.25">
      <c r="A46" s="57" t="s">
        <v>694</v>
      </c>
      <c r="E46" s="57">
        <f>E43/资产资本表!E70</f>
        <v>0.27406210114455926</v>
      </c>
      <c r="F46" s="57">
        <f>F43/资产资本表!F70</f>
        <v>0.27566023704443393</v>
      </c>
      <c r="G46" s="57">
        <f>G43/资产资本表!G70</f>
        <v>0.2814020846995392</v>
      </c>
      <c r="H46" s="57">
        <f>H43/资产资本表!H70</f>
        <v>0.29976419132670895</v>
      </c>
      <c r="I46" s="57">
        <f>I43/资产资本表!I70</f>
        <v>0.35340796225864085</v>
      </c>
      <c r="J46" s="57">
        <f>J43/资产资本表!J70</f>
        <v>0.2956172607666514</v>
      </c>
      <c r="K46" s="57">
        <f>K43/资产资本表!K70</f>
        <v>0.3169760271088311</v>
      </c>
      <c r="L46" s="57">
        <f>L43/资产资本表!L70</f>
        <v>0.35420211674871177</v>
      </c>
      <c r="M46" s="57">
        <f>M43/资产资本表!M70</f>
        <v>0.3167851022429734</v>
      </c>
      <c r="N46" s="57">
        <f>N43/资产资本表!N70</f>
        <v>0.29387853137541409</v>
      </c>
      <c r="O46" s="57">
        <f>O43/资产资本表!O70</f>
        <v>0.30587356029840562</v>
      </c>
      <c r="P46" s="57">
        <f>P43/资产资本表!P70</f>
        <v>0.32755242934873496</v>
      </c>
      <c r="Q46" s="57">
        <f>Q43/资产资本表!Q70</f>
        <v>0.35956053547598377</v>
      </c>
      <c r="R46" s="57">
        <f>R43/资产资本表!R70</f>
        <v>0.37488559620319656</v>
      </c>
      <c r="S46" s="57">
        <f>S43/资产资本表!S70</f>
        <v>0.40891207102764937</v>
      </c>
      <c r="T46" s="57">
        <f>T43/资产资本表!T70</f>
        <v>0.46460749937899487</v>
      </c>
      <c r="U46" s="57">
        <f>U43/资产资本表!U70</f>
        <v>0.28090759967219364</v>
      </c>
      <c r="V46" s="57">
        <f>V43/资产资本表!V70</f>
        <v>0.31710857420455069</v>
      </c>
      <c r="W46" s="57">
        <f>W43/资产资本表!W70</f>
        <v>0.39895135971273343</v>
      </c>
      <c r="X46" s="57">
        <f>X43/资产资本表!X70</f>
        <v>0.3081347490357555</v>
      </c>
      <c r="Y46" s="57">
        <f>Y43/资产资本表!Y70</f>
        <v>0.29408920643674358</v>
      </c>
      <c r="Z46" s="57">
        <f>Z43/资产资本表!Z70</f>
        <v>0.2675198455737739</v>
      </c>
      <c r="AA46" s="57">
        <f>AA43/资产资本表!AA70</f>
        <v>0.29436975422758788</v>
      </c>
      <c r="AB46" s="57">
        <f>AB43/资产资本表!AB70</f>
        <v>0.30215546807551696</v>
      </c>
      <c r="AC46" s="57">
        <f>AC43/资产资本表!AC70</f>
        <v>0.36467798936284712</v>
      </c>
      <c r="AD46" s="57">
        <f>AD43/资产资本表!AD70</f>
        <v>0.37087717530747472</v>
      </c>
      <c r="AE46" s="57">
        <f>AE43/资产资本表!AE70</f>
        <v>0.42631372960243918</v>
      </c>
      <c r="AF46" s="57">
        <f>AF43/资产资本表!AF70</f>
        <v>0.44615237873056052</v>
      </c>
      <c r="AG46" s="57">
        <f>AG43/资产资本表!AG70</f>
        <v>0.53373018293374253</v>
      </c>
      <c r="AH46" s="57">
        <f>AH43/资产资本表!AH70</f>
        <v>0.46836952202507315</v>
      </c>
      <c r="AI46" s="57">
        <f>AI43/资产资本表!AI70</f>
        <v>0.53360754372491015</v>
      </c>
      <c r="AJ46" s="57">
        <f>AJ43/资产资本表!AJ70</f>
        <v>0.6033767198130443</v>
      </c>
      <c r="AK46" s="57">
        <f>AK43/资产资本表!AK70</f>
        <v>0.62298932098353288</v>
      </c>
      <c r="AL46" s="57">
        <f>AL43/资产资本表!AL70</f>
        <v>0.57247821485781991</v>
      </c>
      <c r="AM46" s="57">
        <f>AM43/资产资本表!AM70</f>
        <v>0.60115772660342137</v>
      </c>
      <c r="AN46" s="57">
        <f>AN43/资产资本表!AN70</f>
        <v>0.33797086822656097</v>
      </c>
      <c r="AO46" s="57">
        <f>AO43/资产资本表!AO70</f>
        <v>0.33747054077544431</v>
      </c>
      <c r="AP46" s="57">
        <f>AP43/资产资本表!AP70</f>
        <v>0.262372492033625</v>
      </c>
      <c r="AQ46" s="57">
        <f>AQ43/资产资本表!AQ70</f>
        <v>0.16635700956614927</v>
      </c>
      <c r="AR46" s="57">
        <f>AR43/资产资本表!AR70</f>
        <v>0.16959823915432834</v>
      </c>
      <c r="AS46" s="57">
        <f>AS43/资产资本表!AS70</f>
        <v>0.17494971310150145</v>
      </c>
      <c r="AT46" s="57">
        <f>AT43/资产资本表!AT70</f>
        <v>0.19670519735628039</v>
      </c>
      <c r="AU46" s="57">
        <f>AU43/资产资本表!AU70</f>
        <v>0.17896180930587136</v>
      </c>
      <c r="AV46" s="57">
        <f>AV43/资产资本表!AV70</f>
        <v>0.16035514642324467</v>
      </c>
      <c r="AW46" s="57">
        <f>AW43/资产资本表!AW70</f>
        <v>0.12913902496034141</v>
      </c>
      <c r="AX46" s="57">
        <f>AX43/资产资本表!AX70</f>
        <v>0.16649864491057234</v>
      </c>
      <c r="AY46" s="57">
        <f>AY43/资产资本表!AY70</f>
        <v>9.138522821501617E-2</v>
      </c>
      <c r="AZ46" s="57">
        <f>AZ43/资产资本表!AZ70</f>
        <v>0.10509991590722041</v>
      </c>
      <c r="BA46" s="57">
        <f>BA43/资产资本表!BA70</f>
        <v>0.11403810762214055</v>
      </c>
      <c r="BB46" s="57">
        <f>BB43/资产资本表!BB70</f>
        <v>0.186733508500041</v>
      </c>
      <c r="BC46" s="57">
        <f>BC43/资产资本表!BC70</f>
        <v>0.23402298895505028</v>
      </c>
      <c r="BD46" s="57">
        <f>BD43/资产资本表!BD70</f>
        <v>0.11090727789649819</v>
      </c>
      <c r="BE46" s="57">
        <f>BE43/资产资本表!BE70</f>
        <v>0.12410107314796556</v>
      </c>
      <c r="BF46" s="57">
        <f>BF43/资产资本表!BF70</f>
        <v>0.25960634894984969</v>
      </c>
      <c r="BG46" s="57">
        <f>BG43/资产资本表!BG70</f>
        <v>0.24681174508317533</v>
      </c>
      <c r="BH46" s="57">
        <f>BH43/资产资本表!BH70</f>
        <v>0.30542836220343333</v>
      </c>
      <c r="BI46" s="57">
        <f>BI43/资产资本表!BI70</f>
        <v>0.22641897181989967</v>
      </c>
      <c r="BJ46" s="57">
        <f>BJ43/资产资本表!BJ70</f>
        <v>0.21505084705458993</v>
      </c>
      <c r="BK46" s="57">
        <f>BK43/资产资本表!BK70</f>
        <v>0.22224725576171844</v>
      </c>
      <c r="BL46" s="57">
        <f>BL43/资产资本表!BL70</f>
        <v>0.26384327510828737</v>
      </c>
      <c r="BM46" s="57">
        <f>BM43/资产资本表!BM70</f>
        <v>0.42642919346323532</v>
      </c>
      <c r="BN46" s="57">
        <f>BN43/资产资本表!BN70</f>
        <v>0.28075659123914998</v>
      </c>
      <c r="BO46" s="57">
        <f>BO43/资产资本表!BO70</f>
        <v>0.25868524752521482</v>
      </c>
      <c r="BP46" s="57">
        <f>BP43/资产资本表!BP70</f>
        <v>0.3316360867638416</v>
      </c>
      <c r="BQ46" s="57">
        <f>BQ43/资产资本表!BQ70</f>
        <v>0.35846804584785658</v>
      </c>
      <c r="BR46" s="57">
        <f>BR43/资产资本表!BR70</f>
        <v>0.38686181496059363</v>
      </c>
      <c r="BS46" s="57">
        <f>BS43/资产资本表!BS70</f>
        <v>0.41733895176752561</v>
      </c>
      <c r="BT46" s="57">
        <f>BT43/资产资本表!BT70</f>
        <v>0.21303487781727642</v>
      </c>
      <c r="BU46" s="57">
        <f>BU43/资产资本表!BU70</f>
        <v>0.18309375848637816</v>
      </c>
      <c r="BV46" s="57">
        <f>BV43/资产资本表!BV70</f>
        <v>0.23148304795537461</v>
      </c>
      <c r="BW46" s="57">
        <f>BW43/资产资本表!BW70</f>
        <v>0.23050486347139115</v>
      </c>
      <c r="BX46" s="57">
        <f>BX43/资产资本表!BX70</f>
        <v>0.26353869841428534</v>
      </c>
      <c r="BY46" s="57">
        <f>BY43/资产资本表!BY70</f>
        <v>0.33327348602484475</v>
      </c>
      <c r="BZ46" s="57">
        <f>BZ43/资产资本表!BZ70</f>
        <v>0</v>
      </c>
      <c r="CA46" s="57">
        <f>CA43/资产资本表!CA70</f>
        <v>5.9745243498101903E-2</v>
      </c>
      <c r="CB46" s="57">
        <f>CB43/资产资本表!CB70</f>
        <v>5.9390112707493392E-2</v>
      </c>
      <c r="CC46" s="57">
        <f>CC43/资产资本表!CC70</f>
        <v>4.7176307957300719E-2</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5" customFormat="1" x14ac:dyDescent="0.25">
      <c r="A48" s="117" t="s">
        <v>461</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35064</v>
      </c>
      <c r="CC48" s="1">
        <v>34699</v>
      </c>
      <c r="CD48" s="1">
        <v>25569</v>
      </c>
      <c r="CE48" s="1"/>
      <c r="CF48" s="1"/>
      <c r="CG48" s="1"/>
      <c r="CH48" s="1"/>
      <c r="CI48" s="1"/>
      <c r="CJ48" s="1"/>
      <c r="CK48" s="1"/>
    </row>
    <row r="49" spans="1:89" s="75" customFormat="1" x14ac:dyDescent="0.25">
      <c r="A49" s="145" t="s">
        <v>462</v>
      </c>
      <c r="E49" s="75">
        <f>利润表!E4</f>
        <v>93800479215</v>
      </c>
      <c r="F49" s="75">
        <f>利润表!F4</f>
        <v>69408356144</v>
      </c>
      <c r="G49" s="75">
        <f>利润表!G4</f>
        <v>44605027995</v>
      </c>
      <c r="H49" s="75">
        <f>利润表!H4</f>
        <v>21854974362</v>
      </c>
      <c r="I49" s="75">
        <f>利润表!I4</f>
        <v>68895658963</v>
      </c>
      <c r="J49" s="75">
        <f>利润表!J4</f>
        <v>45841905735</v>
      </c>
      <c r="K49" s="75">
        <f>利润表!K4</f>
        <v>26448310717</v>
      </c>
      <c r="L49" s="75">
        <f>利润表!L4</f>
        <v>12297738830</v>
      </c>
      <c r="M49" s="75">
        <f>利润表!M4</f>
        <v>48623732312</v>
      </c>
      <c r="N49" s="75">
        <f>利润表!N4</f>
        <v>36420446042</v>
      </c>
      <c r="O49" s="75">
        <f>利润表!O4</f>
        <v>22970848112</v>
      </c>
      <c r="P49" s="75">
        <f>利润表!P4</f>
        <v>11582854379</v>
      </c>
      <c r="Q49" s="75">
        <f>利润表!Q4</f>
        <v>36816316676</v>
      </c>
      <c r="R49" s="75">
        <f>利润表!R4</f>
        <v>25288069384</v>
      </c>
      <c r="S49" s="75">
        <f>利润表!S4</f>
        <v>16113171584</v>
      </c>
      <c r="T49" s="75">
        <f>利润表!T4</f>
        <v>8091679315</v>
      </c>
      <c r="U49" s="75">
        <f>利润表!U4</f>
        <v>33774285620</v>
      </c>
      <c r="V49" s="75">
        <f>利润表!V4</f>
        <v>24773771714</v>
      </c>
      <c r="W49" s="75">
        <f>利润表!W4</f>
        <v>16254326067</v>
      </c>
      <c r="X49" s="75">
        <f>利润表!X4</f>
        <v>8058663697</v>
      </c>
      <c r="Y49" s="75">
        <f>利润表!Y4</f>
        <v>25771583386</v>
      </c>
      <c r="Z49" s="75">
        <f>利润表!Z4</f>
        <v>17122908001</v>
      </c>
      <c r="AA49" s="75">
        <f>利润表!AA4</f>
        <v>9608882013</v>
      </c>
      <c r="AB49" s="75">
        <f>利润表!AB4</f>
        <v>4147641280</v>
      </c>
      <c r="AC49" s="75">
        <f>利润表!AC4</f>
        <v>12741413562</v>
      </c>
      <c r="AD49" s="75">
        <f>利润表!AD4</f>
        <v>8514636554</v>
      </c>
      <c r="AE49" s="75">
        <f>利润表!AE4</f>
        <v>4940033997</v>
      </c>
      <c r="AF49" s="75">
        <f>利润表!AF4</f>
        <v>1969646222</v>
      </c>
      <c r="AG49" s="75">
        <f>利润表!AG4</f>
        <v>8025290848</v>
      </c>
      <c r="AH49" s="75">
        <f>利润表!AH4</f>
        <v>6202063899</v>
      </c>
      <c r="AI49" s="75">
        <f>利润表!AI4</f>
        <v>4186429883</v>
      </c>
      <c r="AJ49" s="75">
        <f>利润表!AJ4</f>
        <v>1893639353</v>
      </c>
      <c r="AK49" s="75">
        <f>利润表!AK4</f>
        <v>6249194126</v>
      </c>
      <c r="AL49" s="75">
        <f>利润表!AL4</f>
        <v>4344512321</v>
      </c>
      <c r="AM49" s="75">
        <f>利润表!AM4</f>
        <v>2298113686</v>
      </c>
      <c r="AN49" s="75">
        <f>利润表!AN4</f>
        <v>720895076</v>
      </c>
      <c r="AO49" s="75">
        <f>利润表!AO4</f>
        <v>8334015771</v>
      </c>
      <c r="AP49" s="75">
        <f>利润表!AP4</f>
        <v>7271976208</v>
      </c>
      <c r="AQ49" s="75">
        <f>利润表!AQ4</f>
        <v>5505901872</v>
      </c>
      <c r="AR49" s="75">
        <f>利润表!AR4</f>
        <v>2936720597</v>
      </c>
      <c r="AS49" s="75">
        <f>利润表!AS4</f>
        <v>11170448855</v>
      </c>
      <c r="AT49" s="75">
        <f>利润表!AT4</f>
        <v>7926095410</v>
      </c>
      <c r="AU49" s="75">
        <f>利润表!AU4</f>
        <v>4689192282</v>
      </c>
      <c r="AV49" s="75">
        <f>利润表!AV4</f>
        <v>2152839364</v>
      </c>
      <c r="AW49" s="75">
        <f>利润表!AW4</f>
        <v>8781394325</v>
      </c>
      <c r="AX49" s="75">
        <f>利润表!AX4</f>
        <v>6660072468</v>
      </c>
      <c r="AY49" s="75">
        <f>利润表!AY4</f>
        <v>4291008928</v>
      </c>
      <c r="AZ49" s="75">
        <f>利润表!AZ4</f>
        <v>2404770586</v>
      </c>
      <c r="BA49" s="75">
        <f>利润表!BA4</f>
        <v>13461793093</v>
      </c>
      <c r="BB49" s="75">
        <f>利润表!BB4</f>
        <v>8547810470</v>
      </c>
      <c r="BC49" s="75">
        <f>利润表!BC4</f>
        <v>4321710751</v>
      </c>
      <c r="BD49" s="75">
        <f>利润表!BD4</f>
        <v>2081864602</v>
      </c>
      <c r="BE49" s="75">
        <f>利润表!BE4</f>
        <v>12441707566</v>
      </c>
      <c r="BF49" s="75">
        <f>利润表!BF4</f>
        <v>9310845738</v>
      </c>
      <c r="BG49" s="75">
        <f>利润表!BG4</f>
        <v>6234212244.3900003</v>
      </c>
      <c r="BH49" s="75">
        <f>利润表!BH4</f>
        <v>3694043772.3099999</v>
      </c>
      <c r="BI49" s="75">
        <f>利润表!BI4</f>
        <v>11180106328</v>
      </c>
      <c r="BJ49" s="75">
        <f>利润表!BJ4</f>
        <v>7650456631.9200001</v>
      </c>
      <c r="BK49" s="75">
        <f>利润表!BK4</f>
        <v>4697949372.4700003</v>
      </c>
      <c r="BL49" s="75">
        <f>利润表!BL4</f>
        <v>2253527850.46</v>
      </c>
      <c r="BM49" s="75">
        <f>利润表!BM4</f>
        <v>4782587489</v>
      </c>
      <c r="BN49" s="75">
        <f>利润表!BN4</f>
        <v>3419585621.9699998</v>
      </c>
      <c r="BO49" s="75">
        <f>利润表!BO4</f>
        <v>2012328199.5899999</v>
      </c>
      <c r="BP49" s="75">
        <f>利润表!BP4</f>
        <v>1039368764.79</v>
      </c>
      <c r="BQ49" s="75">
        <f>利润表!BQ4</f>
        <v>2669543128</v>
      </c>
      <c r="BR49" s="75">
        <f>利润表!BR4</f>
        <v>1276281504.5799999</v>
      </c>
      <c r="BS49" s="75">
        <f>利润表!BS4</f>
        <v>2234822478</v>
      </c>
      <c r="BT49" s="75">
        <f>利润表!BT4</f>
        <v>993215204</v>
      </c>
      <c r="BU49" s="75">
        <f>利润表!BU4</f>
        <v>741886971</v>
      </c>
      <c r="BV49" s="75">
        <f>利润表!BV4</f>
        <v>200737099.93000001</v>
      </c>
      <c r="BW49" s="75">
        <f>利润表!BW4</f>
        <v>237497000</v>
      </c>
      <c r="BX49" s="75">
        <f>利润表!BX4</f>
        <v>105801107.16</v>
      </c>
      <c r="BY49" s="75">
        <f>利润表!BY4</f>
        <v>275100000</v>
      </c>
      <c r="BZ49" s="75">
        <f>利润表!BZ4</f>
        <v>111102000</v>
      </c>
      <c r="CA49" s="75">
        <f>利润表!CA4</f>
        <v>191165000</v>
      </c>
      <c r="CB49" s="75">
        <f>利润表!CB4</f>
        <v>183819000</v>
      </c>
      <c r="CC49" s="75">
        <f>利润表!CC4</f>
        <v>134792000</v>
      </c>
      <c r="CD49" s="75">
        <f>利润表!CD4</f>
        <v>0</v>
      </c>
      <c r="CE49" s="75">
        <f>利润表!CE4</f>
        <v>0</v>
      </c>
      <c r="CF49" s="75">
        <f>利润表!CF4</f>
        <v>0</v>
      </c>
      <c r="CG49" s="75">
        <f>利润表!CG4</f>
        <v>0</v>
      </c>
      <c r="CH49" s="75">
        <f>利润表!CH4</f>
        <v>0</v>
      </c>
      <c r="CI49" s="75">
        <f>利润表!CI4</f>
        <v>0</v>
      </c>
      <c r="CJ49" s="75">
        <f>利润表!CJ4</f>
        <v>0</v>
      </c>
      <c r="CK49" s="75">
        <f>利润表!CK4</f>
        <v>0</v>
      </c>
    </row>
    <row r="50" spans="1:89" s="75" customFormat="1" x14ac:dyDescent="0.25">
      <c r="A50" s="145" t="s">
        <v>463</v>
      </c>
      <c r="E50" s="75">
        <f>资产资本表!E50</f>
        <v>3780938398</v>
      </c>
      <c r="F50" s="75">
        <f>资产资本表!F50</f>
        <v>6141120899</v>
      </c>
      <c r="G50" s="75">
        <f>资产资本表!G50</f>
        <v>2629738498</v>
      </c>
      <c r="H50" s="75">
        <f>资产资本表!H50</f>
        <v>1685827688</v>
      </c>
      <c r="I50" s="75">
        <f>资产资本表!I50</f>
        <v>-1882787022</v>
      </c>
      <c r="J50" s="75">
        <f>资产资本表!J50</f>
        <v>4197441123</v>
      </c>
      <c r="K50" s="75">
        <f>资产资本表!K50</f>
        <v>10091571633</v>
      </c>
      <c r="L50" s="75">
        <f>资产资本表!L50</f>
        <v>1886003533</v>
      </c>
      <c r="M50" s="75">
        <f>资产资本表!M50</f>
        <v>1151417918</v>
      </c>
      <c r="N50" s="75">
        <f>资产资本表!N50</f>
        <v>3094600130</v>
      </c>
      <c r="O50" s="75">
        <f>资产资本表!O50</f>
        <v>3746064271</v>
      </c>
      <c r="P50" s="75">
        <f>资产资本表!P50</f>
        <v>1067383969</v>
      </c>
      <c r="Q50" s="75">
        <f>资产资本表!Q50</f>
        <v>-779898261</v>
      </c>
      <c r="R50" s="75">
        <f>资产资本表!R50</f>
        <v>853839432</v>
      </c>
      <c r="S50" s="75">
        <f>资产资本表!S50</f>
        <v>-1593287881</v>
      </c>
      <c r="T50" s="75">
        <f>资产资本表!T50</f>
        <v>-1863259771</v>
      </c>
      <c r="U50" s="75">
        <f>资产资本表!U50</f>
        <v>-2365770598</v>
      </c>
      <c r="V50" s="75">
        <f>资产资本表!V50</f>
        <v>-721771440</v>
      </c>
      <c r="W50" s="75">
        <f>资产资本表!W50</f>
        <v>-1971504111</v>
      </c>
      <c r="X50" s="75">
        <f>资产资本表!X50</f>
        <v>1212652766</v>
      </c>
      <c r="Y50" s="75">
        <f>资产资本表!Y50</f>
        <v>551633943</v>
      </c>
      <c r="Z50" s="75">
        <f>资产资本表!Z50</f>
        <v>3270450815</v>
      </c>
      <c r="AA50" s="75">
        <f>资产资本表!AA50</f>
        <v>1766627194</v>
      </c>
      <c r="AB50" s="75">
        <f>资产资本表!AB50</f>
        <v>1835180510</v>
      </c>
      <c r="AC50" s="75">
        <f>资产资本表!AC50</f>
        <v>-1119979692</v>
      </c>
      <c r="AD50" s="75">
        <f>资产资本表!AD50</f>
        <v>-1382991900</v>
      </c>
      <c r="AE50" s="75">
        <f>资产资本表!AE50</f>
        <v>-2042610445</v>
      </c>
      <c r="AF50" s="75">
        <f>资产资本表!AF50</f>
        <v>-1402133033</v>
      </c>
      <c r="AG50" s="75">
        <f>资产资本表!AG50</f>
        <v>-2104919265</v>
      </c>
      <c r="AH50" s="75">
        <f>资产资本表!AH50</f>
        <v>-174367826</v>
      </c>
      <c r="AI50" s="75">
        <f>资产资本表!AI50</f>
        <v>188011213</v>
      </c>
      <c r="AJ50" s="75">
        <f>资产资本表!AJ50</f>
        <v>396357030</v>
      </c>
      <c r="AK50" s="75">
        <f>资产资本表!AK50</f>
        <v>93116272</v>
      </c>
      <c r="AL50" s="75">
        <f>资产资本表!AL50</f>
        <v>606694533</v>
      </c>
      <c r="AM50" s="75">
        <f>资产资本表!AM50</f>
        <v>349632147</v>
      </c>
      <c r="AN50" s="75">
        <f>资产资本表!AN50</f>
        <v>74664244</v>
      </c>
      <c r="AO50" s="75">
        <f>资产资本表!AO50</f>
        <v>13801476</v>
      </c>
      <c r="AP50" s="75">
        <f>资产资本表!AP50</f>
        <v>461181828</v>
      </c>
      <c r="AQ50" s="75">
        <f>资产资本表!AQ50</f>
        <v>825559405</v>
      </c>
      <c r="AR50" s="75">
        <f>资产资本表!AR50</f>
        <v>798107299</v>
      </c>
      <c r="AS50" s="75">
        <f>资产资本表!AS50</f>
        <v>808022282</v>
      </c>
      <c r="AT50" s="75">
        <f>资产资本表!AT50</f>
        <v>-576597509</v>
      </c>
      <c r="AU50" s="75">
        <f>资产资本表!AU50</f>
        <v>-528952742</v>
      </c>
      <c r="AV50" s="75">
        <f>资产资本表!AV50</f>
        <v>433510133</v>
      </c>
      <c r="AW50" s="75">
        <f>资产资本表!AW50</f>
        <v>474898169</v>
      </c>
      <c r="AX50" s="75">
        <f>资产资本表!AX50</f>
        <v>208658321</v>
      </c>
      <c r="AY50" s="75">
        <f>资产资本表!AY50</f>
        <v>961842465</v>
      </c>
      <c r="AZ50" s="75">
        <f>资产资本表!AZ50</f>
        <v>1738304770</v>
      </c>
      <c r="BA50" s="75">
        <f>资产资本表!BA50</f>
        <v>1557829391</v>
      </c>
      <c r="BB50" s="75">
        <f>资产资本表!BB50</f>
        <v>1493140766</v>
      </c>
      <c r="BC50" s="75">
        <f>资产资本表!BC50</f>
        <v>799975761</v>
      </c>
      <c r="BD50" s="75">
        <f>资产资本表!BD50</f>
        <v>365902021</v>
      </c>
      <c r="BE50" s="75">
        <f>资产资本表!BE50</f>
        <v>404309435</v>
      </c>
      <c r="BF50" s="75">
        <f>资产资本表!BF50</f>
        <v>2092747886.79</v>
      </c>
      <c r="BG50" s="75">
        <f>资产资本表!BG50</f>
        <v>1829795224.0400004</v>
      </c>
      <c r="BH50" s="75">
        <f>资产资本表!BH50</f>
        <v>1236715644.3299994</v>
      </c>
      <c r="BI50" s="75">
        <f>资产资本表!BI50</f>
        <v>1283292042</v>
      </c>
      <c r="BJ50" s="75">
        <f>资产资本表!BJ50</f>
        <v>1050996824.2799997</v>
      </c>
      <c r="BK50" s="75">
        <f>资产资本表!BK50</f>
        <v>1041039571.8499997</v>
      </c>
      <c r="BL50" s="75">
        <f>资产资本表!BL50</f>
        <v>544040371.7699995</v>
      </c>
      <c r="BM50" s="75">
        <f>资产资本表!BM50</f>
        <v>697229052</v>
      </c>
      <c r="BN50" s="75">
        <f>资产资本表!BN50</f>
        <v>659579739.89000034</v>
      </c>
      <c r="BO50" s="75">
        <f>资产资本表!BO50</f>
        <v>739145834.65999997</v>
      </c>
      <c r="BP50" s="75">
        <f>资产资本表!BP50</f>
        <v>390709418.2900002</v>
      </c>
      <c r="BQ50" s="75">
        <f>资产资本表!BQ50</f>
        <v>379797213</v>
      </c>
      <c r="BR50" s="75">
        <f>资产资本表!BR50</f>
        <v>450951963.95999992</v>
      </c>
      <c r="BS50" s="75">
        <f>资产资本表!BS50</f>
        <v>575413906</v>
      </c>
      <c r="BT50" s="75">
        <f>资产资本表!BT50</f>
        <v>371147463</v>
      </c>
      <c r="BU50" s="75">
        <f>资产资本表!BU50</f>
        <v>260414462</v>
      </c>
      <c r="BV50" s="75">
        <f>资产资本表!BV50</f>
        <v>63103352.100000024</v>
      </c>
      <c r="BW50" s="75">
        <f>资产资本表!BW50</f>
        <v>37893000</v>
      </c>
      <c r="BX50" s="75">
        <f>资产资本表!BX50</f>
        <v>56142037.610000014</v>
      </c>
      <c r="BY50" s="75">
        <f>资产资本表!BY50</f>
        <v>89000</v>
      </c>
      <c r="BZ50" s="75">
        <f>资产资本表!BZ50</f>
        <v>0</v>
      </c>
      <c r="CA50" s="75">
        <f>资产资本表!CA50</f>
        <v>83783000</v>
      </c>
      <c r="CB50" s="75">
        <f>资产资本表!CB50</f>
        <v>67624000</v>
      </c>
      <c r="CC50" s="75">
        <f>资产资本表!CC50</f>
        <v>60873000</v>
      </c>
      <c r="CD50" s="75">
        <f>资产资本表!CD50</f>
        <v>0</v>
      </c>
      <c r="CE50" s="75">
        <f>资产资本表!CE50</f>
        <v>0</v>
      </c>
      <c r="CF50" s="75">
        <f>资产资本表!CF50</f>
        <v>0</v>
      </c>
      <c r="CG50" s="75">
        <f>资产资本表!CG50</f>
        <v>0</v>
      </c>
      <c r="CH50" s="75">
        <f>资产资本表!CH50</f>
        <v>0</v>
      </c>
      <c r="CI50" s="75">
        <f>资产资本表!CI50</f>
        <v>0</v>
      </c>
      <c r="CJ50" s="75">
        <f>资产资本表!CJ50</f>
        <v>0</v>
      </c>
      <c r="CK50" s="75">
        <f>资产资本表!CK50</f>
        <v>0</v>
      </c>
    </row>
    <row r="51" spans="1:89" s="44" customFormat="1" x14ac:dyDescent="0.25">
      <c r="A51" s="141" t="s">
        <v>464</v>
      </c>
      <c r="E51" s="44">
        <f>E49/E50</f>
        <v>24.808782725636991</v>
      </c>
      <c r="F51" s="44">
        <f t="shared" ref="F51:BQ51" si="18">F49/F50</f>
        <v>11.302229232338062</v>
      </c>
      <c r="G51" s="44">
        <f t="shared" si="18"/>
        <v>16.961773206318249</v>
      </c>
      <c r="H51" s="44">
        <f t="shared" si="18"/>
        <v>12.963943182074489</v>
      </c>
      <c r="I51" s="44">
        <f t="shared" si="18"/>
        <v>-36.592380422197323</v>
      </c>
      <c r="J51" s="44">
        <f t="shared" si="18"/>
        <v>10.921393389846006</v>
      </c>
      <c r="K51" s="44">
        <f t="shared" si="18"/>
        <v>2.6208316879516125</v>
      </c>
      <c r="L51" s="44">
        <f t="shared" si="18"/>
        <v>6.5205279920331938</v>
      </c>
      <c r="M51" s="44">
        <f t="shared" si="18"/>
        <v>42.229438635503328</v>
      </c>
      <c r="N51" s="44">
        <f t="shared" si="18"/>
        <v>11.769031381123867</v>
      </c>
      <c r="O51" s="44">
        <f t="shared" si="18"/>
        <v>6.131995195551732</v>
      </c>
      <c r="P51" s="44">
        <f t="shared" si="18"/>
        <v>10.851628575470951</v>
      </c>
      <c r="Q51" s="44">
        <f t="shared" si="18"/>
        <v>-47.206563364807913</v>
      </c>
      <c r="R51" s="44">
        <f t="shared" si="18"/>
        <v>29.616890994090326</v>
      </c>
      <c r="S51" s="44">
        <f t="shared" si="18"/>
        <v>-10.113157688670075</v>
      </c>
      <c r="T51" s="44">
        <f t="shared" si="18"/>
        <v>-4.3427542637585343</v>
      </c>
      <c r="U51" s="44">
        <f t="shared" si="18"/>
        <v>-14.276230184174434</v>
      </c>
      <c r="V51" s="44">
        <f t="shared" si="18"/>
        <v>-34.323568848886566</v>
      </c>
      <c r="W51" s="44">
        <f t="shared" si="18"/>
        <v>-8.2446320939982058</v>
      </c>
      <c r="X51" s="44">
        <f t="shared" si="18"/>
        <v>6.6454832932777066</v>
      </c>
      <c r="Y51" s="44">
        <f t="shared" si="18"/>
        <v>46.718632370307205</v>
      </c>
      <c r="Z51" s="44">
        <f t="shared" si="18"/>
        <v>5.2356414970270695</v>
      </c>
      <c r="AA51" s="44">
        <f t="shared" si="18"/>
        <v>5.4391113448466477</v>
      </c>
      <c r="AB51" s="44">
        <f t="shared" si="18"/>
        <v>2.2600726508369466</v>
      </c>
      <c r="AC51" s="44">
        <f t="shared" si="18"/>
        <v>-11.376468388678605</v>
      </c>
      <c r="AD51" s="44">
        <f t="shared" si="18"/>
        <v>-6.1566785416458334</v>
      </c>
      <c r="AE51" s="44">
        <f t="shared" si="18"/>
        <v>-2.4184905198602369</v>
      </c>
      <c r="AF51" s="44">
        <f t="shared" si="18"/>
        <v>-1.4047498886648082</v>
      </c>
      <c r="AG51" s="44">
        <f t="shared" si="18"/>
        <v>-3.8126359435453216</v>
      </c>
      <c r="AH51" s="44">
        <f t="shared" si="18"/>
        <v>-35.568854881519258</v>
      </c>
      <c r="AI51" s="44">
        <f t="shared" si="18"/>
        <v>22.266915979101736</v>
      </c>
      <c r="AJ51" s="44">
        <f t="shared" si="18"/>
        <v>4.7776101082400384</v>
      </c>
      <c r="AK51" s="44">
        <f t="shared" si="18"/>
        <v>67.111730224766731</v>
      </c>
      <c r="AL51" s="44">
        <f t="shared" si="18"/>
        <v>7.1609551177544564</v>
      </c>
      <c r="AM51" s="44">
        <f t="shared" si="18"/>
        <v>6.5729473268371974</v>
      </c>
      <c r="AN51" s="44">
        <f t="shared" si="18"/>
        <v>9.6551580432529391</v>
      </c>
      <c r="AO51" s="44">
        <f t="shared" si="18"/>
        <v>603.84960065140854</v>
      </c>
      <c r="AP51" s="44">
        <f t="shared" si="18"/>
        <v>15.76813258132105</v>
      </c>
      <c r="AQ51" s="44">
        <f t="shared" si="18"/>
        <v>6.6692982220946293</v>
      </c>
      <c r="AR51" s="44">
        <f t="shared" si="18"/>
        <v>3.6796062392608189</v>
      </c>
      <c r="AS51" s="44">
        <f t="shared" si="18"/>
        <v>13.824431706698901</v>
      </c>
      <c r="AT51" s="44">
        <f t="shared" si="18"/>
        <v>-13.746322670984693</v>
      </c>
      <c r="AU51" s="44">
        <f t="shared" si="18"/>
        <v>-8.8650495775291773</v>
      </c>
      <c r="AV51" s="44">
        <f t="shared" si="18"/>
        <v>4.9660646894267639</v>
      </c>
      <c r="AW51" s="44">
        <f t="shared" si="18"/>
        <v>18.491110091014058</v>
      </c>
      <c r="AX51" s="44">
        <f t="shared" si="18"/>
        <v>31.918556787390234</v>
      </c>
      <c r="AY51" s="44">
        <f t="shared" si="18"/>
        <v>4.4612388037993309</v>
      </c>
      <c r="AZ51" s="44">
        <f t="shared" si="18"/>
        <v>1.3833998660660638</v>
      </c>
      <c r="BA51" s="44">
        <f t="shared" si="18"/>
        <v>8.6413782990437884</v>
      </c>
      <c r="BB51" s="44">
        <f t="shared" si="18"/>
        <v>5.7247184355557268</v>
      </c>
      <c r="BC51" s="44">
        <f t="shared" si="18"/>
        <v>5.4023021217514113</v>
      </c>
      <c r="BD51" s="44">
        <f t="shared" si="18"/>
        <v>5.6896777894539152</v>
      </c>
      <c r="BE51" s="44">
        <f t="shared" si="18"/>
        <v>30.772736149479172</v>
      </c>
      <c r="BF51" s="44">
        <f t="shared" si="18"/>
        <v>4.4491005327362263</v>
      </c>
      <c r="BG51" s="44">
        <f t="shared" si="18"/>
        <v>3.4070546050642205</v>
      </c>
      <c r="BH51" s="44">
        <f t="shared" si="18"/>
        <v>2.9869790919571311</v>
      </c>
      <c r="BI51" s="44">
        <f t="shared" si="18"/>
        <v>8.7120514754972671</v>
      </c>
      <c r="BJ51" s="44">
        <f t="shared" si="18"/>
        <v>7.2792385811070872</v>
      </c>
      <c r="BK51" s="44">
        <f t="shared" si="18"/>
        <v>4.5127481216889942</v>
      </c>
      <c r="BL51" s="44">
        <f t="shared" si="18"/>
        <v>4.1422070261592827</v>
      </c>
      <c r="BM51" s="44">
        <f t="shared" si="18"/>
        <v>6.8594208392222873</v>
      </c>
      <c r="BN51" s="44">
        <f t="shared" si="18"/>
        <v>5.1844916014859583</v>
      </c>
      <c r="BO51" s="44">
        <f t="shared" si="18"/>
        <v>2.7225049580583129</v>
      </c>
      <c r="BP51" s="44">
        <f t="shared" si="18"/>
        <v>2.6602091378778558</v>
      </c>
      <c r="BQ51" s="44">
        <f t="shared" si="18"/>
        <v>7.0288644482496503</v>
      </c>
      <c r="BR51" s="44">
        <f t="shared" ref="BR51:CJ51" si="19">BR49/BR50</f>
        <v>2.8301939154947506</v>
      </c>
      <c r="BS51" s="44">
        <f t="shared" si="19"/>
        <v>3.8838520492759869</v>
      </c>
      <c r="BT51" s="44">
        <f t="shared" si="19"/>
        <v>2.6760662621045586</v>
      </c>
      <c r="BU51" s="44">
        <f t="shared" si="19"/>
        <v>2.8488700869462464</v>
      </c>
      <c r="BV51" s="44">
        <f t="shared" si="19"/>
        <v>3.1810845739524498</v>
      </c>
      <c r="BW51" s="44">
        <f t="shared" si="19"/>
        <v>6.2675692080331462</v>
      </c>
      <c r="BX51" s="44">
        <f t="shared" si="19"/>
        <v>1.8845256008512721</v>
      </c>
      <c r="BY51" s="44">
        <f t="shared" si="19"/>
        <v>3091.0112359550562</v>
      </c>
      <c r="BZ51" s="44" t="e">
        <f t="shared" si="19"/>
        <v>#DIV/0!</v>
      </c>
      <c r="CA51" s="44">
        <f t="shared" si="19"/>
        <v>2.281668118830789</v>
      </c>
      <c r="CB51" s="44">
        <f t="shared" si="19"/>
        <v>2.7182509168342599</v>
      </c>
      <c r="CC51" s="44">
        <f t="shared" si="19"/>
        <v>2.2143150493650716</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5" customFormat="1" x14ac:dyDescent="0.25">
      <c r="A52" s="145" t="s">
        <v>465</v>
      </c>
      <c r="E52" s="75">
        <f>资产资本表!E68</f>
        <v>146679724614</v>
      </c>
      <c r="F52" s="75">
        <f>资产资本表!F68</f>
        <v>137976704853</v>
      </c>
      <c r="G52" s="75">
        <f>资产资本表!G68</f>
        <v>130448003375</v>
      </c>
      <c r="H52" s="75">
        <f>资产资本表!H68</f>
        <v>120839365118</v>
      </c>
      <c r="I52" s="75">
        <f>资产资本表!I68</f>
        <v>110473010716</v>
      </c>
      <c r="J52" s="75">
        <f>资产资本表!J68</f>
        <v>95901608120</v>
      </c>
      <c r="K52" s="75">
        <f>资产资本表!K68</f>
        <v>87932979817</v>
      </c>
      <c r="L52" s="75">
        <f>资产资本表!L68</f>
        <v>86697175233</v>
      </c>
      <c r="M52" s="75">
        <f>资产资本表!M68</f>
        <v>85458366932</v>
      </c>
      <c r="N52" s="75">
        <f>资产资本表!N68</f>
        <v>84105203454</v>
      </c>
      <c r="O52" s="75">
        <f>资产资本表!O68</f>
        <v>79875880193</v>
      </c>
      <c r="P52" s="75">
        <f>资产资本表!P68</f>
        <v>77320282634</v>
      </c>
      <c r="Q52" s="75">
        <f>资产资本表!Q68</f>
        <v>74992429519</v>
      </c>
      <c r="R52" s="75">
        <f>资产资本表!R68</f>
        <v>69118948207</v>
      </c>
      <c r="S52" s="75">
        <f>资产资本表!S68</f>
        <v>67544485708</v>
      </c>
      <c r="T52" s="75">
        <f>资产资本表!T68</f>
        <v>60916023168</v>
      </c>
      <c r="U52" s="75">
        <f>资产资本表!U68</f>
        <v>57981532910</v>
      </c>
      <c r="V52" s="75">
        <f>资产资本表!V68</f>
        <v>53258803705</v>
      </c>
      <c r="W52" s="75">
        <f>资产资本表!W68</f>
        <v>46225691683</v>
      </c>
      <c r="X52" s="75">
        <f>资产资本表!X68</f>
        <v>38195374888</v>
      </c>
      <c r="Y52" s="75">
        <f>资产资本表!Y68</f>
        <v>38487710185</v>
      </c>
      <c r="Z52" s="75">
        <f>资产资本表!Z68</f>
        <v>38125004205</v>
      </c>
      <c r="AA52" s="75">
        <f>资产资本表!AA68</f>
        <v>38104895180</v>
      </c>
      <c r="AB52" s="75">
        <f>资产资本表!AB68</f>
        <v>37440366054</v>
      </c>
      <c r="AC52" s="75">
        <f>资产资本表!AC68</f>
        <v>38034829313</v>
      </c>
      <c r="AD52" s="75">
        <f>资产资本表!AD68</f>
        <v>37346195141</v>
      </c>
      <c r="AE52" s="75">
        <f>资产资本表!AE68</f>
        <v>34166914885</v>
      </c>
      <c r="AF52" s="75">
        <f>资产资本表!AF68</f>
        <v>29193714708</v>
      </c>
      <c r="AG52" s="75">
        <f>资产资本表!AG68</f>
        <v>24497925689</v>
      </c>
      <c r="AH52" s="75">
        <f>资产资本表!AH68</f>
        <v>20403915577</v>
      </c>
      <c r="AI52" s="75">
        <f>资产资本表!AI68</f>
        <v>16158360765</v>
      </c>
      <c r="AJ52" s="75">
        <f>资产资本表!AJ68</f>
        <v>11184114018</v>
      </c>
      <c r="AK52" s="75">
        <f>资产资本表!AK68</f>
        <v>10288393663</v>
      </c>
      <c r="AL52" s="75">
        <f>资产资本表!AL68</f>
        <v>9122791290</v>
      </c>
      <c r="AM52" s="75">
        <f>资产资本表!AM68</f>
        <v>8955106133</v>
      </c>
      <c r="AN52" s="75">
        <f>资产资本表!AN68</f>
        <v>8087417124</v>
      </c>
      <c r="AO52" s="75">
        <f>资产资本表!AO68</f>
        <v>7770331746</v>
      </c>
      <c r="AP52" s="75">
        <f>资产资本表!AP68</f>
        <v>7866646211</v>
      </c>
      <c r="AQ52" s="75">
        <f>资产资本表!AQ68</f>
        <v>7959518571</v>
      </c>
      <c r="AR52" s="75">
        <f>资产资本表!AR68</f>
        <v>7681871276</v>
      </c>
      <c r="AS52" s="75">
        <f>资产资本表!AS68</f>
        <v>7800289601</v>
      </c>
      <c r="AT52" s="75">
        <f>资产资本表!AT68</f>
        <v>8006731260</v>
      </c>
      <c r="AU52" s="75">
        <f>资产资本表!AU68</f>
        <v>8245769525</v>
      </c>
      <c r="AV52" s="75">
        <f>资产资本表!AV68</f>
        <v>8467882033</v>
      </c>
      <c r="AW52" s="75">
        <f>资产资本表!AW68</f>
        <v>8907946998</v>
      </c>
      <c r="AX52" s="75">
        <f>资产资本表!AX68</f>
        <v>9151027298</v>
      </c>
      <c r="AY52" s="75">
        <f>资产资本表!AY68</f>
        <v>11474742128</v>
      </c>
      <c r="AZ52" s="75">
        <f>资产资本表!AZ68</f>
        <v>11770283302</v>
      </c>
      <c r="BA52" s="75">
        <f>资产资本表!BA68</f>
        <v>12001367056</v>
      </c>
      <c r="BB52" s="75">
        <f>资产资本表!BB68</f>
        <v>12372132871</v>
      </c>
      <c r="BC52" s="75">
        <f>资产资本表!BC68</f>
        <v>12642632548</v>
      </c>
      <c r="BD52" s="75">
        <f>资产资本表!BD68</f>
        <v>11126441261</v>
      </c>
      <c r="BE52" s="75">
        <f>资产资本表!BE68</f>
        <v>10356100962</v>
      </c>
      <c r="BF52" s="75">
        <f>资产资本表!BF68</f>
        <v>6201424898.4899998</v>
      </c>
      <c r="BG52" s="75">
        <f>资产资本表!BG68</f>
        <v>4628504563.2200003</v>
      </c>
      <c r="BH52" s="75">
        <f>资产资本表!BH68</f>
        <v>4579161833.5300007</v>
      </c>
      <c r="BI52" s="75">
        <f>资产资本表!BI68</f>
        <v>4416176342</v>
      </c>
      <c r="BJ52" s="75">
        <f>资产资本表!BJ68</f>
        <v>4515727065.2600002</v>
      </c>
      <c r="BK52" s="75">
        <f>资产资本表!BK68</f>
        <v>4513840245.3599997</v>
      </c>
      <c r="BL52" s="75">
        <f>资产资本表!BL68</f>
        <v>4396993052.4499998</v>
      </c>
      <c r="BM52" s="75">
        <f>资产资本表!BM68</f>
        <v>1503327495</v>
      </c>
      <c r="BN52" s="75">
        <f>资产资本表!BN68</f>
        <v>1359360295.8500001</v>
      </c>
      <c r="BO52" s="75">
        <f>资产资本表!BO68</f>
        <v>1294931808.1299999</v>
      </c>
      <c r="BP52" s="75">
        <f>资产资本表!BP68</f>
        <v>1267707219.52</v>
      </c>
      <c r="BQ52" s="75">
        <f>资产资本表!BQ68</f>
        <v>956966922</v>
      </c>
      <c r="BR52" s="75">
        <f>资产资本表!BR68</f>
        <v>729791801.98999989</v>
      </c>
      <c r="BS52" s="75">
        <f>资产资本表!BS68</f>
        <v>625148218</v>
      </c>
      <c r="BT52" s="75">
        <f>资产资本表!BT68</f>
        <v>572513866</v>
      </c>
      <c r="BU52" s="75">
        <f>资产资本表!BU68</f>
        <v>478710395</v>
      </c>
      <c r="BV52" s="75">
        <f>资产资本表!BV68</f>
        <v>464193311.31</v>
      </c>
      <c r="BW52" s="75">
        <f>资产资本表!BW68</f>
        <v>411909000</v>
      </c>
      <c r="BX52" s="75">
        <f>资产资本表!BX68</f>
        <v>175516846.34999999</v>
      </c>
      <c r="BY52" s="75">
        <f>资产资本表!BY68</f>
        <v>174244000</v>
      </c>
      <c r="BZ52" s="75">
        <f>资产资本表!BZ68</f>
        <v>175413000</v>
      </c>
      <c r="CA52" s="75">
        <f>资产资本表!CA68</f>
        <v>168430000</v>
      </c>
      <c r="CB52" s="75">
        <f>资产资本表!CB68</f>
        <v>178694000</v>
      </c>
      <c r="CC52" s="75">
        <f>资产资本表!CC68</f>
        <v>182330000</v>
      </c>
      <c r="CD52" s="75">
        <f>资产资本表!CD68</f>
        <v>0</v>
      </c>
      <c r="CE52" s="75">
        <f>资产资本表!CE68</f>
        <v>0</v>
      </c>
      <c r="CF52" s="75">
        <f>资产资本表!CF68</f>
        <v>0</v>
      </c>
      <c r="CG52" s="75">
        <f>资产资本表!CG68</f>
        <v>0</v>
      </c>
      <c r="CH52" s="75">
        <f>资产资本表!CH68</f>
        <v>0</v>
      </c>
      <c r="CI52" s="75">
        <f>资产资本表!CI68</f>
        <v>0</v>
      </c>
      <c r="CJ52" s="75">
        <f>资产资本表!CJ68</f>
        <v>0</v>
      </c>
      <c r="CK52" s="75">
        <f>资产资本表!CK68</f>
        <v>0</v>
      </c>
    </row>
    <row r="53" spans="1:89" s="44" customFormat="1" x14ac:dyDescent="0.25">
      <c r="A53" s="141" t="s">
        <v>466</v>
      </c>
      <c r="E53" s="44">
        <f>E49/E52</f>
        <v>0.63949178703357834</v>
      </c>
      <c r="F53" s="44">
        <f t="shared" ref="F53:BQ53" si="20">F49/F52</f>
        <v>0.5030440190461678</v>
      </c>
      <c r="G53" s="44">
        <f t="shared" si="20"/>
        <v>0.3419372228087964</v>
      </c>
      <c r="H53" s="44">
        <f t="shared" si="20"/>
        <v>0.1808597251455149</v>
      </c>
      <c r="I53" s="44">
        <f t="shared" si="20"/>
        <v>0.62364244910564137</v>
      </c>
      <c r="J53" s="44">
        <f t="shared" si="20"/>
        <v>0.47800977098985481</v>
      </c>
      <c r="K53" s="44">
        <f t="shared" si="20"/>
        <v>0.30077805587894763</v>
      </c>
      <c r="L53" s="44">
        <f t="shared" si="20"/>
        <v>0.14184705322808541</v>
      </c>
      <c r="M53" s="44">
        <f t="shared" si="20"/>
        <v>0.56897567853935649</v>
      </c>
      <c r="N53" s="44">
        <f t="shared" si="20"/>
        <v>0.43303439675904931</v>
      </c>
      <c r="O53" s="44">
        <f t="shared" si="20"/>
        <v>0.28758178384384264</v>
      </c>
      <c r="P53" s="44">
        <f t="shared" si="20"/>
        <v>0.1498035700907627</v>
      </c>
      <c r="Q53" s="44">
        <f t="shared" si="20"/>
        <v>0.49093377707775498</v>
      </c>
      <c r="R53" s="44">
        <f t="shared" si="20"/>
        <v>0.36586305260702678</v>
      </c>
      <c r="S53" s="44">
        <f t="shared" si="20"/>
        <v>0.23855643306928828</v>
      </c>
      <c r="T53" s="44">
        <f t="shared" si="20"/>
        <v>0.13283334817645592</v>
      </c>
      <c r="U53" s="44">
        <f t="shared" si="20"/>
        <v>0.5825007364400846</v>
      </c>
      <c r="V53" s="44">
        <f t="shared" si="20"/>
        <v>0.46515824597228439</v>
      </c>
      <c r="W53" s="44">
        <f t="shared" si="20"/>
        <v>0.35162969931237836</v>
      </c>
      <c r="X53" s="44">
        <f t="shared" si="20"/>
        <v>0.21098532795215014</v>
      </c>
      <c r="Y53" s="44">
        <f t="shared" si="20"/>
        <v>0.669605525039629</v>
      </c>
      <c r="Z53" s="44">
        <f t="shared" si="20"/>
        <v>0.44912540622761093</v>
      </c>
      <c r="AA53" s="44">
        <f t="shared" si="20"/>
        <v>0.2521692283264273</v>
      </c>
      <c r="AB53" s="44">
        <f t="shared" si="20"/>
        <v>0.11077993398937082</v>
      </c>
      <c r="AC53" s="44">
        <f t="shared" si="20"/>
        <v>0.33499331513090519</v>
      </c>
      <c r="AD53" s="44">
        <f t="shared" si="20"/>
        <v>0.22799207581530373</v>
      </c>
      <c r="AE53" s="44">
        <f t="shared" si="20"/>
        <v>0.1445853104861036</v>
      </c>
      <c r="AF53" s="44">
        <f t="shared" si="20"/>
        <v>6.7468160242733846E-2</v>
      </c>
      <c r="AG53" s="44">
        <f t="shared" si="20"/>
        <v>0.32759062746294054</v>
      </c>
      <c r="AH53" s="44">
        <f t="shared" si="20"/>
        <v>0.30396439720575891</v>
      </c>
      <c r="AI53" s="44">
        <f t="shared" si="20"/>
        <v>0.25908753640827625</v>
      </c>
      <c r="AJ53" s="44">
        <f t="shared" si="20"/>
        <v>0.16931509728462427</v>
      </c>
      <c r="AK53" s="44">
        <f t="shared" si="20"/>
        <v>0.60740231475335993</v>
      </c>
      <c r="AL53" s="44">
        <f t="shared" si="20"/>
        <v>0.47622621003752019</v>
      </c>
      <c r="AM53" s="44">
        <f t="shared" si="20"/>
        <v>0.25662606917983244</v>
      </c>
      <c r="AN53" s="44">
        <f t="shared" si="20"/>
        <v>8.9137862552024341E-2</v>
      </c>
      <c r="AO53" s="44">
        <f t="shared" si="20"/>
        <v>1.0725431092810385</v>
      </c>
      <c r="AP53" s="44">
        <f t="shared" si="20"/>
        <v>0.9244061589844389</v>
      </c>
      <c r="AQ53" s="44">
        <f t="shared" si="20"/>
        <v>0.69173805210536266</v>
      </c>
      <c r="AR53" s="44">
        <f t="shared" si="20"/>
        <v>0.38229234668055639</v>
      </c>
      <c r="AS53" s="44">
        <f t="shared" si="20"/>
        <v>1.4320556577242907</v>
      </c>
      <c r="AT53" s="44">
        <f t="shared" si="20"/>
        <v>0.98992899257118316</v>
      </c>
      <c r="AU53" s="44">
        <f t="shared" si="20"/>
        <v>0.56867855301837333</v>
      </c>
      <c r="AV53" s="44">
        <f t="shared" si="20"/>
        <v>0.25423587097815209</v>
      </c>
      <c r="AW53" s="44">
        <f t="shared" si="20"/>
        <v>0.98579328401612476</v>
      </c>
      <c r="AX53" s="44">
        <f t="shared" si="20"/>
        <v>0.72779506072018718</v>
      </c>
      <c r="AY53" s="44">
        <f t="shared" si="20"/>
        <v>0.37395253680946161</v>
      </c>
      <c r="AZ53" s="44">
        <f t="shared" si="20"/>
        <v>0.20430864103257249</v>
      </c>
      <c r="BA53" s="44">
        <f t="shared" si="20"/>
        <v>1.1216883068558319</v>
      </c>
      <c r="BB53" s="44">
        <f t="shared" si="20"/>
        <v>0.69089223007262346</v>
      </c>
      <c r="BC53" s="44">
        <f t="shared" si="20"/>
        <v>0.34183630146584248</v>
      </c>
      <c r="BD53" s="44">
        <f t="shared" si="20"/>
        <v>0.18710965646286892</v>
      </c>
      <c r="BE53" s="44">
        <f t="shared" si="20"/>
        <v>1.2013891725904169</v>
      </c>
      <c r="BF53" s="44">
        <f t="shared" si="20"/>
        <v>1.5014042563455248</v>
      </c>
      <c r="BG53" s="44">
        <f t="shared" si="20"/>
        <v>1.3469171649801566</v>
      </c>
      <c r="BH53" s="44">
        <f t="shared" si="20"/>
        <v>0.80670740773149796</v>
      </c>
      <c r="BI53" s="44">
        <f t="shared" si="20"/>
        <v>2.5316258822528694</v>
      </c>
      <c r="BJ53" s="44">
        <f t="shared" si="20"/>
        <v>1.6941804766669424</v>
      </c>
      <c r="BK53" s="44">
        <f t="shared" si="20"/>
        <v>1.0407876923201382</v>
      </c>
      <c r="BL53" s="44">
        <f t="shared" si="20"/>
        <v>0.51251567231936757</v>
      </c>
      <c r="BM53" s="44">
        <f t="shared" si="20"/>
        <v>3.1813344097721035</v>
      </c>
      <c r="BN53" s="44">
        <f t="shared" si="20"/>
        <v>2.5155844498398805</v>
      </c>
      <c r="BO53" s="44">
        <f t="shared" si="20"/>
        <v>1.5540032200583489</v>
      </c>
      <c r="BP53" s="44">
        <f t="shared" si="20"/>
        <v>0.81988076488476791</v>
      </c>
      <c r="BQ53" s="44">
        <f t="shared" si="20"/>
        <v>2.7895876718714838</v>
      </c>
      <c r="BR53" s="44">
        <f t="shared" ref="BR53:CK53" si="21">BR49/BR52</f>
        <v>1.7488295992087459</v>
      </c>
      <c r="BS53" s="44">
        <f t="shared" si="21"/>
        <v>3.574868189098797</v>
      </c>
      <c r="BT53" s="44">
        <f t="shared" si="21"/>
        <v>1.7348317010019807</v>
      </c>
      <c r="BU53" s="44">
        <f t="shared" si="21"/>
        <v>1.5497615651316701</v>
      </c>
      <c r="BV53" s="44">
        <f t="shared" si="21"/>
        <v>0.43244289617939519</v>
      </c>
      <c r="BW53" s="44">
        <f t="shared" si="21"/>
        <v>0.57657637973435882</v>
      </c>
      <c r="BX53" s="44">
        <f t="shared" si="21"/>
        <v>0.60279744856525563</v>
      </c>
      <c r="BY53" s="44">
        <f t="shared" si="21"/>
        <v>1.5788205045797847</v>
      </c>
      <c r="BZ53" s="44">
        <f t="shared" si="21"/>
        <v>0.63337380923876796</v>
      </c>
      <c r="CA53" s="44">
        <f t="shared" si="21"/>
        <v>1.1349818915870094</v>
      </c>
      <c r="CB53" s="44">
        <f t="shared" si="21"/>
        <v>1.0286803138325853</v>
      </c>
      <c r="CC53" s="44">
        <f t="shared" si="21"/>
        <v>0.73927494104096969</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5" customFormat="1" x14ac:dyDescent="0.25">
      <c r="A54" s="145" t="s">
        <v>467</v>
      </c>
      <c r="E54" s="75">
        <f>资产资本表!E17</f>
        <v>59374849696</v>
      </c>
      <c r="F54" s="75">
        <f>资产资本表!F17</f>
        <v>55742126678</v>
      </c>
      <c r="G54" s="75">
        <f>资产资本表!G17</f>
        <v>52888853809</v>
      </c>
      <c r="H54" s="75">
        <f>资产资本表!H17</f>
        <v>53308603340</v>
      </c>
      <c r="I54" s="75">
        <f>资产资本表!I17</f>
        <v>60093394248</v>
      </c>
      <c r="J54" s="75">
        <f>资产资本表!J17</f>
        <v>42819125608</v>
      </c>
      <c r="K54" s="75">
        <f>资产资本表!K17</f>
        <v>46326090357</v>
      </c>
      <c r="L54" s="75">
        <f>资产资本表!L17</f>
        <v>49514470615</v>
      </c>
      <c r="M54" s="75">
        <f>资产资本表!M17</f>
        <v>40742575787</v>
      </c>
      <c r="N54" s="75">
        <f>资产资本表!N17</f>
        <v>36599354495</v>
      </c>
      <c r="O54" s="75">
        <f>资产资本表!O17</f>
        <v>37139162680</v>
      </c>
      <c r="P54" s="75">
        <f>资产资本表!P17</f>
        <v>38495609489</v>
      </c>
      <c r="Q54" s="75">
        <f>资产资本表!Q17</f>
        <v>42023631002</v>
      </c>
      <c r="R54" s="75">
        <f>资产资本表!R17</f>
        <v>42549231107</v>
      </c>
      <c r="S54" s="75">
        <f>资产资本表!S17</f>
        <v>46308387880</v>
      </c>
      <c r="T54" s="75">
        <f>资产资本表!T17</f>
        <v>52105485606</v>
      </c>
      <c r="U54" s="75">
        <f>资产资本表!U17</f>
        <v>22112521474</v>
      </c>
      <c r="V54" s="75">
        <f>资产资本表!V17</f>
        <v>24856882853</v>
      </c>
      <c r="W54" s="75">
        <f>资产资本表!W17</f>
        <v>30032369209</v>
      </c>
      <c r="X54" s="75">
        <f>资产资本表!X17</f>
        <v>17983967257</v>
      </c>
      <c r="Y54" s="75">
        <f>资产资本表!Y17</f>
        <v>16668863807</v>
      </c>
      <c r="Z54" s="75">
        <f>资产资本表!Z17</f>
        <v>15469098010</v>
      </c>
      <c r="AA54" s="75">
        <f>资产资本表!AA17</f>
        <v>17028082868</v>
      </c>
      <c r="AB54" s="75">
        <f>资产资本表!AB17</f>
        <v>17420273137</v>
      </c>
      <c r="AC54" s="75">
        <f>资产资本表!AC17</f>
        <v>21846416555</v>
      </c>
      <c r="AD54" s="75">
        <f>资产资本表!AD17</f>
        <v>21249625924</v>
      </c>
      <c r="AE54" s="75">
        <f>资产资本表!AE17</f>
        <v>23931934720</v>
      </c>
      <c r="AF54" s="75">
        <f>资产资本表!AF17</f>
        <v>22453032819</v>
      </c>
      <c r="AG54" s="75">
        <f>资产资本表!AG17</f>
        <v>25705151124</v>
      </c>
      <c r="AH54" s="75">
        <f>资产资本表!AH17</f>
        <v>17879635157</v>
      </c>
      <c r="AI54" s="75">
        <f>资产资本表!AI17</f>
        <v>18778823642</v>
      </c>
      <c r="AJ54" s="75">
        <f>资产资本表!AJ17</f>
        <v>17711923925</v>
      </c>
      <c r="AK54" s="75">
        <f>资产资本表!AK17</f>
        <v>17261009690</v>
      </c>
      <c r="AL54" s="75">
        <f>资产资本表!AL17</f>
        <v>13559261026</v>
      </c>
      <c r="AM54" s="75">
        <f>资产资本表!AM17</f>
        <v>14340909949</v>
      </c>
      <c r="AN54" s="75">
        <f>资产资本表!AN17</f>
        <v>4330189598</v>
      </c>
      <c r="AO54" s="75">
        <f>资产资本表!AO17</f>
        <v>4138563386</v>
      </c>
      <c r="AP54" s="75">
        <f>资产资本表!AP17</f>
        <v>3159005078</v>
      </c>
      <c r="AQ54" s="75">
        <f>资产资本表!AQ17</f>
        <v>1875296997</v>
      </c>
      <c r="AR54" s="75">
        <f>资产资本表!AR17</f>
        <v>1859663109</v>
      </c>
      <c r="AS54" s="75">
        <f>资产资本表!AS17</f>
        <v>1961430313</v>
      </c>
      <c r="AT54" s="75">
        <f>资产资本表!AT17</f>
        <v>2292816687</v>
      </c>
      <c r="AU54" s="75">
        <f>资产资本表!AU17</f>
        <v>2096092797</v>
      </c>
      <c r="AV54" s="75">
        <f>资产资本表!AV17</f>
        <v>2075826083</v>
      </c>
      <c r="AW54" s="75">
        <f>资产资本表!AW17</f>
        <v>1809217235</v>
      </c>
      <c r="AX54" s="75">
        <f>资产资本表!AX17</f>
        <v>2395946480</v>
      </c>
      <c r="AY54" s="75">
        <f>资产资本表!AY17</f>
        <v>1510409463</v>
      </c>
      <c r="AZ54" s="75">
        <f>资产资本表!AZ17</f>
        <v>1894735372</v>
      </c>
      <c r="BA54" s="75">
        <f>资产资本表!BA17</f>
        <v>2080680420</v>
      </c>
      <c r="BB54" s="75">
        <f>资产资本表!BB17</f>
        <v>3705622980</v>
      </c>
      <c r="BC54" s="75">
        <f>资产资本表!BC17</f>
        <v>4798356239</v>
      </c>
      <c r="BD54" s="75">
        <f>资产资本表!BD17</f>
        <v>1714290168</v>
      </c>
      <c r="BE54" s="75">
        <f>资产资本表!BE17</f>
        <v>1839091213</v>
      </c>
      <c r="BF54" s="75">
        <f>资产资本表!BF17</f>
        <v>3659739824</v>
      </c>
      <c r="BG54" s="75">
        <f>资产资本表!BG17</f>
        <v>2793219063.96</v>
      </c>
      <c r="BH54" s="75">
        <f>资产资本表!BH17</f>
        <v>3469664351.3799996</v>
      </c>
      <c r="BI54" s="75">
        <f>资产资本表!BI17</f>
        <v>2251632347</v>
      </c>
      <c r="BJ54" s="75">
        <f>资产资本表!BJ17</f>
        <v>1772545556.7500002</v>
      </c>
      <c r="BK54" s="75">
        <f>资产资本表!BK17</f>
        <v>1829053661.4300001</v>
      </c>
      <c r="BL54" s="75">
        <f>资产资本表!BL17</f>
        <v>2124166725.9399998</v>
      </c>
      <c r="BM54" s="75">
        <f>资产资本表!BM17</f>
        <v>2294247778</v>
      </c>
      <c r="BN54" s="75">
        <f>资产资本表!BN17</f>
        <v>1241128815.51</v>
      </c>
      <c r="BO54" s="75">
        <f>资产资本表!BO17</f>
        <v>1008225671.23</v>
      </c>
      <c r="BP54" s="75">
        <f>资产资本表!BP17</f>
        <v>1214423990.8</v>
      </c>
      <c r="BQ54" s="75">
        <f>资产资本表!BQ17</f>
        <v>1216749029</v>
      </c>
      <c r="BR54" s="75">
        <f>资产资本表!BR17</f>
        <v>1273594641.9100001</v>
      </c>
      <c r="BS54" s="75">
        <f>资产资本表!BS17</f>
        <v>1406562761</v>
      </c>
      <c r="BT54" s="75">
        <f>资产资本表!BT17</f>
        <v>461243462</v>
      </c>
      <c r="BU54" s="75">
        <f>资产资本表!BU17</f>
        <v>334471420</v>
      </c>
      <c r="BV54" s="75">
        <f>资产资本表!BV17</f>
        <v>365063684.08999997</v>
      </c>
      <c r="BW54" s="75">
        <f>资产资本表!BW17</f>
        <v>333875000</v>
      </c>
      <c r="BX54" s="75">
        <f>资产资本表!BX17</f>
        <v>326620877.75</v>
      </c>
      <c r="BY54" s="75">
        <f>资产资本表!BY17</f>
        <v>412086000</v>
      </c>
      <c r="BZ54" s="75">
        <f>资产资本表!BZ17</f>
        <v>0</v>
      </c>
      <c r="CA54" s="75">
        <f>资产资本表!CA17</f>
        <v>47734000</v>
      </c>
      <c r="CB54" s="75">
        <f>资产资本表!CB17</f>
        <v>41349000</v>
      </c>
      <c r="CC54" s="75">
        <f>资产资本表!CC17</f>
        <v>27882000</v>
      </c>
      <c r="CD54" s="75">
        <f>资产资本表!CD17</f>
        <v>0</v>
      </c>
      <c r="CE54" s="75">
        <f>资产资本表!CE17</f>
        <v>0</v>
      </c>
      <c r="CF54" s="75">
        <f>资产资本表!CF17</f>
        <v>0</v>
      </c>
      <c r="CG54" s="75">
        <f>资产资本表!CG17</f>
        <v>0</v>
      </c>
      <c r="CH54" s="75">
        <f>资产资本表!CH17</f>
        <v>0</v>
      </c>
      <c r="CI54" s="75">
        <f>资产资本表!CI17</f>
        <v>0</v>
      </c>
      <c r="CJ54" s="75">
        <f>资产资本表!CJ17</f>
        <v>0</v>
      </c>
      <c r="CK54" s="75">
        <f>资产资本表!CK17</f>
        <v>0</v>
      </c>
    </row>
    <row r="55" spans="1:89" s="44" customFormat="1" x14ac:dyDescent="0.25">
      <c r="A55" s="141" t="s">
        <v>468</v>
      </c>
      <c r="E55" s="44">
        <f>E49/E54</f>
        <v>1.5798015438398525</v>
      </c>
      <c r="F55" s="44">
        <f t="shared" ref="F55:BQ55" si="22">F49/F54</f>
        <v>1.2451687849109947</v>
      </c>
      <c r="G55" s="44">
        <f t="shared" si="22"/>
        <v>0.8433729374450849</v>
      </c>
      <c r="H55" s="44">
        <f t="shared" si="22"/>
        <v>0.40997086760292528</v>
      </c>
      <c r="I55" s="44">
        <f t="shared" si="22"/>
        <v>1.1464764110123959</v>
      </c>
      <c r="J55" s="44">
        <f t="shared" si="22"/>
        <v>1.0705941581963376</v>
      </c>
      <c r="K55" s="44">
        <f t="shared" si="22"/>
        <v>0.57091609745573069</v>
      </c>
      <c r="L55" s="44">
        <f t="shared" si="22"/>
        <v>0.24836656188089187</v>
      </c>
      <c r="M55" s="44">
        <f t="shared" si="22"/>
        <v>1.1934378564134547</v>
      </c>
      <c r="N55" s="44">
        <f t="shared" si="22"/>
        <v>0.9951117046880037</v>
      </c>
      <c r="O55" s="44">
        <f t="shared" si="22"/>
        <v>0.61850743135816977</v>
      </c>
      <c r="P55" s="44">
        <f t="shared" si="22"/>
        <v>0.30088767349714945</v>
      </c>
      <c r="Q55" s="44">
        <f t="shared" si="22"/>
        <v>0.87608604487907837</v>
      </c>
      <c r="R55" s="44">
        <f t="shared" si="22"/>
        <v>0.59432494374357159</v>
      </c>
      <c r="S55" s="44">
        <f t="shared" si="22"/>
        <v>0.34795362830929111</v>
      </c>
      <c r="T55" s="44">
        <f t="shared" si="22"/>
        <v>0.15529419255749599</v>
      </c>
      <c r="U55" s="44">
        <f t="shared" si="22"/>
        <v>1.5273828296656242</v>
      </c>
      <c r="V55" s="44">
        <f t="shared" si="22"/>
        <v>0.99665641345733058</v>
      </c>
      <c r="W55" s="44">
        <f t="shared" si="22"/>
        <v>0.54122689934595491</v>
      </c>
      <c r="X55" s="44">
        <f t="shared" si="22"/>
        <v>0.44810266732793796</v>
      </c>
      <c r="Y55" s="44">
        <f t="shared" si="22"/>
        <v>1.5460911844019845</v>
      </c>
      <c r="Z55" s="44">
        <f t="shared" si="22"/>
        <v>1.1069105638823216</v>
      </c>
      <c r="AA55" s="44">
        <f t="shared" si="22"/>
        <v>0.56429617400191756</v>
      </c>
      <c r="AB55" s="44">
        <f t="shared" si="22"/>
        <v>0.23809278117405444</v>
      </c>
      <c r="AC55" s="44">
        <f t="shared" si="22"/>
        <v>0.58322670585002034</v>
      </c>
      <c r="AD55" s="44">
        <f t="shared" si="22"/>
        <v>0.40069583269149694</v>
      </c>
      <c r="AE55" s="44">
        <f t="shared" si="22"/>
        <v>0.20642016848189029</v>
      </c>
      <c r="AF55" s="44">
        <f t="shared" si="22"/>
        <v>8.7722947624842201E-2</v>
      </c>
      <c r="AG55" s="44">
        <f t="shared" si="22"/>
        <v>0.31220555013609963</v>
      </c>
      <c r="AH55" s="44">
        <f t="shared" si="22"/>
        <v>0.34687866080823521</v>
      </c>
      <c r="AI55" s="44">
        <f t="shared" si="22"/>
        <v>0.22293355339025553</v>
      </c>
      <c r="AJ55" s="44">
        <f t="shared" si="22"/>
        <v>0.10691325013694129</v>
      </c>
      <c r="AK55" s="44">
        <f t="shared" si="22"/>
        <v>0.36204105311524221</v>
      </c>
      <c r="AL55" s="44">
        <f t="shared" si="22"/>
        <v>0.32040922530139071</v>
      </c>
      <c r="AM55" s="44">
        <f t="shared" si="22"/>
        <v>0.16024880528311586</v>
      </c>
      <c r="AN55" s="44">
        <f t="shared" si="22"/>
        <v>0.16648118048525229</v>
      </c>
      <c r="AO55" s="44">
        <f t="shared" si="22"/>
        <v>2.0137460741068858</v>
      </c>
      <c r="AP55" s="44">
        <f t="shared" si="22"/>
        <v>2.3019830701266129</v>
      </c>
      <c r="AQ55" s="44">
        <f t="shared" si="22"/>
        <v>2.9360159381730191</v>
      </c>
      <c r="AR55" s="44">
        <f t="shared" si="22"/>
        <v>1.5791680669404513</v>
      </c>
      <c r="AS55" s="44">
        <f t="shared" si="22"/>
        <v>5.6950526261189687</v>
      </c>
      <c r="AT55" s="44">
        <f t="shared" si="22"/>
        <v>3.4569250367637436</v>
      </c>
      <c r="AU55" s="44">
        <f t="shared" si="22"/>
        <v>2.2371110137448746</v>
      </c>
      <c r="AV55" s="44">
        <f t="shared" si="22"/>
        <v>1.0371000642253709</v>
      </c>
      <c r="AW55" s="44">
        <f t="shared" si="22"/>
        <v>4.8536981381343072</v>
      </c>
      <c r="AX55" s="44">
        <f t="shared" si="22"/>
        <v>2.7797250579654018</v>
      </c>
      <c r="AY55" s="44">
        <f t="shared" si="22"/>
        <v>2.8409573914328687</v>
      </c>
      <c r="AZ55" s="44">
        <f t="shared" si="22"/>
        <v>1.2691854606913413</v>
      </c>
      <c r="BA55" s="44">
        <f t="shared" si="22"/>
        <v>6.4698994442404567</v>
      </c>
      <c r="BB55" s="44">
        <f t="shared" si="22"/>
        <v>2.3067134773651472</v>
      </c>
      <c r="BC55" s="44">
        <f t="shared" si="22"/>
        <v>0.90066483932019703</v>
      </c>
      <c r="BD55" s="44">
        <f t="shared" si="22"/>
        <v>1.2144178627757258</v>
      </c>
      <c r="BE55" s="44">
        <f t="shared" si="22"/>
        <v>6.7651389327800571</v>
      </c>
      <c r="BF55" s="44">
        <f t="shared" si="22"/>
        <v>2.5441277756798266</v>
      </c>
      <c r="BG55" s="44">
        <f t="shared" si="22"/>
        <v>2.2319095286252408</v>
      </c>
      <c r="BH55" s="44">
        <f t="shared" si="22"/>
        <v>1.064668912668961</v>
      </c>
      <c r="BI55" s="44">
        <f t="shared" si="22"/>
        <v>4.9653338578547253</v>
      </c>
      <c r="BJ55" s="44">
        <f t="shared" si="22"/>
        <v>4.3160846291292359</v>
      </c>
      <c r="BK55" s="44">
        <f t="shared" si="22"/>
        <v>2.5685136918274041</v>
      </c>
      <c r="BL55" s="44">
        <f t="shared" si="22"/>
        <v>1.0608997038416343</v>
      </c>
      <c r="BM55" s="44">
        <f t="shared" si="22"/>
        <v>2.0845993771297007</v>
      </c>
      <c r="BN55" s="44">
        <f t="shared" si="22"/>
        <v>2.7552221648845019</v>
      </c>
      <c r="BO55" s="44">
        <f t="shared" si="22"/>
        <v>1.9959104960450273</v>
      </c>
      <c r="BP55" s="44">
        <f t="shared" si="22"/>
        <v>0.85585328737232647</v>
      </c>
      <c r="BQ55" s="44">
        <f t="shared" si="22"/>
        <v>2.1939965139680422</v>
      </c>
      <c r="BR55" s="44">
        <f t="shared" ref="BR55:CK55" si="23">BR49/BR54</f>
        <v>1.0021096686352027</v>
      </c>
      <c r="BS55" s="44">
        <f t="shared" si="23"/>
        <v>1.5888537219705334</v>
      </c>
      <c r="BT55" s="44">
        <f t="shared" si="23"/>
        <v>2.153342618003331</v>
      </c>
      <c r="BU55" s="44">
        <f t="shared" si="23"/>
        <v>2.2180877846005496</v>
      </c>
      <c r="BV55" s="44">
        <f t="shared" si="23"/>
        <v>0.54986871792076653</v>
      </c>
      <c r="BW55" s="44">
        <f t="shared" si="23"/>
        <v>0.71133508049419691</v>
      </c>
      <c r="BX55" s="44">
        <f t="shared" si="23"/>
        <v>0.32392634509108625</v>
      </c>
      <c r="BY55" s="44">
        <f t="shared" si="23"/>
        <v>0.66757909756701272</v>
      </c>
      <c r="BZ55" s="44" t="e">
        <f t="shared" si="23"/>
        <v>#DIV/0!</v>
      </c>
      <c r="CA55" s="44">
        <f t="shared" si="23"/>
        <v>4.00479741903046</v>
      </c>
      <c r="CB55" s="44">
        <f t="shared" si="23"/>
        <v>4.4455488645432784</v>
      </c>
      <c r="CC55" s="44">
        <f t="shared" si="23"/>
        <v>4.834373430887311</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5" customFormat="1" x14ac:dyDescent="0.25">
      <c r="A56" s="145" t="s">
        <v>442</v>
      </c>
      <c r="E56" s="75">
        <f>资产资本表!E19</f>
        <v>6928854415</v>
      </c>
      <c r="F56" s="75">
        <f>资产资本表!F19</f>
        <v>2353204156</v>
      </c>
      <c r="G56" s="75">
        <f>资产资本表!G19</f>
        <v>1981030454</v>
      </c>
      <c r="H56" s="75">
        <f>资产资本表!H19</f>
        <v>2002572698</v>
      </c>
      <c r="I56" s="75">
        <f>资产资本表!I19</f>
        <v>1356111395</v>
      </c>
      <c r="J56" s="75">
        <f>资产资本表!J19</f>
        <v>2002226109</v>
      </c>
      <c r="K56" s="75">
        <f>资产资本表!K19</f>
        <v>1700914108</v>
      </c>
      <c r="L56" s="75">
        <f>资产资本表!L19</f>
        <v>1693922362</v>
      </c>
      <c r="M56" s="75">
        <f>资产资本表!M19</f>
        <v>1260302959</v>
      </c>
      <c r="N56" s="75">
        <f>资产资本表!N19</f>
        <v>739896624</v>
      </c>
      <c r="O56" s="75">
        <f>资产资本表!O19</f>
        <v>658876472</v>
      </c>
      <c r="P56" s="75">
        <f>资产资本表!P19</f>
        <v>641755139</v>
      </c>
      <c r="Q56" s="75">
        <f>资产资本表!Q19</f>
        <v>638819435</v>
      </c>
      <c r="R56" s="75">
        <f>资产资本表!R19</f>
        <v>977223524</v>
      </c>
      <c r="S56" s="75">
        <f>资产资本表!S19</f>
        <v>988203148</v>
      </c>
      <c r="T56" s="75">
        <f>资产资本表!T19</f>
        <v>991222703</v>
      </c>
      <c r="U56" s="75">
        <f>资产资本表!U19</f>
        <v>989848083</v>
      </c>
      <c r="V56" s="75">
        <f>资产资本表!V19</f>
        <v>992116907</v>
      </c>
      <c r="W56" s="75">
        <f>资产资本表!W19</f>
        <v>991715815</v>
      </c>
      <c r="X56" s="75">
        <f>资产资本表!X19</f>
        <v>971975116</v>
      </c>
      <c r="Y56" s="75">
        <f>资产资本表!Y19</f>
        <v>971409821</v>
      </c>
      <c r="Z56" s="75">
        <f>资产资本表!Z19</f>
        <v>959560829</v>
      </c>
      <c r="AA56" s="75">
        <f>资产资本表!AA19</f>
        <v>946293066</v>
      </c>
      <c r="AB56" s="75">
        <f>资产资本表!AB19</f>
        <v>957524281</v>
      </c>
      <c r="AC56" s="75">
        <f>资产资本表!AC19</f>
        <v>958879205</v>
      </c>
      <c r="AD56" s="75">
        <f>资产资本表!AD19</f>
        <v>59381694</v>
      </c>
      <c r="AE56" s="75">
        <f>资产资本表!AE19</f>
        <v>60331623</v>
      </c>
      <c r="AF56" s="75">
        <f>资产资本表!AF19</f>
        <v>61881116</v>
      </c>
      <c r="AG56" s="75">
        <f>资产资本表!AG19</f>
        <v>63164307</v>
      </c>
      <c r="AH56" s="75">
        <f>资产资本表!AH19</f>
        <v>65024243</v>
      </c>
      <c r="AI56" s="75">
        <f>资产资本表!AI19</f>
        <v>67004833</v>
      </c>
      <c r="AJ56" s="75">
        <f>资产资本表!AJ19</f>
        <v>62274081</v>
      </c>
      <c r="AK56" s="75">
        <f>资产资本表!AK19</f>
        <v>64230890</v>
      </c>
      <c r="AL56" s="75">
        <f>资产资本表!AL19</f>
        <v>396453171</v>
      </c>
      <c r="AM56" s="75">
        <f>资产资本表!AM19</f>
        <v>209838134</v>
      </c>
      <c r="AN56" s="75">
        <f>资产资本表!AN19</f>
        <v>320045139</v>
      </c>
      <c r="AO56" s="75">
        <f>资产资本表!AO19</f>
        <v>340783862</v>
      </c>
      <c r="AP56" s="75">
        <f>资产资本表!AP19</f>
        <v>553320382</v>
      </c>
      <c r="AQ56" s="75">
        <f>资产资本表!AQ19</f>
        <v>612351087</v>
      </c>
      <c r="AR56" s="75">
        <f>资产资本表!AR19</f>
        <v>625466906</v>
      </c>
      <c r="AS56" s="75">
        <f>资产资本表!AS19</f>
        <v>641652657</v>
      </c>
      <c r="AT56" s="75">
        <f>资产资本表!AT19</f>
        <v>1933155846</v>
      </c>
      <c r="AU56" s="75">
        <f>资产资本表!AU19</f>
        <v>1899604979</v>
      </c>
      <c r="AV56" s="75">
        <f>资产资本表!AV19</f>
        <v>1967960807</v>
      </c>
      <c r="AW56" s="75">
        <f>资产资本表!AW19</f>
        <v>2817778818</v>
      </c>
      <c r="AX56" s="75">
        <f>资产资本表!AX19</f>
        <v>2634553967</v>
      </c>
      <c r="AY56" s="75">
        <f>资产资本表!AY19</f>
        <v>2580944786</v>
      </c>
      <c r="AZ56" s="75">
        <f>资产资本表!AZ19</f>
        <v>2624620305</v>
      </c>
      <c r="BA56" s="75">
        <f>资产资本表!BA19</f>
        <v>2605606712</v>
      </c>
      <c r="BB56" s="75">
        <f>资产资本表!BB19</f>
        <v>2270871525</v>
      </c>
      <c r="BC56" s="75">
        <f>资产资本表!BC19</f>
        <v>2262816984</v>
      </c>
      <c r="BD56" s="75">
        <f>资产资本表!BD19</f>
        <v>2250333852</v>
      </c>
      <c r="BE56" s="75">
        <f>资产资本表!BE19</f>
        <v>2219799838</v>
      </c>
      <c r="BF56" s="75">
        <f>资产资本表!BF19</f>
        <v>2143353650.98</v>
      </c>
      <c r="BG56" s="75">
        <f>资产资本表!BG19</f>
        <v>2065685939.9000001</v>
      </c>
      <c r="BH56" s="75">
        <f>资产资本表!BH19</f>
        <v>2074452135.79</v>
      </c>
      <c r="BI56" s="75">
        <f>资产资本表!BI19</f>
        <v>1993438496</v>
      </c>
      <c r="BJ56" s="75">
        <f>资产资本表!BJ19</f>
        <v>903179170.05999994</v>
      </c>
      <c r="BK56" s="75">
        <f>资产资本表!BK19</f>
        <v>845880901.57000005</v>
      </c>
      <c r="BL56" s="75">
        <f>资产资本表!BL19</f>
        <v>908250874.90999997</v>
      </c>
      <c r="BM56" s="75">
        <f>资产资本表!BM19</f>
        <v>885333370</v>
      </c>
      <c r="BN56" s="75">
        <f>资产资本表!BN19</f>
        <v>876137245.87</v>
      </c>
      <c r="BO56" s="75">
        <f>资产资本表!BO19</f>
        <v>855196372.86000001</v>
      </c>
      <c r="BP56" s="75">
        <f>资产资本表!BP19</f>
        <v>789076874.54999995</v>
      </c>
      <c r="BQ56" s="75">
        <f>资产资本表!BQ19</f>
        <v>840789461</v>
      </c>
      <c r="BR56" s="75">
        <f>资产资本表!BR19</f>
        <v>837779326.84000003</v>
      </c>
      <c r="BS56" s="75">
        <f>资产资本表!BS19</f>
        <v>763187795</v>
      </c>
      <c r="BT56" s="75">
        <f>资产资本表!BT19</f>
        <v>760202945</v>
      </c>
      <c r="BU56" s="75">
        <f>资产资本表!BU19</f>
        <v>725872054</v>
      </c>
      <c r="BV56" s="75">
        <f>资产资本表!BV19</f>
        <v>684704095.50999999</v>
      </c>
      <c r="BW56" s="75">
        <f>资产资本表!BW19</f>
        <v>664774000</v>
      </c>
      <c r="BX56" s="75">
        <f>资产资本表!BX19</f>
        <v>681086144.38</v>
      </c>
      <c r="BY56" s="75">
        <f>资产资本表!BY19</f>
        <v>650061000</v>
      </c>
      <c r="BZ56" s="75">
        <f>资产资本表!BZ19</f>
        <v>524021000</v>
      </c>
      <c r="CA56" s="75">
        <f>资产资本表!CA19</f>
        <v>499012000</v>
      </c>
      <c r="CB56" s="75">
        <f>资产资本表!CB19</f>
        <v>408560000</v>
      </c>
      <c r="CC56" s="75">
        <f>资产资本表!CC19</f>
        <v>319932000</v>
      </c>
      <c r="CD56" s="75">
        <f>资产资本表!CD19</f>
        <v>0</v>
      </c>
      <c r="CE56" s="75">
        <f>资产资本表!CE19</f>
        <v>0</v>
      </c>
      <c r="CF56" s="75">
        <f>资产资本表!CF19</f>
        <v>0</v>
      </c>
      <c r="CG56" s="75">
        <f>资产资本表!CG19</f>
        <v>0</v>
      </c>
      <c r="CH56" s="75">
        <f>资产资本表!CH19</f>
        <v>0</v>
      </c>
      <c r="CI56" s="75">
        <f>资产资本表!CI19</f>
        <v>0</v>
      </c>
      <c r="CJ56" s="75">
        <f>资产资本表!CJ19</f>
        <v>0</v>
      </c>
    </row>
    <row r="57" spans="1:89" s="116" customFormat="1" x14ac:dyDescent="0.25">
      <c r="A57" s="143" t="s">
        <v>469</v>
      </c>
      <c r="E57" s="116">
        <f>E49/E56</f>
        <v>13.537660570834783</v>
      </c>
      <c r="F57" s="116">
        <f t="shared" ref="F57:BQ57" si="24">F49/F56</f>
        <v>29.495254785705043</v>
      </c>
      <c r="G57" s="116">
        <f t="shared" si="24"/>
        <v>22.516073846788021</v>
      </c>
      <c r="H57" s="116">
        <f t="shared" si="24"/>
        <v>10.913448677207523</v>
      </c>
      <c r="I57" s="116">
        <f t="shared" si="24"/>
        <v>50.803834564785141</v>
      </c>
      <c r="J57" s="116">
        <f t="shared" si="24"/>
        <v>22.895468962741411</v>
      </c>
      <c r="K57" s="116">
        <f t="shared" si="24"/>
        <v>15.549468719557472</v>
      </c>
      <c r="L57" s="116">
        <f t="shared" si="24"/>
        <v>7.2599188167515321</v>
      </c>
      <c r="M57" s="116">
        <f t="shared" si="24"/>
        <v>38.580987186272246</v>
      </c>
      <c r="N57" s="116">
        <f t="shared" si="24"/>
        <v>49.223695392885048</v>
      </c>
      <c r="O57" s="116">
        <f t="shared" si="24"/>
        <v>34.863664265127987</v>
      </c>
      <c r="P57" s="116">
        <f t="shared" si="24"/>
        <v>18.048713091801201</v>
      </c>
      <c r="Q57" s="116">
        <f t="shared" si="24"/>
        <v>57.631804323548799</v>
      </c>
      <c r="R57" s="116">
        <f t="shared" si="24"/>
        <v>25.877466887504031</v>
      </c>
      <c r="S57" s="116">
        <f t="shared" si="24"/>
        <v>16.305525454569793</v>
      </c>
      <c r="T57" s="116">
        <f t="shared" si="24"/>
        <v>8.1633312983147039</v>
      </c>
      <c r="U57" s="116">
        <f t="shared" si="24"/>
        <v>34.120675889615278</v>
      </c>
      <c r="V57" s="116">
        <f t="shared" si="24"/>
        <v>24.970617413336754</v>
      </c>
      <c r="W57" s="116">
        <f t="shared" si="24"/>
        <v>16.390104726725568</v>
      </c>
      <c r="X57" s="116">
        <f t="shared" si="24"/>
        <v>8.2910185295319838</v>
      </c>
      <c r="Y57" s="116">
        <f t="shared" si="24"/>
        <v>26.530083213972365</v>
      </c>
      <c r="Z57" s="116">
        <f t="shared" si="24"/>
        <v>17.844525832556677</v>
      </c>
      <c r="AA57" s="116">
        <f t="shared" si="24"/>
        <v>10.154234832996229</v>
      </c>
      <c r="AB57" s="116">
        <f t="shared" si="24"/>
        <v>4.3316303954907225</v>
      </c>
      <c r="AC57" s="116">
        <f t="shared" si="24"/>
        <v>13.287819253521095</v>
      </c>
      <c r="AD57" s="116">
        <f t="shared" si="24"/>
        <v>143.38823937895742</v>
      </c>
      <c r="AE57" s="116">
        <f t="shared" si="24"/>
        <v>81.88133770245166</v>
      </c>
      <c r="AF57" s="116">
        <f t="shared" si="24"/>
        <v>31.829520042915838</v>
      </c>
      <c r="AG57" s="116">
        <f t="shared" si="24"/>
        <v>127.05420559747454</v>
      </c>
      <c r="AH57" s="116">
        <f t="shared" si="24"/>
        <v>95.380793575712985</v>
      </c>
      <c r="AI57" s="116">
        <f t="shared" si="24"/>
        <v>62.479521186180705</v>
      </c>
      <c r="AJ57" s="116">
        <f t="shared" si="24"/>
        <v>30.40814609532335</v>
      </c>
      <c r="AK57" s="116">
        <f t="shared" si="24"/>
        <v>97.292659746735566</v>
      </c>
      <c r="AL57" s="116">
        <f t="shared" si="24"/>
        <v>10.958450174686584</v>
      </c>
      <c r="AM57" s="116">
        <f t="shared" si="24"/>
        <v>10.951840078791399</v>
      </c>
      <c r="AN57" s="116">
        <f t="shared" si="24"/>
        <v>2.2524793791665743</v>
      </c>
      <c r="AO57" s="116">
        <f t="shared" si="24"/>
        <v>24.455429673486123</v>
      </c>
      <c r="AP57" s="116">
        <f t="shared" si="24"/>
        <v>13.142433289218687</v>
      </c>
      <c r="AQ57" s="116">
        <f t="shared" si="24"/>
        <v>8.9914135679488059</v>
      </c>
      <c r="AR57" s="116">
        <f t="shared" si="24"/>
        <v>4.695245374021435</v>
      </c>
      <c r="AS57" s="116">
        <f t="shared" si="24"/>
        <v>17.40887181427194</v>
      </c>
      <c r="AT57" s="116">
        <f t="shared" si="24"/>
        <v>4.1000809253947752</v>
      </c>
      <c r="AU57" s="116">
        <f t="shared" si="24"/>
        <v>2.46850915523948</v>
      </c>
      <c r="AV57" s="116">
        <f t="shared" si="24"/>
        <v>1.093944227111836</v>
      </c>
      <c r="AW57" s="116">
        <f t="shared" si="24"/>
        <v>3.1164242803247588</v>
      </c>
      <c r="AX57" s="116">
        <f t="shared" si="24"/>
        <v>2.527969649292821</v>
      </c>
      <c r="AY57" s="116">
        <f t="shared" si="24"/>
        <v>1.6625729272768721</v>
      </c>
      <c r="AZ57" s="116">
        <f t="shared" si="24"/>
        <v>0.91623560993520548</v>
      </c>
      <c r="BA57" s="116">
        <f t="shared" si="24"/>
        <v>5.1664716056350102</v>
      </c>
      <c r="BB57" s="116">
        <f t="shared" si="24"/>
        <v>3.7641101118655316</v>
      </c>
      <c r="BC57" s="116">
        <f t="shared" si="24"/>
        <v>1.9098808173873951</v>
      </c>
      <c r="BD57" s="116">
        <f t="shared" si="24"/>
        <v>0.92513588601519203</v>
      </c>
      <c r="BE57" s="116">
        <f t="shared" si="24"/>
        <v>5.6048781304578146</v>
      </c>
      <c r="BF57" s="116">
        <f t="shared" si="24"/>
        <v>4.3440548104335583</v>
      </c>
      <c r="BG57" s="116">
        <f t="shared" si="24"/>
        <v>3.0179864828299112</v>
      </c>
      <c r="BH57" s="116">
        <f t="shared" si="24"/>
        <v>1.7807322273566084</v>
      </c>
      <c r="BI57" s="116">
        <f t="shared" si="24"/>
        <v>5.6084531077501572</v>
      </c>
      <c r="BJ57" s="116">
        <f t="shared" si="24"/>
        <v>8.470585776919286</v>
      </c>
      <c r="BK57" s="116">
        <f t="shared" si="24"/>
        <v>5.5539135163713427</v>
      </c>
      <c r="BL57" s="116">
        <f t="shared" si="24"/>
        <v>2.481173332955287</v>
      </c>
      <c r="BM57" s="116">
        <f t="shared" si="24"/>
        <v>5.4020187774013309</v>
      </c>
      <c r="BN57" s="116">
        <f t="shared" si="24"/>
        <v>3.903025054681208</v>
      </c>
      <c r="BO57" s="116">
        <f t="shared" si="24"/>
        <v>2.3530597924079695</v>
      </c>
      <c r="BP57" s="116">
        <f t="shared" si="24"/>
        <v>1.3171958250363605</v>
      </c>
      <c r="BQ57" s="116">
        <f t="shared" si="24"/>
        <v>3.1750435178206877</v>
      </c>
      <c r="BR57" s="116">
        <f t="shared" ref="BR57:CK57" si="25">BR49/BR56</f>
        <v>1.5234101196958103</v>
      </c>
      <c r="BS57" s="116">
        <f t="shared" si="25"/>
        <v>2.9282733458807475</v>
      </c>
      <c r="BT57" s="116">
        <f t="shared" si="25"/>
        <v>1.306513228516893</v>
      </c>
      <c r="BU57" s="116">
        <f t="shared" si="25"/>
        <v>1.0220630025797908</v>
      </c>
      <c r="BV57" s="116">
        <f t="shared" si="25"/>
        <v>0.29317350552793398</v>
      </c>
      <c r="BW57" s="116">
        <f t="shared" si="25"/>
        <v>0.35725976045994579</v>
      </c>
      <c r="BX57" s="116">
        <f t="shared" si="25"/>
        <v>0.15534174059040928</v>
      </c>
      <c r="BY57" s="116">
        <f t="shared" si="25"/>
        <v>0.42319105437797377</v>
      </c>
      <c r="BZ57" s="116">
        <f t="shared" si="25"/>
        <v>0.21201822064382916</v>
      </c>
      <c r="CA57" s="116">
        <f t="shared" si="25"/>
        <v>0.38308697987222751</v>
      </c>
      <c r="CB57" s="116">
        <f t="shared" si="25"/>
        <v>0.44991922850988841</v>
      </c>
      <c r="CC57" s="116">
        <f t="shared" si="25"/>
        <v>0.4213145293374842</v>
      </c>
      <c r="CD57" s="116" t="e">
        <f t="shared" si="25"/>
        <v>#DIV/0!</v>
      </c>
      <c r="CE57" s="116" t="e">
        <f t="shared" si="25"/>
        <v>#DIV/0!</v>
      </c>
      <c r="CF57" s="116" t="e">
        <f t="shared" si="25"/>
        <v>#DIV/0!</v>
      </c>
      <c r="CG57" s="116" t="e">
        <f t="shared" si="25"/>
        <v>#DIV/0!</v>
      </c>
      <c r="CH57" s="116" t="e">
        <f t="shared" si="25"/>
        <v>#DIV/0!</v>
      </c>
      <c r="CI57" s="116" t="e">
        <f t="shared" si="25"/>
        <v>#DIV/0!</v>
      </c>
      <c r="CJ57" s="116" t="e">
        <f t="shared" si="25"/>
        <v>#DIV/0!</v>
      </c>
      <c r="CK57" s="116" t="e">
        <f t="shared" si="25"/>
        <v>#DIV/0!</v>
      </c>
    </row>
    <row r="58" spans="1:89" s="16" customFormat="1" ht="44.4" customHeight="1" x14ac:dyDescent="0.25">
      <c r="A58" s="277" t="s">
        <v>691</v>
      </c>
      <c r="B58" s="276"/>
      <c r="C58" s="276"/>
      <c r="D58" s="276"/>
      <c r="E58" s="276"/>
      <c r="F58" s="276"/>
      <c r="G58" s="276"/>
      <c r="H58" s="276"/>
      <c r="I58" s="276"/>
      <c r="J58" s="276"/>
      <c r="K58" s="276"/>
      <c r="L58" s="276"/>
      <c r="M58" s="276"/>
      <c r="N58" s="276"/>
      <c r="O58" s="276"/>
      <c r="P58" s="276"/>
      <c r="Q58" s="276"/>
      <c r="R58" s="276"/>
      <c r="S58" s="276"/>
      <c r="T58" s="276"/>
      <c r="U58" s="276"/>
      <c r="V58" s="276"/>
      <c r="W58" s="276"/>
      <c r="X58" s="276"/>
      <c r="Y58" s="276"/>
      <c r="Z58" s="276"/>
      <c r="AA58" s="276"/>
      <c r="AB58" s="276"/>
      <c r="AC58" s="276"/>
      <c r="AD58" s="276"/>
      <c r="AE58" s="276"/>
      <c r="AF58" s="276"/>
      <c r="AG58" s="276"/>
    </row>
    <row r="61" spans="1:89" s="118" customFormat="1" x14ac:dyDescent="0.25">
      <c r="A61" s="117" t="s">
        <v>470</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35064</v>
      </c>
      <c r="CC61" s="1">
        <v>34699</v>
      </c>
      <c r="CD61" s="1">
        <v>25569</v>
      </c>
      <c r="CE61" s="1"/>
      <c r="CF61" s="1"/>
      <c r="CG61" s="1"/>
      <c r="CH61" s="1"/>
      <c r="CI61" s="1"/>
      <c r="CJ61" s="1"/>
      <c r="CK61" s="1"/>
    </row>
    <row r="62" spans="1:89" s="75" customFormat="1" x14ac:dyDescent="0.25">
      <c r="A62" s="145" t="s">
        <v>471</v>
      </c>
      <c r="E62" s="75">
        <v>365</v>
      </c>
      <c r="F62" s="75">
        <v>365</v>
      </c>
      <c r="G62" s="75">
        <v>365</v>
      </c>
      <c r="H62" s="75">
        <v>365</v>
      </c>
      <c r="I62" s="75">
        <v>365</v>
      </c>
      <c r="J62" s="75">
        <v>365</v>
      </c>
      <c r="K62" s="75">
        <v>365</v>
      </c>
      <c r="L62" s="75">
        <v>365</v>
      </c>
      <c r="M62" s="75">
        <v>365</v>
      </c>
      <c r="N62" s="75">
        <v>365</v>
      </c>
      <c r="O62" s="75">
        <v>365</v>
      </c>
      <c r="P62" s="75">
        <v>365</v>
      </c>
      <c r="Q62" s="75">
        <v>365</v>
      </c>
      <c r="R62" s="75">
        <v>365</v>
      </c>
      <c r="S62" s="75">
        <v>365</v>
      </c>
      <c r="T62" s="75">
        <v>365</v>
      </c>
      <c r="U62" s="75">
        <v>365</v>
      </c>
      <c r="V62" s="75">
        <v>365</v>
      </c>
      <c r="W62" s="75">
        <v>365</v>
      </c>
      <c r="X62" s="75">
        <v>365</v>
      </c>
      <c r="Y62" s="75">
        <v>365</v>
      </c>
      <c r="Z62" s="75">
        <v>365</v>
      </c>
      <c r="AA62" s="75">
        <v>365</v>
      </c>
      <c r="AB62" s="75">
        <v>365</v>
      </c>
      <c r="AC62" s="75">
        <v>365</v>
      </c>
      <c r="AD62" s="75">
        <v>365</v>
      </c>
      <c r="AE62" s="75">
        <v>365</v>
      </c>
      <c r="AF62" s="75">
        <v>365</v>
      </c>
      <c r="AG62" s="75">
        <v>365</v>
      </c>
      <c r="AH62" s="75">
        <v>365</v>
      </c>
      <c r="AI62" s="75">
        <v>365</v>
      </c>
      <c r="AJ62" s="75">
        <v>365</v>
      </c>
      <c r="AK62" s="75">
        <v>365</v>
      </c>
      <c r="AL62" s="75">
        <v>365</v>
      </c>
      <c r="AM62" s="75">
        <v>365</v>
      </c>
      <c r="AN62" s="75">
        <v>365</v>
      </c>
      <c r="AO62" s="75">
        <v>365</v>
      </c>
      <c r="AP62" s="75">
        <v>365</v>
      </c>
      <c r="AQ62" s="75">
        <v>365</v>
      </c>
      <c r="AR62" s="75">
        <v>365</v>
      </c>
      <c r="AS62" s="75">
        <v>365</v>
      </c>
      <c r="AT62" s="75">
        <v>365</v>
      </c>
      <c r="AU62" s="75">
        <v>365</v>
      </c>
      <c r="AV62" s="75">
        <v>365</v>
      </c>
      <c r="AW62" s="75">
        <v>365</v>
      </c>
      <c r="AX62" s="75">
        <v>365</v>
      </c>
      <c r="AY62" s="75">
        <v>365</v>
      </c>
      <c r="AZ62" s="75">
        <v>365</v>
      </c>
      <c r="BA62" s="75">
        <v>365</v>
      </c>
      <c r="BB62" s="75">
        <v>365</v>
      </c>
      <c r="BC62" s="75">
        <v>365</v>
      </c>
      <c r="BD62" s="75">
        <v>365</v>
      </c>
      <c r="BE62" s="75">
        <v>365</v>
      </c>
      <c r="BF62" s="75">
        <v>365</v>
      </c>
      <c r="BG62" s="75">
        <v>365</v>
      </c>
      <c r="BH62" s="75">
        <v>365</v>
      </c>
      <c r="BI62" s="75">
        <v>365</v>
      </c>
      <c r="BJ62" s="75">
        <v>365</v>
      </c>
      <c r="BK62" s="75">
        <v>365</v>
      </c>
      <c r="BL62" s="75">
        <v>365</v>
      </c>
      <c r="BM62" s="75">
        <v>365</v>
      </c>
      <c r="BN62" s="75">
        <v>365</v>
      </c>
      <c r="BO62" s="75">
        <v>365</v>
      </c>
      <c r="BP62" s="75">
        <v>365</v>
      </c>
      <c r="BQ62" s="75">
        <v>365</v>
      </c>
      <c r="BR62" s="75">
        <v>365</v>
      </c>
      <c r="BS62" s="75">
        <v>365</v>
      </c>
      <c r="BT62" s="75">
        <v>365</v>
      </c>
      <c r="BU62" s="75">
        <v>365</v>
      </c>
      <c r="BV62" s="75">
        <v>365</v>
      </c>
      <c r="BW62" s="75">
        <v>365</v>
      </c>
      <c r="BX62" s="75">
        <v>365</v>
      </c>
      <c r="BY62" s="75">
        <v>365</v>
      </c>
      <c r="BZ62" s="75">
        <v>365</v>
      </c>
      <c r="CA62" s="75">
        <v>365</v>
      </c>
      <c r="CB62" s="75">
        <v>365</v>
      </c>
      <c r="CC62" s="75">
        <v>365</v>
      </c>
      <c r="CD62" s="75">
        <v>365</v>
      </c>
      <c r="CE62" s="75">
        <v>365</v>
      </c>
      <c r="CF62" s="75">
        <v>365</v>
      </c>
      <c r="CG62" s="75">
        <v>365</v>
      </c>
      <c r="CH62" s="75">
        <v>365</v>
      </c>
      <c r="CI62" s="75">
        <v>365</v>
      </c>
      <c r="CJ62" s="75">
        <v>365</v>
      </c>
    </row>
    <row r="63" spans="1:89" s="75" customFormat="1" x14ac:dyDescent="0.25">
      <c r="A63" s="145" t="s">
        <v>462</v>
      </c>
      <c r="E63" s="75">
        <f>E49</f>
        <v>93800479215</v>
      </c>
      <c r="F63" s="75">
        <f t="shared" ref="F63:BQ63" si="26">F49</f>
        <v>69408356144</v>
      </c>
      <c r="G63" s="75">
        <f t="shared" si="26"/>
        <v>44605027995</v>
      </c>
      <c r="H63" s="75">
        <f t="shared" si="26"/>
        <v>21854974362</v>
      </c>
      <c r="I63" s="75">
        <f t="shared" si="26"/>
        <v>68895658963</v>
      </c>
      <c r="J63" s="75">
        <f t="shared" si="26"/>
        <v>45841905735</v>
      </c>
      <c r="K63" s="75">
        <f t="shared" si="26"/>
        <v>26448310717</v>
      </c>
      <c r="L63" s="75">
        <f t="shared" si="26"/>
        <v>12297738830</v>
      </c>
      <c r="M63" s="75">
        <f t="shared" si="26"/>
        <v>48623732312</v>
      </c>
      <c r="N63" s="75">
        <f t="shared" si="26"/>
        <v>36420446042</v>
      </c>
      <c r="O63" s="75">
        <f t="shared" si="26"/>
        <v>22970848112</v>
      </c>
      <c r="P63" s="75">
        <f t="shared" si="26"/>
        <v>11582854379</v>
      </c>
      <c r="Q63" s="75">
        <f t="shared" si="26"/>
        <v>36816316676</v>
      </c>
      <c r="R63" s="75">
        <f t="shared" si="26"/>
        <v>25288069384</v>
      </c>
      <c r="S63" s="75">
        <f t="shared" si="26"/>
        <v>16113171584</v>
      </c>
      <c r="T63" s="75">
        <f t="shared" si="26"/>
        <v>8091679315</v>
      </c>
      <c r="U63" s="75">
        <f t="shared" si="26"/>
        <v>33774285620</v>
      </c>
      <c r="V63" s="75">
        <f t="shared" si="26"/>
        <v>24773771714</v>
      </c>
      <c r="W63" s="75">
        <f t="shared" si="26"/>
        <v>16254326067</v>
      </c>
      <c r="X63" s="75">
        <f t="shared" si="26"/>
        <v>8058663697</v>
      </c>
      <c r="Y63" s="75">
        <f t="shared" si="26"/>
        <v>25771583386</v>
      </c>
      <c r="Z63" s="75">
        <f t="shared" si="26"/>
        <v>17122908001</v>
      </c>
      <c r="AA63" s="75">
        <f t="shared" si="26"/>
        <v>9608882013</v>
      </c>
      <c r="AB63" s="75">
        <f t="shared" si="26"/>
        <v>4147641280</v>
      </c>
      <c r="AC63" s="75">
        <f t="shared" si="26"/>
        <v>12741413562</v>
      </c>
      <c r="AD63" s="75">
        <f t="shared" si="26"/>
        <v>8514636554</v>
      </c>
      <c r="AE63" s="75">
        <f t="shared" si="26"/>
        <v>4940033997</v>
      </c>
      <c r="AF63" s="75">
        <f t="shared" si="26"/>
        <v>1969646222</v>
      </c>
      <c r="AG63" s="75">
        <f t="shared" si="26"/>
        <v>8025290848</v>
      </c>
      <c r="AH63" s="75">
        <f t="shared" si="26"/>
        <v>6202063899</v>
      </c>
      <c r="AI63" s="75">
        <f t="shared" si="26"/>
        <v>4186429883</v>
      </c>
      <c r="AJ63" s="75">
        <f t="shared" si="26"/>
        <v>1893639353</v>
      </c>
      <c r="AK63" s="75">
        <f t="shared" si="26"/>
        <v>6249194126</v>
      </c>
      <c r="AL63" s="75">
        <f t="shared" si="26"/>
        <v>4344512321</v>
      </c>
      <c r="AM63" s="75">
        <f t="shared" si="26"/>
        <v>2298113686</v>
      </c>
      <c r="AN63" s="75">
        <f t="shared" si="26"/>
        <v>720895076</v>
      </c>
      <c r="AO63" s="75">
        <f t="shared" si="26"/>
        <v>8334015771</v>
      </c>
      <c r="AP63" s="75">
        <f t="shared" si="26"/>
        <v>7271976208</v>
      </c>
      <c r="AQ63" s="75">
        <f t="shared" si="26"/>
        <v>5505901872</v>
      </c>
      <c r="AR63" s="75">
        <f t="shared" si="26"/>
        <v>2936720597</v>
      </c>
      <c r="AS63" s="75">
        <f t="shared" si="26"/>
        <v>11170448855</v>
      </c>
      <c r="AT63" s="75">
        <f t="shared" si="26"/>
        <v>7926095410</v>
      </c>
      <c r="AU63" s="75">
        <f t="shared" si="26"/>
        <v>4689192282</v>
      </c>
      <c r="AV63" s="75">
        <f t="shared" si="26"/>
        <v>2152839364</v>
      </c>
      <c r="AW63" s="75">
        <f t="shared" si="26"/>
        <v>8781394325</v>
      </c>
      <c r="AX63" s="75">
        <f t="shared" si="26"/>
        <v>6660072468</v>
      </c>
      <c r="AY63" s="75">
        <f t="shared" si="26"/>
        <v>4291008928</v>
      </c>
      <c r="AZ63" s="75">
        <f t="shared" si="26"/>
        <v>2404770586</v>
      </c>
      <c r="BA63" s="75">
        <f t="shared" si="26"/>
        <v>13461793093</v>
      </c>
      <c r="BB63" s="75">
        <f t="shared" si="26"/>
        <v>8547810470</v>
      </c>
      <c r="BC63" s="75">
        <f t="shared" si="26"/>
        <v>4321710751</v>
      </c>
      <c r="BD63" s="75">
        <f t="shared" si="26"/>
        <v>2081864602</v>
      </c>
      <c r="BE63" s="75">
        <f t="shared" si="26"/>
        <v>12441707566</v>
      </c>
      <c r="BF63" s="75">
        <f t="shared" si="26"/>
        <v>9310845738</v>
      </c>
      <c r="BG63" s="75">
        <f t="shared" si="26"/>
        <v>6234212244.3900003</v>
      </c>
      <c r="BH63" s="75">
        <f t="shared" si="26"/>
        <v>3694043772.3099999</v>
      </c>
      <c r="BI63" s="75">
        <f t="shared" si="26"/>
        <v>11180106328</v>
      </c>
      <c r="BJ63" s="75">
        <f t="shared" si="26"/>
        <v>7650456631.9200001</v>
      </c>
      <c r="BK63" s="75">
        <f t="shared" si="26"/>
        <v>4697949372.4700003</v>
      </c>
      <c r="BL63" s="75">
        <f t="shared" si="26"/>
        <v>2253527850.46</v>
      </c>
      <c r="BM63" s="75">
        <f t="shared" si="26"/>
        <v>4782587489</v>
      </c>
      <c r="BN63" s="75">
        <f t="shared" si="26"/>
        <v>3419585621.9699998</v>
      </c>
      <c r="BO63" s="75">
        <f t="shared" si="26"/>
        <v>2012328199.5899999</v>
      </c>
      <c r="BP63" s="75">
        <f t="shared" si="26"/>
        <v>1039368764.79</v>
      </c>
      <c r="BQ63" s="75">
        <f t="shared" si="26"/>
        <v>2669543128</v>
      </c>
      <c r="BR63" s="75">
        <f t="shared" ref="BR63:CJ63" si="27">BR49</f>
        <v>1276281504.5799999</v>
      </c>
      <c r="BS63" s="75">
        <f t="shared" si="27"/>
        <v>2234822478</v>
      </c>
      <c r="BT63" s="75">
        <f t="shared" si="27"/>
        <v>993215204</v>
      </c>
      <c r="BU63" s="75">
        <f t="shared" si="27"/>
        <v>741886971</v>
      </c>
      <c r="BV63" s="75">
        <f t="shared" si="27"/>
        <v>200737099.93000001</v>
      </c>
      <c r="BW63" s="75">
        <f t="shared" si="27"/>
        <v>237497000</v>
      </c>
      <c r="BX63" s="75">
        <f t="shared" si="27"/>
        <v>105801107.16</v>
      </c>
      <c r="BY63" s="75">
        <f t="shared" si="27"/>
        <v>275100000</v>
      </c>
      <c r="BZ63" s="75">
        <f t="shared" si="27"/>
        <v>111102000</v>
      </c>
      <c r="CA63" s="75">
        <f t="shared" si="27"/>
        <v>191165000</v>
      </c>
      <c r="CB63" s="75">
        <f t="shared" si="27"/>
        <v>183819000</v>
      </c>
      <c r="CC63" s="75">
        <f t="shared" si="27"/>
        <v>134792000</v>
      </c>
      <c r="CD63" s="75">
        <f t="shared" si="27"/>
        <v>0</v>
      </c>
      <c r="CE63" s="75">
        <f t="shared" si="27"/>
        <v>0</v>
      </c>
      <c r="CF63" s="75">
        <f t="shared" si="27"/>
        <v>0</v>
      </c>
      <c r="CG63" s="75">
        <f t="shared" si="27"/>
        <v>0</v>
      </c>
      <c r="CH63" s="75">
        <f t="shared" si="27"/>
        <v>0</v>
      </c>
      <c r="CI63" s="75">
        <f t="shared" si="27"/>
        <v>0</v>
      </c>
      <c r="CJ63" s="75">
        <f t="shared" si="27"/>
        <v>0</v>
      </c>
    </row>
    <row r="64" spans="1:89" s="75" customFormat="1" x14ac:dyDescent="0.25">
      <c r="A64" s="145" t="s">
        <v>472</v>
      </c>
      <c r="E64" s="75">
        <f>资产资本表!E22+资产资本表!E23-资产资本表!E37</f>
        <v>15565706857</v>
      </c>
      <c r="F64" s="75">
        <f>资产资本表!F22+资产资本表!F23-资产资本表!F37</f>
        <v>15726337519</v>
      </c>
      <c r="G64" s="75">
        <f>资产资本表!G22+资产资本表!G23-资产资本表!G37</f>
        <v>17269790983</v>
      </c>
      <c r="H64" s="75">
        <f>资产资本表!H22+资产资本表!H23-资产资本表!H37</f>
        <v>16050019831</v>
      </c>
      <c r="I64" s="75">
        <f>资产资本表!I22+资产资本表!I23-资产资本表!I37</f>
        <v>17012685553</v>
      </c>
      <c r="J64" s="75">
        <f>资产资本表!J22+资产资本表!J23-资产资本表!J37</f>
        <v>14262770825</v>
      </c>
      <c r="K64" s="75">
        <f>资产资本表!K22+资产资本表!K23-资产资本表!K37</f>
        <v>11249048096</v>
      </c>
      <c r="L64" s="75">
        <f>资产资本表!L22+资产资本表!L23-资产资本表!L37</f>
        <v>7734145122</v>
      </c>
      <c r="M64" s="75">
        <f>资产资本表!M22+资产资本表!M23-资产资本表!M37</f>
        <v>8168028550</v>
      </c>
      <c r="N64" s="75">
        <f>资产资本表!N22+资产资本表!N23-资产资本表!N37</f>
        <v>8203354377</v>
      </c>
      <c r="O64" s="75">
        <f>资产资本表!O22+资产资本表!O23-资产资本表!O37</f>
        <v>7052571753</v>
      </c>
      <c r="P64" s="75">
        <f>资产资本表!P22+资产资本表!P23-资产资本表!P37</f>
        <v>7192755105</v>
      </c>
      <c r="Q64" s="75">
        <f>资产资本表!Q22+资产资本表!Q23-资产资本表!Q37</f>
        <v>6802221873</v>
      </c>
      <c r="R64" s="75">
        <f>资产资本表!R22+资产资本表!R23-资产资本表!R37</f>
        <v>6319377021</v>
      </c>
      <c r="S64" s="75">
        <f>资产资本表!S22+资产资本表!S23-资产资本表!S37</f>
        <v>5290384666</v>
      </c>
      <c r="T64" s="75">
        <f>资产资本表!T22+资产资本表!T23-资产资本表!T37</f>
        <v>4750906794</v>
      </c>
      <c r="U64" s="75">
        <f>资产资本表!U22+资产资本表!U23-资产资本表!U37</f>
        <v>5139742689</v>
      </c>
      <c r="V64" s="75">
        <f>资产资本表!V22+资产资本表!V23-资产资本表!V37</f>
        <v>5770238281</v>
      </c>
      <c r="W64" s="75">
        <f>资产资本表!W22+资产资本表!W23-资产资本表!W37</f>
        <v>5777023414</v>
      </c>
      <c r="X64" s="75">
        <f>资产资本表!X22+资产资本表!X23-资产资本表!X37</f>
        <v>5652957026</v>
      </c>
      <c r="Y64" s="75">
        <f>资产资本表!Y22+资产资本表!Y23-资产资本表!Y37</f>
        <v>5408991829</v>
      </c>
      <c r="Z64" s="75">
        <f>资产资本表!Z22+资产资本表!Z23-资产资本表!Z37</f>
        <v>5265532695</v>
      </c>
      <c r="AA64" s="75">
        <f>资产资本表!AA22+资产资本表!AA23-资产资本表!AA37</f>
        <v>3520313011</v>
      </c>
      <c r="AB64" s="75">
        <f>资产资本表!AB22+资产资本表!AB23-资产资本表!AB37</f>
        <v>3207186529</v>
      </c>
      <c r="AC64" s="75">
        <f>资产资本表!AC22+资产资本表!AC23-资产资本表!AC37</f>
        <v>2715019807</v>
      </c>
      <c r="AD64" s="75">
        <f>资产资本表!AD22+资产资本表!AD23-资产资本表!AD37</f>
        <v>2342036012</v>
      </c>
      <c r="AE64" s="75">
        <f>资产资本表!AE22+资产资本表!AE23-资产资本表!AE37</f>
        <v>1928722371</v>
      </c>
      <c r="AF64" s="75">
        <f>资产资本表!AF22+资产资本表!AF23-资产资本表!AF37</f>
        <v>1759511727</v>
      </c>
      <c r="AG64" s="75">
        <f>资产资本表!AG22+资产资本表!AG23-资产资本表!AG37</f>
        <v>1559506237</v>
      </c>
      <c r="AH64" s="75">
        <f>资产资本表!AH22+资产资本表!AH23-资产资本表!AH37</f>
        <v>1500035798</v>
      </c>
      <c r="AI64" s="75">
        <f>资产资本表!AI22+资产资本表!AI23-资产资本表!AI37</f>
        <v>1705425266</v>
      </c>
      <c r="AJ64" s="75">
        <f>资产资本表!AJ22+资产资本表!AJ23-资产资本表!AJ37</f>
        <v>1526621340</v>
      </c>
      <c r="AK64" s="75">
        <f>资产资本表!AK22+资产资本表!AK23-资产资本表!AK37</f>
        <v>1467901514</v>
      </c>
      <c r="AL64" s="75">
        <f>资产资本表!AL22+资产资本表!AL23-资产资本表!AL37</f>
        <v>1245573964</v>
      </c>
      <c r="AM64" s="75">
        <f>资产资本表!AM22+资产资本表!AM23-资产资本表!AM37</f>
        <v>1015580594</v>
      </c>
      <c r="AN64" s="75">
        <f>资产资本表!AN22+资产资本表!AN23-资产资本表!AN37</f>
        <v>529638260</v>
      </c>
      <c r="AO64" s="75">
        <f>资产资本表!AO22+资产资本表!AO23-资产资本表!AO37</f>
        <v>565887984</v>
      </c>
      <c r="AP64" s="75">
        <f>资产资本表!AP22+资产资本表!AP23-资产资本表!AP37</f>
        <v>963012551</v>
      </c>
      <c r="AQ64" s="75">
        <f>资产资本表!AQ22+资产资本表!AQ23-资产资本表!AQ37</f>
        <v>1430989731</v>
      </c>
      <c r="AR64" s="75">
        <f>资产资本表!AR22+资产资本表!AR23-资产资本表!AR37</f>
        <v>1567717700</v>
      </c>
      <c r="AS64" s="75">
        <f>资产资本表!AS22+资产资本表!AS23-资产资本表!AS37</f>
        <v>1792959815</v>
      </c>
      <c r="AT64" s="75">
        <f>资产资本表!AT22+资产资本表!AT23-资产资本表!AT37</f>
        <v>1699568073</v>
      </c>
      <c r="AU64" s="75">
        <f>资产资本表!AU22+资产资本表!AU23-资产资本表!AU37</f>
        <v>1690663511</v>
      </c>
      <c r="AV64" s="75">
        <f>资产资本表!AV22+资产资本表!AV23-资产资本表!AV37</f>
        <v>1322985948</v>
      </c>
      <c r="AW64" s="75">
        <f>资产资本表!AW22+资产资本表!AW23-资产资本表!AW37</f>
        <v>1154245006</v>
      </c>
      <c r="AX64" s="75">
        <f>资产资本表!AX22+资产资本表!AX23-资产资本表!AX37</f>
        <v>1209399621</v>
      </c>
      <c r="AY64" s="75">
        <f>资产资本表!AY22+资产资本表!AY23-资产资本表!AY37</f>
        <v>1358241375</v>
      </c>
      <c r="AZ64" s="75">
        <f>资产资本表!AZ22+资产资本表!AZ23-资产资本表!AZ37</f>
        <v>1431299655</v>
      </c>
      <c r="BA64" s="75">
        <f>资产资本表!BA22+资产资本表!BA23-资产资本表!BA37</f>
        <v>1851020750</v>
      </c>
      <c r="BB64" s="75">
        <f>资产资本表!BB22+资产资本表!BB23-资产资本表!BB37</f>
        <v>3207873135</v>
      </c>
      <c r="BC64" s="75">
        <f>资产资本表!BC22+资产资本表!BC23-资产资本表!BC37</f>
        <v>2299667103</v>
      </c>
      <c r="BD64" s="75">
        <f>资产资本表!BD22+资产资本表!BD23-资产资本表!BD37</f>
        <v>1855375261</v>
      </c>
      <c r="BE64" s="75">
        <f>资产资本表!BE22+资产资本表!BE23-资产资本表!BE37</f>
        <v>2016072423</v>
      </c>
      <c r="BF64" s="75">
        <f>资产资本表!BF22+资产资本表!BF23-资产资本表!BF37</f>
        <v>2716751087.73</v>
      </c>
      <c r="BG64" s="75">
        <f>资产资本表!BG22+资产资本表!BG23-资产资本表!BG37</f>
        <v>2302228145.5799999</v>
      </c>
      <c r="BH64" s="75">
        <f>资产资本表!BH22+资产资本表!BH23-资产资本表!BH37</f>
        <v>2521796496.9099998</v>
      </c>
      <c r="BI64" s="75">
        <f>资产资本表!BI22+资产资本表!BI23-资产资本表!BI37</f>
        <v>1995355000</v>
      </c>
      <c r="BJ64" s="75">
        <f>资产资本表!BJ22+资产资本表!BJ23-资产资本表!BJ37</f>
        <v>1975123509.55</v>
      </c>
      <c r="BK64" s="75">
        <f>资产资本表!BK22+资产资本表!BK23-资产资本表!BK37</f>
        <v>1709378545.3299999</v>
      </c>
      <c r="BL64" s="75">
        <f>资产资本表!BL22+资产资本表!BL23-资产资本表!BL37</f>
        <v>1528376545.4300001</v>
      </c>
      <c r="BM64" s="75">
        <f>资产资本表!BM22+资产资本表!BM23-资产资本表!BM37</f>
        <v>1125205001</v>
      </c>
      <c r="BN64" s="75">
        <f>资产资本表!BN22+资产资本表!BN23-资产资本表!BN37</f>
        <v>1131906528.47</v>
      </c>
      <c r="BO64" s="75">
        <f>资产资本表!BO22+资产资本表!BO23-资产资本表!BO37</f>
        <v>1016706412.23</v>
      </c>
      <c r="BP64" s="75">
        <f>资产资本表!BP22+资产资本表!BP23-资产资本表!BP37</f>
        <v>921412350.3900001</v>
      </c>
      <c r="BQ64" s="75">
        <f>资产资本表!BQ22+资产资本表!BQ23-资产资本表!BQ37</f>
        <v>563199789</v>
      </c>
      <c r="BR64" s="75">
        <f>资产资本表!BR22+资产资本表!BR23-资产资本表!BR37</f>
        <v>542268116.96000004</v>
      </c>
      <c r="BS64" s="75">
        <f>资产资本表!BS22+资产资本表!BS23-资产资本表!BS37</f>
        <v>585120861</v>
      </c>
      <c r="BT64" s="75">
        <f>资产资本表!BT22+资产资本表!BT23-资产资本表!BT37</f>
        <v>558614050</v>
      </c>
      <c r="BU64" s="75">
        <f>资产资本表!BU22+资产资本表!BU23-资产资本表!BU37</f>
        <v>372239983</v>
      </c>
      <c r="BV64" s="75">
        <f>资产资本表!BV22+资产资本表!BV23-资产资本表!BV37</f>
        <v>101878409.47</v>
      </c>
      <c r="BW64" s="75">
        <f>资产资本表!BW22+资产资本表!BW23-资产资本表!BW37</f>
        <v>102044000</v>
      </c>
      <c r="BX64" s="75">
        <f>资产资本表!BX22+资产资本表!BX23-资产资本表!BX37</f>
        <v>57160575.420000002</v>
      </c>
      <c r="BY64" s="75">
        <f>资产资本表!BY22+资产资本表!BY23-资产资本表!BY37</f>
        <v>50821000</v>
      </c>
      <c r="BZ64" s="75">
        <f>资产资本表!BZ22+资产资本表!BZ23-资产资本表!BZ37</f>
        <v>0</v>
      </c>
      <c r="CA64" s="75">
        <f>资产资本表!CA22+资产资本表!CA23-资产资本表!CA37</f>
        <v>42318000</v>
      </c>
      <c r="CB64" s="75">
        <f>资产资本表!CB22+资产资本表!CB23-资产资本表!CB37</f>
        <v>23430000</v>
      </c>
      <c r="CC64" s="75">
        <f>资产资本表!CC22+资产资本表!CC23-资产资本表!CC37</f>
        <v>28242000</v>
      </c>
      <c r="CD64" s="75">
        <f>资产资本表!CD22+资产资本表!CD23-资产资本表!CD37</f>
        <v>0</v>
      </c>
      <c r="CE64" s="75">
        <f>资产资本表!CE22+资产资本表!CE23-资产资本表!CE37</f>
        <v>0</v>
      </c>
      <c r="CF64" s="75">
        <f>资产资本表!CF22+资产资本表!CF23-资产资本表!CF37</f>
        <v>0</v>
      </c>
      <c r="CG64" s="75">
        <f>资产资本表!CG22+资产资本表!CG23-资产资本表!CG37</f>
        <v>0</v>
      </c>
      <c r="CH64" s="75">
        <f>资产资本表!CH22+资产资本表!CH23-资产资本表!CH37</f>
        <v>0</v>
      </c>
      <c r="CI64" s="75">
        <f>资产资本表!CI22+资产资本表!CI23-资产资本表!CI37</f>
        <v>0</v>
      </c>
      <c r="CJ64" s="75">
        <f>资产资本表!CJ22+资产资本表!CJ23-资产资本表!CJ37</f>
        <v>0</v>
      </c>
      <c r="CK64" s="75">
        <f>资产资本表!CK22+资产资本表!CK23-资产资本表!CK37</f>
        <v>0</v>
      </c>
    </row>
    <row r="65" spans="1:89" s="153" customFormat="1" x14ac:dyDescent="0.25">
      <c r="A65" s="152" t="s">
        <v>689</v>
      </c>
      <c r="E65" s="153">
        <f>E63/(E64+I64)*2</f>
        <v>5.7584473803690672</v>
      </c>
      <c r="F65" s="153">
        <f t="shared" ref="F65:BQ65" si="28">F63/(F64+J64)*2</f>
        <v>4.6289042907063767</v>
      </c>
      <c r="G65" s="153">
        <f t="shared" si="28"/>
        <v>3.1281096591231972</v>
      </c>
      <c r="H65" s="153">
        <f t="shared" si="28"/>
        <v>1.8377752092779138</v>
      </c>
      <c r="I65" s="153">
        <f t="shared" si="28"/>
        <v>5.4720973107583042</v>
      </c>
      <c r="J65" s="153">
        <f t="shared" si="28"/>
        <v>4.0809801710638576</v>
      </c>
      <c r="K65" s="153">
        <f t="shared" si="28"/>
        <v>2.8902699253088393</v>
      </c>
      <c r="L65" s="153">
        <f t="shared" si="28"/>
        <v>1.6477284155427885</v>
      </c>
      <c r="M65" s="153">
        <f t="shared" si="28"/>
        <v>6.4960479535192608</v>
      </c>
      <c r="N65" s="153">
        <f t="shared" si="28"/>
        <v>5.0156468564881189</v>
      </c>
      <c r="O65" s="153">
        <f t="shared" si="28"/>
        <v>3.7220982286934219</v>
      </c>
      <c r="P65" s="153">
        <f t="shared" si="28"/>
        <v>1.9395817592542184</v>
      </c>
      <c r="Q65" s="153">
        <f t="shared" si="28"/>
        <v>6.1658727062633529</v>
      </c>
      <c r="R65" s="153">
        <f t="shared" si="28"/>
        <v>4.1834365697007021</v>
      </c>
      <c r="S65" s="153">
        <f t="shared" si="28"/>
        <v>2.9118238827965941</v>
      </c>
      <c r="T65" s="153">
        <f t="shared" si="28"/>
        <v>1.5555142695053077</v>
      </c>
      <c r="U65" s="153">
        <f t="shared" si="28"/>
        <v>6.4034762771531906</v>
      </c>
      <c r="V65" s="153">
        <f t="shared" si="28"/>
        <v>4.4897219719178052</v>
      </c>
      <c r="W65" s="153">
        <f t="shared" si="28"/>
        <v>3.4965554270560881</v>
      </c>
      <c r="X65" s="153">
        <f t="shared" si="28"/>
        <v>1.8190819701679202</v>
      </c>
      <c r="Y65" s="153">
        <f t="shared" si="28"/>
        <v>6.3445461529863323</v>
      </c>
      <c r="Z65" s="153">
        <f t="shared" si="28"/>
        <v>4.5015454110180011</v>
      </c>
      <c r="AA65" s="153">
        <f t="shared" si="28"/>
        <v>3.526819460465012</v>
      </c>
      <c r="AB65" s="153">
        <f t="shared" si="28"/>
        <v>1.6701804966667579</v>
      </c>
      <c r="AC65" s="153">
        <f t="shared" si="28"/>
        <v>5.9615561729397664</v>
      </c>
      <c r="AD65" s="153">
        <f t="shared" si="28"/>
        <v>4.432315154463498</v>
      </c>
      <c r="AE65" s="153">
        <f t="shared" si="28"/>
        <v>2.7186754586987627</v>
      </c>
      <c r="AF65" s="153">
        <f t="shared" si="28"/>
        <v>1.19876230319434</v>
      </c>
      <c r="AG65" s="153">
        <f t="shared" si="28"/>
        <v>5.3017574823537537</v>
      </c>
      <c r="AH65" s="153">
        <f t="shared" si="28"/>
        <v>4.5178043761631992</v>
      </c>
      <c r="AI65" s="153">
        <f t="shared" si="28"/>
        <v>3.0771193436533064</v>
      </c>
      <c r="AJ65" s="153">
        <f t="shared" si="28"/>
        <v>1.8418290696369273</v>
      </c>
      <c r="AK65" s="153">
        <f t="shared" si="28"/>
        <v>6.1453696482800897</v>
      </c>
      <c r="AL65" s="153">
        <f t="shared" si="28"/>
        <v>3.9342016185406257</v>
      </c>
      <c r="AM65" s="153">
        <f t="shared" si="28"/>
        <v>1.8786410204660682</v>
      </c>
      <c r="AN65" s="153">
        <f t="shared" si="28"/>
        <v>0.68743226209441344</v>
      </c>
      <c r="AO65" s="153">
        <f t="shared" si="28"/>
        <v>7.0661750830495187</v>
      </c>
      <c r="AP65" s="153">
        <f t="shared" si="28"/>
        <v>5.4623519321456611</v>
      </c>
      <c r="AQ65" s="153">
        <f t="shared" si="28"/>
        <v>3.5275550774963365</v>
      </c>
      <c r="AR65" s="153">
        <f t="shared" si="28"/>
        <v>2.0318378876588321</v>
      </c>
      <c r="AS65" s="153">
        <f t="shared" si="28"/>
        <v>7.5803682020374925</v>
      </c>
      <c r="AT65" s="153">
        <f t="shared" si="28"/>
        <v>5.4494214056404022</v>
      </c>
      <c r="AU65" s="153">
        <f t="shared" si="28"/>
        <v>3.0759846287969772</v>
      </c>
      <c r="AV65" s="153">
        <f t="shared" si="28"/>
        <v>1.5632651615032966</v>
      </c>
      <c r="AW65" s="153">
        <f t="shared" si="28"/>
        <v>5.8440051815504068</v>
      </c>
      <c r="AX65" s="153">
        <f t="shared" si="28"/>
        <v>3.0154680663328275</v>
      </c>
      <c r="AY65" s="153">
        <f t="shared" si="28"/>
        <v>2.3461543413716872</v>
      </c>
      <c r="AZ65" s="153">
        <f t="shared" si="28"/>
        <v>1.4633455680653025</v>
      </c>
      <c r="BA65" s="153">
        <f t="shared" si="28"/>
        <v>6.9622284702060373</v>
      </c>
      <c r="BB65" s="153">
        <f t="shared" si="28"/>
        <v>2.8855198738870449</v>
      </c>
      <c r="BC65" s="153">
        <f t="shared" si="28"/>
        <v>1.8782308234128293</v>
      </c>
      <c r="BD65" s="153">
        <f t="shared" si="28"/>
        <v>0.95123733640922659</v>
      </c>
      <c r="BE65" s="153">
        <f t="shared" si="28"/>
        <v>6.203132328738632</v>
      </c>
      <c r="BF65" s="153">
        <f t="shared" si="28"/>
        <v>3.9689235272390855</v>
      </c>
      <c r="BG65" s="153">
        <f t="shared" si="28"/>
        <v>3.1080874695499228</v>
      </c>
      <c r="BH65" s="153">
        <f t="shared" si="28"/>
        <v>1.8241412076436885</v>
      </c>
      <c r="BI65" s="153">
        <f t="shared" si="28"/>
        <v>7.1654487171644039</v>
      </c>
      <c r="BJ65" s="153">
        <f t="shared" si="28"/>
        <v>4.9246106656859778</v>
      </c>
      <c r="BK65" s="153">
        <f t="shared" si="28"/>
        <v>3.4466639489291122</v>
      </c>
      <c r="BL65" s="153">
        <f t="shared" si="28"/>
        <v>1.8397730958003162</v>
      </c>
      <c r="BM65" s="153">
        <f t="shared" si="28"/>
        <v>5.6652143103668875</v>
      </c>
      <c r="BN65" s="153">
        <f t="shared" si="28"/>
        <v>4.0851002388603286</v>
      </c>
      <c r="BO65" s="153">
        <f t="shared" si="28"/>
        <v>2.5125408128833349</v>
      </c>
      <c r="BP65" s="153">
        <f t="shared" si="28"/>
        <v>1.4045273307504744</v>
      </c>
      <c r="BQ65" s="153">
        <f t="shared" si="28"/>
        <v>5.7075681575788293</v>
      </c>
      <c r="BR65" s="153">
        <f t="shared" ref="BR65:CK65" si="29">BR63/(BR64+BV64)*2</f>
        <v>3.9627055404720699</v>
      </c>
      <c r="BS65" s="153">
        <f t="shared" si="29"/>
        <v>6.5044725213328389</v>
      </c>
      <c r="BT65" s="153">
        <f t="shared" si="29"/>
        <v>3.2259049431358431</v>
      </c>
      <c r="BU65" s="153">
        <f t="shared" si="29"/>
        <v>3.5072341851954709</v>
      </c>
      <c r="BV65" s="153">
        <f t="shared" si="29"/>
        <v>3.9407191567730706</v>
      </c>
      <c r="BW65" s="153">
        <f t="shared" si="29"/>
        <v>3.290298000858952</v>
      </c>
      <c r="BX65" s="153">
        <f t="shared" si="29"/>
        <v>2.6256446639973623</v>
      </c>
      <c r="BY65" s="153">
        <f t="shared" si="29"/>
        <v>6.9590073738664104</v>
      </c>
      <c r="BZ65" s="153" t="e">
        <f t="shared" si="29"/>
        <v>#DIV/0!</v>
      </c>
      <c r="CA65" s="153">
        <f t="shared" si="29"/>
        <v>9.0346897301384761</v>
      </c>
      <c r="CB65" s="153">
        <f t="shared" si="29"/>
        <v>15.690909090909091</v>
      </c>
      <c r="CC65" s="153">
        <f t="shared" si="29"/>
        <v>9.5454996105091716</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2" customFormat="1" x14ac:dyDescent="0.25">
      <c r="A66" s="146" t="s">
        <v>473</v>
      </c>
      <c r="E66" s="82">
        <f>E62/E65</f>
        <v>63.385141148343116</v>
      </c>
      <c r="F66" s="82">
        <f t="shared" ref="F66:BQ66" si="30">F62/F65</f>
        <v>78.852354051222036</v>
      </c>
      <c r="G66" s="82">
        <f t="shared" si="30"/>
        <v>116.68388892169105</v>
      </c>
      <c r="H66" s="82">
        <f t="shared" si="30"/>
        <v>198.60970926004237</v>
      </c>
      <c r="I66" s="82">
        <f t="shared" si="30"/>
        <v>66.702030185464594</v>
      </c>
      <c r="J66" s="82">
        <f t="shared" si="30"/>
        <v>89.439297595226819</v>
      </c>
      <c r="K66" s="82">
        <f t="shared" si="30"/>
        <v>126.28578279276043</v>
      </c>
      <c r="L66" s="82">
        <f t="shared" si="30"/>
        <v>221.51708774152752</v>
      </c>
      <c r="M66" s="82">
        <f t="shared" si="30"/>
        <v>56.188008865029964</v>
      </c>
      <c r="N66" s="82">
        <f t="shared" si="30"/>
        <v>72.772268551531866</v>
      </c>
      <c r="O66" s="82">
        <f t="shared" si="30"/>
        <v>98.062968136154467</v>
      </c>
      <c r="P66" s="82">
        <f t="shared" si="30"/>
        <v>188.18490030569521</v>
      </c>
      <c r="Q66" s="82">
        <f t="shared" si="30"/>
        <v>59.19681079845023</v>
      </c>
      <c r="R66" s="82">
        <f t="shared" si="30"/>
        <v>87.248842887586406</v>
      </c>
      <c r="S66" s="82">
        <f t="shared" si="30"/>
        <v>125.35098779718922</v>
      </c>
      <c r="T66" s="82">
        <f t="shared" si="30"/>
        <v>234.64908497180107</v>
      </c>
      <c r="U66" s="82">
        <f t="shared" si="30"/>
        <v>57.000289249493242</v>
      </c>
      <c r="V66" s="82">
        <f t="shared" si="30"/>
        <v>81.296793494784836</v>
      </c>
      <c r="W66" s="82">
        <f t="shared" si="30"/>
        <v>104.38844960833651</v>
      </c>
      <c r="X66" s="82">
        <f t="shared" si="30"/>
        <v>200.65066114986931</v>
      </c>
      <c r="Y66" s="82">
        <f t="shared" si="30"/>
        <v>57.529725720128482</v>
      </c>
      <c r="Z66" s="82">
        <f t="shared" si="30"/>
        <v>81.083265117491536</v>
      </c>
      <c r="AA66" s="82">
        <f t="shared" si="30"/>
        <v>103.49268061254109</v>
      </c>
      <c r="AB66" s="82">
        <f t="shared" si="30"/>
        <v>218.53925412758934</v>
      </c>
      <c r="AC66" s="82">
        <f t="shared" si="30"/>
        <v>61.225624553665988</v>
      </c>
      <c r="AD66" s="82">
        <f t="shared" si="30"/>
        <v>82.349739871821185</v>
      </c>
      <c r="AE66" s="82">
        <f t="shared" si="30"/>
        <v>134.25655454097475</v>
      </c>
      <c r="AF66" s="82">
        <f t="shared" si="30"/>
        <v>304.48071233753774</v>
      </c>
      <c r="AG66" s="82">
        <f t="shared" si="30"/>
        <v>68.845095464071591</v>
      </c>
      <c r="AH66" s="82">
        <f t="shared" si="30"/>
        <v>80.791457444640557</v>
      </c>
      <c r="AI66" s="82">
        <f t="shared" si="30"/>
        <v>118.6174337868398</v>
      </c>
      <c r="AJ66" s="82">
        <f t="shared" si="30"/>
        <v>198.17256987476642</v>
      </c>
      <c r="AK66" s="82">
        <f t="shared" si="30"/>
        <v>59.394311634639081</v>
      </c>
      <c r="AL66" s="82">
        <f t="shared" si="30"/>
        <v>92.77612979463801</v>
      </c>
      <c r="AM66" s="82">
        <f t="shared" si="30"/>
        <v>194.28938047432175</v>
      </c>
      <c r="AN66" s="82">
        <f t="shared" si="30"/>
        <v>530.96140540152612</v>
      </c>
      <c r="AO66" s="82">
        <f t="shared" si="30"/>
        <v>51.654536677922017</v>
      </c>
      <c r="AP66" s="82">
        <f t="shared" si="30"/>
        <v>66.821033235151646</v>
      </c>
      <c r="AQ66" s="82">
        <f t="shared" si="30"/>
        <v>103.47109881528961</v>
      </c>
      <c r="AR66" s="82">
        <f t="shared" si="30"/>
        <v>179.64031590166286</v>
      </c>
      <c r="AS66" s="82">
        <f t="shared" si="30"/>
        <v>48.150695358293191</v>
      </c>
      <c r="AT66" s="82">
        <f t="shared" si="30"/>
        <v>66.979587892066519</v>
      </c>
      <c r="AU66" s="82">
        <f t="shared" si="30"/>
        <v>118.66119114605333</v>
      </c>
      <c r="AV66" s="82">
        <f t="shared" si="30"/>
        <v>233.48566128666349</v>
      </c>
      <c r="AW66" s="82">
        <f t="shared" si="30"/>
        <v>62.457165704149148</v>
      </c>
      <c r="AX66" s="82">
        <f t="shared" si="30"/>
        <v>121.0425685070789</v>
      </c>
      <c r="AY66" s="82">
        <f t="shared" si="30"/>
        <v>155.57373765384995</v>
      </c>
      <c r="AZ66" s="82">
        <f t="shared" si="30"/>
        <v>249.42843848057612</v>
      </c>
      <c r="BA66" s="82">
        <f t="shared" si="30"/>
        <v>52.425742930150975</v>
      </c>
      <c r="BB66" s="82">
        <f t="shared" si="30"/>
        <v>126.49367044847743</v>
      </c>
      <c r="BC66" s="82">
        <f t="shared" si="30"/>
        <v>194.33181238969271</v>
      </c>
      <c r="BD66" s="82">
        <f t="shared" si="30"/>
        <v>383.71075863970856</v>
      </c>
      <c r="BE66" s="82">
        <f t="shared" si="30"/>
        <v>58.841240305157321</v>
      </c>
      <c r="BF66" s="82">
        <f t="shared" si="30"/>
        <v>91.964482937242707</v>
      </c>
      <c r="BG66" s="82">
        <f t="shared" si="30"/>
        <v>117.43556240804737</v>
      </c>
      <c r="BH66" s="82">
        <f t="shared" si="30"/>
        <v>200.09415853912108</v>
      </c>
      <c r="BI66" s="82">
        <f t="shared" si="30"/>
        <v>50.93888944116847</v>
      </c>
      <c r="BJ66" s="82">
        <f t="shared" si="30"/>
        <v>74.117534314594806</v>
      </c>
      <c r="BK66" s="82">
        <f t="shared" si="30"/>
        <v>105.89950323222155</v>
      </c>
      <c r="BL66" s="82">
        <f t="shared" si="30"/>
        <v>198.39403067323477</v>
      </c>
      <c r="BM66" s="82">
        <f t="shared" si="30"/>
        <v>64.428277555551475</v>
      </c>
      <c r="BN66" s="82">
        <f t="shared" si="30"/>
        <v>89.349092716958296</v>
      </c>
      <c r="BO66" s="82">
        <f t="shared" si="30"/>
        <v>145.27127206388909</v>
      </c>
      <c r="BP66" s="82">
        <f t="shared" si="30"/>
        <v>259.87390348963254</v>
      </c>
      <c r="BQ66" s="82">
        <f t="shared" si="30"/>
        <v>63.950178065825199</v>
      </c>
      <c r="BR66" s="82">
        <f t="shared" ref="BR66:CJ66" si="31">BR62/BR65</f>
        <v>92.108786855890941</v>
      </c>
      <c r="BS66" s="82">
        <f t="shared" si="31"/>
        <v>56.115234371873008</v>
      </c>
      <c r="BT66" s="82">
        <f t="shared" si="31"/>
        <v>113.14654536757372</v>
      </c>
      <c r="BU66" s="82">
        <f t="shared" si="31"/>
        <v>104.07060969601527</v>
      </c>
      <c r="BV66" s="82">
        <f t="shared" si="31"/>
        <v>92.622687758060607</v>
      </c>
      <c r="BW66" s="82">
        <f t="shared" si="31"/>
        <v>110.93220124885788</v>
      </c>
      <c r="BX66" s="82">
        <f t="shared" si="31"/>
        <v>139.01347924372703</v>
      </c>
      <c r="BY66" s="82">
        <f t="shared" si="31"/>
        <v>52.450009087604506</v>
      </c>
      <c r="BZ66" s="82" t="e">
        <f t="shared" si="31"/>
        <v>#DIV/0!</v>
      </c>
      <c r="CA66" s="82">
        <f t="shared" si="31"/>
        <v>40.399837836424027</v>
      </c>
      <c r="CB66" s="82">
        <f t="shared" si="31"/>
        <v>23.261877172653534</v>
      </c>
      <c r="CC66" s="82">
        <f t="shared" si="31"/>
        <v>38.237914713039345</v>
      </c>
      <c r="CD66" s="82" t="e">
        <f t="shared" si="31"/>
        <v>#DIV/0!</v>
      </c>
      <c r="CE66" s="82" t="e">
        <f t="shared" si="31"/>
        <v>#DIV/0!</v>
      </c>
      <c r="CF66" s="82" t="e">
        <f t="shared" si="31"/>
        <v>#DIV/0!</v>
      </c>
      <c r="CG66" s="82" t="e">
        <f t="shared" si="31"/>
        <v>#DIV/0!</v>
      </c>
      <c r="CH66" s="82" t="e">
        <f t="shared" si="31"/>
        <v>#DIV/0!</v>
      </c>
      <c r="CI66" s="82" t="e">
        <f t="shared" si="31"/>
        <v>#DIV/0!</v>
      </c>
      <c r="CJ66" s="82" t="e">
        <f t="shared" si="31"/>
        <v>#DIV/0!</v>
      </c>
    </row>
    <row r="67" spans="1:89" s="75" customFormat="1" x14ac:dyDescent="0.25">
      <c r="A67" s="145" t="s">
        <v>474</v>
      </c>
      <c r="E67" s="75">
        <f>股权价值增加表!E5</f>
        <v>70282477585</v>
      </c>
      <c r="F67" s="75">
        <f>股权价值增加表!F5</f>
        <v>51275396814</v>
      </c>
      <c r="G67" s="75">
        <f>股权价值增加表!G5</f>
        <v>32235266589</v>
      </c>
      <c r="H67" s="75">
        <f>股权价值增加表!H5</f>
        <v>15597540474</v>
      </c>
      <c r="I67" s="75">
        <f>股权价值增加表!I5</f>
        <v>56585696091</v>
      </c>
      <c r="J67" s="75">
        <f>股权价值增加表!J5</f>
        <v>39817142861</v>
      </c>
      <c r="K67" s="75">
        <f>股权价值增加表!K5</f>
        <v>23987091158</v>
      </c>
      <c r="L67" s="75">
        <f>股权价值增加表!L5</f>
        <v>11522931968</v>
      </c>
      <c r="M67" s="75">
        <f>股权价值增加表!M5</f>
        <v>38755090666</v>
      </c>
      <c r="N67" s="75">
        <f>股权价值增加表!N5</f>
        <v>28386284793</v>
      </c>
      <c r="O67" s="75">
        <f>股权价值增加表!O5</f>
        <v>17509610448</v>
      </c>
      <c r="P67" s="75">
        <f>股权价值增加表!P5</f>
        <v>8699864739</v>
      </c>
      <c r="Q67" s="75">
        <f>股权价值增加表!Q5</f>
        <v>28504880729</v>
      </c>
      <c r="R67" s="75">
        <f>股权价值增加表!R5</f>
        <v>19643200578</v>
      </c>
      <c r="S67" s="75">
        <f>股权价值增加表!S5</f>
        <v>12630118473</v>
      </c>
      <c r="T67" s="75">
        <f>股权价值增加表!T5</f>
        <v>6483118788</v>
      </c>
      <c r="U67" s="75">
        <f>股权价值增加表!U5</f>
        <v>25703823432</v>
      </c>
      <c r="V67" s="75">
        <f>股权价值增加表!V5</f>
        <v>18776181716</v>
      </c>
      <c r="W67" s="75">
        <f>股权价值增加表!W5</f>
        <v>12461334555</v>
      </c>
      <c r="X67" s="75">
        <f>股权价值增加表!X5</f>
        <v>6359705018</v>
      </c>
      <c r="Y67" s="75">
        <f>股权价值增加表!Y5</f>
        <v>22790332463</v>
      </c>
      <c r="Z67" s="75">
        <f>股权价值增加表!Z5</f>
        <v>16258480034</v>
      </c>
      <c r="AA67" s="75">
        <f>股权价值增加表!AA5</f>
        <v>9502396703</v>
      </c>
      <c r="AB67" s="75">
        <f>股权价值增加表!AB5</f>
        <v>4187777170</v>
      </c>
      <c r="AC67" s="75">
        <f>股权价值增加表!AC5</f>
        <v>13441228862</v>
      </c>
      <c r="AD67" s="75">
        <f>股权价值增加表!AD5</f>
        <v>9278104413</v>
      </c>
      <c r="AE67" s="75">
        <f>股权价值增加表!AE5</f>
        <v>5344717781</v>
      </c>
      <c r="AF67" s="75">
        <f>股权价值增加表!AF5</f>
        <v>2225369739</v>
      </c>
      <c r="AG67" s="75">
        <f>股权价值增加表!AG5</f>
        <v>8288153030</v>
      </c>
      <c r="AH67" s="75">
        <f>股权价值增加表!AH5</f>
        <v>6250732367</v>
      </c>
      <c r="AI67" s="75">
        <f>股权价值增加表!AI5</f>
        <v>4125238491</v>
      </c>
      <c r="AJ67" s="75">
        <f>股权价值增加表!AJ5</f>
        <v>1879557273</v>
      </c>
      <c r="AK67" s="75">
        <f>股权价值增加表!AK5</f>
        <v>6276649382</v>
      </c>
      <c r="AL67" s="75">
        <f>股权价值增加表!AL5</f>
        <v>4483096549</v>
      </c>
      <c r="AM67" s="75">
        <f>股权价值增加表!AM5</f>
        <v>2596443022</v>
      </c>
      <c r="AN67" s="75">
        <f>股权价值增加表!AN5</f>
        <v>864438099</v>
      </c>
      <c r="AO67" s="75">
        <f>股权价值增加表!AO5</f>
        <v>7681521839</v>
      </c>
      <c r="AP67" s="75">
        <f>股权价值增加表!AP5</f>
        <v>6334419307</v>
      </c>
      <c r="AQ67" s="75">
        <f>股权价值增加表!AQ5</f>
        <v>4461221959</v>
      </c>
      <c r="AR67" s="75">
        <f>股权价值增加表!AR5</f>
        <v>2340069636</v>
      </c>
      <c r="AS67" s="75">
        <f>股权价值增加表!AS5</f>
        <v>9263870340</v>
      </c>
      <c r="AT67" s="75">
        <f>股权价值增加表!AT5</f>
        <v>7055169892</v>
      </c>
      <c r="AU67" s="75">
        <f>股权价值增加表!AU5</f>
        <v>4559930634</v>
      </c>
      <c r="AV67" s="75">
        <f>股权价值增加表!AV5</f>
        <v>2298574208</v>
      </c>
      <c r="AW67" s="75">
        <f>股权价值增加表!AW5</f>
        <v>9958263062</v>
      </c>
      <c r="AX67" s="75">
        <f>股权价值增加表!AX5</f>
        <v>7987072496</v>
      </c>
      <c r="AY67" s="75">
        <f>股权价值增加表!AY5</f>
        <v>5046171459</v>
      </c>
      <c r="AZ67" s="75">
        <f>股权价值增加表!AZ5</f>
        <v>2562019366</v>
      </c>
      <c r="BA67" s="75">
        <f>股权价值增加表!BA5</f>
        <v>13250486579</v>
      </c>
      <c r="BB67" s="75">
        <f>股权价值增加表!BB5</f>
        <v>8754813390</v>
      </c>
      <c r="BC67" s="75">
        <f>股权价值增加表!BC5</f>
        <v>4592833526</v>
      </c>
      <c r="BD67" s="75">
        <f>股权价值增加表!BD5</f>
        <v>2296752692</v>
      </c>
      <c r="BE67" s="75">
        <f>股权价值增加表!BE5</f>
        <v>11151104716</v>
      </c>
      <c r="BF67" s="75">
        <f>股权价值增加表!BF5</f>
        <v>8095466503.5600004</v>
      </c>
      <c r="BG67" s="75">
        <f>股权价值增加表!BG5</f>
        <v>5164393136.5600004</v>
      </c>
      <c r="BH67" s="75">
        <f>股权价值增加表!BH5</f>
        <v>3158979241.0700002</v>
      </c>
      <c r="BI67" s="75">
        <f>股权价值增加表!BI5</f>
        <v>9445961407</v>
      </c>
      <c r="BJ67" s="75">
        <f>股权价值增加表!BJ5</f>
        <v>6456890472.2799997</v>
      </c>
      <c r="BK67" s="75">
        <f>股权价值增加表!BK5</f>
        <v>3928513999.0300002</v>
      </c>
      <c r="BL67" s="75">
        <f>股权价值增加表!BL5</f>
        <v>1876042908.7</v>
      </c>
      <c r="BM67" s="75">
        <f>股权价值增加表!BM5</f>
        <v>4141952515</v>
      </c>
      <c r="BN67" s="75">
        <f>股权价值增加表!BN5</f>
        <v>2916862326.29</v>
      </c>
      <c r="BO67" s="75">
        <f>股权价值增加表!BO5</f>
        <v>1700945401.3199999</v>
      </c>
      <c r="BP67" s="75">
        <f>股权价值增加表!BP5</f>
        <v>873828706.37</v>
      </c>
      <c r="BQ67" s="75">
        <f>股权价值增加表!BQ5</f>
        <v>2343508878</v>
      </c>
      <c r="BR67" s="75">
        <f>股权价值增加表!BR5</f>
        <v>1111152298.53</v>
      </c>
      <c r="BS67" s="75">
        <f>股权价值增加表!BS5</f>
        <v>1972761161</v>
      </c>
      <c r="BT67" s="75">
        <f>股权价值增加表!BT5</f>
        <v>878889537</v>
      </c>
      <c r="BU67" s="75">
        <f>股权价值增加表!BU5</f>
        <v>597255179</v>
      </c>
      <c r="BV67" s="75">
        <f>股权价值增加表!BV5</f>
        <v>148145536.46000001</v>
      </c>
      <c r="BW67" s="75">
        <f>股权价值增加表!BW5</f>
        <v>180067000</v>
      </c>
      <c r="BX67" s="75">
        <f>股权价值增加表!BX5</f>
        <v>76726659.079999998</v>
      </c>
      <c r="BY67" s="75">
        <f>股权价值增加表!BY5</f>
        <v>185375000</v>
      </c>
      <c r="BZ67" s="75">
        <f>股权价值增加表!BZ5</f>
        <v>0</v>
      </c>
      <c r="CA67" s="75">
        <f>股权价值增加表!CA5</f>
        <v>124991000</v>
      </c>
      <c r="CB67" s="75">
        <f>股权价值增加表!CB5</f>
        <v>125252000</v>
      </c>
      <c r="CC67" s="75">
        <f>股权价值增加表!CC5</f>
        <v>96360000</v>
      </c>
      <c r="CD67" s="75">
        <f>股权价值增加表!CD5</f>
        <v>0</v>
      </c>
      <c r="CE67" s="75">
        <f>股权价值增加表!CE5</f>
        <v>0</v>
      </c>
      <c r="CF67" s="75">
        <f>股权价值增加表!CF5</f>
        <v>0</v>
      </c>
      <c r="CG67" s="75">
        <f>股权价值增加表!CG5</f>
        <v>0</v>
      </c>
      <c r="CH67" s="75">
        <f>股权价值增加表!CH5</f>
        <v>0</v>
      </c>
      <c r="CI67" s="75">
        <f>股权价值增加表!CI5</f>
        <v>0</v>
      </c>
      <c r="CJ67" s="75">
        <f>股权价值增加表!CJ5</f>
        <v>0</v>
      </c>
      <c r="CK67" s="75">
        <f>股权价值增加表!CK5</f>
        <v>0</v>
      </c>
    </row>
    <row r="68" spans="1:89" s="75" customFormat="1" x14ac:dyDescent="0.25">
      <c r="A68" s="145" t="s">
        <v>475</v>
      </c>
      <c r="E68" s="75">
        <f>资产资本表!E26</f>
        <v>8957719381</v>
      </c>
      <c r="F68" s="75">
        <f>资产资本表!F26</f>
        <v>9363701031</v>
      </c>
      <c r="G68" s="75">
        <f>资产资本表!G26</f>
        <v>9759164036</v>
      </c>
      <c r="H68" s="75">
        <f>资产资本表!H26</f>
        <v>9262441237</v>
      </c>
      <c r="I68" s="75">
        <f>资产资本表!I26</f>
        <v>7833138532</v>
      </c>
      <c r="J68" s="75">
        <f>资产资本表!J26</f>
        <v>7833058021</v>
      </c>
      <c r="K68" s="75">
        <f>资产资本表!K26</f>
        <v>7200449513</v>
      </c>
      <c r="L68" s="75">
        <f>资产资本表!L26</f>
        <v>6388611021</v>
      </c>
      <c r="M68" s="75">
        <f>资产资本表!M26</f>
        <v>6609406228</v>
      </c>
      <c r="N68" s="75">
        <f>资产资本表!N26</f>
        <v>5969882176</v>
      </c>
      <c r="O68" s="75">
        <f>资产资本表!O26</f>
        <v>5713761409</v>
      </c>
      <c r="P68" s="75">
        <f>资产资本表!P26</f>
        <v>5036243739</v>
      </c>
      <c r="Q68" s="75">
        <f>资产资本表!Q26</f>
        <v>4163304029</v>
      </c>
      <c r="R68" s="75">
        <f>资产资本表!R26</f>
        <v>4043797340</v>
      </c>
      <c r="S68" s="75">
        <f>资产资本表!S26</f>
        <v>3587133465</v>
      </c>
      <c r="T68" s="75">
        <f>资产资本表!T26</f>
        <v>3793976626</v>
      </c>
      <c r="U68" s="75">
        <f>资产资本表!U26</f>
        <v>3018804659</v>
      </c>
      <c r="V68" s="75">
        <f>资产资本表!V26</f>
        <v>2805826602</v>
      </c>
      <c r="W68" s="75">
        <f>资产资本表!W26</f>
        <v>2904438373</v>
      </c>
      <c r="X68" s="75">
        <f>资产资本表!X26</f>
        <v>2886258773</v>
      </c>
      <c r="Y68" s="75">
        <f>资产资本表!Y26</f>
        <v>2668906527</v>
      </c>
      <c r="Z68" s="75">
        <f>资产资本表!Z26</f>
        <v>2830217937</v>
      </c>
      <c r="AA68" s="75">
        <f>资产资本表!AA26</f>
        <v>2573854565</v>
      </c>
      <c r="AB68" s="75">
        <f>资产资本表!AB26</f>
        <v>2411386287</v>
      </c>
      <c r="AC68" s="75">
        <f>资产资本表!AC26</f>
        <v>2116218705</v>
      </c>
      <c r="AD68" s="75">
        <f>资产资本表!AD26</f>
        <v>1849196851</v>
      </c>
      <c r="AE68" s="75">
        <f>资产资本表!AE26</f>
        <v>2187471001</v>
      </c>
      <c r="AF68" s="75">
        <f>资产资本表!AF26</f>
        <v>1427181550</v>
      </c>
      <c r="AG68" s="75">
        <f>资产资本表!AG26</f>
        <v>1300479825</v>
      </c>
      <c r="AH68" s="75">
        <f>资产资本表!AH26</f>
        <v>947819726</v>
      </c>
      <c r="AI68" s="75">
        <f>资产资本表!AI26</f>
        <v>919742228</v>
      </c>
      <c r="AJ68" s="75">
        <f>资产资本表!AJ26</f>
        <v>859949712</v>
      </c>
      <c r="AK68" s="75">
        <f>资产资本表!AK26</f>
        <v>780639882</v>
      </c>
      <c r="AL68" s="75">
        <f>资产资本表!AL26</f>
        <v>839318397</v>
      </c>
      <c r="AM68" s="75">
        <f>资产资本表!AM26</f>
        <v>609923915</v>
      </c>
      <c r="AN68" s="75">
        <f>资产资本表!AN26</f>
        <v>489215697</v>
      </c>
      <c r="AO68" s="75">
        <f>资产资本表!AO26</f>
        <v>472233966</v>
      </c>
      <c r="AP68" s="75">
        <f>资产资本表!AP26</f>
        <v>974151877</v>
      </c>
      <c r="AQ68" s="75">
        <f>资产资本表!AQ26</f>
        <v>919328872</v>
      </c>
      <c r="AR68" s="75">
        <f>资产资本表!AR26</f>
        <v>827268881</v>
      </c>
      <c r="AS68" s="75">
        <f>资产资本表!AS26</f>
        <v>791698020</v>
      </c>
      <c r="AT68" s="75">
        <f>资产资本表!AT26</f>
        <v>931617285</v>
      </c>
      <c r="AU68" s="75">
        <f>资产资本表!AU26</f>
        <v>967617644</v>
      </c>
      <c r="AV68" s="75">
        <f>资产资本表!AV26</f>
        <v>963885952</v>
      </c>
      <c r="AW68" s="75">
        <f>资产资本表!AW26</f>
        <v>1266043525</v>
      </c>
      <c r="AX68" s="75">
        <f>资产资本表!AX26</f>
        <v>1052427181</v>
      </c>
      <c r="AY68" s="75">
        <f>资产资本表!AY26</f>
        <v>1815636671</v>
      </c>
      <c r="AZ68" s="75">
        <f>资产资本表!AZ26</f>
        <v>2408432800</v>
      </c>
      <c r="BA68" s="75">
        <f>资产资本表!BA26</f>
        <v>1919901660</v>
      </c>
      <c r="BB68" s="75">
        <f>资产资本表!BB26</f>
        <v>1956847993</v>
      </c>
      <c r="BC68" s="75">
        <f>资产资本表!BC26</f>
        <v>1389380724</v>
      </c>
      <c r="BD68" s="75">
        <f>资产资本表!BD26</f>
        <v>939737902</v>
      </c>
      <c r="BE68" s="75">
        <f>资产资本表!BE26</f>
        <v>1127066283</v>
      </c>
      <c r="BF68" s="75">
        <f>资产资本表!BF26</f>
        <v>1578471503.8900001</v>
      </c>
      <c r="BG68" s="75">
        <f>资产资本表!BG26</f>
        <v>1548957280.5799999</v>
      </c>
      <c r="BH68" s="75">
        <f>资产资本表!BH26</f>
        <v>1416046150.55</v>
      </c>
      <c r="BI68" s="75">
        <f>资产资本表!BI26</f>
        <v>1252507882</v>
      </c>
      <c r="BJ68" s="75">
        <f>资产资本表!BJ26</f>
        <v>1052000707.12</v>
      </c>
      <c r="BK68" s="75">
        <f>资产资本表!BK26</f>
        <v>969198456.02999997</v>
      </c>
      <c r="BL68" s="75">
        <f>资产资本表!BL26</f>
        <v>775120926.46000004</v>
      </c>
      <c r="BM68" s="75">
        <f>资产资本表!BM26</f>
        <v>560401754</v>
      </c>
      <c r="BN68" s="75">
        <f>资产资本表!BN26</f>
        <v>561776324.64999998</v>
      </c>
      <c r="BO68" s="75">
        <f>资产资本表!BO26</f>
        <v>460693226.70999998</v>
      </c>
      <c r="BP68" s="75">
        <f>资产资本表!BP26</f>
        <v>450022649.82999998</v>
      </c>
      <c r="BQ68" s="75">
        <f>资产资本表!BQ26</f>
        <v>262124348</v>
      </c>
      <c r="BR68" s="75">
        <f>资产资本表!BR26</f>
        <v>354010197.49000001</v>
      </c>
      <c r="BS68" s="75">
        <f>资产资本表!BS26</f>
        <v>324457794</v>
      </c>
      <c r="BT68" s="75">
        <f>资产资本表!BT26</f>
        <v>225184310</v>
      </c>
      <c r="BU68" s="75">
        <f>资产资本表!BU26</f>
        <v>174866383</v>
      </c>
      <c r="BV68" s="75">
        <f>资产资本表!BV26</f>
        <v>112102824.89</v>
      </c>
      <c r="BW68" s="75">
        <f>资产资本表!BW26</f>
        <v>96930000</v>
      </c>
      <c r="BX68" s="75">
        <f>资产资本表!BX26</f>
        <v>92044991.5</v>
      </c>
      <c r="BY68" s="75">
        <f>资产资本表!BY26</f>
        <v>89201000</v>
      </c>
      <c r="BZ68" s="75">
        <f>资产资本表!BZ26</f>
        <v>0</v>
      </c>
      <c r="CA68" s="75">
        <f>资产资本表!CA26</f>
        <v>85649000</v>
      </c>
      <c r="CB68" s="75">
        <f>资产资本表!CB26</f>
        <v>63375000</v>
      </c>
      <c r="CC68" s="75">
        <f>资产资本表!CC26</f>
        <v>48549000</v>
      </c>
      <c r="CD68" s="75">
        <f>资产资本表!CD26</f>
        <v>0</v>
      </c>
      <c r="CE68" s="75">
        <f>资产资本表!CE26</f>
        <v>0</v>
      </c>
      <c r="CF68" s="75">
        <f>资产资本表!CF26</f>
        <v>0</v>
      </c>
      <c r="CG68" s="75">
        <f>资产资本表!CG26</f>
        <v>0</v>
      </c>
      <c r="CH68" s="75">
        <f>资产资本表!CH26</f>
        <v>0</v>
      </c>
      <c r="CI68" s="75">
        <f>资产资本表!CI26</f>
        <v>0</v>
      </c>
      <c r="CJ68" s="75">
        <f>资产资本表!CJ26</f>
        <v>0</v>
      </c>
    </row>
    <row r="69" spans="1:89" s="153" customFormat="1" x14ac:dyDescent="0.25">
      <c r="A69" s="152" t="s">
        <v>476</v>
      </c>
      <c r="E69" s="153">
        <f>E67/(E68+I68)*2</f>
        <v>8.3715171612029593</v>
      </c>
      <c r="F69" s="153">
        <f t="shared" ref="F69:BQ69" si="32">F67/(F68+J68)*2</f>
        <v>5.9633791063713977</v>
      </c>
      <c r="G69" s="153">
        <f t="shared" si="32"/>
        <v>3.801415226339365</v>
      </c>
      <c r="H69" s="153">
        <f t="shared" si="32"/>
        <v>1.9931618931279655</v>
      </c>
      <c r="I69" s="153">
        <f t="shared" si="32"/>
        <v>7.8359730963367982</v>
      </c>
      <c r="J69" s="153">
        <f t="shared" si="32"/>
        <v>5.7693712053688468</v>
      </c>
      <c r="K69" s="153">
        <f t="shared" si="32"/>
        <v>3.714836516590696</v>
      </c>
      <c r="L69" s="153">
        <f t="shared" si="32"/>
        <v>2.0171690949356105</v>
      </c>
      <c r="M69" s="153">
        <f t="shared" si="32"/>
        <v>7.195049294269718</v>
      </c>
      <c r="N69" s="153">
        <f t="shared" si="32"/>
        <v>5.66950135515002</v>
      </c>
      <c r="O69" s="153">
        <f t="shared" si="32"/>
        <v>3.7651453296062702</v>
      </c>
      <c r="P69" s="153">
        <f t="shared" si="32"/>
        <v>1.9704751137317738</v>
      </c>
      <c r="Q69" s="153">
        <f t="shared" si="32"/>
        <v>7.9377469674404901</v>
      </c>
      <c r="R69" s="153">
        <f t="shared" si="32"/>
        <v>5.7355559208304348</v>
      </c>
      <c r="S69" s="153">
        <f t="shared" si="32"/>
        <v>3.8912358326119167</v>
      </c>
      <c r="T69" s="153">
        <f t="shared" si="32"/>
        <v>1.9409851302457073</v>
      </c>
      <c r="U69" s="153">
        <f t="shared" si="32"/>
        <v>9.0383715316869822</v>
      </c>
      <c r="V69" s="153">
        <f t="shared" si="32"/>
        <v>6.6628933061382254</v>
      </c>
      <c r="W69" s="153">
        <f t="shared" si="32"/>
        <v>4.5493494765722948</v>
      </c>
      <c r="X69" s="153">
        <f t="shared" si="32"/>
        <v>2.4009554985172978</v>
      </c>
      <c r="Y69" s="153">
        <f t="shared" si="32"/>
        <v>9.5254904973404475</v>
      </c>
      <c r="Z69" s="153">
        <f t="shared" si="32"/>
        <v>6.9489373225445297</v>
      </c>
      <c r="AA69" s="153">
        <f t="shared" si="32"/>
        <v>3.9914921049950314</v>
      </c>
      <c r="AB69" s="153">
        <f t="shared" si="32"/>
        <v>2.181947719998051</v>
      </c>
      <c r="AC69" s="153">
        <f t="shared" si="32"/>
        <v>7.8679630315525673</v>
      </c>
      <c r="AD69" s="153">
        <f t="shared" si="32"/>
        <v>6.6342863244317485</v>
      </c>
      <c r="AE69" s="153">
        <f t="shared" si="32"/>
        <v>3.4402001968304572</v>
      </c>
      <c r="AF69" s="153">
        <f t="shared" si="32"/>
        <v>1.9459921483072273</v>
      </c>
      <c r="AG69" s="153">
        <f t="shared" si="32"/>
        <v>7.9650901407758372</v>
      </c>
      <c r="AH69" s="153">
        <f t="shared" si="32"/>
        <v>6.9952426021858187</v>
      </c>
      <c r="AI69" s="153">
        <f t="shared" si="32"/>
        <v>5.3936455479226755</v>
      </c>
      <c r="AJ69" s="153">
        <f t="shared" si="32"/>
        <v>2.7862517975362651</v>
      </c>
      <c r="AK69" s="153">
        <f t="shared" si="32"/>
        <v>10.019603158002864</v>
      </c>
      <c r="AL69" s="153">
        <f t="shared" si="32"/>
        <v>4.9442184007919394</v>
      </c>
      <c r="AM69" s="153">
        <f t="shared" si="32"/>
        <v>3.3957015400881527</v>
      </c>
      <c r="AN69" s="153">
        <f t="shared" si="32"/>
        <v>1.3132521465815454</v>
      </c>
      <c r="AO69" s="153">
        <f t="shared" si="32"/>
        <v>12.154960748022402</v>
      </c>
      <c r="AP69" s="153">
        <f t="shared" si="32"/>
        <v>6.6476249414723192</v>
      </c>
      <c r="AQ69" s="153">
        <f t="shared" si="32"/>
        <v>4.7285091773104604</v>
      </c>
      <c r="AR69" s="153">
        <f t="shared" si="32"/>
        <v>2.6129172005533707</v>
      </c>
      <c r="AS69" s="153">
        <f t="shared" si="32"/>
        <v>9.0039202080648089</v>
      </c>
      <c r="AT69" s="153">
        <f t="shared" si="32"/>
        <v>7.1119070292046569</v>
      </c>
      <c r="AU69" s="153">
        <f t="shared" si="32"/>
        <v>3.2766898873917674</v>
      </c>
      <c r="AV69" s="153">
        <f t="shared" si="32"/>
        <v>1.3632010358669677</v>
      </c>
      <c r="AW69" s="153">
        <f t="shared" si="32"/>
        <v>6.2513712469914955</v>
      </c>
      <c r="AX69" s="153">
        <f t="shared" si="32"/>
        <v>5.308303185436773</v>
      </c>
      <c r="AY69" s="153">
        <f t="shared" si="32"/>
        <v>3.1489198572664847</v>
      </c>
      <c r="AZ69" s="153">
        <f t="shared" si="32"/>
        <v>1.5303994891715649</v>
      </c>
      <c r="BA69" s="153">
        <f t="shared" si="32"/>
        <v>8.6974899814362772</v>
      </c>
      <c r="BB69" s="153">
        <f t="shared" si="32"/>
        <v>4.9527706888735556</v>
      </c>
      <c r="BC69" s="153">
        <f t="shared" si="32"/>
        <v>3.1261437716431062</v>
      </c>
      <c r="BD69" s="153">
        <f t="shared" si="32"/>
        <v>1.949883894929926</v>
      </c>
      <c r="BE69" s="153">
        <f t="shared" si="32"/>
        <v>9.3723531546242018</v>
      </c>
      <c r="BF69" s="153">
        <f t="shared" si="32"/>
        <v>6.1551431485768502</v>
      </c>
      <c r="BG69" s="153">
        <f t="shared" si="32"/>
        <v>4.1017265624027113</v>
      </c>
      <c r="BH69" s="153">
        <f t="shared" si="32"/>
        <v>2.8833759636263308</v>
      </c>
      <c r="BI69" s="153">
        <f t="shared" si="32"/>
        <v>10.42077467009503</v>
      </c>
      <c r="BJ69" s="153">
        <f t="shared" si="32"/>
        <v>8.0022089113488555</v>
      </c>
      <c r="BK69" s="153">
        <f t="shared" si="32"/>
        <v>5.4948413875686972</v>
      </c>
      <c r="BL69" s="153">
        <f t="shared" si="32"/>
        <v>3.0625682491533999</v>
      </c>
      <c r="BM69" s="153">
        <f t="shared" si="32"/>
        <v>10.071297445585502</v>
      </c>
      <c r="BN69" s="153">
        <f t="shared" si="32"/>
        <v>6.3701796341660666</v>
      </c>
      <c r="BO69" s="153">
        <f t="shared" si="32"/>
        <v>4.3327853023278529</v>
      </c>
      <c r="BP69" s="153">
        <f t="shared" si="32"/>
        <v>2.5883284929112937</v>
      </c>
      <c r="BQ69" s="153">
        <f t="shared" si="32"/>
        <v>10.725668586320657</v>
      </c>
      <c r="BR69" s="153">
        <f t="shared" ref="BR69:CJ69" si="33">BR67/(BR68+BV68)*2</f>
        <v>4.7677376309136017</v>
      </c>
      <c r="BS69" s="153">
        <f t="shared" si="33"/>
        <v>9.3631623368758525</v>
      </c>
      <c r="BT69" s="153">
        <f t="shared" si="33"/>
        <v>5.5410362967369204</v>
      </c>
      <c r="BU69" s="153">
        <f t="shared" si="33"/>
        <v>4.5235058734989622</v>
      </c>
      <c r="BV69" s="153">
        <f t="shared" si="33"/>
        <v>2.6430294973452564</v>
      </c>
      <c r="BW69" s="153">
        <f t="shared" si="33"/>
        <v>1.9724831442827488</v>
      </c>
      <c r="BX69" s="153">
        <f t="shared" si="33"/>
        <v>0.9873460722715327</v>
      </c>
      <c r="BY69" s="153">
        <f t="shared" si="33"/>
        <v>2.6914700544464609</v>
      </c>
      <c r="BZ69" s="153" t="e">
        <f t="shared" si="33"/>
        <v>#DIV/0!</v>
      </c>
      <c r="CA69" s="153">
        <f t="shared" si="33"/>
        <v>2.9186797277259511</v>
      </c>
      <c r="CB69" s="153">
        <f t="shared" si="33"/>
        <v>3.9527258382642998</v>
      </c>
      <c r="CC69" s="153">
        <f t="shared" si="33"/>
        <v>3.9695977260087747</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2" customFormat="1" x14ac:dyDescent="0.25">
      <c r="A70" s="146" t="s">
        <v>477</v>
      </c>
      <c r="E70" s="82">
        <f>E62/E69</f>
        <v>43.600221199038991</v>
      </c>
      <c r="F70" s="82">
        <f t="shared" ref="F70:BQ70" si="34">F62/F69</f>
        <v>61.206908614953967</v>
      </c>
      <c r="G70" s="82">
        <f t="shared" si="34"/>
        <v>96.016872208796485</v>
      </c>
      <c r="H70" s="82">
        <f t="shared" si="34"/>
        <v>183.12611798291397</v>
      </c>
      <c r="I70" s="82">
        <f t="shared" si="34"/>
        <v>46.58004762301087</v>
      </c>
      <c r="J70" s="82">
        <f t="shared" si="34"/>
        <v>63.265126650255965</v>
      </c>
      <c r="K70" s="82">
        <f t="shared" si="34"/>
        <v>98.254660297939566</v>
      </c>
      <c r="L70" s="82">
        <f t="shared" si="34"/>
        <v>180.94665485228003</v>
      </c>
      <c r="M70" s="82">
        <f t="shared" si="34"/>
        <v>50.729325828343292</v>
      </c>
      <c r="N70" s="82">
        <f t="shared" si="34"/>
        <v>64.379559530124112</v>
      </c>
      <c r="O70" s="82">
        <f t="shared" si="34"/>
        <v>96.941809159374174</v>
      </c>
      <c r="P70" s="82">
        <f t="shared" si="34"/>
        <v>185.23451397909142</v>
      </c>
      <c r="Q70" s="82">
        <f t="shared" si="34"/>
        <v>45.982821258623908</v>
      </c>
      <c r="R70" s="82">
        <f t="shared" si="34"/>
        <v>63.638120704985248</v>
      </c>
      <c r="S70" s="82">
        <f t="shared" si="34"/>
        <v>93.800534252122375</v>
      </c>
      <c r="T70" s="82">
        <f t="shared" si="34"/>
        <v>188.04883886657856</v>
      </c>
      <c r="U70" s="82">
        <f t="shared" si="34"/>
        <v>40.383380869039577</v>
      </c>
      <c r="V70" s="82">
        <f t="shared" si="34"/>
        <v>54.781006273016835</v>
      </c>
      <c r="W70" s="82">
        <f t="shared" si="34"/>
        <v>80.23125105680144</v>
      </c>
      <c r="X70" s="82">
        <f t="shared" si="34"/>
        <v>152.02280934628089</v>
      </c>
      <c r="Y70" s="82">
        <f t="shared" si="34"/>
        <v>38.318236746119204</v>
      </c>
      <c r="Z70" s="82">
        <f t="shared" si="34"/>
        <v>52.526017009223217</v>
      </c>
      <c r="AA70" s="82">
        <f t="shared" si="34"/>
        <v>91.444500051304587</v>
      </c>
      <c r="AB70" s="82">
        <f t="shared" si="34"/>
        <v>167.28173487141387</v>
      </c>
      <c r="AC70" s="82">
        <f t="shared" si="34"/>
        <v>46.39066026826201</v>
      </c>
      <c r="AD70" s="82">
        <f t="shared" si="34"/>
        <v>55.017221468997064</v>
      </c>
      <c r="AE70" s="82">
        <f t="shared" si="34"/>
        <v>106.09847657595149</v>
      </c>
      <c r="AF70" s="82">
        <f t="shared" si="34"/>
        <v>187.56499111134897</v>
      </c>
      <c r="AG70" s="82">
        <f t="shared" si="34"/>
        <v>45.824967897280729</v>
      </c>
      <c r="AH70" s="82">
        <f t="shared" si="34"/>
        <v>52.178319002967484</v>
      </c>
      <c r="AI70" s="82">
        <f t="shared" si="34"/>
        <v>67.672225910465542</v>
      </c>
      <c r="AJ70" s="82">
        <f t="shared" si="34"/>
        <v>131.00036411739606</v>
      </c>
      <c r="AK70" s="82">
        <f t="shared" si="34"/>
        <v>36.428588462454918</v>
      </c>
      <c r="AL70" s="82">
        <f t="shared" si="34"/>
        <v>73.82359969000079</v>
      </c>
      <c r="AM70" s="82">
        <f t="shared" si="34"/>
        <v>107.48883424852602</v>
      </c>
      <c r="AN70" s="82">
        <f t="shared" si="34"/>
        <v>277.9359629832789</v>
      </c>
      <c r="AO70" s="82">
        <f t="shared" si="34"/>
        <v>30.028891706572157</v>
      </c>
      <c r="AP70" s="82">
        <f t="shared" si="34"/>
        <v>54.906828109824083</v>
      </c>
      <c r="AQ70" s="82">
        <f t="shared" si="34"/>
        <v>77.191348544153442</v>
      </c>
      <c r="AR70" s="82">
        <f t="shared" si="34"/>
        <v>139.69061090902508</v>
      </c>
      <c r="AS70" s="82">
        <f t="shared" si="34"/>
        <v>40.537898111654698</v>
      </c>
      <c r="AT70" s="82">
        <f t="shared" si="34"/>
        <v>51.322380692147334</v>
      </c>
      <c r="AU70" s="82">
        <f t="shared" si="34"/>
        <v>111.39290337009542</v>
      </c>
      <c r="AV70" s="82">
        <f t="shared" si="34"/>
        <v>267.75214395862571</v>
      </c>
      <c r="AW70" s="82">
        <f t="shared" si="34"/>
        <v>58.387189878645927</v>
      </c>
      <c r="AX70" s="82">
        <f t="shared" si="34"/>
        <v>68.760202130385167</v>
      </c>
      <c r="AY70" s="82">
        <f t="shared" si="34"/>
        <v>115.91276264390206</v>
      </c>
      <c r="AZ70" s="82">
        <f t="shared" si="34"/>
        <v>238.49981823868853</v>
      </c>
      <c r="BA70" s="82">
        <f t="shared" si="34"/>
        <v>41.966130547899176</v>
      </c>
      <c r="BB70" s="82">
        <f t="shared" si="34"/>
        <v>73.696123428442959</v>
      </c>
      <c r="BC70" s="82">
        <f t="shared" si="34"/>
        <v>116.75726603199551</v>
      </c>
      <c r="BD70" s="82">
        <f t="shared" si="34"/>
        <v>187.19063270847582</v>
      </c>
      <c r="BE70" s="82">
        <f t="shared" si="34"/>
        <v>38.944328492350245</v>
      </c>
      <c r="BF70" s="82">
        <f t="shared" si="34"/>
        <v>59.300001834139763</v>
      </c>
      <c r="BG70" s="82">
        <f t="shared" si="34"/>
        <v>88.986916715918312</v>
      </c>
      <c r="BH70" s="82">
        <f t="shared" si="34"/>
        <v>126.58772376702171</v>
      </c>
      <c r="BI70" s="82">
        <f t="shared" si="34"/>
        <v>35.026186781243538</v>
      </c>
      <c r="BJ70" s="82">
        <f t="shared" si="34"/>
        <v>45.612405779903021</v>
      </c>
      <c r="BK70" s="82">
        <f t="shared" si="34"/>
        <v>66.425939213779856</v>
      </c>
      <c r="BL70" s="82">
        <f t="shared" si="34"/>
        <v>119.18101746823068</v>
      </c>
      <c r="BM70" s="82">
        <f t="shared" si="34"/>
        <v>36.241606602532478</v>
      </c>
      <c r="BN70" s="82">
        <f t="shared" si="34"/>
        <v>57.298227202627842</v>
      </c>
      <c r="BO70" s="82">
        <f t="shared" si="34"/>
        <v>84.241423133497605</v>
      </c>
      <c r="BP70" s="82">
        <f t="shared" si="34"/>
        <v>141.01764942109654</v>
      </c>
      <c r="BQ70" s="82">
        <f t="shared" si="34"/>
        <v>34.030512602777513</v>
      </c>
      <c r="BR70" s="82">
        <f t="shared" ref="BR70:CJ70" si="35">BR62/BR69</f>
        <v>76.556226087897812</v>
      </c>
      <c r="BS70" s="82">
        <f t="shared" si="35"/>
        <v>38.982555985650812</v>
      </c>
      <c r="BT70" s="82">
        <f t="shared" si="35"/>
        <v>65.872154675280882</v>
      </c>
      <c r="BU70" s="82">
        <f t="shared" si="35"/>
        <v>80.689626631935823</v>
      </c>
      <c r="BV70" s="82">
        <f t="shared" si="35"/>
        <v>138.09910194593655</v>
      </c>
      <c r="BW70" s="82">
        <f t="shared" si="35"/>
        <v>185.04594123298551</v>
      </c>
      <c r="BX70" s="82">
        <f t="shared" si="35"/>
        <v>369.67787714014457</v>
      </c>
      <c r="BY70" s="82">
        <f t="shared" si="35"/>
        <v>135.61362103843561</v>
      </c>
      <c r="BZ70" s="82" t="e">
        <f t="shared" si="35"/>
        <v>#DIV/0!</v>
      </c>
      <c r="CA70" s="82">
        <f t="shared" si="35"/>
        <v>125.05654407117314</v>
      </c>
      <c r="CB70" s="82">
        <f t="shared" si="35"/>
        <v>92.341339858844563</v>
      </c>
      <c r="CC70" s="82">
        <f t="shared" si="35"/>
        <v>91.94886363636364</v>
      </c>
      <c r="CD70" s="82" t="e">
        <f t="shared" si="35"/>
        <v>#DIV/0!</v>
      </c>
      <c r="CE70" s="82" t="e">
        <f t="shared" si="35"/>
        <v>#DIV/0!</v>
      </c>
      <c r="CF70" s="82" t="e">
        <f t="shared" si="35"/>
        <v>#DIV/0!</v>
      </c>
      <c r="CG70" s="82" t="e">
        <f t="shared" si="35"/>
        <v>#DIV/0!</v>
      </c>
      <c r="CH70" s="82" t="e">
        <f t="shared" si="35"/>
        <v>#DIV/0!</v>
      </c>
      <c r="CI70" s="82" t="e">
        <f t="shared" si="35"/>
        <v>#DIV/0!</v>
      </c>
      <c r="CJ70" s="82" t="e">
        <f t="shared" si="35"/>
        <v>#DIV/0!</v>
      </c>
    </row>
    <row r="71" spans="1:89" s="75" customFormat="1" x14ac:dyDescent="0.25">
      <c r="A71" s="145" t="s">
        <v>478</v>
      </c>
      <c r="E71" s="75">
        <f>资产资本表!E35+资产资本表!E36-资产资本表!E24</f>
        <v>16162460782</v>
      </c>
      <c r="F71" s="75">
        <f>资产资本表!F35+资产资本表!F36-资产资本表!F24</f>
        <v>13985770021</v>
      </c>
      <c r="G71" s="75">
        <f>资产资本表!G35+资产资本表!G36-资产资本表!G24</f>
        <v>14700619857</v>
      </c>
      <c r="H71" s="75">
        <f>资产资本表!H35+资产资本表!H36-资产资本表!H24</f>
        <v>15684695370</v>
      </c>
      <c r="I71" s="75">
        <f>资产资本表!I35+资产资本表!I36-资产资本表!I24</f>
        <v>13767366653</v>
      </c>
      <c r="J71" s="75">
        <f>资产资本表!J35+资产资本表!J36-资产资本表!J24</f>
        <v>13433412522</v>
      </c>
      <c r="K71" s="75">
        <f>资产资本表!K35+资产资本表!K36-资产资本表!K24</f>
        <v>11010863420</v>
      </c>
      <c r="L71" s="75">
        <f>资产资本表!L35+资产资本表!L36-资产资本表!L24</f>
        <v>10382305023</v>
      </c>
      <c r="M71" s="75">
        <f>资产资本表!M35+资产资本表!M36-资产资本表!M24</f>
        <v>9966764564</v>
      </c>
      <c r="N71" s="75">
        <f>资产资本表!N35+资产资本表!N36-资产资本表!N24</f>
        <v>10510055447</v>
      </c>
      <c r="O71" s="75">
        <f>资产资本表!O35+资产资本表!O36-资产资本表!O24</f>
        <v>7685757634</v>
      </c>
      <c r="P71" s="75">
        <f>资产资本表!P35+资产资本表!P36-资产资本表!P24</f>
        <v>7914887059</v>
      </c>
      <c r="Q71" s="75">
        <f>资产资本表!Q35+资产资本表!Q36-资产资本表!Q24</f>
        <v>6799241554</v>
      </c>
      <c r="R71" s="75">
        <f>资产资本表!R35+资产资本表!R36-资产资本表!R24</f>
        <v>6420264712</v>
      </c>
      <c r="S71" s="75">
        <f>资产资本表!S35+资产资本表!S36-资产资本表!S24</f>
        <v>5734304518</v>
      </c>
      <c r="T71" s="75">
        <f>资产资本表!T35+资产资本表!T36-资产资本表!T24</f>
        <v>4864790331</v>
      </c>
      <c r="U71" s="75">
        <f>资产资本表!U35+资产资本表!U36-资产资本表!U24</f>
        <v>5661432743</v>
      </c>
      <c r="V71" s="75">
        <f>资产资本表!V35+资产资本表!V36-资产资本表!V24</f>
        <v>5088881580</v>
      </c>
      <c r="W71" s="75">
        <f>资产资本表!W35+资产资本表!W36-资产资本表!W24</f>
        <v>5516675803</v>
      </c>
      <c r="X71" s="75">
        <f>资产资本表!X35+资产资本表!X36-资产资本表!X24</f>
        <v>5371561481</v>
      </c>
      <c r="Y71" s="75">
        <f>资产资本表!Y35+资产资本表!Y36-资产资本表!Y24</f>
        <v>5385642464</v>
      </c>
      <c r="Z71" s="75">
        <f>资产资本表!Z35+资产资本表!Z36-资产资本表!Z24</f>
        <v>5277493292</v>
      </c>
      <c r="AA71" s="75">
        <f>资产资本表!AA35+资产资本表!AA36-资产资本表!AA24</f>
        <v>4371401508</v>
      </c>
      <c r="AB71" s="75">
        <f>资产资本表!AB35+资产资本表!AB36-资产资本表!AB24</f>
        <v>4030690558</v>
      </c>
      <c r="AC71" s="75">
        <f>资产资本表!AC35+资产资本表!AC36-资产资本表!AC24</f>
        <v>3593583158</v>
      </c>
      <c r="AD71" s="75">
        <f>资产资本表!AD35+资产资本表!AD36-资产资本表!AD24</f>
        <v>3154830938</v>
      </c>
      <c r="AE71" s="75">
        <f>资产资本表!AE35+资产资本表!AE36-资产资本表!AE24</f>
        <v>3227020985</v>
      </c>
      <c r="AF71" s="75">
        <f>资产资本表!AF35+资产资本表!AF36-资产资本表!AF24</f>
        <v>2439705245</v>
      </c>
      <c r="AG71" s="75">
        <f>资产资本表!AG35+资产资本表!AG36-资产资本表!AG24</f>
        <v>2263984804</v>
      </c>
      <c r="AH71" s="75">
        <f>资产资本表!AH35+资产资本表!AH36-资产资本表!AH24</f>
        <v>2853936574</v>
      </c>
      <c r="AI71" s="75">
        <f>资产资本表!AI35+资产资本表!AI36-资产资本表!AI24</f>
        <v>2523988852</v>
      </c>
      <c r="AJ71" s="75">
        <f>资产资本表!AJ35+资产资本表!AJ36-资产资本表!AJ24</f>
        <v>2030783564</v>
      </c>
      <c r="AK71" s="75">
        <f>资产资本表!AK35+资产资本表!AK36-资产资本表!AK24</f>
        <v>2048262808</v>
      </c>
      <c r="AL71" s="75">
        <f>资产资本表!AL35+资产资本表!AL36-资产资本表!AL24</f>
        <v>1470995197</v>
      </c>
      <c r="AM71" s="75">
        <f>资产资本表!AM35+资产资本表!AM36-资产资本表!AM24</f>
        <v>1233200835</v>
      </c>
      <c r="AN71" s="75">
        <f>资产资本表!AN35+资产资本表!AN36-资产资本表!AN24</f>
        <v>1010547096</v>
      </c>
      <c r="AO71" s="75">
        <f>资产资本表!AO35+资产资本表!AO36-资产资本表!AO24</f>
        <v>1121781563</v>
      </c>
      <c r="AP71" s="75">
        <f>资产资本表!AP35+资产资本表!AP36-资产资本表!AP24</f>
        <v>1504903282</v>
      </c>
      <c r="AQ71" s="75">
        <f>资产资本表!AQ35+资产资本表!AQ36-资产资本表!AQ24</f>
        <v>1447185520</v>
      </c>
      <c r="AR71" s="75">
        <f>资产资本表!AR35+资产资本表!AR36-资产资本表!AR24</f>
        <v>1464322625</v>
      </c>
      <c r="AS71" s="75">
        <f>资产资本表!AS35+资产资本表!AS36-资产资本表!AS24</f>
        <v>1441946535</v>
      </c>
      <c r="AT71" s="75">
        <f>资产资本表!AT35+资产资本表!AT36-资产资本表!AT24</f>
        <v>1711726434</v>
      </c>
      <c r="AU71" s="75">
        <f>资产资本表!AU35+资产资本表!AU36-资产资本表!AU24</f>
        <v>1767799530</v>
      </c>
      <c r="AV71" s="75">
        <f>资产资本表!AV35+资产资本表!AV36-资产资本表!AV24</f>
        <v>1767257650</v>
      </c>
      <c r="AW71" s="75">
        <f>资产资本表!AW35+资产资本表!AW36-资产资本表!AW24</f>
        <v>1880691073</v>
      </c>
      <c r="AX71" s="75">
        <f>资产资本表!AX35+资产资本表!AX36-资产资本表!AX24</f>
        <v>1932597305</v>
      </c>
      <c r="AY71" s="75">
        <f>资产资本表!AY35+资产资本表!AY36-资产资本表!AY24</f>
        <v>2071398395</v>
      </c>
      <c r="AZ71" s="75">
        <f>资产资本表!AZ35+资产资本表!AZ36-资产资本表!AZ24</f>
        <v>2178911240</v>
      </c>
      <c r="BA71" s="75">
        <f>资产资本表!BA35+资产资本表!BA36-资产资本表!BA24</f>
        <v>2161017878</v>
      </c>
      <c r="BB71" s="75">
        <f>资产资本表!BB35+资产资本表!BB36-资产资本表!BB24</f>
        <v>3435425102</v>
      </c>
      <c r="BC71" s="75">
        <f>资产资本表!BC35+资产资本表!BC36-资产资本表!BC24</f>
        <v>2804428505</v>
      </c>
      <c r="BD71" s="75">
        <f>资产资本表!BD35+资产资本表!BD36-资产资本表!BD24</f>
        <v>2341321690</v>
      </c>
      <c r="BE71" s="75">
        <f>资产资本表!BE35+资产资本表!BE36-资产资本表!BE24</f>
        <v>2664796748</v>
      </c>
      <c r="BF71" s="75">
        <f>资产资本表!BF35+资产资本表!BF36-资产资本表!BF24</f>
        <v>1776044397.71</v>
      </c>
      <c r="BG71" s="75">
        <f>资产资本表!BG35+资产资本表!BG36-资产资本表!BG24</f>
        <v>1758483645.8</v>
      </c>
      <c r="BH71" s="75">
        <f>资产资本表!BH35+资产资本表!BH36-资产资本表!BH24</f>
        <v>2417802550.04</v>
      </c>
      <c r="BI71" s="75">
        <f>资产资本表!BI35+资产资本表!BI36-资产资本表!BI24</f>
        <v>1796226248</v>
      </c>
      <c r="BJ71" s="75">
        <f>资产资本表!BJ35+资产资本表!BJ36-资产资本表!BJ24</f>
        <v>1975287679.5699999</v>
      </c>
      <c r="BK71" s="75">
        <f>资产资本表!BK35+资产资本表!BK36-资产资本表!BK24</f>
        <v>1576735487.9400001</v>
      </c>
      <c r="BL71" s="75">
        <f>资产资本表!BL35+资产资本表!BL36-资产资本表!BL24</f>
        <v>1621029147.7500002</v>
      </c>
      <c r="BM71" s="75">
        <f>资产资本表!BM35+资产资本表!BM36-资产资本表!BM24</f>
        <v>1091534887</v>
      </c>
      <c r="BN71" s="75">
        <f>资产资本表!BN35+资产资本表!BN36-资产资本表!BN24</f>
        <v>1010177241.3199999</v>
      </c>
      <c r="BO71" s="75">
        <f>资产资本表!BO35+资产资本表!BO36-资产资本表!BO24</f>
        <v>671611329.46999991</v>
      </c>
      <c r="BP71" s="75">
        <f>资产资本表!BP35+资产资本表!BP36-资产资本表!BP24</f>
        <v>647610876.07999992</v>
      </c>
      <c r="BQ71" s="75">
        <f>资产资本表!BQ35+资产资本表!BQ36-资产资本表!BQ24</f>
        <v>430117033</v>
      </c>
      <c r="BR71" s="75">
        <f>资产资本表!BR35+资产资本表!BR36-资产资本表!BR24</f>
        <v>500532246.25999999</v>
      </c>
      <c r="BS71" s="75">
        <f>资产资本表!BS35+资产资本表!BS36-资产资本表!BS24</f>
        <v>365952216</v>
      </c>
      <c r="BT71" s="75">
        <f>资产资本表!BT35+资产资本表!BT36-资产资本表!BT24</f>
        <v>498205059</v>
      </c>
      <c r="BU71" s="75">
        <f>资产资本表!BU35+资产资本表!BU36-资产资本表!BU24</f>
        <v>285842382</v>
      </c>
      <c r="BV71" s="75">
        <f>资产资本表!BV35+资产资本表!BV36-资产资本表!BV24</f>
        <v>59533254.119999997</v>
      </c>
      <c r="BW71" s="75">
        <f>资产资本表!BW35+资产资本表!BW36-资产资本表!BW24</f>
        <v>27312000</v>
      </c>
      <c r="BX71" s="75">
        <f>资产资本表!BX35+资产资本表!BX36-资产资本表!BX24</f>
        <v>18515318.190000001</v>
      </c>
      <c r="BY71" s="75">
        <f>资产资本表!BY35+资产资本表!BY36-资产资本表!BY24</f>
        <v>17347000</v>
      </c>
      <c r="BZ71" s="75">
        <f>资产资本表!BZ35+资产资本表!BZ36-资产资本表!BZ24</f>
        <v>0</v>
      </c>
      <c r="CA71" s="75">
        <f>资产资本表!CA35+资产资本表!CA36-资产资本表!CA24</f>
        <v>28891000</v>
      </c>
      <c r="CB71" s="75">
        <f>资产资本表!CB35+资产资本表!CB36-资产资本表!CB24</f>
        <v>18850000</v>
      </c>
      <c r="CC71" s="75">
        <f>资产资本表!CC35+资产资本表!CC36-资产资本表!CC24</f>
        <v>24204000</v>
      </c>
      <c r="CD71" s="75">
        <f>资产资本表!CD35+资产资本表!CD36-资产资本表!CD24</f>
        <v>0</v>
      </c>
      <c r="CE71" s="75">
        <f>资产资本表!CE35+资产资本表!CE36-资产资本表!CE24</f>
        <v>0</v>
      </c>
      <c r="CF71" s="75">
        <f>资产资本表!CF35+资产资本表!CF36-资产资本表!CF24</f>
        <v>0</v>
      </c>
      <c r="CG71" s="75">
        <f>资产资本表!CG35+资产资本表!CG36-资产资本表!CG24</f>
        <v>0</v>
      </c>
      <c r="CH71" s="75">
        <f>资产资本表!CH35+资产资本表!CH36-资产资本表!CH24</f>
        <v>0</v>
      </c>
      <c r="CI71" s="75">
        <f>资产资本表!CI35+资产资本表!CI36-资产资本表!CI24</f>
        <v>0</v>
      </c>
      <c r="CJ71" s="75">
        <f>资产资本表!CJ35+资产资本表!CJ36-资产资本表!CJ24</f>
        <v>0</v>
      </c>
      <c r="CK71" s="75">
        <f>资产资本表!CK35+资产资本表!CK36-资产资本表!CK24</f>
        <v>0</v>
      </c>
    </row>
    <row r="72" spans="1:89" s="153" customFormat="1" x14ac:dyDescent="0.25">
      <c r="A72" s="152" t="s">
        <v>479</v>
      </c>
      <c r="E72" s="153">
        <f>E67/(E71+I71)*2</f>
        <v>4.6964839832528753</v>
      </c>
      <c r="F72" s="153">
        <f t="shared" ref="F72:BQ72" si="36">F67/(F71+J71)*2</f>
        <v>3.7401112694433984</v>
      </c>
      <c r="G72" s="153">
        <f t="shared" si="36"/>
        <v>2.5074606736388327</v>
      </c>
      <c r="H72" s="153">
        <f t="shared" si="36"/>
        <v>1.1967269144008257</v>
      </c>
      <c r="I72" s="153">
        <f t="shared" si="36"/>
        <v>4.7682972318337464</v>
      </c>
      <c r="J72" s="153">
        <f t="shared" si="36"/>
        <v>3.3259294695782504</v>
      </c>
      <c r="K72" s="153">
        <f t="shared" si="36"/>
        <v>2.5659279383927123</v>
      </c>
      <c r="L72" s="153">
        <f t="shared" si="36"/>
        <v>1.259530087060273</v>
      </c>
      <c r="M72" s="153">
        <f t="shared" si="36"/>
        <v>4.6230557704965287</v>
      </c>
      <c r="N72" s="153">
        <f t="shared" si="36"/>
        <v>3.353307501147297</v>
      </c>
      <c r="O72" s="153">
        <f t="shared" si="36"/>
        <v>2.6094678623214174</v>
      </c>
      <c r="P72" s="153">
        <f t="shared" si="36"/>
        <v>1.361515549024356</v>
      </c>
      <c r="Q72" s="153">
        <f t="shared" si="36"/>
        <v>4.5751746734705616</v>
      </c>
      <c r="R72" s="153">
        <f t="shared" si="36"/>
        <v>3.4134939429267619</v>
      </c>
      <c r="S72" s="153">
        <f t="shared" si="36"/>
        <v>2.2451587528645542</v>
      </c>
      <c r="T72" s="153">
        <f t="shared" si="36"/>
        <v>1.2666854182170424</v>
      </c>
      <c r="U72" s="153">
        <f t="shared" si="36"/>
        <v>4.653507457922025</v>
      </c>
      <c r="V72" s="153">
        <f t="shared" si="36"/>
        <v>3.6225164433740922</v>
      </c>
      <c r="W72" s="153">
        <f t="shared" si="36"/>
        <v>2.5204767647068005</v>
      </c>
      <c r="X72" s="153">
        <f t="shared" si="36"/>
        <v>1.3528046241730831</v>
      </c>
      <c r="Y72" s="153">
        <f t="shared" si="36"/>
        <v>5.0762356181721078</v>
      </c>
      <c r="Z72" s="153">
        <f t="shared" si="36"/>
        <v>3.8562274387307331</v>
      </c>
      <c r="AA72" s="153">
        <f t="shared" si="36"/>
        <v>2.5011498667661676</v>
      </c>
      <c r="AB72" s="153">
        <f t="shared" si="36"/>
        <v>1.2944423486607533</v>
      </c>
      <c r="AC72" s="153">
        <f t="shared" si="36"/>
        <v>4.589354813874202</v>
      </c>
      <c r="AD72" s="153">
        <f t="shared" si="36"/>
        <v>3.0881888488682137</v>
      </c>
      <c r="AE72" s="153">
        <f t="shared" si="36"/>
        <v>1.8587058386212252</v>
      </c>
      <c r="AF72" s="153">
        <f t="shared" si="36"/>
        <v>0.99558228823652561</v>
      </c>
      <c r="AG72" s="153">
        <f t="shared" si="36"/>
        <v>3.8440060848713622</v>
      </c>
      <c r="AH72" s="153">
        <f t="shared" si="36"/>
        <v>2.8905576771930073</v>
      </c>
      <c r="AI72" s="153">
        <f t="shared" si="36"/>
        <v>2.1959170734836526</v>
      </c>
      <c r="AJ72" s="153">
        <f t="shared" si="36"/>
        <v>1.2360098148617618</v>
      </c>
      <c r="AK72" s="153">
        <f t="shared" si="36"/>
        <v>3.9599757274186116</v>
      </c>
      <c r="AL72" s="153">
        <f t="shared" si="36"/>
        <v>3.0129364833080383</v>
      </c>
      <c r="AM72" s="153">
        <f t="shared" si="36"/>
        <v>1.9373647512841483</v>
      </c>
      <c r="AN72" s="153">
        <f t="shared" si="36"/>
        <v>0.69857260902663898</v>
      </c>
      <c r="AO72" s="153">
        <f t="shared" si="36"/>
        <v>5.9924621842639727</v>
      </c>
      <c r="AP72" s="153">
        <f t="shared" si="36"/>
        <v>3.9385442940427029</v>
      </c>
      <c r="AQ72" s="153">
        <f t="shared" si="36"/>
        <v>2.7752676230951678</v>
      </c>
      <c r="AR72" s="153">
        <f t="shared" si="36"/>
        <v>1.4482509712682288</v>
      </c>
      <c r="AS72" s="153">
        <f t="shared" si="36"/>
        <v>5.5762147022565092</v>
      </c>
      <c r="AT72" s="153">
        <f t="shared" si="36"/>
        <v>3.8718678126745862</v>
      </c>
      <c r="AU72" s="153">
        <f t="shared" si="36"/>
        <v>2.3754600429984345</v>
      </c>
      <c r="AV72" s="153">
        <f t="shared" si="36"/>
        <v>1.1649649429981694</v>
      </c>
      <c r="AW72" s="153">
        <f t="shared" si="36"/>
        <v>4.927748723487932</v>
      </c>
      <c r="AX72" s="153">
        <f t="shared" si="36"/>
        <v>2.9757970032258845</v>
      </c>
      <c r="AY72" s="153">
        <f t="shared" si="36"/>
        <v>2.0698730953717819</v>
      </c>
      <c r="AZ72" s="153">
        <f t="shared" si="36"/>
        <v>1.1335784707006238</v>
      </c>
      <c r="BA72" s="153">
        <f t="shared" si="36"/>
        <v>5.4915025154967481</v>
      </c>
      <c r="BB72" s="153">
        <f t="shared" si="36"/>
        <v>3.3598252433357518</v>
      </c>
      <c r="BC72" s="153">
        <f t="shared" si="36"/>
        <v>2.0131150345266908</v>
      </c>
      <c r="BD72" s="153">
        <f t="shared" si="36"/>
        <v>0.96519972001432597</v>
      </c>
      <c r="BE72" s="153">
        <f t="shared" si="36"/>
        <v>4.999348681232398</v>
      </c>
      <c r="BF72" s="153">
        <f t="shared" si="36"/>
        <v>4.3160489856871473</v>
      </c>
      <c r="BG72" s="153">
        <f t="shared" si="36"/>
        <v>3.0968838504886054</v>
      </c>
      <c r="BH72" s="153">
        <f t="shared" si="36"/>
        <v>1.5643034805330243</v>
      </c>
      <c r="BI72" s="153">
        <f t="shared" si="36"/>
        <v>6.542065610977204</v>
      </c>
      <c r="BJ72" s="153">
        <f t="shared" si="36"/>
        <v>4.3255510571232101</v>
      </c>
      <c r="BK72" s="153">
        <f t="shared" si="36"/>
        <v>3.4945800786690744</v>
      </c>
      <c r="BL72" s="153">
        <f t="shared" si="36"/>
        <v>1.6538921018706148</v>
      </c>
      <c r="BM72" s="153">
        <f t="shared" si="36"/>
        <v>5.4440210150032211</v>
      </c>
      <c r="BN72" s="153">
        <f t="shared" si="36"/>
        <v>3.8615794105622667</v>
      </c>
      <c r="BO72" s="153">
        <f t="shared" si="36"/>
        <v>3.2787300763337797</v>
      </c>
      <c r="BP72" s="153">
        <f t="shared" si="36"/>
        <v>1.5252514467936598</v>
      </c>
      <c r="BQ72" s="153">
        <f t="shared" si="36"/>
        <v>6.5464852585254434</v>
      </c>
      <c r="BR72" s="153">
        <f t="shared" ref="BR72:CJ72" si="37">BR67/(BR71+BV71)*2</f>
        <v>3.9679369565741576</v>
      </c>
      <c r="BS72" s="153">
        <f t="shared" si="37"/>
        <v>10.032751929811992</v>
      </c>
      <c r="BT72" s="153">
        <f t="shared" si="37"/>
        <v>3.4017994094969826</v>
      </c>
      <c r="BU72" s="153">
        <f t="shared" si="37"/>
        <v>3.9398159332637843</v>
      </c>
      <c r="BV72" s="153">
        <f t="shared" si="37"/>
        <v>4.9769003441802795</v>
      </c>
      <c r="BW72" s="153">
        <f t="shared" si="37"/>
        <v>6.4077362418376245</v>
      </c>
      <c r="BX72" s="153">
        <f t="shared" si="37"/>
        <v>4.1068382551889622</v>
      </c>
      <c r="BY72" s="153">
        <f t="shared" si="37"/>
        <v>8.9227696084330095</v>
      </c>
      <c r="BZ72" s="153" t="e">
        <f t="shared" si="37"/>
        <v>#DIV/0!</v>
      </c>
      <c r="CA72" s="153">
        <f t="shared" si="37"/>
        <v>8.6525907722128004</v>
      </c>
      <c r="CB72" s="153">
        <f t="shared" si="37"/>
        <v>13.289336870026526</v>
      </c>
      <c r="CC72" s="153">
        <f t="shared" si="37"/>
        <v>7.9623202776400595</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2" customFormat="1" x14ac:dyDescent="0.25">
      <c r="A73" s="146" t="s">
        <v>480</v>
      </c>
      <c r="E73" s="82">
        <f>E62/E72</f>
        <v>77.717714209512536</v>
      </c>
      <c r="F73" s="82">
        <f t="shared" ref="F73:BQ73" si="38">F62/F72</f>
        <v>97.590679449041929</v>
      </c>
      <c r="G73" s="82">
        <f t="shared" si="38"/>
        <v>145.56559304689358</v>
      </c>
      <c r="H73" s="82">
        <f t="shared" si="38"/>
        <v>304.99857202822858</v>
      </c>
      <c r="I73" s="82">
        <f t="shared" si="38"/>
        <v>76.547241552647876</v>
      </c>
      <c r="J73" s="82">
        <f t="shared" si="38"/>
        <v>109.74375835043922</v>
      </c>
      <c r="K73" s="82">
        <f t="shared" si="38"/>
        <v>142.24873369929267</v>
      </c>
      <c r="L73" s="82">
        <f t="shared" si="38"/>
        <v>289.7906161590036</v>
      </c>
      <c r="M73" s="82">
        <f t="shared" si="38"/>
        <v>78.952108328296887</v>
      </c>
      <c r="N73" s="82">
        <f t="shared" si="38"/>
        <v>108.84775699070822</v>
      </c>
      <c r="O73" s="82">
        <f t="shared" si="38"/>
        <v>139.87526164636921</v>
      </c>
      <c r="P73" s="82">
        <f t="shared" si="38"/>
        <v>268.08360746342862</v>
      </c>
      <c r="Q73" s="82">
        <f t="shared" si="38"/>
        <v>79.778374827189765</v>
      </c>
      <c r="R73" s="82">
        <f t="shared" si="38"/>
        <v>106.9285623770715</v>
      </c>
      <c r="S73" s="82">
        <f t="shared" si="38"/>
        <v>162.57202281767542</v>
      </c>
      <c r="T73" s="82">
        <f t="shared" si="38"/>
        <v>288.15362895214008</v>
      </c>
      <c r="U73" s="82">
        <f t="shared" si="38"/>
        <v>78.435460413549421</v>
      </c>
      <c r="V73" s="82">
        <f t="shared" si="38"/>
        <v>100.75868687017771</v>
      </c>
      <c r="W73" s="82">
        <f t="shared" si="38"/>
        <v>144.81387216535572</v>
      </c>
      <c r="X73" s="82">
        <f t="shared" si="38"/>
        <v>269.80984059180781</v>
      </c>
      <c r="Y73" s="82">
        <f t="shared" si="38"/>
        <v>71.90367576582905</v>
      </c>
      <c r="Z73" s="82">
        <f t="shared" si="38"/>
        <v>94.652093477177985</v>
      </c>
      <c r="AA73" s="82">
        <f t="shared" si="38"/>
        <v>145.93287865309824</v>
      </c>
      <c r="AB73" s="82">
        <f t="shared" si="38"/>
        <v>281.97470546110742</v>
      </c>
      <c r="AC73" s="82">
        <f t="shared" si="38"/>
        <v>79.531876440792658</v>
      </c>
      <c r="AD73" s="82">
        <f t="shared" si="38"/>
        <v>118.19225373272376</v>
      </c>
      <c r="AE73" s="82">
        <f t="shared" si="38"/>
        <v>196.37319279674421</v>
      </c>
      <c r="AF73" s="82">
        <f t="shared" si="38"/>
        <v>366.6196198071425</v>
      </c>
      <c r="AG73" s="82">
        <f t="shared" si="38"/>
        <v>94.953023471141194</v>
      </c>
      <c r="AH73" s="82">
        <f t="shared" si="38"/>
        <v>126.27321117994366</v>
      </c>
      <c r="AI73" s="82">
        <f t="shared" si="38"/>
        <v>166.21757005648476</v>
      </c>
      <c r="AJ73" s="82">
        <f t="shared" si="38"/>
        <v>295.30509839909519</v>
      </c>
      <c r="AK73" s="82">
        <f t="shared" si="38"/>
        <v>92.172282136166643</v>
      </c>
      <c r="AL73" s="82">
        <f t="shared" si="38"/>
        <v>121.14427304463123</v>
      </c>
      <c r="AM73" s="82">
        <f t="shared" si="38"/>
        <v>188.40024820213443</v>
      </c>
      <c r="AN73" s="82">
        <f t="shared" si="38"/>
        <v>522.49400460830452</v>
      </c>
      <c r="AO73" s="82">
        <f t="shared" si="38"/>
        <v>60.909854543342654</v>
      </c>
      <c r="AP73" s="82">
        <f t="shared" si="38"/>
        <v>92.673833972639471</v>
      </c>
      <c r="AQ73" s="82">
        <f t="shared" si="38"/>
        <v>131.51884775455531</v>
      </c>
      <c r="AR73" s="82">
        <f t="shared" si="38"/>
        <v>252.02814100678327</v>
      </c>
      <c r="AS73" s="82">
        <f t="shared" si="38"/>
        <v>65.456590086514538</v>
      </c>
      <c r="AT73" s="82">
        <f t="shared" si="38"/>
        <v>94.269747227725588</v>
      </c>
      <c r="AU73" s="82">
        <f t="shared" si="38"/>
        <v>153.65444730414291</v>
      </c>
      <c r="AV73" s="82">
        <f t="shared" si="38"/>
        <v>313.31414923150487</v>
      </c>
      <c r="AW73" s="82">
        <f t="shared" si="38"/>
        <v>74.070335254766746</v>
      </c>
      <c r="AX73" s="82">
        <f t="shared" si="38"/>
        <v>122.65621600005821</v>
      </c>
      <c r="AY73" s="82">
        <f t="shared" si="38"/>
        <v>176.33931317631829</v>
      </c>
      <c r="AZ73" s="82">
        <f t="shared" si="38"/>
        <v>321.98917801818055</v>
      </c>
      <c r="BA73" s="82">
        <f t="shared" si="38"/>
        <v>66.466326651037321</v>
      </c>
      <c r="BB73" s="82">
        <f t="shared" si="38"/>
        <v>108.63660266973149</v>
      </c>
      <c r="BC73" s="82">
        <f t="shared" si="38"/>
        <v>181.31104966180743</v>
      </c>
      <c r="BD73" s="82">
        <f t="shared" si="38"/>
        <v>378.16007654310391</v>
      </c>
      <c r="BE73" s="82">
        <f t="shared" si="38"/>
        <v>73.009510492879485</v>
      </c>
      <c r="BF73" s="82">
        <f t="shared" si="38"/>
        <v>84.568085582534067</v>
      </c>
      <c r="BG73" s="82">
        <f t="shared" si="38"/>
        <v>117.86040988990038</v>
      </c>
      <c r="BH73" s="82">
        <f t="shared" si="38"/>
        <v>233.33068329914417</v>
      </c>
      <c r="BI73" s="82">
        <f t="shared" si="38"/>
        <v>55.792775814958404</v>
      </c>
      <c r="BJ73" s="82">
        <f t="shared" si="38"/>
        <v>84.382312260290405</v>
      </c>
      <c r="BK73" s="82">
        <f t="shared" si="38"/>
        <v>104.44745628465088</v>
      </c>
      <c r="BL73" s="82">
        <f t="shared" si="38"/>
        <v>220.6915430499796</v>
      </c>
      <c r="BM73" s="82">
        <f t="shared" si="38"/>
        <v>67.046030681015665</v>
      </c>
      <c r="BN73" s="82">
        <f t="shared" si="38"/>
        <v>94.520910019782306</v>
      </c>
      <c r="BO73" s="82">
        <f t="shared" si="38"/>
        <v>111.32358916478321</v>
      </c>
      <c r="BP73" s="82">
        <f t="shared" si="38"/>
        <v>239.30480496661229</v>
      </c>
      <c r="BQ73" s="82">
        <f t="shared" si="38"/>
        <v>55.755109128927309</v>
      </c>
      <c r="BR73" s="82">
        <f t="shared" ref="BR73:CJ73" si="39">BR62/BR72</f>
        <v>91.987348588102108</v>
      </c>
      <c r="BS73" s="82">
        <f t="shared" si="39"/>
        <v>36.380845709482216</v>
      </c>
      <c r="BT73" s="82">
        <f t="shared" si="39"/>
        <v>107.29615596410837</v>
      </c>
      <c r="BU73" s="82">
        <f t="shared" si="39"/>
        <v>92.643921996028439</v>
      </c>
      <c r="BV73" s="82">
        <f t="shared" si="39"/>
        <v>73.338820301437508</v>
      </c>
      <c r="BW73" s="82">
        <f t="shared" si="39"/>
        <v>56.962394553138552</v>
      </c>
      <c r="BX73" s="82">
        <f t="shared" si="39"/>
        <v>88.87615662458218</v>
      </c>
      <c r="BY73" s="82">
        <f t="shared" si="39"/>
        <v>40.90658125421443</v>
      </c>
      <c r="BZ73" s="82" t="e">
        <f t="shared" si="39"/>
        <v>#DIV/0!</v>
      </c>
      <c r="CA73" s="82">
        <f t="shared" si="39"/>
        <v>42.183897240601318</v>
      </c>
      <c r="CB73" s="82">
        <f t="shared" si="39"/>
        <v>27.465629291348641</v>
      </c>
      <c r="CC73" s="82">
        <f t="shared" si="39"/>
        <v>45.840909090909093</v>
      </c>
      <c r="CD73" s="82" t="e">
        <f t="shared" si="39"/>
        <v>#DIV/0!</v>
      </c>
      <c r="CE73" s="82" t="e">
        <f t="shared" si="39"/>
        <v>#DIV/0!</v>
      </c>
      <c r="CF73" s="82" t="e">
        <f t="shared" si="39"/>
        <v>#DIV/0!</v>
      </c>
      <c r="CG73" s="82" t="e">
        <f t="shared" si="39"/>
        <v>#DIV/0!</v>
      </c>
      <c r="CH73" s="82" t="e">
        <f t="shared" si="39"/>
        <v>#DIV/0!</v>
      </c>
      <c r="CI73" s="82" t="e">
        <f t="shared" si="39"/>
        <v>#DIV/0!</v>
      </c>
      <c r="CJ73" s="82" t="e">
        <f t="shared" si="39"/>
        <v>#DIV/0!</v>
      </c>
    </row>
    <row r="74" spans="1:89" s="254" customFormat="1" x14ac:dyDescent="0.25">
      <c r="A74" s="253" t="s">
        <v>481</v>
      </c>
      <c r="E74" s="254">
        <f>E66+E70</f>
        <v>106.98536234738211</v>
      </c>
      <c r="F74" s="254">
        <f t="shared" ref="F74:BQ74" si="40">F66+F70</f>
        <v>140.05926266617601</v>
      </c>
      <c r="G74" s="254">
        <f t="shared" si="40"/>
        <v>212.70076113048754</v>
      </c>
      <c r="H74" s="254">
        <f t="shared" si="40"/>
        <v>381.73582724295636</v>
      </c>
      <c r="I74" s="254">
        <f t="shared" si="40"/>
        <v>113.28207780847546</v>
      </c>
      <c r="J74" s="254">
        <f t="shared" si="40"/>
        <v>152.70442424548278</v>
      </c>
      <c r="K74" s="254">
        <f t="shared" si="40"/>
        <v>224.54044309069999</v>
      </c>
      <c r="L74" s="254">
        <f t="shared" si="40"/>
        <v>402.46374259380752</v>
      </c>
      <c r="M74" s="254">
        <f t="shared" si="40"/>
        <v>106.91733469337325</v>
      </c>
      <c r="N74" s="254">
        <f t="shared" si="40"/>
        <v>137.15182808165599</v>
      </c>
      <c r="O74" s="254">
        <f t="shared" si="40"/>
        <v>195.00477729552864</v>
      </c>
      <c r="P74" s="254">
        <f t="shared" si="40"/>
        <v>373.41941428478663</v>
      </c>
      <c r="Q74" s="254">
        <f t="shared" si="40"/>
        <v>105.17963205707414</v>
      </c>
      <c r="R74" s="254">
        <f t="shared" si="40"/>
        <v>150.88696359257165</v>
      </c>
      <c r="S74" s="254">
        <f t="shared" si="40"/>
        <v>219.15152204931161</v>
      </c>
      <c r="T74" s="254">
        <f t="shared" si="40"/>
        <v>422.69792383837967</v>
      </c>
      <c r="U74" s="254">
        <f t="shared" si="40"/>
        <v>97.38367011853282</v>
      </c>
      <c r="V74" s="254">
        <f t="shared" si="40"/>
        <v>136.07779976780168</v>
      </c>
      <c r="W74" s="254">
        <f t="shared" si="40"/>
        <v>184.61970066513794</v>
      </c>
      <c r="X74" s="254">
        <f t="shared" si="40"/>
        <v>352.67347049615023</v>
      </c>
      <c r="Y74" s="254">
        <f t="shared" si="40"/>
        <v>95.847962466247679</v>
      </c>
      <c r="Z74" s="254">
        <f t="shared" si="40"/>
        <v>133.60928212671476</v>
      </c>
      <c r="AA74" s="254">
        <f t="shared" si="40"/>
        <v>194.93718066384568</v>
      </c>
      <c r="AB74" s="254">
        <f t="shared" si="40"/>
        <v>385.82098899900325</v>
      </c>
      <c r="AC74" s="254">
        <f t="shared" si="40"/>
        <v>107.61628482192799</v>
      </c>
      <c r="AD74" s="254">
        <f t="shared" si="40"/>
        <v>137.36696134081825</v>
      </c>
      <c r="AE74" s="254">
        <f t="shared" si="40"/>
        <v>240.35503111692623</v>
      </c>
      <c r="AF74" s="254">
        <f t="shared" si="40"/>
        <v>492.04570344888668</v>
      </c>
      <c r="AG74" s="254">
        <f t="shared" si="40"/>
        <v>114.67006336135232</v>
      </c>
      <c r="AH74" s="254">
        <f t="shared" si="40"/>
        <v>132.96977644760804</v>
      </c>
      <c r="AI74" s="254">
        <f t="shared" si="40"/>
        <v>186.28965969730535</v>
      </c>
      <c r="AJ74" s="254">
        <f t="shared" si="40"/>
        <v>329.17293399216248</v>
      </c>
      <c r="AK74" s="254">
        <f t="shared" si="40"/>
        <v>95.822900097093992</v>
      </c>
      <c r="AL74" s="254">
        <f t="shared" si="40"/>
        <v>166.5997294846388</v>
      </c>
      <c r="AM74" s="254">
        <f t="shared" si="40"/>
        <v>301.77821472284779</v>
      </c>
      <c r="AN74" s="254">
        <f t="shared" si="40"/>
        <v>808.89736838480508</v>
      </c>
      <c r="AO74" s="254">
        <f t="shared" si="40"/>
        <v>81.683428384494178</v>
      </c>
      <c r="AP74" s="254">
        <f t="shared" si="40"/>
        <v>121.72786134497574</v>
      </c>
      <c r="AQ74" s="254">
        <f t="shared" si="40"/>
        <v>180.66244735944304</v>
      </c>
      <c r="AR74" s="254">
        <f t="shared" si="40"/>
        <v>319.33092681068797</v>
      </c>
      <c r="AS74" s="254">
        <f t="shared" si="40"/>
        <v>88.68859346994789</v>
      </c>
      <c r="AT74" s="254">
        <f t="shared" si="40"/>
        <v>118.30196858421385</v>
      </c>
      <c r="AU74" s="254">
        <f t="shared" si="40"/>
        <v>230.05409451614875</v>
      </c>
      <c r="AV74" s="254">
        <f t="shared" si="40"/>
        <v>501.23780524528922</v>
      </c>
      <c r="AW74" s="254">
        <f t="shared" si="40"/>
        <v>120.84435558279507</v>
      </c>
      <c r="AX74" s="254">
        <f t="shared" si="40"/>
        <v>189.80277063746405</v>
      </c>
      <c r="AY74" s="254">
        <f t="shared" si="40"/>
        <v>271.486500297752</v>
      </c>
      <c r="AZ74" s="254">
        <f t="shared" si="40"/>
        <v>487.92825671926465</v>
      </c>
      <c r="BA74" s="254">
        <f t="shared" si="40"/>
        <v>94.391873478050144</v>
      </c>
      <c r="BB74" s="254">
        <f t="shared" si="40"/>
        <v>200.18979387692039</v>
      </c>
      <c r="BC74" s="254">
        <f t="shared" si="40"/>
        <v>311.08907842168821</v>
      </c>
      <c r="BD74" s="254">
        <f t="shared" si="40"/>
        <v>570.90139134818435</v>
      </c>
      <c r="BE74" s="254">
        <f t="shared" si="40"/>
        <v>97.785568797507565</v>
      </c>
      <c r="BF74" s="254">
        <f t="shared" si="40"/>
        <v>151.26448477138246</v>
      </c>
      <c r="BG74" s="254">
        <f t="shared" si="40"/>
        <v>206.42247912396567</v>
      </c>
      <c r="BH74" s="254">
        <f t="shared" si="40"/>
        <v>326.68188230614282</v>
      </c>
      <c r="BI74" s="254">
        <f t="shared" si="40"/>
        <v>85.965076222412009</v>
      </c>
      <c r="BJ74" s="254">
        <f t="shared" si="40"/>
        <v>119.72994009449783</v>
      </c>
      <c r="BK74" s="254">
        <f t="shared" si="40"/>
        <v>172.3254424460014</v>
      </c>
      <c r="BL74" s="254">
        <f t="shared" si="40"/>
        <v>317.57504814146546</v>
      </c>
      <c r="BM74" s="254">
        <f t="shared" si="40"/>
        <v>100.66988415808396</v>
      </c>
      <c r="BN74" s="254">
        <f t="shared" si="40"/>
        <v>146.64731991958615</v>
      </c>
      <c r="BO74" s="254">
        <f t="shared" si="40"/>
        <v>229.51269519738668</v>
      </c>
      <c r="BP74" s="254">
        <f t="shared" si="40"/>
        <v>400.89155291072905</v>
      </c>
      <c r="BQ74" s="254">
        <f t="shared" si="40"/>
        <v>97.980690668602705</v>
      </c>
      <c r="BR74" s="254">
        <f t="shared" ref="BR74:CK74" si="41">BR66+BR70</f>
        <v>168.66501294378875</v>
      </c>
      <c r="BS74" s="254">
        <f t="shared" si="41"/>
        <v>95.09779035752382</v>
      </c>
      <c r="BT74" s="254">
        <f t="shared" si="41"/>
        <v>179.01870004285462</v>
      </c>
      <c r="BU74" s="254">
        <f t="shared" si="41"/>
        <v>184.76023632795108</v>
      </c>
      <c r="BV74" s="254">
        <f t="shared" si="41"/>
        <v>230.72178970399716</v>
      </c>
      <c r="BW74" s="254">
        <f t="shared" si="41"/>
        <v>295.97814248184341</v>
      </c>
      <c r="BX74" s="254">
        <f t="shared" si="41"/>
        <v>508.69135638387161</v>
      </c>
      <c r="BY74" s="254">
        <f t="shared" si="41"/>
        <v>188.06363012604012</v>
      </c>
      <c r="BZ74" s="254" t="e">
        <f t="shared" si="41"/>
        <v>#DIV/0!</v>
      </c>
      <c r="CA74" s="254">
        <f t="shared" si="41"/>
        <v>165.45638190759718</v>
      </c>
      <c r="CB74" s="254">
        <f t="shared" si="41"/>
        <v>115.6032170314981</v>
      </c>
      <c r="CC74" s="254">
        <f t="shared" si="41"/>
        <v>130.18677834940297</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x14ac:dyDescent="0.25">
      <c r="A75" s="253" t="s">
        <v>482</v>
      </c>
      <c r="E75" s="254">
        <f>E74-E73</f>
        <v>29.267648137869571</v>
      </c>
      <c r="F75" s="254">
        <f t="shared" ref="F75:BQ75" si="42">F74-F73</f>
        <v>42.468583217134082</v>
      </c>
      <c r="G75" s="254">
        <f t="shared" si="42"/>
        <v>67.135168083593953</v>
      </c>
      <c r="H75" s="254">
        <f t="shared" si="42"/>
        <v>76.737255214727782</v>
      </c>
      <c r="I75" s="254">
        <f t="shared" si="42"/>
        <v>36.734836255827588</v>
      </c>
      <c r="J75" s="254">
        <f t="shared" si="42"/>
        <v>42.960665895043562</v>
      </c>
      <c r="K75" s="254">
        <f t="shared" si="42"/>
        <v>82.291709391407323</v>
      </c>
      <c r="L75" s="254">
        <f t="shared" si="42"/>
        <v>112.67312643480392</v>
      </c>
      <c r="M75" s="254">
        <f t="shared" si="42"/>
        <v>27.965226365076362</v>
      </c>
      <c r="N75" s="254">
        <f t="shared" si="42"/>
        <v>28.304071090947772</v>
      </c>
      <c r="O75" s="254">
        <f t="shared" si="42"/>
        <v>55.12951564915943</v>
      </c>
      <c r="P75" s="254">
        <f t="shared" si="42"/>
        <v>105.33580682135801</v>
      </c>
      <c r="Q75" s="254">
        <f t="shared" si="42"/>
        <v>25.401257229884379</v>
      </c>
      <c r="R75" s="254">
        <f t="shared" si="42"/>
        <v>43.958401215500146</v>
      </c>
      <c r="S75" s="254">
        <f t="shared" si="42"/>
        <v>56.579499231636191</v>
      </c>
      <c r="T75" s="254">
        <f t="shared" si="42"/>
        <v>134.54429488623958</v>
      </c>
      <c r="U75" s="254">
        <f t="shared" si="42"/>
        <v>18.948209704983398</v>
      </c>
      <c r="V75" s="254">
        <f t="shared" si="42"/>
        <v>35.319112897623967</v>
      </c>
      <c r="W75" s="254">
        <f t="shared" si="42"/>
        <v>39.805828499782223</v>
      </c>
      <c r="X75" s="254">
        <f t="shared" si="42"/>
        <v>82.863629904342417</v>
      </c>
      <c r="Y75" s="254">
        <f t="shared" si="42"/>
        <v>23.94428670041863</v>
      </c>
      <c r="Z75" s="254">
        <f t="shared" si="42"/>
        <v>38.957188649536775</v>
      </c>
      <c r="AA75" s="254">
        <f t="shared" si="42"/>
        <v>49.004302010747438</v>
      </c>
      <c r="AB75" s="254">
        <f t="shared" si="42"/>
        <v>103.84628353789583</v>
      </c>
      <c r="AC75" s="254">
        <f t="shared" si="42"/>
        <v>28.084408381135333</v>
      </c>
      <c r="AD75" s="254">
        <f t="shared" si="42"/>
        <v>19.174707608094494</v>
      </c>
      <c r="AE75" s="254">
        <f t="shared" si="42"/>
        <v>43.981838320182021</v>
      </c>
      <c r="AF75" s="254">
        <f t="shared" si="42"/>
        <v>125.42608364174419</v>
      </c>
      <c r="AG75" s="254">
        <f t="shared" si="42"/>
        <v>19.717039890211126</v>
      </c>
      <c r="AH75" s="254">
        <f t="shared" si="42"/>
        <v>6.6965652676643828</v>
      </c>
      <c r="AI75" s="254">
        <f t="shared" si="42"/>
        <v>20.072089640820593</v>
      </c>
      <c r="AJ75" s="254">
        <f t="shared" si="42"/>
        <v>33.867835593067298</v>
      </c>
      <c r="AK75" s="254">
        <f t="shared" si="42"/>
        <v>3.6506179609273488</v>
      </c>
      <c r="AL75" s="254">
        <f t="shared" si="42"/>
        <v>45.455456440007566</v>
      </c>
      <c r="AM75" s="254">
        <f t="shared" si="42"/>
        <v>113.37796652071336</v>
      </c>
      <c r="AN75" s="254">
        <f t="shared" si="42"/>
        <v>286.40336377650056</v>
      </c>
      <c r="AO75" s="254">
        <f t="shared" si="42"/>
        <v>20.773573841151524</v>
      </c>
      <c r="AP75" s="254">
        <f t="shared" si="42"/>
        <v>29.054027372336265</v>
      </c>
      <c r="AQ75" s="254">
        <f t="shared" si="42"/>
        <v>49.143599604887726</v>
      </c>
      <c r="AR75" s="254">
        <f t="shared" si="42"/>
        <v>67.302785803904698</v>
      </c>
      <c r="AS75" s="254">
        <f t="shared" si="42"/>
        <v>23.232003383433351</v>
      </c>
      <c r="AT75" s="254">
        <f t="shared" si="42"/>
        <v>24.032221356488265</v>
      </c>
      <c r="AU75" s="254">
        <f t="shared" si="42"/>
        <v>76.399647212005846</v>
      </c>
      <c r="AV75" s="254">
        <f t="shared" si="42"/>
        <v>187.92365601378435</v>
      </c>
      <c r="AW75" s="254">
        <f t="shared" si="42"/>
        <v>46.774020328028328</v>
      </c>
      <c r="AX75" s="254">
        <f t="shared" si="42"/>
        <v>67.146554637405842</v>
      </c>
      <c r="AY75" s="254">
        <f t="shared" si="42"/>
        <v>95.147187121433717</v>
      </c>
      <c r="AZ75" s="254">
        <f t="shared" si="42"/>
        <v>165.9390787010841</v>
      </c>
      <c r="BA75" s="254">
        <f t="shared" si="42"/>
        <v>27.925546827012823</v>
      </c>
      <c r="BB75" s="254">
        <f t="shared" si="42"/>
        <v>91.553191207188902</v>
      </c>
      <c r="BC75" s="254">
        <f t="shared" si="42"/>
        <v>129.77802875988078</v>
      </c>
      <c r="BD75" s="254">
        <f t="shared" si="42"/>
        <v>192.74131480508044</v>
      </c>
      <c r="BE75" s="254">
        <f t="shared" si="42"/>
        <v>24.77605830462808</v>
      </c>
      <c r="BF75" s="254">
        <f t="shared" si="42"/>
        <v>66.696399188848389</v>
      </c>
      <c r="BG75" s="254">
        <f t="shared" si="42"/>
        <v>88.562069234065291</v>
      </c>
      <c r="BH75" s="254">
        <f t="shared" si="42"/>
        <v>93.351199006998655</v>
      </c>
      <c r="BI75" s="254">
        <f t="shared" si="42"/>
        <v>30.172300407453605</v>
      </c>
      <c r="BJ75" s="254">
        <f t="shared" si="42"/>
        <v>35.347627834207429</v>
      </c>
      <c r="BK75" s="254">
        <f t="shared" si="42"/>
        <v>67.87798616135052</v>
      </c>
      <c r="BL75" s="254">
        <f t="shared" si="42"/>
        <v>96.883505091485858</v>
      </c>
      <c r="BM75" s="254">
        <f t="shared" si="42"/>
        <v>33.623853477068295</v>
      </c>
      <c r="BN75" s="254">
        <f t="shared" si="42"/>
        <v>52.126409899803846</v>
      </c>
      <c r="BO75" s="254">
        <f t="shared" si="42"/>
        <v>118.18910603260346</v>
      </c>
      <c r="BP75" s="254">
        <f t="shared" si="42"/>
        <v>161.58674794411675</v>
      </c>
      <c r="BQ75" s="254">
        <f t="shared" si="42"/>
        <v>42.225581539675396</v>
      </c>
      <c r="BR75" s="254">
        <f t="shared" ref="BR75:CJ75" si="43">BR74-BR73</f>
        <v>76.677664355686645</v>
      </c>
      <c r="BS75" s="254">
        <f t="shared" si="43"/>
        <v>58.716944648041604</v>
      </c>
      <c r="BT75" s="254">
        <f t="shared" si="43"/>
        <v>71.722544078746253</v>
      </c>
      <c r="BU75" s="254">
        <f t="shared" si="43"/>
        <v>92.116314331922638</v>
      </c>
      <c r="BV75" s="254">
        <f t="shared" si="43"/>
        <v>157.38296940255964</v>
      </c>
      <c r="BW75" s="254">
        <f t="shared" si="43"/>
        <v>239.01574792870485</v>
      </c>
      <c r="BX75" s="254">
        <f t="shared" si="43"/>
        <v>419.81519975928944</v>
      </c>
      <c r="BY75" s="254">
        <f t="shared" si="43"/>
        <v>147.15704887182568</v>
      </c>
      <c r="BZ75" s="254" t="e">
        <f t="shared" si="43"/>
        <v>#DIV/0!</v>
      </c>
      <c r="CA75" s="254">
        <f t="shared" si="43"/>
        <v>123.27248466699587</v>
      </c>
      <c r="CB75" s="254">
        <f t="shared" si="43"/>
        <v>88.137587740149456</v>
      </c>
      <c r="CC75" s="254">
        <f t="shared" si="43"/>
        <v>84.345869258493877</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19" customFormat="1" x14ac:dyDescent="0.25">
      <c r="A76" s="147" t="s">
        <v>483</v>
      </c>
      <c r="E76" s="119">
        <f>E71-E64-E68</f>
        <v>-8360965456</v>
      </c>
      <c r="F76" s="119">
        <f t="shared" ref="F76:BQ76" si="44">F71-F64-F68</f>
        <v>-11104268529</v>
      </c>
      <c r="G76" s="119">
        <f t="shared" si="44"/>
        <v>-12328335162</v>
      </c>
      <c r="H76" s="119">
        <f t="shared" si="44"/>
        <v>-9627765698</v>
      </c>
      <c r="I76" s="119">
        <f t="shared" si="44"/>
        <v>-11078457432</v>
      </c>
      <c r="J76" s="119">
        <f t="shared" si="44"/>
        <v>-8662416324</v>
      </c>
      <c r="K76" s="119">
        <f t="shared" si="44"/>
        <v>-7438634189</v>
      </c>
      <c r="L76" s="119">
        <f t="shared" si="44"/>
        <v>-3740451120</v>
      </c>
      <c r="M76" s="119">
        <f t="shared" si="44"/>
        <v>-4810670214</v>
      </c>
      <c r="N76" s="119">
        <f t="shared" si="44"/>
        <v>-3663181106</v>
      </c>
      <c r="O76" s="119">
        <f t="shared" si="44"/>
        <v>-5080575528</v>
      </c>
      <c r="P76" s="119">
        <f t="shared" si="44"/>
        <v>-4314111785</v>
      </c>
      <c r="Q76" s="119">
        <f t="shared" si="44"/>
        <v>-4166284348</v>
      </c>
      <c r="R76" s="119">
        <f t="shared" si="44"/>
        <v>-3942909649</v>
      </c>
      <c r="S76" s="119">
        <f t="shared" si="44"/>
        <v>-3143213613</v>
      </c>
      <c r="T76" s="119">
        <f t="shared" si="44"/>
        <v>-3680093089</v>
      </c>
      <c r="U76" s="119">
        <f t="shared" si="44"/>
        <v>-2497114605</v>
      </c>
      <c r="V76" s="119">
        <f t="shared" si="44"/>
        <v>-3487183303</v>
      </c>
      <c r="W76" s="119">
        <f t="shared" si="44"/>
        <v>-3164785984</v>
      </c>
      <c r="X76" s="119">
        <f t="shared" si="44"/>
        <v>-3167654318</v>
      </c>
      <c r="Y76" s="119">
        <f t="shared" si="44"/>
        <v>-2692255892</v>
      </c>
      <c r="Z76" s="119">
        <f t="shared" si="44"/>
        <v>-2818257340</v>
      </c>
      <c r="AA76" s="119">
        <f t="shared" si="44"/>
        <v>-1722766068</v>
      </c>
      <c r="AB76" s="119">
        <f t="shared" si="44"/>
        <v>-1587882258</v>
      </c>
      <c r="AC76" s="119">
        <f t="shared" si="44"/>
        <v>-1237655354</v>
      </c>
      <c r="AD76" s="119">
        <f t="shared" si="44"/>
        <v>-1036401925</v>
      </c>
      <c r="AE76" s="119">
        <f t="shared" si="44"/>
        <v>-889172387</v>
      </c>
      <c r="AF76" s="119">
        <f t="shared" si="44"/>
        <v>-746988032</v>
      </c>
      <c r="AG76" s="119">
        <f t="shared" si="44"/>
        <v>-596001258</v>
      </c>
      <c r="AH76" s="119">
        <f t="shared" si="44"/>
        <v>406081050</v>
      </c>
      <c r="AI76" s="119">
        <f t="shared" si="44"/>
        <v>-101178642</v>
      </c>
      <c r="AJ76" s="119">
        <f t="shared" si="44"/>
        <v>-355787488</v>
      </c>
      <c r="AK76" s="119">
        <f t="shared" si="44"/>
        <v>-200278588</v>
      </c>
      <c r="AL76" s="119">
        <f t="shared" si="44"/>
        <v>-613897164</v>
      </c>
      <c r="AM76" s="119">
        <f t="shared" si="44"/>
        <v>-392303674</v>
      </c>
      <c r="AN76" s="119">
        <f t="shared" si="44"/>
        <v>-8306861</v>
      </c>
      <c r="AO76" s="119">
        <f t="shared" si="44"/>
        <v>83659613</v>
      </c>
      <c r="AP76" s="119">
        <f t="shared" si="44"/>
        <v>-432261146</v>
      </c>
      <c r="AQ76" s="119">
        <f t="shared" si="44"/>
        <v>-903133083</v>
      </c>
      <c r="AR76" s="119">
        <f t="shared" si="44"/>
        <v>-930663956</v>
      </c>
      <c r="AS76" s="119">
        <f t="shared" si="44"/>
        <v>-1142711300</v>
      </c>
      <c r="AT76" s="119">
        <f t="shared" si="44"/>
        <v>-919458924</v>
      </c>
      <c r="AU76" s="119">
        <f t="shared" si="44"/>
        <v>-890481625</v>
      </c>
      <c r="AV76" s="119">
        <f t="shared" si="44"/>
        <v>-519614250</v>
      </c>
      <c r="AW76" s="119">
        <f t="shared" si="44"/>
        <v>-539597458</v>
      </c>
      <c r="AX76" s="119">
        <f t="shared" si="44"/>
        <v>-329229497</v>
      </c>
      <c r="AY76" s="119">
        <f t="shared" si="44"/>
        <v>-1102479651</v>
      </c>
      <c r="AZ76" s="119">
        <f t="shared" si="44"/>
        <v>-1660821215</v>
      </c>
      <c r="BA76" s="119">
        <f t="shared" si="44"/>
        <v>-1609904532</v>
      </c>
      <c r="BB76" s="119">
        <f t="shared" si="44"/>
        <v>-1729296026</v>
      </c>
      <c r="BC76" s="119">
        <f t="shared" si="44"/>
        <v>-884619322</v>
      </c>
      <c r="BD76" s="119">
        <f t="shared" si="44"/>
        <v>-453791473</v>
      </c>
      <c r="BE76" s="119">
        <f t="shared" si="44"/>
        <v>-478341958</v>
      </c>
      <c r="BF76" s="119">
        <f t="shared" si="44"/>
        <v>-2519178193.9099998</v>
      </c>
      <c r="BG76" s="119">
        <f t="shared" si="44"/>
        <v>-2092701780.3599999</v>
      </c>
      <c r="BH76" s="119">
        <f t="shared" si="44"/>
        <v>-1520040097.4199998</v>
      </c>
      <c r="BI76" s="119">
        <f t="shared" si="44"/>
        <v>-1451636634</v>
      </c>
      <c r="BJ76" s="119">
        <f t="shared" si="44"/>
        <v>-1051836537.1</v>
      </c>
      <c r="BK76" s="119">
        <f t="shared" si="44"/>
        <v>-1101841513.4199998</v>
      </c>
      <c r="BL76" s="119">
        <f t="shared" si="44"/>
        <v>-682468324.13999987</v>
      </c>
      <c r="BM76" s="119">
        <f t="shared" si="44"/>
        <v>-594071868</v>
      </c>
      <c r="BN76" s="119">
        <f t="shared" si="44"/>
        <v>-683505611.80000007</v>
      </c>
      <c r="BO76" s="119">
        <f t="shared" si="44"/>
        <v>-805788309.47000003</v>
      </c>
      <c r="BP76" s="119">
        <f t="shared" si="44"/>
        <v>-723824124.1400001</v>
      </c>
      <c r="BQ76" s="119">
        <f t="shared" si="44"/>
        <v>-395207104</v>
      </c>
      <c r="BR76" s="119">
        <f t="shared" ref="BR76:CJ76" si="45">BR71-BR64-BR68</f>
        <v>-395746068.19000006</v>
      </c>
      <c r="BS76" s="119">
        <f t="shared" si="45"/>
        <v>-543626439</v>
      </c>
      <c r="BT76" s="119">
        <f t="shared" si="45"/>
        <v>-285593301</v>
      </c>
      <c r="BU76" s="119">
        <f t="shared" si="45"/>
        <v>-261263984</v>
      </c>
      <c r="BV76" s="119">
        <f t="shared" si="45"/>
        <v>-154447980.24000001</v>
      </c>
      <c r="BW76" s="119">
        <f t="shared" si="45"/>
        <v>-171662000</v>
      </c>
      <c r="BX76" s="119">
        <f t="shared" si="45"/>
        <v>-130690248.73</v>
      </c>
      <c r="BY76" s="119">
        <f t="shared" si="45"/>
        <v>-122675000</v>
      </c>
      <c r="BZ76" s="119">
        <f t="shared" si="45"/>
        <v>0</v>
      </c>
      <c r="CA76" s="119">
        <f t="shared" si="45"/>
        <v>-99076000</v>
      </c>
      <c r="CB76" s="119">
        <f t="shared" si="45"/>
        <v>-67955000</v>
      </c>
      <c r="CC76" s="119">
        <f t="shared" si="45"/>
        <v>-52587000</v>
      </c>
      <c r="CD76" s="119">
        <f t="shared" si="45"/>
        <v>0</v>
      </c>
      <c r="CE76" s="119">
        <f t="shared" si="45"/>
        <v>0</v>
      </c>
      <c r="CF76" s="119">
        <f t="shared" si="45"/>
        <v>0</v>
      </c>
      <c r="CG76" s="119">
        <f t="shared" si="45"/>
        <v>0</v>
      </c>
      <c r="CH76" s="119">
        <f t="shared" si="45"/>
        <v>0</v>
      </c>
      <c r="CI76" s="119">
        <f t="shared" si="45"/>
        <v>0</v>
      </c>
      <c r="CJ76" s="119">
        <f t="shared" si="45"/>
        <v>0</v>
      </c>
    </row>
    <row r="77" spans="1:89" s="16" customFormat="1" ht="262.2" customHeight="1" x14ac:dyDescent="0.25">
      <c r="A77" s="277" t="s">
        <v>688</v>
      </c>
      <c r="B77" s="276"/>
      <c r="C77" s="276"/>
      <c r="D77" s="276"/>
      <c r="E77" s="276"/>
      <c r="F77" s="276"/>
      <c r="G77" s="276"/>
      <c r="H77" s="276"/>
      <c r="I77" s="276"/>
      <c r="J77" s="276"/>
      <c r="K77" s="276"/>
      <c r="L77" s="276"/>
      <c r="M77" s="276"/>
      <c r="N77" s="276"/>
      <c r="O77" s="276"/>
      <c r="P77" s="276"/>
      <c r="Q77" s="276"/>
      <c r="R77" s="276"/>
      <c r="S77" s="276"/>
      <c r="T77" s="276"/>
      <c r="U77" s="276"/>
      <c r="V77" s="276"/>
      <c r="W77" s="276"/>
      <c r="X77" s="276"/>
      <c r="Y77" s="276"/>
      <c r="Z77" s="276"/>
      <c r="AA77" s="276"/>
      <c r="AB77" s="276"/>
      <c r="AC77" s="276"/>
      <c r="AD77" s="276"/>
      <c r="AE77" s="276"/>
      <c r="AF77" s="276"/>
      <c r="AG77" s="276"/>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x14ac:dyDescent="0.25">
      <c r="A80" s="247" t="s">
        <v>576</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35064</v>
      </c>
      <c r="CC80" s="1">
        <v>34699</v>
      </c>
      <c r="CD80" s="1">
        <v>25569</v>
      </c>
      <c r="CE80" s="1"/>
      <c r="CF80" s="1"/>
      <c r="CG80" s="1"/>
      <c r="CH80" s="1"/>
      <c r="CI80" s="1"/>
      <c r="CJ80" s="1"/>
      <c r="CK80" s="1"/>
    </row>
    <row r="81" spans="1:89" s="75" customFormat="1" x14ac:dyDescent="0.25">
      <c r="A81" s="69" t="s">
        <v>577</v>
      </c>
      <c r="E81" s="75">
        <f>股权价值增加表!E4</f>
        <v>93800479215</v>
      </c>
      <c r="F81" s="75">
        <f>股权价值增加表!F4</f>
        <v>69408356144</v>
      </c>
      <c r="G81" s="75">
        <f>股权价值增加表!G4</f>
        <v>44605027995</v>
      </c>
      <c r="H81" s="75">
        <f>股权价值增加表!H4</f>
        <v>21854974362</v>
      </c>
      <c r="I81" s="75">
        <f>股权价值增加表!I4</f>
        <v>68895658963</v>
      </c>
      <c r="J81" s="75">
        <f>股权价值增加表!J4</f>
        <v>45841905735</v>
      </c>
      <c r="K81" s="75">
        <f>股权价值增加表!K4</f>
        <v>26448310717</v>
      </c>
      <c r="L81" s="75">
        <f>股权价值增加表!L4</f>
        <v>12297738830</v>
      </c>
      <c r="M81" s="75">
        <f>股权价值增加表!M4</f>
        <v>48623732312</v>
      </c>
      <c r="N81" s="75">
        <f>股权价值增加表!N4</f>
        <v>36420446042</v>
      </c>
      <c r="O81" s="75">
        <f>股权价值增加表!O4</f>
        <v>22970848112</v>
      </c>
      <c r="P81" s="75">
        <f>股权价值增加表!P4</f>
        <v>11582854379</v>
      </c>
      <c r="Q81" s="75">
        <f>股权价值增加表!Q4</f>
        <v>36816316676</v>
      </c>
      <c r="R81" s="75">
        <f>股权价值增加表!R4</f>
        <v>25288069384</v>
      </c>
      <c r="S81" s="75">
        <f>股权价值增加表!S4</f>
        <v>16113171584</v>
      </c>
      <c r="T81" s="75">
        <f>股权价值增加表!T4</f>
        <v>8091679315</v>
      </c>
      <c r="U81" s="75">
        <f>股权价值增加表!U4</f>
        <v>33774285620</v>
      </c>
      <c r="V81" s="75">
        <f>股权价值增加表!V4</f>
        <v>24773771714</v>
      </c>
      <c r="W81" s="75">
        <f>股权价值增加表!W4</f>
        <v>16254326067</v>
      </c>
      <c r="X81" s="75">
        <f>股权价值增加表!X4</f>
        <v>8058663697</v>
      </c>
      <c r="Y81" s="75">
        <f>股权价值增加表!Y4</f>
        <v>25771583386</v>
      </c>
      <c r="Z81" s="75">
        <f>股权价值增加表!Z4</f>
        <v>17122908001</v>
      </c>
      <c r="AA81" s="75">
        <f>股权价值增加表!AA4</f>
        <v>9608882013</v>
      </c>
      <c r="AB81" s="75">
        <f>股权价值增加表!AB4</f>
        <v>4147641280</v>
      </c>
      <c r="AC81" s="75">
        <f>股权价值增加表!AC4</f>
        <v>12741413562</v>
      </c>
      <c r="AD81" s="75">
        <f>股权价值增加表!AD4</f>
        <v>8514636554</v>
      </c>
      <c r="AE81" s="75">
        <f>股权价值增加表!AE4</f>
        <v>4940033997</v>
      </c>
      <c r="AF81" s="75">
        <f>股权价值增加表!AF4</f>
        <v>1969646222</v>
      </c>
      <c r="AG81" s="75">
        <f>股权价值增加表!AG4</f>
        <v>8025290848</v>
      </c>
      <c r="AH81" s="75">
        <f>股权价值增加表!AH4</f>
        <v>6202063899</v>
      </c>
      <c r="AI81" s="75">
        <f>股权价值增加表!AI4</f>
        <v>4186429883</v>
      </c>
      <c r="AJ81" s="75">
        <f>股权价值增加表!AJ4</f>
        <v>1893639353</v>
      </c>
      <c r="AK81" s="75">
        <f>股权价值增加表!AK4</f>
        <v>6249194126</v>
      </c>
      <c r="AL81" s="75">
        <f>股权价值增加表!AL4</f>
        <v>4344512321</v>
      </c>
      <c r="AM81" s="75">
        <f>股权价值增加表!AM4</f>
        <v>2298113686</v>
      </c>
      <c r="AN81" s="75">
        <f>股权价值增加表!AN4</f>
        <v>720895076</v>
      </c>
      <c r="AO81" s="75">
        <f>股权价值增加表!AO4</f>
        <v>8334015771</v>
      </c>
      <c r="AP81" s="75">
        <f>股权价值增加表!AP4</f>
        <v>7271976208</v>
      </c>
      <c r="AQ81" s="75">
        <f>股权价值增加表!AQ4</f>
        <v>5505901872</v>
      </c>
      <c r="AR81" s="75">
        <f>股权价值增加表!AR4</f>
        <v>2936720597</v>
      </c>
      <c r="AS81" s="75">
        <f>股权价值增加表!AS4</f>
        <v>11170448855</v>
      </c>
      <c r="AT81" s="75">
        <f>股权价值增加表!AT4</f>
        <v>7926095410</v>
      </c>
      <c r="AU81" s="75">
        <f>股权价值增加表!AU4</f>
        <v>4689192282</v>
      </c>
      <c r="AV81" s="75">
        <f>股权价值增加表!AV4</f>
        <v>2152839364</v>
      </c>
      <c r="AW81" s="75">
        <f>股权价值增加表!AW4</f>
        <v>8781394325</v>
      </c>
      <c r="AX81" s="75">
        <f>股权价值增加表!AX4</f>
        <v>6660072468</v>
      </c>
      <c r="AY81" s="75">
        <f>股权价值增加表!AY4</f>
        <v>4291008928</v>
      </c>
      <c r="AZ81" s="75">
        <f>股权价值增加表!AZ4</f>
        <v>2404770586</v>
      </c>
      <c r="BA81" s="75">
        <f>股权价值增加表!BA4</f>
        <v>13461793093</v>
      </c>
      <c r="BB81" s="75">
        <f>股权价值增加表!BB4</f>
        <v>8547810470</v>
      </c>
      <c r="BC81" s="75">
        <f>股权价值增加表!BC4</f>
        <v>4321710751</v>
      </c>
      <c r="BD81" s="75">
        <f>股权价值增加表!BD4</f>
        <v>2081864602</v>
      </c>
      <c r="BE81" s="75">
        <f>股权价值增加表!BE4</f>
        <v>12441707566</v>
      </c>
      <c r="BF81" s="75">
        <f>股权价值增加表!BF4</f>
        <v>9310845738</v>
      </c>
      <c r="BG81" s="75">
        <f>股权价值增加表!BG4</f>
        <v>6234212244.3900003</v>
      </c>
      <c r="BH81" s="75">
        <f>股权价值增加表!BH4</f>
        <v>3694043772.3099999</v>
      </c>
      <c r="BI81" s="75">
        <f>股权价值增加表!BI4</f>
        <v>11180106328</v>
      </c>
      <c r="BJ81" s="75">
        <f>股权价值增加表!BJ4</f>
        <v>7650456631.9200001</v>
      </c>
      <c r="BK81" s="75">
        <f>股权价值增加表!BK4</f>
        <v>4697949372.4700003</v>
      </c>
      <c r="BL81" s="75">
        <f>股权价值增加表!BL4</f>
        <v>2253527850.46</v>
      </c>
      <c r="BM81" s="75">
        <f>股权价值增加表!BM4</f>
        <v>4782587489</v>
      </c>
      <c r="BN81" s="75">
        <f>股权价值增加表!BN4</f>
        <v>3419585621.9699998</v>
      </c>
      <c r="BO81" s="75">
        <f>股权价值增加表!BO4</f>
        <v>2012328199.5899999</v>
      </c>
      <c r="BP81" s="75">
        <f>股权价值增加表!BP4</f>
        <v>1039368764.79</v>
      </c>
      <c r="BQ81" s="75">
        <f>股权价值增加表!BQ4</f>
        <v>2669543128</v>
      </c>
      <c r="BR81" s="75">
        <f>股权价值增加表!BR4</f>
        <v>1276281504.5799999</v>
      </c>
      <c r="BS81" s="75">
        <f>股权价值增加表!BS4</f>
        <v>2234822478</v>
      </c>
      <c r="BT81" s="75">
        <f>股权价值增加表!BT4</f>
        <v>993215204</v>
      </c>
      <c r="BU81" s="75">
        <f>股权价值增加表!BU4</f>
        <v>741886971</v>
      </c>
      <c r="BV81" s="75">
        <f>股权价值增加表!BV4</f>
        <v>200737099.93000001</v>
      </c>
      <c r="BW81" s="75">
        <f>股权价值增加表!BW4</f>
        <v>237497000</v>
      </c>
      <c r="BX81" s="75">
        <f>股权价值增加表!BX4</f>
        <v>105801107.16</v>
      </c>
      <c r="BY81" s="75">
        <f>股权价值增加表!BY4</f>
        <v>275100000</v>
      </c>
      <c r="BZ81" s="75">
        <f>股权价值增加表!BZ4</f>
        <v>111102000</v>
      </c>
      <c r="CA81" s="75">
        <f>股权价值增加表!CA4</f>
        <v>191165000</v>
      </c>
      <c r="CB81" s="75">
        <f>股权价值增加表!CB4</f>
        <v>183819000</v>
      </c>
      <c r="CC81" s="75">
        <f>股权价值增加表!CC4</f>
        <v>134792000</v>
      </c>
      <c r="CD81" s="75">
        <f>股权价值增加表!CD4</f>
        <v>0</v>
      </c>
      <c r="CE81" s="75">
        <f>股权价值增加表!CE4</f>
        <v>0</v>
      </c>
      <c r="CF81" s="75">
        <f>股权价值增加表!CF4</f>
        <v>0</v>
      </c>
      <c r="CG81" s="75">
        <f>股权价值增加表!CG4</f>
        <v>0</v>
      </c>
      <c r="CH81" s="75">
        <f>股权价值增加表!CH4</f>
        <v>0</v>
      </c>
      <c r="CI81" s="75">
        <f>股权价值增加表!CI4</f>
        <v>0</v>
      </c>
      <c r="CJ81" s="75">
        <f>股权价值增加表!CJ4</f>
        <v>0</v>
      </c>
      <c r="CK81" s="75">
        <f>股权价值增加表!CK4</f>
        <v>0</v>
      </c>
    </row>
    <row r="82" spans="1:89" s="75" customFormat="1" x14ac:dyDescent="0.25">
      <c r="A82" s="69" t="s">
        <v>578</v>
      </c>
      <c r="E82" s="75">
        <f>投资和筹资活动现金流表!E34</f>
        <v>155270580456</v>
      </c>
      <c r="F82" s="75">
        <f>投资和筹资活动现金流表!F34</f>
        <v>141894059931</v>
      </c>
      <c r="G82" s="75">
        <f>投资和筹资活动现金流表!G34</f>
        <v>133971710859</v>
      </c>
      <c r="H82" s="75">
        <f>投资和筹资活动现金流表!H34</f>
        <v>124292940838</v>
      </c>
      <c r="I82" s="75">
        <f>投资和筹资活动现金流表!I34</f>
        <v>113272716373</v>
      </c>
      <c r="J82" s="75">
        <f>投资和筹资活动现金流表!J34</f>
        <v>99365789449</v>
      </c>
      <c r="K82" s="75">
        <f>投资和筹资活动现金流表!K34</f>
        <v>91096748246</v>
      </c>
      <c r="L82" s="75">
        <f>投资和筹资活动现金流表!L34</f>
        <v>89856421225</v>
      </c>
      <c r="M82" s="75">
        <f>投资和筹资活动现金流表!M34</f>
        <v>88183685845</v>
      </c>
      <c r="N82" s="75">
        <f>投资和筹资活动现金流表!N34</f>
        <v>86293405825</v>
      </c>
      <c r="O82" s="75">
        <f>投资和筹资活动现金流表!O34</f>
        <v>82090040774</v>
      </c>
      <c r="P82" s="75">
        <f>投资和筹资活动现金流表!P34</f>
        <v>79513526764</v>
      </c>
      <c r="Q82" s="75">
        <f>投资和筹资活动现金流表!Q34</f>
        <v>77179516789</v>
      </c>
      <c r="R82" s="75">
        <f>投资和筹资活动现金流表!R34</f>
        <v>71698941300</v>
      </c>
      <c r="S82" s="75">
        <f>投资和筹资活动现金流表!S34</f>
        <v>70146470356</v>
      </c>
      <c r="T82" s="75">
        <f>投资和筹资活动现金流表!T34</f>
        <v>63508040775</v>
      </c>
      <c r="U82" s="75">
        <f>投资和筹资活动现金流表!U34</f>
        <v>60586342465</v>
      </c>
      <c r="V82" s="75">
        <f>投资和筹资活动现金流表!V34</f>
        <v>55854867957</v>
      </c>
      <c r="W82" s="75">
        <f>投资和筹资活动现金流表!W34</f>
        <v>48832766333</v>
      </c>
      <c r="X82" s="75">
        <f>投资和筹资活动现金流表!X34</f>
        <v>40778094297</v>
      </c>
      <c r="Y82" s="75">
        <f>投资和筹资活动现金流表!AZ34</f>
        <v>14395067906</v>
      </c>
      <c r="Z82" s="75">
        <f>投资和筹资活动现金流表!BA34</f>
        <v>14607732167</v>
      </c>
      <c r="AA82" s="75">
        <f>投资和筹资活动现金流表!BB34</f>
        <v>14643176446</v>
      </c>
      <c r="AB82" s="75">
        <f>投资和筹资活动现金流表!BC34</f>
        <v>14905621582</v>
      </c>
      <c r="AC82" s="75">
        <f>投资和筹资活动现金流表!BD34</f>
        <v>13376945399</v>
      </c>
      <c r="AD82" s="75">
        <f>投资和筹资活动现金流表!BE34</f>
        <v>12576086418</v>
      </c>
      <c r="AE82" s="75">
        <f>投资和筹资活动现金流表!BF34</f>
        <v>8384459595.5600004</v>
      </c>
      <c r="AF82" s="75">
        <f>投资和筹资活动现金流表!BG34</f>
        <v>6735689343.8299999</v>
      </c>
      <c r="AG82" s="75">
        <f>投资和筹资活动现金流表!BH34</f>
        <v>6653641717.5200005</v>
      </c>
      <c r="AH82" s="75">
        <f>投资和筹资活动现金流表!BI34</f>
        <v>6418171245</v>
      </c>
      <c r="AI82" s="75">
        <f>投资和筹资活动现金流表!BJ34</f>
        <v>5442187708.7399998</v>
      </c>
      <c r="AJ82" s="75">
        <f>投资和筹资活动现金流表!BK34</f>
        <v>5370836546.21</v>
      </c>
      <c r="AK82" s="75">
        <f>投资和筹资活动现金流表!BL34</f>
        <v>5328764572.8900003</v>
      </c>
      <c r="AL82" s="75">
        <f>投资和筹资活动现金流表!BM34</f>
        <v>2398206104</v>
      </c>
      <c r="AM82" s="75">
        <f>投资和筹资活动现金流表!BN34</f>
        <v>2235497541.7199998</v>
      </c>
      <c r="AN82" s="75">
        <f>投资和筹资活动现金流表!BO34</f>
        <v>2150428180.9899998</v>
      </c>
      <c r="AO82" s="75">
        <f>投资和筹资活动现金流表!BP34</f>
        <v>2057084094.0699999</v>
      </c>
      <c r="AP82" s="75">
        <f>投资和筹资活动现金流表!BQ34</f>
        <v>8499445696</v>
      </c>
      <c r="AQ82" s="75">
        <f>投资和筹资活动现金流表!BR34</f>
        <v>8698074350</v>
      </c>
      <c r="AR82" s="75">
        <f>投资和筹资活动现金流表!BS34</f>
        <v>8403371922</v>
      </c>
      <c r="AS82" s="75">
        <f>投资和筹资活动现金流表!AS34</f>
        <v>8540278559</v>
      </c>
      <c r="AT82" s="75">
        <f>投资和筹资活动现金流表!AT34</f>
        <v>10053956715</v>
      </c>
      <c r="AU82" s="75">
        <f>投资和筹资活动现金流表!AU34</f>
        <v>10262195864</v>
      </c>
      <c r="AV82" s="75">
        <f>投资和筹资活动现金流表!AV34</f>
        <v>10569353455</v>
      </c>
      <c r="AW82" s="75">
        <f>投资和筹资活动现金流表!AW34</f>
        <v>11725754090</v>
      </c>
      <c r="AX82" s="75">
        <f>投资和筹资活动现金流表!AX34</f>
        <v>11785581265</v>
      </c>
      <c r="AY82" s="75">
        <f>投资和筹资活动现金流表!AY34</f>
        <v>14055686914</v>
      </c>
      <c r="AZ82" s="75" t="e">
        <f>投资和筹资活动现金流表!#REF!</f>
        <v>#REF!</v>
      </c>
      <c r="BA82" s="75" t="e">
        <f>投资和筹资活动现金流表!#REF!</f>
        <v>#REF!</v>
      </c>
      <c r="BB82" s="75" t="e">
        <f>投资和筹资活动现金流表!#REF!</f>
        <v>#REF!</v>
      </c>
      <c r="BC82" s="75" t="e">
        <f>投资和筹资活动现金流表!#REF!</f>
        <v>#REF!</v>
      </c>
      <c r="BD82" s="75" t="e">
        <f>投资和筹资活动现金流表!#REF!</f>
        <v>#REF!</v>
      </c>
      <c r="BE82" s="75" t="e">
        <f>投资和筹资活动现金流表!#REF!</f>
        <v>#REF!</v>
      </c>
      <c r="BF82" s="75" t="e">
        <f>投资和筹资活动现金流表!#REF!</f>
        <v>#REF!</v>
      </c>
      <c r="BG82" s="75" t="e">
        <f>投资和筹资活动现金流表!#REF!</f>
        <v>#REF!</v>
      </c>
      <c r="BH82" s="75" t="e">
        <f>投资和筹资活动现金流表!#REF!</f>
        <v>#REF!</v>
      </c>
      <c r="BI82" s="75" t="e">
        <f>投资和筹资活动现金流表!#REF!</f>
        <v>#REF!</v>
      </c>
      <c r="BJ82" s="75" t="e">
        <f>投资和筹资活动现金流表!#REF!</f>
        <v>#REF!</v>
      </c>
      <c r="BK82" s="75" t="e">
        <f>投资和筹资活动现金流表!#REF!</f>
        <v>#REF!</v>
      </c>
      <c r="BL82" s="75" t="e">
        <f>投资和筹资活动现金流表!#REF!</f>
        <v>#REF!</v>
      </c>
      <c r="BM82" s="75" t="e">
        <f>投资和筹资活动现金流表!#REF!</f>
        <v>#REF!</v>
      </c>
      <c r="BN82" s="75" t="e">
        <f>投资和筹资活动现金流表!#REF!</f>
        <v>#REF!</v>
      </c>
      <c r="BO82" s="75" t="e">
        <f>投资和筹资活动现金流表!#REF!</f>
        <v>#REF!</v>
      </c>
      <c r="BP82" s="75" t="e">
        <f>投资和筹资活动现金流表!#REF!</f>
        <v>#REF!</v>
      </c>
      <c r="BQ82" s="75" t="e">
        <f>投资和筹资活动现金流表!#REF!</f>
        <v>#REF!</v>
      </c>
      <c r="BR82" s="75" t="e">
        <f>投资和筹资活动现金流表!#REF!</f>
        <v>#REF!</v>
      </c>
      <c r="BS82" s="75" t="e">
        <f>投资和筹资活动现金流表!#REF!</f>
        <v>#REF!</v>
      </c>
      <c r="BT82" s="75">
        <f>投资和筹资活动现金流表!BT34</f>
        <v>0</v>
      </c>
      <c r="BU82" s="75">
        <f>投资和筹资活动现金流表!BU34</f>
        <v>0</v>
      </c>
      <c r="BV82" s="75">
        <f>投资和筹资活动现金流表!BV34</f>
        <v>0</v>
      </c>
      <c r="BW82" s="75">
        <f>投资和筹资活动现金流表!BW34</f>
        <v>0</v>
      </c>
      <c r="BX82" s="75">
        <f>投资和筹资活动现金流表!BX34</f>
        <v>0</v>
      </c>
      <c r="BY82" s="75">
        <f>投资和筹资活动现金流表!BY34</f>
        <v>0</v>
      </c>
      <c r="BZ82" s="75">
        <f>投资和筹资活动现金流表!BZ34</f>
        <v>0</v>
      </c>
      <c r="CA82" s="75">
        <f>投资和筹资活动现金流表!CA34</f>
        <v>0</v>
      </c>
      <c r="CB82" s="75">
        <f>投资和筹资活动现金流表!CB34</f>
        <v>0</v>
      </c>
      <c r="CC82" s="75">
        <f>投资和筹资活动现金流表!CC34</f>
        <v>0</v>
      </c>
      <c r="CD82" s="75">
        <f>投资和筹资活动现金流表!CD34</f>
        <v>0</v>
      </c>
      <c r="CE82" s="75">
        <f>投资和筹资活动现金流表!CE34</f>
        <v>0</v>
      </c>
      <c r="CF82" s="75">
        <f>投资和筹资活动现金流表!CF34</f>
        <v>0</v>
      </c>
      <c r="CG82" s="75">
        <f>投资和筹资活动现金流表!CG34</f>
        <v>0</v>
      </c>
      <c r="CH82" s="75">
        <f>投资和筹资活动现金流表!CH34</f>
        <v>0</v>
      </c>
      <c r="CI82" s="75">
        <f>投资和筹资活动现金流表!CI34</f>
        <v>0</v>
      </c>
      <c r="CJ82" s="75">
        <f>投资和筹资活动现金流表!CJ34</f>
        <v>0</v>
      </c>
      <c r="CK82" s="75">
        <f>投资和筹资活动现金流表!CK34</f>
        <v>0</v>
      </c>
    </row>
    <row r="83" spans="1:89" s="153" customFormat="1" x14ac:dyDescent="0.25">
      <c r="A83" s="249" t="s">
        <v>579</v>
      </c>
      <c r="E83" s="153">
        <f>E81/E82</f>
        <v>0.60410979941934873</v>
      </c>
      <c r="F83" s="153">
        <f t="shared" ref="F83:BQ83" si="46">F81/F82</f>
        <v>0.48915617875583922</v>
      </c>
      <c r="G83" s="153">
        <f t="shared" si="46"/>
        <v>0.33294363197276067</v>
      </c>
      <c r="H83" s="153">
        <f t="shared" si="46"/>
        <v>0.1758343974698062</v>
      </c>
      <c r="I83" s="153">
        <f t="shared" si="46"/>
        <v>0.60822818741391249</v>
      </c>
      <c r="J83" s="153">
        <f t="shared" si="46"/>
        <v>0.4613449557357826</v>
      </c>
      <c r="K83" s="153">
        <f t="shared" si="46"/>
        <v>0.29033210544001309</v>
      </c>
      <c r="L83" s="153">
        <f t="shared" si="46"/>
        <v>0.13685987781781925</v>
      </c>
      <c r="M83" s="153">
        <f t="shared" si="46"/>
        <v>0.55139147163190338</v>
      </c>
      <c r="N83" s="153">
        <f t="shared" si="46"/>
        <v>0.42205364006444929</v>
      </c>
      <c r="O83" s="153">
        <f t="shared" si="46"/>
        <v>0.27982502987470131</v>
      </c>
      <c r="P83" s="153">
        <f t="shared" si="46"/>
        <v>0.1456714957868549</v>
      </c>
      <c r="Q83" s="153">
        <f t="shared" si="46"/>
        <v>0.47702186030331872</v>
      </c>
      <c r="R83" s="153">
        <f t="shared" si="46"/>
        <v>0.35269794679660077</v>
      </c>
      <c r="S83" s="153">
        <f t="shared" si="46"/>
        <v>0.22970751774428741</v>
      </c>
      <c r="T83" s="153">
        <f t="shared" si="46"/>
        <v>0.12741188700290212</v>
      </c>
      <c r="U83" s="153">
        <f t="shared" si="46"/>
        <v>0.55745708101641878</v>
      </c>
      <c r="V83" s="153">
        <f t="shared" si="46"/>
        <v>0.4435382737467421</v>
      </c>
      <c r="W83" s="153">
        <f t="shared" si="46"/>
        <v>0.33285695830047046</v>
      </c>
      <c r="X83" s="153">
        <f t="shared" si="46"/>
        <v>0.19762237142094369</v>
      </c>
      <c r="Y83" s="153">
        <f t="shared" si="46"/>
        <v>1.7903064823513726</v>
      </c>
      <c r="Z83" s="153">
        <f t="shared" si="46"/>
        <v>1.1721811301881599</v>
      </c>
      <c r="AA83" s="153">
        <f t="shared" si="46"/>
        <v>0.6562020234089857</v>
      </c>
      <c r="AB83" s="153">
        <f t="shared" si="46"/>
        <v>0.27826020251370687</v>
      </c>
      <c r="AC83" s="153">
        <f t="shared" si="46"/>
        <v>0.95249051124575046</v>
      </c>
      <c r="AD83" s="153">
        <f t="shared" si="46"/>
        <v>0.67704978090903578</v>
      </c>
      <c r="AE83" s="153">
        <f t="shared" si="46"/>
        <v>0.58918931395602414</v>
      </c>
      <c r="AF83" s="153">
        <f t="shared" si="46"/>
        <v>0.29241939784592763</v>
      </c>
      <c r="AG83" s="153">
        <f t="shared" si="46"/>
        <v>1.2061501338234442</v>
      </c>
      <c r="AH83" s="153">
        <f t="shared" si="46"/>
        <v>0.96632882829850386</v>
      </c>
      <c r="AI83" s="153">
        <f t="shared" si="46"/>
        <v>0.76925495904463415</v>
      </c>
      <c r="AJ83" s="153">
        <f t="shared" si="46"/>
        <v>0.35257810151311919</v>
      </c>
      <c r="AK83" s="153">
        <f t="shared" si="46"/>
        <v>1.1727285078032288</v>
      </c>
      <c r="AL83" s="153">
        <f t="shared" si="46"/>
        <v>1.8115675353147211</v>
      </c>
      <c r="AM83" s="153">
        <f t="shared" si="46"/>
        <v>1.0280099365404907</v>
      </c>
      <c r="AN83" s="153">
        <f t="shared" si="46"/>
        <v>0.33523327231887334</v>
      </c>
      <c r="AO83" s="153">
        <f t="shared" si="46"/>
        <v>4.0513733954895885</v>
      </c>
      <c r="AP83" s="153">
        <f t="shared" si="46"/>
        <v>0.85558240714713074</v>
      </c>
      <c r="AQ83" s="153">
        <f t="shared" si="46"/>
        <v>0.6330023923053727</v>
      </c>
      <c r="AR83" s="153">
        <f t="shared" si="46"/>
        <v>0.3494693111596876</v>
      </c>
      <c r="AS83" s="153">
        <f t="shared" si="46"/>
        <v>1.3079724247669005</v>
      </c>
      <c r="AT83" s="153">
        <f t="shared" si="46"/>
        <v>0.7883558319059264</v>
      </c>
      <c r="AU83" s="153">
        <f t="shared" si="46"/>
        <v>0.45693848998242037</v>
      </c>
      <c r="AV83" s="153">
        <f t="shared" si="46"/>
        <v>0.20368694955333955</v>
      </c>
      <c r="AW83" s="153">
        <f t="shared" si="46"/>
        <v>0.74889804592516407</v>
      </c>
      <c r="AX83" s="153">
        <f t="shared" si="46"/>
        <v>0.56510343599077462</v>
      </c>
      <c r="AY83" s="153">
        <f t="shared" si="46"/>
        <v>0.30528631964091285</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5" customFormat="1" x14ac:dyDescent="0.25">
      <c r="A84" s="69" t="s">
        <v>580</v>
      </c>
      <c r="E84" s="75">
        <f>资产资本表!E52</f>
        <v>88625296761</v>
      </c>
      <c r="F84" s="75">
        <f>资产资本表!F52</f>
        <v>80589869844</v>
      </c>
      <c r="G84" s="75">
        <f>资产资本表!G52</f>
        <v>78898829994</v>
      </c>
      <c r="H84" s="75">
        <f>资产资本表!H52</f>
        <v>68410457513</v>
      </c>
      <c r="I84" s="75">
        <f>资产资本表!I52</f>
        <v>69947586967</v>
      </c>
      <c r="J84" s="75">
        <f>资产资本表!J52</f>
        <v>71552996994</v>
      </c>
      <c r="K84" s="75">
        <f>资产资本表!K52</f>
        <v>63258787740</v>
      </c>
      <c r="L84" s="75">
        <f>资产资本表!L52</f>
        <v>61832697539</v>
      </c>
      <c r="M84" s="75">
        <f>资产资本表!M52</f>
        <v>63565099405</v>
      </c>
      <c r="N84" s="75">
        <f>资产资本表!N52</f>
        <v>61154812722</v>
      </c>
      <c r="O84" s="75">
        <f>资产资本表!O52</f>
        <v>48184498059</v>
      </c>
      <c r="P84" s="75">
        <f>资产资本表!P52</f>
        <v>49698254777</v>
      </c>
      <c r="Q84" s="75">
        <f>资产资本表!Q52</f>
        <v>49398396189</v>
      </c>
      <c r="R84" s="75">
        <f>资产资本表!R52</f>
        <v>47949017778</v>
      </c>
      <c r="S84" s="75">
        <f>资产资本表!S52</f>
        <v>32589747763</v>
      </c>
      <c r="T84" s="75">
        <f>资产资本表!T52</f>
        <v>33294194483</v>
      </c>
      <c r="U84" s="75">
        <f>资产资本表!U52</f>
        <v>32495665045</v>
      </c>
      <c r="V84" s="75">
        <f>资产资本表!V52</f>
        <v>32434471833</v>
      </c>
      <c r="W84" s="75">
        <f>资产资本表!W52</f>
        <v>33397707382</v>
      </c>
      <c r="X84" s="75">
        <f>资产资本表!X52</f>
        <v>33574636138</v>
      </c>
      <c r="Y84" s="75">
        <f>资产资本表!Y52</f>
        <v>34534107374</v>
      </c>
      <c r="Z84" s="75">
        <f>资产资本表!Z52</f>
        <v>34771666143</v>
      </c>
      <c r="AA84" s="75">
        <f>资产资本表!AA52</f>
        <v>30775533119</v>
      </c>
      <c r="AB84" s="75">
        <f>资产资本表!AB52</f>
        <v>27695890805</v>
      </c>
      <c r="AC84" s="75">
        <f>资产资本表!AC52</f>
        <v>28388863004</v>
      </c>
      <c r="AD84" s="75">
        <f>资产资本表!AD52</f>
        <v>18319247209</v>
      </c>
      <c r="AE84" s="75">
        <f>资产资本表!AE52</f>
        <v>18392268456</v>
      </c>
      <c r="AF84" s="75">
        <f>资产资本表!AF52</f>
        <v>14792334187</v>
      </c>
      <c r="AG84" s="75">
        <f>资产资本表!AG52</f>
        <v>15287867884</v>
      </c>
      <c r="AH84" s="75">
        <f>资产资本表!AH52</f>
        <v>7433555045</v>
      </c>
      <c r="AI84" s="75">
        <f>资产资本表!AI52</f>
        <v>7486498055</v>
      </c>
      <c r="AJ84" s="75">
        <f>资产资本表!AJ52</f>
        <v>7613121910</v>
      </c>
      <c r="AK84" s="75">
        <f>资产资本表!AK52</f>
        <v>7955058596</v>
      </c>
      <c r="AL84" s="75">
        <f>资产资本表!AL52</f>
        <v>5874189971</v>
      </c>
      <c r="AM84" s="75">
        <f>资产资本表!AM52</f>
        <v>6136442636</v>
      </c>
      <c r="AN84" s="75">
        <f>资产资本表!AN52</f>
        <v>6259202013</v>
      </c>
      <c r="AO84" s="75">
        <f>资产资本表!AO52</f>
        <v>6542076001</v>
      </c>
      <c r="AP84" s="75">
        <f>资产资本表!AP52</f>
        <v>6117932811</v>
      </c>
      <c r="AQ84" s="75">
        <f>资产资本表!AQ52</f>
        <v>6400608743</v>
      </c>
      <c r="AR84" s="75">
        <f>资产资本表!AR52</f>
        <v>6661926652</v>
      </c>
      <c r="AS84" s="75">
        <f>资产资本表!AS52</f>
        <v>6897275352</v>
      </c>
      <c r="AT84" s="75">
        <f>资产资本表!AT52</f>
        <v>7133851915</v>
      </c>
      <c r="AU84" s="75">
        <f>资产资本表!AU52</f>
        <v>7380940759</v>
      </c>
      <c r="AV84" s="75">
        <f>资产资本表!AV52</f>
        <v>7611440659</v>
      </c>
      <c r="AW84" s="75">
        <f>资产资本表!AW52</f>
        <v>8092661676</v>
      </c>
      <c r="AX84" s="75">
        <f>资产资本表!AX52</f>
        <v>8066324129</v>
      </c>
      <c r="AY84" s="75">
        <f>资产资本表!AY52</f>
        <v>10886620701</v>
      </c>
      <c r="AZ84" s="75">
        <f>资产资本表!AZ52</f>
        <v>11256349115</v>
      </c>
      <c r="BA84" s="75">
        <f>资产资本表!BA52</f>
        <v>11382680796</v>
      </c>
      <c r="BB84" s="75">
        <f>资产资本表!BB52</f>
        <v>11825602444</v>
      </c>
      <c r="BC84" s="75">
        <f>资产资本表!BC52</f>
        <v>10291207570</v>
      </c>
      <c r="BD84" s="75">
        <f>资产资本表!BD52</f>
        <v>5102314445</v>
      </c>
      <c r="BE84" s="75">
        <f>资产资本表!BE52</f>
        <v>5054986309</v>
      </c>
      <c r="BF84" s="75">
        <f>资产资本表!BF52</f>
        <v>3714625893.5</v>
      </c>
      <c r="BG84" s="75">
        <f>资产资本表!BG52</f>
        <v>3725975344.8800001</v>
      </c>
      <c r="BH84" s="75">
        <f>资产资本表!BH52</f>
        <v>3928734089.6700001</v>
      </c>
      <c r="BI84" s="75">
        <f>资产资本表!BI52</f>
        <v>3828255049</v>
      </c>
      <c r="BJ84" s="75">
        <f>资产资本表!BJ52</f>
        <v>4006817900.8200002</v>
      </c>
      <c r="BK84" s="75">
        <f>资产资本表!BK52</f>
        <v>4071760994.7600002</v>
      </c>
      <c r="BL84" s="75">
        <f>资产资本表!BL52</f>
        <v>3985302169.8299999</v>
      </c>
      <c r="BM84" s="75">
        <f>资产资本表!BM52</f>
        <v>1206720821</v>
      </c>
      <c r="BN84" s="75">
        <f>资产资本表!BN52</f>
        <v>989579023</v>
      </c>
      <c r="BO84" s="75">
        <f>资产资本表!BO52</f>
        <v>867961039.58000004</v>
      </c>
      <c r="BP84" s="75">
        <f>资产资本表!BP52</f>
        <v>880156984.98000002</v>
      </c>
      <c r="BQ84" s="75">
        <f>资产资本表!BQ52</f>
        <v>602654492</v>
      </c>
      <c r="BR84" s="75">
        <f>资产资本表!BR52</f>
        <v>596557946.04999995</v>
      </c>
      <c r="BS84" s="75">
        <f>资产资本表!BS52</f>
        <v>553507644</v>
      </c>
      <c r="BT84" s="75">
        <f>资产资本表!BT52</f>
        <v>471094241</v>
      </c>
      <c r="BU84" s="75">
        <f>资产资本表!BU52</f>
        <v>339036000</v>
      </c>
      <c r="BV84" s="75">
        <f>资产资本表!BV52</f>
        <v>355638595.26999998</v>
      </c>
      <c r="BW84" s="75">
        <f>资产资本表!BW52</f>
        <v>308514000</v>
      </c>
      <c r="BX84" s="75">
        <f>资产资本表!BX52</f>
        <v>153502671.28</v>
      </c>
      <c r="BY84" s="75">
        <f>资产资本表!BY52</f>
        <v>158021000</v>
      </c>
      <c r="BZ84" s="75">
        <f>资产资本表!BZ52</f>
        <v>155752000</v>
      </c>
      <c r="CA84" s="75">
        <f>资产资本表!CA52</f>
        <v>151409000</v>
      </c>
      <c r="CB84" s="75">
        <f>资产资本表!CB52</f>
        <v>138289000</v>
      </c>
      <c r="CC84" s="75">
        <f>资产资本表!CC52</f>
        <v>131313000</v>
      </c>
      <c r="CD84" s="75">
        <f>资产资本表!CD52</f>
        <v>0</v>
      </c>
      <c r="CE84" s="75">
        <f>资产资本表!CE52</f>
        <v>0</v>
      </c>
      <c r="CF84" s="75">
        <f>资产资本表!CF52</f>
        <v>0</v>
      </c>
      <c r="CG84" s="75">
        <f>资产资本表!CG52</f>
        <v>0</v>
      </c>
      <c r="CH84" s="75">
        <f>资产资本表!CH52</f>
        <v>0</v>
      </c>
      <c r="CI84" s="75">
        <f>资产资本表!CI52</f>
        <v>0</v>
      </c>
      <c r="CJ84" s="75">
        <f>资产资本表!CJ52</f>
        <v>0</v>
      </c>
      <c r="CK84" s="75">
        <f>资产资本表!CK52</f>
        <v>0</v>
      </c>
    </row>
    <row r="85" spans="1:89" s="153" customFormat="1" x14ac:dyDescent="0.25">
      <c r="A85" s="249" t="s">
        <v>581</v>
      </c>
      <c r="E85" s="153">
        <f>E81/E84</f>
        <v>1.0583939647384895</v>
      </c>
      <c r="F85" s="153">
        <f t="shared" ref="F85:BQ85" si="48">F81/F84</f>
        <v>0.86125410400036184</v>
      </c>
      <c r="G85" s="153">
        <f t="shared" si="48"/>
        <v>0.56534460648392459</v>
      </c>
      <c r="H85" s="153">
        <f t="shared" si="48"/>
        <v>0.31946832628398825</v>
      </c>
      <c r="I85" s="153">
        <f t="shared" si="48"/>
        <v>0.98496119666720916</v>
      </c>
      <c r="J85" s="153">
        <f t="shared" si="48"/>
        <v>0.64067065896406861</v>
      </c>
      <c r="K85" s="153">
        <f t="shared" si="48"/>
        <v>0.41809702117127545</v>
      </c>
      <c r="L85" s="153">
        <f t="shared" si="48"/>
        <v>0.19888730913354372</v>
      </c>
      <c r="M85" s="153">
        <f t="shared" si="48"/>
        <v>0.76494385704013046</v>
      </c>
      <c r="N85" s="153">
        <f t="shared" si="48"/>
        <v>0.59554505068246266</v>
      </c>
      <c r="O85" s="153">
        <f t="shared" si="48"/>
        <v>0.47672693578488895</v>
      </c>
      <c r="P85" s="153">
        <f t="shared" si="48"/>
        <v>0.23306360416423441</v>
      </c>
      <c r="Q85" s="153">
        <f t="shared" si="48"/>
        <v>0.74529376490563537</v>
      </c>
      <c r="R85" s="153">
        <f t="shared" si="48"/>
        <v>0.52739494062384507</v>
      </c>
      <c r="S85" s="153">
        <f t="shared" si="48"/>
        <v>0.49442455649484063</v>
      </c>
      <c r="T85" s="153">
        <f t="shared" si="48"/>
        <v>0.24303574363787681</v>
      </c>
      <c r="U85" s="153">
        <f t="shared" si="48"/>
        <v>1.0393474198244401</v>
      </c>
      <c r="V85" s="153">
        <f t="shared" si="48"/>
        <v>0.76380993165408273</v>
      </c>
      <c r="W85" s="153">
        <f t="shared" si="48"/>
        <v>0.48668987607695546</v>
      </c>
      <c r="X85" s="153">
        <f t="shared" si="48"/>
        <v>0.24002236878686975</v>
      </c>
      <c r="Y85" s="153">
        <f t="shared" si="48"/>
        <v>0.746264645178085</v>
      </c>
      <c r="Z85" s="153">
        <f t="shared" si="48"/>
        <v>0.49243852539539784</v>
      </c>
      <c r="AA85" s="153">
        <f t="shared" si="48"/>
        <v>0.31222471356857601</v>
      </c>
      <c r="AB85" s="153">
        <f t="shared" si="48"/>
        <v>0.14975655808302138</v>
      </c>
      <c r="AC85" s="153">
        <f t="shared" si="48"/>
        <v>0.44881732530833413</v>
      </c>
      <c r="AD85" s="153">
        <f t="shared" si="48"/>
        <v>0.4647918365235485</v>
      </c>
      <c r="AE85" s="153">
        <f t="shared" si="48"/>
        <v>0.26859296931306165</v>
      </c>
      <c r="AF85" s="153">
        <f t="shared" si="48"/>
        <v>0.13315317225127263</v>
      </c>
      <c r="AG85" s="153">
        <f t="shared" si="48"/>
        <v>0.52494506813465602</v>
      </c>
      <c r="AH85" s="153">
        <f t="shared" si="48"/>
        <v>0.83433348666351337</v>
      </c>
      <c r="AI85" s="153">
        <f t="shared" si="48"/>
        <v>0.55919735131755133</v>
      </c>
      <c r="AJ85" s="153">
        <f t="shared" si="48"/>
        <v>0.24873361748124168</v>
      </c>
      <c r="AK85" s="153">
        <f t="shared" si="48"/>
        <v>0.78556229983550963</v>
      </c>
      <c r="AL85" s="153">
        <f t="shared" si="48"/>
        <v>0.73959343202181227</v>
      </c>
      <c r="AM85" s="153">
        <f t="shared" si="48"/>
        <v>0.37450259414435111</v>
      </c>
      <c r="AN85" s="153">
        <f t="shared" si="48"/>
        <v>0.11517363946757793</v>
      </c>
      <c r="AO85" s="153">
        <f t="shared" si="48"/>
        <v>1.2739099591209411</v>
      </c>
      <c r="AP85" s="153">
        <f t="shared" si="48"/>
        <v>1.1886328981784564</v>
      </c>
      <c r="AQ85" s="153">
        <f t="shared" si="48"/>
        <v>0.86021534717639281</v>
      </c>
      <c r="AR85" s="153">
        <f t="shared" si="48"/>
        <v>0.44082151461669983</v>
      </c>
      <c r="AS85" s="153">
        <f t="shared" si="48"/>
        <v>1.6195451515156503</v>
      </c>
      <c r="AT85" s="153">
        <f t="shared" si="48"/>
        <v>1.1110540987449136</v>
      </c>
      <c r="AU85" s="153">
        <f t="shared" si="48"/>
        <v>0.63531092242980025</v>
      </c>
      <c r="AV85" s="153">
        <f t="shared" si="48"/>
        <v>0.28284256035740318</v>
      </c>
      <c r="AW85" s="153">
        <f t="shared" si="48"/>
        <v>1.0851058250763825</v>
      </c>
      <c r="AX85" s="153">
        <f t="shared" si="48"/>
        <v>0.82566387879898695</v>
      </c>
      <c r="AY85" s="153">
        <f t="shared" si="48"/>
        <v>0.39415435201171706</v>
      </c>
      <c r="AZ85" s="153">
        <f t="shared" si="48"/>
        <v>0.21363681611433388</v>
      </c>
      <c r="BA85" s="153">
        <f t="shared" si="48"/>
        <v>1.1826557674999216</v>
      </c>
      <c r="BB85" s="153">
        <f t="shared" si="48"/>
        <v>0.72282241099157996</v>
      </c>
      <c r="BC85" s="153">
        <f t="shared" si="48"/>
        <v>0.41994204485761821</v>
      </c>
      <c r="BD85" s="153">
        <f t="shared" si="48"/>
        <v>0.40802357918965931</v>
      </c>
      <c r="BE85" s="153">
        <f t="shared" si="48"/>
        <v>2.4612742360644049</v>
      </c>
      <c r="BF85" s="153">
        <f t="shared" si="48"/>
        <v>2.5065365947867018</v>
      </c>
      <c r="BG85" s="153">
        <f t="shared" si="48"/>
        <v>1.6731759250518554</v>
      </c>
      <c r="BH85" s="153">
        <f t="shared" si="48"/>
        <v>0.94026311987439359</v>
      </c>
      <c r="BI85" s="153">
        <f t="shared" si="48"/>
        <v>2.9204183589911068</v>
      </c>
      <c r="BJ85" s="153">
        <f t="shared" si="48"/>
        <v>1.9093597017110073</v>
      </c>
      <c r="BK85" s="153">
        <f t="shared" si="48"/>
        <v>1.1537880977090378</v>
      </c>
      <c r="BL85" s="153">
        <f t="shared" si="48"/>
        <v>0.56545972034941783</v>
      </c>
      <c r="BM85" s="153">
        <f t="shared" si="48"/>
        <v>3.9632924250339094</v>
      </c>
      <c r="BN85" s="153">
        <f t="shared" si="48"/>
        <v>3.4555963116550417</v>
      </c>
      <c r="BO85" s="153">
        <f t="shared" si="48"/>
        <v>2.3184545248295367</v>
      </c>
      <c r="BP85" s="153">
        <f t="shared" si="48"/>
        <v>1.1808902076867773</v>
      </c>
      <c r="BQ85" s="153">
        <f t="shared" si="48"/>
        <v>4.429641135073461</v>
      </c>
      <c r="BR85" s="153">
        <f t="shared" ref="BR85:CK85" si="49">BR81/BR84</f>
        <v>2.1394091102644195</v>
      </c>
      <c r="BS85" s="153">
        <f t="shared" si="49"/>
        <v>4.0375638931555571</v>
      </c>
      <c r="BT85" s="153">
        <f t="shared" si="49"/>
        <v>2.1083153168921887</v>
      </c>
      <c r="BU85" s="153">
        <f t="shared" si="49"/>
        <v>2.1882247637419034</v>
      </c>
      <c r="BV85" s="153">
        <f t="shared" si="49"/>
        <v>0.56444126874812584</v>
      </c>
      <c r="BW85" s="153">
        <f t="shared" si="49"/>
        <v>0.76980947380021647</v>
      </c>
      <c r="BX85" s="153">
        <f t="shared" si="49"/>
        <v>0.68924603251373462</v>
      </c>
      <c r="BY85" s="153">
        <f t="shared" si="49"/>
        <v>1.7409078540194025</v>
      </c>
      <c r="BZ85" s="153">
        <f t="shared" si="49"/>
        <v>0.71332631362679133</v>
      </c>
      <c r="CA85" s="153">
        <f t="shared" si="49"/>
        <v>1.2625735590354603</v>
      </c>
      <c r="CB85" s="153">
        <f t="shared" si="49"/>
        <v>1.3292380449638077</v>
      </c>
      <c r="CC85" s="153">
        <f t="shared" si="49"/>
        <v>1.0264939495708727</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5" customFormat="1" x14ac:dyDescent="0.25">
      <c r="A86" s="69" t="s">
        <v>582</v>
      </c>
      <c r="E86" s="75">
        <f>资产资本表!E53</f>
        <v>50761250426</v>
      </c>
      <c r="F86" s="75">
        <f>资产资本表!F53</f>
        <v>49719431282</v>
      </c>
      <c r="G86" s="75">
        <f>资产资本表!G53</f>
        <v>44127069216</v>
      </c>
      <c r="H86" s="75">
        <f>资产资本表!H53</f>
        <v>45237334136</v>
      </c>
      <c r="I86" s="75">
        <f>资产资本表!I53</f>
        <v>33008248720</v>
      </c>
      <c r="J86" s="75">
        <f>资产资本表!J53</f>
        <v>15578683089</v>
      </c>
      <c r="K86" s="75">
        <f>资产资本表!K53</f>
        <v>20213753534</v>
      </c>
      <c r="L86" s="75">
        <f>资产资本表!L53</f>
        <v>20384123931</v>
      </c>
      <c r="M86" s="75">
        <f>资产资本表!M53</f>
        <v>18645461692</v>
      </c>
      <c r="N86" s="75">
        <f>资产资本表!N53</f>
        <v>19479228048</v>
      </c>
      <c r="O86" s="75">
        <f>资产资本表!O53</f>
        <v>28736450388</v>
      </c>
      <c r="P86" s="75">
        <f>资产资本表!P53</f>
        <v>24007282897</v>
      </c>
      <c r="Q86" s="75">
        <f>资产资本表!Q53</f>
        <v>21868641210</v>
      </c>
      <c r="R86" s="75">
        <f>资产资本表!R53</f>
        <v>18118852354</v>
      </c>
      <c r="S86" s="75">
        <f>资产资本表!S53</f>
        <v>31877217133</v>
      </c>
      <c r="T86" s="75">
        <f>资产资本表!T53</f>
        <v>24897642788</v>
      </c>
      <c r="U86" s="75">
        <f>资产资本表!U53</f>
        <v>22172949652</v>
      </c>
      <c r="V86" s="75">
        <f>资产资本表!V53</f>
        <v>18087835581</v>
      </c>
      <c r="W86" s="75">
        <f>资产资本表!W53</f>
        <v>9982117889</v>
      </c>
      <c r="X86" s="75">
        <f>资产资本表!X53</f>
        <v>2763092704</v>
      </c>
      <c r="Y86" s="75">
        <f>资产资本表!Y53</f>
        <v>2294256409</v>
      </c>
      <c r="Z86" s="75">
        <f>资产资本表!Z53</f>
        <v>1905649963</v>
      </c>
      <c r="AA86" s="75">
        <f>资产资本表!AA53</f>
        <v>5752763007</v>
      </c>
      <c r="AB86" s="75">
        <f>资产资本表!AB53</f>
        <v>8528247537</v>
      </c>
      <c r="AC86" s="75">
        <f>资产资本表!AC53</f>
        <v>8412921608</v>
      </c>
      <c r="AD86" s="75">
        <f>资产资本表!AD53</f>
        <v>17908031218</v>
      </c>
      <c r="AE86" s="75">
        <f>资产资本表!AE53</f>
        <v>14543937667</v>
      </c>
      <c r="AF86" s="75">
        <f>资产资本表!AF53</f>
        <v>13357178363</v>
      </c>
      <c r="AG86" s="75">
        <f>资产资本表!AG53</f>
        <v>8098446109</v>
      </c>
      <c r="AH86" s="75">
        <f>资产资本表!AH53</f>
        <v>10381574489</v>
      </c>
      <c r="AI86" s="75">
        <f>资产资本表!AI53</f>
        <v>6116329802</v>
      </c>
      <c r="AJ86" s="75">
        <f>资产资本表!AJ53</f>
        <v>1744418299</v>
      </c>
      <c r="AK86" s="75">
        <f>资产资本表!AK53</f>
        <v>1140779520</v>
      </c>
      <c r="AL86" s="75">
        <f>资产资本表!AL53</f>
        <v>2499988288</v>
      </c>
      <c r="AM86" s="75">
        <f>资产资本表!AM53</f>
        <v>2052959033</v>
      </c>
      <c r="AN86" s="75">
        <f>资产资本表!AN53</f>
        <v>1057108117</v>
      </c>
      <c r="AO86" s="75">
        <f>资产资本表!AO53</f>
        <v>445452403</v>
      </c>
      <c r="AP86" s="75">
        <f>资产资本表!AP53</f>
        <v>924185518</v>
      </c>
      <c r="AQ86" s="75">
        <f>资产资本表!AQ53</f>
        <v>726306787</v>
      </c>
      <c r="AR86" s="75">
        <f>资产资本表!AR53</f>
        <v>214175484</v>
      </c>
      <c r="AS86" s="75">
        <f>资产资本表!AS53</f>
        <v>54745615</v>
      </c>
      <c r="AT86" s="75">
        <f>资产资本表!AT53</f>
        <v>62583273</v>
      </c>
      <c r="AU86" s="75">
        <f>资产资本表!AU53</f>
        <v>51016002</v>
      </c>
      <c r="AV86" s="75">
        <f>资产资本表!AV53</f>
        <v>53944342</v>
      </c>
      <c r="AW86" s="75">
        <f>资产资本表!AW53</f>
        <v>64403867</v>
      </c>
      <c r="AX86" s="75">
        <f>资产资本表!AX53</f>
        <v>341473241</v>
      </c>
      <c r="AY86" s="75">
        <f>资产资本表!AY53</f>
        <v>287661196</v>
      </c>
      <c r="AZ86" s="75">
        <f>资产资本表!AZ53</f>
        <v>189704387</v>
      </c>
      <c r="BA86" s="75">
        <f>资产资本表!BA53</f>
        <v>285244019</v>
      </c>
      <c r="BB86" s="75">
        <f>资产资本表!BB53</f>
        <v>257525817</v>
      </c>
      <c r="BC86" s="75">
        <f>资产资本表!BC53</f>
        <v>2027078545</v>
      </c>
      <c r="BD86" s="75">
        <f>资产资本表!BD53</f>
        <v>5561051404</v>
      </c>
      <c r="BE86" s="75">
        <f>资产资本表!BE53</f>
        <v>5057734515</v>
      </c>
      <c r="BF86" s="75">
        <f>资产资本表!BF53</f>
        <v>2225106397.5999999</v>
      </c>
      <c r="BG86" s="75">
        <f>资产资本表!BG53</f>
        <v>616118117.03999996</v>
      </c>
      <c r="BH86" s="75">
        <f>资产资本表!BH53</f>
        <v>540216777.25</v>
      </c>
      <c r="BI86" s="75">
        <f>资产资本表!BI53</f>
        <v>324067497</v>
      </c>
      <c r="BJ86" s="75">
        <f>资产资本表!BJ53</f>
        <v>338313448.31</v>
      </c>
      <c r="BK86" s="75">
        <f>资产资本表!BK53</f>
        <v>289519448.52999997</v>
      </c>
      <c r="BL86" s="75">
        <f>资产资本表!BL53</f>
        <v>236475329.43000001</v>
      </c>
      <c r="BM86" s="75">
        <f>资产资本表!BM53</f>
        <v>127031485</v>
      </c>
      <c r="BN86" s="75">
        <f>资产资本表!BN53</f>
        <v>217655462.61000001</v>
      </c>
      <c r="BO86" s="75">
        <f>资产资本表!BO53</f>
        <v>281496923.23000002</v>
      </c>
      <c r="BP86" s="75">
        <f>资产资本表!BP53</f>
        <v>242991679.05000001</v>
      </c>
      <c r="BQ86" s="75">
        <f>资产资本表!BQ53</f>
        <v>196658022</v>
      </c>
      <c r="BR86" s="75">
        <f>资产资本表!BR53</f>
        <v>73221999.810000002</v>
      </c>
      <c r="BS86" s="75">
        <f>资产资本表!BS53</f>
        <v>24534488</v>
      </c>
      <c r="BT86" s="75">
        <f>资产资本表!BT53</f>
        <v>52045627</v>
      </c>
      <c r="BU86" s="75">
        <f>资产资本表!BU53</f>
        <v>96164485</v>
      </c>
      <c r="BV86" s="75">
        <f>资产资本表!BV53</f>
        <v>63219289.270000003</v>
      </c>
      <c r="BW86" s="75">
        <f>资产资本表!BW53</f>
        <v>63954000</v>
      </c>
      <c r="BX86" s="75">
        <f>资产资本表!BX53</f>
        <v>22014175.07</v>
      </c>
      <c r="BY86" s="75">
        <f>资产资本表!BY53</f>
        <v>16223000</v>
      </c>
      <c r="BZ86" s="75">
        <f>资产资本表!BZ53</f>
        <v>19661000</v>
      </c>
      <c r="CA86" s="75">
        <f>资产资本表!CA53</f>
        <v>17021000</v>
      </c>
      <c r="CB86" s="75">
        <f>资产资本表!CB53</f>
        <v>15021000</v>
      </c>
      <c r="CC86" s="75">
        <f>资产资本表!CC53</f>
        <v>25633000</v>
      </c>
      <c r="CD86" s="75">
        <f>资产资本表!CD53</f>
        <v>0</v>
      </c>
      <c r="CE86" s="75">
        <f>资产资本表!CE53</f>
        <v>0</v>
      </c>
      <c r="CF86" s="75">
        <f>资产资本表!CF53</f>
        <v>0</v>
      </c>
      <c r="CG86" s="75">
        <f>资产资本表!CG53</f>
        <v>0</v>
      </c>
      <c r="CH86" s="75">
        <f>资产资本表!CH53</f>
        <v>0</v>
      </c>
      <c r="CI86" s="75">
        <f>资产资本表!CI53</f>
        <v>0</v>
      </c>
      <c r="CJ86" s="75">
        <f>资产资本表!CJ53</f>
        <v>0</v>
      </c>
      <c r="CK86" s="75">
        <f>资产资本表!CK53</f>
        <v>0</v>
      </c>
    </row>
    <row r="87" spans="1:89" s="54" customFormat="1" x14ac:dyDescent="0.25">
      <c r="A87" s="252" t="s">
        <v>583</v>
      </c>
      <c r="E87" s="54">
        <f>E81/E86</f>
        <v>1.8478756616081158</v>
      </c>
      <c r="F87" s="54">
        <f t="shared" ref="F87:BQ87" si="50">F81/F86</f>
        <v>1.3960006048807725</v>
      </c>
      <c r="G87" s="54">
        <f t="shared" si="50"/>
        <v>1.0108314190697871</v>
      </c>
      <c r="H87" s="54">
        <f t="shared" si="50"/>
        <v>0.48311808773470027</v>
      </c>
      <c r="I87" s="54">
        <f t="shared" si="50"/>
        <v>2.0872255158831097</v>
      </c>
      <c r="J87" s="54">
        <f t="shared" si="50"/>
        <v>2.9426046780147068</v>
      </c>
      <c r="K87" s="54">
        <f t="shared" si="50"/>
        <v>1.3084314435967239</v>
      </c>
      <c r="L87" s="54">
        <f t="shared" si="50"/>
        <v>0.60329984607764797</v>
      </c>
      <c r="M87" s="54">
        <f t="shared" si="50"/>
        <v>2.6078052190502978</v>
      </c>
      <c r="N87" s="54">
        <f t="shared" si="50"/>
        <v>1.8697068463007913</v>
      </c>
      <c r="O87" s="54">
        <f t="shared" si="50"/>
        <v>0.79936275364031573</v>
      </c>
      <c r="P87" s="54">
        <f t="shared" si="50"/>
        <v>0.4824725242208654</v>
      </c>
      <c r="Q87" s="54">
        <f t="shared" si="50"/>
        <v>1.6835209980565591</v>
      </c>
      <c r="R87" s="54">
        <f t="shared" si="50"/>
        <v>1.395677214534909</v>
      </c>
      <c r="S87" s="54">
        <f t="shared" si="50"/>
        <v>0.50547610592140702</v>
      </c>
      <c r="T87" s="54">
        <f t="shared" si="50"/>
        <v>0.3249978073787762</v>
      </c>
      <c r="U87" s="54">
        <f t="shared" si="50"/>
        <v>1.5232202368237264</v>
      </c>
      <c r="V87" s="54">
        <f t="shared" si="50"/>
        <v>1.3696371576941526</v>
      </c>
      <c r="W87" s="54">
        <f t="shared" si="50"/>
        <v>1.6283444302848586</v>
      </c>
      <c r="X87" s="54">
        <f t="shared" si="50"/>
        <v>2.916537575932161</v>
      </c>
      <c r="Y87" s="54">
        <f t="shared" si="50"/>
        <v>11.233087672721414</v>
      </c>
      <c r="Z87" s="54">
        <f t="shared" si="50"/>
        <v>8.9853374614737689</v>
      </c>
      <c r="AA87" s="54">
        <f t="shared" si="50"/>
        <v>1.6703072943049886</v>
      </c>
      <c r="AB87" s="54">
        <f t="shared" si="50"/>
        <v>0.48634156806604895</v>
      </c>
      <c r="AC87" s="54">
        <f t="shared" si="50"/>
        <v>1.5145052046941645</v>
      </c>
      <c r="AD87" s="54">
        <f t="shared" si="50"/>
        <v>0.47546469236895428</v>
      </c>
      <c r="AE87" s="54">
        <f t="shared" si="50"/>
        <v>0.33966275915833105</v>
      </c>
      <c r="AF87" s="54">
        <f t="shared" si="50"/>
        <v>0.14745975298615543</v>
      </c>
      <c r="AG87" s="54">
        <f t="shared" si="50"/>
        <v>0.99096675337276108</v>
      </c>
      <c r="AH87" s="54">
        <f t="shared" si="50"/>
        <v>0.59741072084696956</v>
      </c>
      <c r="AI87" s="54">
        <f t="shared" si="50"/>
        <v>0.68446764947682592</v>
      </c>
      <c r="AJ87" s="54">
        <f t="shared" si="50"/>
        <v>1.0855420136818916</v>
      </c>
      <c r="AK87" s="54">
        <f t="shared" si="50"/>
        <v>5.4780034322495554</v>
      </c>
      <c r="AL87" s="54">
        <f t="shared" si="50"/>
        <v>1.7378130697066689</v>
      </c>
      <c r="AM87" s="54">
        <f t="shared" si="50"/>
        <v>1.1194152679421734</v>
      </c>
      <c r="AN87" s="54">
        <f t="shared" si="50"/>
        <v>0.68195018504431748</v>
      </c>
      <c r="AO87" s="54">
        <f t="shared" si="50"/>
        <v>18.70910497928103</v>
      </c>
      <c r="AP87" s="54">
        <f t="shared" si="50"/>
        <v>7.8685243020655085</v>
      </c>
      <c r="AQ87" s="54">
        <f t="shared" si="50"/>
        <v>7.5806834942876558</v>
      </c>
      <c r="AR87" s="54">
        <f t="shared" si="50"/>
        <v>13.711749552997391</v>
      </c>
      <c r="AS87" s="54">
        <f t="shared" si="50"/>
        <v>204.04280516348203</v>
      </c>
      <c r="AT87" s="54">
        <f t="shared" si="50"/>
        <v>126.64878377326158</v>
      </c>
      <c r="AU87" s="54">
        <f t="shared" si="50"/>
        <v>91.916106675705393</v>
      </c>
      <c r="AV87" s="54">
        <f t="shared" si="50"/>
        <v>39.908529498793406</v>
      </c>
      <c r="AW87" s="54">
        <f t="shared" si="50"/>
        <v>136.34886745232239</v>
      </c>
      <c r="AX87" s="54">
        <f t="shared" si="50"/>
        <v>19.503936673034946</v>
      </c>
      <c r="AY87" s="54">
        <f t="shared" si="50"/>
        <v>14.916884820293941</v>
      </c>
      <c r="AZ87" s="54">
        <f t="shared" si="50"/>
        <v>12.676409987292493</v>
      </c>
      <c r="BA87" s="54">
        <f t="shared" si="50"/>
        <v>47.193953935279531</v>
      </c>
      <c r="BB87" s="54">
        <f t="shared" si="50"/>
        <v>33.192052624378242</v>
      </c>
      <c r="BC87" s="54">
        <f t="shared" si="50"/>
        <v>2.1319897848358904</v>
      </c>
      <c r="BD87" s="54">
        <f t="shared" si="50"/>
        <v>0.37436528648207401</v>
      </c>
      <c r="BE87" s="54">
        <f t="shared" si="50"/>
        <v>2.4599368608812795</v>
      </c>
      <c r="BF87" s="54">
        <f t="shared" si="50"/>
        <v>4.1844496730775118</v>
      </c>
      <c r="BG87" s="54">
        <f t="shared" si="50"/>
        <v>10.118534209545505</v>
      </c>
      <c r="BH87" s="54">
        <f t="shared" si="50"/>
        <v>6.8380767274846797</v>
      </c>
      <c r="BI87" s="54">
        <f t="shared" si="50"/>
        <v>34.499313974705707</v>
      </c>
      <c r="BJ87" s="54">
        <f t="shared" si="50"/>
        <v>22.613516164186915</v>
      </c>
      <c r="BK87" s="54">
        <f t="shared" si="50"/>
        <v>16.226714289223992</v>
      </c>
      <c r="BL87" s="54">
        <f t="shared" si="50"/>
        <v>9.5296530758278344</v>
      </c>
      <c r="BM87" s="54">
        <f t="shared" si="50"/>
        <v>37.648835554429674</v>
      </c>
      <c r="BN87" s="54">
        <f t="shared" si="50"/>
        <v>15.711002981337026</v>
      </c>
      <c r="BO87" s="54">
        <f t="shared" si="50"/>
        <v>7.1486685413815554</v>
      </c>
      <c r="BP87" s="54">
        <f t="shared" si="50"/>
        <v>4.277384183909156</v>
      </c>
      <c r="BQ87" s="54">
        <f t="shared" si="50"/>
        <v>13.574544790245069</v>
      </c>
      <c r="BR87" s="54">
        <f t="shared" ref="BR87:CK87" si="51">BR81/BR86</f>
        <v>17.430301110209459</v>
      </c>
      <c r="BS87" s="54">
        <f t="shared" si="51"/>
        <v>91.089020402626701</v>
      </c>
      <c r="BT87" s="54">
        <f t="shared" si="51"/>
        <v>19.083547672506665</v>
      </c>
      <c r="BU87" s="54">
        <f t="shared" si="51"/>
        <v>7.7147709052879554</v>
      </c>
      <c r="BV87" s="54">
        <f t="shared" si="51"/>
        <v>3.1752508173997698</v>
      </c>
      <c r="BW87" s="54">
        <f t="shared" si="51"/>
        <v>3.7135597460674861</v>
      </c>
      <c r="BX87" s="54">
        <f t="shared" si="51"/>
        <v>4.8060445973368013</v>
      </c>
      <c r="BY87" s="54">
        <f t="shared" si="51"/>
        <v>16.957406151759848</v>
      </c>
      <c r="BZ87" s="54">
        <f t="shared" si="51"/>
        <v>5.6508824576572909</v>
      </c>
      <c r="CA87" s="54">
        <f t="shared" si="51"/>
        <v>11.231126255801657</v>
      </c>
      <c r="CB87" s="54">
        <f t="shared" si="51"/>
        <v>12.23746754543639</v>
      </c>
      <c r="CC87" s="54">
        <f t="shared" si="51"/>
        <v>5.2585339211173094</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5" customFormat="1" x14ac:dyDescent="0.25">
      <c r="A88" s="69" t="s">
        <v>584</v>
      </c>
      <c r="E88" s="75">
        <f>资产资本表!E54</f>
        <v>0</v>
      </c>
      <c r="F88" s="75">
        <f>资产资本表!F54</f>
        <v>0</v>
      </c>
      <c r="G88" s="75">
        <f>资产资本表!G54</f>
        <v>0</v>
      </c>
      <c r="H88" s="75">
        <f>资产资本表!H54</f>
        <v>0</v>
      </c>
      <c r="I88" s="75">
        <f>资产资本表!I54</f>
        <v>0</v>
      </c>
      <c r="J88" s="75">
        <f>资产资本表!J54</f>
        <v>0</v>
      </c>
      <c r="K88" s="75">
        <f>资产资本表!K54</f>
        <v>0</v>
      </c>
      <c r="L88" s="75">
        <f>资产资本表!L54</f>
        <v>0</v>
      </c>
      <c r="M88" s="75">
        <f>资产资本表!M54</f>
        <v>0</v>
      </c>
      <c r="N88" s="75">
        <f>资产资本表!N54</f>
        <v>0</v>
      </c>
      <c r="O88" s="75">
        <f>资产资本表!O54</f>
        <v>0</v>
      </c>
      <c r="P88" s="75">
        <f>资产资本表!P54</f>
        <v>0</v>
      </c>
      <c r="Q88" s="75">
        <f>资产资本表!Q54</f>
        <v>0</v>
      </c>
      <c r="R88" s="75">
        <f>资产资本表!R54</f>
        <v>0</v>
      </c>
      <c r="S88" s="75">
        <f>资产资本表!S54</f>
        <v>0</v>
      </c>
      <c r="T88" s="75">
        <f>资产资本表!T54</f>
        <v>0</v>
      </c>
      <c r="U88" s="75">
        <f>资产资本表!U54</f>
        <v>0</v>
      </c>
      <c r="V88" s="75">
        <f>资产资本表!V54</f>
        <v>0</v>
      </c>
      <c r="W88" s="75">
        <f>资产资本表!W54</f>
        <v>0</v>
      </c>
      <c r="X88" s="75">
        <f>资产资本表!X54</f>
        <v>0</v>
      </c>
      <c r="Y88" s="75">
        <f>资产资本表!Y54</f>
        <v>0</v>
      </c>
      <c r="Z88" s="75">
        <f>资产资本表!Z54</f>
        <v>0</v>
      </c>
      <c r="AA88" s="75">
        <f>资产资本表!AA54</f>
        <v>0</v>
      </c>
      <c r="AB88" s="75">
        <f>资产资本表!AB54</f>
        <v>0</v>
      </c>
      <c r="AC88" s="75">
        <f>资产资本表!AC54</f>
        <v>0</v>
      </c>
      <c r="AD88" s="75">
        <f>资产资本表!AD54</f>
        <v>0</v>
      </c>
      <c r="AE88" s="75">
        <f>资产资本表!AE54</f>
        <v>0</v>
      </c>
      <c r="AF88" s="75">
        <f>资产资本表!AF54</f>
        <v>0</v>
      </c>
      <c r="AG88" s="75">
        <f>资产资本表!AG54</f>
        <v>0</v>
      </c>
      <c r="AH88" s="75">
        <f>资产资本表!AH54</f>
        <v>0</v>
      </c>
      <c r="AI88" s="75">
        <f>资产资本表!AI54</f>
        <v>0</v>
      </c>
      <c r="AJ88" s="75">
        <f>资产资本表!AJ54</f>
        <v>0</v>
      </c>
      <c r="AK88" s="75">
        <f>资产资本表!AK54</f>
        <v>0</v>
      </c>
      <c r="AL88" s="75">
        <f>资产资本表!AL54</f>
        <v>0</v>
      </c>
      <c r="AM88" s="75">
        <f>资产资本表!AM54</f>
        <v>0</v>
      </c>
      <c r="AN88" s="75">
        <f>资产资本表!AN54</f>
        <v>0</v>
      </c>
      <c r="AO88" s="75">
        <f>资产资本表!AO54</f>
        <v>0</v>
      </c>
      <c r="AP88" s="75">
        <f>资产资本表!AP54</f>
        <v>0</v>
      </c>
      <c r="AQ88" s="75">
        <f>资产资本表!AQ54</f>
        <v>0</v>
      </c>
      <c r="AR88" s="75">
        <f>资产资本表!AR54</f>
        <v>0</v>
      </c>
      <c r="AS88" s="75">
        <f>资产资本表!AS54</f>
        <v>0</v>
      </c>
      <c r="AT88" s="75">
        <f>资产资本表!AT54</f>
        <v>0</v>
      </c>
      <c r="AU88" s="75">
        <f>资产资本表!AU54</f>
        <v>0</v>
      </c>
      <c r="AV88" s="75">
        <f>资产资本表!AV54</f>
        <v>0</v>
      </c>
      <c r="AW88" s="75">
        <f>资产资本表!AW54</f>
        <v>0</v>
      </c>
      <c r="AX88" s="75">
        <f>资产资本表!AX54</f>
        <v>0</v>
      </c>
      <c r="AY88" s="75">
        <f>资产资本表!AY54</f>
        <v>0</v>
      </c>
      <c r="AZ88" s="75">
        <f>资产资本表!AZ54</f>
        <v>0</v>
      </c>
      <c r="BA88" s="75">
        <f>资产资本表!BA54</f>
        <v>0</v>
      </c>
      <c r="BB88" s="75">
        <f>资产资本表!BB54</f>
        <v>0</v>
      </c>
      <c r="BC88" s="75">
        <f>资产资本表!BC54</f>
        <v>0</v>
      </c>
      <c r="BD88" s="75">
        <f>资产资本表!BD54</f>
        <v>210508998</v>
      </c>
      <c r="BE88" s="75">
        <f>资产资本表!BE54</f>
        <v>7614586</v>
      </c>
      <c r="BF88" s="75">
        <f>资产资本表!BF54</f>
        <v>12198867</v>
      </c>
      <c r="BG88" s="75">
        <f>资产资本表!BG54</f>
        <v>12198867</v>
      </c>
      <c r="BH88" s="75">
        <f>资产资本表!BH54</f>
        <v>11901867</v>
      </c>
      <c r="BI88" s="75">
        <f>资产资本表!BI54</f>
        <v>11901861</v>
      </c>
      <c r="BJ88" s="75">
        <f>资产资本表!BJ54</f>
        <v>0</v>
      </c>
      <c r="BK88" s="75">
        <f>资产资本表!BK54</f>
        <v>0</v>
      </c>
      <c r="BL88" s="75">
        <f>资产资本表!BL54</f>
        <v>0</v>
      </c>
      <c r="BM88" s="75">
        <f>资产资本表!BM54</f>
        <v>11241197</v>
      </c>
      <c r="BN88" s="75">
        <f>资产资本表!BN54</f>
        <v>0</v>
      </c>
      <c r="BO88" s="75">
        <f>资产资本表!BO54</f>
        <v>0</v>
      </c>
      <c r="BP88" s="75">
        <f>资产资本表!BP54</f>
        <v>0</v>
      </c>
      <c r="BQ88" s="75">
        <f>资产资本表!BQ54</f>
        <v>16878070</v>
      </c>
      <c r="BR88" s="75">
        <f>资产资本表!BR54</f>
        <v>0</v>
      </c>
      <c r="BS88" s="75">
        <f>资产资本表!BS54</f>
        <v>0</v>
      </c>
      <c r="BT88" s="75">
        <f>资产资本表!BT54</f>
        <v>0</v>
      </c>
      <c r="BU88" s="75">
        <f>资产资本表!BU54</f>
        <v>0</v>
      </c>
      <c r="BV88" s="75">
        <f>资产资本表!BV54</f>
        <v>0</v>
      </c>
      <c r="BW88" s="75">
        <f>资产资本表!BW54</f>
        <v>0</v>
      </c>
      <c r="BX88" s="75">
        <f>资产资本表!BX54</f>
        <v>0</v>
      </c>
      <c r="BY88" s="75">
        <f>资产资本表!BY54</f>
        <v>0</v>
      </c>
      <c r="BZ88" s="75">
        <f>资产资本表!BZ54</f>
        <v>0</v>
      </c>
      <c r="CA88" s="75">
        <f>资产资本表!CA54</f>
        <v>0</v>
      </c>
      <c r="CB88" s="75">
        <f>资产资本表!CB54</f>
        <v>0</v>
      </c>
      <c r="CC88" s="75">
        <f>资产资本表!CC54</f>
        <v>0</v>
      </c>
      <c r="CD88" s="75">
        <f>资产资本表!CD54</f>
        <v>0</v>
      </c>
      <c r="CE88" s="75">
        <f>资产资本表!CE54</f>
        <v>0</v>
      </c>
      <c r="CF88" s="75">
        <f>资产资本表!CF54</f>
        <v>0</v>
      </c>
      <c r="CG88" s="75">
        <f>资产资本表!CG54</f>
        <v>0</v>
      </c>
      <c r="CH88" s="75">
        <f>资产资本表!CH54</f>
        <v>0</v>
      </c>
      <c r="CI88" s="75">
        <f>资产资本表!CI54</f>
        <v>0</v>
      </c>
      <c r="CJ88" s="75">
        <f>资产资本表!CJ54</f>
        <v>0</v>
      </c>
      <c r="CK88" s="75">
        <f>资产资本表!CK54</f>
        <v>0</v>
      </c>
    </row>
    <row r="89" spans="1:89" s="75" customFormat="1" x14ac:dyDescent="0.25">
      <c r="A89" s="69" t="s">
        <v>585</v>
      </c>
      <c r="E89" s="75">
        <f>资产资本表!E55</f>
        <v>0</v>
      </c>
      <c r="F89" s="75">
        <f>资产资本表!F55</f>
        <v>0</v>
      </c>
      <c r="G89" s="75">
        <f>资产资本表!G55</f>
        <v>0</v>
      </c>
      <c r="H89" s="75">
        <f>资产资本表!H55</f>
        <v>0</v>
      </c>
      <c r="I89" s="75">
        <f>资产资本表!I55</f>
        <v>0</v>
      </c>
      <c r="J89" s="75">
        <f>资产资本表!J55</f>
        <v>0</v>
      </c>
      <c r="K89" s="75">
        <f>资产资本表!K55</f>
        <v>0</v>
      </c>
      <c r="L89" s="75">
        <f>资产资本表!L55</f>
        <v>0</v>
      </c>
      <c r="M89" s="75">
        <f>资产资本表!M55</f>
        <v>0</v>
      </c>
      <c r="N89" s="75">
        <f>资产资本表!N55</f>
        <v>0</v>
      </c>
      <c r="O89" s="75">
        <f>资产资本表!O55</f>
        <v>0</v>
      </c>
      <c r="P89" s="75">
        <f>资产资本表!P55</f>
        <v>0</v>
      </c>
      <c r="Q89" s="75">
        <f>资产资本表!Q55</f>
        <v>0</v>
      </c>
      <c r="R89" s="75">
        <f>资产资本表!R55</f>
        <v>0</v>
      </c>
      <c r="S89" s="75">
        <f>资产资本表!S55</f>
        <v>0</v>
      </c>
      <c r="T89" s="75">
        <f>资产资本表!T55</f>
        <v>0</v>
      </c>
      <c r="U89" s="75">
        <f>资产资本表!U55</f>
        <v>0</v>
      </c>
      <c r="V89" s="75">
        <f>资产资本表!V55</f>
        <v>0</v>
      </c>
      <c r="W89" s="75">
        <f>资产资本表!W55</f>
        <v>0</v>
      </c>
      <c r="X89" s="75">
        <f>资产资本表!X55</f>
        <v>136957</v>
      </c>
      <c r="Y89" s="75">
        <f>资产资本表!Y55</f>
        <v>0</v>
      </c>
      <c r="Z89" s="75">
        <f>资产资本表!Z55</f>
        <v>0</v>
      </c>
      <c r="AA89" s="75">
        <f>资产资本表!AA55</f>
        <v>0</v>
      </c>
      <c r="AB89" s="75">
        <f>资产资本表!AB55</f>
        <v>0</v>
      </c>
      <c r="AC89" s="75">
        <f>资产资本表!AC55</f>
        <v>0</v>
      </c>
      <c r="AD89" s="75">
        <f>资产资本表!AD55</f>
        <v>0</v>
      </c>
      <c r="AE89" s="75">
        <f>资产资本表!AE55</f>
        <v>0</v>
      </c>
      <c r="AF89" s="75">
        <f>资产资本表!AF55</f>
        <v>0</v>
      </c>
      <c r="AG89" s="75">
        <f>资产资本表!AG55</f>
        <v>0</v>
      </c>
      <c r="AH89" s="75">
        <f>资产资本表!AH55</f>
        <v>0</v>
      </c>
      <c r="AI89" s="75">
        <f>资产资本表!AI55</f>
        <v>0</v>
      </c>
      <c r="AJ89" s="75">
        <f>资产资本表!AJ55</f>
        <v>0</v>
      </c>
      <c r="AK89" s="75">
        <f>资产资本表!AK55</f>
        <v>0</v>
      </c>
      <c r="AL89" s="75">
        <f>资产资本表!AL55</f>
        <v>0</v>
      </c>
      <c r="AM89" s="75">
        <f>资产资本表!AM55</f>
        <v>0</v>
      </c>
      <c r="AN89" s="75">
        <f>资产资本表!AN55</f>
        <v>0</v>
      </c>
      <c r="AO89" s="75">
        <f>资产资本表!AO55</f>
        <v>0</v>
      </c>
      <c r="AP89" s="75">
        <f>资产资本表!AP55</f>
        <v>0</v>
      </c>
      <c r="AQ89" s="75">
        <f>资产资本表!AQ55</f>
        <v>0</v>
      </c>
      <c r="AR89" s="75">
        <f>资产资本表!AR55</f>
        <v>0</v>
      </c>
      <c r="AS89" s="75">
        <f>资产资本表!AS55</f>
        <v>0</v>
      </c>
      <c r="AT89" s="75">
        <f>资产资本表!AT55</f>
        <v>0</v>
      </c>
      <c r="AU89" s="75">
        <f>资产资本表!AU55</f>
        <v>0</v>
      </c>
      <c r="AV89" s="75">
        <f>资产资本表!AV55</f>
        <v>0</v>
      </c>
      <c r="AW89" s="75">
        <f>资产资本表!AW55</f>
        <v>0</v>
      </c>
      <c r="AX89" s="75">
        <f>资产资本表!AX55</f>
        <v>0</v>
      </c>
      <c r="AY89" s="75">
        <f>资产资本表!AY55</f>
        <v>0</v>
      </c>
      <c r="AZ89" s="75">
        <f>资产资本表!AZ55</f>
        <v>0</v>
      </c>
      <c r="BA89" s="75">
        <f>资产资本表!BA55</f>
        <v>0</v>
      </c>
      <c r="BB89" s="75">
        <f>资产资本表!BB55</f>
        <v>0</v>
      </c>
      <c r="BC89" s="75">
        <f>资产资本表!BC55</f>
        <v>0</v>
      </c>
      <c r="BD89" s="75">
        <f>资产资本表!BD55</f>
        <v>0</v>
      </c>
      <c r="BE89" s="75">
        <f>资产资本表!BE55</f>
        <v>0</v>
      </c>
      <c r="BF89" s="75">
        <f>资产资本表!BF55</f>
        <v>0</v>
      </c>
      <c r="BG89" s="75">
        <f>资产资本表!BG55</f>
        <v>0</v>
      </c>
      <c r="BH89" s="75">
        <f>资产资本表!BH55</f>
        <v>0</v>
      </c>
      <c r="BI89" s="75">
        <f>资产资本表!BI55</f>
        <v>0</v>
      </c>
      <c r="BJ89" s="75">
        <f>资产资本表!BJ55</f>
        <v>0</v>
      </c>
      <c r="BK89" s="75">
        <f>资产资本表!BK55</f>
        <v>0</v>
      </c>
      <c r="BL89" s="75">
        <f>资产资本表!BL55</f>
        <v>0</v>
      </c>
      <c r="BM89" s="75">
        <f>资产资本表!BM55</f>
        <v>0</v>
      </c>
      <c r="BN89" s="75">
        <f>资产资本表!BN55</f>
        <v>203667</v>
      </c>
      <c r="BO89" s="75">
        <f>资产资本表!BO55</f>
        <v>310804.61</v>
      </c>
      <c r="BP89" s="75">
        <f>资产资本表!BP55</f>
        <v>311667</v>
      </c>
      <c r="BQ89" s="75">
        <f>资产资本表!BQ55</f>
        <v>311667</v>
      </c>
      <c r="BR89" s="75">
        <f>资产资本表!BR55</f>
        <v>314306.96000000002</v>
      </c>
      <c r="BS89" s="75">
        <f>资产资本表!BS55</f>
        <v>168469</v>
      </c>
      <c r="BT89" s="75">
        <f>资产资本表!BT55</f>
        <v>516616</v>
      </c>
      <c r="BU89" s="75">
        <f>资产资本表!BU55</f>
        <v>0</v>
      </c>
      <c r="BV89" s="75">
        <f>资产资本表!BV55</f>
        <v>0</v>
      </c>
      <c r="BW89" s="75">
        <f>资产资本表!BW55</f>
        <v>0</v>
      </c>
      <c r="BX89" s="75">
        <f>资产资本表!BX55</f>
        <v>0</v>
      </c>
      <c r="BY89" s="75">
        <f>资产资本表!BY55</f>
        <v>0</v>
      </c>
      <c r="BZ89" s="75">
        <f>资产资本表!BZ55</f>
        <v>0</v>
      </c>
      <c r="CA89" s="75">
        <f>资产资本表!CA55</f>
        <v>0</v>
      </c>
      <c r="CB89" s="75">
        <f>资产资本表!CB55</f>
        <v>0</v>
      </c>
      <c r="CC89" s="75">
        <f>资产资本表!CC55</f>
        <v>0</v>
      </c>
      <c r="CD89" s="75">
        <f>资产资本表!CD55</f>
        <v>0</v>
      </c>
      <c r="CE89" s="75">
        <f>资产资本表!CE55</f>
        <v>0</v>
      </c>
      <c r="CF89" s="75">
        <f>资产资本表!CF55</f>
        <v>0</v>
      </c>
      <c r="CG89" s="75">
        <f>资产资本表!CG55</f>
        <v>0</v>
      </c>
      <c r="CH89" s="75">
        <f>资产资本表!CH55</f>
        <v>0</v>
      </c>
      <c r="CI89" s="75">
        <f>资产资本表!CI55</f>
        <v>0</v>
      </c>
      <c r="CJ89" s="75">
        <f>资产资本表!CJ55</f>
        <v>0</v>
      </c>
      <c r="CK89" s="75">
        <f>资产资本表!CK55</f>
        <v>0</v>
      </c>
    </row>
    <row r="90" spans="1:89" s="75" customFormat="1" x14ac:dyDescent="0.25">
      <c r="A90" s="69" t="s">
        <v>586</v>
      </c>
      <c r="E90" s="75">
        <f>资产资本表!E56</f>
        <v>0</v>
      </c>
      <c r="F90" s="75">
        <f>资产资本表!F56</f>
        <v>0</v>
      </c>
      <c r="G90" s="75">
        <f>资产资本表!G56</f>
        <v>0</v>
      </c>
      <c r="H90" s="75">
        <f>资产资本表!H56</f>
        <v>0</v>
      </c>
      <c r="I90" s="75">
        <f>资产资本表!I56</f>
        <v>0</v>
      </c>
      <c r="J90" s="75">
        <f>资产资本表!J56</f>
        <v>0</v>
      </c>
      <c r="K90" s="75">
        <f>资产资本表!K56</f>
        <v>0</v>
      </c>
      <c r="L90" s="75">
        <f>资产资本表!L56</f>
        <v>0</v>
      </c>
      <c r="M90" s="75">
        <f>资产资本表!M56</f>
        <v>0</v>
      </c>
      <c r="N90" s="75">
        <f>资产资本表!N56</f>
        <v>0</v>
      </c>
      <c r="O90" s="75">
        <f>资产资本表!O56</f>
        <v>0</v>
      </c>
      <c r="P90" s="75">
        <f>资产资本表!P56</f>
        <v>0</v>
      </c>
      <c r="Q90" s="75">
        <f>资产资本表!Q56</f>
        <v>0</v>
      </c>
      <c r="R90" s="75">
        <f>资产资本表!R56</f>
        <v>0</v>
      </c>
      <c r="S90" s="75">
        <f>资产资本表!S56</f>
        <v>0</v>
      </c>
      <c r="T90" s="75">
        <f>资产资本表!T56</f>
        <v>0</v>
      </c>
      <c r="U90" s="75">
        <f>资产资本表!U56</f>
        <v>0</v>
      </c>
      <c r="V90" s="75">
        <f>资产资本表!V56</f>
        <v>0</v>
      </c>
      <c r="W90" s="75">
        <f>资产资本表!W56</f>
        <v>0</v>
      </c>
      <c r="X90" s="75">
        <f>资产资本表!X56</f>
        <v>0</v>
      </c>
      <c r="Y90" s="75">
        <f>资产资本表!Y56</f>
        <v>0</v>
      </c>
      <c r="Z90" s="75">
        <f>资产资本表!Z56</f>
        <v>0</v>
      </c>
      <c r="AA90" s="75">
        <f>资产资本表!AA56</f>
        <v>0</v>
      </c>
      <c r="AB90" s="75">
        <f>资产资本表!AB56</f>
        <v>0</v>
      </c>
      <c r="AC90" s="75">
        <f>资产资本表!AC56</f>
        <v>0</v>
      </c>
      <c r="AD90" s="75">
        <f>资产资本表!AD56</f>
        <v>0</v>
      </c>
      <c r="AE90" s="75">
        <f>资产资本表!AE56</f>
        <v>0</v>
      </c>
      <c r="AF90" s="75">
        <f>资产资本表!AF56</f>
        <v>0</v>
      </c>
      <c r="AG90" s="75">
        <f>资产资本表!AG56</f>
        <v>0</v>
      </c>
      <c r="AH90" s="75">
        <f>资产资本表!AH56</f>
        <v>0</v>
      </c>
      <c r="AI90" s="75">
        <f>资产资本表!AI56</f>
        <v>0</v>
      </c>
      <c r="AJ90" s="75">
        <f>资产资本表!AJ56</f>
        <v>0</v>
      </c>
      <c r="AK90" s="75">
        <f>资产资本表!AK56</f>
        <v>0</v>
      </c>
      <c r="AL90" s="75">
        <f>资产资本表!AL56</f>
        <v>0</v>
      </c>
      <c r="AM90" s="75">
        <f>资产资本表!AM56</f>
        <v>0</v>
      </c>
      <c r="AN90" s="75">
        <f>资产资本表!AN56</f>
        <v>0</v>
      </c>
      <c r="AO90" s="75">
        <f>资产资本表!AO56</f>
        <v>0</v>
      </c>
      <c r="AP90" s="75">
        <f>资产资本表!AP56</f>
        <v>0</v>
      </c>
      <c r="AQ90" s="75">
        <f>资产资本表!AQ56</f>
        <v>0</v>
      </c>
      <c r="AR90" s="75">
        <f>资产资本表!AR56</f>
        <v>0</v>
      </c>
      <c r="AS90" s="75">
        <f>资产资本表!AS56</f>
        <v>0</v>
      </c>
      <c r="AT90" s="75">
        <f>资产资本表!AT56</f>
        <v>0</v>
      </c>
      <c r="AU90" s="75">
        <f>资产资本表!AU56</f>
        <v>0</v>
      </c>
      <c r="AV90" s="75">
        <f>资产资本表!AV56</f>
        <v>0</v>
      </c>
      <c r="AW90" s="75">
        <f>资产资本表!AW56</f>
        <v>0</v>
      </c>
      <c r="AX90" s="75">
        <f>资产资本表!AX56</f>
        <v>0</v>
      </c>
      <c r="AY90" s="75">
        <f>资产资本表!AY56</f>
        <v>0</v>
      </c>
      <c r="AZ90" s="75">
        <f>资产资本表!AZ56</f>
        <v>0</v>
      </c>
      <c r="BA90" s="75">
        <f>资产资本表!BA56</f>
        <v>0</v>
      </c>
      <c r="BB90" s="75">
        <f>资产资本表!BB56</f>
        <v>0</v>
      </c>
      <c r="BC90" s="75">
        <f>资产资本表!BC56</f>
        <v>0</v>
      </c>
      <c r="BD90" s="75">
        <f>资产资本表!BD56</f>
        <v>0</v>
      </c>
      <c r="BE90" s="75">
        <f>资产资本表!BE56</f>
        <v>0</v>
      </c>
      <c r="BF90" s="75">
        <f>资产资本表!BF56</f>
        <v>0</v>
      </c>
      <c r="BG90" s="75">
        <f>资产资本表!BG56</f>
        <v>0</v>
      </c>
      <c r="BH90" s="75">
        <f>资产资本表!BH56</f>
        <v>0</v>
      </c>
      <c r="BI90" s="75">
        <f>资产资本表!BI56</f>
        <v>0</v>
      </c>
      <c r="BJ90" s="75">
        <f>资产资本表!BJ56</f>
        <v>0</v>
      </c>
      <c r="BK90" s="75">
        <f>资产资本表!BK56</f>
        <v>0</v>
      </c>
      <c r="BL90" s="75">
        <f>资产资本表!BL56</f>
        <v>0</v>
      </c>
      <c r="BM90" s="75">
        <f>资产资本表!BM56</f>
        <v>0</v>
      </c>
      <c r="BN90" s="75">
        <f>资产资本表!BN56</f>
        <v>0</v>
      </c>
      <c r="BO90" s="75">
        <f>资产资本表!BO56</f>
        <v>0</v>
      </c>
      <c r="BP90" s="75">
        <f>资产资本表!BP56</f>
        <v>0</v>
      </c>
      <c r="BQ90" s="75">
        <f>资产资本表!BQ56</f>
        <v>0</v>
      </c>
      <c r="BR90" s="75">
        <f>资产资本表!BR56</f>
        <v>0</v>
      </c>
      <c r="BS90" s="75">
        <f>资产资本表!BS56</f>
        <v>0</v>
      </c>
      <c r="BT90" s="75">
        <f>资产资本表!BT56</f>
        <v>0</v>
      </c>
      <c r="BU90" s="75">
        <f>资产资本表!BU56</f>
        <v>0</v>
      </c>
      <c r="BV90" s="75">
        <f>资产资本表!BV56</f>
        <v>0</v>
      </c>
      <c r="BW90" s="75">
        <f>资产资本表!BW56</f>
        <v>0</v>
      </c>
      <c r="BX90" s="75">
        <f>资产资本表!BX56</f>
        <v>0</v>
      </c>
      <c r="BY90" s="75">
        <f>资产资本表!BY56</f>
        <v>0</v>
      </c>
      <c r="BZ90" s="75">
        <f>资产资本表!BZ56</f>
        <v>0</v>
      </c>
      <c r="CA90" s="75">
        <f>资产资本表!CA56</f>
        <v>0</v>
      </c>
      <c r="CB90" s="75">
        <f>资产资本表!CB56</f>
        <v>0</v>
      </c>
      <c r="CC90" s="75">
        <f>资产资本表!CC56</f>
        <v>0</v>
      </c>
      <c r="CD90" s="75">
        <f>资产资本表!CD56</f>
        <v>0</v>
      </c>
      <c r="CE90" s="75">
        <f>资产资本表!CE56</f>
        <v>0</v>
      </c>
      <c r="CF90" s="75">
        <f>资产资本表!CF56</f>
        <v>0</v>
      </c>
      <c r="CG90" s="75">
        <f>资产资本表!CG56</f>
        <v>0</v>
      </c>
      <c r="CH90" s="75">
        <f>资产资本表!CH56</f>
        <v>0</v>
      </c>
      <c r="CI90" s="75">
        <f>资产资本表!CI56</f>
        <v>0</v>
      </c>
      <c r="CJ90" s="75">
        <f>资产资本表!CJ56</f>
        <v>0</v>
      </c>
      <c r="CK90" s="75">
        <f>资产资本表!CK56</f>
        <v>0</v>
      </c>
    </row>
    <row r="91" spans="1:89" s="75" customFormat="1" x14ac:dyDescent="0.25">
      <c r="A91" s="69" t="s">
        <v>587</v>
      </c>
      <c r="E91" s="75">
        <f>资产资本表!E57</f>
        <v>0</v>
      </c>
      <c r="F91" s="75">
        <f>资产资本表!F57</f>
        <v>0</v>
      </c>
      <c r="G91" s="75">
        <f>资产资本表!G57</f>
        <v>0</v>
      </c>
      <c r="H91" s="75">
        <f>资产资本表!H57</f>
        <v>0</v>
      </c>
      <c r="I91" s="75">
        <f>资产资本表!I57</f>
        <v>0</v>
      </c>
      <c r="J91" s="75">
        <f>资产资本表!J57</f>
        <v>0</v>
      </c>
      <c r="K91" s="75">
        <f>资产资本表!K57</f>
        <v>0</v>
      </c>
      <c r="L91" s="75">
        <f>资产资本表!L57</f>
        <v>0</v>
      </c>
      <c r="M91" s="75">
        <f>资产资本表!M57</f>
        <v>0</v>
      </c>
      <c r="N91" s="75">
        <f>资产资本表!N57</f>
        <v>0</v>
      </c>
      <c r="O91" s="75">
        <f>资产资本表!O57</f>
        <v>0</v>
      </c>
      <c r="P91" s="75">
        <f>资产资本表!P57</f>
        <v>0</v>
      </c>
      <c r="Q91" s="75">
        <f>资产资本表!Q57</f>
        <v>0</v>
      </c>
      <c r="R91" s="75">
        <f>资产资本表!R57</f>
        <v>0</v>
      </c>
      <c r="S91" s="75">
        <f>资产资本表!S57</f>
        <v>0</v>
      </c>
      <c r="T91" s="75">
        <f>资产资本表!T57</f>
        <v>0</v>
      </c>
      <c r="U91" s="75">
        <f>资产资本表!U57</f>
        <v>0</v>
      </c>
      <c r="V91" s="75">
        <f>资产资本表!V57</f>
        <v>0</v>
      </c>
      <c r="W91" s="75">
        <f>资产资本表!W57</f>
        <v>0</v>
      </c>
      <c r="X91" s="75">
        <f>资产资本表!X57</f>
        <v>0</v>
      </c>
      <c r="Y91" s="75">
        <f>资产资本表!Y57</f>
        <v>0</v>
      </c>
      <c r="Z91" s="75">
        <f>资产资本表!Z57</f>
        <v>0</v>
      </c>
      <c r="AA91" s="75">
        <f>资产资本表!AA57</f>
        <v>0</v>
      </c>
      <c r="AB91" s="75">
        <f>资产资本表!AB57</f>
        <v>0</v>
      </c>
      <c r="AC91" s="75">
        <f>资产资本表!AC57</f>
        <v>0</v>
      </c>
      <c r="AD91" s="75">
        <f>资产资本表!AD57</f>
        <v>0</v>
      </c>
      <c r="AE91" s="75">
        <f>资产资本表!AE57</f>
        <v>0</v>
      </c>
      <c r="AF91" s="75">
        <f>资产资本表!AF57</f>
        <v>0</v>
      </c>
      <c r="AG91" s="75">
        <f>资产资本表!AG57</f>
        <v>0</v>
      </c>
      <c r="AH91" s="75">
        <f>资产资本表!AH57</f>
        <v>0</v>
      </c>
      <c r="AI91" s="75">
        <f>资产资本表!AI57</f>
        <v>0</v>
      </c>
      <c r="AJ91" s="75">
        <f>资产资本表!AJ57</f>
        <v>0</v>
      </c>
      <c r="AK91" s="75">
        <f>资产资本表!AK57</f>
        <v>0</v>
      </c>
      <c r="AL91" s="75">
        <f>资产资本表!AL57</f>
        <v>0</v>
      </c>
      <c r="AM91" s="75">
        <f>资产资本表!AM57</f>
        <v>0</v>
      </c>
      <c r="AN91" s="75">
        <f>资产资本表!AN57</f>
        <v>0</v>
      </c>
      <c r="AO91" s="75">
        <f>资产资本表!AO57</f>
        <v>0</v>
      </c>
      <c r="AP91" s="75">
        <f>资产资本表!AP57</f>
        <v>0</v>
      </c>
      <c r="AQ91" s="75">
        <f>资产资本表!AQ57</f>
        <v>0</v>
      </c>
      <c r="AR91" s="75">
        <f>资产资本表!AR57</f>
        <v>0</v>
      </c>
      <c r="AS91" s="75">
        <f>资产资本表!AS57</f>
        <v>0</v>
      </c>
      <c r="AT91" s="75">
        <f>资产资本表!AT57</f>
        <v>0</v>
      </c>
      <c r="AU91" s="75">
        <f>资产资本表!AU57</f>
        <v>0</v>
      </c>
      <c r="AV91" s="75">
        <f>资产资本表!AV57</f>
        <v>0</v>
      </c>
      <c r="AW91" s="75">
        <f>资产资本表!AW57</f>
        <v>0</v>
      </c>
      <c r="AX91" s="75">
        <f>资产资本表!AX57</f>
        <v>0</v>
      </c>
      <c r="AY91" s="75">
        <f>资产资本表!AY57</f>
        <v>0</v>
      </c>
      <c r="AZ91" s="75">
        <f>资产资本表!AZ57</f>
        <v>0</v>
      </c>
      <c r="BA91" s="75">
        <f>资产资本表!BA57</f>
        <v>0</v>
      </c>
      <c r="BB91" s="75">
        <f>资产资本表!BB57</f>
        <v>0</v>
      </c>
      <c r="BC91" s="75">
        <f>资产资本表!BC57</f>
        <v>0</v>
      </c>
      <c r="BD91" s="75">
        <f>资产资本表!BD57</f>
        <v>0</v>
      </c>
      <c r="BE91" s="75">
        <f>资产资本表!BE57</f>
        <v>0</v>
      </c>
      <c r="BF91" s="75">
        <f>资产资本表!BF57</f>
        <v>0</v>
      </c>
      <c r="BG91" s="75">
        <f>资产资本表!BG57</f>
        <v>0</v>
      </c>
      <c r="BH91" s="75">
        <f>资产资本表!BH57</f>
        <v>0</v>
      </c>
      <c r="BI91" s="75">
        <f>资产资本表!BI57</f>
        <v>0</v>
      </c>
      <c r="BJ91" s="75">
        <f>资产资本表!BJ57</f>
        <v>0</v>
      </c>
      <c r="BK91" s="75">
        <f>资产资本表!BK57</f>
        <v>0</v>
      </c>
      <c r="BL91" s="75">
        <f>资产资本表!BL57</f>
        <v>0</v>
      </c>
      <c r="BM91" s="75">
        <f>资产资本表!BM57</f>
        <v>0</v>
      </c>
      <c r="BN91" s="75">
        <f>资产资本表!BN57</f>
        <v>0</v>
      </c>
      <c r="BO91" s="75">
        <f>资产资本表!BO57</f>
        <v>0</v>
      </c>
      <c r="BP91" s="75">
        <f>资产资本表!BP57</f>
        <v>0</v>
      </c>
      <c r="BQ91" s="75">
        <f>资产资本表!BQ57</f>
        <v>0</v>
      </c>
      <c r="BR91" s="75">
        <f>资产资本表!BR57</f>
        <v>0</v>
      </c>
      <c r="BS91" s="75">
        <f>资产资本表!BS57</f>
        <v>0</v>
      </c>
      <c r="BT91" s="75">
        <f>资产资本表!BT57</f>
        <v>0</v>
      </c>
      <c r="BU91" s="75">
        <f>资产资本表!BU57</f>
        <v>0</v>
      </c>
      <c r="BV91" s="75">
        <f>资产资本表!BV57</f>
        <v>0</v>
      </c>
      <c r="BW91" s="75">
        <f>资产资本表!BW57</f>
        <v>0</v>
      </c>
      <c r="BX91" s="75">
        <f>资产资本表!BX57</f>
        <v>0</v>
      </c>
      <c r="BY91" s="75">
        <f>资产资本表!BY57</f>
        <v>0</v>
      </c>
      <c r="BZ91" s="75">
        <f>资产资本表!BZ57</f>
        <v>0</v>
      </c>
      <c r="CA91" s="75">
        <f>资产资本表!CA57</f>
        <v>0</v>
      </c>
      <c r="CB91" s="75">
        <f>资产资本表!CB57</f>
        <v>0</v>
      </c>
      <c r="CC91" s="75">
        <f>资产资本表!CC57</f>
        <v>0</v>
      </c>
      <c r="CD91" s="75">
        <f>资产资本表!CD57</f>
        <v>0</v>
      </c>
      <c r="CE91" s="75">
        <f>资产资本表!CE57</f>
        <v>0</v>
      </c>
      <c r="CF91" s="75">
        <f>资产资本表!CF57</f>
        <v>0</v>
      </c>
      <c r="CG91" s="75">
        <f>资产资本表!CG57</f>
        <v>0</v>
      </c>
      <c r="CH91" s="75">
        <f>资产资本表!CH57</f>
        <v>0</v>
      </c>
      <c r="CI91" s="75">
        <f>资产资本表!CI57</f>
        <v>0</v>
      </c>
      <c r="CJ91" s="75">
        <f>资产资本表!CJ57</f>
        <v>0</v>
      </c>
      <c r="CK91" s="75">
        <f>资产资本表!CK57</f>
        <v>0</v>
      </c>
    </row>
    <row r="92" spans="1:89" s="75" customFormat="1" x14ac:dyDescent="0.25">
      <c r="A92" s="69" t="s">
        <v>588</v>
      </c>
      <c r="E92" s="75">
        <f>资产资本表!E58</f>
        <v>2982664308</v>
      </c>
      <c r="F92" s="75">
        <f>资产资本表!F58</f>
        <v>3285107422</v>
      </c>
      <c r="G92" s="75">
        <f>资产资本表!G58</f>
        <v>3046125155</v>
      </c>
      <c r="H92" s="75">
        <f>资产资本表!H58</f>
        <v>3086565460</v>
      </c>
      <c r="I92" s="75">
        <f>资产资本表!I58</f>
        <v>3136873387</v>
      </c>
      <c r="J92" s="75">
        <f>资产资本表!J58</f>
        <v>2864508290</v>
      </c>
      <c r="K92" s="75">
        <f>资产资本表!K58</f>
        <v>2605562535</v>
      </c>
      <c r="L92" s="75">
        <f>资产资本表!L58</f>
        <v>2633021936</v>
      </c>
      <c r="M92" s="75">
        <f>资产资本表!M58</f>
        <v>2679239255</v>
      </c>
      <c r="N92" s="75">
        <f>资产资本表!N58</f>
        <v>2690226279</v>
      </c>
      <c r="O92" s="75">
        <f>资产资本表!O58</f>
        <v>2065601239</v>
      </c>
      <c r="P92" s="75">
        <f>资产资本表!P58</f>
        <v>2101548672</v>
      </c>
      <c r="Q92" s="75">
        <f>资产资本表!Q58</f>
        <v>2158510516</v>
      </c>
      <c r="R92" s="75">
        <f>资产资本表!R58</f>
        <v>2111798213</v>
      </c>
      <c r="S92" s="75">
        <f>资产资本表!S58</f>
        <v>2156864047</v>
      </c>
      <c r="T92" s="75">
        <f>资产资本表!T58</f>
        <v>1980602324</v>
      </c>
      <c r="U92" s="75">
        <f>资产资本表!U58</f>
        <v>2025945856</v>
      </c>
      <c r="V92" s="75">
        <f>资产资本表!V58</f>
        <v>1678201309</v>
      </c>
      <c r="W92" s="75">
        <f>资产资本表!W58</f>
        <v>1705658091</v>
      </c>
      <c r="X92" s="75">
        <f>资产资本表!X58</f>
        <v>1465302961</v>
      </c>
      <c r="Y92" s="75">
        <f>资产资本表!Y58</f>
        <v>1497109054</v>
      </c>
      <c r="Z92" s="75">
        <f>资产资本表!Z58</f>
        <v>1361313182</v>
      </c>
      <c r="AA92" s="75">
        <f>资产资本表!AA58</f>
        <v>1404317912</v>
      </c>
      <c r="AB92" s="75">
        <f>资产资本表!AB58</f>
        <v>1429158183</v>
      </c>
      <c r="AC92" s="75">
        <f>资产资本表!AC58</f>
        <v>1454669394</v>
      </c>
      <c r="AD92" s="75">
        <f>资产资本表!AD58</f>
        <v>1077242433</v>
      </c>
      <c r="AE92" s="75">
        <f>资产资本表!AE58</f>
        <v>1087340300</v>
      </c>
      <c r="AF92" s="75">
        <f>资产资本表!AF58</f>
        <v>1104039605</v>
      </c>
      <c r="AG92" s="75">
        <f>资产资本表!AG58</f>
        <v>1112496157</v>
      </c>
      <c r="AH92" s="75">
        <f>资产资本表!AH58</f>
        <v>1010904414</v>
      </c>
      <c r="AI92" s="75">
        <f>资产资本表!AI58</f>
        <v>928991992</v>
      </c>
      <c r="AJ92" s="75">
        <f>资产资本表!AJ58</f>
        <v>775394191</v>
      </c>
      <c r="AK92" s="75">
        <f>资产资本表!AK58</f>
        <v>774986122</v>
      </c>
      <c r="AL92" s="75">
        <f>资产资本表!AL58</f>
        <v>682335892</v>
      </c>
      <c r="AM92" s="75">
        <f>资产资本表!AM58</f>
        <v>699239960</v>
      </c>
      <c r="AN92" s="75">
        <f>资产资本表!AN58</f>
        <v>703200546</v>
      </c>
      <c r="AO92" s="75">
        <f>资产资本表!AO58</f>
        <v>715814320</v>
      </c>
      <c r="AP92" s="75">
        <f>资产资本表!AP58</f>
        <v>729123591</v>
      </c>
      <c r="AQ92" s="75">
        <f>资产资本表!AQ58</f>
        <v>735809607</v>
      </c>
      <c r="AR92" s="75">
        <f>资产资本表!AR58</f>
        <v>730808796</v>
      </c>
      <c r="AS92" s="75">
        <f>资产资本表!AS58</f>
        <v>742637961</v>
      </c>
      <c r="AT92" s="75">
        <f>资产资本表!AT58</f>
        <v>748075180</v>
      </c>
      <c r="AU92" s="75">
        <f>资产资本表!AU58</f>
        <v>748040868</v>
      </c>
      <c r="AV92" s="75">
        <f>资产资本表!AV58</f>
        <v>747312778</v>
      </c>
      <c r="AW92" s="75">
        <f>资产资本表!AW58</f>
        <v>746989431</v>
      </c>
      <c r="AX92" s="75">
        <f>资产资本表!AX58</f>
        <v>738499958</v>
      </c>
      <c r="AY92" s="75">
        <f>资产资本表!AY58</f>
        <v>249082764</v>
      </c>
      <c r="AZ92" s="75">
        <f>资产资本表!AZ58</f>
        <v>246654422</v>
      </c>
      <c r="BA92" s="75">
        <f>资产资本表!BA58</f>
        <v>261585751</v>
      </c>
      <c r="BB92" s="75">
        <f>资产资本表!BB58</f>
        <v>242505056</v>
      </c>
      <c r="BC92" s="75">
        <f>资产资本表!BC58</f>
        <v>253840059</v>
      </c>
      <c r="BD92" s="75">
        <f>资产资本表!BD58</f>
        <v>192861612</v>
      </c>
      <c r="BE92" s="75">
        <f>资产资本表!BE58</f>
        <v>159322273</v>
      </c>
      <c r="BF92" s="75">
        <f>资产资本表!BF58</f>
        <v>167273762.19999999</v>
      </c>
      <c r="BG92" s="75">
        <f>资产资本表!BG58</f>
        <v>180688803.97</v>
      </c>
      <c r="BH92" s="75">
        <f>资产资本表!BH58</f>
        <v>67459140.769999996</v>
      </c>
      <c r="BI92" s="75">
        <f>资产资本表!BI58</f>
        <v>160190232</v>
      </c>
      <c r="BJ92" s="75">
        <f>资产资本表!BJ58</f>
        <v>141917692.09</v>
      </c>
      <c r="BK92" s="75">
        <f>资产资本表!BK58</f>
        <v>123261919.56999999</v>
      </c>
      <c r="BL92" s="75">
        <f>资产资本表!BL58</f>
        <v>145324877.68000001</v>
      </c>
      <c r="BM92" s="75">
        <f>资产资本表!BM58</f>
        <v>128946439</v>
      </c>
      <c r="BN92" s="75">
        <f>资产资本表!BN58</f>
        <v>118040348.65000001</v>
      </c>
      <c r="BO92" s="75">
        <f>资产资本表!BO58</f>
        <v>113676182.87</v>
      </c>
      <c r="BP92" s="75">
        <f>资产资本表!BP58</f>
        <v>110724831.68000001</v>
      </c>
      <c r="BQ92" s="75">
        <f>资产资本表!BQ58</f>
        <v>107766428</v>
      </c>
      <c r="BR92" s="75">
        <f>资产资本表!BR58</f>
        <v>42468330.640000001</v>
      </c>
      <c r="BS92" s="75">
        <f>资产资本表!BS58</f>
        <v>39188824</v>
      </c>
      <c r="BT92" s="75">
        <f>资产资本表!BT58</f>
        <v>38426429</v>
      </c>
      <c r="BU92" s="75">
        <f>资产资本表!BU58</f>
        <v>35420004</v>
      </c>
      <c r="BV92" s="75">
        <f>资产资本表!BV58</f>
        <v>35205677.229999997</v>
      </c>
      <c r="BW92" s="75">
        <f>资产资本表!BW58</f>
        <v>34611000</v>
      </c>
      <c r="BX92" s="75">
        <f>资产资本表!BX58</f>
        <v>0</v>
      </c>
      <c r="BY92" s="75">
        <f>资产资本表!BY58</f>
        <v>0</v>
      </c>
      <c r="BZ92" s="75">
        <f>资产资本表!BZ58</f>
        <v>0</v>
      </c>
      <c r="CA92" s="75">
        <f>资产资本表!CA58</f>
        <v>0</v>
      </c>
      <c r="CB92" s="75">
        <f>资产资本表!CB58</f>
        <v>25384000</v>
      </c>
      <c r="CC92" s="75">
        <f>资产资本表!CC58</f>
        <v>25384000</v>
      </c>
      <c r="CD92" s="75">
        <f>资产资本表!CD58</f>
        <v>0</v>
      </c>
      <c r="CE92" s="75">
        <f>资产资本表!CE58</f>
        <v>0</v>
      </c>
      <c r="CF92" s="75">
        <f>资产资本表!CF58</f>
        <v>0</v>
      </c>
      <c r="CG92" s="75">
        <f>资产资本表!CG58</f>
        <v>0</v>
      </c>
      <c r="CH92" s="75">
        <f>资产资本表!CH58</f>
        <v>0</v>
      </c>
      <c r="CI92" s="75">
        <f>资产资本表!CI58</f>
        <v>0</v>
      </c>
      <c r="CJ92" s="75">
        <f>资产资本表!CJ58</f>
        <v>0</v>
      </c>
      <c r="CK92" s="75">
        <f>资产资本表!CK58</f>
        <v>0</v>
      </c>
    </row>
    <row r="93" spans="1:89" s="153" customFormat="1" x14ac:dyDescent="0.25">
      <c r="A93" s="249" t="s">
        <v>687</v>
      </c>
      <c r="E93" s="153">
        <f>E81/E92</f>
        <v>31.448553886339663</v>
      </c>
      <c r="F93" s="153">
        <f t="shared" ref="F93:BQ93" si="52">F81/F92</f>
        <v>21.128184630791658</v>
      </c>
      <c r="G93" s="153">
        <f t="shared" si="52"/>
        <v>14.643202667422901</v>
      </c>
      <c r="H93" s="153">
        <f t="shared" si="52"/>
        <v>7.0806774213043902</v>
      </c>
      <c r="I93" s="153">
        <f t="shared" si="52"/>
        <v>21.963162188350065</v>
      </c>
      <c r="J93" s="153">
        <f t="shared" si="52"/>
        <v>16.003411787996605</v>
      </c>
      <c r="K93" s="153">
        <f t="shared" si="52"/>
        <v>10.150710398129055</v>
      </c>
      <c r="L93" s="153">
        <f t="shared" si="52"/>
        <v>4.670579709898778</v>
      </c>
      <c r="M93" s="153">
        <f t="shared" si="52"/>
        <v>18.14833528631619</v>
      </c>
      <c r="N93" s="153">
        <f t="shared" si="52"/>
        <v>13.538060469596655</v>
      </c>
      <c r="O93" s="153">
        <f t="shared" si="52"/>
        <v>11.120659534035068</v>
      </c>
      <c r="P93" s="153">
        <f t="shared" si="52"/>
        <v>5.5115803565838135</v>
      </c>
      <c r="Q93" s="153">
        <f t="shared" si="52"/>
        <v>17.056352703912424</v>
      </c>
      <c r="R93" s="153">
        <f t="shared" si="52"/>
        <v>11.974661796912885</v>
      </c>
      <c r="S93" s="153">
        <f t="shared" si="52"/>
        <v>7.4706477705036365</v>
      </c>
      <c r="T93" s="153">
        <f t="shared" si="52"/>
        <v>4.0854639101190919</v>
      </c>
      <c r="U93" s="153">
        <f t="shared" si="52"/>
        <v>16.670872777756998</v>
      </c>
      <c r="V93" s="153">
        <f t="shared" si="52"/>
        <v>14.762097718039618</v>
      </c>
      <c r="W93" s="153">
        <f t="shared" si="52"/>
        <v>9.5296508443086321</v>
      </c>
      <c r="X93" s="153">
        <f t="shared" si="52"/>
        <v>5.4996570071081701</v>
      </c>
      <c r="Y93" s="153">
        <f t="shared" si="52"/>
        <v>17.214232535126996</v>
      </c>
      <c r="Z93" s="153">
        <f t="shared" si="52"/>
        <v>12.578228307349191</v>
      </c>
      <c r="AA93" s="153">
        <f t="shared" si="52"/>
        <v>6.8423837158889702</v>
      </c>
      <c r="AB93" s="153">
        <f t="shared" si="52"/>
        <v>2.9021568986111315</v>
      </c>
      <c r="AC93" s="153">
        <f t="shared" si="52"/>
        <v>8.7589754858071895</v>
      </c>
      <c r="AD93" s="153">
        <f t="shared" si="52"/>
        <v>7.9041043066672438</v>
      </c>
      <c r="AE93" s="153">
        <f t="shared" si="52"/>
        <v>4.5432271727627498</v>
      </c>
      <c r="AF93" s="153">
        <f t="shared" si="52"/>
        <v>1.7840358380983987</v>
      </c>
      <c r="AG93" s="153">
        <f t="shared" si="52"/>
        <v>7.2137695015875902</v>
      </c>
      <c r="AH93" s="153">
        <f t="shared" si="52"/>
        <v>6.1351635358474157</v>
      </c>
      <c r="AI93" s="153">
        <f t="shared" si="52"/>
        <v>4.5064219272624255</v>
      </c>
      <c r="AJ93" s="153">
        <f t="shared" si="52"/>
        <v>2.4421634505126182</v>
      </c>
      <c r="AK93" s="153">
        <f t="shared" si="52"/>
        <v>8.0636206876489069</v>
      </c>
      <c r="AL93" s="153">
        <f t="shared" si="52"/>
        <v>6.3671167997124796</v>
      </c>
      <c r="AM93" s="153">
        <f t="shared" si="52"/>
        <v>3.2865880348142573</v>
      </c>
      <c r="AN93" s="153">
        <f t="shared" si="52"/>
        <v>1.0251628502006311</v>
      </c>
      <c r="AO93" s="153">
        <f t="shared" si="52"/>
        <v>11.642706129433119</v>
      </c>
      <c r="AP93" s="153">
        <f t="shared" si="52"/>
        <v>9.9735851339365045</v>
      </c>
      <c r="AQ93" s="153">
        <f t="shared" si="52"/>
        <v>7.4827806264290864</v>
      </c>
      <c r="AR93" s="153">
        <f t="shared" si="52"/>
        <v>4.0184527239871919</v>
      </c>
      <c r="AS93" s="153">
        <f t="shared" si="52"/>
        <v>15.041580745425966</v>
      </c>
      <c r="AT93" s="153">
        <f t="shared" si="52"/>
        <v>10.595319323386722</v>
      </c>
      <c r="AU93" s="153">
        <f t="shared" si="52"/>
        <v>6.2686311438267568</v>
      </c>
      <c r="AV93" s="153">
        <f t="shared" si="52"/>
        <v>2.8807741917133391</v>
      </c>
      <c r="AW93" s="153">
        <f t="shared" si="52"/>
        <v>11.75571428533371</v>
      </c>
      <c r="AX93" s="153">
        <f t="shared" si="52"/>
        <v>9.0183789394338731</v>
      </c>
      <c r="AY93" s="153">
        <f t="shared" si="52"/>
        <v>17.227241496324492</v>
      </c>
      <c r="AZ93" s="153">
        <f t="shared" si="52"/>
        <v>9.7495539163696812</v>
      </c>
      <c r="BA93" s="153">
        <f t="shared" si="52"/>
        <v>51.462256799300967</v>
      </c>
      <c r="BB93" s="153">
        <f t="shared" si="52"/>
        <v>35.247968067107024</v>
      </c>
      <c r="BC93" s="153">
        <f t="shared" si="52"/>
        <v>17.025329918474373</v>
      </c>
      <c r="BD93" s="153">
        <f t="shared" si="52"/>
        <v>10.794603344910339</v>
      </c>
      <c r="BE93" s="153">
        <f t="shared" si="52"/>
        <v>78.091451569988578</v>
      </c>
      <c r="BF93" s="153">
        <f t="shared" si="52"/>
        <v>55.662320351637312</v>
      </c>
      <c r="BG93" s="153">
        <f t="shared" si="52"/>
        <v>34.502482209274433</v>
      </c>
      <c r="BH93" s="153">
        <f t="shared" si="52"/>
        <v>54.759721664773885</v>
      </c>
      <c r="BI93" s="153">
        <f t="shared" si="52"/>
        <v>69.792684537718884</v>
      </c>
      <c r="BJ93" s="153">
        <f t="shared" si="52"/>
        <v>53.907701846421702</v>
      </c>
      <c r="BK93" s="153">
        <f t="shared" si="52"/>
        <v>38.113550307011501</v>
      </c>
      <c r="BL93" s="153">
        <f t="shared" si="52"/>
        <v>15.50682778087166</v>
      </c>
      <c r="BM93" s="153">
        <f t="shared" si="52"/>
        <v>37.089721329954678</v>
      </c>
      <c r="BN93" s="153">
        <f t="shared" si="52"/>
        <v>28.969633359092924</v>
      </c>
      <c r="BO93" s="153">
        <f t="shared" si="52"/>
        <v>17.70228511183646</v>
      </c>
      <c r="BP93" s="153">
        <f t="shared" si="52"/>
        <v>9.3869527640721522</v>
      </c>
      <c r="BQ93" s="153">
        <f t="shared" si="52"/>
        <v>24.771565482341124</v>
      </c>
      <c r="BR93" s="153">
        <f t="shared" ref="BR93:CK93" si="53">BR81/BR92</f>
        <v>30.052547047326087</v>
      </c>
      <c r="BS93" s="153">
        <f t="shared" si="53"/>
        <v>57.027036024352249</v>
      </c>
      <c r="BT93" s="153">
        <f t="shared" si="53"/>
        <v>25.847189807827316</v>
      </c>
      <c r="BU93" s="153">
        <f t="shared" si="53"/>
        <v>20.94542312869304</v>
      </c>
      <c r="BV93" s="153">
        <f t="shared" si="53"/>
        <v>5.7018388999756224</v>
      </c>
      <c r="BW93" s="153">
        <f t="shared" si="53"/>
        <v>6.8618936176360119</v>
      </c>
      <c r="BX93" s="153" t="e">
        <f t="shared" si="53"/>
        <v>#DIV/0!</v>
      </c>
      <c r="BY93" s="153" t="e">
        <f t="shared" si="53"/>
        <v>#DIV/0!</v>
      </c>
      <c r="BZ93" s="153" t="e">
        <f t="shared" si="53"/>
        <v>#DIV/0!</v>
      </c>
      <c r="CA93" s="153" t="e">
        <f t="shared" si="53"/>
        <v>#DIV/0!</v>
      </c>
      <c r="CB93" s="153">
        <f t="shared" si="53"/>
        <v>7.2415300976993384</v>
      </c>
      <c r="CC93" s="153">
        <f t="shared" si="53"/>
        <v>5.3101166088874878</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5" customFormat="1" x14ac:dyDescent="0.25">
      <c r="A94" s="69" t="s">
        <v>589</v>
      </c>
      <c r="E94" s="75">
        <f>资产资本表!E59</f>
        <v>0</v>
      </c>
      <c r="F94" s="75">
        <f>资产资本表!F59</f>
        <v>0</v>
      </c>
      <c r="G94" s="75">
        <f>资产资本表!G59</f>
        <v>0</v>
      </c>
      <c r="H94" s="75">
        <f>资产资本表!H59</f>
        <v>0</v>
      </c>
      <c r="I94" s="75">
        <f>资产资本表!I59</f>
        <v>0</v>
      </c>
      <c r="J94" s="75">
        <f>资产资本表!J59</f>
        <v>0</v>
      </c>
      <c r="K94" s="75">
        <f>资产资本表!K59</f>
        <v>0</v>
      </c>
      <c r="L94" s="75">
        <f>资产资本表!L59</f>
        <v>0</v>
      </c>
      <c r="M94" s="75">
        <f>资产资本表!M59</f>
        <v>0</v>
      </c>
      <c r="N94" s="75">
        <f>资产资本表!N59</f>
        <v>0</v>
      </c>
      <c r="O94" s="75">
        <f>资产资本表!O59</f>
        <v>0</v>
      </c>
      <c r="P94" s="75">
        <f>资产资本表!P59</f>
        <v>0</v>
      </c>
      <c r="Q94" s="75">
        <f>资产资本表!Q59</f>
        <v>0</v>
      </c>
      <c r="R94" s="75">
        <f>资产资本表!R59</f>
        <v>0</v>
      </c>
      <c r="S94" s="75">
        <f>资产资本表!S59</f>
        <v>0</v>
      </c>
      <c r="T94" s="75">
        <f>资产资本表!T59</f>
        <v>0</v>
      </c>
      <c r="U94" s="75">
        <f>资产资本表!U59</f>
        <v>0</v>
      </c>
      <c r="V94" s="75">
        <f>资产资本表!V59</f>
        <v>0</v>
      </c>
      <c r="W94" s="75">
        <f>资产资本表!W59</f>
        <v>0</v>
      </c>
      <c r="X94" s="75">
        <f>资产资本表!X59</f>
        <v>0</v>
      </c>
      <c r="Y94" s="75">
        <f>资产资本表!Y59</f>
        <v>0</v>
      </c>
      <c r="Z94" s="75">
        <f>资产资本表!Z59</f>
        <v>0</v>
      </c>
      <c r="AA94" s="75">
        <f>资产资本表!AA59</f>
        <v>0</v>
      </c>
      <c r="AB94" s="75">
        <f>资产资本表!AB59</f>
        <v>0</v>
      </c>
      <c r="AC94" s="75">
        <f>资产资本表!AC59</f>
        <v>0</v>
      </c>
      <c r="AD94" s="75">
        <f>资产资本表!AD59</f>
        <v>0</v>
      </c>
      <c r="AE94" s="75">
        <f>资产资本表!AE59</f>
        <v>0</v>
      </c>
      <c r="AF94" s="75">
        <f>资产资本表!AF59</f>
        <v>0</v>
      </c>
      <c r="AG94" s="75">
        <f>资产资本表!AG59</f>
        <v>0</v>
      </c>
      <c r="AH94" s="75">
        <f>资产资本表!AH59</f>
        <v>0</v>
      </c>
      <c r="AI94" s="75">
        <f>资产资本表!AI59</f>
        <v>0</v>
      </c>
      <c r="AJ94" s="75">
        <f>资产资本表!AJ59</f>
        <v>0</v>
      </c>
      <c r="AK94" s="75">
        <f>资产资本表!AK59</f>
        <v>0</v>
      </c>
      <c r="AL94" s="75">
        <f>资产资本表!AL59</f>
        <v>0</v>
      </c>
      <c r="AM94" s="75">
        <f>资产资本表!AM59</f>
        <v>0</v>
      </c>
      <c r="AN94" s="75">
        <f>资产资本表!AN59</f>
        <v>0</v>
      </c>
      <c r="AO94" s="75">
        <f>资产资本表!AO59</f>
        <v>0</v>
      </c>
      <c r="AP94" s="75">
        <f>资产资本表!AP59</f>
        <v>0</v>
      </c>
      <c r="AQ94" s="75">
        <f>资产资本表!AQ59</f>
        <v>0</v>
      </c>
      <c r="AR94" s="75">
        <f>资产资本表!AR59</f>
        <v>0</v>
      </c>
      <c r="AS94" s="75">
        <f>资产资本表!AS59</f>
        <v>0</v>
      </c>
      <c r="AT94" s="75">
        <f>资产资本表!AT59</f>
        <v>4813466</v>
      </c>
      <c r="AU94" s="75">
        <f>资产资本表!AU59</f>
        <v>7519008</v>
      </c>
      <c r="AV94" s="75">
        <f>资产资本表!AV59</f>
        <v>0</v>
      </c>
      <c r="AW94" s="75">
        <f>资产资本表!AW59</f>
        <v>0</v>
      </c>
      <c r="AX94" s="75">
        <f>资产资本表!AX59</f>
        <v>0</v>
      </c>
      <c r="AY94" s="75">
        <f>资产资本表!AY59</f>
        <v>0</v>
      </c>
      <c r="AZ94" s="75">
        <f>资产资本表!AZ59</f>
        <v>0</v>
      </c>
      <c r="BA94" s="75">
        <f>资产资本表!BA59</f>
        <v>0</v>
      </c>
      <c r="BB94" s="75">
        <f>资产资本表!BB59</f>
        <v>0</v>
      </c>
      <c r="BC94" s="75">
        <f>资产资本表!BC59</f>
        <v>0</v>
      </c>
      <c r="BD94" s="75">
        <f>资产资本表!BD59</f>
        <v>0</v>
      </c>
      <c r="BE94" s="75">
        <f>资产资本表!BE59</f>
        <v>0</v>
      </c>
      <c r="BF94" s="75">
        <f>资产资本表!BF59</f>
        <v>0</v>
      </c>
      <c r="BG94" s="75">
        <f>资产资本表!BG59</f>
        <v>0</v>
      </c>
      <c r="BH94" s="75">
        <f>资产资本表!BH59</f>
        <v>0</v>
      </c>
      <c r="BI94" s="75">
        <f>资产资本表!BI59</f>
        <v>0</v>
      </c>
      <c r="BJ94" s="75">
        <f>资产资本表!BJ59</f>
        <v>0</v>
      </c>
      <c r="BK94" s="75">
        <f>资产资本表!BK59</f>
        <v>0</v>
      </c>
      <c r="BL94" s="75">
        <f>资产资本表!BL59</f>
        <v>0</v>
      </c>
      <c r="BM94" s="75">
        <f>资产资本表!BM59</f>
        <v>0</v>
      </c>
      <c r="BN94" s="75">
        <f>资产资本表!BN59</f>
        <v>0</v>
      </c>
      <c r="BO94" s="75">
        <f>资产资本表!BO59</f>
        <v>0</v>
      </c>
      <c r="BP94" s="75">
        <f>资产资本表!BP59</f>
        <v>0</v>
      </c>
      <c r="BQ94" s="75">
        <f>资产资本表!BQ59</f>
        <v>0</v>
      </c>
      <c r="BR94" s="75">
        <f>资产资本表!BR59</f>
        <v>0</v>
      </c>
      <c r="BS94" s="75">
        <f>资产资本表!BS59</f>
        <v>0</v>
      </c>
      <c r="BT94" s="75">
        <f>资产资本表!BT59</f>
        <v>0</v>
      </c>
      <c r="BU94" s="75">
        <f>资产资本表!BU59</f>
        <v>0</v>
      </c>
      <c r="BV94" s="75">
        <f>资产资本表!BV59</f>
        <v>0</v>
      </c>
      <c r="BW94" s="75">
        <f>资产资本表!BW59</f>
        <v>0</v>
      </c>
      <c r="BX94" s="75">
        <f>资产资本表!BX59</f>
        <v>0</v>
      </c>
      <c r="BY94" s="75">
        <f>资产资本表!BY59</f>
        <v>0</v>
      </c>
      <c r="BZ94" s="75">
        <f>资产资本表!BZ59</f>
        <v>0</v>
      </c>
      <c r="CA94" s="75">
        <f>资产资本表!CA59</f>
        <v>0</v>
      </c>
      <c r="CB94" s="75">
        <f>资产资本表!CB59</f>
        <v>0</v>
      </c>
      <c r="CC94" s="75">
        <f>资产资本表!CC59</f>
        <v>0</v>
      </c>
      <c r="CD94" s="75">
        <f>资产资本表!CD59</f>
        <v>0</v>
      </c>
      <c r="CE94" s="75">
        <f>资产资本表!CE59</f>
        <v>0</v>
      </c>
      <c r="CF94" s="75">
        <f>资产资本表!CF59</f>
        <v>0</v>
      </c>
      <c r="CG94" s="75">
        <f>资产资本表!CG59</f>
        <v>0</v>
      </c>
      <c r="CH94" s="75">
        <f>资产资本表!CH59</f>
        <v>0</v>
      </c>
      <c r="CI94" s="75">
        <f>资产资本表!CI59</f>
        <v>0</v>
      </c>
      <c r="CJ94" s="75">
        <f>资产资本表!CJ59</f>
        <v>0</v>
      </c>
      <c r="CK94" s="75">
        <f>资产资本表!CK59</f>
        <v>0</v>
      </c>
    </row>
    <row r="95" spans="1:89" s="75" customFormat="1" x14ac:dyDescent="0.25">
      <c r="A95" s="69" t="s">
        <v>590</v>
      </c>
      <c r="E95" s="75">
        <f>资产资本表!E60</f>
        <v>197963688</v>
      </c>
      <c r="F95" s="75">
        <f>资产资本表!F60</f>
        <v>197963688</v>
      </c>
      <c r="G95" s="75">
        <f>资产资本表!G60</f>
        <v>197963688</v>
      </c>
      <c r="H95" s="75">
        <f>资产资本表!H60</f>
        <v>197963688</v>
      </c>
      <c r="I95" s="75">
        <f>资产资本表!I60</f>
        <v>197963688</v>
      </c>
      <c r="J95" s="75">
        <f>资产资本表!J60</f>
        <v>197963688</v>
      </c>
      <c r="K95" s="75">
        <f>资产资本表!K60</f>
        <v>197963688</v>
      </c>
      <c r="L95" s="75">
        <f>资产资本表!L60</f>
        <v>197963688</v>
      </c>
      <c r="M95" s="75">
        <f>资产资本表!M60</f>
        <v>197963688</v>
      </c>
      <c r="N95" s="75">
        <f>资产资本表!N60</f>
        <v>155756341</v>
      </c>
      <c r="O95" s="75">
        <f>资产资本表!O60</f>
        <v>51502898</v>
      </c>
      <c r="P95" s="75">
        <f>资产资本表!P60</f>
        <v>51502898</v>
      </c>
      <c r="Q95" s="75">
        <f>资产资本表!Q60</f>
        <v>51502898</v>
      </c>
      <c r="R95" s="75">
        <f>资产资本表!R60</f>
        <v>51502898</v>
      </c>
      <c r="S95" s="75">
        <f>资产资本表!S60</f>
        <v>51502898</v>
      </c>
      <c r="T95" s="75">
        <f>资产资本表!T60</f>
        <v>51502898</v>
      </c>
      <c r="U95" s="75">
        <f>资产资本表!U60</f>
        <v>51502898</v>
      </c>
      <c r="V95" s="75">
        <f>资产资本表!V60</f>
        <v>51502898</v>
      </c>
      <c r="W95" s="75">
        <f>资产资本表!W60</f>
        <v>51502898</v>
      </c>
      <c r="X95" s="75">
        <f>资产资本表!X60</f>
        <v>51502898</v>
      </c>
      <c r="Y95" s="75">
        <f>资产资本表!Y60</f>
        <v>51502898</v>
      </c>
      <c r="Z95" s="75">
        <f>资产资本表!Z60</f>
        <v>51502898</v>
      </c>
      <c r="AA95" s="75">
        <f>资产资本表!AA60</f>
        <v>51502898</v>
      </c>
      <c r="AB95" s="75">
        <f>资产资本表!AB60</f>
        <v>51502898</v>
      </c>
      <c r="AC95" s="75">
        <f>资产资本表!AC60</f>
        <v>51502898</v>
      </c>
      <c r="AD95" s="75">
        <f>资产资本表!AD60</f>
        <v>55926774</v>
      </c>
      <c r="AE95" s="75">
        <f>资产资本表!AE60</f>
        <v>55926774</v>
      </c>
      <c r="AF95" s="75">
        <f>资产资本表!AF60</f>
        <v>55926774</v>
      </c>
      <c r="AG95" s="75">
        <f>资产资本表!AG60</f>
        <v>55926774</v>
      </c>
      <c r="AH95" s="75">
        <f>资产资本表!AH60</f>
        <v>73743389</v>
      </c>
      <c r="AI95" s="75">
        <f>资产资本表!AI60</f>
        <v>47364310</v>
      </c>
      <c r="AJ95" s="75">
        <f>资产资本表!AJ60</f>
        <v>47364310</v>
      </c>
      <c r="AK95" s="75">
        <f>资产资本表!AK60</f>
        <v>47364310</v>
      </c>
      <c r="AL95" s="75">
        <f>资产资本表!AL60</f>
        <v>47364310</v>
      </c>
      <c r="AM95" s="75">
        <f>资产资本表!AM60</f>
        <v>47364310</v>
      </c>
      <c r="AN95" s="75">
        <f>资产资本表!AN60</f>
        <v>47364310</v>
      </c>
      <c r="AO95" s="75">
        <f>资产资本表!AO60</f>
        <v>47364310</v>
      </c>
      <c r="AP95" s="75">
        <f>资产资本表!AP60</f>
        <v>59317773</v>
      </c>
      <c r="AQ95" s="75">
        <f>资产资本表!AQ60</f>
        <v>59317773</v>
      </c>
      <c r="AR95" s="75">
        <f>资产资本表!AR60</f>
        <v>47364310</v>
      </c>
      <c r="AS95" s="75">
        <f>资产资本表!AS60</f>
        <v>47364310</v>
      </c>
      <c r="AT95" s="75">
        <f>资产资本表!AT60</f>
        <v>49722765</v>
      </c>
      <c r="AU95" s="75">
        <f>资产资本表!AU60</f>
        <v>49722765</v>
      </c>
      <c r="AV95" s="75">
        <f>资产资本表!AV60</f>
        <v>49722765</v>
      </c>
      <c r="AW95" s="75">
        <f>资产资本表!AW60</f>
        <v>0</v>
      </c>
      <c r="AX95" s="75">
        <f>资产资本表!AX60</f>
        <v>0</v>
      </c>
      <c r="AY95" s="75">
        <f>资产资本表!AY60</f>
        <v>0</v>
      </c>
      <c r="AZ95" s="75">
        <f>资产资本表!AZ60</f>
        <v>0</v>
      </c>
      <c r="BA95" s="75">
        <f>资产资本表!BA60</f>
        <v>0</v>
      </c>
      <c r="BB95" s="75">
        <f>资产资本表!BB60</f>
        <v>0</v>
      </c>
      <c r="BC95" s="75">
        <f>资产资本表!BC60</f>
        <v>0</v>
      </c>
      <c r="BD95" s="75">
        <f>资产资本表!BD60</f>
        <v>0</v>
      </c>
      <c r="BE95" s="75">
        <f>资产资本表!BE60</f>
        <v>0</v>
      </c>
      <c r="BF95" s="75">
        <f>资产资本表!BF60</f>
        <v>0</v>
      </c>
      <c r="BG95" s="75">
        <f>资产资本表!BG60</f>
        <v>0</v>
      </c>
      <c r="BH95" s="75">
        <f>资产资本表!BH60</f>
        <v>0</v>
      </c>
      <c r="BI95" s="75">
        <f>资产资本表!BI60</f>
        <v>0</v>
      </c>
      <c r="BJ95" s="75">
        <f>资产资本表!BJ60</f>
        <v>0</v>
      </c>
      <c r="BK95" s="75">
        <f>资产资本表!BK60</f>
        <v>0</v>
      </c>
      <c r="BL95" s="75">
        <f>资产资本表!BL60</f>
        <v>0</v>
      </c>
      <c r="BM95" s="75">
        <f>资产资本表!BM60</f>
        <v>0</v>
      </c>
      <c r="BN95" s="75">
        <f>资产资本表!BN60</f>
        <v>0</v>
      </c>
      <c r="BO95" s="75">
        <f>资产资本表!BO60</f>
        <v>0</v>
      </c>
      <c r="BP95" s="75">
        <f>资产资本表!BP60</f>
        <v>0</v>
      </c>
      <c r="BQ95" s="75">
        <f>资产资本表!BQ60</f>
        <v>0</v>
      </c>
      <c r="BR95" s="75">
        <f>资产资本表!BR60</f>
        <v>0</v>
      </c>
      <c r="BS95" s="75">
        <f>资产资本表!BS60</f>
        <v>0</v>
      </c>
      <c r="BT95" s="75">
        <f>资产资本表!BT60</f>
        <v>0</v>
      </c>
      <c r="BU95" s="75">
        <f>资产资本表!BU60</f>
        <v>0</v>
      </c>
      <c r="BV95" s="75">
        <f>资产资本表!BV60</f>
        <v>0</v>
      </c>
      <c r="BW95" s="75">
        <f>资产资本表!BW60</f>
        <v>0</v>
      </c>
      <c r="BX95" s="75">
        <f>资产资本表!BX60</f>
        <v>0</v>
      </c>
      <c r="BY95" s="75">
        <f>资产资本表!BY60</f>
        <v>0</v>
      </c>
      <c r="BZ95" s="75">
        <f>资产资本表!BZ60</f>
        <v>0</v>
      </c>
      <c r="CA95" s="75">
        <f>资产资本表!CA60</f>
        <v>0</v>
      </c>
      <c r="CB95" s="75">
        <f>资产资本表!CB60</f>
        <v>0</v>
      </c>
      <c r="CC95" s="75">
        <f>资产资本表!CC60</f>
        <v>0</v>
      </c>
      <c r="CD95" s="75">
        <f>资产资本表!CD60</f>
        <v>0</v>
      </c>
      <c r="CE95" s="75">
        <f>资产资本表!CE60</f>
        <v>0</v>
      </c>
      <c r="CF95" s="75">
        <f>资产资本表!CF60</f>
        <v>0</v>
      </c>
      <c r="CG95" s="75">
        <f>资产资本表!CG60</f>
        <v>0</v>
      </c>
      <c r="CH95" s="75">
        <f>资产资本表!CH60</f>
        <v>0</v>
      </c>
      <c r="CI95" s="75">
        <f>资产资本表!CI60</f>
        <v>0</v>
      </c>
      <c r="CJ95" s="75">
        <f>资产资本表!CJ60</f>
        <v>0</v>
      </c>
      <c r="CK95" s="75">
        <f>资产资本表!CK60</f>
        <v>0</v>
      </c>
    </row>
    <row r="96" spans="1:89" s="75" customFormat="1" x14ac:dyDescent="0.25">
      <c r="A96" s="69" t="s">
        <v>591</v>
      </c>
      <c r="E96" s="75">
        <f>资产资本表!E61</f>
        <v>379829430</v>
      </c>
      <c r="F96" s="75">
        <f>资产资本表!F61</f>
        <v>300117127</v>
      </c>
      <c r="G96" s="75">
        <f>资产资本表!G61</f>
        <v>314072978</v>
      </c>
      <c r="H96" s="75">
        <f>资产资本表!H61</f>
        <v>309106791</v>
      </c>
      <c r="I96" s="75">
        <f>资产资本表!I61</f>
        <v>344891227</v>
      </c>
      <c r="J96" s="75">
        <f>资产资本表!J61</f>
        <v>336456348</v>
      </c>
      <c r="K96" s="75">
        <f>资产资本表!K61</f>
        <v>348527169</v>
      </c>
      <c r="L96" s="75">
        <f>资产资本表!L61</f>
        <v>343499182</v>
      </c>
      <c r="M96" s="75">
        <f>资产资本表!M61</f>
        <v>341526213</v>
      </c>
      <c r="N96" s="75">
        <f>资产资本表!N61</f>
        <v>348997906</v>
      </c>
      <c r="O96" s="75">
        <f>资产资本表!O61</f>
        <v>310050863</v>
      </c>
      <c r="P96" s="75">
        <f>资产资本表!P61</f>
        <v>314890060</v>
      </c>
      <c r="Q96" s="75">
        <f>资产资本表!Q61</f>
        <v>303984682</v>
      </c>
      <c r="R96" s="75">
        <f>资产资本表!R61</f>
        <v>275101329</v>
      </c>
      <c r="S96" s="75">
        <f>资产资本表!S61</f>
        <v>250145319</v>
      </c>
      <c r="T96" s="75">
        <f>资产资本表!T61</f>
        <v>253668661</v>
      </c>
      <c r="U96" s="75">
        <f>资产资本表!U61</f>
        <v>242814121</v>
      </c>
      <c r="V96" s="75">
        <f>资产资本表!V61</f>
        <v>221158073</v>
      </c>
      <c r="W96" s="75">
        <f>资产资本表!W61</f>
        <v>219906694</v>
      </c>
      <c r="X96" s="75">
        <f>资产资本表!X61</f>
        <v>220138506</v>
      </c>
      <c r="Y96" s="75">
        <f>资产资本表!Y61</f>
        <v>222578163</v>
      </c>
      <c r="Z96" s="75">
        <f>资产资本表!Z61</f>
        <v>228806627</v>
      </c>
      <c r="AA96" s="75">
        <f>资产资本表!AA61</f>
        <v>233867070</v>
      </c>
      <c r="AB96" s="75">
        <f>资产资本表!AB61</f>
        <v>26388701</v>
      </c>
      <c r="AC96" s="75">
        <f>资产资本表!AC61</f>
        <v>22860526</v>
      </c>
      <c r="AD96" s="75">
        <f>资产资本表!AD61</f>
        <v>12326220</v>
      </c>
      <c r="AE96" s="75">
        <f>资产资本表!AE61</f>
        <v>10912331</v>
      </c>
      <c r="AF96" s="75">
        <f>资产资本表!AF61</f>
        <v>12255401</v>
      </c>
      <c r="AG96" s="75">
        <f>资产资本表!AG61</f>
        <v>13270680</v>
      </c>
      <c r="AH96" s="75">
        <f>资产资本表!AH61</f>
        <v>20974854</v>
      </c>
      <c r="AI96" s="75">
        <f>资产资本表!AI61</f>
        <v>17803314</v>
      </c>
      <c r="AJ96" s="75">
        <f>资产资本表!AJ61</f>
        <v>15095761</v>
      </c>
      <c r="AK96" s="75">
        <f>资产资本表!AK61</f>
        <v>15747779</v>
      </c>
      <c r="AL96" s="75">
        <f>资产资本表!AL61</f>
        <v>14781724</v>
      </c>
      <c r="AM96" s="75">
        <f>资产资本表!AM61</f>
        <v>14834223</v>
      </c>
      <c r="AN96" s="75">
        <f>资产资本表!AN61</f>
        <v>15603476</v>
      </c>
      <c r="AO96" s="75">
        <f>资产资本表!AO61</f>
        <v>14611367</v>
      </c>
      <c r="AP96" s="75">
        <f>资产资本表!AP61</f>
        <v>12325015</v>
      </c>
      <c r="AQ96" s="75">
        <f>资产资本表!AQ61</f>
        <v>12621628</v>
      </c>
      <c r="AR96" s="75">
        <f>资产资本表!AR61</f>
        <v>375713</v>
      </c>
      <c r="AS96" s="75">
        <f>资产资本表!AS61</f>
        <v>1266496</v>
      </c>
      <c r="AT96" s="75">
        <f>资产资本表!AT61</f>
        <v>2366865</v>
      </c>
      <c r="AU96" s="75">
        <f>资产资本表!AU61</f>
        <v>2944155</v>
      </c>
      <c r="AV96" s="75">
        <f>资产资本表!AV61</f>
        <v>0</v>
      </c>
      <c r="AW96" s="75">
        <f>资产资本表!AW61</f>
        <v>1066696</v>
      </c>
      <c r="AX96" s="75">
        <f>资产资本表!AX61</f>
        <v>4729970</v>
      </c>
      <c r="AY96" s="75">
        <f>资产资本表!AY61</f>
        <v>13494815</v>
      </c>
      <c r="AZ96" s="75">
        <f>资产资本表!AZ61</f>
        <v>12418852</v>
      </c>
      <c r="BA96" s="75">
        <f>资产资本表!BA61</f>
        <v>14587546</v>
      </c>
      <c r="BB96" s="75">
        <f>资产资本表!BB61</f>
        <v>10037875</v>
      </c>
      <c r="BC96" s="75">
        <f>资产资本表!BC61</f>
        <v>10044228</v>
      </c>
      <c r="BD96" s="75">
        <f>资产资本表!BD61</f>
        <v>1795838</v>
      </c>
      <c r="BE96" s="75">
        <f>资产资本表!BE61</f>
        <v>7592707</v>
      </c>
      <c r="BF96" s="75">
        <f>资产资本表!BF61</f>
        <v>99171.88</v>
      </c>
      <c r="BG96" s="75">
        <f>资产资本表!BG61</f>
        <v>727728.64000000001</v>
      </c>
      <c r="BH96" s="75">
        <f>资产资本表!BH61</f>
        <v>5436429.8300000001</v>
      </c>
      <c r="BI96" s="75">
        <f>资产资本表!BI61</f>
        <v>613629</v>
      </c>
      <c r="BJ96" s="75">
        <f>资产资本表!BJ61</f>
        <v>28678024.039999999</v>
      </c>
      <c r="BK96" s="75">
        <f>资产资本表!BK61</f>
        <v>29297882.5</v>
      </c>
      <c r="BL96" s="75">
        <f>资产资本表!BL61</f>
        <v>29890675.510000002</v>
      </c>
      <c r="BM96" s="75">
        <f>资产资本表!BM61</f>
        <v>32694722</v>
      </c>
      <c r="BN96" s="75">
        <f>资产资本表!BN61</f>
        <v>33881794.590000004</v>
      </c>
      <c r="BO96" s="75">
        <f>资产资本表!BO61</f>
        <v>31486857.84</v>
      </c>
      <c r="BP96" s="75">
        <f>资产资本表!BP61</f>
        <v>33522056.809999999</v>
      </c>
      <c r="BQ96" s="75">
        <f>资产资本表!BQ61</f>
        <v>32698243</v>
      </c>
      <c r="BR96" s="75">
        <f>资产资本表!BR61</f>
        <v>17229218.530000001</v>
      </c>
      <c r="BS96" s="75">
        <f>资产资本表!BS61</f>
        <v>7748793</v>
      </c>
      <c r="BT96" s="75">
        <f>资产资本表!BT61</f>
        <v>10430953</v>
      </c>
      <c r="BU96" s="75">
        <f>资产资本表!BU61</f>
        <v>8089906</v>
      </c>
      <c r="BV96" s="75">
        <f>资产资本表!BV61</f>
        <v>0</v>
      </c>
      <c r="BW96" s="75">
        <f>资产资本表!BW61</f>
        <v>4830000</v>
      </c>
      <c r="BX96" s="75">
        <f>资产资本表!BX61</f>
        <v>0</v>
      </c>
      <c r="BY96" s="75">
        <f>资产资本表!BY61</f>
        <v>0</v>
      </c>
      <c r="BZ96" s="75">
        <f>资产资本表!BZ61</f>
        <v>0</v>
      </c>
      <c r="CA96" s="75">
        <f>资产资本表!CA61</f>
        <v>0</v>
      </c>
      <c r="CB96" s="75">
        <f>资产资本表!CB61</f>
        <v>0</v>
      </c>
      <c r="CC96" s="75">
        <f>资产资本表!CC61</f>
        <v>0</v>
      </c>
      <c r="CD96" s="75">
        <f>资产资本表!CD61</f>
        <v>0</v>
      </c>
      <c r="CE96" s="75">
        <f>资产资本表!CE61</f>
        <v>0</v>
      </c>
      <c r="CF96" s="75">
        <f>资产资本表!CF61</f>
        <v>0</v>
      </c>
      <c r="CG96" s="75">
        <f>资产资本表!CG61</f>
        <v>0</v>
      </c>
      <c r="CH96" s="75">
        <f>资产资本表!CH61</f>
        <v>0</v>
      </c>
      <c r="CI96" s="75">
        <f>资产资本表!CI61</f>
        <v>0</v>
      </c>
      <c r="CJ96" s="75">
        <f>资产资本表!CJ61</f>
        <v>0</v>
      </c>
      <c r="CK96" s="75">
        <f>资产资本表!CK61</f>
        <v>0</v>
      </c>
    </row>
    <row r="97" spans="1:89" s="75" customFormat="1" x14ac:dyDescent="0.25">
      <c r="A97" s="69" t="s">
        <v>592</v>
      </c>
      <c r="E97" s="75">
        <f>资产资本表!E62</f>
        <v>106255657</v>
      </c>
      <c r="F97" s="75">
        <f>资产资本表!F62</f>
        <v>136474642</v>
      </c>
      <c r="G97" s="75">
        <f>资产资本表!G62</f>
        <v>149942508</v>
      </c>
      <c r="H97" s="75">
        <f>资产资本表!H62</f>
        <v>140527159</v>
      </c>
      <c r="I97" s="75">
        <f>资产资本表!I62</f>
        <v>146538565</v>
      </c>
      <c r="J97" s="75">
        <f>资产资本表!J62</f>
        <v>100673704</v>
      </c>
      <c r="K97" s="75">
        <f>资产资本表!K62</f>
        <v>101021236</v>
      </c>
      <c r="L97" s="75">
        <f>资产资本表!L62</f>
        <v>112619058</v>
      </c>
      <c r="M97" s="75">
        <f>资产资本表!M62</f>
        <v>117105220</v>
      </c>
      <c r="N97" s="75">
        <f>资产资本表!N62</f>
        <v>119070580</v>
      </c>
      <c r="O97" s="75">
        <f>资产资本表!O62</f>
        <v>125575848</v>
      </c>
      <c r="P97" s="75">
        <f>资产资本表!P62</f>
        <v>132124897</v>
      </c>
      <c r="Q97" s="75">
        <f>资产资本表!Q62</f>
        <v>138779625</v>
      </c>
      <c r="R97" s="75">
        <f>资产资本表!R62</f>
        <v>147502064</v>
      </c>
      <c r="S97" s="75">
        <f>资产资本表!S62</f>
        <v>150708239</v>
      </c>
      <c r="T97" s="75">
        <f>资产资本表!T62</f>
        <v>155143278</v>
      </c>
      <c r="U97" s="75">
        <f>资产资本表!U62</f>
        <v>160480672</v>
      </c>
      <c r="V97" s="75">
        <f>资产资本表!V62</f>
        <v>48397086</v>
      </c>
      <c r="W97" s="75">
        <f>资产资本表!W62</f>
        <v>47515935</v>
      </c>
      <c r="X97" s="75">
        <f>资产资本表!X62</f>
        <v>47685049</v>
      </c>
      <c r="Y97" s="75">
        <f>资产资本表!Y62</f>
        <v>47700956</v>
      </c>
      <c r="Z97" s="75">
        <f>资产资本表!Z62</f>
        <v>47844057</v>
      </c>
      <c r="AA97" s="75">
        <f>资产资本表!AA62</f>
        <v>49166758</v>
      </c>
      <c r="AB97" s="75">
        <f>资产资本表!AB62</f>
        <v>49355084</v>
      </c>
      <c r="AC97" s="75">
        <f>资产资本表!AC62</f>
        <v>47892088</v>
      </c>
      <c r="AD97" s="75">
        <f>资产资本表!AD62</f>
        <v>49747912</v>
      </c>
      <c r="AE97" s="75">
        <f>资产资本表!AE62</f>
        <v>50120901</v>
      </c>
      <c r="AF97" s="75">
        <f>资产资本表!AF62</f>
        <v>50524175</v>
      </c>
      <c r="AG97" s="75">
        <f>资产资本表!AG62</f>
        <v>51053166</v>
      </c>
      <c r="AH97" s="75">
        <f>资产资本表!AH62</f>
        <v>51536438</v>
      </c>
      <c r="AI97" s="75">
        <f>资产资本表!AI62</f>
        <v>52061569</v>
      </c>
      <c r="AJ97" s="75">
        <f>资产资本表!AJ62</f>
        <v>53178099</v>
      </c>
      <c r="AK97" s="75">
        <f>资产资本表!AK62</f>
        <v>53396674</v>
      </c>
      <c r="AL97" s="75">
        <f>资产资本表!AL62</f>
        <v>4131105</v>
      </c>
      <c r="AM97" s="75">
        <f>资产资本表!AM62</f>
        <v>4265971</v>
      </c>
      <c r="AN97" s="75">
        <f>资产资本表!AN62</f>
        <v>4938662</v>
      </c>
      <c r="AO97" s="75">
        <f>资产资本表!AO62</f>
        <v>5013345</v>
      </c>
      <c r="AP97" s="75">
        <f>资产资本表!AP62</f>
        <v>42841390</v>
      </c>
      <c r="AQ97" s="75">
        <f>资产资本表!AQ62</f>
        <v>44018775</v>
      </c>
      <c r="AR97" s="75">
        <f>资产资本表!AR62</f>
        <v>46468932</v>
      </c>
      <c r="AS97" s="75">
        <f>资产资本表!AS62</f>
        <v>76333072</v>
      </c>
      <c r="AT97" s="75">
        <f>资产资本表!AT62</f>
        <v>4281589</v>
      </c>
      <c r="AU97" s="75">
        <f>资产资本表!AU62</f>
        <v>4222402</v>
      </c>
      <c r="AV97" s="75">
        <f>资产资本表!AV62</f>
        <v>4043999</v>
      </c>
      <c r="AW97" s="75">
        <f>资产资本表!AW62</f>
        <v>1831754</v>
      </c>
      <c r="AX97" s="75">
        <f>资产资本表!AX62</f>
        <v>0</v>
      </c>
      <c r="AY97" s="75">
        <f>资产资本表!AY62</f>
        <v>0</v>
      </c>
      <c r="AZ97" s="75">
        <f>资产资本表!AZ62</f>
        <v>0</v>
      </c>
      <c r="BA97" s="75">
        <f>资产资本表!BA62</f>
        <v>1940609</v>
      </c>
      <c r="BB97" s="75">
        <f>资产资本表!BB62</f>
        <v>0</v>
      </c>
      <c r="BC97" s="75">
        <f>资产资本表!BC62</f>
        <v>1150757</v>
      </c>
      <c r="BD97" s="75">
        <f>资产资本表!BD62</f>
        <v>0</v>
      </c>
      <c r="BE97" s="75">
        <f>资产资本表!BE62</f>
        <v>13220274</v>
      </c>
      <c r="BF97" s="75">
        <f>资产资本表!BF62</f>
        <v>1496836.94</v>
      </c>
      <c r="BG97" s="75">
        <f>资产资本表!BG62</f>
        <v>801316.3</v>
      </c>
      <c r="BH97" s="75">
        <f>资产资本表!BH62</f>
        <v>0</v>
      </c>
      <c r="BI97" s="75">
        <f>资产资本表!BI62</f>
        <v>10758910</v>
      </c>
      <c r="BJ97" s="75">
        <f>资产资本表!BJ62</f>
        <v>0</v>
      </c>
      <c r="BK97" s="75">
        <f>资产资本表!BK62</f>
        <v>0</v>
      </c>
      <c r="BL97" s="75">
        <f>资产资本表!BL62</f>
        <v>0</v>
      </c>
      <c r="BM97" s="75">
        <f>资产资本表!BM62</f>
        <v>3752947</v>
      </c>
      <c r="BN97" s="75">
        <f>资产资本表!BN62</f>
        <v>0</v>
      </c>
      <c r="BO97" s="75">
        <f>资产资本表!BO62</f>
        <v>0</v>
      </c>
      <c r="BP97" s="75">
        <f>资产资本表!BP62</f>
        <v>0</v>
      </c>
      <c r="BQ97" s="75">
        <f>资产资本表!BQ62</f>
        <v>0</v>
      </c>
      <c r="BR97" s="75">
        <f>资产资本表!BR62</f>
        <v>0</v>
      </c>
      <c r="BS97" s="75">
        <f>资产资本表!BS62</f>
        <v>0</v>
      </c>
      <c r="BT97" s="75">
        <f>资产资本表!BT62</f>
        <v>0</v>
      </c>
      <c r="BU97" s="75">
        <f>资产资本表!BU62</f>
        <v>0</v>
      </c>
      <c r="BV97" s="75">
        <f>资产资本表!BV62</f>
        <v>0</v>
      </c>
      <c r="BW97" s="75">
        <f>资产资本表!BW62</f>
        <v>0</v>
      </c>
      <c r="BX97" s="75">
        <f>资产资本表!BX62</f>
        <v>0</v>
      </c>
      <c r="BY97" s="75">
        <f>资产资本表!BY62</f>
        <v>0</v>
      </c>
      <c r="BZ97" s="75">
        <f>资产资本表!BZ62</f>
        <v>0</v>
      </c>
      <c r="CA97" s="75">
        <f>资产资本表!CA62</f>
        <v>0</v>
      </c>
      <c r="CB97" s="75">
        <f>资产资本表!CB62</f>
        <v>0</v>
      </c>
      <c r="CC97" s="75">
        <f>资产资本表!CC62</f>
        <v>0</v>
      </c>
      <c r="CD97" s="75">
        <f>资产资本表!CD62</f>
        <v>0</v>
      </c>
      <c r="CE97" s="75">
        <f>资产资本表!CE62</f>
        <v>0</v>
      </c>
      <c r="CF97" s="75">
        <f>资产资本表!CF62</f>
        <v>0</v>
      </c>
      <c r="CG97" s="75">
        <f>资产资本表!CG62</f>
        <v>0</v>
      </c>
      <c r="CH97" s="75">
        <f>资产资本表!CH62</f>
        <v>0</v>
      </c>
      <c r="CI97" s="75">
        <f>资产资本表!CI62</f>
        <v>0</v>
      </c>
      <c r="CJ97" s="75">
        <f>资产资本表!CJ62</f>
        <v>0</v>
      </c>
      <c r="CK97" s="75">
        <f>资产资本表!CK62</f>
        <v>0</v>
      </c>
    </row>
    <row r="98" spans="1:89" s="75" customFormat="1" x14ac:dyDescent="0.25">
      <c r="A98" s="69" t="s">
        <v>593</v>
      </c>
      <c r="E98" s="75">
        <f>资产资本表!E63</f>
        <v>563302910</v>
      </c>
      <c r="F98" s="75">
        <f>资产资本表!F63</f>
        <v>491907958</v>
      </c>
      <c r="G98" s="75">
        <f>资产资本表!G63</f>
        <v>468876003</v>
      </c>
      <c r="H98" s="75">
        <f>资产资本表!H63</f>
        <v>458229763</v>
      </c>
      <c r="I98" s="75">
        <f>资产资本表!I63</f>
        <v>448625054</v>
      </c>
      <c r="J98" s="75">
        <f>资产资本表!J63</f>
        <v>459784649</v>
      </c>
      <c r="K98" s="75">
        <f>资产资本表!K63</f>
        <v>450354946</v>
      </c>
      <c r="L98" s="75">
        <f>资产资本表!L63</f>
        <v>435770545</v>
      </c>
      <c r="M98" s="75">
        <f>资产资本表!M63</f>
        <v>435880215</v>
      </c>
      <c r="N98" s="75">
        <f>资产资本表!N63</f>
        <v>366888091</v>
      </c>
      <c r="O98" s="75">
        <f>资产资本表!O63</f>
        <v>366199375</v>
      </c>
      <c r="P98" s="75">
        <f>资产资本表!P63</f>
        <v>355680030</v>
      </c>
      <c r="Q98" s="75">
        <f>资产资本表!Q63</f>
        <v>347949970</v>
      </c>
      <c r="R98" s="75">
        <f>资产资本表!R63</f>
        <v>384089651</v>
      </c>
      <c r="S98" s="75">
        <f>资产资本表!S63</f>
        <v>385845850</v>
      </c>
      <c r="T98" s="75">
        <f>资产资本表!T63</f>
        <v>380329143</v>
      </c>
      <c r="U98" s="75">
        <f>资产资本表!U63</f>
        <v>382048433</v>
      </c>
      <c r="V98" s="75">
        <f>资产资本表!V63</f>
        <v>383764976</v>
      </c>
      <c r="W98" s="75">
        <f>资产资本表!W63</f>
        <v>385482681</v>
      </c>
      <c r="X98" s="75">
        <f>资产资本表!X63</f>
        <v>376438313</v>
      </c>
      <c r="Y98" s="75">
        <f>资产资本表!Y63</f>
        <v>388933221</v>
      </c>
      <c r="Z98" s="75">
        <f>资产资本表!Z63</f>
        <v>403693315</v>
      </c>
      <c r="AA98" s="75">
        <f>资产资本表!AA63</f>
        <v>410958274</v>
      </c>
      <c r="AB98" s="75">
        <f>资产资本表!AB63</f>
        <v>412745804</v>
      </c>
      <c r="AC98" s="75">
        <f>资产资本表!AC63</f>
        <v>414561354</v>
      </c>
      <c r="AD98" s="75">
        <f>资产资本表!AD63</f>
        <v>286965139</v>
      </c>
      <c r="AE98" s="75">
        <f>资产资本表!AE63</f>
        <v>289241954</v>
      </c>
      <c r="AF98" s="75">
        <f>资产资本表!AF63</f>
        <v>292827802</v>
      </c>
      <c r="AG98" s="75">
        <f>资产资本表!AG63</f>
        <v>294904213</v>
      </c>
      <c r="AH98" s="75">
        <f>资产资本表!AH63</f>
        <v>283363440</v>
      </c>
      <c r="AI98" s="75">
        <f>资产资本表!AI63</f>
        <v>256312608</v>
      </c>
      <c r="AJ98" s="75">
        <f>资产资本表!AJ63</f>
        <v>257891606</v>
      </c>
      <c r="AK98" s="75">
        <f>资产资本表!AK63</f>
        <v>260133072</v>
      </c>
      <c r="AL98" s="75">
        <f>资产资本表!AL63</f>
        <v>0</v>
      </c>
      <c r="AM98" s="75">
        <f>资产资本表!AM63</f>
        <v>0</v>
      </c>
      <c r="AN98" s="75">
        <f>资产资本表!AN63</f>
        <v>0</v>
      </c>
      <c r="AO98" s="75">
        <f>资产资本表!AO63</f>
        <v>0</v>
      </c>
      <c r="AP98" s="75">
        <f>资产资本表!AP63</f>
        <v>19079887</v>
      </c>
      <c r="AQ98" s="75">
        <f>资产资本表!AQ63</f>
        <v>19164742</v>
      </c>
      <c r="AR98" s="75">
        <f>资产资本表!AR63</f>
        <v>19248611</v>
      </c>
      <c r="AS98" s="75">
        <f>资产资本表!AS63</f>
        <v>19333205</v>
      </c>
      <c r="AT98" s="75">
        <f>资产资本表!AT63</f>
        <v>90793</v>
      </c>
      <c r="AU98" s="75">
        <f>资产资本表!AU63</f>
        <v>98632</v>
      </c>
      <c r="AV98" s="75">
        <f>资产资本表!AV63</f>
        <v>98632</v>
      </c>
      <c r="AW98" s="75">
        <f>资产资本表!AW63</f>
        <v>28274</v>
      </c>
      <c r="AX98" s="75">
        <f>资产资本表!AX63</f>
        <v>0</v>
      </c>
      <c r="AY98" s="75">
        <f>资产资本表!AY63</f>
        <v>0</v>
      </c>
      <c r="AZ98" s="75">
        <f>资产资本表!AZ63</f>
        <v>0</v>
      </c>
      <c r="BA98" s="75">
        <f>资产资本表!BA63</f>
        <v>588750</v>
      </c>
      <c r="BB98" s="75">
        <f>资产资本表!BB63</f>
        <v>0</v>
      </c>
      <c r="BC98" s="75">
        <f>资产资本表!BC63</f>
        <v>0</v>
      </c>
      <c r="BD98" s="75">
        <f>资产资本表!BD63</f>
        <v>0</v>
      </c>
      <c r="BE98" s="75">
        <f>资产资本表!BE63</f>
        <v>15330</v>
      </c>
      <c r="BF98" s="75">
        <f>资产资本表!BF63</f>
        <v>5454291.0800000001</v>
      </c>
      <c r="BG98" s="75">
        <f>资产资本表!BG63</f>
        <v>8047374.7999999998</v>
      </c>
      <c r="BH98" s="75">
        <f>资产资本表!BH63</f>
        <v>0</v>
      </c>
      <c r="BI98" s="75">
        <f>资产资本表!BI63</f>
        <v>8383485</v>
      </c>
      <c r="BJ98" s="75">
        <f>资产资本表!BJ63</f>
        <v>0</v>
      </c>
      <c r="BK98" s="75">
        <f>资产资本表!BK63</f>
        <v>0</v>
      </c>
      <c r="BL98" s="75">
        <f>资产资本表!BL63</f>
        <v>0</v>
      </c>
      <c r="BM98" s="75">
        <f>资产资本表!BM63</f>
        <v>9523166</v>
      </c>
      <c r="BN98" s="75">
        <f>资产资本表!BN63</f>
        <v>0</v>
      </c>
      <c r="BO98" s="75">
        <f>资产资本表!BO63</f>
        <v>0</v>
      </c>
      <c r="BP98" s="75">
        <f>资产资本表!BP63</f>
        <v>0</v>
      </c>
      <c r="BQ98" s="75">
        <f>资产资本表!BQ63</f>
        <v>0</v>
      </c>
      <c r="BR98" s="75">
        <f>资产资本表!BR63</f>
        <v>0</v>
      </c>
      <c r="BS98" s="75">
        <f>资产资本表!BS63</f>
        <v>0</v>
      </c>
      <c r="BT98" s="75">
        <f>资产资本表!BT63</f>
        <v>0</v>
      </c>
      <c r="BU98" s="75">
        <f>资产资本表!BU63</f>
        <v>0</v>
      </c>
      <c r="BV98" s="75">
        <f>资产资本表!BV63</f>
        <v>0</v>
      </c>
      <c r="BW98" s="75">
        <f>资产资本表!BW63</f>
        <v>0</v>
      </c>
      <c r="BX98" s="75">
        <f>资产资本表!BX63</f>
        <v>0</v>
      </c>
      <c r="BY98" s="75">
        <f>资产资本表!BY63</f>
        <v>0</v>
      </c>
      <c r="BZ98" s="75">
        <f>资产资本表!BZ63</f>
        <v>0</v>
      </c>
      <c r="CA98" s="75">
        <f>资产资本表!CA63</f>
        <v>0</v>
      </c>
      <c r="CB98" s="75">
        <f>资产资本表!CB63</f>
        <v>0</v>
      </c>
      <c r="CC98" s="75">
        <f>资产资本表!CC63</f>
        <v>0</v>
      </c>
      <c r="CD98" s="75">
        <f>资产资本表!CD63</f>
        <v>0</v>
      </c>
      <c r="CE98" s="75">
        <f>资产资本表!CE63</f>
        <v>0</v>
      </c>
      <c r="CF98" s="75">
        <f>资产资本表!CF63</f>
        <v>0</v>
      </c>
      <c r="CG98" s="75">
        <f>资产资本表!CG63</f>
        <v>0</v>
      </c>
      <c r="CH98" s="75">
        <f>资产资本表!CH63</f>
        <v>0</v>
      </c>
      <c r="CI98" s="75">
        <f>资产资本表!CI63</f>
        <v>0</v>
      </c>
      <c r="CJ98" s="75">
        <f>资产资本表!CJ63</f>
        <v>0</v>
      </c>
      <c r="CK98" s="75">
        <f>资产资本表!CK63</f>
        <v>0</v>
      </c>
    </row>
    <row r="99" spans="1:89" s="92" customFormat="1" ht="15" thickBot="1" x14ac:dyDescent="0.3">
      <c r="A99" s="73" t="s">
        <v>594</v>
      </c>
      <c r="E99" s="92">
        <f>资产资本表!E64</f>
        <v>4189767254</v>
      </c>
      <c r="F99" s="92">
        <f>资产资本表!F64</f>
        <v>4239648806</v>
      </c>
      <c r="G99" s="92">
        <f>资产资本表!G64</f>
        <v>4182875839</v>
      </c>
      <c r="H99" s="92">
        <f>资产资本表!H64</f>
        <v>3915640134</v>
      </c>
      <c r="I99" s="92">
        <f>资产资本表!I64</f>
        <v>4139533216</v>
      </c>
      <c r="J99" s="92">
        <f>资产资本表!J64</f>
        <v>5730110656</v>
      </c>
      <c r="K99" s="92">
        <f>资产资本表!K64</f>
        <v>1657718861</v>
      </c>
      <c r="L99" s="92">
        <f>资产资本表!L64</f>
        <v>1629020444</v>
      </c>
      <c r="M99" s="92">
        <f>资产资本表!M64</f>
        <v>347851674</v>
      </c>
      <c r="N99" s="92">
        <f>资产资本表!N64</f>
        <v>523999669</v>
      </c>
      <c r="O99" s="92">
        <f>资产资本表!O64</f>
        <v>768400273</v>
      </c>
      <c r="P99" s="92">
        <f>资产资本表!P64</f>
        <v>1370358463</v>
      </c>
      <c r="Q99" s="92">
        <f>资产资本表!Q64</f>
        <v>1420564369</v>
      </c>
      <c r="R99" s="92">
        <f>资产资本表!R64</f>
        <v>849263222</v>
      </c>
      <c r="S99" s="92">
        <f>资产资本表!S64</f>
        <v>854146159</v>
      </c>
      <c r="T99" s="92">
        <f>资产资本表!T64</f>
        <v>663597879</v>
      </c>
      <c r="U99" s="92">
        <f>资产资本表!U64</f>
        <v>1214223099</v>
      </c>
      <c r="V99" s="92">
        <f>资产资本表!V64</f>
        <v>1121001901</v>
      </c>
      <c r="W99" s="92">
        <f>资产资本表!W64</f>
        <v>1206765475</v>
      </c>
      <c r="X99" s="92">
        <f>资产资本表!X64</f>
        <v>449317988</v>
      </c>
      <c r="Y99" s="92">
        <f>资产资本表!Y64</f>
        <v>229388552</v>
      </c>
      <c r="Z99" s="92">
        <f>资产资本表!Z64</f>
        <v>161914650</v>
      </c>
      <c r="AA99" s="92">
        <f>资产资本表!AA64</f>
        <v>248702690</v>
      </c>
      <c r="AB99" s="92">
        <f>资产资本表!AB64</f>
        <v>72568650</v>
      </c>
      <c r="AC99" s="92">
        <f>资产资本表!AC64</f>
        <v>70681149</v>
      </c>
      <c r="AD99" s="92">
        <f>资产资本表!AD64</f>
        <v>210638514</v>
      </c>
      <c r="AE99" s="92">
        <f>资产资本表!AE64</f>
        <v>315650410</v>
      </c>
      <c r="AF99" s="92">
        <f>资产资本表!AF64</f>
        <v>114284005</v>
      </c>
      <c r="AG99" s="92">
        <f>资产资本表!AG64</f>
        <v>173769132</v>
      </c>
      <c r="AH99" s="92">
        <f>资产资本表!AH64</f>
        <v>1714990388</v>
      </c>
      <c r="AI99" s="92">
        <f>资产资本表!AI64</f>
        <v>1765624331</v>
      </c>
      <c r="AJ99" s="92">
        <f>资产资本表!AJ64</f>
        <v>1193433054</v>
      </c>
      <c r="AK99" s="92">
        <f>资产资本表!AK64</f>
        <v>561193734</v>
      </c>
      <c r="AL99" s="92">
        <f>资产资本表!AL64</f>
        <v>0</v>
      </c>
      <c r="AM99" s="92">
        <f>资产资本表!AM64</f>
        <v>0</v>
      </c>
      <c r="AN99" s="92">
        <f>资产资本表!AN64</f>
        <v>0</v>
      </c>
      <c r="AO99" s="92">
        <f>资产资本表!AO64</f>
        <v>0</v>
      </c>
      <c r="AP99" s="92">
        <f>资产资本表!AP64</f>
        <v>0</v>
      </c>
      <c r="AQ99" s="92">
        <f>资产资本表!AQ64</f>
        <v>0</v>
      </c>
      <c r="AR99" s="92">
        <f>资产资本表!AR64</f>
        <v>0</v>
      </c>
      <c r="AS99" s="92">
        <f>资产资本表!AS64</f>
        <v>0</v>
      </c>
      <c r="AT99" s="92">
        <f>资产资本表!AT64</f>
        <v>1127000</v>
      </c>
      <c r="AU99" s="92">
        <f>资产资本表!AU64</f>
        <v>1462198</v>
      </c>
      <c r="AV99" s="92">
        <f>资产资本表!AV64</f>
        <v>1516122</v>
      </c>
      <c r="AW99" s="92">
        <f>资产资本表!AW64</f>
        <v>1021848</v>
      </c>
      <c r="AX99" s="92">
        <f>资产资本表!AX64</f>
        <v>0</v>
      </c>
      <c r="AY99" s="92">
        <f>资产资本表!AY64</f>
        <v>37882652</v>
      </c>
      <c r="AZ99" s="92">
        <f>资产资本表!AZ64</f>
        <v>65156526</v>
      </c>
      <c r="BA99" s="92">
        <f>资产资本表!BA64</f>
        <v>55917085</v>
      </c>
      <c r="BB99" s="92">
        <f>资产资本表!BB64</f>
        <v>36461679</v>
      </c>
      <c r="BC99" s="92">
        <f>资产资本表!BC64</f>
        <v>59311389</v>
      </c>
      <c r="BD99" s="92">
        <f>资产资本表!BD64</f>
        <v>57908964</v>
      </c>
      <c r="BE99" s="92">
        <f>资产资本表!BE64</f>
        <v>55645628</v>
      </c>
      <c r="BF99" s="92">
        <f>资产资本表!BF64</f>
        <v>86078260.450000003</v>
      </c>
      <c r="BG99" s="92">
        <f>资产资本表!BG64</f>
        <v>100041760.19</v>
      </c>
      <c r="BH99" s="92">
        <f>资产资本表!BH64</f>
        <v>25413529.010000002</v>
      </c>
      <c r="BI99" s="92">
        <f>资产资本表!BI64</f>
        <v>88772649</v>
      </c>
      <c r="BJ99" s="92">
        <f>资产资本表!BJ64</f>
        <v>0</v>
      </c>
      <c r="BK99" s="92">
        <f>资产资本表!BK64</f>
        <v>0</v>
      </c>
      <c r="BL99" s="92">
        <f>资产资本表!BL64</f>
        <v>0</v>
      </c>
      <c r="BM99" s="92">
        <f>资产资本表!BM64</f>
        <v>2463050</v>
      </c>
      <c r="BN99" s="92">
        <f>资产资本表!BN64</f>
        <v>0</v>
      </c>
      <c r="BO99" s="92">
        <f>资产资本表!BO64</f>
        <v>0</v>
      </c>
      <c r="BP99" s="92">
        <f>资产资本表!BP64</f>
        <v>0</v>
      </c>
      <c r="BQ99" s="92">
        <f>资产资本表!BQ64</f>
        <v>0</v>
      </c>
      <c r="BR99" s="92">
        <f>资产资本表!BR64</f>
        <v>0</v>
      </c>
      <c r="BS99" s="92">
        <f>资产资本表!BS64</f>
        <v>0</v>
      </c>
      <c r="BT99" s="92">
        <f>资产资本表!BT64</f>
        <v>0</v>
      </c>
      <c r="BU99" s="92">
        <f>资产资本表!BU64</f>
        <v>0</v>
      </c>
      <c r="BV99" s="92">
        <f>资产资本表!BV64</f>
        <v>10129749.539999999</v>
      </c>
      <c r="BW99" s="92">
        <f>资产资本表!BW64</f>
        <v>0</v>
      </c>
      <c r="BX99" s="92">
        <f>资产资本表!BX64</f>
        <v>0</v>
      </c>
      <c r="BY99" s="92">
        <f>资产资本表!BY64</f>
        <v>0</v>
      </c>
      <c r="BZ99" s="92">
        <f>资产资本表!BZ64</f>
        <v>0</v>
      </c>
      <c r="CA99" s="92">
        <f>资产资本表!CA64</f>
        <v>0</v>
      </c>
      <c r="CB99" s="92">
        <f>资产资本表!CB64</f>
        <v>0</v>
      </c>
      <c r="CC99" s="92">
        <f>资产资本表!CC64</f>
        <v>0</v>
      </c>
      <c r="CD99" s="92">
        <f>资产资本表!CD64</f>
        <v>0</v>
      </c>
      <c r="CE99" s="92">
        <f>资产资本表!CE64</f>
        <v>0</v>
      </c>
      <c r="CF99" s="92">
        <f>资产资本表!CF64</f>
        <v>0</v>
      </c>
      <c r="CG99" s="92">
        <f>资产资本表!CG64</f>
        <v>0</v>
      </c>
      <c r="CH99" s="92">
        <f>资产资本表!CH64</f>
        <v>0</v>
      </c>
      <c r="CI99" s="92">
        <f>资产资本表!CI64</f>
        <v>0</v>
      </c>
      <c r="CJ99" s="92">
        <f>资产资本表!CJ64</f>
        <v>0</v>
      </c>
      <c r="CK99" s="92">
        <f>资产资本表!CK64</f>
        <v>0</v>
      </c>
    </row>
    <row r="100" spans="1:89" s="195" customFormat="1" x14ac:dyDescent="0.25">
      <c r="A100" s="87" t="s">
        <v>684</v>
      </c>
      <c r="E100" s="195">
        <f>(E84+I84)/2</f>
        <v>79286441864</v>
      </c>
      <c r="F100" s="195">
        <f t="shared" ref="F100:BQ100" si="54">(F84+J84)/2</f>
        <v>76071433419</v>
      </c>
      <c r="G100" s="195">
        <f t="shared" si="54"/>
        <v>71078808867</v>
      </c>
      <c r="H100" s="195">
        <f t="shared" si="54"/>
        <v>65121577526</v>
      </c>
      <c r="I100" s="195">
        <f t="shared" si="54"/>
        <v>66756343186</v>
      </c>
      <c r="J100" s="195">
        <f t="shared" si="54"/>
        <v>66353904858</v>
      </c>
      <c r="K100" s="195">
        <f t="shared" si="54"/>
        <v>55721642899.5</v>
      </c>
      <c r="L100" s="195">
        <f t="shared" si="54"/>
        <v>55765476158</v>
      </c>
      <c r="M100" s="195">
        <f t="shared" si="54"/>
        <v>56481747797</v>
      </c>
      <c r="N100" s="195">
        <f t="shared" si="54"/>
        <v>54551915250</v>
      </c>
      <c r="O100" s="195">
        <f t="shared" si="54"/>
        <v>40387122911</v>
      </c>
      <c r="P100" s="195">
        <f t="shared" si="54"/>
        <v>41496224630</v>
      </c>
      <c r="Q100" s="195">
        <f t="shared" si="54"/>
        <v>40947030617</v>
      </c>
      <c r="R100" s="195">
        <f t="shared" si="54"/>
        <v>40191744805.5</v>
      </c>
      <c r="S100" s="195">
        <f t="shared" si="54"/>
        <v>32993727572.5</v>
      </c>
      <c r="T100" s="195">
        <f t="shared" si="54"/>
        <v>33434415310.5</v>
      </c>
      <c r="U100" s="195">
        <f t="shared" si="54"/>
        <v>33514886209.5</v>
      </c>
      <c r="V100" s="195">
        <f t="shared" si="54"/>
        <v>33603068988</v>
      </c>
      <c r="W100" s="195">
        <f t="shared" si="54"/>
        <v>32086620250.5</v>
      </c>
      <c r="X100" s="195">
        <f t="shared" si="54"/>
        <v>30635263471.5</v>
      </c>
      <c r="Y100" s="195">
        <f t="shared" si="54"/>
        <v>31461485189</v>
      </c>
      <c r="Z100" s="195">
        <f t="shared" si="54"/>
        <v>26545456676</v>
      </c>
      <c r="AA100" s="195">
        <f t="shared" si="54"/>
        <v>24583900787.5</v>
      </c>
      <c r="AB100" s="195">
        <f t="shared" si="54"/>
        <v>21244112496</v>
      </c>
      <c r="AC100" s="195">
        <f t="shared" si="54"/>
        <v>21838365444</v>
      </c>
      <c r="AD100" s="195">
        <f t="shared" si="54"/>
        <v>12876401127</v>
      </c>
      <c r="AE100" s="195">
        <f t="shared" si="54"/>
        <v>12939383255.5</v>
      </c>
      <c r="AF100" s="195">
        <f t="shared" si="54"/>
        <v>11202728048.5</v>
      </c>
      <c r="AG100" s="195">
        <f t="shared" si="54"/>
        <v>11621463240</v>
      </c>
      <c r="AH100" s="195">
        <f t="shared" si="54"/>
        <v>6653872508</v>
      </c>
      <c r="AI100" s="195">
        <f t="shared" si="54"/>
        <v>6811470345.5</v>
      </c>
      <c r="AJ100" s="195">
        <f t="shared" si="54"/>
        <v>6936161961.5</v>
      </c>
      <c r="AK100" s="195">
        <f t="shared" si="54"/>
        <v>7248567298.5</v>
      </c>
      <c r="AL100" s="195">
        <f t="shared" si="54"/>
        <v>5996061391</v>
      </c>
      <c r="AM100" s="195">
        <f t="shared" si="54"/>
        <v>6268525689.5</v>
      </c>
      <c r="AN100" s="195">
        <f t="shared" si="54"/>
        <v>6460564332.5</v>
      </c>
      <c r="AO100" s="195">
        <f t="shared" si="54"/>
        <v>6719675676.5</v>
      </c>
      <c r="AP100" s="195">
        <f t="shared" si="54"/>
        <v>6625892363</v>
      </c>
      <c r="AQ100" s="195">
        <f t="shared" si="54"/>
        <v>6890774751</v>
      </c>
      <c r="AR100" s="195">
        <f t="shared" si="54"/>
        <v>7136683655.5</v>
      </c>
      <c r="AS100" s="195">
        <f t="shared" si="54"/>
        <v>7494968514</v>
      </c>
      <c r="AT100" s="195">
        <f t="shared" si="54"/>
        <v>7600088022</v>
      </c>
      <c r="AU100" s="195">
        <f t="shared" si="54"/>
        <v>9133780730</v>
      </c>
      <c r="AV100" s="195">
        <f t="shared" si="54"/>
        <v>9433894887</v>
      </c>
      <c r="AW100" s="195">
        <f t="shared" si="54"/>
        <v>9737671236</v>
      </c>
      <c r="AX100" s="195">
        <f t="shared" si="54"/>
        <v>9945963286.5</v>
      </c>
      <c r="AY100" s="195">
        <f t="shared" si="54"/>
        <v>10588914135.5</v>
      </c>
      <c r="AZ100" s="195">
        <f t="shared" si="54"/>
        <v>8179331780</v>
      </c>
      <c r="BA100" s="195">
        <f t="shared" si="54"/>
        <v>8218833552.5</v>
      </c>
      <c r="BB100" s="195">
        <f t="shared" si="54"/>
        <v>7770114168.75</v>
      </c>
      <c r="BC100" s="195">
        <f t="shared" si="54"/>
        <v>7008591457.4400005</v>
      </c>
      <c r="BD100" s="195">
        <f t="shared" si="54"/>
        <v>4515524267.335</v>
      </c>
      <c r="BE100" s="195">
        <f t="shared" si="54"/>
        <v>4441620679</v>
      </c>
      <c r="BF100" s="195">
        <f t="shared" si="54"/>
        <v>3860721897.1599998</v>
      </c>
      <c r="BG100" s="195">
        <f t="shared" si="54"/>
        <v>3898868169.8200002</v>
      </c>
      <c r="BH100" s="195">
        <f t="shared" si="54"/>
        <v>3957018129.75</v>
      </c>
      <c r="BI100" s="195">
        <f t="shared" si="54"/>
        <v>2517487935</v>
      </c>
      <c r="BJ100" s="195">
        <f t="shared" si="54"/>
        <v>2498198461.9099998</v>
      </c>
      <c r="BK100" s="195">
        <f t="shared" si="54"/>
        <v>2469861017.1700001</v>
      </c>
      <c r="BL100" s="195">
        <f t="shared" si="54"/>
        <v>2432729577.4049997</v>
      </c>
      <c r="BM100" s="195">
        <f t="shared" si="54"/>
        <v>904687656.5</v>
      </c>
      <c r="BN100" s="195">
        <f t="shared" si="54"/>
        <v>793068484.52499998</v>
      </c>
      <c r="BO100" s="195">
        <f t="shared" si="54"/>
        <v>710734341.78999996</v>
      </c>
      <c r="BP100" s="195">
        <f t="shared" si="54"/>
        <v>675625612.99000001</v>
      </c>
      <c r="BQ100" s="195">
        <f t="shared" si="54"/>
        <v>470845246</v>
      </c>
      <c r="BR100" s="195">
        <f t="shared" ref="BR100:CK100" si="55">(BR84+BV84)/2</f>
        <v>476098270.65999997</v>
      </c>
      <c r="BS100" s="195">
        <f t="shared" si="55"/>
        <v>431010822</v>
      </c>
      <c r="BT100" s="195">
        <f t="shared" si="55"/>
        <v>312298456.13999999</v>
      </c>
      <c r="BU100" s="195">
        <f t="shared" si="55"/>
        <v>248528500</v>
      </c>
      <c r="BV100" s="195">
        <f t="shared" si="55"/>
        <v>255695297.63499999</v>
      </c>
      <c r="BW100" s="195">
        <f t="shared" si="55"/>
        <v>229961500</v>
      </c>
      <c r="BX100" s="195">
        <f t="shared" si="55"/>
        <v>145895835.63999999</v>
      </c>
      <c r="BY100" s="195">
        <f t="shared" si="55"/>
        <v>144667000</v>
      </c>
      <c r="BZ100" s="195">
        <f t="shared" si="55"/>
        <v>77876000</v>
      </c>
      <c r="CA100" s="195">
        <f t="shared" si="55"/>
        <v>75704500</v>
      </c>
      <c r="CB100" s="195">
        <f t="shared" si="55"/>
        <v>69144500</v>
      </c>
      <c r="CC100" s="195">
        <f t="shared" si="55"/>
        <v>65656500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5" thickBot="1" x14ac:dyDescent="0.3">
      <c r="A101" s="251" t="s">
        <v>685</v>
      </c>
      <c r="E101" s="250">
        <f>E100/E84</f>
        <v>0.89462540337456331</v>
      </c>
      <c r="F101" s="250">
        <f t="shared" ref="F101:BQ101" si="56">F100/F84</f>
        <v>0.94393294797787286</v>
      </c>
      <c r="G101" s="250">
        <f t="shared" si="56"/>
        <v>0.90088546144987591</v>
      </c>
      <c r="H101" s="250">
        <f t="shared" si="56"/>
        <v>0.95192430943215056</v>
      </c>
      <c r="I101" s="250">
        <f t="shared" si="56"/>
        <v>0.9543766422920984</v>
      </c>
      <c r="J101" s="250">
        <f t="shared" si="56"/>
        <v>0.92733928200888682</v>
      </c>
      <c r="K101" s="250">
        <f t="shared" si="56"/>
        <v>0.88085220868476921</v>
      </c>
      <c r="L101" s="250">
        <f t="shared" si="56"/>
        <v>0.90187681239083584</v>
      </c>
      <c r="M101" s="250">
        <f t="shared" si="56"/>
        <v>0.88856539713925431</v>
      </c>
      <c r="N101" s="250">
        <f t="shared" si="56"/>
        <v>0.89202979817768857</v>
      </c>
      <c r="O101" s="250">
        <f t="shared" si="56"/>
        <v>0.83817668623521979</v>
      </c>
      <c r="P101" s="250">
        <f t="shared" si="56"/>
        <v>0.83496341704948884</v>
      </c>
      <c r="Q101" s="250">
        <f t="shared" si="56"/>
        <v>0.82891417082318264</v>
      </c>
      <c r="R101" s="250">
        <f t="shared" si="56"/>
        <v>0.83821831328400642</v>
      </c>
      <c r="S101" s="250">
        <f t="shared" si="56"/>
        <v>1.0123959170361745</v>
      </c>
      <c r="T101" s="250">
        <f t="shared" si="56"/>
        <v>1.0042115699051255</v>
      </c>
      <c r="U101" s="250">
        <f t="shared" si="56"/>
        <v>1.0313648347583773</v>
      </c>
      <c r="V101" s="250">
        <f t="shared" si="56"/>
        <v>1.0360294800241214</v>
      </c>
      <c r="W101" s="250">
        <f t="shared" si="56"/>
        <v>0.96074319963032484</v>
      </c>
      <c r="X101" s="250">
        <f t="shared" si="56"/>
        <v>0.91245258312201938</v>
      </c>
      <c r="Y101" s="250">
        <f t="shared" si="56"/>
        <v>0.91102644838264124</v>
      </c>
      <c r="Z101" s="250">
        <f t="shared" si="56"/>
        <v>0.76342205078211223</v>
      </c>
      <c r="AA101" s="250">
        <f t="shared" si="56"/>
        <v>0.79881315759636828</v>
      </c>
      <c r="AB101" s="250">
        <f t="shared" si="56"/>
        <v>0.76704925815799196</v>
      </c>
      <c r="AC101" s="250">
        <f t="shared" si="56"/>
        <v>0.76925819258499251</v>
      </c>
      <c r="AD101" s="250">
        <f t="shared" si="56"/>
        <v>0.70288920609543371</v>
      </c>
      <c r="AE101" s="250">
        <f t="shared" si="56"/>
        <v>0.70352296599274911</v>
      </c>
      <c r="AF101" s="250">
        <f t="shared" si="56"/>
        <v>0.7573333529974825</v>
      </c>
      <c r="AG101" s="250">
        <f t="shared" si="56"/>
        <v>0.76017554103556906</v>
      </c>
      <c r="AH101" s="250">
        <f t="shared" si="56"/>
        <v>0.89511310102903796</v>
      </c>
      <c r="AI101" s="250">
        <f t="shared" si="56"/>
        <v>0.90983398318668229</v>
      </c>
      <c r="AJ101" s="250">
        <f t="shared" si="56"/>
        <v>0.91107984917320206</v>
      </c>
      <c r="AK101" s="250">
        <f t="shared" si="56"/>
        <v>0.91118968025512204</v>
      </c>
      <c r="AL101" s="250">
        <f t="shared" si="56"/>
        <v>1.0207469320198463</v>
      </c>
      <c r="AM101" s="250">
        <f t="shared" si="56"/>
        <v>1.0215243686505147</v>
      </c>
      <c r="AN101" s="250">
        <f t="shared" si="56"/>
        <v>1.0321706056270084</v>
      </c>
      <c r="AO101" s="250">
        <f t="shared" si="56"/>
        <v>1.0271472962822279</v>
      </c>
      <c r="AP101" s="250">
        <f t="shared" si="56"/>
        <v>1.0830279716519102</v>
      </c>
      <c r="AQ101" s="250">
        <f t="shared" si="56"/>
        <v>1.0765811546497148</v>
      </c>
      <c r="AR101" s="250">
        <f t="shared" si="56"/>
        <v>1.0712642195418756</v>
      </c>
      <c r="AS101" s="250">
        <f t="shared" si="56"/>
        <v>1.0866564159754311</v>
      </c>
      <c r="AT101" s="250">
        <f t="shared" si="56"/>
        <v>1.065355450681513</v>
      </c>
      <c r="AU101" s="250">
        <f t="shared" si="56"/>
        <v>1.2374819183940289</v>
      </c>
      <c r="AV101" s="250">
        <f t="shared" si="56"/>
        <v>1.2394361737347417</v>
      </c>
      <c r="AW101" s="250">
        <f t="shared" si="56"/>
        <v>1.203271757285804</v>
      </c>
      <c r="AX101" s="250">
        <f t="shared" si="56"/>
        <v>1.2330230136354592</v>
      </c>
      <c r="AY101" s="250">
        <f t="shared" si="56"/>
        <v>0.97265390485473113</v>
      </c>
      <c r="AZ101" s="250">
        <f t="shared" si="56"/>
        <v>0.72664162211354799</v>
      </c>
      <c r="BA101" s="250">
        <f t="shared" si="56"/>
        <v>0.7220472663511911</v>
      </c>
      <c r="BB101" s="250">
        <f t="shared" si="56"/>
        <v>0.65705863236526707</v>
      </c>
      <c r="BC101" s="250">
        <f t="shared" si="56"/>
        <v>0.68102712045871217</v>
      </c>
      <c r="BD101" s="250">
        <f t="shared" si="56"/>
        <v>0.88499529302040103</v>
      </c>
      <c r="BE101" s="250">
        <f t="shared" si="56"/>
        <v>0.87866126780443476</v>
      </c>
      <c r="BF101" s="250">
        <f t="shared" si="56"/>
        <v>1.0393299373472964</v>
      </c>
      <c r="BG101" s="250">
        <f t="shared" si="56"/>
        <v>1.0464020313976523</v>
      </c>
      <c r="BH101" s="250">
        <f t="shared" si="56"/>
        <v>1.0071992757551009</v>
      </c>
      <c r="BI101" s="250">
        <f t="shared" si="56"/>
        <v>0.65760716116801232</v>
      </c>
      <c r="BJ101" s="250">
        <f t="shared" si="56"/>
        <v>0.62348689752003461</v>
      </c>
      <c r="BK101" s="250">
        <f t="shared" si="56"/>
        <v>0.60658300434345114</v>
      </c>
      <c r="BL101" s="250">
        <f t="shared" si="56"/>
        <v>0.61042537647999029</v>
      </c>
      <c r="BM101" s="250">
        <f t="shared" si="56"/>
        <v>0.74970750546119902</v>
      </c>
      <c r="BN101" s="250">
        <f t="shared" si="56"/>
        <v>0.80142006458538273</v>
      </c>
      <c r="BO101" s="250">
        <f t="shared" si="56"/>
        <v>0.81885512065601362</v>
      </c>
      <c r="BP101" s="250">
        <f t="shared" si="56"/>
        <v>0.76761944121292447</v>
      </c>
      <c r="BQ101" s="250">
        <f t="shared" si="56"/>
        <v>0.7812855495981269</v>
      </c>
      <c r="BR101" s="250">
        <f t="shared" ref="BR101:CK101" si="57">BR100/BR84</f>
        <v>0.79807548254515448</v>
      </c>
      <c r="BS101" s="250">
        <f t="shared" si="57"/>
        <v>0.77868991814682142</v>
      </c>
      <c r="BT101" s="250">
        <f t="shared" si="57"/>
        <v>0.66292140501883146</v>
      </c>
      <c r="BU101" s="250">
        <f t="shared" si="57"/>
        <v>0.73304457343762908</v>
      </c>
      <c r="BV101" s="250">
        <f t="shared" si="57"/>
        <v>0.71897510853926505</v>
      </c>
      <c r="BW101" s="250">
        <f t="shared" si="57"/>
        <v>0.74538432615699779</v>
      </c>
      <c r="BX101" s="250">
        <f t="shared" si="57"/>
        <v>0.95044492987275386</v>
      </c>
      <c r="BY101" s="250">
        <f t="shared" si="57"/>
        <v>0.91549224470165358</v>
      </c>
      <c r="BZ101" s="250">
        <f t="shared" si="57"/>
        <v>0.5</v>
      </c>
      <c r="CA101" s="250">
        <f t="shared" si="57"/>
        <v>0.5</v>
      </c>
      <c r="CB101" s="250">
        <f t="shared" si="57"/>
        <v>0.5</v>
      </c>
      <c r="CC101" s="250">
        <f t="shared" si="57"/>
        <v>0.5</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x14ac:dyDescent="0.25">
      <c r="A102" s="286" t="s">
        <v>686</v>
      </c>
      <c r="B102" s="287"/>
      <c r="C102" s="287"/>
      <c r="D102" s="287"/>
      <c r="E102" s="287"/>
      <c r="F102" s="287"/>
      <c r="G102" s="287"/>
      <c r="H102" s="287"/>
      <c r="I102" s="287"/>
      <c r="J102" s="287"/>
      <c r="K102" s="287"/>
      <c r="L102" s="287"/>
      <c r="M102" s="287"/>
      <c r="N102" s="287"/>
      <c r="O102" s="287"/>
      <c r="P102" s="287"/>
      <c r="Q102" s="287"/>
      <c r="R102" s="287"/>
      <c r="S102" s="287"/>
      <c r="T102" s="287"/>
      <c r="U102" s="287"/>
      <c r="V102" s="287"/>
      <c r="W102" s="287"/>
      <c r="X102" s="287"/>
      <c r="Y102" s="287"/>
      <c r="Z102" s="287"/>
      <c r="AA102" s="287"/>
      <c r="AB102" s="287"/>
      <c r="AC102" s="287"/>
      <c r="AD102" s="287"/>
      <c r="AE102" s="287"/>
      <c r="AF102" s="287"/>
      <c r="AG102" s="287"/>
      <c r="AH102" s="287"/>
      <c r="AI102" s="287"/>
      <c r="AJ102" s="287"/>
      <c r="AK102" s="287"/>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4"/>
  <sheetViews>
    <sheetView tabSelected="1" zoomScale="85" zoomScaleNormal="85" workbookViewId="0">
      <selection activeCell="E27" sqref="E27"/>
    </sheetView>
  </sheetViews>
  <sheetFormatPr defaultRowHeight="14.4" x14ac:dyDescent="0.25"/>
  <cols>
    <col min="1" max="1" width="67.21875" style="17" customWidth="1"/>
    <col min="2" max="3" width="9.5546875" hidden="1" customWidth="1"/>
    <col min="4" max="4" width="0.44140625" customWidth="1"/>
    <col min="5" max="5" width="22.77734375" bestFit="1" customWidth="1"/>
    <col min="6" max="6" width="22.6640625" hidden="1" customWidth="1"/>
    <col min="7" max="8" width="21.44140625" hidden="1" customWidth="1"/>
    <col min="9" max="9" width="22.77734375" bestFit="1" customWidth="1"/>
    <col min="10" max="10" width="21.44140625" hidden="1" customWidth="1"/>
    <col min="11" max="11" width="22.6640625" hidden="1" customWidth="1"/>
    <col min="12" max="12" width="21.44140625" hidden="1" customWidth="1"/>
    <col min="13" max="13" width="22.6640625" bestFit="1" customWidth="1"/>
    <col min="14" max="16" width="21.44140625" hidden="1" customWidth="1"/>
    <col min="17" max="17" width="21.5546875" bestFit="1" customWidth="1"/>
    <col min="18" max="20" width="21.44140625" hidden="1" customWidth="1"/>
    <col min="21" max="21" width="21.5546875" bestFit="1" customWidth="1"/>
    <col min="22" max="24" width="21.44140625" hidden="1" customWidth="1"/>
    <col min="25" max="25" width="22.77734375" bestFit="1" customWidth="1"/>
    <col min="26" max="26" width="20.44140625" hidden="1" customWidth="1"/>
    <col min="27" max="27" width="22.6640625" hidden="1" customWidth="1"/>
    <col min="28" max="28" width="19.33203125" hidden="1" customWidth="1"/>
    <col min="29" max="29" width="22.77734375" bestFit="1" customWidth="1"/>
    <col min="30" max="31" width="22.6640625" hidden="1" customWidth="1"/>
    <col min="32" max="32" width="20.21875" hidden="1" customWidth="1"/>
    <col min="33" max="33" width="22.77734375" bestFit="1" customWidth="1"/>
    <col min="34" max="34" width="20.44140625" hidden="1" customWidth="1"/>
    <col min="35" max="35" width="20.21875" hidden="1" customWidth="1"/>
    <col min="36" max="36" width="19.33203125" hidden="1" customWidth="1"/>
    <col min="37" max="37" width="21.5546875" bestFit="1" customWidth="1"/>
    <col min="38" max="38" width="19.33203125" hidden="1" customWidth="1"/>
    <col min="39" max="40" width="20.21875" hidden="1" customWidth="1"/>
    <col min="41" max="41" width="21.5546875" bestFit="1" customWidth="1"/>
    <col min="42" max="42" width="21.44140625" hidden="1" customWidth="1"/>
    <col min="43" max="44" width="19.33203125" hidden="1" customWidth="1"/>
    <col min="45" max="45" width="21.5546875" bestFit="1" customWidth="1"/>
    <col min="46" max="46" width="21.44140625" hidden="1" customWidth="1"/>
    <col min="47" max="48" width="19.33203125" hidden="1" customWidth="1"/>
    <col min="49" max="49" width="22.77734375" bestFit="1" customWidth="1"/>
    <col min="50" max="50" width="21.44140625" hidden="1" customWidth="1"/>
    <col min="51" max="51" width="22.6640625" hidden="1" customWidth="1"/>
    <col min="52" max="52" width="20.21875" hidden="1" customWidth="1"/>
    <col min="53" max="53" width="22.77734375" bestFit="1" customWidth="1"/>
    <col min="54" max="54" width="22.6640625" hidden="1" customWidth="1"/>
    <col min="55" max="56" width="20.21875" hidden="1" customWidth="1"/>
    <col min="57" max="57" width="20.5546875" bestFit="1" customWidth="1"/>
    <col min="58" max="59" width="20.21875" hidden="1" customWidth="1"/>
    <col min="60" max="60" width="19.33203125" hidden="1" customWidth="1"/>
    <col min="61" max="61" width="20.5546875" bestFit="1" customWidth="1"/>
    <col min="62" max="64" width="19.33203125" hidden="1" customWidth="1"/>
    <col min="65" max="65" width="19.44140625" bestFit="1" customWidth="1"/>
    <col min="66" max="66" width="19.33203125" hidden="1" customWidth="1"/>
    <col min="67" max="67" width="19.44140625" bestFit="1" customWidth="1"/>
    <col min="68" max="68" width="19.33203125" hidden="1" customWidth="1"/>
    <col min="69" max="69" width="20.33203125" bestFit="1" customWidth="1"/>
    <col min="70" max="70" width="19.33203125" hidden="1" customWidth="1"/>
    <col min="71" max="71" width="19.44140625" bestFit="1" customWidth="1"/>
    <col min="72" max="72" width="17.88671875" bestFit="1" customWidth="1"/>
    <col min="73" max="74" width="17.21875" hidden="1" customWidth="1"/>
    <col min="75" max="81" width="17.33203125" bestFit="1" customWidth="1"/>
    <col min="82" max="82" width="9.44140625" bestFit="1" customWidth="1"/>
    <col min="83" max="84" width="17.33203125" bestFit="1" customWidth="1"/>
    <col min="85" max="86" width="16.21875" bestFit="1" customWidth="1"/>
    <col min="87" max="87" width="17.33203125" bestFit="1" customWidth="1"/>
    <col min="88" max="88" width="16.21875" bestFit="1" customWidth="1"/>
    <col min="89" max="89" width="9.44140625" bestFit="1" customWidth="1"/>
    <col min="90" max="90" width="9.33203125" bestFit="1" customWidth="1"/>
  </cols>
  <sheetData>
    <row r="1" spans="1:90" x14ac:dyDescent="0.25">
      <c r="A1" s="17">
        <v>725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c r="BW1" s="40"/>
      <c r="BX1" s="40"/>
      <c r="BY1" s="40"/>
      <c r="BZ1" s="40"/>
      <c r="CA1" s="40"/>
      <c r="CB1" s="40"/>
      <c r="CC1" s="40"/>
      <c r="CD1" s="40"/>
      <c r="CE1" s="40"/>
      <c r="CF1" s="40"/>
      <c r="CG1" s="40"/>
      <c r="CH1" s="40"/>
      <c r="CI1" s="40"/>
      <c r="CJ1" s="40"/>
      <c r="CK1" s="40"/>
      <c r="CL1" s="40"/>
    </row>
    <row r="2" spans="1:90" s="26" customFormat="1" x14ac:dyDescent="0.25">
      <c r="A2" s="17" t="s">
        <v>484</v>
      </c>
      <c r="E2" s="26">
        <f>现金流量表!E4</f>
        <v>102954356249</v>
      </c>
      <c r="F2" s="26">
        <f>现金流量表!F4</f>
        <v>68660537726</v>
      </c>
      <c r="G2" s="26">
        <f>现金流量表!G4</f>
        <v>43665151353</v>
      </c>
      <c r="H2" s="26">
        <f>现金流量表!H4</f>
        <v>22790725860</v>
      </c>
      <c r="I2" s="26">
        <f>现金流量表!I4</f>
        <v>68853018038</v>
      </c>
      <c r="J2" s="26">
        <f>现金流量表!J4</f>
        <v>36623911272</v>
      </c>
      <c r="K2" s="26">
        <f>现金流量表!K4</f>
        <v>24660608318</v>
      </c>
      <c r="L2" s="26">
        <f>现金流量表!L4</f>
        <v>14752531095</v>
      </c>
      <c r="M2" s="26">
        <f>现金流量表!M4</f>
        <v>50577270660</v>
      </c>
      <c r="N2" s="26">
        <f>现金流量表!N4</f>
        <v>36345984473</v>
      </c>
      <c r="O2" s="26">
        <f>现金流量表!O4</f>
        <v>22930542755</v>
      </c>
      <c r="P2" s="26">
        <f>现金流量表!P4</f>
        <v>11797439308</v>
      </c>
      <c r="Q2" s="26">
        <f>现金流量表!Q4</f>
        <v>38084816098</v>
      </c>
      <c r="R2" s="26">
        <f>现金流量表!R4</f>
        <v>26232696940</v>
      </c>
      <c r="S2" s="26">
        <f>现金流量表!S4</f>
        <v>17820222805</v>
      </c>
      <c r="T2" s="26">
        <f>现金流量表!T4</f>
        <v>9220709287</v>
      </c>
      <c r="U2" s="26">
        <f>现金流量表!U4</f>
        <v>37313639815</v>
      </c>
      <c r="V2" s="26">
        <f>现金流量表!V4</f>
        <v>24110584754</v>
      </c>
      <c r="W2" s="26">
        <f>现金流量表!W4</f>
        <v>14931452858</v>
      </c>
      <c r="X2" s="26">
        <f>现金流量表!X4</f>
        <v>7362659563</v>
      </c>
      <c r="Y2" s="26">
        <f>现金流量表!Y4</f>
        <v>25966398631</v>
      </c>
      <c r="Z2" s="26">
        <f>现金流量表!Z4</f>
        <v>14319558754</v>
      </c>
      <c r="AA2" s="26">
        <f>现金流量表!AA4</f>
        <v>8437761719</v>
      </c>
      <c r="AB2" s="26">
        <f>现金流量表!AB4</f>
        <v>3777236834</v>
      </c>
      <c r="AC2" s="26">
        <f>现金流量表!AC4</f>
        <v>12713419705</v>
      </c>
      <c r="AD2" s="26">
        <f>现金流量表!AD4</f>
        <v>6946995699</v>
      </c>
      <c r="AE2" s="26">
        <f>现金流量表!AE4</f>
        <v>3944504377</v>
      </c>
      <c r="AF2" s="26">
        <f>现金流量表!AF4</f>
        <v>1951481717</v>
      </c>
      <c r="AG2" s="26">
        <f>现金流量表!AG4</f>
        <v>8616725918</v>
      </c>
      <c r="AH2" s="26">
        <f>现金流量表!AH4</f>
        <v>5993924770</v>
      </c>
      <c r="AI2" s="26">
        <f>现金流量表!AI4</f>
        <v>3883606521</v>
      </c>
      <c r="AJ2" s="26">
        <f>现金流量表!AJ4</f>
        <v>1845550068</v>
      </c>
      <c r="AK2" s="26">
        <f>现金流量表!AK4</f>
        <v>6044760061</v>
      </c>
      <c r="AL2" s="26">
        <f>现金流量表!AL4</f>
        <v>3637669417</v>
      </c>
      <c r="AM2" s="26">
        <f>现金流量表!AM4</f>
        <v>1757061013</v>
      </c>
      <c r="AN2" s="26">
        <f>现金流量表!AN4</f>
        <v>768952605</v>
      </c>
      <c r="AO2" s="26">
        <f>现金流量表!AO4</f>
        <v>10070416783</v>
      </c>
      <c r="AP2" s="26">
        <f>现金流量表!AP4</f>
        <v>8377481190</v>
      </c>
      <c r="AQ2" s="26">
        <f>现金流量表!AQ4</f>
        <v>6143067264</v>
      </c>
      <c r="AR2" s="26">
        <f>现金流量表!AR4</f>
        <v>3266755773</v>
      </c>
      <c r="AS2" s="26">
        <f>现金流量表!AS4</f>
        <v>11237354875</v>
      </c>
      <c r="AT2" s="26">
        <f>现金流量表!AT4</f>
        <v>7676330426</v>
      </c>
      <c r="AU2" s="26">
        <f>现金流量表!AU4</f>
        <v>4417283447</v>
      </c>
      <c r="AV2" s="26">
        <f>现金流量表!AV4</f>
        <v>1844660182</v>
      </c>
      <c r="AW2" s="26">
        <f>现金流量表!AW4</f>
        <v>9914393722</v>
      </c>
      <c r="AX2" s="26">
        <f>现金流量表!AX4</f>
        <v>7724560761</v>
      </c>
      <c r="AY2" s="26">
        <f>现金流量表!AY4</f>
        <v>5389527714</v>
      </c>
      <c r="AZ2" s="26">
        <f>现金流量表!AZ4</f>
        <v>3541671441</v>
      </c>
      <c r="BA2" s="26">
        <f>现金流量表!BA4</f>
        <v>12552880102</v>
      </c>
      <c r="BB2" s="26">
        <f>现金流量表!BB4</f>
        <v>9080976621.1800003</v>
      </c>
      <c r="BC2" s="26">
        <f>现金流量表!BC4</f>
        <v>4706905850</v>
      </c>
      <c r="BD2" s="26">
        <f>现金流量表!BD4</f>
        <v>2450038203</v>
      </c>
      <c r="BE2" s="26">
        <f>现金流量表!BE4</f>
        <v>13323277707</v>
      </c>
      <c r="BF2" s="26">
        <f>现金流量表!BF4</f>
        <v>9382715262.6700001</v>
      </c>
      <c r="BG2" s="26">
        <f>现金流量表!BG4</f>
        <v>6463444150.6499996</v>
      </c>
      <c r="BH2" s="26">
        <f>现金流量表!BH4</f>
        <v>3839223912.0999999</v>
      </c>
      <c r="BI2" s="26">
        <f>现金流量表!BI4</f>
        <v>11468005084</v>
      </c>
      <c r="BJ2" s="26">
        <f>现金流量表!BJ4</f>
        <v>8326912263.0900002</v>
      </c>
      <c r="BK2" s="26">
        <f>现金流量表!BK4</f>
        <v>4834451982.9300003</v>
      </c>
      <c r="BL2" s="26">
        <f>现金流量表!BL4</f>
        <v>2528721938.5300002</v>
      </c>
      <c r="BM2" s="26">
        <f>现金流量表!BM4</f>
        <v>4499246849</v>
      </c>
      <c r="BN2" s="26">
        <f>现金流量表!BN4</f>
        <v>1886557877.3800001</v>
      </c>
      <c r="BO2" s="26">
        <f>现金流量表!BO4</f>
        <v>2975557658</v>
      </c>
      <c r="BP2" s="26">
        <f>现金流量表!BP4</f>
        <v>1550605785.97</v>
      </c>
      <c r="BQ2" s="26">
        <f>现金流量表!BQ4</f>
        <v>2164267998</v>
      </c>
      <c r="BR2" s="26">
        <f>现金流量表!BR4</f>
        <v>821261175</v>
      </c>
      <c r="BS2" s="26">
        <f>现金流量表!BS4</f>
        <v>525631913</v>
      </c>
      <c r="BT2" s="26">
        <f>现金流量表!BT4</f>
        <v>263583000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485</v>
      </c>
      <c r="E3" s="26">
        <f>利润表!E3</f>
        <v>93800479215</v>
      </c>
      <c r="F3" s="26">
        <f>利润表!F3</f>
        <v>69408356144</v>
      </c>
      <c r="G3" s="26">
        <f>利润表!G3</f>
        <v>44605027995</v>
      </c>
      <c r="H3" s="26">
        <f>利润表!H3</f>
        <v>21854974362</v>
      </c>
      <c r="I3" s="26">
        <f>利润表!I3</f>
        <v>68895658963</v>
      </c>
      <c r="J3" s="26">
        <f>利润表!J3</f>
        <v>45841905735</v>
      </c>
      <c r="K3" s="26">
        <f>利润表!K3</f>
        <v>26448310717</v>
      </c>
      <c r="L3" s="26">
        <f>利润表!L3</f>
        <v>12297738830</v>
      </c>
      <c r="M3" s="26">
        <f>利润表!M3</f>
        <v>48623732312</v>
      </c>
      <c r="N3" s="26">
        <f>利润表!N3</f>
        <v>36420446042</v>
      </c>
      <c r="O3" s="26">
        <f>利润表!O3</f>
        <v>22970848112</v>
      </c>
      <c r="P3" s="26">
        <f>利润表!P3</f>
        <v>11582854379</v>
      </c>
      <c r="Q3" s="26">
        <f>利润表!Q3</f>
        <v>36816316676</v>
      </c>
      <c r="R3" s="26">
        <f>利润表!R3</f>
        <v>25288069384</v>
      </c>
      <c r="S3" s="26">
        <f>利润表!S3</f>
        <v>16113171584</v>
      </c>
      <c r="T3" s="26">
        <f>利润表!T3</f>
        <v>8091679315</v>
      </c>
      <c r="U3" s="26">
        <f>利润表!U3</f>
        <v>33774285620</v>
      </c>
      <c r="V3" s="26">
        <f>利润表!V3</f>
        <v>24773771714</v>
      </c>
      <c r="W3" s="26">
        <f>利润表!W3</f>
        <v>16254326067</v>
      </c>
      <c r="X3" s="26">
        <f>利润表!X3</f>
        <v>8058663697</v>
      </c>
      <c r="Y3" s="26">
        <f>利润表!Y3</f>
        <v>25771583386</v>
      </c>
      <c r="Z3" s="26">
        <f>利润表!Z3</f>
        <v>17122908001</v>
      </c>
      <c r="AA3" s="26">
        <f>利润表!AA3</f>
        <v>9608882013</v>
      </c>
      <c r="AB3" s="26">
        <f>利润表!AB3</f>
        <v>4147641280</v>
      </c>
      <c r="AC3" s="26">
        <f>利润表!AC3</f>
        <v>12741413562</v>
      </c>
      <c r="AD3" s="26">
        <f>利润表!AD3</f>
        <v>8514636554</v>
      </c>
      <c r="AE3" s="26">
        <f>利润表!AE3</f>
        <v>4940033997</v>
      </c>
      <c r="AF3" s="26">
        <f>利润表!AF3</f>
        <v>1969646222</v>
      </c>
      <c r="AG3" s="26">
        <f>利润表!AG3</f>
        <v>8025290848</v>
      </c>
      <c r="AH3" s="26">
        <f>利润表!AH3</f>
        <v>6202063899</v>
      </c>
      <c r="AI3" s="26">
        <f>利润表!AI3</f>
        <v>4186429883</v>
      </c>
      <c r="AJ3" s="26">
        <f>利润表!AJ3</f>
        <v>1893639353</v>
      </c>
      <c r="AK3" s="26">
        <f>利润表!AK3</f>
        <v>6249194126</v>
      </c>
      <c r="AL3" s="26">
        <f>利润表!AL3</f>
        <v>4344512321</v>
      </c>
      <c r="AM3" s="26">
        <f>利润表!AM3</f>
        <v>2298113686</v>
      </c>
      <c r="AN3" s="26">
        <f>利润表!AN3</f>
        <v>720895076</v>
      </c>
      <c r="AO3" s="26">
        <f>利润表!AO3</f>
        <v>8334015771</v>
      </c>
      <c r="AP3" s="26">
        <f>利润表!AP3</f>
        <v>7271976208</v>
      </c>
      <c r="AQ3" s="26">
        <f>利润表!AQ3</f>
        <v>5505901872</v>
      </c>
      <c r="AR3" s="26">
        <f>利润表!AR3</f>
        <v>2936720597</v>
      </c>
      <c r="AS3" s="26">
        <f>利润表!AS3</f>
        <v>11170448855</v>
      </c>
      <c r="AT3" s="26">
        <f>利润表!AT3</f>
        <v>7926095410</v>
      </c>
      <c r="AU3" s="26">
        <f>利润表!AU3</f>
        <v>4689192282</v>
      </c>
      <c r="AV3" s="26">
        <f>利润表!AV3</f>
        <v>2152839364</v>
      </c>
      <c r="AW3" s="26">
        <f>利润表!AW3</f>
        <v>8815740902</v>
      </c>
      <c r="AX3" s="26">
        <f>利润表!AX3</f>
        <v>6668328084</v>
      </c>
      <c r="AY3" s="26">
        <f>利润表!AY3</f>
        <v>4302700575</v>
      </c>
      <c r="AZ3" s="26">
        <f>利润表!AZ3</f>
        <v>2410083527</v>
      </c>
      <c r="BA3" s="26">
        <f>利润表!BA3</f>
        <v>13513900091</v>
      </c>
      <c r="BB3" s="26">
        <f>利润表!BB3</f>
        <v>8558809114</v>
      </c>
      <c r="BC3" s="26">
        <f>利润表!BC3</f>
        <v>4328757729</v>
      </c>
      <c r="BD3" s="26">
        <f>利润表!BD3</f>
        <v>2085606546</v>
      </c>
      <c r="BE3" s="26">
        <f>利润表!BE3</f>
        <v>12463672984</v>
      </c>
      <c r="BF3" s="26">
        <f>利润表!BF3</f>
        <v>9327526917.1700001</v>
      </c>
      <c r="BG3" s="26">
        <f>利润表!BG3</f>
        <v>6244951700.3199997</v>
      </c>
      <c r="BH3" s="26">
        <f>利润表!BH3</f>
        <v>3698571304.2800002</v>
      </c>
      <c r="BI3" s="26">
        <f>利润表!BI3</f>
        <v>11211792419</v>
      </c>
      <c r="BJ3" s="26">
        <f>利润表!BJ3</f>
        <v>7654247431.8500004</v>
      </c>
      <c r="BK3" s="26">
        <f>利润表!BK3</f>
        <v>4700411854.9200001</v>
      </c>
      <c r="BL3" s="26">
        <f>利润表!BL3</f>
        <v>2254404459.0799999</v>
      </c>
      <c r="BM3" s="26">
        <f>利润表!BM3</f>
        <v>4790591366</v>
      </c>
      <c r="BN3" s="26">
        <f>利润表!BN3</f>
        <v>3424548162.7800002</v>
      </c>
      <c r="BO3" s="26">
        <f>利润表!BO3</f>
        <v>2015230626.28</v>
      </c>
      <c r="BP3" s="26">
        <f>利润表!BP3</f>
        <v>1040584515.71</v>
      </c>
      <c r="BQ3" s="26">
        <f>利润表!BQ3</f>
        <v>2671209167</v>
      </c>
      <c r="BR3" s="26">
        <f>利润表!BR3</f>
        <v>1276874933.9200001</v>
      </c>
      <c r="BS3" s="26">
        <f>利润表!BS3</f>
        <v>2236468473</v>
      </c>
      <c r="BT3" s="26">
        <f>利润表!BT3</f>
        <v>993765785</v>
      </c>
      <c r="BU3" s="26">
        <f>利润表!BU3</f>
        <v>737520924</v>
      </c>
      <c r="BV3" s="26">
        <f>利润表!BV3</f>
        <v>200737099.93000001</v>
      </c>
      <c r="BW3" s="26">
        <f>利润表!BW3</f>
        <v>244376000</v>
      </c>
      <c r="BX3" s="26">
        <f>利润表!BX3</f>
        <v>105801107.16</v>
      </c>
      <c r="BY3" s="26">
        <f>利润表!BY3</f>
        <v>275100000</v>
      </c>
      <c r="BZ3" s="26">
        <f>利润表!BZ3</f>
        <v>111102000</v>
      </c>
      <c r="CA3" s="26">
        <f>利润表!CA3</f>
        <v>191165000</v>
      </c>
      <c r="CB3" s="26">
        <f>利润表!CB3</f>
        <v>183819000</v>
      </c>
      <c r="CC3" s="26">
        <f>利润表!CC3</f>
        <v>134792000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508</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486</v>
      </c>
      <c r="E5" s="28">
        <f>(E2/(1+E4))/E3</f>
        <v>0.93811009301458803</v>
      </c>
      <c r="F5" s="28">
        <f t="shared" ref="F5:BQ5" si="2">(F2/(1+F4))/F3</f>
        <v>0.84549215020856583</v>
      </c>
      <c r="G5" s="28">
        <f t="shared" si="2"/>
        <v>0.8366913744843909</v>
      </c>
      <c r="H5" s="28">
        <f t="shared" si="2"/>
        <v>0.89129607517015086</v>
      </c>
      <c r="I5" s="28">
        <f t="shared" si="2"/>
        <v>0.85417186295316982</v>
      </c>
      <c r="J5" s="28">
        <f t="shared" si="2"/>
        <v>0.68283566672856311</v>
      </c>
      <c r="K5" s="28">
        <f t="shared" si="2"/>
        <v>0.79692965015303618</v>
      </c>
      <c r="L5" s="28">
        <f t="shared" si="2"/>
        <v>1.0253105152256219</v>
      </c>
      <c r="M5" s="28">
        <f t="shared" si="2"/>
        <v>0.88903986605055385</v>
      </c>
      <c r="N5" s="28">
        <f t="shared" si="2"/>
        <v>0.85295341957627469</v>
      </c>
      <c r="O5" s="28">
        <f t="shared" si="2"/>
        <v>0.85320117027871412</v>
      </c>
      <c r="P5" s="28">
        <f t="shared" si="2"/>
        <v>0.87053511422109364</v>
      </c>
      <c r="Q5" s="28">
        <f t="shared" si="2"/>
        <v>0.88414941550372572</v>
      </c>
      <c r="R5" s="28">
        <f t="shared" si="2"/>
        <v>0.88662792541658175</v>
      </c>
      <c r="S5" s="28">
        <f t="shared" si="2"/>
        <v>0.94524902083939499</v>
      </c>
      <c r="T5" s="28">
        <f t="shared" si="2"/>
        <v>0.97395704917984749</v>
      </c>
      <c r="U5" s="28">
        <f t="shared" si="2"/>
        <v>0.94426867234743139</v>
      </c>
      <c r="V5" s="28">
        <f t="shared" si="2"/>
        <v>0.83182075117515142</v>
      </c>
      <c r="W5" s="28">
        <f t="shared" si="2"/>
        <v>0.78514024309920483</v>
      </c>
      <c r="X5" s="28">
        <f t="shared" si="2"/>
        <v>0.78088274408450242</v>
      </c>
      <c r="Y5" s="28">
        <f t="shared" si="2"/>
        <v>0.86116179867609799</v>
      </c>
      <c r="Z5" s="28">
        <f t="shared" si="2"/>
        <v>0.71476989219752485</v>
      </c>
      <c r="AA5" s="28">
        <f t="shared" si="2"/>
        <v>0.75053082587907238</v>
      </c>
      <c r="AB5" s="28">
        <f t="shared" si="2"/>
        <v>0.77837193057046405</v>
      </c>
      <c r="AC5" s="28">
        <f t="shared" si="2"/>
        <v>0.85282301176075659</v>
      </c>
      <c r="AD5" s="28">
        <f t="shared" si="2"/>
        <v>0.69734076421019975</v>
      </c>
      <c r="AE5" s="28">
        <f t="shared" si="2"/>
        <v>0.68245912162558797</v>
      </c>
      <c r="AF5" s="28">
        <f t="shared" si="2"/>
        <v>0.8468186178933973</v>
      </c>
      <c r="AG5" s="28">
        <f t="shared" si="2"/>
        <v>0.91768923349027109</v>
      </c>
      <c r="AH5" s="28">
        <f t="shared" si="2"/>
        <v>0.82601738830160099</v>
      </c>
      <c r="AI5" s="28">
        <f t="shared" si="2"/>
        <v>0.79287648559442347</v>
      </c>
      <c r="AJ5" s="28">
        <f t="shared" si="2"/>
        <v>0.83299558493745596</v>
      </c>
      <c r="AK5" s="28">
        <f t="shared" si="2"/>
        <v>0.82674045427762255</v>
      </c>
      <c r="AL5" s="28">
        <f t="shared" si="2"/>
        <v>0.71564284552734725</v>
      </c>
      <c r="AM5" s="28">
        <f t="shared" si="2"/>
        <v>0.65347574348532456</v>
      </c>
      <c r="AN5" s="28">
        <f t="shared" si="2"/>
        <v>0.9116783712335258</v>
      </c>
      <c r="AO5" s="28">
        <f t="shared" si="2"/>
        <v>1.0327786829459231</v>
      </c>
      <c r="AP5" s="28">
        <f t="shared" si="2"/>
        <v>0.98463473044043459</v>
      </c>
      <c r="AQ5" s="28">
        <f t="shared" si="2"/>
        <v>0.95361031908809168</v>
      </c>
      <c r="AR5" s="28">
        <f t="shared" si="2"/>
        <v>0.95075403296258887</v>
      </c>
      <c r="AS5" s="28">
        <f t="shared" si="2"/>
        <v>0.85982013264759871</v>
      </c>
      <c r="AT5" s="28">
        <f t="shared" si="2"/>
        <v>0.82776775154519322</v>
      </c>
      <c r="AU5" s="28">
        <f t="shared" si="2"/>
        <v>0.80513992827706304</v>
      </c>
      <c r="AV5" s="28">
        <f t="shared" si="2"/>
        <v>0.73235033721170584</v>
      </c>
      <c r="AW5" s="28">
        <f t="shared" si="2"/>
        <v>0.96121708682610607</v>
      </c>
      <c r="AX5" s="28">
        <f t="shared" si="2"/>
        <v>0.99008156189205654</v>
      </c>
      <c r="AY5" s="28">
        <f t="shared" si="2"/>
        <v>1.0705913328839396</v>
      </c>
      <c r="AZ5" s="28">
        <f t="shared" si="2"/>
        <v>1.2560019492188779</v>
      </c>
      <c r="BA5" s="28">
        <f t="shared" si="2"/>
        <v>0.79392013259606931</v>
      </c>
      <c r="BB5" s="28">
        <f t="shared" si="2"/>
        <v>0.90684561090925464</v>
      </c>
      <c r="BC5" s="28">
        <f t="shared" si="2"/>
        <v>0.92936512155435835</v>
      </c>
      <c r="BD5" s="28">
        <f t="shared" si="2"/>
        <v>1.004048318782869</v>
      </c>
      <c r="BE5" s="28">
        <f t="shared" si="2"/>
        <v>0.91364855754865537</v>
      </c>
      <c r="BF5" s="28">
        <f t="shared" si="2"/>
        <v>0.8597578785494322</v>
      </c>
      <c r="BG5" s="28">
        <f t="shared" si="2"/>
        <v>0.88460431801077366</v>
      </c>
      <c r="BH5" s="28">
        <f t="shared" si="2"/>
        <v>0.88720419024032204</v>
      </c>
      <c r="BI5" s="28">
        <f t="shared" si="2"/>
        <v>0.87423253844747684</v>
      </c>
      <c r="BJ5" s="28">
        <f t="shared" si="2"/>
        <v>0.92981303408974036</v>
      </c>
      <c r="BK5" s="28">
        <f t="shared" si="2"/>
        <v>0.87907408315623847</v>
      </c>
      <c r="BL5" s="28">
        <f t="shared" si="2"/>
        <v>0.95870144039920813</v>
      </c>
      <c r="BM5" s="28">
        <f t="shared" si="2"/>
        <v>0.80272138313506647</v>
      </c>
      <c r="BN5" s="28">
        <f t="shared" si="2"/>
        <v>0.47084828526118849</v>
      </c>
      <c r="BO5" s="28">
        <f t="shared" si="2"/>
        <v>1.2619953470034826</v>
      </c>
      <c r="BP5" s="28">
        <f t="shared" si="2"/>
        <v>1.273615040935318</v>
      </c>
      <c r="BQ5" s="28">
        <f t="shared" si="2"/>
        <v>0.69249601661475124</v>
      </c>
      <c r="BR5" s="28">
        <f t="shared" ref="BR5:CL5" si="3">(BR2/(1+BR4))/BR3</f>
        <v>0.54972700110119499</v>
      </c>
      <c r="BS5" s="28">
        <f t="shared" si="3"/>
        <v>0.20087832702444061</v>
      </c>
      <c r="BT5" s="28">
        <f t="shared" si="3"/>
        <v>0.22669789882594457</v>
      </c>
      <c r="BU5" s="28">
        <f t="shared" si="3"/>
        <v>0</v>
      </c>
      <c r="BV5" s="28">
        <f t="shared" si="3"/>
        <v>0</v>
      </c>
      <c r="BW5" s="28">
        <f t="shared" si="3"/>
        <v>0</v>
      </c>
      <c r="BX5" s="28">
        <f t="shared" si="3"/>
        <v>0</v>
      </c>
      <c r="BY5" s="28">
        <f t="shared" si="3"/>
        <v>0</v>
      </c>
      <c r="BZ5" s="28">
        <f t="shared" si="3"/>
        <v>0</v>
      </c>
      <c r="CA5" s="28">
        <f t="shared" si="3"/>
        <v>0</v>
      </c>
      <c r="CB5" s="28">
        <f t="shared" si="3"/>
        <v>0</v>
      </c>
      <c r="CC5" s="28">
        <f t="shared" si="3"/>
        <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487</v>
      </c>
      <c r="E6" s="26">
        <f>现金流量表!E8</f>
        <v>73250817397</v>
      </c>
      <c r="F6" s="26">
        <f>现金流量表!F8</f>
        <v>43814203995</v>
      </c>
      <c r="G6" s="26">
        <f>现金流量表!G8</f>
        <v>28313641143</v>
      </c>
      <c r="H6" s="26">
        <f>现金流量表!H8</f>
        <v>13472279930</v>
      </c>
      <c r="I6" s="26">
        <f>现金流量表!I8</f>
        <v>55859347637</v>
      </c>
      <c r="J6" s="26">
        <f>现金流量表!J8</f>
        <v>24889893478</v>
      </c>
      <c r="K6" s="26">
        <f>现金流量表!K8</f>
        <v>18580530133</v>
      </c>
      <c r="L6" s="26">
        <f>现金流量表!L8</f>
        <v>10966517491</v>
      </c>
      <c r="M6" s="26">
        <f>现金流量表!M8</f>
        <v>36746483055</v>
      </c>
      <c r="N6" s="26">
        <f>现金流量表!N8</f>
        <v>24543335064</v>
      </c>
      <c r="O6" s="26">
        <f>现金流量表!O8</f>
        <v>14687024246</v>
      </c>
      <c r="P6" s="26">
        <f>现金流量表!P8</f>
        <v>6950991322</v>
      </c>
      <c r="Q6" s="26">
        <f>现金流量表!Q8</f>
        <v>26369190547</v>
      </c>
      <c r="R6" s="26">
        <f>现金流量表!R8</f>
        <v>18501878623</v>
      </c>
      <c r="S6" s="26">
        <f>现金流量表!S8</f>
        <v>12914791942</v>
      </c>
      <c r="T6" s="26">
        <f>现金流量表!T8</f>
        <v>6935866360</v>
      </c>
      <c r="U6" s="26">
        <f>现金流量表!U8</f>
        <v>26608846827</v>
      </c>
      <c r="V6" s="26">
        <f>现金流量表!V8</f>
        <v>16516878041</v>
      </c>
      <c r="W6" s="26">
        <f>现金流量表!W8</f>
        <v>9599582069</v>
      </c>
      <c r="X6" s="26">
        <f>现金流量表!X8</f>
        <v>4961761422</v>
      </c>
      <c r="Y6" s="26">
        <f>现金流量表!Y8</f>
        <v>21044439125</v>
      </c>
      <c r="Z6" s="26">
        <f>现金流量表!Z8</f>
        <v>12842348981</v>
      </c>
      <c r="AA6" s="26">
        <f>现金流量表!AA8</f>
        <v>6999915587</v>
      </c>
      <c r="AB6" s="26">
        <f>现金流量表!AB8</f>
        <v>3169018349</v>
      </c>
      <c r="AC6" s="26">
        <f>现金流量表!AC8</f>
        <v>12095225391</v>
      </c>
      <c r="AD6" s="26">
        <f>现金流量表!AD8</f>
        <v>6799800994</v>
      </c>
      <c r="AE6" s="26">
        <f>现金流量表!AE8</f>
        <v>3999021124</v>
      </c>
      <c r="AF6" s="26">
        <f>现金流量表!AF8</f>
        <v>1946823979</v>
      </c>
      <c r="AG6" s="26">
        <f>现金流量表!AG8</f>
        <v>8707122680</v>
      </c>
      <c r="AH6" s="26">
        <f>现金流量表!AH8</f>
        <v>5515658167</v>
      </c>
      <c r="AI6" s="26">
        <f>现金流量表!AI8</f>
        <v>3397493079</v>
      </c>
      <c r="AJ6" s="26">
        <f>现金流量表!AJ8</f>
        <v>1735168924</v>
      </c>
      <c r="AK6" s="26">
        <f>现金流量表!AK8</f>
        <v>5323050175</v>
      </c>
      <c r="AL6" s="26">
        <f>现金流量表!AL8</f>
        <v>3302636408</v>
      </c>
      <c r="AM6" s="26">
        <f>现金流量表!AM8</f>
        <v>1611334084</v>
      </c>
      <c r="AN6" s="26">
        <f>现金流量表!AN8</f>
        <v>766108737</v>
      </c>
      <c r="AO6" s="26">
        <f>现金流量表!AO8</f>
        <v>8073366615</v>
      </c>
      <c r="AP6" s="26">
        <f>现金流量表!AP8</f>
        <v>6543154861</v>
      </c>
      <c r="AQ6" s="26">
        <f>现金流量表!AQ8</f>
        <v>4593629675</v>
      </c>
      <c r="AR6" s="26">
        <f>现金流量表!AR8</f>
        <v>2183982454</v>
      </c>
      <c r="AS6" s="26">
        <f>现金流量表!AS8</f>
        <v>8245828893</v>
      </c>
      <c r="AT6" s="26">
        <f>现金流量表!AT8</f>
        <v>5757737705</v>
      </c>
      <c r="AU6" s="26">
        <f>现金流量表!AU8</f>
        <v>3707970295</v>
      </c>
      <c r="AV6" s="26">
        <f>现金流量表!AV8</f>
        <v>1542024796</v>
      </c>
      <c r="AW6" s="26">
        <f>现金流量表!AW8</f>
        <v>8082690556</v>
      </c>
      <c r="AX6" s="26">
        <f>现金流量表!AX8</f>
        <v>6334457871</v>
      </c>
      <c r="AY6" s="26">
        <f>现金流量表!AY8</f>
        <v>4694126727</v>
      </c>
      <c r="AZ6" s="26">
        <f>现金流量表!AZ8</f>
        <v>3130249304</v>
      </c>
      <c r="BA6" s="26">
        <f>现金流量表!BA8</f>
        <v>12251166277</v>
      </c>
      <c r="BB6" s="26">
        <f>现金流量表!BB8</f>
        <v>9302131771.2199993</v>
      </c>
      <c r="BC6" s="26">
        <f>现金流量表!BC8</f>
        <v>4778036448</v>
      </c>
      <c r="BD6" s="26">
        <f>现金流量表!BD8</f>
        <v>2317955813</v>
      </c>
      <c r="BE6" s="26">
        <f>现金流量表!BE8</f>
        <v>11761205502</v>
      </c>
      <c r="BF6" s="26">
        <f>现金流量表!BF8</f>
        <v>8395613612.1099997</v>
      </c>
      <c r="BG6" s="26">
        <f>现金流量表!BG8</f>
        <v>5696653968.5200005</v>
      </c>
      <c r="BH6" s="26">
        <f>现金流量表!BH8</f>
        <v>3263163662.4400001</v>
      </c>
      <c r="BI6" s="26">
        <f>现金流量表!BI8</f>
        <v>9987313947</v>
      </c>
      <c r="BJ6" s="26">
        <f>现金流量表!BJ8</f>
        <v>6868697969.3100004</v>
      </c>
      <c r="BK6" s="26">
        <f>现金流量表!BK8</f>
        <v>4129809199.3899999</v>
      </c>
      <c r="BL6" s="26">
        <f>现金流量表!BL8</f>
        <v>2171939827.4899998</v>
      </c>
      <c r="BM6" s="26">
        <f>现金流量表!BM8</f>
        <v>3961131987</v>
      </c>
      <c r="BN6" s="26">
        <f>现金流量表!BN8</f>
        <v>1783644830.71</v>
      </c>
      <c r="BO6" s="26">
        <f>现金流量表!BO8</f>
        <v>2164148006</v>
      </c>
      <c r="BP6" s="26">
        <f>现金流量表!BP8</f>
        <v>1182551781.1300001</v>
      </c>
      <c r="BQ6" s="26">
        <f>现金流量表!BQ8</f>
        <v>2076447888</v>
      </c>
      <c r="BR6" s="26">
        <f>现金流量表!BR8</f>
        <v>761179876</v>
      </c>
      <c r="BS6" s="26">
        <f>现金流量表!BS8</f>
        <v>407722816</v>
      </c>
      <c r="BT6" s="26">
        <f>现金流量表!BT8</f>
        <v>168196000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488</v>
      </c>
      <c r="E7" s="26">
        <f>现金流量表!E9</f>
        <v>8015171249</v>
      </c>
      <c r="F7" s="26">
        <f>现金流量表!F9</f>
        <v>6008117704</v>
      </c>
      <c r="G7" s="26">
        <f>现金流量表!G9</f>
        <v>4183675298</v>
      </c>
      <c r="H7" s="26">
        <f>现金流量表!H9</f>
        <v>2215299698</v>
      </c>
      <c r="I7" s="26">
        <f>现金流量表!I9</f>
        <v>6063846083</v>
      </c>
      <c r="J7" s="26">
        <f>现金流量表!J9</f>
        <v>4390130444</v>
      </c>
      <c r="K7" s="26">
        <f>现金流量表!K9</f>
        <v>3000913336</v>
      </c>
      <c r="L7" s="26">
        <f>现金流量表!L9</f>
        <v>1700736984</v>
      </c>
      <c r="M7" s="26">
        <f>现金流量表!M9</f>
        <v>5127957029</v>
      </c>
      <c r="N7" s="26">
        <f>现金流量表!N9</f>
        <v>3799438331</v>
      </c>
      <c r="O7" s="26">
        <f>现金流量表!O9</f>
        <v>2722826479</v>
      </c>
      <c r="P7" s="26">
        <f>现金流量表!P9</f>
        <v>1632621593</v>
      </c>
      <c r="Q7" s="26">
        <f>现金流量表!Q9</f>
        <v>3713371474</v>
      </c>
      <c r="R7" s="26">
        <f>现金流量表!R9</f>
        <v>2660841011</v>
      </c>
      <c r="S7" s="26">
        <f>现金流量表!S9</f>
        <v>1823070067</v>
      </c>
      <c r="T7" s="26">
        <f>现金流量表!T9</f>
        <v>1085869294</v>
      </c>
      <c r="U7" s="26">
        <f>现金流量表!U9</f>
        <v>2781878323</v>
      </c>
      <c r="V7" s="26">
        <f>现金流量表!V9</f>
        <v>2018007461</v>
      </c>
      <c r="W7" s="26">
        <f>现金流量表!W9</f>
        <v>1388434186</v>
      </c>
      <c r="X7" s="26">
        <f>现金流量表!X9</f>
        <v>767737467</v>
      </c>
      <c r="Y7" s="26">
        <f>现金流量表!Y9</f>
        <v>2254805378</v>
      </c>
      <c r="Z7" s="26">
        <f>现金流量表!Z9</f>
        <v>1489779233</v>
      </c>
      <c r="AA7" s="26">
        <f>现金流量表!AA9</f>
        <v>1008017259</v>
      </c>
      <c r="AB7" s="26">
        <f>现金流量表!AB9</f>
        <v>525852372</v>
      </c>
      <c r="AC7" s="26">
        <f>现金流量表!AC9</f>
        <v>1674409131</v>
      </c>
      <c r="AD7" s="26">
        <f>现金流量表!AD9</f>
        <v>1013484045</v>
      </c>
      <c r="AE7" s="26">
        <f>现金流量表!AE9</f>
        <v>683572295</v>
      </c>
      <c r="AF7" s="26">
        <f>现金流量表!AF9</f>
        <v>360383125</v>
      </c>
      <c r="AG7" s="26">
        <f>现金流量表!AG9</f>
        <v>1120769823</v>
      </c>
      <c r="AH7" s="26">
        <f>现金流量表!AH9</f>
        <v>583366091</v>
      </c>
      <c r="AI7" s="26">
        <f>现金流量表!AI9</f>
        <v>376521597</v>
      </c>
      <c r="AJ7" s="26">
        <f>现金流量表!AJ9</f>
        <v>200313322</v>
      </c>
      <c r="AK7" s="26">
        <f>现金流量表!AK9</f>
        <v>590513418</v>
      </c>
      <c r="AL7" s="26">
        <f>现金流量表!AL9</f>
        <v>435717470</v>
      </c>
      <c r="AM7" s="26">
        <f>现金流量表!AM9</f>
        <v>307245407</v>
      </c>
      <c r="AN7" s="26">
        <f>现金流量表!AN9</f>
        <v>152965253</v>
      </c>
      <c r="AO7" s="26">
        <f>现金流量表!AO9</f>
        <v>677493272</v>
      </c>
      <c r="AP7" s="26">
        <f>现金流量表!AP9</f>
        <v>519382952</v>
      </c>
      <c r="AQ7" s="26">
        <f>现金流量表!AQ9</f>
        <v>367776765</v>
      </c>
      <c r="AR7" s="26">
        <f>现金流量表!AR9</f>
        <v>216572765</v>
      </c>
      <c r="AS7" s="26">
        <f>现金流量表!AS9</f>
        <v>557309348</v>
      </c>
      <c r="AT7" s="26">
        <f>现金流量表!AT9</f>
        <v>401132495</v>
      </c>
      <c r="AU7" s="26">
        <f>现金流量表!AU9</f>
        <v>261065517</v>
      </c>
      <c r="AV7" s="26">
        <f>现金流量表!AV9</f>
        <v>141772059</v>
      </c>
      <c r="AW7" s="26">
        <f>现金流量表!AW9</f>
        <v>853459445</v>
      </c>
      <c r="AX7" s="26">
        <f>现金流量表!AX9</f>
        <v>645073787</v>
      </c>
      <c r="AY7" s="26">
        <f>现金流量表!AY9</f>
        <v>426754413</v>
      </c>
      <c r="AZ7" s="26">
        <f>现金流量表!AZ9</f>
        <v>221788754</v>
      </c>
      <c r="BA7" s="26">
        <f>现金流量表!BA9</f>
        <v>890672042</v>
      </c>
      <c r="BB7" s="26">
        <f>现金流量表!BB9</f>
        <v>365131897.07999998</v>
      </c>
      <c r="BC7" s="26">
        <f>现金流量表!BC9</f>
        <v>211710216</v>
      </c>
      <c r="BD7" s="26">
        <f>现金流量表!BD9</f>
        <v>116097698</v>
      </c>
      <c r="BE7" s="26">
        <f>现金流量表!BE9</f>
        <v>1009100470</v>
      </c>
      <c r="BF7" s="26">
        <f>现金流量表!BF9</f>
        <v>364546880.92000002</v>
      </c>
      <c r="BG7" s="26">
        <f>现金流量表!BG9</f>
        <v>243068235.53999999</v>
      </c>
      <c r="BH7" s="26">
        <f>现金流量表!BH9</f>
        <v>124659342.26000001</v>
      </c>
      <c r="BI7" s="26">
        <f>现金流量表!BI9</f>
        <v>639787646</v>
      </c>
      <c r="BJ7" s="26">
        <f>现金流量表!BJ9</f>
        <v>383041874.95999998</v>
      </c>
      <c r="BK7" s="26">
        <f>现金流量表!BK9</f>
        <v>214279929.30000001</v>
      </c>
      <c r="BL7" s="26">
        <f>现金流量表!BL9</f>
        <v>110585725.20999999</v>
      </c>
      <c r="BM7" s="26">
        <f>现金流量表!BM9</f>
        <v>141980387</v>
      </c>
      <c r="BN7" s="26">
        <f>现金流量表!BN9</f>
        <v>76730581.870000005</v>
      </c>
      <c r="BO7" s="26">
        <f>现金流量表!BO9</f>
        <v>145251960</v>
      </c>
      <c r="BP7" s="26">
        <f>现金流量表!BP9</f>
        <v>65137482.93</v>
      </c>
      <c r="BQ7" s="26">
        <f>现金流量表!BQ9</f>
        <v>84546527</v>
      </c>
      <c r="BR7" s="26">
        <f>现金流量表!BR9</f>
        <v>36732280</v>
      </c>
      <c r="BS7" s="26">
        <f>现金流量表!BS9</f>
        <v>61444224</v>
      </c>
      <c r="BT7" s="26">
        <f>现金流量表!BT9</f>
        <v>42371000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4" t="s">
        <v>489</v>
      </c>
      <c r="E8" s="58">
        <f>利润表!E6</f>
        <v>70282477585</v>
      </c>
      <c r="F8" s="58">
        <f>利润表!F6</f>
        <v>51275396814</v>
      </c>
      <c r="G8" s="58">
        <f>利润表!G6</f>
        <v>32235266589</v>
      </c>
      <c r="H8" s="58">
        <f>利润表!H6</f>
        <v>15597540474</v>
      </c>
      <c r="I8" s="58">
        <f>利润表!I6</f>
        <v>56585696091</v>
      </c>
      <c r="J8" s="58">
        <f>利润表!J6</f>
        <v>39817142861</v>
      </c>
      <c r="K8" s="58">
        <f>利润表!K6</f>
        <v>23987091158</v>
      </c>
      <c r="L8" s="58">
        <f>利润表!L6</f>
        <v>11522931968</v>
      </c>
      <c r="M8" s="58">
        <f>利润表!M6</f>
        <v>38755090666</v>
      </c>
      <c r="N8" s="58">
        <f>利润表!N6</f>
        <v>28386284793</v>
      </c>
      <c r="O8" s="58">
        <f>利润表!O6</f>
        <v>17509610448</v>
      </c>
      <c r="P8" s="58">
        <f>利润表!P6</f>
        <v>8699864739</v>
      </c>
      <c r="Q8" s="58">
        <f>利润表!Q6</f>
        <v>28504880729</v>
      </c>
      <c r="R8" s="58">
        <f>利润表!R6</f>
        <v>19643200578</v>
      </c>
      <c r="S8" s="58">
        <f>利润表!S6</f>
        <v>12630118473</v>
      </c>
      <c r="T8" s="58">
        <f>利润表!T6</f>
        <v>6483118788</v>
      </c>
      <c r="U8" s="58">
        <f>利润表!U6</f>
        <v>25703823432</v>
      </c>
      <c r="V8" s="58">
        <f>利润表!V6</f>
        <v>18776181716</v>
      </c>
      <c r="W8" s="58">
        <f>利润表!W6</f>
        <v>12461334555</v>
      </c>
      <c r="X8" s="58">
        <f>利润表!X6</f>
        <v>6359705018</v>
      </c>
      <c r="Y8" s="58">
        <f>利润表!Y6</f>
        <v>22790332463</v>
      </c>
      <c r="Z8" s="58">
        <f>利润表!Z6</f>
        <v>16258480034</v>
      </c>
      <c r="AA8" s="58">
        <f>利润表!AA6</f>
        <v>9502396703</v>
      </c>
      <c r="AB8" s="58">
        <f>利润表!AB6</f>
        <v>4187777170</v>
      </c>
      <c r="AC8" s="58">
        <f>利润表!AC6</f>
        <v>13441228862</v>
      </c>
      <c r="AD8" s="58">
        <f>利润表!AD6</f>
        <v>9278104413</v>
      </c>
      <c r="AE8" s="58">
        <f>利润表!AE6</f>
        <v>5344717781</v>
      </c>
      <c r="AF8" s="58">
        <f>利润表!AF6</f>
        <v>2225369739</v>
      </c>
      <c r="AG8" s="58">
        <f>利润表!AG6</f>
        <v>8288153030</v>
      </c>
      <c r="AH8" s="58">
        <f>利润表!AH6</f>
        <v>6250732367</v>
      </c>
      <c r="AI8" s="58">
        <f>利润表!AI6</f>
        <v>4125238491</v>
      </c>
      <c r="AJ8" s="58">
        <f>利润表!AJ6</f>
        <v>1879557273</v>
      </c>
      <c r="AK8" s="58">
        <f>利润表!AK6</f>
        <v>6276649382</v>
      </c>
      <c r="AL8" s="58">
        <f>利润表!AL6</f>
        <v>4483096549</v>
      </c>
      <c r="AM8" s="58">
        <f>利润表!AM6</f>
        <v>2596443022</v>
      </c>
      <c r="AN8" s="58">
        <f>利润表!AN6</f>
        <v>864438099</v>
      </c>
      <c r="AO8" s="58">
        <f>利润表!AO6</f>
        <v>7681521839</v>
      </c>
      <c r="AP8" s="58">
        <f>利润表!AP6</f>
        <v>6334419307</v>
      </c>
      <c r="AQ8" s="58">
        <f>利润表!AQ6</f>
        <v>4461221959</v>
      </c>
      <c r="AR8" s="58">
        <f>利润表!AR6</f>
        <v>2340069636</v>
      </c>
      <c r="AS8" s="58">
        <f>利润表!AS6</f>
        <v>9263870340</v>
      </c>
      <c r="AT8" s="58">
        <f>利润表!AT6</f>
        <v>7055169892</v>
      </c>
      <c r="AU8" s="58">
        <f>利润表!AU6</f>
        <v>4559930634</v>
      </c>
      <c r="AV8" s="58">
        <f>利润表!AV6</f>
        <v>2298574208</v>
      </c>
      <c r="AW8" s="58">
        <f>利润表!AW6</f>
        <v>9958263062</v>
      </c>
      <c r="AX8" s="58">
        <f>利润表!AX6</f>
        <v>7987072496</v>
      </c>
      <c r="AY8" s="58">
        <f>利润表!AY6</f>
        <v>5046171459</v>
      </c>
      <c r="AZ8" s="58">
        <f>利润表!AZ6</f>
        <v>2562019366</v>
      </c>
      <c r="BA8" s="58">
        <f>利润表!BA6</f>
        <v>13250486579</v>
      </c>
      <c r="BB8" s="58">
        <f>利润表!BB6</f>
        <v>8754813390</v>
      </c>
      <c r="BC8" s="58">
        <f>利润表!BC6</f>
        <v>4592833526</v>
      </c>
      <c r="BD8" s="58">
        <f>利润表!BD6</f>
        <v>2296752692</v>
      </c>
      <c r="BE8" s="58">
        <f>利润表!BE6</f>
        <v>11151104716</v>
      </c>
      <c r="BF8" s="58">
        <f>利润表!BF6</f>
        <v>8095466503.5600004</v>
      </c>
      <c r="BG8" s="58">
        <f>利润表!BG6</f>
        <v>5164393136.5600004</v>
      </c>
      <c r="BH8" s="58">
        <f>利润表!BH6</f>
        <v>3158979241.0700002</v>
      </c>
      <c r="BI8" s="58">
        <f>利润表!BI6</f>
        <v>9445961407</v>
      </c>
      <c r="BJ8" s="58">
        <f>利润表!BJ6</f>
        <v>6456890472.2799997</v>
      </c>
      <c r="BK8" s="58">
        <f>利润表!BK6</f>
        <v>3928513999.0300002</v>
      </c>
      <c r="BL8" s="58">
        <f>利润表!BL6</f>
        <v>1876042908.7</v>
      </c>
      <c r="BM8" s="58">
        <f>利润表!BM6</f>
        <v>4141952515</v>
      </c>
      <c r="BN8" s="58">
        <f>利润表!BN6</f>
        <v>2916862326.29</v>
      </c>
      <c r="BO8" s="58">
        <f>利润表!BO6</f>
        <v>1700945401.3199999</v>
      </c>
      <c r="BP8" s="58">
        <f>利润表!BP6</f>
        <v>873828706.37</v>
      </c>
      <c r="BQ8" s="58">
        <f>利润表!BQ6</f>
        <v>2343508878</v>
      </c>
      <c r="BR8" s="58">
        <f>利润表!BR6</f>
        <v>1111152298.53</v>
      </c>
      <c r="BS8" s="58">
        <f>利润表!BS6</f>
        <v>1972761161</v>
      </c>
      <c r="BT8" s="58">
        <f>利润表!BT6</f>
        <v>878889537</v>
      </c>
      <c r="BU8" s="58">
        <f>利润表!BU6</f>
        <v>597255179</v>
      </c>
      <c r="BV8" s="58">
        <f>利润表!BV6</f>
        <v>148145536.46000001</v>
      </c>
      <c r="BW8" s="58">
        <f>利润表!BW6</f>
        <v>180067000</v>
      </c>
      <c r="BX8" s="58">
        <f>利润表!BX6</f>
        <v>76726659.079999998</v>
      </c>
      <c r="BY8" s="58">
        <f>利润表!BY6</f>
        <v>185375000</v>
      </c>
      <c r="BZ8" s="58">
        <f>利润表!BZ6</f>
        <v>0</v>
      </c>
      <c r="CA8" s="58">
        <f>利润表!CA6</f>
        <v>124991000</v>
      </c>
      <c r="CB8" s="58">
        <f>利润表!CB6</f>
        <v>125252000</v>
      </c>
      <c r="CC8" s="58">
        <f>利润表!CC6</f>
        <v>96360000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4" t="s">
        <v>490</v>
      </c>
      <c r="E9" s="58">
        <f>利润表!E7</f>
        <v>708381529</v>
      </c>
      <c r="F9" s="58">
        <f>利润表!F7</f>
        <v>500036766</v>
      </c>
      <c r="G9" s="58">
        <f>利润表!G7</f>
        <v>355700992</v>
      </c>
      <c r="H9" s="58">
        <f>利润表!H7</f>
        <v>164990714</v>
      </c>
      <c r="I9" s="58">
        <f>利润表!I7</f>
        <v>459263933</v>
      </c>
      <c r="J9" s="58">
        <f>利润表!J7</f>
        <v>128940793</v>
      </c>
      <c r="K9" s="58">
        <f>利润表!K7</f>
        <v>92930181</v>
      </c>
      <c r="L9" s="58">
        <f>利润表!L7</f>
        <v>44346672</v>
      </c>
      <c r="M9" s="58">
        <f>利润表!M7</f>
        <v>275798416</v>
      </c>
      <c r="N9" s="58">
        <f>利润表!N7</f>
        <v>170970012</v>
      </c>
      <c r="O9" s="58">
        <f>利润表!O7</f>
        <v>114336421</v>
      </c>
      <c r="P9" s="58">
        <f>利润表!P7</f>
        <v>37064077</v>
      </c>
      <c r="Q9" s="58">
        <f>利润表!Q7</f>
        <v>118087384</v>
      </c>
      <c r="R9" s="58">
        <f>利润表!R7</f>
        <v>70514559</v>
      </c>
      <c r="S9" s="58">
        <f>利润表!S7</f>
        <v>37970365</v>
      </c>
      <c r="T9" s="58">
        <f>利润表!T7</f>
        <v>11732346</v>
      </c>
      <c r="U9" s="58">
        <f>利润表!U7</f>
        <v>183485959</v>
      </c>
      <c r="V9" s="58">
        <f>利润表!V7</f>
        <v>93873199</v>
      </c>
      <c r="W9" s="58">
        <f>利润表!W7</f>
        <v>65939290</v>
      </c>
      <c r="X9" s="58">
        <f>利润表!X7</f>
        <v>16345710</v>
      </c>
      <c r="Y9" s="58">
        <f>利润表!Y7</f>
        <v>93799557</v>
      </c>
      <c r="Z9" s="58">
        <f>利润表!Z7</f>
        <v>23800903</v>
      </c>
      <c r="AA9" s="58">
        <f>利润表!AA7</f>
        <v>15264131</v>
      </c>
      <c r="AB9" s="58">
        <f>利润表!AB7</f>
        <v>7702861</v>
      </c>
      <c r="AC9" s="58">
        <f>利润表!AC7</f>
        <v>29565342</v>
      </c>
      <c r="AD9" s="58">
        <f>利润表!AD7</f>
        <v>17587636</v>
      </c>
      <c r="AE9" s="58">
        <f>利润表!AE7</f>
        <v>10971045</v>
      </c>
      <c r="AF9" s="58">
        <f>利润表!AF7</f>
        <v>4430424</v>
      </c>
      <c r="AG9" s="58">
        <f>利润表!AG7</f>
        <v>20192402</v>
      </c>
      <c r="AH9" s="58">
        <f>利润表!AH7</f>
        <v>13582943</v>
      </c>
      <c r="AI9" s="58">
        <f>利润表!AI7</f>
        <v>9167917</v>
      </c>
      <c r="AJ9" s="58">
        <f>利润表!AJ7</f>
        <v>4100445</v>
      </c>
      <c r="AK9" s="58">
        <f>利润表!AK7</f>
        <v>16062625</v>
      </c>
      <c r="AL9" s="58">
        <f>利润表!AL7</f>
        <v>11942628</v>
      </c>
      <c r="AM9" s="58">
        <f>利润表!AM7</f>
        <v>7330781</v>
      </c>
      <c r="AN9" s="58">
        <f>利润表!AN7</f>
        <v>3704183</v>
      </c>
      <c r="AO9" s="58">
        <f>利润表!AO7</f>
        <v>27616539</v>
      </c>
      <c r="AP9" s="58">
        <f>利润表!AP7</f>
        <v>15954118</v>
      </c>
      <c r="AQ9" s="58">
        <f>利润表!AQ7</f>
        <v>11330331</v>
      </c>
      <c r="AR9" s="58">
        <f>利润表!AR7</f>
        <v>7065669</v>
      </c>
      <c r="AS9" s="58">
        <f>利润表!AS7</f>
        <v>16445071</v>
      </c>
      <c r="AT9" s="58">
        <f>利润表!AT7</f>
        <v>7966100</v>
      </c>
      <c r="AU9" s="58">
        <f>利润表!AU7</f>
        <v>5278833</v>
      </c>
      <c r="AV9" s="58">
        <f>利润表!AV7</f>
        <v>2514506</v>
      </c>
      <c r="AW9" s="58">
        <f>利润表!AW7</f>
        <v>11427851</v>
      </c>
      <c r="AX9" s="58">
        <f>利润表!AX7</f>
        <v>6922451</v>
      </c>
      <c r="AY9" s="58">
        <f>利润表!AY7</f>
        <v>4643460</v>
      </c>
      <c r="AZ9" s="58">
        <f>利润表!AZ7</f>
        <v>2083310</v>
      </c>
      <c r="BA9" s="58">
        <f>利润表!BA7</f>
        <v>12080073</v>
      </c>
      <c r="BB9" s="58">
        <f>利润表!BB7</f>
        <v>6293803</v>
      </c>
      <c r="BC9" s="58">
        <f>利润表!BC7</f>
        <v>3932284</v>
      </c>
      <c r="BD9" s="58">
        <f>利润表!BD7</f>
        <v>2211347</v>
      </c>
      <c r="BE9" s="58">
        <f>利润表!BE7</f>
        <v>6735003</v>
      </c>
      <c r="BF9" s="58">
        <f>利润表!BF7</f>
        <v>4852424.3600000003</v>
      </c>
      <c r="BG9" s="58">
        <f>利润表!BG7</f>
        <v>3122219.34</v>
      </c>
      <c r="BH9" s="58">
        <f>利润表!BH7</f>
        <v>1365231.55</v>
      </c>
      <c r="BI9" s="58">
        <f>利润表!BI7</f>
        <v>3179080</v>
      </c>
      <c r="BJ9" s="58">
        <f>利润表!BJ7</f>
        <v>2981773.4</v>
      </c>
      <c r="BK9" s="58">
        <f>利润表!BK7</f>
        <v>1850101.33</v>
      </c>
      <c r="BL9" s="58">
        <f>利润表!BL7</f>
        <v>1129045.3999999999</v>
      </c>
      <c r="BM9" s="58">
        <f>利润表!BM7</f>
        <v>5083711</v>
      </c>
      <c r="BN9" s="58">
        <f>利润表!BN7</f>
        <v>3695711.98</v>
      </c>
      <c r="BO9" s="58">
        <f>利润表!BO7</f>
        <v>2476144.21</v>
      </c>
      <c r="BP9" s="58">
        <f>利润表!BP7</f>
        <v>1388557.82</v>
      </c>
      <c r="BQ9" s="58">
        <f>利润表!BQ7</f>
        <v>5628198</v>
      </c>
      <c r="BR9" s="58">
        <f>利润表!BR7</f>
        <v>1963435.25</v>
      </c>
      <c r="BS9" s="58">
        <f>利润表!BS7</f>
        <v>3849421</v>
      </c>
      <c r="BT9" s="58">
        <f>利润表!BT7</f>
        <v>1497757</v>
      </c>
      <c r="BU9" s="58">
        <f>利润表!BU7</f>
        <v>3043816</v>
      </c>
      <c r="BV9" s="58">
        <f>利润表!BV7</f>
        <v>1671132.22</v>
      </c>
      <c r="BW9" s="58">
        <f>利润表!BW7</f>
        <v>925000</v>
      </c>
      <c r="BX9" s="58">
        <f>利润表!BX7</f>
        <v>913812.65</v>
      </c>
      <c r="BY9" s="58">
        <f>利润表!BY7</f>
        <v>2505000</v>
      </c>
      <c r="BZ9" s="58">
        <f>利润表!BZ7</f>
        <v>0</v>
      </c>
      <c r="CA9" s="58">
        <f>利润表!CA7</f>
        <v>1126000</v>
      </c>
      <c r="CB9" s="58">
        <f>利润表!CB7</f>
        <v>907000</v>
      </c>
      <c r="CC9" s="58">
        <f>利润表!CC7</f>
        <v>859000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4" t="s">
        <v>491</v>
      </c>
      <c r="E10" s="58">
        <f>利润表!E8</f>
        <v>2591925798</v>
      </c>
      <c r="F10" s="58">
        <f>利润表!F8</f>
        <v>1988692991</v>
      </c>
      <c r="G10" s="58">
        <f>利润表!G8</f>
        <v>1228560863</v>
      </c>
      <c r="H10" s="58">
        <f>利润表!H8</f>
        <v>692246016</v>
      </c>
      <c r="I10" s="58">
        <f>利润表!I8</f>
        <v>1984361921</v>
      </c>
      <c r="J10" s="58">
        <f>利润表!J8</f>
        <v>1172795371</v>
      </c>
      <c r="K10" s="58">
        <f>利润表!K8</f>
        <v>696216454</v>
      </c>
      <c r="L10" s="58">
        <f>利润表!L8</f>
        <v>311709165</v>
      </c>
      <c r="M10" s="58">
        <f>利润表!M8</f>
        <v>1290038686</v>
      </c>
      <c r="N10" s="58">
        <f>利润表!N8</f>
        <v>909331602</v>
      </c>
      <c r="O10" s="58">
        <f>利润表!O8</f>
        <v>532688703</v>
      </c>
      <c r="P10" s="58">
        <f>利润表!P8</f>
        <v>292575878</v>
      </c>
      <c r="Q10" s="58">
        <f>利润表!Q8</f>
        <v>998114416</v>
      </c>
      <c r="R10" s="58">
        <f>利润表!R8</f>
        <v>746885192</v>
      </c>
      <c r="S10" s="58">
        <f>利润表!S8</f>
        <v>481663833</v>
      </c>
      <c r="T10" s="58">
        <f>利润表!T8</f>
        <v>236028598</v>
      </c>
      <c r="U10" s="58">
        <f>利润表!U8</f>
        <v>1044684152</v>
      </c>
      <c r="V10" s="58">
        <f>利润表!V8</f>
        <v>829423848</v>
      </c>
      <c r="W10" s="58">
        <f>利润表!W8</f>
        <v>516250043</v>
      </c>
      <c r="X10" s="58">
        <f>利润表!X8</f>
        <v>276288031</v>
      </c>
      <c r="Y10" s="58">
        <f>利润表!Y8</f>
        <v>651287241</v>
      </c>
      <c r="Z10" s="58">
        <f>利润表!Z8</f>
        <v>421173934</v>
      </c>
      <c r="AA10" s="58">
        <f>利润表!AA8</f>
        <v>254457109</v>
      </c>
      <c r="AB10" s="58">
        <f>利润表!AB8</f>
        <v>122244706</v>
      </c>
      <c r="AC10" s="58">
        <f>利润表!AC8</f>
        <v>439290894</v>
      </c>
      <c r="AD10" s="58">
        <f>利润表!AD8</f>
        <v>272911852</v>
      </c>
      <c r="AE10" s="58">
        <f>利润表!AE8</f>
        <v>169760957</v>
      </c>
      <c r="AF10" s="58">
        <f>利润表!AF8</f>
        <v>71767816</v>
      </c>
      <c r="AG10" s="58">
        <f>利润表!AG8</f>
        <v>201473551</v>
      </c>
      <c r="AH10" s="58">
        <f>利润表!AH8</f>
        <v>151517241</v>
      </c>
      <c r="AI10" s="58">
        <f>利润表!AI8</f>
        <v>96902691</v>
      </c>
      <c r="AJ10" s="58">
        <f>利润表!AJ8</f>
        <v>43182256</v>
      </c>
      <c r="AK10" s="58">
        <f>利润表!AK8</f>
        <v>121024350</v>
      </c>
      <c r="AL10" s="58">
        <f>利润表!AL8</f>
        <v>80638895</v>
      </c>
      <c r="AM10" s="58">
        <f>利润表!AM8</f>
        <v>48281242</v>
      </c>
      <c r="AN10" s="58">
        <f>利润表!AN8</f>
        <v>21607257</v>
      </c>
      <c r="AO10" s="58">
        <f>利润表!AO8</f>
        <v>160568845</v>
      </c>
      <c r="AP10" s="58">
        <f>利润表!AP8</f>
        <v>129853731</v>
      </c>
      <c r="AQ10" s="58">
        <f>利润表!AQ8</f>
        <v>95740202</v>
      </c>
      <c r="AR10" s="58">
        <f>利润表!AR8</f>
        <v>53506650</v>
      </c>
      <c r="AS10" s="58">
        <f>利润表!AS8</f>
        <v>197845776</v>
      </c>
      <c r="AT10" s="58">
        <f>利润表!AT8</f>
        <v>155033175</v>
      </c>
      <c r="AU10" s="58">
        <f>利润表!AU8</f>
        <v>97019148</v>
      </c>
      <c r="AV10" s="58">
        <f>利润表!AV8</f>
        <v>47143839</v>
      </c>
      <c r="AW10" s="58">
        <f>利润表!AW8</f>
        <v>227074656</v>
      </c>
      <c r="AX10" s="58">
        <f>利润表!AX8</f>
        <v>144323834</v>
      </c>
      <c r="AY10" s="58">
        <f>利润表!AY8</f>
        <v>104038629</v>
      </c>
      <c r="AZ10" s="58">
        <f>利润表!AZ8</f>
        <v>49357203</v>
      </c>
      <c r="BA10" s="58">
        <f>利润表!BA8</f>
        <v>322747515</v>
      </c>
      <c r="BB10" s="58">
        <f>利润表!BB8</f>
        <v>194137207</v>
      </c>
      <c r="BC10" s="58">
        <f>利润表!BC8</f>
        <v>136715718</v>
      </c>
      <c r="BD10" s="58">
        <f>利润表!BD8</f>
        <v>46121350</v>
      </c>
      <c r="BE10" s="58">
        <f>利润表!BE8</f>
        <v>315449047</v>
      </c>
      <c r="BF10" s="58">
        <f>利润表!BF8</f>
        <v>165680117.30000001</v>
      </c>
      <c r="BG10" s="58">
        <f>利润表!BG8</f>
        <v>128361654.23999999</v>
      </c>
      <c r="BH10" s="58">
        <f>利润表!BH8</f>
        <v>59623674.009999998</v>
      </c>
      <c r="BI10" s="58">
        <f>利润表!BI8</f>
        <v>288021247</v>
      </c>
      <c r="BJ10" s="58">
        <f>利润表!BJ8</f>
        <v>207509814.50999999</v>
      </c>
      <c r="BK10" s="58">
        <f>利润表!BK8</f>
        <v>131500096.73</v>
      </c>
      <c r="BL10" s="58">
        <f>利润表!BL8</f>
        <v>50078162.030000001</v>
      </c>
      <c r="BM10" s="58">
        <f>利润表!BM8</f>
        <v>160302381</v>
      </c>
      <c r="BN10" s="58">
        <f>利润表!BN8</f>
        <v>110090703.59999999</v>
      </c>
      <c r="BO10" s="58">
        <f>利润表!BO8</f>
        <v>68635490.280000001</v>
      </c>
      <c r="BP10" s="58">
        <f>利润表!BP8</f>
        <v>28636270.23</v>
      </c>
      <c r="BQ10" s="58">
        <f>利润表!BQ8</f>
        <v>72966442</v>
      </c>
      <c r="BR10" s="58">
        <f>利润表!BR8</f>
        <v>43138137.799999997</v>
      </c>
      <c r="BS10" s="58">
        <f>利润表!BS8</f>
        <v>65355965</v>
      </c>
      <c r="BT10" s="58">
        <f>利润表!BT8</f>
        <v>27656135</v>
      </c>
      <c r="BU10" s="58">
        <f>利润表!BU8</f>
        <v>12341138</v>
      </c>
      <c r="BV10" s="58">
        <f>利润表!BV8</f>
        <v>5990075.5300000003</v>
      </c>
      <c r="BW10" s="58">
        <f>利润表!BW8</f>
        <v>5175000</v>
      </c>
      <c r="BX10" s="58">
        <f>利润表!BX8</f>
        <v>1744189.72</v>
      </c>
      <c r="BY10" s="58">
        <f>利润表!BY8</f>
        <v>4079000</v>
      </c>
      <c r="BZ10" s="58">
        <f>利润表!BZ8</f>
        <v>0</v>
      </c>
      <c r="CA10" s="58">
        <f>利润表!CA8</f>
        <v>4082000</v>
      </c>
      <c r="CB10" s="58">
        <f>利润表!CB8</f>
        <v>3669000</v>
      </c>
      <c r="CC10" s="58">
        <f>利润表!CC8</f>
        <v>2900000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4" t="s">
        <v>492</v>
      </c>
      <c r="E11" s="58">
        <f>利润表!E9</f>
        <v>7246543340</v>
      </c>
      <c r="F11" s="58">
        <f>利润表!F9</f>
        <v>4885486924</v>
      </c>
      <c r="G11" s="58">
        <f>利润表!G9</f>
        <v>3052661575</v>
      </c>
      <c r="H11" s="58">
        <f>利润表!H9</f>
        <v>1502882338</v>
      </c>
      <c r="I11" s="58">
        <f>利润表!I9</f>
        <v>5618443652</v>
      </c>
      <c r="J11" s="58">
        <f>利润表!J9</f>
        <v>3877791881</v>
      </c>
      <c r="K11" s="58">
        <f>利润表!K9</f>
        <v>2311090435</v>
      </c>
      <c r="L11" s="58">
        <f>利润表!L9</f>
        <v>1197906250</v>
      </c>
      <c r="M11" s="58">
        <f>利润表!M9</f>
        <v>4675778199</v>
      </c>
      <c r="N11" s="58">
        <f>利润表!N9</f>
        <v>3512957536</v>
      </c>
      <c r="O11" s="58">
        <f>利润表!O9</f>
        <v>2252419046</v>
      </c>
      <c r="P11" s="58">
        <f>利润表!P9</f>
        <v>1125646463</v>
      </c>
      <c r="Q11" s="58">
        <f>利润表!Q9</f>
        <v>3876636817</v>
      </c>
      <c r="R11" s="58">
        <f>利润表!R9</f>
        <v>2632839349</v>
      </c>
      <c r="S11" s="58">
        <f>利润表!S9</f>
        <v>1698855995</v>
      </c>
      <c r="T11" s="58">
        <f>利润表!T9</f>
        <v>774557649</v>
      </c>
      <c r="U11" s="58">
        <f>利润表!U9</f>
        <v>3276324892</v>
      </c>
      <c r="V11" s="58">
        <f>利润表!V9</f>
        <v>2240233597</v>
      </c>
      <c r="W11" s="58">
        <f>利润表!W9</f>
        <v>1449893803</v>
      </c>
      <c r="X11" s="58">
        <f>利润表!X9</f>
        <v>683539722</v>
      </c>
      <c r="Y11" s="58">
        <f>利润表!Y9</f>
        <v>2224171078</v>
      </c>
      <c r="Z11" s="58">
        <f>利润表!Z9</f>
        <v>1509435881</v>
      </c>
      <c r="AA11" s="58">
        <f>利润表!AA9</f>
        <v>950037835</v>
      </c>
      <c r="AB11" s="58">
        <f>利润表!AB9</f>
        <v>469276557</v>
      </c>
      <c r="AC11" s="58">
        <f>利润表!AC9</f>
        <v>1800963588</v>
      </c>
      <c r="AD11" s="58">
        <f>利润表!AD9</f>
        <v>1181463915</v>
      </c>
      <c r="AE11" s="58">
        <f>利润表!AE9</f>
        <v>817952938</v>
      </c>
      <c r="AF11" s="58">
        <f>利润表!AF9</f>
        <v>465049868</v>
      </c>
      <c r="AG11" s="58">
        <f>利润表!AG9</f>
        <v>1458739829</v>
      </c>
      <c r="AH11" s="58">
        <f>利润表!AH9</f>
        <v>917230556</v>
      </c>
      <c r="AI11" s="58">
        <f>利润表!AI9</f>
        <v>529994057</v>
      </c>
      <c r="AJ11" s="58">
        <f>利润表!AJ9</f>
        <v>253948969</v>
      </c>
      <c r="AK11" s="58">
        <f>利润表!AK9</f>
        <v>873064864</v>
      </c>
      <c r="AL11" s="58">
        <f>利润表!AL9</f>
        <v>678440756</v>
      </c>
      <c r="AM11" s="58">
        <f>利润表!AM9</f>
        <v>519834580</v>
      </c>
      <c r="AN11" s="58">
        <f>利润表!AN9</f>
        <v>346168324</v>
      </c>
      <c r="AO11" s="58">
        <f>利润表!AO9</f>
        <v>814893919</v>
      </c>
      <c r="AP11" s="58">
        <f>利润表!AP9</f>
        <v>512388390</v>
      </c>
      <c r="AQ11" s="58">
        <f>利润表!AQ9</f>
        <v>343636500</v>
      </c>
      <c r="AR11" s="58">
        <f>利润表!AR9</f>
        <v>170400163</v>
      </c>
      <c r="AS11" s="58">
        <f>利润表!AS9</f>
        <v>559821122</v>
      </c>
      <c r="AT11" s="58">
        <f>利润表!AT9</f>
        <v>346709887</v>
      </c>
      <c r="AU11" s="58">
        <f>利润表!AU9</f>
        <v>222899365</v>
      </c>
      <c r="AV11" s="58">
        <f>利润表!AV9</f>
        <v>123429748</v>
      </c>
      <c r="AW11" s="58">
        <f>利润表!AW9</f>
        <v>1033154825</v>
      </c>
      <c r="AX11" s="58">
        <f>利润表!AX9</f>
        <v>913729278</v>
      </c>
      <c r="AY11" s="58">
        <f>利润表!AY9</f>
        <v>753656800</v>
      </c>
      <c r="AZ11" s="58">
        <f>利润表!AZ9</f>
        <v>247626532</v>
      </c>
      <c r="BA11" s="58">
        <f>利润表!BA9</f>
        <v>1063188303</v>
      </c>
      <c r="BB11" s="58">
        <f>利润表!BB9</f>
        <v>686269241</v>
      </c>
      <c r="BC11" s="58">
        <f>利润表!BC9</f>
        <v>419849719</v>
      </c>
      <c r="BD11" s="58">
        <f>利润表!BD9</f>
        <v>163677555</v>
      </c>
      <c r="BE11" s="58">
        <f>利润表!BE9</f>
        <v>952426798</v>
      </c>
      <c r="BF11" s="58">
        <f>利润表!BF9</f>
        <v>660987814.63999999</v>
      </c>
      <c r="BG11" s="58">
        <f>利润表!BG9</f>
        <v>493425750.63999999</v>
      </c>
      <c r="BH11" s="58">
        <f>利润表!BH9</f>
        <v>207663216.22</v>
      </c>
      <c r="BI11" s="58">
        <f>利润表!BI9</f>
        <v>792860866</v>
      </c>
      <c r="BJ11" s="58">
        <f>利润表!BJ9</f>
        <v>490308910.43000001</v>
      </c>
      <c r="BK11" s="58">
        <f>利润表!BK9</f>
        <v>304038688.27999997</v>
      </c>
      <c r="BL11" s="58">
        <f>利润表!BL9</f>
        <v>129116278.90000001</v>
      </c>
      <c r="BM11" s="58">
        <f>利润表!BM9</f>
        <v>272542389</v>
      </c>
      <c r="BN11" s="58">
        <f>利润表!BN9</f>
        <v>185740915.27000001</v>
      </c>
      <c r="BO11" s="58">
        <f>利润表!BO9</f>
        <v>87496595.129999995</v>
      </c>
      <c r="BP11" s="58">
        <f>利润表!BP9</f>
        <v>54918136.380000003</v>
      </c>
      <c r="BQ11" s="58">
        <f>利润表!BQ9</f>
        <v>106699811</v>
      </c>
      <c r="BR11" s="58">
        <f>利润表!BR9</f>
        <v>44333713.030000001</v>
      </c>
      <c r="BS11" s="58">
        <f>利润表!BS9</f>
        <v>87894282</v>
      </c>
      <c r="BT11" s="58">
        <f>利润表!BT9</f>
        <v>33845084</v>
      </c>
      <c r="BU11" s="58">
        <f>利润表!BU9</f>
        <v>67191857</v>
      </c>
      <c r="BV11" s="58">
        <f>利润表!BV9</f>
        <v>29194987.050000001</v>
      </c>
      <c r="BW11" s="58">
        <f>利润表!BW9</f>
        <v>30728000</v>
      </c>
      <c r="BX11" s="58">
        <f>利润表!BX9</f>
        <v>11184765.08</v>
      </c>
      <c r="BY11" s="58">
        <f>利润表!BY9</f>
        <v>26634000</v>
      </c>
      <c r="BZ11" s="58">
        <f>利润表!BZ9</f>
        <v>0</v>
      </c>
      <c r="CA11" s="58">
        <f>利润表!CA9</f>
        <v>34475000</v>
      </c>
      <c r="CB11" s="58">
        <f>利润表!CB9</f>
        <v>40570000</v>
      </c>
      <c r="CC11" s="58">
        <f>利润表!CC9</f>
        <v>22818000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4" t="s">
        <v>493</v>
      </c>
      <c r="E12" s="58">
        <f>SUM(E8:E11)</f>
        <v>80829328252</v>
      </c>
      <c r="F12" s="58">
        <f t="shared" ref="F12:BQ12" si="4">SUM(F8:F11)</f>
        <v>58649613495</v>
      </c>
      <c r="G12" s="58">
        <f t="shared" si="4"/>
        <v>36872190019</v>
      </c>
      <c r="H12" s="58">
        <f t="shared" si="4"/>
        <v>17957659542</v>
      </c>
      <c r="I12" s="58">
        <f t="shared" si="4"/>
        <v>64647765597</v>
      </c>
      <c r="J12" s="58">
        <f t="shared" si="4"/>
        <v>44996670906</v>
      </c>
      <c r="K12" s="58">
        <f t="shared" si="4"/>
        <v>27087328228</v>
      </c>
      <c r="L12" s="58">
        <f t="shared" si="4"/>
        <v>13076894055</v>
      </c>
      <c r="M12" s="58">
        <f t="shared" si="4"/>
        <v>44996705967</v>
      </c>
      <c r="N12" s="58">
        <f t="shared" si="4"/>
        <v>32979543943</v>
      </c>
      <c r="O12" s="58">
        <f t="shared" si="4"/>
        <v>20409054618</v>
      </c>
      <c r="P12" s="58">
        <f t="shared" si="4"/>
        <v>10155151157</v>
      </c>
      <c r="Q12" s="58">
        <f t="shared" si="4"/>
        <v>33497719346</v>
      </c>
      <c r="R12" s="58">
        <f t="shared" si="4"/>
        <v>23093439678</v>
      </c>
      <c r="S12" s="58">
        <f t="shared" si="4"/>
        <v>14848608666</v>
      </c>
      <c r="T12" s="58">
        <f t="shared" si="4"/>
        <v>7505437381</v>
      </c>
      <c r="U12" s="58">
        <f t="shared" si="4"/>
        <v>30208318435</v>
      </c>
      <c r="V12" s="58">
        <f t="shared" si="4"/>
        <v>21939712360</v>
      </c>
      <c r="W12" s="58">
        <f t="shared" si="4"/>
        <v>14493417691</v>
      </c>
      <c r="X12" s="58">
        <f t="shared" si="4"/>
        <v>7335878481</v>
      </c>
      <c r="Y12" s="58">
        <f t="shared" si="4"/>
        <v>25759590339</v>
      </c>
      <c r="Z12" s="58">
        <f t="shared" si="4"/>
        <v>18212890752</v>
      </c>
      <c r="AA12" s="58">
        <f t="shared" si="4"/>
        <v>10722155778</v>
      </c>
      <c r="AB12" s="58">
        <f t="shared" si="4"/>
        <v>4787001294</v>
      </c>
      <c r="AC12" s="58">
        <f t="shared" si="4"/>
        <v>15711048686</v>
      </c>
      <c r="AD12" s="58">
        <f t="shared" si="4"/>
        <v>10750067816</v>
      </c>
      <c r="AE12" s="58">
        <f t="shared" si="4"/>
        <v>6343402721</v>
      </c>
      <c r="AF12" s="58">
        <f t="shared" si="4"/>
        <v>2766617847</v>
      </c>
      <c r="AG12" s="58">
        <f t="shared" si="4"/>
        <v>9968558812</v>
      </c>
      <c r="AH12" s="58">
        <f t="shared" si="4"/>
        <v>7333063107</v>
      </c>
      <c r="AI12" s="58">
        <f t="shared" si="4"/>
        <v>4761303156</v>
      </c>
      <c r="AJ12" s="58">
        <f t="shared" si="4"/>
        <v>2180788943</v>
      </c>
      <c r="AK12" s="58">
        <f t="shared" si="4"/>
        <v>7286801221</v>
      </c>
      <c r="AL12" s="58">
        <f t="shared" si="4"/>
        <v>5254118828</v>
      </c>
      <c r="AM12" s="58">
        <f t="shared" si="4"/>
        <v>3171889625</v>
      </c>
      <c r="AN12" s="58">
        <f t="shared" si="4"/>
        <v>1235917863</v>
      </c>
      <c r="AO12" s="58">
        <f t="shared" si="4"/>
        <v>8684601142</v>
      </c>
      <c r="AP12" s="58">
        <f t="shared" si="4"/>
        <v>6992615546</v>
      </c>
      <c r="AQ12" s="58">
        <f t="shared" si="4"/>
        <v>4911928992</v>
      </c>
      <c r="AR12" s="58">
        <f t="shared" si="4"/>
        <v>2571042118</v>
      </c>
      <c r="AS12" s="58">
        <f t="shared" si="4"/>
        <v>10037982309</v>
      </c>
      <c r="AT12" s="58">
        <f t="shared" si="4"/>
        <v>7564879054</v>
      </c>
      <c r="AU12" s="58">
        <f t="shared" si="4"/>
        <v>4885127980</v>
      </c>
      <c r="AV12" s="58">
        <f t="shared" si="4"/>
        <v>2471662301</v>
      </c>
      <c r="AW12" s="58">
        <f t="shared" si="4"/>
        <v>11229920394</v>
      </c>
      <c r="AX12" s="58">
        <f t="shared" si="4"/>
        <v>9052048059</v>
      </c>
      <c r="AY12" s="58">
        <f t="shared" si="4"/>
        <v>5908510348</v>
      </c>
      <c r="AZ12" s="58">
        <f t="shared" si="4"/>
        <v>2861086411</v>
      </c>
      <c r="BA12" s="58">
        <f t="shared" si="4"/>
        <v>14648502470</v>
      </c>
      <c r="BB12" s="58">
        <f t="shared" si="4"/>
        <v>9641513641</v>
      </c>
      <c r="BC12" s="58">
        <f t="shared" si="4"/>
        <v>5153331247</v>
      </c>
      <c r="BD12" s="58">
        <f t="shared" si="4"/>
        <v>2508762944</v>
      </c>
      <c r="BE12" s="58">
        <f t="shared" si="4"/>
        <v>12425715564</v>
      </c>
      <c r="BF12" s="58">
        <f t="shared" si="4"/>
        <v>8926986859.8600006</v>
      </c>
      <c r="BG12" s="58">
        <f t="shared" si="4"/>
        <v>5789302760.7800007</v>
      </c>
      <c r="BH12" s="58">
        <f t="shared" si="4"/>
        <v>3427631362.8500004</v>
      </c>
      <c r="BI12" s="58">
        <f t="shared" si="4"/>
        <v>10530022600</v>
      </c>
      <c r="BJ12" s="58">
        <f t="shared" si="4"/>
        <v>7157690970.6199999</v>
      </c>
      <c r="BK12" s="58">
        <f t="shared" si="4"/>
        <v>4365902885.3699999</v>
      </c>
      <c r="BL12" s="58">
        <f t="shared" si="4"/>
        <v>2056366395.0300002</v>
      </c>
      <c r="BM12" s="58">
        <f t="shared" si="4"/>
        <v>4579880996</v>
      </c>
      <c r="BN12" s="58">
        <f t="shared" si="4"/>
        <v>3216389657.1399999</v>
      </c>
      <c r="BO12" s="58">
        <f t="shared" si="4"/>
        <v>1859553630.9400001</v>
      </c>
      <c r="BP12" s="58">
        <f t="shared" si="4"/>
        <v>958771670.80000007</v>
      </c>
      <c r="BQ12" s="58">
        <f t="shared" si="4"/>
        <v>2528803329</v>
      </c>
      <c r="BR12" s="58">
        <f t="shared" ref="BR12:CL12" si="5">SUM(BR8:BR11)</f>
        <v>1200587584.6099999</v>
      </c>
      <c r="BS12" s="58">
        <f t="shared" si="5"/>
        <v>2129860829</v>
      </c>
      <c r="BT12" s="58">
        <f t="shared" si="5"/>
        <v>941888513</v>
      </c>
      <c r="BU12" s="58">
        <f t="shared" si="5"/>
        <v>679831990</v>
      </c>
      <c r="BV12" s="58">
        <f t="shared" si="5"/>
        <v>185001731.26000002</v>
      </c>
      <c r="BW12" s="58">
        <f t="shared" si="5"/>
        <v>216895000</v>
      </c>
      <c r="BX12" s="58">
        <f t="shared" si="5"/>
        <v>90569426.530000001</v>
      </c>
      <c r="BY12" s="58">
        <f t="shared" si="5"/>
        <v>218593000</v>
      </c>
      <c r="BZ12" s="58">
        <f t="shared" si="5"/>
        <v>0</v>
      </c>
      <c r="CA12" s="58">
        <f t="shared" si="5"/>
        <v>164674000</v>
      </c>
      <c r="CB12" s="58">
        <f t="shared" si="5"/>
        <v>170398000</v>
      </c>
      <c r="CC12" s="58">
        <f t="shared" si="5"/>
        <v>122937000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494</v>
      </c>
      <c r="E13" s="28">
        <f>(E6/(1+E4)+E7)/E12</f>
        <v>0.87372627006837311</v>
      </c>
      <c r="F13" s="28">
        <f t="shared" ref="F13:BQ13" si="6">(F6/(1+F4)+F7)/F12</f>
        <v>0.74094529728262959</v>
      </c>
      <c r="G13" s="28">
        <f t="shared" si="6"/>
        <v>0.76977712926706066</v>
      </c>
      <c r="H13" s="28">
        <f t="shared" si="6"/>
        <v>0.76458008555222956</v>
      </c>
      <c r="I13" s="28">
        <f t="shared" si="6"/>
        <v>0.83230839851134764</v>
      </c>
      <c r="J13" s="28">
        <f t="shared" si="6"/>
        <v>0.57034316442369892</v>
      </c>
      <c r="K13" s="28">
        <f t="shared" si="6"/>
        <v>0.6970679486193172</v>
      </c>
      <c r="L13" s="28">
        <f t="shared" si="6"/>
        <v>0.84682408606158677</v>
      </c>
      <c r="M13" s="28">
        <f t="shared" si="6"/>
        <v>0.81195293562496385</v>
      </c>
      <c r="N13" s="28">
        <f t="shared" si="6"/>
        <v>0.75127320833280264</v>
      </c>
      <c r="O13" s="28">
        <f t="shared" si="6"/>
        <v>0.74848340312616324</v>
      </c>
      <c r="P13" s="28">
        <f t="shared" si="6"/>
        <v>0.74579291827784111</v>
      </c>
      <c r="Q13" s="28">
        <f t="shared" si="6"/>
        <v>0.78366950600848229</v>
      </c>
      <c r="R13" s="28">
        <f t="shared" si="6"/>
        <v>0.79998530930189893</v>
      </c>
      <c r="S13" s="28">
        <f t="shared" si="6"/>
        <v>0.86616558274316591</v>
      </c>
      <c r="T13" s="28">
        <f t="shared" si="6"/>
        <v>0.93451718320090615</v>
      </c>
      <c r="U13" s="28">
        <f t="shared" si="6"/>
        <v>0.84494880122383165</v>
      </c>
      <c r="V13" s="28">
        <f t="shared" si="6"/>
        <v>0.73542428336706223</v>
      </c>
      <c r="W13" s="28">
        <f t="shared" si="6"/>
        <v>0.66190082902960889</v>
      </c>
      <c r="X13" s="28">
        <f t="shared" si="6"/>
        <v>0.68274838632855606</v>
      </c>
      <c r="Y13" s="28">
        <f t="shared" si="6"/>
        <v>0.78578522478255353</v>
      </c>
      <c r="Z13" s="28">
        <f t="shared" si="6"/>
        <v>0.68446827322337145</v>
      </c>
      <c r="AA13" s="28">
        <f t="shared" si="6"/>
        <v>0.65200051545480686</v>
      </c>
      <c r="AB13" s="28">
        <f t="shared" si="6"/>
        <v>0.67566621874679433</v>
      </c>
      <c r="AC13" s="28">
        <f t="shared" si="6"/>
        <v>0.76457077121727535</v>
      </c>
      <c r="AD13" s="28">
        <f t="shared" si="6"/>
        <v>0.63490574042789105</v>
      </c>
      <c r="AE13" s="28">
        <f t="shared" si="6"/>
        <v>0.64658342660025681</v>
      </c>
      <c r="AF13" s="28">
        <f t="shared" si="6"/>
        <v>0.73170034885682533</v>
      </c>
      <c r="AG13" s="28">
        <f t="shared" si="6"/>
        <v>0.85897622525670236</v>
      </c>
      <c r="AH13" s="28">
        <f t="shared" si="6"/>
        <v>0.72242714446513623</v>
      </c>
      <c r="AI13" s="28">
        <f t="shared" si="6"/>
        <v>0.6889630271342333</v>
      </c>
      <c r="AJ13" s="28">
        <f t="shared" si="6"/>
        <v>0.7719058232556173</v>
      </c>
      <c r="AK13" s="28">
        <f t="shared" si="6"/>
        <v>0.70540265835365157</v>
      </c>
      <c r="AL13" s="28">
        <f t="shared" si="6"/>
        <v>0.62017699586823294</v>
      </c>
      <c r="AM13" s="28">
        <f t="shared" si="6"/>
        <v>0.53105694868036868</v>
      </c>
      <c r="AN13" s="28">
        <f t="shared" si="6"/>
        <v>0.65357016796163281</v>
      </c>
      <c r="AO13" s="28">
        <f t="shared" si="6"/>
        <v>0.8725566660173335</v>
      </c>
      <c r="AP13" s="28">
        <f t="shared" si="6"/>
        <v>0.87403961563894506</v>
      </c>
      <c r="AQ13" s="28">
        <f t="shared" si="6"/>
        <v>0.87418934219025235</v>
      </c>
      <c r="AR13" s="28">
        <f t="shared" si="6"/>
        <v>0.81026460846390158</v>
      </c>
      <c r="AS13" s="28">
        <f t="shared" si="6"/>
        <v>0.75762500036939473</v>
      </c>
      <c r="AT13" s="28">
        <f t="shared" si="6"/>
        <v>0.70355068397195797</v>
      </c>
      <c r="AU13" s="28">
        <f t="shared" si="6"/>
        <v>0.70218649570402458</v>
      </c>
      <c r="AV13" s="28">
        <f t="shared" si="6"/>
        <v>0.59059118615051898</v>
      </c>
      <c r="AW13" s="28">
        <f t="shared" si="6"/>
        <v>0.69116625044312197</v>
      </c>
      <c r="AX13" s="28">
        <f t="shared" si="6"/>
        <v>0.66936678903134583</v>
      </c>
      <c r="AY13" s="28">
        <f t="shared" si="6"/>
        <v>0.75126017848873627</v>
      </c>
      <c r="AZ13" s="28">
        <f t="shared" si="6"/>
        <v>1.0126277551131104</v>
      </c>
      <c r="BA13" s="28">
        <f t="shared" si="6"/>
        <v>0.77562565547590678</v>
      </c>
      <c r="BB13" s="28">
        <f t="shared" si="6"/>
        <v>0.86248613880706215</v>
      </c>
      <c r="BC13" s="28">
        <f t="shared" si="6"/>
        <v>0.83353889862951325</v>
      </c>
      <c r="BD13" s="28">
        <f t="shared" si="6"/>
        <v>0.8359723733745944</v>
      </c>
      <c r="BE13" s="28">
        <f t="shared" si="6"/>
        <v>0.89020328913041546</v>
      </c>
      <c r="BF13" s="28">
        <f t="shared" si="6"/>
        <v>0.84466182479031893</v>
      </c>
      <c r="BG13" s="28">
        <f t="shared" si="6"/>
        <v>0.88300844896222241</v>
      </c>
      <c r="BH13" s="28">
        <f t="shared" si="6"/>
        <v>0.85005877386813611</v>
      </c>
      <c r="BI13" s="28">
        <f t="shared" si="6"/>
        <v>0.87140871024024846</v>
      </c>
      <c r="BJ13" s="28">
        <f t="shared" si="6"/>
        <v>0.87370688755365267</v>
      </c>
      <c r="BK13" s="28">
        <f t="shared" si="6"/>
        <v>0.85756176444423771</v>
      </c>
      <c r="BL13" s="28">
        <f t="shared" si="6"/>
        <v>0.95651463517319057</v>
      </c>
      <c r="BM13" s="28">
        <f t="shared" si="6"/>
        <v>0.77023033676043473</v>
      </c>
      <c r="BN13" s="28">
        <f t="shared" si="6"/>
        <v>0.49782940310297802</v>
      </c>
      <c r="BO13" s="28">
        <f t="shared" si="6"/>
        <v>1.0728118174354064</v>
      </c>
      <c r="BP13" s="28">
        <f t="shared" si="6"/>
        <v>1.1221290050133896</v>
      </c>
      <c r="BQ13" s="28">
        <f t="shared" si="6"/>
        <v>0.73524433090280261</v>
      </c>
      <c r="BR13" s="28">
        <f t="shared" ref="BR13:CK13" si="7">(BR6/(1+BR4)+BR7)/BR12</f>
        <v>0.57248082473013262</v>
      </c>
      <c r="BS13" s="28">
        <f t="shared" si="7"/>
        <v>0.19246575068883967</v>
      </c>
      <c r="BT13" s="28">
        <f t="shared" si="7"/>
        <v>0.19761177930117188</v>
      </c>
      <c r="BU13" s="28">
        <f t="shared" si="7"/>
        <v>0</v>
      </c>
      <c r="BV13" s="28">
        <f t="shared" si="7"/>
        <v>0</v>
      </c>
      <c r="BW13" s="28">
        <f t="shared" si="7"/>
        <v>0</v>
      </c>
      <c r="BX13" s="28">
        <f t="shared" si="7"/>
        <v>0</v>
      </c>
      <c r="BY13" s="28">
        <f t="shared" si="7"/>
        <v>0</v>
      </c>
      <c r="BZ13" s="28" t="e">
        <f t="shared" si="7"/>
        <v>#DIV/0!</v>
      </c>
      <c r="CA13" s="28">
        <f t="shared" si="7"/>
        <v>0</v>
      </c>
      <c r="CB13" s="28">
        <f t="shared" si="7"/>
        <v>0</v>
      </c>
      <c r="CC13" s="28">
        <f t="shared" si="7"/>
        <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316" customFormat="1" x14ac:dyDescent="0.25">
      <c r="A14" s="315" t="s">
        <v>495</v>
      </c>
      <c r="E14" s="316">
        <f>现金流量表!E13</f>
        <v>26266986015</v>
      </c>
      <c r="F14" s="316">
        <f>现金流量表!F13</f>
        <v>18491007288</v>
      </c>
      <c r="G14" s="316">
        <f>现金流量表!G13</f>
        <v>10638591266</v>
      </c>
      <c r="H14" s="316">
        <f>现金流量表!H13</f>
        <v>6216049821</v>
      </c>
      <c r="I14" s="316">
        <f>现金流量表!I13</f>
        <v>10073287120</v>
      </c>
      <c r="J14" s="316">
        <f>现金流量表!J13</f>
        <v>6548148538</v>
      </c>
      <c r="K14" s="316">
        <f>现金流量表!K13</f>
        <v>2734086955</v>
      </c>
      <c r="L14" s="316">
        <f>现金流量表!L13</f>
        <v>2767654463</v>
      </c>
      <c r="M14" s="316">
        <f>现金流量表!M13</f>
        <v>10493385445</v>
      </c>
      <c r="N14" s="316">
        <f>现金流量表!N13</f>
        <v>7833611103</v>
      </c>
      <c r="O14" s="316">
        <f>现金流量表!O13</f>
        <v>5453391488</v>
      </c>
      <c r="P14" s="316">
        <f>现金流量表!P13</f>
        <v>2302553649</v>
      </c>
      <c r="Q14" s="316">
        <f>现金流量表!Q13</f>
        <v>8095825923</v>
      </c>
      <c r="R14" s="316">
        <f>现金流量表!R13</f>
        <v>4644103223</v>
      </c>
      <c r="S14" s="316">
        <f>现金流量表!S13</f>
        <v>3253640502</v>
      </c>
      <c r="T14" s="316">
        <f>现金流量表!T13</f>
        <v>1680084933</v>
      </c>
      <c r="U14" s="316">
        <f>现金流量表!U13</f>
        <v>8956439250</v>
      </c>
      <c r="V14" s="316">
        <f>现金流量表!V13</f>
        <v>4329984046</v>
      </c>
      <c r="W14" s="316">
        <f>现金流量表!W13</f>
        <v>3727889361</v>
      </c>
      <c r="X14" s="316">
        <f>现金流量表!X13</f>
        <v>1460591533</v>
      </c>
      <c r="Y14" s="316">
        <f>现金流量表!Y13</f>
        <v>3088875525</v>
      </c>
      <c r="Z14" s="316">
        <f>现金流量表!Z13</f>
        <v>402871706</v>
      </c>
      <c r="AA14" s="316">
        <f>现金流量表!AA13</f>
        <v>121827560</v>
      </c>
      <c r="AB14" s="316">
        <f>现金流量表!AB13</f>
        <v>-44245959</v>
      </c>
      <c r="AC14" s="316">
        <f>现金流量表!AC13</f>
        <v>-778530727</v>
      </c>
      <c r="AD14" s="316">
        <f>现金流量表!AD13</f>
        <v>-1045906306</v>
      </c>
      <c r="AE14" s="316">
        <f>现金流量表!AE13</f>
        <v>-614189947</v>
      </c>
      <c r="AF14" s="316">
        <f>现金流量表!AF13</f>
        <v>-366268678</v>
      </c>
      <c r="AG14" s="316">
        <f>现金流量表!AG13</f>
        <v>-1053315294</v>
      </c>
      <c r="AH14" s="316">
        <f>现金流量表!AH13</f>
        <v>-255425626</v>
      </c>
      <c r="AI14" s="316">
        <f>现金流量表!AI13</f>
        <v>3312176</v>
      </c>
      <c r="AJ14" s="316">
        <f>现金流量表!AJ13</f>
        <v>33675569</v>
      </c>
      <c r="AK14" s="316">
        <f>现金流量表!AK13</f>
        <v>810009035</v>
      </c>
      <c r="AL14" s="316">
        <f>现金流量表!AL13</f>
        <v>-76465855</v>
      </c>
      <c r="AM14" s="316">
        <f>现金流量表!AM13</f>
        <v>-175802392</v>
      </c>
      <c r="AN14" s="316">
        <f>现金流量表!AN13</f>
        <v>-147403907</v>
      </c>
      <c r="AO14" s="316">
        <f>现金流量表!AO13</f>
        <v>1127969877</v>
      </c>
      <c r="AP14" s="316">
        <f>现金流量表!AP13</f>
        <v>1274196010</v>
      </c>
      <c r="AQ14" s="316">
        <f>现金流量表!AQ13</f>
        <v>1035562169</v>
      </c>
      <c r="AR14" s="316">
        <f>现金流量表!AR13</f>
        <v>758765411</v>
      </c>
      <c r="AS14" s="316">
        <f>现金流量表!AS13</f>
        <v>2292098399</v>
      </c>
      <c r="AT14" s="316">
        <f>现金流量表!AT13</f>
        <v>1438522331</v>
      </c>
      <c r="AU14" s="316">
        <f>现金流量表!AU13</f>
        <v>488345973</v>
      </c>
      <c r="AV14" s="316">
        <f>现金流量表!AV13</f>
        <v>232372937</v>
      </c>
      <c r="AW14" s="316">
        <f>现金流量表!AW13</f>
        <v>843112560</v>
      </c>
      <c r="AX14" s="316">
        <f>现金流量表!AX13</f>
        <v>499295186</v>
      </c>
      <c r="AY14" s="316">
        <f>现金流量表!AY13</f>
        <v>-1808814</v>
      </c>
      <c r="AZ14" s="316">
        <f>现金流量表!AZ13</f>
        <v>100878844</v>
      </c>
      <c r="BA14" s="316">
        <f>现金流量表!BA13</f>
        <v>-983558625</v>
      </c>
      <c r="BB14" s="316">
        <f>现金流量表!BB13</f>
        <v>-772876227.13</v>
      </c>
      <c r="BC14" s="316">
        <f>现金流量表!BC13</f>
        <v>-427419682</v>
      </c>
      <c r="BD14" s="316">
        <f>现金流量表!BD13</f>
        <v>-54020833</v>
      </c>
      <c r="BE14" s="316">
        <f>现金流量表!BE13</f>
        <v>207720737</v>
      </c>
      <c r="BF14" s="316">
        <f>现金流量表!BF13</f>
        <v>346642035.73000002</v>
      </c>
      <c r="BG14" s="316">
        <f>现金流量表!BG13</f>
        <v>218019969.84999999</v>
      </c>
      <c r="BH14" s="316">
        <f>现金流量表!BH13</f>
        <v>342671976.62</v>
      </c>
      <c r="BI14" s="316">
        <f>现金流量表!BI13</f>
        <v>747537474</v>
      </c>
      <c r="BJ14" s="316">
        <f>现金流量表!BJ13</f>
        <v>931865451.95000005</v>
      </c>
      <c r="BK14" s="316">
        <f>现金流量表!BK13</f>
        <v>628673055.54999995</v>
      </c>
      <c r="BL14" s="316">
        <f>现金流量表!BL13</f>
        <v>240983682.55000001</v>
      </c>
      <c r="BM14" s="316">
        <f>现金流量表!BM13</f>
        <v>217680290</v>
      </c>
      <c r="BN14" s="316">
        <f>现金流量表!BN13</f>
        <v>43679844.140000001</v>
      </c>
      <c r="BO14" s="316">
        <f>现金流量表!BO13</f>
        <v>396715256</v>
      </c>
      <c r="BP14" s="316">
        <f>现金流量表!BP13</f>
        <v>290378402.95999998</v>
      </c>
      <c r="BQ14" s="316">
        <f>现金流量表!BQ13</f>
        <v>-176842472</v>
      </c>
      <c r="BR14" s="316">
        <f>现金流量表!BR13</f>
        <v>-52555139</v>
      </c>
      <c r="BS14" s="316">
        <f>现金流量表!BS13</f>
        <v>-44736342</v>
      </c>
      <c r="BT14" s="316">
        <f>现金流量表!BT13</f>
        <v>46820000</v>
      </c>
      <c r="BU14" s="316">
        <f>现金流量表!BU13</f>
        <v>0</v>
      </c>
      <c r="BV14" s="316">
        <f>现金流量表!BV13</f>
        <v>0</v>
      </c>
      <c r="BW14" s="316">
        <f>现金流量表!BW13</f>
        <v>0</v>
      </c>
      <c r="BX14" s="316">
        <f>现金流量表!BX13</f>
        <v>0</v>
      </c>
      <c r="BY14" s="316">
        <f>现金流量表!BY13</f>
        <v>0</v>
      </c>
      <c r="BZ14" s="316">
        <f>现金流量表!BZ13</f>
        <v>0</v>
      </c>
      <c r="CA14" s="316">
        <f>现金流量表!CA13</f>
        <v>0</v>
      </c>
      <c r="CB14" s="316">
        <f>现金流量表!CB13</f>
        <v>0</v>
      </c>
      <c r="CC14" s="316">
        <f>现金流量表!CC13</f>
        <v>0</v>
      </c>
      <c r="CD14" s="316">
        <f>现金流量表!CD13</f>
        <v>0</v>
      </c>
      <c r="CE14" s="316">
        <f>现金流量表!CE13</f>
        <v>0</v>
      </c>
      <c r="CF14" s="316">
        <f>现金流量表!CF13</f>
        <v>0</v>
      </c>
      <c r="CG14" s="316">
        <f>现金流量表!CG13</f>
        <v>0</v>
      </c>
      <c r="CH14" s="316">
        <f>现金流量表!CH13</f>
        <v>0</v>
      </c>
      <c r="CI14" s="316">
        <f>现金流量表!CI13</f>
        <v>0</v>
      </c>
      <c r="CJ14" s="316">
        <f>现金流量表!CJ13</f>
        <v>0</v>
      </c>
      <c r="CK14" s="316">
        <f>现金流量表!CK13</f>
        <v>0</v>
      </c>
    </row>
    <row r="15" spans="1:90" s="26" customFormat="1" x14ac:dyDescent="0.25">
      <c r="A15" s="17" t="s">
        <v>496</v>
      </c>
      <c r="E15" s="26">
        <f>股权价值增加表!E17</f>
        <v>8440002804.2189178</v>
      </c>
      <c r="F15" s="26">
        <f>股权价值增加表!F17</f>
        <v>7442666850.3505669</v>
      </c>
      <c r="G15" s="26">
        <f>股权价值增加表!G17</f>
        <v>5203117783.8520718</v>
      </c>
      <c r="H15" s="26">
        <f>股权价值增加表!H17</f>
        <v>3009034705.4515781</v>
      </c>
      <c r="I15" s="26">
        <f>股权价值增加表!I17</f>
        <v>3365110109.094727</v>
      </c>
      <c r="J15" s="26">
        <f>股权价值增加表!J17</f>
        <v>1058604945.8276627</v>
      </c>
      <c r="K15" s="26">
        <f>股权价值增加表!K17</f>
        <v>697985289.16376352</v>
      </c>
      <c r="L15" s="26">
        <f>股权价值增加表!L17</f>
        <v>364756082.08341545</v>
      </c>
      <c r="M15" s="26">
        <f>股权价值增加表!M17</f>
        <v>2239648897.2693076</v>
      </c>
      <c r="N15" s="26">
        <f>股权价值增加表!N17</f>
        <v>2708399752.354341</v>
      </c>
      <c r="O15" s="26">
        <f>股权价值增加表!O17</f>
        <v>2058044693.2372947</v>
      </c>
      <c r="P15" s="26">
        <f>股权价值增加表!P17</f>
        <v>1101732759.7042799</v>
      </c>
      <c r="Q15" s="26">
        <f>股权价值增加表!Q17</f>
        <v>2537763380.8743553</v>
      </c>
      <c r="R15" s="26">
        <f>股权价值增加表!R17</f>
        <v>1941030481.9351742</v>
      </c>
      <c r="S15" s="26">
        <f>股权价值增加表!S17</f>
        <v>1247379677.4012947</v>
      </c>
      <c r="T15" s="26">
        <f>股权价值增加表!T17</f>
        <v>854034063.27221417</v>
      </c>
      <c r="U15" s="26">
        <f>股权价值增加表!U17</f>
        <v>3334836942.5248957</v>
      </c>
      <c r="V15" s="26">
        <f>股权价值增加表!V17</f>
        <v>2195575445.7536488</v>
      </c>
      <c r="W15" s="26">
        <f>股权价值增加表!W17</f>
        <v>1353525169.4844794</v>
      </c>
      <c r="X15" s="26">
        <f>股权价值增加表!X17</f>
        <v>537525556.5483259</v>
      </c>
      <c r="Y15" s="26">
        <f>股权价值增加表!Y17</f>
        <v>464285207.93064612</v>
      </c>
      <c r="Z15" s="26">
        <f>股权价值增加表!Z17</f>
        <v>-614254059.63704205</v>
      </c>
      <c r="AA15" s="26">
        <f>股权价值增加表!AA17</f>
        <v>-951183780.50786972</v>
      </c>
      <c r="AB15" s="26">
        <f>股权价值增加表!AB17</f>
        <v>-753112920.12522209</v>
      </c>
      <c r="AC15" s="26">
        <f>股权价值增加表!AC17</f>
        <v>-3129618863.5681486</v>
      </c>
      <c r="AD15" s="26">
        <f>股权价值增加表!AD17</f>
        <v>-2253522775.0244555</v>
      </c>
      <c r="AE15" s="26">
        <f>股权价值增加表!AE17</f>
        <v>-1393654583.6027114</v>
      </c>
      <c r="AF15" s="26">
        <f>股权价值增加表!AF17</f>
        <v>-827021037.73988748</v>
      </c>
      <c r="AG15" s="26">
        <f>股权价值增加表!AG17</f>
        <v>-2357507172.0663438</v>
      </c>
      <c r="AH15" s="26">
        <f>股权价值增加表!AH17</f>
        <v>-1136335373.3708012</v>
      </c>
      <c r="AI15" s="26">
        <f>股权价值增加表!AI17</f>
        <v>-590113056.97636735</v>
      </c>
      <c r="AJ15" s="26">
        <f>股权价值增加表!AJ17</f>
        <v>-333016029.06818485</v>
      </c>
      <c r="AK15" s="26">
        <f>股权价值增加表!AK17</f>
        <v>95652880.938684821</v>
      </c>
      <c r="AL15" s="26">
        <f>股权价值增加表!AL17</f>
        <v>-707937555.98995888</v>
      </c>
      <c r="AM15" s="26">
        <f>股权价值增加表!AM17</f>
        <v>-730681744.38368571</v>
      </c>
      <c r="AN15" s="26">
        <f>股权价值增加表!AN17</f>
        <v>-476281868.05883282</v>
      </c>
      <c r="AO15" s="26">
        <f>股权价值增加表!AO17</f>
        <v>-582237669.79921401</v>
      </c>
      <c r="AP15" s="26">
        <f>股权价值增加表!AP17</f>
        <v>116713077.17702803</v>
      </c>
      <c r="AQ15" s="26">
        <f>股权价值增加表!AQ17</f>
        <v>592318236.44303906</v>
      </c>
      <c r="AR15" s="26">
        <f>股权价值增加表!AR17</f>
        <v>370950408.25364709</v>
      </c>
      <c r="AS15" s="26">
        <f>股权价值增加表!AS17</f>
        <v>1343275535.6527312</v>
      </c>
      <c r="AT15" s="26">
        <f>股权价值增加表!AT17</f>
        <v>559534675.62606108</v>
      </c>
      <c r="AU15" s="26">
        <f>股权价值增加表!AU17</f>
        <v>-4330800.6424479904</v>
      </c>
      <c r="AV15" s="26">
        <f>股权价值增加表!AV17</f>
        <v>-229587185.78366426</v>
      </c>
      <c r="AW15" s="26">
        <f>股权价值增加表!AW17</f>
        <v>-2618053500.9690189</v>
      </c>
      <c r="AX15" s="26">
        <f>股权价值增加表!AX17</f>
        <v>-2355736553.7320809</v>
      </c>
      <c r="AY15" s="26">
        <f>股权价值增加表!AY17</f>
        <v>-1593447053.4566586</v>
      </c>
      <c r="AZ15" s="26">
        <f>股权价值增加表!AZ17</f>
        <v>-455173910.88525003</v>
      </c>
      <c r="BA15" s="26">
        <f>股权价值增加表!BA17</f>
        <v>-1235602520.7956257</v>
      </c>
      <c r="BB15" s="26">
        <f>股权价值增加表!BB17</f>
        <v>-1132918799.4630692</v>
      </c>
      <c r="BC15" s="26">
        <f>股权价值增加表!BC17</f>
        <v>-867574820.85648417</v>
      </c>
      <c r="BD15" s="26">
        <f>股权价值增加表!BD17</f>
        <v>-428605288.42882526</v>
      </c>
      <c r="BE15" s="26">
        <f>股权价值增加表!BE17</f>
        <v>5599435.3641501516</v>
      </c>
      <c r="BF15" s="26">
        <f>股权价值增加表!BF17</f>
        <v>351481569.29087853</v>
      </c>
      <c r="BG15" s="26">
        <f>股权价值增加表!BG17</f>
        <v>409956351.85584092</v>
      </c>
      <c r="BH15" s="26">
        <f>股权价值增加表!BH17</f>
        <v>234267711.42112276</v>
      </c>
      <c r="BI15" s="26">
        <f>股权价值增加表!BI17</f>
        <v>602919567.24638999</v>
      </c>
      <c r="BJ15" s="26">
        <f>股权价值增加表!BJ17</f>
        <v>474972090.48091817</v>
      </c>
      <c r="BK15" s="26">
        <f>股权价值增加表!BK17</f>
        <v>330373435.54101557</v>
      </c>
      <c r="BL15" s="26">
        <f>股权价值增加表!BL17</f>
        <v>163641206.18245506</v>
      </c>
      <c r="BM15" s="26">
        <f>股权价值增加表!BM17</f>
        <v>154232360.56464732</v>
      </c>
      <c r="BN15" s="26">
        <f>股权价值增加表!BN17</f>
        <v>154160666.16998631</v>
      </c>
      <c r="BO15" s="26">
        <f>股权价值增加表!BO17</f>
        <v>121980687.60656637</v>
      </c>
      <c r="BP15" s="26">
        <f>股权价值增加表!BP17</f>
        <v>62358182.080788001</v>
      </c>
      <c r="BQ15" s="26">
        <f>股权价值增加表!BQ17</f>
        <v>119817304.24725404</v>
      </c>
      <c r="BR15" s="26">
        <f>股权价值增加表!BR17</f>
        <v>74644210.762910813</v>
      </c>
      <c r="BS15" s="26">
        <f>股权价值增加表!BS17</f>
        <v>91770685.685967743</v>
      </c>
      <c r="BT15" s="26">
        <f>股权价值增加表!BT17</f>
        <v>46145459.378695339</v>
      </c>
      <c r="BU15" s="26">
        <f>股权价值增加表!BU17</f>
        <v>65093014.045074381</v>
      </c>
      <c r="BV15" s="26">
        <f>股权价值增加表!BV17</f>
        <v>12089914.898409367</v>
      </c>
      <c r="BW15" s="26">
        <f>股权价值增加表!BW17</f>
        <v>19015788.420234885</v>
      </c>
      <c r="BX15" s="26">
        <f>股权价值增加表!BX17</f>
        <v>13462425.212566428</v>
      </c>
      <c r="BY15" s="26">
        <f>股权价值增加表!BY17</f>
        <v>67055813.897372611</v>
      </c>
      <c r="BZ15" s="26">
        <f>股权价值增加表!BZ17</f>
        <v>104971258.97529683</v>
      </c>
      <c r="CA15" s="26">
        <f>股权价值增加表!CA17</f>
        <v>25919671.801513188</v>
      </c>
      <c r="CB15" s="26">
        <f>股权价值增加表!CB17</f>
        <v>13273460.008658726</v>
      </c>
      <c r="CC15" s="26">
        <f>股权价值增加表!CC17</f>
        <v>11600372.524764722</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497</v>
      </c>
      <c r="E16" s="28">
        <f>E14/E15</f>
        <v>3.1122011004391941</v>
      </c>
      <c r="F16" s="28">
        <f t="shared" ref="F16:BQ16" si="8">F14/F15</f>
        <v>2.4844598931804978</v>
      </c>
      <c r="G16" s="28">
        <f t="shared" si="8"/>
        <v>2.0446570129580719</v>
      </c>
      <c r="H16" s="28">
        <f t="shared" si="8"/>
        <v>2.0657953229114159</v>
      </c>
      <c r="I16" s="28">
        <f t="shared" si="8"/>
        <v>2.9934494840972348</v>
      </c>
      <c r="J16" s="28">
        <f t="shared" si="8"/>
        <v>6.185639471843178</v>
      </c>
      <c r="K16" s="28">
        <f t="shared" si="8"/>
        <v>3.9171125773662543</v>
      </c>
      <c r="L16" s="28">
        <f t="shared" si="8"/>
        <v>7.5876855765960052</v>
      </c>
      <c r="M16" s="28">
        <f t="shared" si="8"/>
        <v>4.6852814554076145</v>
      </c>
      <c r="N16" s="28">
        <f t="shared" si="8"/>
        <v>2.8923393218414111</v>
      </c>
      <c r="O16" s="28">
        <f t="shared" si="8"/>
        <v>2.6497925462550769</v>
      </c>
      <c r="P16" s="28">
        <f t="shared" si="8"/>
        <v>2.0899384435278452</v>
      </c>
      <c r="Q16" s="28">
        <f t="shared" si="8"/>
        <v>3.1901421480085674</v>
      </c>
      <c r="R16" s="28">
        <f t="shared" si="8"/>
        <v>2.3925967501396004</v>
      </c>
      <c r="S16" s="28">
        <f t="shared" si="8"/>
        <v>2.6083802397505877</v>
      </c>
      <c r="T16" s="28">
        <f t="shared" si="8"/>
        <v>1.9672341013691992</v>
      </c>
      <c r="U16" s="28">
        <f t="shared" si="8"/>
        <v>2.6857202928844961</v>
      </c>
      <c r="V16" s="28">
        <f t="shared" si="8"/>
        <v>1.9721408591876917</v>
      </c>
      <c r="W16" s="28">
        <f t="shared" si="8"/>
        <v>2.75420763872448</v>
      </c>
      <c r="X16" s="28">
        <f t="shared" si="8"/>
        <v>2.7172503989932366</v>
      </c>
      <c r="Y16" s="28">
        <f t="shared" si="8"/>
        <v>6.6529699250323935</v>
      </c>
      <c r="Z16" s="28">
        <f t="shared" si="8"/>
        <v>-0.65587145852654805</v>
      </c>
      <c r="AA16" s="28">
        <f t="shared" si="8"/>
        <v>-0.12807993838472737</v>
      </c>
      <c r="AB16" s="28">
        <f t="shared" si="8"/>
        <v>5.8750763421563802E-2</v>
      </c>
      <c r="AC16" s="28">
        <f t="shared" si="8"/>
        <v>0.24876215313719693</v>
      </c>
      <c r="AD16" s="28">
        <f t="shared" si="8"/>
        <v>0.46412058382176752</v>
      </c>
      <c r="AE16" s="28">
        <f t="shared" si="8"/>
        <v>0.44070457215608516</v>
      </c>
      <c r="AF16" s="28">
        <f t="shared" si="8"/>
        <v>0.44287709899249006</v>
      </c>
      <c r="AG16" s="28">
        <f t="shared" si="8"/>
        <v>0.44679197861221104</v>
      </c>
      <c r="AH16" s="28">
        <f t="shared" si="8"/>
        <v>0.22478014148438485</v>
      </c>
      <c r="AI16" s="28">
        <f t="shared" si="8"/>
        <v>-5.6127820946226667E-3</v>
      </c>
      <c r="AJ16" s="28">
        <f t="shared" si="8"/>
        <v>-0.1011229672464353</v>
      </c>
      <c r="AK16" s="28">
        <f t="shared" si="8"/>
        <v>8.4682136810832702</v>
      </c>
      <c r="AL16" s="28">
        <f t="shared" si="8"/>
        <v>0.1080121464852538</v>
      </c>
      <c r="AM16" s="28">
        <f t="shared" si="8"/>
        <v>0.24060049857723698</v>
      </c>
      <c r="AN16" s="28">
        <f t="shared" si="8"/>
        <v>0.30948880670341183</v>
      </c>
      <c r="AO16" s="28">
        <f t="shared" si="8"/>
        <v>-1.9373014415040906</v>
      </c>
      <c r="AP16" s="28">
        <f t="shared" si="8"/>
        <v>10.917337121249277</v>
      </c>
      <c r="AQ16" s="28">
        <f t="shared" si="8"/>
        <v>1.7483205906654302</v>
      </c>
      <c r="AR16" s="28">
        <f t="shared" si="8"/>
        <v>2.0454632051009205</v>
      </c>
      <c r="AS16" s="28">
        <f t="shared" si="8"/>
        <v>1.7063501405065136</v>
      </c>
      <c r="AT16" s="28">
        <f t="shared" si="8"/>
        <v>2.5709261528616492</v>
      </c>
      <c r="AU16" s="28">
        <f t="shared" si="8"/>
        <v>-112.76112971202522</v>
      </c>
      <c r="AV16" s="28">
        <f t="shared" si="8"/>
        <v>-1.0121337399856485</v>
      </c>
      <c r="AW16" s="28">
        <f t="shared" si="8"/>
        <v>-0.32203794142783526</v>
      </c>
      <c r="AX16" s="28">
        <f t="shared" si="8"/>
        <v>-0.2119486515624977</v>
      </c>
      <c r="AY16" s="28">
        <f t="shared" si="8"/>
        <v>1.1351578931199167E-3</v>
      </c>
      <c r="AZ16" s="28">
        <f t="shared" si="8"/>
        <v>-0.22162703438737219</v>
      </c>
      <c r="BA16" s="28">
        <f t="shared" si="8"/>
        <v>0.7960153920426366</v>
      </c>
      <c r="BB16" s="28">
        <f t="shared" si="8"/>
        <v>0.68219913686337774</v>
      </c>
      <c r="BC16" s="28">
        <f t="shared" si="8"/>
        <v>0.49266031208471939</v>
      </c>
      <c r="BD16" s="28">
        <f t="shared" si="8"/>
        <v>0.12603865248146784</v>
      </c>
      <c r="BE16" s="28">
        <f t="shared" si="8"/>
        <v>37.096729132710792</v>
      </c>
      <c r="BF16" s="28">
        <f t="shared" si="8"/>
        <v>0.98623104599583311</v>
      </c>
      <c r="BG16" s="28">
        <f t="shared" si="8"/>
        <v>0.53181264020679353</v>
      </c>
      <c r="BH16" s="28">
        <f t="shared" si="8"/>
        <v>1.4627366893255225</v>
      </c>
      <c r="BI16" s="28">
        <f t="shared" si="8"/>
        <v>1.239862685853933</v>
      </c>
      <c r="BJ16" s="28">
        <f t="shared" si="8"/>
        <v>1.9619372814231437</v>
      </c>
      <c r="BK16" s="28">
        <f t="shared" si="8"/>
        <v>1.9029164815279187</v>
      </c>
      <c r="BL16" s="28">
        <f t="shared" si="8"/>
        <v>1.4726344798590056</v>
      </c>
      <c r="BM16" s="28">
        <f t="shared" si="8"/>
        <v>1.4113788390650881</v>
      </c>
      <c r="BN16" s="28">
        <f t="shared" si="8"/>
        <v>0.28333974693542208</v>
      </c>
      <c r="BO16" s="28">
        <f t="shared" si="8"/>
        <v>3.252279223737089</v>
      </c>
      <c r="BP16" s="28">
        <f t="shared" si="8"/>
        <v>4.6566207235451618</v>
      </c>
      <c r="BQ16" s="28">
        <f t="shared" si="8"/>
        <v>-1.4759343244367213</v>
      </c>
      <c r="BR16" s="28">
        <f t="shared" ref="BR16:CL16" si="9">BR14/BR15</f>
        <v>-0.70407521846441146</v>
      </c>
      <c r="BS16" s="28">
        <f t="shared" si="9"/>
        <v>-0.48747965284997802</v>
      </c>
      <c r="BT16" s="28">
        <f t="shared" si="9"/>
        <v>1.0146177030283523</v>
      </c>
      <c r="BU16" s="28">
        <f t="shared" si="9"/>
        <v>0</v>
      </c>
      <c r="BV16" s="28">
        <f t="shared" si="9"/>
        <v>0</v>
      </c>
      <c r="BW16" s="28">
        <f t="shared" si="9"/>
        <v>0</v>
      </c>
      <c r="BX16" s="28">
        <f t="shared" si="9"/>
        <v>0</v>
      </c>
      <c r="BY16" s="28">
        <f t="shared" si="9"/>
        <v>0</v>
      </c>
      <c r="BZ16" s="28">
        <f t="shared" si="9"/>
        <v>0</v>
      </c>
      <c r="CA16" s="28">
        <f t="shared" si="9"/>
        <v>0</v>
      </c>
      <c r="CB16" s="28">
        <f t="shared" si="9"/>
        <v>0</v>
      </c>
      <c r="CC16" s="28">
        <f t="shared" si="9"/>
        <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316" customFormat="1" x14ac:dyDescent="0.25">
      <c r="A17" s="315" t="s">
        <v>498</v>
      </c>
      <c r="E17" s="316">
        <f>股权价值增加表!E42</f>
        <v>7038552583</v>
      </c>
      <c r="F17" s="316">
        <f>股权价值增加表!F42</f>
        <v>6300591592</v>
      </c>
      <c r="G17" s="316">
        <f>股权价值增加表!G42</f>
        <v>4305256684</v>
      </c>
      <c r="H17" s="316">
        <f>股权价值增加表!H42</f>
        <v>2627399119</v>
      </c>
      <c r="I17" s="316">
        <f>股权价值增加表!I42</f>
        <v>1267512388</v>
      </c>
      <c r="J17" s="316">
        <f>股权价值增加表!J42</f>
        <v>137192696</v>
      </c>
      <c r="K17" s="316">
        <f>股权价值增加表!K42</f>
        <v>-613843977</v>
      </c>
      <c r="L17" s="316">
        <f>股权价值增加表!L42</f>
        <v>52394412</v>
      </c>
      <c r="M17" s="316">
        <f>股权价值增加表!M42</f>
        <v>817552076</v>
      </c>
      <c r="N17" s="316">
        <f>股权价值增加表!N42</f>
        <v>1938753004</v>
      </c>
      <c r="O17" s="316">
        <f>股权价值增加表!O42</f>
        <v>2024596916</v>
      </c>
      <c r="P17" s="316">
        <f>股权价值增加表!P42</f>
        <v>1031450851</v>
      </c>
      <c r="Q17" s="316">
        <f>股权价值增加表!Q42</f>
        <v>2883138105</v>
      </c>
      <c r="R17" s="316">
        <f>股权价值增加表!R42</f>
        <v>2003637503</v>
      </c>
      <c r="S17" s="316">
        <f>股权价值增加表!S42</f>
        <v>1135753411</v>
      </c>
      <c r="T17" s="316">
        <f>股权价值增加表!T42</f>
        <v>658584430</v>
      </c>
      <c r="U17" s="316">
        <f>股权价值增加表!U42</f>
        <v>3226004794</v>
      </c>
      <c r="V17" s="316">
        <f>股权价值增加表!V42</f>
        <v>1816540346</v>
      </c>
      <c r="W17" s="316">
        <f>股权价值增加表!W42</f>
        <v>1174801041</v>
      </c>
      <c r="X17" s="316">
        <f>股权价值增加表!X42</f>
        <v>403023554</v>
      </c>
      <c r="Y17" s="316">
        <f>股权价值增加表!Y42</f>
        <v>388242751</v>
      </c>
      <c r="Z17" s="316">
        <f>股权价值增加表!Z42</f>
        <v>-912990435</v>
      </c>
      <c r="AA17" s="316">
        <f>股权价值增加表!AA42</f>
        <v>-1063032488</v>
      </c>
      <c r="AB17" s="316">
        <f>股权价值增加表!AB42</f>
        <v>-727498725</v>
      </c>
      <c r="AC17" s="316">
        <f>股权价值增加表!AC42</f>
        <v>879465955</v>
      </c>
      <c r="AD17" s="316">
        <f>股权价值增加表!AD42</f>
        <v>-2379942865</v>
      </c>
      <c r="AE17" s="316">
        <f>股权价值增加表!AE42</f>
        <v>-1347525135</v>
      </c>
      <c r="AF17" s="316">
        <f>股权价值增加表!AF42</f>
        <v>-747351679</v>
      </c>
      <c r="AG17" s="316">
        <f>股权价值增加表!AG42</f>
        <v>-2269485522</v>
      </c>
      <c r="AH17" s="316">
        <f>股权价值增加表!AH42</f>
        <v>-1170371868</v>
      </c>
      <c r="AI17" s="316">
        <f>股权价值增加表!AI42</f>
        <v>-653432394</v>
      </c>
      <c r="AJ17" s="316">
        <f>股权价值增加表!AJ42</f>
        <v>-319557781</v>
      </c>
      <c r="AK17" s="316">
        <f>股权价值增加表!AK42</f>
        <v>188141799</v>
      </c>
      <c r="AL17" s="316">
        <f>股权价值增加表!AL42</f>
        <v>-941173925</v>
      </c>
      <c r="AM17" s="316">
        <f>股权价值增加表!AM42</f>
        <v>-919127940</v>
      </c>
      <c r="AN17" s="316">
        <f>股权价值增加表!AN42</f>
        <v>-517014062</v>
      </c>
      <c r="AO17" s="316">
        <f>股权价值增加表!AO42</f>
        <v>-954196922</v>
      </c>
      <c r="AP17" s="316">
        <f>股权价值增加表!AP42</f>
        <v>103304631</v>
      </c>
      <c r="AQ17" s="316">
        <f>股权价值增加表!AQ42</f>
        <v>627370921</v>
      </c>
      <c r="AR17" s="316">
        <f>股权价值增加表!AR42</f>
        <v>379964211</v>
      </c>
      <c r="AS17" s="316">
        <f>股权价值增加表!AS42</f>
        <v>897106952</v>
      </c>
      <c r="AT17" s="316">
        <f>股权价值增加表!AT42</f>
        <v>562830280</v>
      </c>
      <c r="AU17" s="316">
        <f>股权价值增加表!AU42</f>
        <v>36312079</v>
      </c>
      <c r="AV17" s="316">
        <f>股权价值增加表!AV42</f>
        <v>-118101845</v>
      </c>
      <c r="AW17" s="316">
        <f>股权价值增加表!AW42</f>
        <v>-3087206716</v>
      </c>
      <c r="AX17" s="316">
        <f>股权价值增加表!AX42</f>
        <v>-2762938571</v>
      </c>
      <c r="AY17" s="316">
        <f>股权价值增加表!AY42</f>
        <v>-1852788861</v>
      </c>
      <c r="AZ17" s="316">
        <f>股权价值增加表!AZ42</f>
        <v>-532506637</v>
      </c>
      <c r="BA17" s="316">
        <f>股权价值增加表!BA42</f>
        <v>-1593443504</v>
      </c>
      <c r="BB17" s="316">
        <f>股权价值增加表!BB42</f>
        <v>-1321984082</v>
      </c>
      <c r="BC17" s="316">
        <f>股权价值增加表!BC42</f>
        <v>-974319007</v>
      </c>
      <c r="BD17" s="316">
        <f>股权价值增加表!BD42</f>
        <v>-444777251</v>
      </c>
      <c r="BE17" s="316">
        <f>股权价值增加表!BE42</f>
        <v>264977018</v>
      </c>
      <c r="BF17" s="316">
        <f>股权价值增加表!BF42</f>
        <v>486792977.39999962</v>
      </c>
      <c r="BG17" s="316">
        <f>股权价值增加表!BG42</f>
        <v>531690954.05999994</v>
      </c>
      <c r="BH17" s="316">
        <f>股权价值增加表!BH42</f>
        <v>288619753.22999978</v>
      </c>
      <c r="BI17" s="316">
        <f>股权价值增加表!BI42</f>
        <v>403132635</v>
      </c>
      <c r="BJ17" s="316">
        <f>股权价值增加表!BJ42</f>
        <v>311331340.37000036</v>
      </c>
      <c r="BK17" s="316">
        <f>股权价值增加表!BK42</f>
        <v>190252547.5800001</v>
      </c>
      <c r="BL17" s="316">
        <f>股权价值增加表!BL42</f>
        <v>51422757.899999991</v>
      </c>
      <c r="BM17" s="316">
        <f>股权价值增加表!BM42</f>
        <v>154107478</v>
      </c>
      <c r="BN17" s="316">
        <f>股权价值增加表!BN42</f>
        <v>139206343.29999983</v>
      </c>
      <c r="BO17" s="316">
        <f>股权价值增加表!BO42</f>
        <v>110758358.69999996</v>
      </c>
      <c r="BP17" s="316">
        <f>股权价值增加表!BP42</f>
        <v>52381039.249999955</v>
      </c>
      <c r="BQ17" s="316">
        <f>股权价值增加表!BQ42</f>
        <v>90081250</v>
      </c>
      <c r="BR17" s="316">
        <f>股权价值增加表!BR42</f>
        <v>76256673.36999996</v>
      </c>
      <c r="BS17" s="316">
        <f>股权价值增加表!BS42</f>
        <v>119922615</v>
      </c>
      <c r="BT17" s="316">
        <f>股权价值增加表!BT42</f>
        <v>64753676</v>
      </c>
      <c r="BU17" s="316">
        <f>股权价值增加表!BU42</f>
        <v>100655888</v>
      </c>
      <c r="BV17" s="316">
        <f>股权价值增加表!BV42</f>
        <v>19808380.650000006</v>
      </c>
      <c r="BW17" s="316">
        <f>股权价值增加表!BW42</f>
        <v>60142000</v>
      </c>
      <c r="BX17" s="316">
        <f>股权价值增加表!BX42</f>
        <v>34213674.039999999</v>
      </c>
      <c r="BY17" s="316">
        <f>股权价值增加表!BY42</f>
        <v>130995000</v>
      </c>
      <c r="BZ17" s="316">
        <f>股权价值增加表!BZ42</f>
        <v>134323000</v>
      </c>
      <c r="CA17" s="316">
        <f>股权价值增加表!CA42</f>
        <v>114435000</v>
      </c>
      <c r="CB17" s="316">
        <f>股权价值增加表!CB42</f>
        <v>107761000</v>
      </c>
      <c r="CC17" s="316">
        <f>股权价值增加表!CC42</f>
        <v>100586000</v>
      </c>
      <c r="CD17" s="316">
        <f>股权价值增加表!CD42</f>
        <v>0</v>
      </c>
      <c r="CE17" s="316">
        <f>股权价值增加表!CE42</f>
        <v>-20081000</v>
      </c>
      <c r="CF17" s="316">
        <f>股权价值增加表!CF42</f>
        <v>-14354563.84</v>
      </c>
      <c r="CG17" s="316">
        <f>股权价值增加表!CG42</f>
        <v>-4330000</v>
      </c>
      <c r="CH17" s="316">
        <f>股权价值增加表!CH42</f>
        <v>-4220000</v>
      </c>
      <c r="CI17" s="316">
        <f>股权价值增加表!CI42</f>
        <v>-12510000</v>
      </c>
      <c r="CJ17" s="316">
        <f>股权价值增加表!CJ42</f>
        <v>-3630000</v>
      </c>
      <c r="CK17" s="316">
        <f>股权价值增加表!CK42</f>
        <v>0</v>
      </c>
      <c r="CL17" s="316">
        <f>股权价值增加表!CL42</f>
        <v>0</v>
      </c>
    </row>
    <row r="18" spans="1:90" s="28" customFormat="1" x14ac:dyDescent="0.25">
      <c r="A18" s="20" t="s">
        <v>499</v>
      </c>
      <c r="E18" s="28">
        <f>E14/E17</f>
        <v>3.7318732374667265</v>
      </c>
      <c r="F18" s="28">
        <f t="shared" ref="F18:BQ18" si="10">F14/F17</f>
        <v>2.9348049334729835</v>
      </c>
      <c r="G18" s="28">
        <f t="shared" si="10"/>
        <v>2.4710701467666545</v>
      </c>
      <c r="H18" s="28">
        <f t="shared" si="10"/>
        <v>2.3658567044682028</v>
      </c>
      <c r="I18" s="28">
        <f t="shared" si="10"/>
        <v>7.9472888907181236</v>
      </c>
      <c r="J18" s="28">
        <f t="shared" si="10"/>
        <v>47.729571099032853</v>
      </c>
      <c r="K18" s="28">
        <f t="shared" si="10"/>
        <v>-4.4540421628996452</v>
      </c>
      <c r="L18" s="28">
        <f t="shared" si="10"/>
        <v>52.823466422335265</v>
      </c>
      <c r="M18" s="28">
        <f t="shared" si="10"/>
        <v>12.835127881199337</v>
      </c>
      <c r="N18" s="28">
        <f t="shared" si="10"/>
        <v>4.0405410523351017</v>
      </c>
      <c r="O18" s="28">
        <f t="shared" si="10"/>
        <v>2.6935689987981783</v>
      </c>
      <c r="P18" s="28">
        <f t="shared" si="10"/>
        <v>2.2323445143000806</v>
      </c>
      <c r="Q18" s="28">
        <f t="shared" si="10"/>
        <v>2.8079910251125484</v>
      </c>
      <c r="R18" s="28">
        <f t="shared" si="10"/>
        <v>2.3178360437187324</v>
      </c>
      <c r="S18" s="28">
        <f t="shared" si="10"/>
        <v>2.8647420034030611</v>
      </c>
      <c r="T18" s="28">
        <f t="shared" si="10"/>
        <v>2.551054741758775</v>
      </c>
      <c r="U18" s="28">
        <f t="shared" si="10"/>
        <v>2.7763254619639599</v>
      </c>
      <c r="V18" s="28">
        <f t="shared" si="10"/>
        <v>2.3836432015036566</v>
      </c>
      <c r="W18" s="28">
        <f t="shared" si="10"/>
        <v>3.1732091059663947</v>
      </c>
      <c r="X18" s="28">
        <f t="shared" si="10"/>
        <v>3.6240847923245698</v>
      </c>
      <c r="Y18" s="28">
        <f t="shared" si="10"/>
        <v>7.9560417214331967</v>
      </c>
      <c r="Z18" s="28">
        <f t="shared" si="10"/>
        <v>-0.44126607525740397</v>
      </c>
      <c r="AA18" s="28">
        <f t="shared" si="10"/>
        <v>-0.11460379750877378</v>
      </c>
      <c r="AB18" s="28">
        <f t="shared" si="10"/>
        <v>6.081929421938162E-2</v>
      </c>
      <c r="AC18" s="28">
        <f t="shared" si="10"/>
        <v>-0.88523122762608819</v>
      </c>
      <c r="AD18" s="28">
        <f t="shared" si="10"/>
        <v>0.43946698106973253</v>
      </c>
      <c r="AE18" s="28">
        <f t="shared" si="10"/>
        <v>0.45579108771132493</v>
      </c>
      <c r="AF18" s="28">
        <f t="shared" si="10"/>
        <v>0.49008878723613597</v>
      </c>
      <c r="AG18" s="28">
        <f t="shared" si="10"/>
        <v>0.46412073740473064</v>
      </c>
      <c r="AH18" s="28">
        <f t="shared" si="10"/>
        <v>0.21824313535191706</v>
      </c>
      <c r="AI18" s="28">
        <f t="shared" si="10"/>
        <v>-5.0688885803846446E-3</v>
      </c>
      <c r="AJ18" s="28">
        <f t="shared" si="10"/>
        <v>-0.10538178383457983</v>
      </c>
      <c r="AK18" s="28">
        <f t="shared" si="10"/>
        <v>4.3053114156732395</v>
      </c>
      <c r="AL18" s="28">
        <f t="shared" si="10"/>
        <v>8.1245190680351673E-2</v>
      </c>
      <c r="AM18" s="28">
        <f t="shared" si="10"/>
        <v>0.19127086050718903</v>
      </c>
      <c r="AN18" s="28">
        <f t="shared" si="10"/>
        <v>0.28510618537102767</v>
      </c>
      <c r="AO18" s="28">
        <f t="shared" si="10"/>
        <v>-1.1821143529113165</v>
      </c>
      <c r="AP18" s="28">
        <f t="shared" si="10"/>
        <v>12.33435517522927</v>
      </c>
      <c r="AQ18" s="28">
        <f t="shared" si="10"/>
        <v>1.6506378194089106</v>
      </c>
      <c r="AR18" s="28">
        <f t="shared" si="10"/>
        <v>1.9969391564617647</v>
      </c>
      <c r="AS18" s="28">
        <f t="shared" si="10"/>
        <v>2.5549890053688937</v>
      </c>
      <c r="AT18" s="28">
        <f t="shared" si="10"/>
        <v>2.5558723155406633</v>
      </c>
      <c r="AU18" s="28">
        <f t="shared" si="10"/>
        <v>13.448582026933792</v>
      </c>
      <c r="AV18" s="28">
        <f t="shared" si="10"/>
        <v>-1.9675639868284869</v>
      </c>
      <c r="AW18" s="28">
        <f t="shared" si="10"/>
        <v>-0.27309883579561378</v>
      </c>
      <c r="AX18" s="28">
        <f t="shared" si="10"/>
        <v>-0.18071164927104708</v>
      </c>
      <c r="AY18" s="28">
        <f t="shared" si="10"/>
        <v>9.7626558431689536E-4</v>
      </c>
      <c r="AZ18" s="28">
        <f t="shared" si="10"/>
        <v>-0.18944147732753985</v>
      </c>
      <c r="BA18" s="28">
        <f t="shared" si="10"/>
        <v>0.61725352830582692</v>
      </c>
      <c r="BB18" s="28">
        <f t="shared" si="10"/>
        <v>0.58463353504282212</v>
      </c>
      <c r="BC18" s="28">
        <f t="shared" si="10"/>
        <v>0.43868556286924615</v>
      </c>
      <c r="BD18" s="28">
        <f t="shared" si="10"/>
        <v>0.1214559262609409</v>
      </c>
      <c r="BE18" s="28">
        <f t="shared" si="10"/>
        <v>0.783919822812709</v>
      </c>
      <c r="BF18" s="28">
        <f t="shared" si="10"/>
        <v>0.71209333705149769</v>
      </c>
      <c r="BG18" s="28">
        <f t="shared" si="10"/>
        <v>0.41005017705341101</v>
      </c>
      <c r="BH18" s="28">
        <f t="shared" si="10"/>
        <v>1.1872783230707229</v>
      </c>
      <c r="BI18" s="28">
        <f t="shared" si="10"/>
        <v>1.8543214046662335</v>
      </c>
      <c r="BJ18" s="28">
        <f t="shared" si="10"/>
        <v>2.9931630103237556</v>
      </c>
      <c r="BK18" s="28">
        <f t="shared" si="10"/>
        <v>3.304413336623766</v>
      </c>
      <c r="BL18" s="28">
        <f t="shared" si="10"/>
        <v>4.6863235732831061</v>
      </c>
      <c r="BM18" s="28">
        <f t="shared" si="10"/>
        <v>1.4125225642846482</v>
      </c>
      <c r="BN18" s="28">
        <f t="shared" si="10"/>
        <v>0.3137776850144447</v>
      </c>
      <c r="BO18" s="28">
        <f t="shared" si="10"/>
        <v>3.5818087289876042</v>
      </c>
      <c r="BP18" s="28">
        <f t="shared" si="10"/>
        <v>5.5435784993517521</v>
      </c>
      <c r="BQ18" s="28">
        <f t="shared" si="10"/>
        <v>-1.963144072712135</v>
      </c>
      <c r="BR18" s="28">
        <f t="shared" ref="BR18:CK18" si="11">BR14/BR17</f>
        <v>-0.6891874071794436</v>
      </c>
      <c r="BS18" s="28">
        <f t="shared" si="11"/>
        <v>-0.37304341637313365</v>
      </c>
      <c r="BT18" s="28">
        <f t="shared" si="11"/>
        <v>0.72304775407654076</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500</v>
      </c>
      <c r="E19" s="26">
        <f>现金流量表!E48</f>
        <v>2229524682</v>
      </c>
      <c r="F19" s="26">
        <f>现金流量表!F48</f>
        <v>0</v>
      </c>
      <c r="G19" s="26">
        <f>现金流量表!G48</f>
        <v>1423446130</v>
      </c>
      <c r="H19" s="26">
        <f>现金流量表!H48</f>
        <v>0</v>
      </c>
      <c r="I19" s="26">
        <f>现金流量表!I48</f>
        <v>1594488553</v>
      </c>
      <c r="J19" s="26">
        <f>现金流量表!J48</f>
        <v>0</v>
      </c>
      <c r="K19" s="26">
        <f>现金流量表!K48</f>
        <v>514822946</v>
      </c>
      <c r="L19" s="26">
        <f>现金流量表!L48</f>
        <v>0</v>
      </c>
      <c r="M19" s="26">
        <f>现金流量表!M48</f>
        <v>1364500152</v>
      </c>
      <c r="N19" s="26">
        <f>现金流量表!N48</f>
        <v>0</v>
      </c>
      <c r="O19" s="26">
        <f>现金流量表!O48</f>
        <v>497321170</v>
      </c>
      <c r="P19" s="26">
        <f>现金流量表!P48</f>
        <v>0</v>
      </c>
      <c r="Q19" s="26">
        <f>现金流量表!Q48</f>
        <v>1211771939</v>
      </c>
      <c r="R19" s="26">
        <f>现金流量表!R48</f>
        <v>0</v>
      </c>
      <c r="S19" s="26">
        <f>现金流量表!S48</f>
        <v>385176764</v>
      </c>
      <c r="T19" s="26">
        <f>现金流量表!T48</f>
        <v>0</v>
      </c>
      <c r="U19" s="26">
        <f>现金流量表!U48</f>
        <v>913797501</v>
      </c>
      <c r="V19" s="26">
        <f>现金流量表!V48</f>
        <v>0</v>
      </c>
      <c r="W19" s="26">
        <f>现金流量表!W48</f>
        <v>519693766</v>
      </c>
      <c r="X19" s="26">
        <f>现金流量表!X48</f>
        <v>0</v>
      </c>
      <c r="Y19" s="26">
        <f>现金流量表!Y48</f>
        <v>438799442</v>
      </c>
      <c r="Z19" s="26">
        <f>现金流量表!Z48</f>
        <v>0</v>
      </c>
      <c r="AA19" s="26">
        <f>现金流量表!AA48</f>
        <v>-11889069</v>
      </c>
      <c r="AB19" s="26">
        <f>现金流量表!AB48</f>
        <v>0</v>
      </c>
      <c r="AC19" s="26">
        <f>现金流量表!AC48</f>
        <v>1380457807</v>
      </c>
      <c r="AD19" s="26">
        <f>现金流量表!AD48</f>
        <v>0</v>
      </c>
      <c r="AE19" s="26">
        <f>现金流量表!AE48</f>
        <v>58778909</v>
      </c>
      <c r="AF19" s="26">
        <f>现金流量表!AF48</f>
        <v>0</v>
      </c>
      <c r="AG19" s="26">
        <f>现金流量表!AG48</f>
        <v>454631810</v>
      </c>
      <c r="AH19" s="26">
        <f>现金流量表!AH48</f>
        <v>0</v>
      </c>
      <c r="AI19" s="26">
        <f>现金流量表!AI48</f>
        <v>26528431</v>
      </c>
      <c r="AJ19" s="26">
        <f>现金流量表!AJ48</f>
        <v>0</v>
      </c>
      <c r="AK19" s="26">
        <f>现金流量表!AK48</f>
        <v>89200303</v>
      </c>
      <c r="AL19" s="26">
        <f>现金流量表!AL48</f>
        <v>0</v>
      </c>
      <c r="AM19" s="26">
        <f>现金流量表!AM48</f>
        <v>-136237477</v>
      </c>
      <c r="AN19" s="26">
        <f>现金流量表!AN48</f>
        <v>0</v>
      </c>
      <c r="AO19" s="26">
        <f>现金流量表!AO48</f>
        <v>312504311</v>
      </c>
      <c r="AP19" s="26">
        <f>现金流量表!AP48</f>
        <v>0</v>
      </c>
      <c r="AQ19" s="26">
        <f>现金流量表!AQ48</f>
        <v>2568398</v>
      </c>
      <c r="AR19" s="26">
        <f>现金流量表!AR48</f>
        <v>0</v>
      </c>
      <c r="AS19" s="26">
        <f>现金流量表!AS48</f>
        <v>119783374</v>
      </c>
      <c r="AT19" s="26">
        <f>现金流量表!AT48</f>
        <v>0</v>
      </c>
      <c r="AU19" s="26">
        <f>现金流量表!AU48</f>
        <v>-65480802</v>
      </c>
      <c r="AV19" s="26">
        <f>现金流量表!AV48</f>
        <v>0</v>
      </c>
      <c r="AW19" s="26">
        <f>现金流量表!AW48</f>
        <v>593265798</v>
      </c>
      <c r="AX19" s="26">
        <f>现金流量表!AX48</f>
        <v>149994744</v>
      </c>
      <c r="AY19" s="26">
        <f>现金流量表!AY48</f>
        <v>256703078</v>
      </c>
      <c r="AZ19" s="26">
        <f>现金流量表!AZ48</f>
        <v>326492</v>
      </c>
      <c r="BA19" s="26">
        <f>现金流量表!BA48</f>
        <v>242868597</v>
      </c>
      <c r="BB19" s="26">
        <f>现金流量表!BB48</f>
        <v>29104754.039999999</v>
      </c>
      <c r="BC19" s="26">
        <f>现金流量表!BC48</f>
        <v>114372316</v>
      </c>
      <c r="BD19" s="26">
        <f>现金流量表!BD48</f>
        <v>-1678187</v>
      </c>
      <c r="BE19" s="26">
        <f>现金流量表!BE48</f>
        <v>114775762</v>
      </c>
      <c r="BF19" s="26">
        <f>现金流量表!BF48</f>
        <v>10702334.970000001</v>
      </c>
      <c r="BG19" s="26">
        <f>现金流量表!BG48</f>
        <v>10168570.960000001</v>
      </c>
      <c r="BH19" s="26">
        <f>现金流量表!BH48</f>
        <v>30470603.800000001</v>
      </c>
      <c r="BI19" s="26">
        <f>现金流量表!BI48</f>
        <v>109183427</v>
      </c>
      <c r="BJ19" s="26">
        <f>现金流量表!BJ48</f>
        <v>69357995.659999996</v>
      </c>
      <c r="BK19" s="26">
        <f>现金流量表!BK48</f>
        <v>10315807.609999999</v>
      </c>
      <c r="BL19" s="26">
        <f>现金流量表!BL48</f>
        <v>0</v>
      </c>
      <c r="BM19" s="26">
        <f>现金流量表!BM48</f>
        <v>28357547</v>
      </c>
      <c r="BN19" s="26">
        <f>现金流量表!BN48</f>
        <v>2242900.7599999998</v>
      </c>
      <c r="BO19" s="26">
        <f>现金流量表!BO48</f>
        <v>13687486</v>
      </c>
      <c r="BP19" s="26">
        <f>现金流量表!BP48</f>
        <v>535905.79</v>
      </c>
      <c r="BQ19" s="26">
        <f>现金流量表!BQ48</f>
        <v>11385968</v>
      </c>
      <c r="BR19" s="26">
        <f>现金流量表!BR48</f>
        <v>1289893</v>
      </c>
      <c r="BS19" s="26">
        <f>现金流量表!BS48</f>
        <v>517392</v>
      </c>
      <c r="BT19" s="26">
        <f>现金流量表!BT48</f>
        <v>3316000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501</v>
      </c>
      <c r="E20" s="26">
        <f>现金流量表!E49</f>
        <v>11582379561</v>
      </c>
      <c r="F20" s="26">
        <f>现金流量表!F49</f>
        <v>0</v>
      </c>
      <c r="G20" s="26">
        <f>现金流量表!G49</f>
        <v>5464374990</v>
      </c>
      <c r="H20" s="26">
        <f>现金流量表!H49</f>
        <v>0</v>
      </c>
      <c r="I20" s="26">
        <f>现金流量表!I49</f>
        <v>10043152205</v>
      </c>
      <c r="J20" s="26">
        <f>现金流量表!J49</f>
        <v>0</v>
      </c>
      <c r="K20" s="26">
        <f>现金流量表!K49</f>
        <v>4809870880</v>
      </c>
      <c r="L20" s="26">
        <f>现金流量表!L49</f>
        <v>0</v>
      </c>
      <c r="M20" s="26">
        <f>现金流量表!M49</f>
        <v>7799457709</v>
      </c>
      <c r="N20" s="26">
        <f>现金流量表!N49</f>
        <v>0</v>
      </c>
      <c r="O20" s="26">
        <f>现金流量表!O49</f>
        <v>3590977357</v>
      </c>
      <c r="P20" s="26">
        <f>现金流量表!P49</f>
        <v>0</v>
      </c>
      <c r="Q20" s="26">
        <f>现金流量表!Q49</f>
        <v>5523726587</v>
      </c>
      <c r="R20" s="26">
        <f>现金流量表!R49</f>
        <v>0</v>
      </c>
      <c r="S20" s="26">
        <f>现金流量表!S49</f>
        <v>2318091904</v>
      </c>
      <c r="T20" s="26">
        <f>现金流量表!T49</f>
        <v>0</v>
      </c>
      <c r="U20" s="26">
        <f>现金流量表!U49</f>
        <v>4392643733</v>
      </c>
      <c r="V20" s="26">
        <f>现金流量表!V49</f>
        <v>0</v>
      </c>
      <c r="W20" s="26">
        <f>现金流量表!W49</f>
        <v>2144349551</v>
      </c>
      <c r="X20" s="26">
        <f>现金流量表!X49</f>
        <v>0</v>
      </c>
      <c r="Y20" s="26">
        <f>现金流量表!Y49</f>
        <v>3765248130</v>
      </c>
      <c r="Z20" s="26">
        <f>现金流量表!Z49</f>
        <v>0</v>
      </c>
      <c r="AA20" s="26">
        <f>现金流量表!AA49</f>
        <v>1833011576</v>
      </c>
      <c r="AB20" s="26">
        <f>现金流量表!AB49</f>
        <v>0</v>
      </c>
      <c r="AC20" s="26">
        <f>现金流量表!AC49</f>
        <v>2801104086</v>
      </c>
      <c r="AD20" s="26">
        <f>现金流量表!AD49</f>
        <v>0</v>
      </c>
      <c r="AE20" s="26">
        <f>现金流量表!AE49</f>
        <v>1244059211</v>
      </c>
      <c r="AF20" s="26">
        <f>现金流量表!AF49</f>
        <v>0</v>
      </c>
      <c r="AG20" s="26">
        <f>现金流量表!AG49</f>
        <v>1681547740</v>
      </c>
      <c r="AH20" s="26">
        <f>现金流量表!AH49</f>
        <v>0</v>
      </c>
      <c r="AI20" s="26">
        <f>现金流量表!AI49</f>
        <v>757080608</v>
      </c>
      <c r="AJ20" s="26">
        <f>现金流量表!AJ49</f>
        <v>0</v>
      </c>
      <c r="AK20" s="26">
        <f>现金流量表!AK49</f>
        <v>1215123651</v>
      </c>
      <c r="AL20" s="26">
        <f>现金流量表!AL49</f>
        <v>0</v>
      </c>
      <c r="AM20" s="26">
        <f>现金流量表!AM49</f>
        <v>579853714</v>
      </c>
      <c r="AN20" s="26">
        <f>现金流量表!AN49</f>
        <v>0</v>
      </c>
      <c r="AO20" s="26">
        <f>现金流量表!AO49</f>
        <v>1096143768</v>
      </c>
      <c r="AP20" s="26">
        <f>现金流量表!AP49</f>
        <v>0</v>
      </c>
      <c r="AQ20" s="26">
        <f>现金流量表!AQ49</f>
        <v>536471809</v>
      </c>
      <c r="AR20" s="26">
        <f>现金流量表!AR49</f>
        <v>0</v>
      </c>
      <c r="AS20" s="26">
        <f>现金流量表!AS49</f>
        <v>1093023844</v>
      </c>
      <c r="AT20" s="26">
        <f>现金流量表!AT49</f>
        <v>0</v>
      </c>
      <c r="AU20" s="26">
        <f>现金流量表!AU49</f>
        <v>540837241</v>
      </c>
      <c r="AV20" s="26">
        <f>现金流量表!AV49</f>
        <v>0</v>
      </c>
      <c r="AW20" s="26">
        <f>现金流量表!AW49</f>
        <v>1565741427</v>
      </c>
      <c r="AX20" s="26">
        <f>现金流量表!AX49</f>
        <v>1293820003</v>
      </c>
      <c r="AY20" s="26">
        <f>现金流量表!AY49</f>
        <v>916200274</v>
      </c>
      <c r="AZ20" s="26">
        <f>现金流量表!AZ49</f>
        <v>504119199</v>
      </c>
      <c r="BA20" s="26">
        <f>现金流量表!BA49</f>
        <v>1221156417</v>
      </c>
      <c r="BB20" s="26">
        <f>现金流量表!BB49</f>
        <v>764430938.20000005</v>
      </c>
      <c r="BC20" s="26">
        <f>现金流量表!BC49</f>
        <v>414714313</v>
      </c>
      <c r="BD20" s="26">
        <f>现金流量表!BD49</f>
        <v>211183270</v>
      </c>
      <c r="BE20" s="26">
        <f>现金流量表!BE49</f>
        <v>711936782</v>
      </c>
      <c r="BF20" s="26">
        <f>现金流量表!BF49</f>
        <v>514992427.41000003</v>
      </c>
      <c r="BG20" s="26">
        <f>现金流量表!BG49</f>
        <v>333154416.35000002</v>
      </c>
      <c r="BH20" s="26">
        <f>现金流量表!BH49</f>
        <v>151576011.08000001</v>
      </c>
      <c r="BI20" s="26">
        <f>现金流量表!BI49</f>
        <v>614559213</v>
      </c>
      <c r="BJ20" s="26">
        <f>现金流量表!BJ49</f>
        <v>414915940.26999998</v>
      </c>
      <c r="BK20" s="26">
        <f>现金流量表!BK49</f>
        <v>277321185.56999999</v>
      </c>
      <c r="BL20" s="26">
        <f>现金流量表!BL49</f>
        <v>112488230.64</v>
      </c>
      <c r="BM20" s="26">
        <f>现金流量表!BM49</f>
        <v>134939692</v>
      </c>
      <c r="BN20" s="26">
        <f>现金流量表!BN49</f>
        <v>66050526.939999998</v>
      </c>
      <c r="BO20" s="26">
        <f>现金流量表!BO49</f>
        <v>60604503</v>
      </c>
      <c r="BP20" s="26">
        <f>现金流量表!BP49</f>
        <v>30569773.710000001</v>
      </c>
      <c r="BQ20" s="26">
        <f>现金流量表!BQ49</f>
        <v>43994685</v>
      </c>
      <c r="BR20" s="26">
        <f>现金流量表!BR49</f>
        <v>18120442</v>
      </c>
      <c r="BS20" s="26">
        <f>现金流量表!BS49</f>
        <v>28873751</v>
      </c>
      <c r="BT20" s="26">
        <f>现金流量表!BT49</f>
        <v>15701000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502</v>
      </c>
      <c r="E21" s="26">
        <f>现金流量表!E50</f>
        <v>283359395</v>
      </c>
      <c r="F21" s="26">
        <f>现金流量表!F50</f>
        <v>0</v>
      </c>
      <c r="G21" s="26">
        <f>现金流量表!G50</f>
        <v>143041546</v>
      </c>
      <c r="H21" s="26">
        <f>现金流量表!H50</f>
        <v>0</v>
      </c>
      <c r="I21" s="26">
        <f>现金流量表!I50</f>
        <v>263565131</v>
      </c>
      <c r="J21" s="26">
        <f>现金流量表!J50</f>
        <v>0</v>
      </c>
      <c r="K21" s="26">
        <f>现金流量表!K50</f>
        <v>122450569</v>
      </c>
      <c r="L21" s="26">
        <f>现金流量表!L50</f>
        <v>0</v>
      </c>
      <c r="M21" s="26">
        <f>现金流量表!M50</f>
        <v>239631840</v>
      </c>
      <c r="N21" s="26">
        <f>现金流量表!N50</f>
        <v>0</v>
      </c>
      <c r="O21" s="26">
        <f>现金流量表!O50</f>
        <v>122743131</v>
      </c>
      <c r="P21" s="26">
        <f>现金流量表!P50</f>
        <v>0</v>
      </c>
      <c r="Q21" s="26">
        <f>现金流量表!Q50</f>
        <v>201846766</v>
      </c>
      <c r="R21" s="26">
        <f>现金流量表!R50</f>
        <v>0</v>
      </c>
      <c r="S21" s="26">
        <f>现金流量表!S50</f>
        <v>105142402</v>
      </c>
      <c r="T21" s="26">
        <f>现金流量表!T50</f>
        <v>0</v>
      </c>
      <c r="U21" s="26">
        <f>现金流量表!U50</f>
        <v>180124620</v>
      </c>
      <c r="V21" s="26">
        <f>现金流量表!V50</f>
        <v>0</v>
      </c>
      <c r="W21" s="26">
        <f>现金流量表!W50</f>
        <v>67677116</v>
      </c>
      <c r="X21" s="26">
        <f>现金流量表!X50</f>
        <v>0</v>
      </c>
      <c r="Y21" s="26">
        <f>现金流量表!Y50</f>
        <v>125873106</v>
      </c>
      <c r="Z21" s="26">
        <f>现金流量表!Z50</f>
        <v>0</v>
      </c>
      <c r="AA21" s="26">
        <f>现金流量表!AA50</f>
        <v>61395795</v>
      </c>
      <c r="AB21" s="26">
        <f>现金流量表!AB50</f>
        <v>0</v>
      </c>
      <c r="AC21" s="26">
        <f>现金流量表!AC50</f>
        <v>96126570</v>
      </c>
      <c r="AD21" s="26">
        <f>现金流量表!AD50</f>
        <v>0</v>
      </c>
      <c r="AE21" s="26">
        <f>现金流量表!AE50</f>
        <v>40038496</v>
      </c>
      <c r="AF21" s="26">
        <f>现金流量表!AF50</f>
        <v>0</v>
      </c>
      <c r="AG21" s="26">
        <f>现金流量表!AG50</f>
        <v>68612026</v>
      </c>
      <c r="AH21" s="26">
        <f>现金流量表!AH50</f>
        <v>0</v>
      </c>
      <c r="AI21" s="26">
        <f>现金流量表!AI50</f>
        <v>31174676</v>
      </c>
      <c r="AJ21" s="26">
        <f>现金流量表!AJ50</f>
        <v>0</v>
      </c>
      <c r="AK21" s="26">
        <f>现金流量表!AK50</f>
        <v>55751821</v>
      </c>
      <c r="AL21" s="26">
        <f>现金流量表!AL50</f>
        <v>0</v>
      </c>
      <c r="AM21" s="26">
        <f>现金流量表!AM50</f>
        <v>26851439</v>
      </c>
      <c r="AN21" s="26">
        <f>现金流量表!AN50</f>
        <v>0</v>
      </c>
      <c r="AO21" s="26">
        <f>现金流量表!AO50</f>
        <v>52222791</v>
      </c>
      <c r="AP21" s="26">
        <f>现金流量表!AP50</f>
        <v>0</v>
      </c>
      <c r="AQ21" s="26">
        <f>现金流量表!AQ50</f>
        <v>25966451</v>
      </c>
      <c r="AR21" s="26">
        <f>现金流量表!AR50</f>
        <v>0</v>
      </c>
      <c r="AS21" s="26">
        <f>现金流量表!AS50</f>
        <v>51729826</v>
      </c>
      <c r="AT21" s="26">
        <f>现金流量表!AT50</f>
        <v>0</v>
      </c>
      <c r="AU21" s="26">
        <f>现金流量表!AU50</f>
        <v>25873685</v>
      </c>
      <c r="AV21" s="26">
        <f>现金流量表!AV50</f>
        <v>0</v>
      </c>
      <c r="AW21" s="26">
        <f>现金流量表!AW50</f>
        <v>55393375</v>
      </c>
      <c r="AX21" s="26">
        <f>现金流量表!AX50</f>
        <v>31235927</v>
      </c>
      <c r="AY21" s="26">
        <f>现金流量表!AY50</f>
        <v>20823951</v>
      </c>
      <c r="AZ21" s="26">
        <f>现金流量表!AZ50</f>
        <v>8368458</v>
      </c>
      <c r="BA21" s="26">
        <f>现金流量表!BA50</f>
        <v>31044970</v>
      </c>
      <c r="BB21" s="26">
        <f>现金流量表!BB50</f>
        <v>14488382.41</v>
      </c>
      <c r="BC21" s="26">
        <f>现金流量表!BC50</f>
        <v>11480708</v>
      </c>
      <c r="BD21" s="26">
        <f>现金流量表!BD50</f>
        <v>4420852</v>
      </c>
      <c r="BE21" s="26">
        <f>现金流量表!BE50</f>
        <v>27596735</v>
      </c>
      <c r="BF21" s="26">
        <f>现金流量表!BF50</f>
        <v>12821123.470000001</v>
      </c>
      <c r="BG21" s="26">
        <f>现金流量表!BG50</f>
        <v>10207676.84</v>
      </c>
      <c r="BH21" s="26">
        <f>现金流量表!BH50</f>
        <v>6777796.5899999999</v>
      </c>
      <c r="BI21" s="26">
        <f>现金流量表!BI50</f>
        <v>20582387</v>
      </c>
      <c r="BJ21" s="26">
        <f>现金流量表!BJ50</f>
        <v>31992943.809999999</v>
      </c>
      <c r="BK21" s="26">
        <f>现金流量表!BK50</f>
        <v>31914188.210000001</v>
      </c>
      <c r="BL21" s="26">
        <f>现金流量表!BL50</f>
        <v>6374301.4199999999</v>
      </c>
      <c r="BM21" s="26">
        <f>现金流量表!BM50</f>
        <v>13330391</v>
      </c>
      <c r="BN21" s="26">
        <f>现金流量表!BN50</f>
        <v>6905802.79</v>
      </c>
      <c r="BO21" s="26">
        <f>现金流量表!BO50</f>
        <v>4233921</v>
      </c>
      <c r="BP21" s="26">
        <f>现金流量表!BP50</f>
        <v>1400782.34</v>
      </c>
      <c r="BQ21" s="26">
        <f>现金流量表!BQ50</f>
        <v>6695789</v>
      </c>
      <c r="BR21" s="26">
        <f>现金流量表!BR50</f>
        <v>3643372</v>
      </c>
      <c r="BS21" s="26">
        <f>现金流量表!BS50</f>
        <v>3672493</v>
      </c>
      <c r="BT21" s="26">
        <f>现金流量表!BT50</f>
        <v>-120000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503</v>
      </c>
      <c r="E22" s="26">
        <f>现金流量表!E51</f>
        <v>78774292</v>
      </c>
      <c r="F22" s="26">
        <f>现金流量表!F51</f>
        <v>0</v>
      </c>
      <c r="G22" s="26">
        <f>现金流量表!G51</f>
        <v>42667113</v>
      </c>
      <c r="H22" s="26">
        <f>现金流量表!H51</f>
        <v>0</v>
      </c>
      <c r="I22" s="26">
        <f>现金流量表!I51</f>
        <v>66800461</v>
      </c>
      <c r="J22" s="26">
        <f>现金流量表!J51</f>
        <v>0</v>
      </c>
      <c r="K22" s="26">
        <f>现金流量表!K51</f>
        <v>30360640</v>
      </c>
      <c r="L22" s="26">
        <f>现金流量表!L51</f>
        <v>0</v>
      </c>
      <c r="M22" s="26">
        <f>现金流量表!M51</f>
        <v>56193811</v>
      </c>
      <c r="N22" s="26">
        <f>现金流量表!N51</f>
        <v>0</v>
      </c>
      <c r="O22" s="26">
        <f>现金流量表!O51</f>
        <v>47685498</v>
      </c>
      <c r="P22" s="26">
        <f>现金流量表!P51</f>
        <v>0</v>
      </c>
      <c r="Q22" s="26">
        <f>现金流量表!Q51</f>
        <v>30155694</v>
      </c>
      <c r="R22" s="26">
        <f>现金流量表!R51</f>
        <v>0</v>
      </c>
      <c r="S22" s="26">
        <f>现金流量表!S51</f>
        <v>23631886</v>
      </c>
      <c r="T22" s="26">
        <f>现金流量表!T51</f>
        <v>0</v>
      </c>
      <c r="U22" s="26">
        <f>现金流量表!U51</f>
        <v>36466006</v>
      </c>
      <c r="V22" s="26">
        <f>现金流量表!V51</f>
        <v>0</v>
      </c>
      <c r="W22" s="26">
        <f>现金流量表!W51</f>
        <v>14394130</v>
      </c>
      <c r="X22" s="26">
        <f>现金流量表!X51</f>
        <v>0</v>
      </c>
      <c r="Y22" s="26">
        <f>现金流量表!Y51</f>
        <v>25388492</v>
      </c>
      <c r="Z22" s="26">
        <f>现金流量表!Z51</f>
        <v>0</v>
      </c>
      <c r="AA22" s="26">
        <f>现金流量表!AA51</f>
        <v>9563362</v>
      </c>
      <c r="AB22" s="26">
        <f>现金流量表!AB51</f>
        <v>0</v>
      </c>
      <c r="AC22" s="26">
        <f>现金流量表!AC51</f>
        <v>12337685</v>
      </c>
      <c r="AD22" s="26">
        <f>现金流量表!AD51</f>
        <v>0</v>
      </c>
      <c r="AE22" s="26">
        <f>现金流量表!AE51</f>
        <v>7019080</v>
      </c>
      <c r="AF22" s="26">
        <f>现金流量表!AF51</f>
        <v>0</v>
      </c>
      <c r="AG22" s="26">
        <f>现金流量表!AG51</f>
        <v>6373241</v>
      </c>
      <c r="AH22" s="26">
        <f>现金流量表!AH51</f>
        <v>0</v>
      </c>
      <c r="AI22" s="26">
        <f>现金流量表!AI51</f>
        <v>2439423</v>
      </c>
      <c r="AJ22" s="26">
        <f>现金流量表!AJ51</f>
        <v>0</v>
      </c>
      <c r="AK22" s="26">
        <f>现金流量表!AK51</f>
        <v>4093637</v>
      </c>
      <c r="AL22" s="26">
        <f>现金流量表!AL51</f>
        <v>0</v>
      </c>
      <c r="AM22" s="26">
        <f>现金流量表!AM51</f>
        <v>1929657</v>
      </c>
      <c r="AN22" s="26">
        <f>现金流量表!AN51</f>
        <v>0</v>
      </c>
      <c r="AO22" s="26">
        <f>现金流量表!AO51</f>
        <v>4436020</v>
      </c>
      <c r="AP22" s="26">
        <f>现金流量表!AP51</f>
        <v>0</v>
      </c>
      <c r="AQ22" s="26">
        <f>现金流量表!AQ51</f>
        <v>2750760</v>
      </c>
      <c r="AR22" s="26">
        <f>现金流量表!AR51</f>
        <v>0</v>
      </c>
      <c r="AS22" s="26">
        <f>现金流量表!AS51</f>
        <v>3986830</v>
      </c>
      <c r="AT22" s="26">
        <f>现金流量表!AT51</f>
        <v>0</v>
      </c>
      <c r="AU22" s="26">
        <f>现金流量表!AU51</f>
        <v>1720893</v>
      </c>
      <c r="AV22" s="26">
        <f>现金流量表!AV51</f>
        <v>0</v>
      </c>
      <c r="AW22" s="26">
        <f>现金流量表!AW51</f>
        <v>13520850</v>
      </c>
      <c r="AX22" s="26">
        <f>现金流量表!AX51</f>
        <v>9857576</v>
      </c>
      <c r="AY22" s="26">
        <f>现金流量表!AY51</f>
        <v>2428690</v>
      </c>
      <c r="AZ22" s="26">
        <f>现金流量表!AZ51</f>
        <v>2051992</v>
      </c>
      <c r="BA22" s="26">
        <f>现金流量表!BA51</f>
        <v>5393661</v>
      </c>
      <c r="BB22" s="26">
        <f>现金流量表!BB51</f>
        <v>5287891.9400000004</v>
      </c>
      <c r="BC22" s="26">
        <f>现金流量表!BC51</f>
        <v>3449955</v>
      </c>
      <c r="BD22" s="26">
        <f>现金流量表!BD51</f>
        <v>290957</v>
      </c>
      <c r="BE22" s="26">
        <f>现金流量表!BE51</f>
        <v>635148</v>
      </c>
      <c r="BF22" s="26">
        <f>现金流量表!BF51</f>
        <v>514457.12</v>
      </c>
      <c r="BG22" s="26">
        <f>现金流量表!BG51</f>
        <v>306814.5</v>
      </c>
      <c r="BH22" s="26">
        <f>现金流量表!BH51</f>
        <v>1610901.75</v>
      </c>
      <c r="BI22" s="26">
        <f>现金流量表!BI51</f>
        <v>771503</v>
      </c>
      <c r="BJ22" s="26">
        <f>现金流量表!BJ51</f>
        <v>6229760.2000000002</v>
      </c>
      <c r="BK22" s="26">
        <f>现金流量表!BK51</f>
        <v>5639760.2000000002</v>
      </c>
      <c r="BL22" s="26">
        <f>现金流量表!BL51</f>
        <v>0</v>
      </c>
      <c r="BM22" s="26">
        <f>现金流量表!BM51</f>
        <v>7953461</v>
      </c>
      <c r="BN22" s="26">
        <f>现金流量表!BN51</f>
        <v>3712499.32</v>
      </c>
      <c r="BO22" s="26">
        <f>现金流量表!BO51</f>
        <v>28969992</v>
      </c>
      <c r="BP22" s="26">
        <f>现金流量表!BP51</f>
        <v>1599692.9</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504</v>
      </c>
      <c r="E23" s="26">
        <f>现金流量表!E54</f>
        <v>87930698</v>
      </c>
      <c r="F23" s="26">
        <f>现金流量表!F54</f>
        <v>0</v>
      </c>
      <c r="G23" s="26">
        <f>现金流量表!G54</f>
        <v>-9952741</v>
      </c>
      <c r="H23" s="26">
        <f>现金流量表!H54</f>
        <v>0</v>
      </c>
      <c r="I23" s="26">
        <f>现金流量表!I54</f>
        <v>52862289</v>
      </c>
      <c r="J23" s="26">
        <f>现金流量表!J54</f>
        <v>0</v>
      </c>
      <c r="K23" s="26">
        <f>现金流量表!K54</f>
        <v>-3840860</v>
      </c>
      <c r="L23" s="26">
        <f>现金流量表!L54</f>
        <v>0</v>
      </c>
      <c r="M23" s="26">
        <f>现金流量表!M54</f>
        <v>-3026374</v>
      </c>
      <c r="N23" s="26">
        <f>现金流量表!N54</f>
        <v>0</v>
      </c>
      <c r="O23" s="26">
        <f>现金流量表!O54</f>
        <v>7713598</v>
      </c>
      <c r="P23" s="26">
        <f>现金流量表!P54</f>
        <v>0</v>
      </c>
      <c r="Q23" s="26">
        <f>现金流量表!Q54</f>
        <v>-3369650</v>
      </c>
      <c r="R23" s="26">
        <f>现金流量表!R54</f>
        <v>0</v>
      </c>
      <c r="S23" s="26">
        <f>现金流量表!S54</f>
        <v>-4215514</v>
      </c>
      <c r="T23" s="26">
        <f>现金流量表!T54</f>
        <v>0</v>
      </c>
      <c r="U23" s="26">
        <f>现金流量表!U54</f>
        <v>-1232151</v>
      </c>
      <c r="V23" s="26">
        <f>现金流量表!V54</f>
        <v>0</v>
      </c>
      <c r="W23" s="26">
        <f>现金流量表!W54</f>
        <v>62027597</v>
      </c>
      <c r="X23" s="26">
        <f>现金流量表!X54</f>
        <v>0</v>
      </c>
      <c r="Y23" s="26">
        <f>现金流量表!Y54</f>
        <v>-2917346</v>
      </c>
      <c r="Z23" s="26">
        <f>现金流量表!Z54</f>
        <v>0</v>
      </c>
      <c r="AA23" s="26">
        <f>现金流量表!AA54</f>
        <v>-8537025</v>
      </c>
      <c r="AB23" s="26">
        <f>现金流量表!AB54</f>
        <v>0</v>
      </c>
      <c r="AC23" s="26">
        <f>现金流量表!AC54</f>
        <v>-13181161</v>
      </c>
      <c r="AD23" s="26">
        <f>现金流量表!AD54</f>
        <v>0</v>
      </c>
      <c r="AE23" s="26">
        <f>现金流量表!AE54</f>
        <v>131606</v>
      </c>
      <c r="AF23" s="26">
        <f>现金流量表!AF54</f>
        <v>0</v>
      </c>
      <c r="AG23" s="26">
        <f>现金流量表!AG54</f>
        <v>-3683496</v>
      </c>
      <c r="AH23" s="26">
        <f>现金流量表!AH54</f>
        <v>0</v>
      </c>
      <c r="AI23" s="26">
        <f>现金流量表!AI54</f>
        <v>1821295</v>
      </c>
      <c r="AJ23" s="26">
        <f>现金流量表!AJ54</f>
        <v>0</v>
      </c>
      <c r="AK23" s="26">
        <f>现金流量表!AK54</f>
        <v>-6902206</v>
      </c>
      <c r="AL23" s="26">
        <f>现金流量表!AL54</f>
        <v>0</v>
      </c>
      <c r="AM23" s="26">
        <f>现金流量表!AM54</f>
        <v>-617849</v>
      </c>
      <c r="AN23" s="26">
        <f>现金流量表!AN54</f>
        <v>0</v>
      </c>
      <c r="AO23" s="26">
        <f>现金流量表!AO54</f>
        <v>-16507622</v>
      </c>
      <c r="AP23" s="26">
        <f>现金流量表!AP54</f>
        <v>0</v>
      </c>
      <c r="AQ23" s="26">
        <f>现金流量表!AQ54</f>
        <v>25967</v>
      </c>
      <c r="AR23" s="26">
        <f>现金流量表!AR54</f>
        <v>0</v>
      </c>
      <c r="AS23" s="26">
        <f>现金流量表!AS54</f>
        <v>-23098476</v>
      </c>
      <c r="AT23" s="26">
        <f>现金流量表!AT54</f>
        <v>0</v>
      </c>
      <c r="AU23" s="26">
        <f>现金流量表!AU54</f>
        <v>-1106910</v>
      </c>
      <c r="AV23" s="26">
        <f>现金流量表!AV54</f>
        <v>0</v>
      </c>
      <c r="AW23" s="26">
        <f>现金流量表!AW54</f>
        <v>-25405331</v>
      </c>
      <c r="AX23" s="26">
        <f>现金流量表!AX54</f>
        <v>-23113132</v>
      </c>
      <c r="AY23" s="26">
        <f>现金流量表!AY54</f>
        <v>29345199</v>
      </c>
      <c r="AZ23" s="26">
        <f>现金流量表!AZ54</f>
        <v>6898</v>
      </c>
      <c r="BA23" s="26">
        <f>现金流量表!BA54</f>
        <v>-6847925</v>
      </c>
      <c r="BB23" s="26">
        <f>现金流量表!BB54</f>
        <v>715999.5</v>
      </c>
      <c r="BC23" s="26">
        <f>现金流量表!BC54</f>
        <v>90028</v>
      </c>
      <c r="BD23" s="26">
        <f>现金流量表!BD54</f>
        <v>-16881240</v>
      </c>
      <c r="BE23" s="26">
        <f>现金流量表!BE54</f>
        <v>334044</v>
      </c>
      <c r="BF23" s="26">
        <f>现金流量表!BF54</f>
        <v>107956.36</v>
      </c>
      <c r="BG23" s="26">
        <f>现金流量表!BG54</f>
        <v>79956.36</v>
      </c>
      <c r="BH23" s="26">
        <f>现金流量表!BH54</f>
        <v>-23256.2</v>
      </c>
      <c r="BI23" s="26">
        <f>现金流量表!BI54</f>
        <v>6522835</v>
      </c>
      <c r="BJ23" s="26">
        <f>现金流量表!BJ54</f>
        <v>883887.36</v>
      </c>
      <c r="BK23" s="26">
        <f>现金流量表!BK54</f>
        <v>895591.96</v>
      </c>
      <c r="BL23" s="26">
        <f>现金流量表!BL54</f>
        <v>9462.94</v>
      </c>
      <c r="BM23" s="26">
        <f>现金流量表!BM54</f>
        <v>187634</v>
      </c>
      <c r="BN23" s="26">
        <f>现金流量表!BN54</f>
        <v>-1346.91</v>
      </c>
      <c r="BO23" s="26">
        <f>现金流量表!BO54</f>
        <v>427992</v>
      </c>
      <c r="BP23" s="26">
        <f>现金流量表!BP54</f>
        <v>204894.57</v>
      </c>
      <c r="BQ23" s="26">
        <f>现金流量表!BQ54</f>
        <v>1860140</v>
      </c>
      <c r="BR23" s="26">
        <f>现金流量表!BR54</f>
        <v>-44751</v>
      </c>
      <c r="BS23" s="26">
        <f>现金流量表!BS54</f>
        <v>1537003</v>
      </c>
      <c r="BT23" s="26">
        <f>现金流量表!BT54</f>
        <v>380000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505</v>
      </c>
      <c r="E24" s="26">
        <f>现金流量表!E55</f>
        <v>0</v>
      </c>
      <c r="F24" s="26">
        <f>现金流量表!F55</f>
        <v>0</v>
      </c>
      <c r="G24" s="26">
        <f>现金流量表!G55</f>
        <v>-294151</v>
      </c>
      <c r="H24" s="26">
        <f>现金流量表!H55</f>
        <v>0</v>
      </c>
      <c r="I24" s="26">
        <f>现金流量表!I55</f>
        <v>0</v>
      </c>
      <c r="J24" s="26">
        <f>现金流量表!J55</f>
        <v>0</v>
      </c>
      <c r="K24" s="26">
        <f>现金流量表!K55</f>
        <v>-684336</v>
      </c>
      <c r="L24" s="26">
        <f>现金流量表!L55</f>
        <v>0</v>
      </c>
      <c r="M24" s="26">
        <f>现金流量表!M55</f>
        <v>11376698</v>
      </c>
      <c r="N24" s="26">
        <f>现金流量表!N55</f>
        <v>0</v>
      </c>
      <c r="O24" s="26">
        <f>现金流量表!O55</f>
        <v>-731624</v>
      </c>
      <c r="P24" s="26">
        <f>现金流量表!P55</f>
        <v>0</v>
      </c>
      <c r="Q24" s="26">
        <f>现金流量表!Q55</f>
        <v>18945517</v>
      </c>
      <c r="R24" s="26">
        <f>现金流量表!R55</f>
        <v>0</v>
      </c>
      <c r="S24" s="26">
        <f>现金流量表!S55</f>
        <v>-200112</v>
      </c>
      <c r="T24" s="26">
        <f>现金流量表!T55</f>
        <v>0</v>
      </c>
      <c r="U24" s="26">
        <f>现金流量表!U55</f>
        <v>113954871</v>
      </c>
      <c r="V24" s="26">
        <f>现金流量表!V55</f>
        <v>0</v>
      </c>
      <c r="W24" s="26">
        <f>现金流量表!W55</f>
        <v>539633</v>
      </c>
      <c r="X24" s="26">
        <f>现金流量表!X55</f>
        <v>0</v>
      </c>
      <c r="Y24" s="26">
        <f>现金流量表!Y55</f>
        <v>44632767</v>
      </c>
      <c r="Z24" s="26">
        <f>现金流量表!Z55</f>
        <v>0</v>
      </c>
      <c r="AA24" s="26">
        <f>现金流量表!AA55</f>
        <v>-3064</v>
      </c>
      <c r="AB24" s="26">
        <f>现金流量表!AB55</f>
        <v>0</v>
      </c>
      <c r="AC24" s="26">
        <f>现金流量表!AC55</f>
        <v>2070499</v>
      </c>
      <c r="AD24" s="26">
        <f>现金流量表!AD55</f>
        <v>0</v>
      </c>
      <c r="AE24" s="26">
        <f>现金流量表!AE55</f>
        <v>0</v>
      </c>
      <c r="AF24" s="26">
        <f>现金流量表!AF55</f>
        <v>0</v>
      </c>
      <c r="AG24" s="26">
        <f>现金流量表!AG55</f>
        <v>11876443</v>
      </c>
      <c r="AH24" s="26">
        <f>现金流量表!AH55</f>
        <v>0</v>
      </c>
      <c r="AI24" s="26">
        <f>现金流量表!AI55</f>
        <v>0</v>
      </c>
      <c r="AJ24" s="26">
        <f>现金流量表!AJ55</f>
        <v>0</v>
      </c>
      <c r="AK24" s="26">
        <f>现金流量表!AK55</f>
        <v>449979</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3078825</v>
      </c>
      <c r="AT24" s="26">
        <f>现金流量表!AT55</f>
        <v>0</v>
      </c>
      <c r="AU24" s="26">
        <f>现金流量表!AU55</f>
        <v>0</v>
      </c>
      <c r="AV24" s="26">
        <f>现金流量表!AV55</f>
        <v>0</v>
      </c>
      <c r="AW24" s="26">
        <f>现金流量表!AW55</f>
        <v>2905675</v>
      </c>
      <c r="AX24" s="26">
        <f>现金流量表!AX55</f>
        <v>921227</v>
      </c>
      <c r="AY24" s="26">
        <f>现金流量表!AY55</f>
        <v>920787</v>
      </c>
      <c r="AZ24" s="26">
        <f>现金流量表!AZ55</f>
        <v>593760</v>
      </c>
      <c r="BA24" s="26">
        <f>现金流量表!BA55</f>
        <v>1150954</v>
      </c>
      <c r="BB24" s="26">
        <f>现金流量表!BB55</f>
        <v>2152113.64</v>
      </c>
      <c r="BC24" s="26">
        <f>现金流量表!BC55</f>
        <v>43035</v>
      </c>
      <c r="BD24" s="26">
        <f>现金流量表!BD55</f>
        <v>18990305</v>
      </c>
      <c r="BE24" s="26">
        <f>现金流量表!BE55</f>
        <v>166248</v>
      </c>
      <c r="BF24" s="26">
        <f>现金流量表!BF55</f>
        <v>828695.79</v>
      </c>
      <c r="BG24" s="26">
        <f>现金流量表!BG55</f>
        <v>828695.79</v>
      </c>
      <c r="BH24" s="26">
        <f>现金流量表!BH55</f>
        <v>0</v>
      </c>
      <c r="BI24" s="26">
        <f>现金流量表!BI55</f>
        <v>0</v>
      </c>
      <c r="BJ24" s="26">
        <f>现金流量表!BJ55</f>
        <v>1416928.8</v>
      </c>
      <c r="BK24" s="26">
        <f>现金流量表!BK55</f>
        <v>1413828.8</v>
      </c>
      <c r="BL24" s="26">
        <f>现金流量表!BL55</f>
        <v>5875.42</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506</v>
      </c>
      <c r="E25" s="28">
        <f>SUM(E19:E24)</f>
        <v>14261968628</v>
      </c>
      <c r="F25" s="28">
        <f t="shared" ref="F25:BQ25" si="12">SUM(F19:F24)</f>
        <v>0</v>
      </c>
      <c r="G25" s="28">
        <f t="shared" si="12"/>
        <v>7063282887</v>
      </c>
      <c r="H25" s="28">
        <f t="shared" si="12"/>
        <v>0</v>
      </c>
      <c r="I25" s="28">
        <f t="shared" si="12"/>
        <v>12020868639</v>
      </c>
      <c r="J25" s="28">
        <f t="shared" si="12"/>
        <v>0</v>
      </c>
      <c r="K25" s="28">
        <f t="shared" si="12"/>
        <v>5472979839</v>
      </c>
      <c r="L25" s="28">
        <f t="shared" si="12"/>
        <v>0</v>
      </c>
      <c r="M25" s="28">
        <f t="shared" si="12"/>
        <v>9468133836</v>
      </c>
      <c r="N25" s="28">
        <f t="shared" si="12"/>
        <v>0</v>
      </c>
      <c r="O25" s="28">
        <f t="shared" si="12"/>
        <v>4265709130</v>
      </c>
      <c r="P25" s="28">
        <f t="shared" si="12"/>
        <v>0</v>
      </c>
      <c r="Q25" s="28">
        <f t="shared" si="12"/>
        <v>6983076853</v>
      </c>
      <c r="R25" s="28">
        <f t="shared" si="12"/>
        <v>0</v>
      </c>
      <c r="S25" s="28">
        <f t="shared" si="12"/>
        <v>2827627330</v>
      </c>
      <c r="T25" s="28">
        <f t="shared" si="12"/>
        <v>0</v>
      </c>
      <c r="U25" s="28">
        <f t="shared" si="12"/>
        <v>5635754580</v>
      </c>
      <c r="V25" s="28">
        <f t="shared" si="12"/>
        <v>0</v>
      </c>
      <c r="W25" s="28">
        <f t="shared" si="12"/>
        <v>2808681793</v>
      </c>
      <c r="X25" s="28">
        <f t="shared" si="12"/>
        <v>0</v>
      </c>
      <c r="Y25" s="28">
        <f t="shared" si="12"/>
        <v>4397024591</v>
      </c>
      <c r="Z25" s="28">
        <f t="shared" si="12"/>
        <v>0</v>
      </c>
      <c r="AA25" s="28">
        <f t="shared" si="12"/>
        <v>1883541575</v>
      </c>
      <c r="AB25" s="28">
        <f t="shared" si="12"/>
        <v>0</v>
      </c>
      <c r="AC25" s="28">
        <f t="shared" si="12"/>
        <v>4278915486</v>
      </c>
      <c r="AD25" s="28">
        <f t="shared" si="12"/>
        <v>0</v>
      </c>
      <c r="AE25" s="28">
        <f t="shared" si="12"/>
        <v>1350027302</v>
      </c>
      <c r="AF25" s="28">
        <f t="shared" si="12"/>
        <v>0</v>
      </c>
      <c r="AG25" s="28">
        <f t="shared" si="12"/>
        <v>2219357764</v>
      </c>
      <c r="AH25" s="28">
        <f t="shared" si="12"/>
        <v>0</v>
      </c>
      <c r="AI25" s="28">
        <f t="shared" si="12"/>
        <v>819044433</v>
      </c>
      <c r="AJ25" s="28">
        <f t="shared" si="12"/>
        <v>0</v>
      </c>
      <c r="AK25" s="28">
        <f t="shared" si="12"/>
        <v>1357717185</v>
      </c>
      <c r="AL25" s="28">
        <f t="shared" si="12"/>
        <v>0</v>
      </c>
      <c r="AM25" s="28">
        <f t="shared" si="12"/>
        <v>471779484</v>
      </c>
      <c r="AN25" s="28">
        <f t="shared" si="12"/>
        <v>0</v>
      </c>
      <c r="AO25" s="28">
        <f t="shared" si="12"/>
        <v>1448799268</v>
      </c>
      <c r="AP25" s="28">
        <f t="shared" si="12"/>
        <v>0</v>
      </c>
      <c r="AQ25" s="28">
        <f t="shared" si="12"/>
        <v>567783385</v>
      </c>
      <c r="AR25" s="28">
        <f t="shared" si="12"/>
        <v>0</v>
      </c>
      <c r="AS25" s="28">
        <f t="shared" si="12"/>
        <v>1248504223</v>
      </c>
      <c r="AT25" s="28">
        <f t="shared" si="12"/>
        <v>0</v>
      </c>
      <c r="AU25" s="28">
        <f t="shared" si="12"/>
        <v>501844107</v>
      </c>
      <c r="AV25" s="28">
        <f t="shared" si="12"/>
        <v>0</v>
      </c>
      <c r="AW25" s="28">
        <f t="shared" si="12"/>
        <v>2205421794</v>
      </c>
      <c r="AX25" s="28">
        <f t="shared" si="12"/>
        <v>1462716345</v>
      </c>
      <c r="AY25" s="28">
        <f t="shared" si="12"/>
        <v>1226421979</v>
      </c>
      <c r="AZ25" s="28">
        <f t="shared" si="12"/>
        <v>515466799</v>
      </c>
      <c r="BA25" s="28">
        <f t="shared" si="12"/>
        <v>1494766674</v>
      </c>
      <c r="BB25" s="28">
        <f t="shared" si="12"/>
        <v>816180079.73000002</v>
      </c>
      <c r="BC25" s="28">
        <f t="shared" si="12"/>
        <v>544150355</v>
      </c>
      <c r="BD25" s="28">
        <f t="shared" si="12"/>
        <v>216325957</v>
      </c>
      <c r="BE25" s="28">
        <f t="shared" si="12"/>
        <v>855444719</v>
      </c>
      <c r="BF25" s="28">
        <f t="shared" si="12"/>
        <v>539966995.12</v>
      </c>
      <c r="BG25" s="28">
        <f t="shared" si="12"/>
        <v>354746130.80000001</v>
      </c>
      <c r="BH25" s="28">
        <f t="shared" si="12"/>
        <v>190412057.02000004</v>
      </c>
      <c r="BI25" s="28">
        <f t="shared" si="12"/>
        <v>751619365</v>
      </c>
      <c r="BJ25" s="28">
        <f t="shared" si="12"/>
        <v>524797456.09999996</v>
      </c>
      <c r="BK25" s="28">
        <f t="shared" si="12"/>
        <v>327500362.34999996</v>
      </c>
      <c r="BL25" s="28">
        <f t="shared" si="12"/>
        <v>118877870.42</v>
      </c>
      <c r="BM25" s="28">
        <f t="shared" si="12"/>
        <v>184768725</v>
      </c>
      <c r="BN25" s="28">
        <f t="shared" si="12"/>
        <v>78910382.900000006</v>
      </c>
      <c r="BO25" s="28">
        <f t="shared" si="12"/>
        <v>107923894</v>
      </c>
      <c r="BP25" s="28">
        <f t="shared" si="12"/>
        <v>34311049.310000002</v>
      </c>
      <c r="BQ25" s="28">
        <f t="shared" si="12"/>
        <v>63936582</v>
      </c>
      <c r="BR25" s="28">
        <f t="shared" ref="BR25:CK25" si="13">SUM(BR19:BR24)</f>
        <v>23008956</v>
      </c>
      <c r="BS25" s="28">
        <f t="shared" si="13"/>
        <v>34600639</v>
      </c>
      <c r="BT25" s="28">
        <f t="shared" si="13"/>
        <v>19277000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507</v>
      </c>
      <c r="E26" s="28">
        <f>E14-E25</f>
        <v>12005017387</v>
      </c>
      <c r="F26" s="28">
        <f t="shared" ref="F26:BQ26" si="14">F14-F25</f>
        <v>18491007288</v>
      </c>
      <c r="G26" s="28">
        <f t="shared" si="14"/>
        <v>3575308379</v>
      </c>
      <c r="H26" s="28">
        <f t="shared" si="14"/>
        <v>6216049821</v>
      </c>
      <c r="I26" s="28">
        <f t="shared" si="14"/>
        <v>-1947581519</v>
      </c>
      <c r="J26" s="28">
        <f t="shared" si="14"/>
        <v>6548148538</v>
      </c>
      <c r="K26" s="28">
        <f t="shared" si="14"/>
        <v>-2738892884</v>
      </c>
      <c r="L26" s="28">
        <f t="shared" si="14"/>
        <v>2767654463</v>
      </c>
      <c r="M26" s="28">
        <f t="shared" si="14"/>
        <v>1025251609</v>
      </c>
      <c r="N26" s="28">
        <f t="shared" si="14"/>
        <v>7833611103</v>
      </c>
      <c r="O26" s="28">
        <f t="shared" si="14"/>
        <v>1187682358</v>
      </c>
      <c r="P26" s="28">
        <f t="shared" si="14"/>
        <v>2302553649</v>
      </c>
      <c r="Q26" s="28">
        <f t="shared" si="14"/>
        <v>1112749070</v>
      </c>
      <c r="R26" s="28">
        <f t="shared" si="14"/>
        <v>4644103223</v>
      </c>
      <c r="S26" s="28">
        <f t="shared" si="14"/>
        <v>426013172</v>
      </c>
      <c r="T26" s="28">
        <f t="shared" si="14"/>
        <v>1680084933</v>
      </c>
      <c r="U26" s="28">
        <f t="shared" si="14"/>
        <v>3320684670</v>
      </c>
      <c r="V26" s="28">
        <f t="shared" si="14"/>
        <v>4329984046</v>
      </c>
      <c r="W26" s="28">
        <f t="shared" si="14"/>
        <v>919207568</v>
      </c>
      <c r="X26" s="28">
        <f t="shared" si="14"/>
        <v>1460591533</v>
      </c>
      <c r="Y26" s="28">
        <f t="shared" si="14"/>
        <v>-1308149066</v>
      </c>
      <c r="Z26" s="28">
        <f t="shared" si="14"/>
        <v>402871706</v>
      </c>
      <c r="AA26" s="28">
        <f t="shared" si="14"/>
        <v>-1761714015</v>
      </c>
      <c r="AB26" s="28">
        <f t="shared" si="14"/>
        <v>-44245959</v>
      </c>
      <c r="AC26" s="28">
        <f t="shared" si="14"/>
        <v>-5057446213</v>
      </c>
      <c r="AD26" s="28">
        <f t="shared" si="14"/>
        <v>-1045906306</v>
      </c>
      <c r="AE26" s="28">
        <f t="shared" si="14"/>
        <v>-1964217249</v>
      </c>
      <c r="AF26" s="28">
        <f t="shared" si="14"/>
        <v>-366268678</v>
      </c>
      <c r="AG26" s="28">
        <f t="shared" si="14"/>
        <v>-3272673058</v>
      </c>
      <c r="AH26" s="28">
        <f t="shared" si="14"/>
        <v>-255425626</v>
      </c>
      <c r="AI26" s="28">
        <f t="shared" si="14"/>
        <v>-815732257</v>
      </c>
      <c r="AJ26" s="28">
        <f t="shared" si="14"/>
        <v>33675569</v>
      </c>
      <c r="AK26" s="28">
        <f t="shared" si="14"/>
        <v>-547708150</v>
      </c>
      <c r="AL26" s="28">
        <f t="shared" si="14"/>
        <v>-76465855</v>
      </c>
      <c r="AM26" s="28">
        <f t="shared" si="14"/>
        <v>-647581876</v>
      </c>
      <c r="AN26" s="28">
        <f t="shared" si="14"/>
        <v>-147403907</v>
      </c>
      <c r="AO26" s="28">
        <f t="shared" si="14"/>
        <v>-320829391</v>
      </c>
      <c r="AP26" s="28">
        <f t="shared" si="14"/>
        <v>1274196010</v>
      </c>
      <c r="AQ26" s="28">
        <f t="shared" si="14"/>
        <v>467778784</v>
      </c>
      <c r="AR26" s="28">
        <f t="shared" si="14"/>
        <v>758765411</v>
      </c>
      <c r="AS26" s="28">
        <f t="shared" si="14"/>
        <v>1043594176</v>
      </c>
      <c r="AT26" s="28">
        <f t="shared" si="14"/>
        <v>1438522331</v>
      </c>
      <c r="AU26" s="28">
        <f t="shared" si="14"/>
        <v>-13498134</v>
      </c>
      <c r="AV26" s="28">
        <f t="shared" si="14"/>
        <v>232372937</v>
      </c>
      <c r="AW26" s="28">
        <f t="shared" si="14"/>
        <v>-1362309234</v>
      </c>
      <c r="AX26" s="28">
        <f t="shared" si="14"/>
        <v>-963421159</v>
      </c>
      <c r="AY26" s="28">
        <f t="shared" si="14"/>
        <v>-1228230793</v>
      </c>
      <c r="AZ26" s="28">
        <f t="shared" si="14"/>
        <v>-414587955</v>
      </c>
      <c r="BA26" s="28">
        <f t="shared" si="14"/>
        <v>-2478325299</v>
      </c>
      <c r="BB26" s="28">
        <f t="shared" si="14"/>
        <v>-1589056306.8600001</v>
      </c>
      <c r="BC26" s="28">
        <f t="shared" si="14"/>
        <v>-971570037</v>
      </c>
      <c r="BD26" s="28">
        <f t="shared" si="14"/>
        <v>-270346790</v>
      </c>
      <c r="BE26" s="28">
        <f t="shared" si="14"/>
        <v>-647723982</v>
      </c>
      <c r="BF26" s="28">
        <f t="shared" si="14"/>
        <v>-193324959.38999999</v>
      </c>
      <c r="BG26" s="28">
        <f t="shared" si="14"/>
        <v>-136726160.95000002</v>
      </c>
      <c r="BH26" s="28">
        <f t="shared" si="14"/>
        <v>152259919.59999996</v>
      </c>
      <c r="BI26" s="28">
        <f t="shared" si="14"/>
        <v>-4081891</v>
      </c>
      <c r="BJ26" s="28">
        <f t="shared" si="14"/>
        <v>407067995.85000008</v>
      </c>
      <c r="BK26" s="28">
        <f t="shared" si="14"/>
        <v>301172693.19999999</v>
      </c>
      <c r="BL26" s="28">
        <f t="shared" si="14"/>
        <v>122105812.13000001</v>
      </c>
      <c r="BM26" s="28">
        <f t="shared" si="14"/>
        <v>32911565</v>
      </c>
      <c r="BN26" s="28">
        <f t="shared" si="14"/>
        <v>-35230538.760000005</v>
      </c>
      <c r="BO26" s="28">
        <f t="shared" si="14"/>
        <v>288791362</v>
      </c>
      <c r="BP26" s="28">
        <f t="shared" si="14"/>
        <v>256067353.64999998</v>
      </c>
      <c r="BQ26" s="28">
        <f t="shared" si="14"/>
        <v>-240779054</v>
      </c>
      <c r="BR26" s="28">
        <f t="shared" ref="BR26:CK26" si="15">BR14-BR25</f>
        <v>-75564095</v>
      </c>
      <c r="BS26" s="28">
        <f t="shared" si="15"/>
        <v>-79336981</v>
      </c>
      <c r="BT26" s="28">
        <f t="shared" si="15"/>
        <v>27543000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106.8" customHeight="1" x14ac:dyDescent="0.25">
      <c r="A27" s="322" t="s">
        <v>756</v>
      </c>
      <c r="E27" s="26">
        <f>E14-E25</f>
        <v>12005017387</v>
      </c>
      <c r="F27" s="191">
        <f t="shared" ref="F27:BQ27" si="16">F14-F25</f>
        <v>18491007288</v>
      </c>
      <c r="G27" s="191">
        <f t="shared" si="16"/>
        <v>3575308379</v>
      </c>
      <c r="H27" s="191">
        <f t="shared" si="16"/>
        <v>6216049821</v>
      </c>
      <c r="I27" s="191">
        <f t="shared" si="16"/>
        <v>-1947581519</v>
      </c>
      <c r="J27" s="191">
        <f t="shared" si="16"/>
        <v>6548148538</v>
      </c>
      <c r="K27" s="191">
        <f t="shared" si="16"/>
        <v>-2738892884</v>
      </c>
      <c r="L27" s="191">
        <f t="shared" si="16"/>
        <v>2767654463</v>
      </c>
      <c r="M27" s="191">
        <f t="shared" si="16"/>
        <v>1025251609</v>
      </c>
      <c r="N27" s="191">
        <f t="shared" si="16"/>
        <v>7833611103</v>
      </c>
      <c r="O27" s="191">
        <f t="shared" si="16"/>
        <v>1187682358</v>
      </c>
      <c r="P27" s="191">
        <f t="shared" si="16"/>
        <v>2302553649</v>
      </c>
      <c r="Q27" s="191">
        <f t="shared" si="16"/>
        <v>1112749070</v>
      </c>
      <c r="R27" s="191">
        <f t="shared" si="16"/>
        <v>4644103223</v>
      </c>
      <c r="S27" s="191">
        <f t="shared" si="16"/>
        <v>426013172</v>
      </c>
      <c r="T27" s="191">
        <f t="shared" si="16"/>
        <v>1680084933</v>
      </c>
      <c r="U27" s="191">
        <f t="shared" si="16"/>
        <v>3320684670</v>
      </c>
      <c r="V27" s="191">
        <f t="shared" si="16"/>
        <v>4329984046</v>
      </c>
      <c r="W27" s="191">
        <f t="shared" si="16"/>
        <v>919207568</v>
      </c>
      <c r="X27" s="191">
        <f t="shared" si="16"/>
        <v>1460591533</v>
      </c>
      <c r="Y27" s="191">
        <f t="shared" si="16"/>
        <v>-1308149066</v>
      </c>
      <c r="Z27" s="191">
        <f t="shared" si="16"/>
        <v>402871706</v>
      </c>
      <c r="AA27" s="191">
        <f t="shared" si="16"/>
        <v>-1761714015</v>
      </c>
      <c r="AB27" s="191">
        <f t="shared" si="16"/>
        <v>-44245959</v>
      </c>
      <c r="AC27" s="191">
        <f t="shared" si="16"/>
        <v>-5057446213</v>
      </c>
      <c r="AD27" s="191">
        <f t="shared" si="16"/>
        <v>-1045906306</v>
      </c>
      <c r="AE27" s="191">
        <f t="shared" si="16"/>
        <v>-1964217249</v>
      </c>
      <c r="AF27" s="191">
        <f t="shared" si="16"/>
        <v>-366268678</v>
      </c>
      <c r="AG27" s="191">
        <f t="shared" si="16"/>
        <v>-3272673058</v>
      </c>
      <c r="AH27" s="191">
        <f t="shared" si="16"/>
        <v>-255425626</v>
      </c>
      <c r="AI27" s="191">
        <f t="shared" si="16"/>
        <v>-815732257</v>
      </c>
      <c r="AJ27" s="191">
        <f t="shared" si="16"/>
        <v>33675569</v>
      </c>
      <c r="AK27" s="191">
        <f t="shared" si="16"/>
        <v>-547708150</v>
      </c>
      <c r="AL27" s="191">
        <f t="shared" si="16"/>
        <v>-76465855</v>
      </c>
      <c r="AM27" s="191">
        <f t="shared" si="16"/>
        <v>-647581876</v>
      </c>
      <c r="AN27" s="191">
        <f t="shared" si="16"/>
        <v>-147403907</v>
      </c>
      <c r="AO27" s="191">
        <f t="shared" si="16"/>
        <v>-320829391</v>
      </c>
      <c r="AP27" s="191">
        <f t="shared" si="16"/>
        <v>1274196010</v>
      </c>
      <c r="AQ27" s="191">
        <f t="shared" si="16"/>
        <v>467778784</v>
      </c>
      <c r="AR27" s="191">
        <f t="shared" si="16"/>
        <v>758765411</v>
      </c>
      <c r="AS27" s="191">
        <f t="shared" si="16"/>
        <v>1043594176</v>
      </c>
      <c r="AT27" s="191">
        <f t="shared" si="16"/>
        <v>1438522331</v>
      </c>
      <c r="AU27" s="191">
        <f t="shared" si="16"/>
        <v>-13498134</v>
      </c>
      <c r="AV27" s="191">
        <f t="shared" si="16"/>
        <v>232372937</v>
      </c>
      <c r="AW27" s="191">
        <f t="shared" si="16"/>
        <v>-1362309234</v>
      </c>
      <c r="AX27" s="191">
        <f t="shared" si="16"/>
        <v>-963421159</v>
      </c>
      <c r="AY27" s="191">
        <f t="shared" si="16"/>
        <v>-1228230793</v>
      </c>
      <c r="AZ27" s="191">
        <f t="shared" si="16"/>
        <v>-414587955</v>
      </c>
      <c r="BA27" s="191">
        <f t="shared" si="16"/>
        <v>-2478325299</v>
      </c>
      <c r="BB27" s="191">
        <f t="shared" si="16"/>
        <v>-1589056306.8600001</v>
      </c>
      <c r="BC27" s="191">
        <f t="shared" si="16"/>
        <v>-971570037</v>
      </c>
      <c r="BD27" s="191">
        <f t="shared" si="16"/>
        <v>-270346790</v>
      </c>
      <c r="BE27" s="191">
        <f t="shared" si="16"/>
        <v>-647723982</v>
      </c>
      <c r="BF27" s="191">
        <f t="shared" si="16"/>
        <v>-193324959.38999999</v>
      </c>
      <c r="BG27" s="191">
        <f t="shared" si="16"/>
        <v>-136726160.95000002</v>
      </c>
      <c r="BH27" s="191">
        <f t="shared" si="16"/>
        <v>152259919.59999996</v>
      </c>
      <c r="BI27" s="191">
        <f t="shared" si="16"/>
        <v>-4081891</v>
      </c>
      <c r="BJ27" s="191">
        <f t="shared" si="16"/>
        <v>407067995.85000008</v>
      </c>
      <c r="BK27" s="191">
        <f t="shared" si="16"/>
        <v>301172693.19999999</v>
      </c>
      <c r="BL27" s="191">
        <f t="shared" si="16"/>
        <v>122105812.13000001</v>
      </c>
      <c r="BM27" s="191">
        <f t="shared" si="16"/>
        <v>32911565</v>
      </c>
      <c r="BN27" s="191">
        <f t="shared" si="16"/>
        <v>-35230538.760000005</v>
      </c>
      <c r="BO27" s="191">
        <f t="shared" si="16"/>
        <v>288791362</v>
      </c>
      <c r="BP27" s="191">
        <f t="shared" si="16"/>
        <v>256067353.64999998</v>
      </c>
      <c r="BQ27" s="191">
        <f t="shared" si="16"/>
        <v>-240779054</v>
      </c>
      <c r="BR27" s="191">
        <f t="shared" ref="BR27:CL27" si="17">BR14-BR25</f>
        <v>-75564095</v>
      </c>
      <c r="BS27" s="191">
        <f t="shared" si="17"/>
        <v>-79336981</v>
      </c>
      <c r="BT27" s="191">
        <f t="shared" si="17"/>
        <v>27543000</v>
      </c>
      <c r="BU27" s="191">
        <f t="shared" si="17"/>
        <v>0</v>
      </c>
      <c r="BV27" s="191">
        <f t="shared" si="17"/>
        <v>0</v>
      </c>
      <c r="BW27" s="191">
        <f t="shared" si="17"/>
        <v>0</v>
      </c>
      <c r="BX27" s="191">
        <f t="shared" si="17"/>
        <v>0</v>
      </c>
      <c r="BY27" s="191">
        <f t="shared" si="17"/>
        <v>0</v>
      </c>
      <c r="BZ27" s="191">
        <f t="shared" si="17"/>
        <v>0</v>
      </c>
      <c r="CA27" s="191">
        <f t="shared" si="17"/>
        <v>0</v>
      </c>
      <c r="CB27" s="191">
        <f t="shared" si="17"/>
        <v>0</v>
      </c>
      <c r="CC27" s="191">
        <f t="shared" si="17"/>
        <v>0</v>
      </c>
      <c r="CD27" s="191">
        <f t="shared" si="17"/>
        <v>0</v>
      </c>
      <c r="CE27" s="191">
        <f t="shared" si="17"/>
        <v>0</v>
      </c>
      <c r="CF27" s="191">
        <f t="shared" si="17"/>
        <v>0</v>
      </c>
      <c r="CG27" s="191">
        <f t="shared" si="17"/>
        <v>0</v>
      </c>
      <c r="CH27" s="191">
        <f t="shared" si="17"/>
        <v>0</v>
      </c>
      <c r="CI27" s="191">
        <f t="shared" si="17"/>
        <v>0</v>
      </c>
      <c r="CJ27" s="191">
        <f t="shared" si="17"/>
        <v>0</v>
      </c>
      <c r="CK27" s="191">
        <f t="shared" si="17"/>
        <v>0</v>
      </c>
      <c r="CL27" s="191">
        <f t="shared" si="17"/>
        <v>0</v>
      </c>
    </row>
    <row r="28" spans="1:90" s="63" customFormat="1" x14ac:dyDescent="0.25">
      <c r="A28" s="17" t="s">
        <v>754</v>
      </c>
      <c r="E28" s="63">
        <f>POWER(E27/$U$27,1/4)-1</f>
        <v>0.37890323040547536</v>
      </c>
      <c r="F28" s="63">
        <f t="shared" ref="F28:BQ28" si="18">(F27-J27)/J27</f>
        <v>1.8238527548197165</v>
      </c>
      <c r="G28" s="63">
        <f t="shared" si="18"/>
        <v>-2.3053845222959075</v>
      </c>
      <c r="H28" s="63">
        <f t="shared" si="18"/>
        <v>1.245963108509619</v>
      </c>
      <c r="I28" s="63">
        <f>POWER(I27/$U$27,1/3)-1</f>
        <v>-1.8370588694168579</v>
      </c>
      <c r="J28" s="63">
        <f t="shared" si="18"/>
        <v>-0.16409578521299234</v>
      </c>
      <c r="K28" s="63">
        <f t="shared" si="18"/>
        <v>-3.3060819802124231</v>
      </c>
      <c r="L28" s="63">
        <f t="shared" si="18"/>
        <v>0.20199347546233873</v>
      </c>
      <c r="M28" s="63">
        <f>POWER(M27/$U$27,1/2)-1</f>
        <v>-0.4443498817041267</v>
      </c>
      <c r="N28" s="63">
        <f t="shared" si="18"/>
        <v>0.68678660375245493</v>
      </c>
      <c r="O28" s="63">
        <f t="shared" si="18"/>
        <v>1.7879005534598822</v>
      </c>
      <c r="P28" s="63">
        <f t="shared" si="18"/>
        <v>0.370498362180122</v>
      </c>
      <c r="Q28" s="63">
        <f>POWER(Q27/$U$27,1/1)-1</f>
        <v>-0.66490372300240119</v>
      </c>
      <c r="R28" s="63">
        <f t="shared" si="18"/>
        <v>7.2545111867139661E-2</v>
      </c>
      <c r="S28" s="63">
        <f t="shared" si="18"/>
        <v>-0.53654301070767507</v>
      </c>
      <c r="T28" s="63">
        <f t="shared" si="18"/>
        <v>0.15027705901400704</v>
      </c>
      <c r="U28" s="63">
        <v>0</v>
      </c>
      <c r="V28" s="63">
        <f t="shared" si="18"/>
        <v>9.7477988191109155</v>
      </c>
      <c r="W28" s="63">
        <f t="shared" si="18"/>
        <v>-1.5217688910762284</v>
      </c>
      <c r="X28" s="63">
        <f t="shared" si="18"/>
        <v>-34.01073286715291</v>
      </c>
      <c r="Y28" s="63">
        <v>0</v>
      </c>
      <c r="Z28" s="63">
        <f t="shared" si="18"/>
        <v>-1.3851890974257115</v>
      </c>
      <c r="AA28" s="63">
        <f t="shared" si="18"/>
        <v>-0.10309614891280287</v>
      </c>
      <c r="AB28" s="63">
        <f t="shared" si="18"/>
        <v>-0.87919808146958178</v>
      </c>
      <c r="AC28" s="63">
        <f t="shared" si="18"/>
        <v>0.54535638707849199</v>
      </c>
      <c r="AD28" s="63">
        <f t="shared" si="18"/>
        <v>3.094758706786922</v>
      </c>
      <c r="AE28" s="63">
        <f t="shared" si="18"/>
        <v>1.4079190594028452</v>
      </c>
      <c r="AF28" s="63">
        <f t="shared" si="18"/>
        <v>-11.876391665423679</v>
      </c>
      <c r="AG28" s="63">
        <f t="shared" si="18"/>
        <v>4.9752133650010499</v>
      </c>
      <c r="AH28" s="63">
        <f t="shared" si="18"/>
        <v>2.3403880202477301</v>
      </c>
      <c r="AI28" s="63">
        <f t="shared" si="18"/>
        <v>0.25965887439382257</v>
      </c>
      <c r="AJ28" s="63">
        <f t="shared" si="18"/>
        <v>-1.22845777758116</v>
      </c>
      <c r="AK28" s="63">
        <f t="shared" si="18"/>
        <v>0.70716326298172605</v>
      </c>
      <c r="AL28" s="63">
        <f t="shared" si="18"/>
        <v>-1.0600110614064786</v>
      </c>
      <c r="AM28" s="63">
        <f t="shared" si="18"/>
        <v>-2.3843763294745748</v>
      </c>
      <c r="AN28" s="63">
        <f t="shared" si="18"/>
        <v>-1.1942680897983105</v>
      </c>
      <c r="AO28" s="63">
        <f t="shared" si="18"/>
        <v>-1.3074273490387895</v>
      </c>
      <c r="AP28" s="63">
        <f t="shared" si="18"/>
        <v>-0.11423272163301579</v>
      </c>
      <c r="AQ28" s="63">
        <f t="shared" si="18"/>
        <v>-35.655070397137855</v>
      </c>
      <c r="AR28" s="63">
        <f t="shared" si="18"/>
        <v>2.2652916505505112</v>
      </c>
      <c r="AS28" s="63">
        <f t="shared" si="18"/>
        <v>-1.7660479353397673</v>
      </c>
      <c r="AT28" s="63">
        <f t="shared" si="18"/>
        <v>-2.4931396488044126</v>
      </c>
      <c r="AU28" s="63">
        <f t="shared" si="18"/>
        <v>-0.98901009966780729</v>
      </c>
      <c r="AV28" s="63">
        <f t="shared" si="18"/>
        <v>-1.5604912882719904</v>
      </c>
      <c r="AW28" s="63">
        <f t="shared" si="18"/>
        <v>-0.45031056473914483</v>
      </c>
      <c r="AX28" s="63">
        <f t="shared" si="18"/>
        <v>-0.39371490183143032</v>
      </c>
      <c r="AY28" s="63">
        <f t="shared" si="18"/>
        <v>0.26417113149404381</v>
      </c>
      <c r="AZ28" s="63">
        <f t="shared" si="18"/>
        <v>0.53354125269991182</v>
      </c>
      <c r="BA28" s="63">
        <f t="shared" si="18"/>
        <v>2.8262058652631454</v>
      </c>
      <c r="BB28" s="63">
        <f t="shared" si="18"/>
        <v>7.2196127798188305</v>
      </c>
      <c r="BC28" s="63">
        <f t="shared" si="18"/>
        <v>6.1059556580053291</v>
      </c>
      <c r="BD28" s="63">
        <f t="shared" si="18"/>
        <v>-2.7755610978268246</v>
      </c>
      <c r="BE28" s="63">
        <f t="shared" si="18"/>
        <v>157.68233179180925</v>
      </c>
      <c r="BF28" s="63">
        <f t="shared" si="18"/>
        <v>-1.4749205571573305</v>
      </c>
      <c r="BG28" s="63">
        <f t="shared" si="18"/>
        <v>-1.4539792751370195</v>
      </c>
      <c r="BH28" s="63">
        <f t="shared" si="18"/>
        <v>0.24695063194777633</v>
      </c>
      <c r="BI28" s="63">
        <f t="shared" si="18"/>
        <v>-1.1240260376557603</v>
      </c>
      <c r="BJ28" s="63">
        <f t="shared" si="18"/>
        <v>-12.554407345940911</v>
      </c>
      <c r="BK28" s="63">
        <f t="shared" si="18"/>
        <v>4.2872927757444446E-2</v>
      </c>
      <c r="BL28" s="63">
        <f t="shared" si="18"/>
        <v>-0.5231496307924608</v>
      </c>
      <c r="BM28" s="63">
        <f t="shared" si="18"/>
        <v>-1.1366878241825802</v>
      </c>
      <c r="BN28" s="63">
        <f t="shared" si="18"/>
        <v>-0.53376615229759572</v>
      </c>
      <c r="BO28" s="63">
        <f t="shared" si="18"/>
        <v>-4.6400598858179389</v>
      </c>
      <c r="BP28" s="63">
        <f t="shared" si="18"/>
        <v>8.2970030007624427</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7" t="s">
        <v>734</v>
      </c>
      <c r="B29" s="276"/>
      <c r="C29" s="276"/>
      <c r="D29" s="276"/>
      <c r="E29" s="276"/>
      <c r="F29" s="276"/>
      <c r="G29" s="276"/>
      <c r="H29" s="276"/>
      <c r="I29" s="276"/>
      <c r="J29" s="276"/>
      <c r="K29" s="276"/>
      <c r="L29" s="276"/>
      <c r="M29" s="276"/>
      <c r="N29" s="276"/>
      <c r="O29" s="276"/>
      <c r="P29" s="276"/>
      <c r="Q29" s="276"/>
      <c r="R29" s="276"/>
      <c r="S29" s="276"/>
      <c r="T29" s="276"/>
      <c r="U29" s="276"/>
      <c r="V29" s="276"/>
      <c r="W29" s="276"/>
      <c r="X29" s="276"/>
      <c r="Y29" s="276"/>
      <c r="Z29" s="276"/>
      <c r="AA29" s="276"/>
      <c r="AB29" s="276"/>
      <c r="AC29" s="276"/>
    </row>
    <row r="30" spans="1:90" x14ac:dyDescent="0.25">
      <c r="A30" s="110" t="s">
        <v>565</v>
      </c>
      <c r="B30" s="95"/>
      <c r="C30" s="95"/>
      <c r="D30" s="95"/>
      <c r="E30" s="95" t="s">
        <v>564</v>
      </c>
      <c r="F30" s="95"/>
      <c r="G30" s="95"/>
      <c r="H30" s="95"/>
      <c r="I30" s="95" t="s">
        <v>598</v>
      </c>
      <c r="M30" s="95" t="s">
        <v>566</v>
      </c>
      <c r="Q30" s="113" t="s">
        <v>604</v>
      </c>
      <c r="R30" s="113"/>
      <c r="S30" s="113"/>
      <c r="T30" s="113"/>
      <c r="U30" s="113" t="s">
        <v>601</v>
      </c>
      <c r="V30" s="113"/>
      <c r="W30" s="113"/>
      <c r="X30" s="113"/>
      <c r="Y30" s="113" t="s">
        <v>602</v>
      </c>
      <c r="Z30" s="113"/>
      <c r="AA30" s="113"/>
      <c r="AB30" s="113"/>
      <c r="AC30" s="113" t="s">
        <v>603</v>
      </c>
    </row>
    <row r="31" spans="1:90" s="63" customFormat="1" x14ac:dyDescent="0.25">
      <c r="A31" s="110" t="s">
        <v>567</v>
      </c>
      <c r="B31" s="111"/>
      <c r="C31" s="111"/>
      <c r="D31" s="111"/>
      <c r="E31" s="111">
        <f>POWER(E27/U27,1/5)-1</f>
        <v>0.29308487309864195</v>
      </c>
      <c r="F31" s="111"/>
      <c r="G31" s="111"/>
      <c r="H31" s="111"/>
      <c r="I31" s="111" t="e">
        <f>POWER(E27/Y27,1/6)-1</f>
        <v>#NUM!</v>
      </c>
      <c r="M31" s="111">
        <f>POWER(E27/AC27,1/7)-1</f>
        <v>-2.1314440277667304</v>
      </c>
      <c r="Q31" s="114" t="s">
        <v>600</v>
      </c>
      <c r="R31" s="114"/>
      <c r="S31" s="114"/>
      <c r="T31" s="114"/>
      <c r="U31" s="114">
        <f>POWER(E14/U14,1/5)-1</f>
        <v>0.24009504346755328</v>
      </c>
      <c r="V31" s="114"/>
      <c r="W31" s="114"/>
      <c r="X31" s="114"/>
      <c r="Y31" s="114">
        <f>POWER(E14/Y14,1/6)-1</f>
        <v>0.42868002448658782</v>
      </c>
      <c r="Z31" s="114"/>
      <c r="AA31" s="114"/>
      <c r="AB31" s="114"/>
      <c r="AC31" s="114">
        <f>POWER(E14/AC14,1/7)-1</f>
        <v>-2.65312207930761</v>
      </c>
    </row>
    <row r="32" spans="1:90" s="66" customFormat="1" ht="13.8" customHeight="1" x14ac:dyDescent="0.25">
      <c r="A32" s="46" t="s">
        <v>509</v>
      </c>
      <c r="E32" s="66">
        <v>0.17</v>
      </c>
    </row>
    <row r="33" spans="1:75" s="319" customFormat="1" x14ac:dyDescent="0.25">
      <c r="A33" s="318"/>
      <c r="E33" s="320">
        <f>E1</f>
        <v>43100</v>
      </c>
      <c r="F33" s="320">
        <f t="shared" ref="F33:BQ33" si="20">F1</f>
        <v>43008</v>
      </c>
      <c r="G33" s="320">
        <f t="shared" si="20"/>
        <v>42916</v>
      </c>
      <c r="H33" s="320">
        <f t="shared" si="20"/>
        <v>42825</v>
      </c>
      <c r="I33" s="320">
        <f t="shared" si="20"/>
        <v>42735</v>
      </c>
      <c r="J33" s="320">
        <f t="shared" si="20"/>
        <v>42643</v>
      </c>
      <c r="K33" s="320">
        <f t="shared" si="20"/>
        <v>42551</v>
      </c>
      <c r="L33" s="320">
        <f t="shared" si="20"/>
        <v>42460</v>
      </c>
      <c r="M33" s="320">
        <f t="shared" si="20"/>
        <v>42369</v>
      </c>
      <c r="N33" s="320">
        <f t="shared" si="20"/>
        <v>42277</v>
      </c>
      <c r="O33" s="320">
        <f t="shared" si="20"/>
        <v>42185</v>
      </c>
      <c r="P33" s="320">
        <f t="shared" si="20"/>
        <v>42094</v>
      </c>
      <c r="Q33" s="320">
        <f t="shared" si="20"/>
        <v>42004</v>
      </c>
      <c r="R33" s="320">
        <f t="shared" si="20"/>
        <v>41912</v>
      </c>
      <c r="S33" s="320">
        <f t="shared" si="20"/>
        <v>41820</v>
      </c>
      <c r="T33" s="320">
        <f t="shared" si="20"/>
        <v>41729</v>
      </c>
      <c r="U33" s="320">
        <f t="shared" si="20"/>
        <v>41639</v>
      </c>
      <c r="V33" s="320">
        <f t="shared" si="20"/>
        <v>41547</v>
      </c>
      <c r="W33" s="320">
        <f t="shared" si="20"/>
        <v>41455</v>
      </c>
      <c r="X33" s="320">
        <f t="shared" si="20"/>
        <v>41364</v>
      </c>
      <c r="Y33" s="320">
        <f t="shared" si="20"/>
        <v>41274</v>
      </c>
      <c r="Z33" s="320">
        <f t="shared" si="20"/>
        <v>41182</v>
      </c>
      <c r="AA33" s="320">
        <f t="shared" si="20"/>
        <v>41090</v>
      </c>
      <c r="AB33" s="320">
        <f t="shared" si="20"/>
        <v>40999</v>
      </c>
      <c r="AC33" s="320">
        <f t="shared" si="20"/>
        <v>40908</v>
      </c>
      <c r="AD33" s="320">
        <f t="shared" si="20"/>
        <v>40816</v>
      </c>
      <c r="AE33" s="320">
        <f t="shared" si="20"/>
        <v>40724</v>
      </c>
      <c r="AF33" s="320">
        <f t="shared" si="20"/>
        <v>40633</v>
      </c>
      <c r="AG33" s="320">
        <f t="shared" si="20"/>
        <v>40543</v>
      </c>
      <c r="AH33" s="320">
        <f t="shared" si="20"/>
        <v>40451</v>
      </c>
      <c r="AI33" s="320">
        <f t="shared" si="20"/>
        <v>40359</v>
      </c>
      <c r="AJ33" s="320">
        <f t="shared" si="20"/>
        <v>40268</v>
      </c>
      <c r="AK33" s="320">
        <f t="shared" si="20"/>
        <v>40178</v>
      </c>
      <c r="AL33" s="320">
        <f t="shared" si="20"/>
        <v>40086</v>
      </c>
      <c r="AM33" s="320">
        <f t="shared" si="20"/>
        <v>39994</v>
      </c>
      <c r="AN33" s="320">
        <f t="shared" si="20"/>
        <v>39903</v>
      </c>
      <c r="AO33" s="320">
        <f t="shared" si="20"/>
        <v>39813</v>
      </c>
      <c r="AP33" s="320">
        <f t="shared" si="20"/>
        <v>39721</v>
      </c>
      <c r="AQ33" s="320">
        <f t="shared" si="20"/>
        <v>39629</v>
      </c>
      <c r="AR33" s="320">
        <f t="shared" si="20"/>
        <v>39538</v>
      </c>
      <c r="AS33" s="320">
        <f t="shared" si="20"/>
        <v>39447</v>
      </c>
      <c r="AT33" s="320">
        <f t="shared" si="20"/>
        <v>39355</v>
      </c>
      <c r="AU33" s="320">
        <f t="shared" si="20"/>
        <v>39263</v>
      </c>
      <c r="AV33" s="320">
        <f t="shared" si="20"/>
        <v>39172</v>
      </c>
      <c r="AW33" s="320">
        <f t="shared" si="20"/>
        <v>39082</v>
      </c>
      <c r="AX33" s="320">
        <f t="shared" si="20"/>
        <v>38990</v>
      </c>
      <c r="AY33" s="320">
        <f t="shared" si="20"/>
        <v>38898</v>
      </c>
      <c r="AZ33" s="320">
        <f t="shared" si="20"/>
        <v>38807</v>
      </c>
      <c r="BA33" s="320">
        <f t="shared" si="20"/>
        <v>38717</v>
      </c>
      <c r="BB33" s="320">
        <f t="shared" si="20"/>
        <v>38625</v>
      </c>
      <c r="BC33" s="320">
        <f t="shared" si="20"/>
        <v>38533</v>
      </c>
      <c r="BD33" s="320">
        <f t="shared" si="20"/>
        <v>38442</v>
      </c>
      <c r="BE33" s="320">
        <f t="shared" si="20"/>
        <v>38352</v>
      </c>
      <c r="BF33" s="320">
        <f>BF1</f>
        <v>38260</v>
      </c>
      <c r="BG33" s="320">
        <f t="shared" si="20"/>
        <v>38168</v>
      </c>
      <c r="BH33" s="320">
        <f t="shared" si="20"/>
        <v>38077</v>
      </c>
      <c r="BI33" s="320">
        <f t="shared" si="20"/>
        <v>37986</v>
      </c>
      <c r="BJ33" s="320">
        <f t="shared" si="20"/>
        <v>37894</v>
      </c>
      <c r="BK33" s="320">
        <f t="shared" si="20"/>
        <v>37802</v>
      </c>
      <c r="BL33" s="320">
        <f t="shared" si="20"/>
        <v>37711</v>
      </c>
      <c r="BM33" s="320">
        <f t="shared" si="20"/>
        <v>37621</v>
      </c>
      <c r="BN33" s="320">
        <f t="shared" si="20"/>
        <v>37437</v>
      </c>
      <c r="BO33" s="320">
        <f t="shared" si="20"/>
        <v>37256</v>
      </c>
      <c r="BP33" s="320">
        <f t="shared" si="20"/>
        <v>37072</v>
      </c>
      <c r="BQ33" s="320">
        <f t="shared" si="20"/>
        <v>36891</v>
      </c>
      <c r="BR33" s="320">
        <f t="shared" ref="BR33:BW33" si="21">BR1</f>
        <v>36707</v>
      </c>
      <c r="BS33" s="320">
        <f t="shared" si="21"/>
        <v>36525</v>
      </c>
      <c r="BT33" s="320">
        <f t="shared" si="21"/>
        <v>36160</v>
      </c>
      <c r="BU33" s="320">
        <f t="shared" si="21"/>
        <v>25569</v>
      </c>
      <c r="BV33" s="320">
        <f t="shared" si="21"/>
        <v>25569</v>
      </c>
      <c r="BW33" s="320">
        <f t="shared" si="21"/>
        <v>0</v>
      </c>
    </row>
    <row r="34" spans="1:75" s="64" customFormat="1" x14ac:dyDescent="0.25">
      <c r="A34" s="182" t="s">
        <v>749</v>
      </c>
      <c r="E34" s="88">
        <f>E14</f>
        <v>26266986015</v>
      </c>
      <c r="F34" s="88">
        <f t="shared" ref="F34:BQ34" si="22">F14</f>
        <v>18491007288</v>
      </c>
      <c r="G34" s="88">
        <f t="shared" si="22"/>
        <v>10638591266</v>
      </c>
      <c r="H34" s="88">
        <f t="shared" si="22"/>
        <v>6216049821</v>
      </c>
      <c r="I34" s="88">
        <f t="shared" si="22"/>
        <v>10073287120</v>
      </c>
      <c r="J34" s="88">
        <f t="shared" si="22"/>
        <v>6548148538</v>
      </c>
      <c r="K34" s="88">
        <f t="shared" si="22"/>
        <v>2734086955</v>
      </c>
      <c r="L34" s="88">
        <f t="shared" si="22"/>
        <v>2767654463</v>
      </c>
      <c r="M34" s="88">
        <f t="shared" si="22"/>
        <v>10493385445</v>
      </c>
      <c r="N34" s="88">
        <f t="shared" si="22"/>
        <v>7833611103</v>
      </c>
      <c r="O34" s="88">
        <f t="shared" si="22"/>
        <v>5453391488</v>
      </c>
      <c r="P34" s="88">
        <f t="shared" si="22"/>
        <v>2302553649</v>
      </c>
      <c r="Q34" s="88">
        <f t="shared" si="22"/>
        <v>8095825923</v>
      </c>
      <c r="R34" s="88">
        <f t="shared" si="22"/>
        <v>4644103223</v>
      </c>
      <c r="S34" s="88">
        <f t="shared" si="22"/>
        <v>3253640502</v>
      </c>
      <c r="T34" s="88">
        <f t="shared" si="22"/>
        <v>1680084933</v>
      </c>
      <c r="U34" s="88">
        <f t="shared" si="22"/>
        <v>8956439250</v>
      </c>
      <c r="V34" s="88">
        <f t="shared" si="22"/>
        <v>4329984046</v>
      </c>
      <c r="W34" s="88">
        <f t="shared" si="22"/>
        <v>3727889361</v>
      </c>
      <c r="X34" s="88">
        <f t="shared" si="22"/>
        <v>1460591533</v>
      </c>
      <c r="Y34" s="88">
        <f t="shared" si="22"/>
        <v>3088875525</v>
      </c>
      <c r="Z34" s="88">
        <f t="shared" si="22"/>
        <v>402871706</v>
      </c>
      <c r="AA34" s="88">
        <f t="shared" si="22"/>
        <v>121827560</v>
      </c>
      <c r="AB34" s="88">
        <f t="shared" si="22"/>
        <v>-44245959</v>
      </c>
      <c r="AC34" s="88">
        <f t="shared" si="22"/>
        <v>-778530727</v>
      </c>
      <c r="AD34" s="88">
        <f t="shared" si="22"/>
        <v>-1045906306</v>
      </c>
      <c r="AE34" s="88">
        <f t="shared" si="22"/>
        <v>-614189947</v>
      </c>
      <c r="AF34" s="88">
        <f t="shared" si="22"/>
        <v>-366268678</v>
      </c>
      <c r="AG34" s="88">
        <f t="shared" si="22"/>
        <v>-1053315294</v>
      </c>
      <c r="AH34" s="88">
        <f t="shared" si="22"/>
        <v>-255425626</v>
      </c>
      <c r="AI34" s="88">
        <f t="shared" si="22"/>
        <v>3312176</v>
      </c>
      <c r="AJ34" s="88">
        <f t="shared" si="22"/>
        <v>33675569</v>
      </c>
      <c r="AK34" s="88">
        <f t="shared" si="22"/>
        <v>810009035</v>
      </c>
      <c r="AL34" s="88">
        <f t="shared" si="22"/>
        <v>-76465855</v>
      </c>
      <c r="AM34" s="88">
        <f t="shared" si="22"/>
        <v>-175802392</v>
      </c>
      <c r="AN34" s="88">
        <f t="shared" si="22"/>
        <v>-147403907</v>
      </c>
      <c r="AO34" s="88">
        <f t="shared" si="22"/>
        <v>1127969877</v>
      </c>
      <c r="AP34" s="88">
        <f t="shared" si="22"/>
        <v>1274196010</v>
      </c>
      <c r="AQ34" s="88">
        <f t="shared" si="22"/>
        <v>1035562169</v>
      </c>
      <c r="AR34" s="88">
        <f t="shared" si="22"/>
        <v>758765411</v>
      </c>
      <c r="AS34" s="88">
        <f t="shared" si="22"/>
        <v>2292098399</v>
      </c>
      <c r="AT34" s="88">
        <f t="shared" si="22"/>
        <v>1438522331</v>
      </c>
      <c r="AU34" s="88">
        <f t="shared" si="22"/>
        <v>488345973</v>
      </c>
      <c r="AV34" s="88">
        <f t="shared" si="22"/>
        <v>232372937</v>
      </c>
      <c r="AW34" s="88">
        <f t="shared" si="22"/>
        <v>843112560</v>
      </c>
      <c r="AX34" s="88">
        <f t="shared" si="22"/>
        <v>499295186</v>
      </c>
      <c r="AY34" s="88">
        <f t="shared" si="22"/>
        <v>-1808814</v>
      </c>
      <c r="AZ34" s="88">
        <f t="shared" si="22"/>
        <v>100878844</v>
      </c>
      <c r="BA34" s="88">
        <f t="shared" si="22"/>
        <v>-983558625</v>
      </c>
      <c r="BB34" s="88">
        <f t="shared" si="22"/>
        <v>-772876227.13</v>
      </c>
      <c r="BC34" s="88">
        <f t="shared" si="22"/>
        <v>-427419682</v>
      </c>
      <c r="BD34" s="88">
        <f t="shared" si="22"/>
        <v>-54020833</v>
      </c>
      <c r="BE34" s="88">
        <f t="shared" si="22"/>
        <v>207720737</v>
      </c>
      <c r="BF34" s="88">
        <f t="shared" si="22"/>
        <v>346642035.73000002</v>
      </c>
      <c r="BG34" s="88">
        <f t="shared" si="22"/>
        <v>218019969.84999999</v>
      </c>
      <c r="BH34" s="88">
        <f t="shared" si="22"/>
        <v>342671976.62</v>
      </c>
      <c r="BI34" s="88">
        <f t="shared" si="22"/>
        <v>747537474</v>
      </c>
      <c r="BJ34" s="88">
        <f t="shared" si="22"/>
        <v>931865451.95000005</v>
      </c>
      <c r="BK34" s="88">
        <f t="shared" si="22"/>
        <v>628673055.54999995</v>
      </c>
      <c r="BL34" s="88">
        <f t="shared" si="22"/>
        <v>240983682.55000001</v>
      </c>
      <c r="BM34" s="88">
        <f t="shared" si="22"/>
        <v>217680290</v>
      </c>
      <c r="BN34" s="88">
        <f t="shared" si="22"/>
        <v>43679844.140000001</v>
      </c>
      <c r="BO34" s="88">
        <f t="shared" si="22"/>
        <v>396715256</v>
      </c>
      <c r="BP34" s="88">
        <f t="shared" si="22"/>
        <v>290378402.95999998</v>
      </c>
      <c r="BQ34" s="88">
        <f t="shared" si="22"/>
        <v>-176842472</v>
      </c>
      <c r="BR34" s="88">
        <f t="shared" ref="BR34:BW34" si="23">BR14</f>
        <v>-52555139</v>
      </c>
      <c r="BS34" s="88">
        <f t="shared" si="23"/>
        <v>-44736342</v>
      </c>
      <c r="BT34" s="88">
        <f t="shared" si="23"/>
        <v>46820000</v>
      </c>
      <c r="BU34" s="88">
        <f t="shared" si="23"/>
        <v>0</v>
      </c>
      <c r="BV34" s="88">
        <f t="shared" si="23"/>
        <v>0</v>
      </c>
      <c r="BW34" s="88">
        <f t="shared" si="23"/>
        <v>0</v>
      </c>
    </row>
    <row r="35" spans="1:75" s="212" customFormat="1" x14ac:dyDescent="0.25">
      <c r="A35" s="212" t="s">
        <v>750</v>
      </c>
      <c r="E35" s="212">
        <f>(E34-I34)/I34</f>
        <v>1.607588337559468</v>
      </c>
      <c r="F35" s="212">
        <f t="shared" ref="F35:BQ35" si="24">(F34-J34)/J34</f>
        <v>1.8238527548197165</v>
      </c>
      <c r="G35" s="212">
        <f t="shared" si="24"/>
        <v>2.8910947022165945</v>
      </c>
      <c r="H35" s="212">
        <f t="shared" si="24"/>
        <v>1.245963108509619</v>
      </c>
      <c r="I35" s="212">
        <f t="shared" si="24"/>
        <v>-4.0034584377168086E-2</v>
      </c>
      <c r="J35" s="212">
        <f t="shared" si="24"/>
        <v>-0.16409578521299234</v>
      </c>
      <c r="K35" s="212">
        <f t="shared" si="24"/>
        <v>-0.49864465791310525</v>
      </c>
      <c r="L35" s="212">
        <f t="shared" si="24"/>
        <v>0.20199347546233873</v>
      </c>
      <c r="M35" s="212">
        <f t="shared" si="24"/>
        <v>0.2961476129555361</v>
      </c>
      <c r="N35" s="212">
        <f t="shared" si="24"/>
        <v>0.68678660375245493</v>
      </c>
      <c r="O35" s="212">
        <f t="shared" si="24"/>
        <v>0.67608913297207285</v>
      </c>
      <c r="P35" s="212">
        <f t="shared" si="24"/>
        <v>0.370498362180122</v>
      </c>
      <c r="Q35" s="212">
        <f t="shared" si="24"/>
        <v>-9.6088780706015509E-2</v>
      </c>
      <c r="R35" s="212">
        <f t="shared" si="24"/>
        <v>7.2545111867139661E-2</v>
      </c>
      <c r="S35" s="212">
        <f t="shared" si="24"/>
        <v>-0.1272164522803283</v>
      </c>
      <c r="T35" s="212">
        <f t="shared" si="24"/>
        <v>0.15027705901400704</v>
      </c>
      <c r="U35" s="212">
        <f t="shared" si="24"/>
        <v>1.899579208521198</v>
      </c>
      <c r="V35" s="212">
        <f t="shared" si="24"/>
        <v>9.7477988191109155</v>
      </c>
      <c r="W35" s="212">
        <f t="shared" si="24"/>
        <v>29.599721122215694</v>
      </c>
      <c r="X35" s="212">
        <f t="shared" si="24"/>
        <v>-34.01073286715291</v>
      </c>
      <c r="Y35" s="212">
        <f t="shared" si="24"/>
        <v>-4.967570473297453</v>
      </c>
      <c r="Z35" s="212">
        <f t="shared" si="24"/>
        <v>-1.3851890974257115</v>
      </c>
      <c r="AA35" s="212">
        <f t="shared" si="24"/>
        <v>-1.1983548584522827</v>
      </c>
      <c r="AB35" s="212">
        <f t="shared" si="24"/>
        <v>-0.87919808146958178</v>
      </c>
      <c r="AC35" s="212">
        <f t="shared" si="24"/>
        <v>-0.26087589211440804</v>
      </c>
      <c r="AD35" s="212">
        <f t="shared" si="24"/>
        <v>3.094758706786922</v>
      </c>
      <c r="AE35" s="212">
        <f t="shared" si="24"/>
        <v>-186.43397059818076</v>
      </c>
      <c r="AF35" s="212">
        <f t="shared" si="24"/>
        <v>-11.876391665423679</v>
      </c>
      <c r="AG35" s="212">
        <f t="shared" si="24"/>
        <v>-2.3003747470545188</v>
      </c>
      <c r="AH35" s="212">
        <f t="shared" si="24"/>
        <v>2.3403880202477301</v>
      </c>
      <c r="AI35" s="212">
        <f t="shared" si="24"/>
        <v>-1.0188403352327537</v>
      </c>
      <c r="AJ35" s="212">
        <f t="shared" si="24"/>
        <v>-1.22845777758116</v>
      </c>
      <c r="AK35" s="212">
        <f t="shared" si="24"/>
        <v>-0.28188770682924896</v>
      </c>
      <c r="AL35" s="212">
        <f t="shared" si="24"/>
        <v>-1.0600110614064786</v>
      </c>
      <c r="AM35" s="212">
        <f t="shared" si="24"/>
        <v>-1.1697651741853077</v>
      </c>
      <c r="AN35" s="212">
        <f t="shared" si="24"/>
        <v>-1.1942680897983105</v>
      </c>
      <c r="AO35" s="212">
        <f t="shared" si="24"/>
        <v>-0.50788767293231729</v>
      </c>
      <c r="AP35" s="212">
        <f t="shared" si="24"/>
        <v>-0.11423272163301579</v>
      </c>
      <c r="AQ35" s="212">
        <f t="shared" si="24"/>
        <v>1.120550237444059</v>
      </c>
      <c r="AR35" s="212">
        <f t="shared" si="24"/>
        <v>2.2652916505505112</v>
      </c>
      <c r="AS35" s="212">
        <f t="shared" si="24"/>
        <v>1.7186149367766506</v>
      </c>
      <c r="AT35" s="212">
        <f t="shared" si="24"/>
        <v>1.8811059496175475</v>
      </c>
      <c r="AU35" s="212">
        <f t="shared" si="24"/>
        <v>-270.98130985275435</v>
      </c>
      <c r="AV35" s="212">
        <f t="shared" si="24"/>
        <v>1.303485327409184</v>
      </c>
      <c r="AW35" s="212">
        <f t="shared" si="24"/>
        <v>-1.8572062087300591</v>
      </c>
      <c r="AX35" s="212">
        <f t="shared" si="24"/>
        <v>-1.6460221811377014</v>
      </c>
      <c r="AY35" s="212">
        <f t="shared" si="24"/>
        <v>-0.99576806105059057</v>
      </c>
      <c r="AZ35" s="212">
        <f t="shared" si="24"/>
        <v>-2.8674063023056306</v>
      </c>
      <c r="BA35" s="212">
        <f t="shared" si="24"/>
        <v>-5.7350045027040322</v>
      </c>
      <c r="BB35" s="212">
        <f t="shared" si="24"/>
        <v>-3.2296090706436842</v>
      </c>
      <c r="BC35" s="212">
        <f t="shared" si="24"/>
        <v>-2.9604611554348401</v>
      </c>
      <c r="BD35" s="212">
        <f t="shared" si="24"/>
        <v>-1.1576459024541288</v>
      </c>
      <c r="BE35" s="212">
        <f t="shared" si="24"/>
        <v>-0.72212665689051458</v>
      </c>
      <c r="BF35" s="212">
        <f t="shared" si="24"/>
        <v>-0.6280127833856004</v>
      </c>
      <c r="BG35" s="212">
        <f t="shared" si="24"/>
        <v>-0.6532061173525826</v>
      </c>
      <c r="BH35" s="212">
        <f t="shared" si="24"/>
        <v>0.42197169946932572</v>
      </c>
      <c r="BI35" s="212">
        <f t="shared" si="24"/>
        <v>2.4341073048000808</v>
      </c>
      <c r="BJ35" s="212">
        <f t="shared" si="24"/>
        <v>20.33399214894726</v>
      </c>
      <c r="BK35" s="212">
        <f t="shared" si="24"/>
        <v>0.5846959400774846</v>
      </c>
      <c r="BL35" s="212">
        <f t="shared" si="24"/>
        <v>-0.17010466311023881</v>
      </c>
      <c r="BM35" s="212">
        <f t="shared" si="24"/>
        <v>-2.2309276586000224</v>
      </c>
      <c r="BN35" s="212">
        <f t="shared" si="24"/>
        <v>-1.8311241292692615</v>
      </c>
      <c r="BO35" s="212">
        <f t="shared" si="24"/>
        <v>-9.867851913328094</v>
      </c>
      <c r="BP35" s="212">
        <f t="shared" si="24"/>
        <v>5.2020162956001705</v>
      </c>
      <c r="BQ35" s="212" t="e">
        <f t="shared" si="24"/>
        <v>#DIV/0!</v>
      </c>
      <c r="BR35" s="212" t="e">
        <f t="shared" ref="BR35:BW35" si="25">(BR34-BV34)/BV34</f>
        <v>#DIV/0!</v>
      </c>
      <c r="BS35" s="212" t="e">
        <f t="shared" si="25"/>
        <v>#DIV/0!</v>
      </c>
      <c r="BT35" s="212" t="e">
        <f t="shared" si="25"/>
        <v>#DIV/0!</v>
      </c>
      <c r="BU35" s="212" t="e">
        <f t="shared" si="25"/>
        <v>#DIV/0!</v>
      </c>
      <c r="BV35" s="212" t="e">
        <f t="shared" si="25"/>
        <v>#DIV/0!</v>
      </c>
      <c r="BW35" s="212" t="e">
        <f t="shared" si="25"/>
        <v>#DIV/0!</v>
      </c>
    </row>
    <row r="36" spans="1:75" s="203" customFormat="1" ht="28.8" x14ac:dyDescent="0.25">
      <c r="A36" s="321" t="s">
        <v>751</v>
      </c>
      <c r="E36" s="203">
        <f>POWER(E34/$Y$34,1/5)-1</f>
        <v>0.53434127147474908</v>
      </c>
      <c r="F36" s="203">
        <f t="shared" ref="F36:Y36" si="26">POWER(F34/$Y$34,1/5)-1</f>
        <v>0.43031611729955044</v>
      </c>
      <c r="G36" s="203">
        <f t="shared" si="26"/>
        <v>0.28060957070509107</v>
      </c>
      <c r="H36" s="203">
        <f t="shared" si="26"/>
        <v>0.15011909998441286</v>
      </c>
      <c r="I36" s="203">
        <f>POWER(I34/$Y$34,1/4)-1</f>
        <v>0.34382495377389599</v>
      </c>
      <c r="J36" s="203">
        <f t="shared" si="26"/>
        <v>0.16215384380161857</v>
      </c>
      <c r="K36" s="203">
        <f t="shared" si="26"/>
        <v>-2.4106595089425031E-2</v>
      </c>
      <c r="L36" s="203">
        <f t="shared" si="26"/>
        <v>-2.1721988431921191E-2</v>
      </c>
      <c r="M36" s="203">
        <f>POWER(M34/$Y$34,1/3)-1</f>
        <v>0.50327489969495676</v>
      </c>
      <c r="N36" s="203">
        <f t="shared" si="26"/>
        <v>0.20457076875077695</v>
      </c>
      <c r="O36" s="203">
        <f t="shared" si="26"/>
        <v>0.12040039607873854</v>
      </c>
      <c r="P36" s="203">
        <f t="shared" si="26"/>
        <v>-5.7064752826118115E-2</v>
      </c>
      <c r="Q36" s="203">
        <f>POWER(Q34/$Y$34,1/2)-1</f>
        <v>0.61893859606035795</v>
      </c>
      <c r="R36" s="203">
        <f t="shared" si="26"/>
        <v>8.4976399095642474E-2</v>
      </c>
      <c r="S36" s="203">
        <f t="shared" si="26"/>
        <v>1.0447681237262252E-2</v>
      </c>
      <c r="T36" s="203">
        <f t="shared" si="26"/>
        <v>-0.11466799185883558</v>
      </c>
      <c r="U36" s="203">
        <f>POWER(U34/$Y$34,1/1)-1</f>
        <v>1.8995792085211982</v>
      </c>
      <c r="V36" s="203">
        <f t="shared" si="26"/>
        <v>6.9885194774191417E-2</v>
      </c>
      <c r="W36" s="203">
        <f t="shared" si="26"/>
        <v>3.8323112813392513E-2</v>
      </c>
      <c r="X36" s="203">
        <f t="shared" si="26"/>
        <v>-0.13911394251844522</v>
      </c>
      <c r="Y36" s="203">
        <f t="shared" si="26"/>
        <v>0</v>
      </c>
    </row>
    <row r="37" spans="1:75" x14ac:dyDescent="0.25">
      <c r="A37" s="17" t="s">
        <v>752</v>
      </c>
      <c r="E37" s="191">
        <f>E27</f>
        <v>12005017387</v>
      </c>
      <c r="F37" s="191">
        <f t="shared" ref="F37:BQ37" si="27">F27</f>
        <v>18491007288</v>
      </c>
      <c r="G37" s="191">
        <f t="shared" si="27"/>
        <v>3575308379</v>
      </c>
      <c r="H37" s="191">
        <f t="shared" si="27"/>
        <v>6216049821</v>
      </c>
      <c r="I37" s="191">
        <f t="shared" si="27"/>
        <v>-1947581519</v>
      </c>
      <c r="J37" s="191">
        <f t="shared" si="27"/>
        <v>6548148538</v>
      </c>
      <c r="K37" s="191">
        <f t="shared" si="27"/>
        <v>-2738892884</v>
      </c>
      <c r="L37" s="191">
        <f t="shared" si="27"/>
        <v>2767654463</v>
      </c>
      <c r="M37" s="191">
        <f t="shared" si="27"/>
        <v>1025251609</v>
      </c>
      <c r="N37" s="191">
        <f t="shared" si="27"/>
        <v>7833611103</v>
      </c>
      <c r="O37" s="191">
        <f t="shared" si="27"/>
        <v>1187682358</v>
      </c>
      <c r="P37" s="191">
        <f t="shared" si="27"/>
        <v>2302553649</v>
      </c>
      <c r="Q37" s="191">
        <f t="shared" si="27"/>
        <v>1112749070</v>
      </c>
      <c r="R37" s="191">
        <f t="shared" si="27"/>
        <v>4644103223</v>
      </c>
      <c r="S37" s="191">
        <f t="shared" si="27"/>
        <v>426013172</v>
      </c>
      <c r="T37" s="191">
        <f t="shared" si="27"/>
        <v>1680084933</v>
      </c>
      <c r="U37" s="191">
        <f t="shared" si="27"/>
        <v>3320684670</v>
      </c>
      <c r="V37" s="191">
        <f t="shared" si="27"/>
        <v>4329984046</v>
      </c>
      <c r="W37" s="191">
        <f t="shared" si="27"/>
        <v>919207568</v>
      </c>
      <c r="X37" s="191">
        <f t="shared" si="27"/>
        <v>1460591533</v>
      </c>
      <c r="Y37" s="191">
        <f t="shared" si="27"/>
        <v>-1308149066</v>
      </c>
      <c r="Z37" s="191">
        <f t="shared" si="27"/>
        <v>402871706</v>
      </c>
      <c r="AA37" s="191">
        <f t="shared" si="27"/>
        <v>-1761714015</v>
      </c>
      <c r="AB37" s="191">
        <f t="shared" si="27"/>
        <v>-44245959</v>
      </c>
      <c r="AC37" s="191">
        <f t="shared" si="27"/>
        <v>-5057446213</v>
      </c>
      <c r="AD37" s="191">
        <f t="shared" si="27"/>
        <v>-1045906306</v>
      </c>
      <c r="AE37" s="191">
        <f t="shared" si="27"/>
        <v>-1964217249</v>
      </c>
      <c r="AF37" s="191">
        <f t="shared" si="27"/>
        <v>-366268678</v>
      </c>
      <c r="AG37" s="191">
        <f t="shared" si="27"/>
        <v>-3272673058</v>
      </c>
      <c r="AH37" s="191">
        <f t="shared" si="27"/>
        <v>-255425626</v>
      </c>
      <c r="AI37" s="191">
        <f t="shared" si="27"/>
        <v>-815732257</v>
      </c>
      <c r="AJ37" s="191">
        <f t="shared" si="27"/>
        <v>33675569</v>
      </c>
      <c r="AK37" s="191">
        <f t="shared" si="27"/>
        <v>-547708150</v>
      </c>
      <c r="AL37" s="191">
        <f t="shared" si="27"/>
        <v>-76465855</v>
      </c>
      <c r="AM37" s="191">
        <f t="shared" si="27"/>
        <v>-647581876</v>
      </c>
      <c r="AN37" s="191">
        <f t="shared" si="27"/>
        <v>-147403907</v>
      </c>
      <c r="AO37" s="191">
        <f t="shared" si="27"/>
        <v>-320829391</v>
      </c>
      <c r="AP37" s="191">
        <f t="shared" si="27"/>
        <v>1274196010</v>
      </c>
      <c r="AQ37" s="191">
        <f t="shared" si="27"/>
        <v>467778784</v>
      </c>
      <c r="AR37" s="191">
        <f t="shared" si="27"/>
        <v>758765411</v>
      </c>
      <c r="AS37" s="191">
        <f t="shared" si="27"/>
        <v>1043594176</v>
      </c>
      <c r="AT37" s="191">
        <f t="shared" si="27"/>
        <v>1438522331</v>
      </c>
      <c r="AU37" s="191">
        <f t="shared" si="27"/>
        <v>-13498134</v>
      </c>
      <c r="AV37" s="191">
        <f t="shared" si="27"/>
        <v>232372937</v>
      </c>
      <c r="AW37" s="191">
        <f t="shared" si="27"/>
        <v>-1362309234</v>
      </c>
      <c r="AX37" s="191">
        <f t="shared" si="27"/>
        <v>-963421159</v>
      </c>
      <c r="AY37" s="191">
        <f t="shared" si="27"/>
        <v>-1228230793</v>
      </c>
      <c r="AZ37" s="191">
        <f t="shared" si="27"/>
        <v>-414587955</v>
      </c>
      <c r="BA37" s="191">
        <f t="shared" si="27"/>
        <v>-2478325299</v>
      </c>
      <c r="BB37" s="191">
        <f t="shared" si="27"/>
        <v>-1589056306.8600001</v>
      </c>
      <c r="BC37" s="191">
        <f t="shared" si="27"/>
        <v>-971570037</v>
      </c>
      <c r="BD37" s="191">
        <f t="shared" si="27"/>
        <v>-270346790</v>
      </c>
      <c r="BE37" s="191">
        <f t="shared" si="27"/>
        <v>-647723982</v>
      </c>
      <c r="BF37" s="191">
        <f t="shared" si="27"/>
        <v>-193324959.38999999</v>
      </c>
      <c r="BG37" s="191">
        <f t="shared" si="27"/>
        <v>-136726160.95000002</v>
      </c>
      <c r="BH37" s="191">
        <f t="shared" si="27"/>
        <v>152259919.59999996</v>
      </c>
      <c r="BI37" s="191">
        <f t="shared" si="27"/>
        <v>-4081891</v>
      </c>
      <c r="BJ37" s="191">
        <f t="shared" si="27"/>
        <v>407067995.85000008</v>
      </c>
      <c r="BK37" s="191">
        <f t="shared" si="27"/>
        <v>301172693.19999999</v>
      </c>
      <c r="BL37" s="191">
        <f t="shared" si="27"/>
        <v>122105812.13000001</v>
      </c>
      <c r="BM37" s="191">
        <f t="shared" si="27"/>
        <v>32911565</v>
      </c>
      <c r="BN37" s="191">
        <f t="shared" si="27"/>
        <v>-35230538.760000005</v>
      </c>
      <c r="BO37" s="191">
        <f t="shared" si="27"/>
        <v>288791362</v>
      </c>
      <c r="BP37" s="191">
        <f t="shared" si="27"/>
        <v>256067353.64999998</v>
      </c>
      <c r="BQ37" s="191">
        <f t="shared" si="27"/>
        <v>-240779054</v>
      </c>
      <c r="BR37" s="191">
        <f t="shared" ref="BR37:BW37" si="28">BR27</f>
        <v>-75564095</v>
      </c>
      <c r="BS37" s="191">
        <f t="shared" si="28"/>
        <v>-79336981</v>
      </c>
      <c r="BT37" s="191">
        <f t="shared" si="28"/>
        <v>27543000</v>
      </c>
      <c r="BU37" s="191">
        <f t="shared" si="28"/>
        <v>0</v>
      </c>
      <c r="BV37" s="191">
        <f t="shared" si="28"/>
        <v>0</v>
      </c>
      <c r="BW37" s="191">
        <f t="shared" si="28"/>
        <v>0</v>
      </c>
    </row>
    <row r="38" spans="1:75" s="63" customFormat="1" ht="28.8" x14ac:dyDescent="0.25">
      <c r="A38" s="321" t="s">
        <v>753</v>
      </c>
      <c r="E38" s="63">
        <f>POWER(E37/$U$37,1/4)-1</f>
        <v>0.37890323040547536</v>
      </c>
      <c r="F38" s="63">
        <f t="shared" ref="F38:Y38" si="29">POWER(F37/$U$37,1/4)-1</f>
        <v>0.53614861322677743</v>
      </c>
      <c r="G38" s="63">
        <f t="shared" si="29"/>
        <v>1.864173871387198E-2</v>
      </c>
      <c r="H38" s="63">
        <f t="shared" si="29"/>
        <v>0.16969251912749073</v>
      </c>
      <c r="I38" s="63" t="e">
        <f t="shared" si="29"/>
        <v>#NUM!</v>
      </c>
      <c r="J38" s="63">
        <f t="shared" si="29"/>
        <v>0.18501192643820197</v>
      </c>
      <c r="K38" s="63" t="e">
        <f t="shared" si="29"/>
        <v>#NUM!</v>
      </c>
      <c r="L38" s="63">
        <f t="shared" si="29"/>
        <v>-4.4521194936133823E-2</v>
      </c>
      <c r="M38" s="63">
        <f t="shared" si="29"/>
        <v>-0.25458057558454161</v>
      </c>
      <c r="N38" s="63">
        <f t="shared" si="29"/>
        <v>0.23932038289928093</v>
      </c>
      <c r="O38" s="63">
        <f t="shared" si="29"/>
        <v>-0.22666410805863357</v>
      </c>
      <c r="P38" s="63">
        <f t="shared" si="29"/>
        <v>-8.7473405773335844E-2</v>
      </c>
      <c r="Q38" s="63">
        <f t="shared" si="29"/>
        <v>-0.23916164014751617</v>
      </c>
      <c r="R38" s="63">
        <f t="shared" si="29"/>
        <v>8.7473184557222305E-2</v>
      </c>
      <c r="S38" s="63">
        <f t="shared" si="29"/>
        <v>-0.40152109445454898</v>
      </c>
      <c r="T38" s="63">
        <f t="shared" si="29"/>
        <v>-0.15661494689695876</v>
      </c>
      <c r="U38" s="63">
        <f t="shared" si="29"/>
        <v>0</v>
      </c>
      <c r="V38" s="63">
        <f t="shared" si="29"/>
        <v>6.8598757150677425E-2</v>
      </c>
      <c r="W38" s="63">
        <f t="shared" si="29"/>
        <v>-0.27465188206622304</v>
      </c>
      <c r="X38" s="63">
        <f t="shared" si="29"/>
        <v>-0.18562340176794112</v>
      </c>
      <c r="Y38" s="63" t="e">
        <f t="shared" si="29"/>
        <v>#NUM!</v>
      </c>
    </row>
    <row r="39" spans="1:75" ht="43.2" x14ac:dyDescent="0.25">
      <c r="A39" s="322" t="s">
        <v>510</v>
      </c>
    </row>
    <row r="41" spans="1:75" ht="111" customHeight="1" x14ac:dyDescent="0.25">
      <c r="A41" s="277" t="s">
        <v>733</v>
      </c>
      <c r="B41" s="276"/>
      <c r="C41" s="276"/>
      <c r="D41" s="276"/>
      <c r="E41" s="276"/>
      <c r="F41" s="276"/>
      <c r="G41" s="276"/>
      <c r="H41" s="276"/>
      <c r="I41" s="276"/>
      <c r="J41" s="276"/>
      <c r="K41" s="276"/>
      <c r="L41" s="276"/>
      <c r="M41" s="276"/>
    </row>
    <row r="44" spans="1:75" x14ac:dyDescent="0.25">
      <c r="A44" s="317"/>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opLeftCell="A31" workbookViewId="0">
      <selection activeCell="S38" sqref="S38"/>
    </sheetView>
  </sheetViews>
  <sheetFormatPr defaultRowHeight="14.4" x14ac:dyDescent="0.25"/>
  <cols>
    <col min="1" max="1" width="43.5546875" style="17" bestFit="1" customWidth="1"/>
    <col min="2" max="2" width="27.5546875" style="26" bestFit="1" customWidth="1"/>
    <col min="3" max="3" width="38" bestFit="1" customWidth="1"/>
    <col min="4" max="4" width="22.6640625" bestFit="1" customWidth="1"/>
    <col min="5" max="8" width="19.33203125" bestFit="1" customWidth="1"/>
    <col min="9" max="9" width="24.88671875" bestFit="1" customWidth="1"/>
    <col min="10" max="11" width="19.33203125" bestFit="1" customWidth="1"/>
    <col min="12" max="12" width="40.21875" bestFit="1" customWidth="1"/>
    <col min="13" max="18" width="20.44140625" bestFit="1" customWidth="1"/>
    <col min="19" max="19" width="21.5546875" bestFit="1" customWidth="1"/>
    <col min="20" max="74" width="9.44140625" bestFit="1" customWidth="1"/>
  </cols>
  <sheetData>
    <row r="1" spans="1:10" ht="16.2" customHeight="1" x14ac:dyDescent="0.25">
      <c r="A1" s="67" t="s">
        <v>511</v>
      </c>
      <c r="B1" s="68">
        <f>自由现金流分析表!E1</f>
        <v>43100</v>
      </c>
      <c r="C1" s="189" t="s">
        <v>748</v>
      </c>
      <c r="D1" s="272">
        <v>0.08</v>
      </c>
      <c r="E1" s="260" t="s">
        <v>747</v>
      </c>
      <c r="F1" s="63">
        <f>平均资本成本表!E13</f>
        <v>5.2002854980527209E-2</v>
      </c>
    </row>
    <row r="2" spans="1:10" x14ac:dyDescent="0.25">
      <c r="A2" s="69" t="s">
        <v>512</v>
      </c>
      <c r="B2" s="70">
        <f>自由现金流分析表!Y27</f>
        <v>-1308149066</v>
      </c>
      <c r="C2" t="s">
        <v>545</v>
      </c>
      <c r="D2" s="63"/>
      <c r="E2" s="63"/>
      <c r="F2" s="56"/>
    </row>
    <row r="3" spans="1:10" s="63" customFormat="1" x14ac:dyDescent="0.25">
      <c r="A3" s="71" t="s">
        <v>513</v>
      </c>
      <c r="B3" s="97">
        <v>0</v>
      </c>
      <c r="D3" s="188"/>
      <c r="E3" s="188"/>
      <c r="F3" s="258"/>
    </row>
    <row r="4" spans="1:10" s="63" customFormat="1" x14ac:dyDescent="0.25">
      <c r="A4" s="71" t="s">
        <v>514</v>
      </c>
      <c r="B4" s="97">
        <f>F1</f>
        <v>5.2002854980527209E-2</v>
      </c>
      <c r="D4" s="188"/>
      <c r="E4" s="188"/>
      <c r="F4" s="259"/>
    </row>
    <row r="5" spans="1:10" x14ac:dyDescent="0.25">
      <c r="A5" s="69" t="s">
        <v>515</v>
      </c>
      <c r="B5" s="70">
        <f>B2*(1+B3)/(B4-B3)</f>
        <v>-25155331692.651192</v>
      </c>
      <c r="D5" s="63"/>
      <c r="E5" s="63"/>
    </row>
    <row r="6" spans="1:10" x14ac:dyDescent="0.25">
      <c r="A6" s="69" t="s">
        <v>516</v>
      </c>
      <c r="B6" s="70">
        <f>资产资本表!E17</f>
        <v>59374849696</v>
      </c>
      <c r="D6" s="188"/>
      <c r="E6" s="188"/>
      <c r="F6" s="188"/>
      <c r="G6" s="188"/>
    </row>
    <row r="7" spans="1:10" x14ac:dyDescent="0.25">
      <c r="A7" s="69" t="s">
        <v>517</v>
      </c>
      <c r="B7" s="70">
        <f>资产资本表!E19</f>
        <v>6928854415</v>
      </c>
      <c r="D7" s="188"/>
      <c r="E7" s="188"/>
      <c r="F7" s="188"/>
      <c r="G7" s="188"/>
    </row>
    <row r="8" spans="1:10" x14ac:dyDescent="0.25">
      <c r="A8" s="69" t="s">
        <v>518</v>
      </c>
      <c r="B8" s="195">
        <f>资产资本表!E89</f>
        <v>112453996110</v>
      </c>
      <c r="C8" s="270" t="s">
        <v>745</v>
      </c>
      <c r="D8" s="271">
        <f>B2/B4</f>
        <v>-25155331692.651192</v>
      </c>
      <c r="E8" s="63"/>
      <c r="F8" s="188"/>
      <c r="G8" s="188"/>
    </row>
    <row r="9" spans="1:10" x14ac:dyDescent="0.25">
      <c r="A9" s="69" t="s">
        <v>519</v>
      </c>
      <c r="B9" s="195">
        <f>B5+B6+B7-B8</f>
        <v>-71305623691.651184</v>
      </c>
      <c r="C9" s="270" t="s">
        <v>746</v>
      </c>
      <c r="D9" s="271">
        <f>(D8+资产资本结构分析表!$E$2+资产资本结构分析表!$E$3)/B55</f>
        <v>1.1824789036586514</v>
      </c>
      <c r="E9" s="188"/>
      <c r="F9" s="188"/>
      <c r="G9" s="188"/>
    </row>
    <row r="10" spans="1:10" x14ac:dyDescent="0.25">
      <c r="A10" s="69" t="s">
        <v>520</v>
      </c>
      <c r="B10" s="72">
        <f>资产资本表!E103/资产资本表!E107</f>
        <v>0.18674386649485383</v>
      </c>
      <c r="D10" s="188"/>
      <c r="E10" s="188"/>
      <c r="F10" s="188"/>
      <c r="G10" s="188"/>
    </row>
    <row r="11" spans="1:10" x14ac:dyDescent="0.25">
      <c r="A11" s="69" t="s">
        <v>546</v>
      </c>
      <c r="B11" s="195">
        <f>B9*(1-B10)</f>
        <v>-57989735820.645187</v>
      </c>
      <c r="C11" s="267" t="s">
        <v>742</v>
      </c>
      <c r="D11" s="268">
        <f>资产资本结构分析表!E2</f>
        <v>59374849696</v>
      </c>
      <c r="E11" s="63"/>
      <c r="F11" s="188"/>
      <c r="G11" s="188"/>
    </row>
    <row r="12" spans="1:10" x14ac:dyDescent="0.25">
      <c r="A12" s="69" t="s">
        <v>521</v>
      </c>
      <c r="B12" s="266">
        <f>B55</f>
        <v>34798398763</v>
      </c>
      <c r="C12" s="267" t="s">
        <v>743</v>
      </c>
      <c r="D12" s="269">
        <f>D11/B55</f>
        <v>1.7062523508734355</v>
      </c>
      <c r="E12" s="188"/>
      <c r="F12" s="188"/>
      <c r="G12" s="188"/>
    </row>
    <row r="13" spans="1:10" ht="15" thickBot="1" x14ac:dyDescent="0.3">
      <c r="A13" s="73" t="s">
        <v>522</v>
      </c>
      <c r="B13" s="74">
        <f>B11/B12</f>
        <v>-1.6664483965366756</v>
      </c>
      <c r="D13" s="188"/>
      <c r="E13" s="188"/>
    </row>
    <row r="14" spans="1:10" s="16" customFormat="1" ht="53.25" customHeight="1" x14ac:dyDescent="0.25">
      <c r="A14" s="277" t="s">
        <v>735</v>
      </c>
      <c r="B14" s="276"/>
      <c r="C14" s="276"/>
      <c r="D14" s="276"/>
      <c r="E14" s="276"/>
      <c r="F14" s="276"/>
      <c r="G14" s="276"/>
      <c r="H14" s="276"/>
      <c r="I14" s="276"/>
    </row>
    <row r="16" spans="1:10" x14ac:dyDescent="0.25">
      <c r="A16" s="87"/>
      <c r="B16" s="75"/>
      <c r="C16" s="76"/>
      <c r="D16" s="76"/>
      <c r="E16" s="76"/>
      <c r="F16" s="76"/>
      <c r="G16" s="76"/>
      <c r="H16" s="76"/>
      <c r="I16" s="77"/>
      <c r="J16" s="76"/>
    </row>
    <row r="17" spans="1:10" s="63" customFormat="1" x14ac:dyDescent="0.25">
      <c r="A17" s="89"/>
      <c r="B17" s="89"/>
      <c r="C17" s="89" t="s">
        <v>538</v>
      </c>
      <c r="D17" s="89">
        <v>0.1</v>
      </c>
      <c r="E17" s="89"/>
      <c r="F17" s="89"/>
      <c r="G17" s="89"/>
      <c r="H17" s="89" t="s">
        <v>539</v>
      </c>
      <c r="I17" s="89">
        <v>0.02</v>
      </c>
      <c r="J17" s="77"/>
    </row>
    <row r="18" spans="1:10" s="2" customFormat="1" x14ac:dyDescent="0.25">
      <c r="A18" s="298" t="s">
        <v>523</v>
      </c>
      <c r="B18" s="298"/>
      <c r="C18" s="65" t="s">
        <v>537</v>
      </c>
      <c r="D18" s="96">
        <v>1</v>
      </c>
      <c r="E18" s="96">
        <v>2</v>
      </c>
      <c r="F18" s="96">
        <v>3</v>
      </c>
      <c r="G18" s="96">
        <v>4</v>
      </c>
      <c r="H18" s="96">
        <v>5</v>
      </c>
      <c r="I18" s="95">
        <v>6</v>
      </c>
      <c r="J18" s="79"/>
    </row>
    <row r="19" spans="1:10" s="26" customFormat="1" x14ac:dyDescent="0.25">
      <c r="A19" s="98" t="s">
        <v>524</v>
      </c>
      <c r="B19" s="93"/>
      <c r="C19" s="88">
        <f>B2</f>
        <v>-1308149066</v>
      </c>
      <c r="D19" s="88">
        <f>C19*(1+$D$17)</f>
        <v>-1438963972.6000001</v>
      </c>
      <c r="E19" s="88">
        <f>D19*(1+$D$17)</f>
        <v>-1582860369.8600004</v>
      </c>
      <c r="F19" s="88">
        <f>E19*(1+$D$17)</f>
        <v>-1741146406.8460004</v>
      </c>
      <c r="G19" s="88">
        <f>F19*(1+$D$17)</f>
        <v>-1915261047.5306005</v>
      </c>
      <c r="H19" s="88">
        <f>G19*(1+$D$17)</f>
        <v>-2106787152.2836609</v>
      </c>
      <c r="I19" s="88">
        <f>H19*(1+I17)</f>
        <v>-2148922895.3293343</v>
      </c>
      <c r="J19" s="75"/>
    </row>
    <row r="20" spans="1:10" s="26" customFormat="1" x14ac:dyDescent="0.25">
      <c r="A20" s="98" t="s">
        <v>525</v>
      </c>
      <c r="B20" s="94">
        <f>B4</f>
        <v>5.2002854980527209E-2</v>
      </c>
      <c r="C20" s="88"/>
      <c r="D20" s="88">
        <f t="shared" ref="D20:I20" si="0">(1+$B$20)^D18</f>
        <v>1.0520028549805271</v>
      </c>
      <c r="E20" s="88">
        <f t="shared" si="0"/>
        <v>1.10671000688718</v>
      </c>
      <c r="F20" s="88">
        <f t="shared" si="0"/>
        <v>1.1642620868808322</v>
      </c>
      <c r="G20" s="88">
        <f t="shared" si="0"/>
        <v>1.2248070393442221</v>
      </c>
      <c r="H20" s="88">
        <f t="shared" si="0"/>
        <v>1.2885005021903684</v>
      </c>
      <c r="I20" s="88">
        <f t="shared" si="0"/>
        <v>1.3555062069481105</v>
      </c>
      <c r="J20" s="75"/>
    </row>
    <row r="21" spans="1:10" s="26" customFormat="1" x14ac:dyDescent="0.25">
      <c r="A21" s="299" t="s">
        <v>526</v>
      </c>
      <c r="B21" s="299"/>
      <c r="C21" s="88"/>
      <c r="D21" s="88">
        <f>D19/D20</f>
        <v>-1367832763.74914</v>
      </c>
      <c r="E21" s="88">
        <f>E19/E20</f>
        <v>-1430239502.6788259</v>
      </c>
      <c r="F21" s="88">
        <f>F19/F20</f>
        <v>-1495493520.2869103</v>
      </c>
      <c r="G21" s="88">
        <f>G19/G20</f>
        <v>-1563724722.3497806</v>
      </c>
      <c r="H21" s="88">
        <f>H19/H20</f>
        <v>-1635068941.5349529</v>
      </c>
      <c r="I21" s="88">
        <f>I19/((B20-I17)*I20)</f>
        <v>-49537102322.734169</v>
      </c>
      <c r="J21" s="75"/>
    </row>
    <row r="22" spans="1:10" s="26" customFormat="1" x14ac:dyDescent="0.25">
      <c r="A22" s="299" t="s">
        <v>544</v>
      </c>
      <c r="B22" s="299"/>
      <c r="C22" s="88"/>
      <c r="D22" s="295">
        <f>SUM(D21:H21)</f>
        <v>-7492359450.5996103</v>
      </c>
      <c r="E22" s="296"/>
      <c r="F22" s="296"/>
      <c r="G22" s="296"/>
      <c r="H22" s="297"/>
      <c r="I22" s="88">
        <f>I21</f>
        <v>-49537102322.734169</v>
      </c>
      <c r="J22" s="75"/>
    </row>
    <row r="23" spans="1:10" x14ac:dyDescent="0.25">
      <c r="A23" s="91" t="s">
        <v>527</v>
      </c>
      <c r="B23" s="75">
        <f>D22+I22</f>
        <v>-57029461773.333778</v>
      </c>
      <c r="C23" s="76"/>
      <c r="D23" s="76"/>
      <c r="E23" s="76"/>
      <c r="F23" s="76"/>
      <c r="G23" s="76"/>
      <c r="H23" s="76"/>
      <c r="I23" s="78"/>
      <c r="J23" s="76"/>
    </row>
    <row r="24" spans="1:10" x14ac:dyDescent="0.25">
      <c r="A24" s="91" t="s">
        <v>528</v>
      </c>
      <c r="B24" s="75">
        <f>B23</f>
        <v>-57029461773.333778</v>
      </c>
      <c r="C24" s="76"/>
      <c r="D24" s="76"/>
      <c r="E24" s="76"/>
      <c r="F24" s="76"/>
      <c r="G24" s="76"/>
      <c r="H24" s="76"/>
      <c r="I24" s="78"/>
      <c r="J24" s="76"/>
    </row>
    <row r="25" spans="1:10" x14ac:dyDescent="0.25">
      <c r="A25" s="69" t="s">
        <v>529</v>
      </c>
      <c r="B25" s="70">
        <f>资产资本表!E17</f>
        <v>59374849696</v>
      </c>
      <c r="C25" s="76"/>
      <c r="D25" s="76"/>
      <c r="E25" s="76"/>
      <c r="F25" s="76"/>
      <c r="G25" s="76"/>
      <c r="H25" s="76"/>
      <c r="I25" s="78"/>
      <c r="J25" s="76"/>
    </row>
    <row r="26" spans="1:10" x14ac:dyDescent="0.25">
      <c r="A26" s="69" t="s">
        <v>530</v>
      </c>
      <c r="B26" s="70">
        <f>资产资本表!E19</f>
        <v>6928854415</v>
      </c>
      <c r="C26" s="76"/>
      <c r="D26" s="76"/>
      <c r="E26" s="76"/>
      <c r="F26" s="76"/>
      <c r="G26" s="76"/>
      <c r="H26" s="76"/>
      <c r="I26" s="78"/>
      <c r="J26" s="76"/>
    </row>
    <row r="27" spans="1:10" x14ac:dyDescent="0.25">
      <c r="A27" s="69" t="s">
        <v>531</v>
      </c>
      <c r="B27" s="70">
        <f>资产资本表!E89</f>
        <v>112453996110</v>
      </c>
      <c r="C27" s="76"/>
      <c r="D27" s="76"/>
      <c r="E27" s="76"/>
      <c r="F27" s="76"/>
      <c r="G27" s="76"/>
      <c r="H27" s="76"/>
      <c r="I27" s="78"/>
      <c r="J27" s="76"/>
    </row>
    <row r="28" spans="1:10" s="2" customFormat="1" x14ac:dyDescent="0.25">
      <c r="A28" s="81" t="s">
        <v>532</v>
      </c>
      <c r="B28" s="82">
        <f>B24+B25+B26-B27</f>
        <v>-103179753772.33377</v>
      </c>
      <c r="C28" s="79"/>
      <c r="D28" s="79"/>
      <c r="E28" s="79"/>
      <c r="F28" s="79"/>
      <c r="G28" s="79"/>
      <c r="H28" s="79"/>
      <c r="I28" s="80"/>
      <c r="J28" s="79"/>
    </row>
    <row r="29" spans="1:10" x14ac:dyDescent="0.25">
      <c r="A29" s="69" t="s">
        <v>533</v>
      </c>
      <c r="B29" s="77">
        <f>资产资本表!E103/资产资本表!E107</f>
        <v>0.18674386649485383</v>
      </c>
      <c r="C29" s="300" t="s">
        <v>540</v>
      </c>
      <c r="D29" s="300"/>
      <c r="E29" s="300"/>
      <c r="F29" s="76"/>
      <c r="G29" s="76"/>
      <c r="H29" s="76"/>
      <c r="I29" s="78"/>
      <c r="J29" s="76"/>
    </row>
    <row r="30" spans="1:10" s="2" customFormat="1" x14ac:dyDescent="0.25">
      <c r="A30" s="81" t="s">
        <v>534</v>
      </c>
      <c r="B30" s="82">
        <f>B28*(1-B29)</f>
        <v>-83911567608.901184</v>
      </c>
      <c r="C30" s="90">
        <v>0.4</v>
      </c>
      <c r="D30" s="90">
        <v>0.3</v>
      </c>
      <c r="E30" s="90">
        <v>0.2</v>
      </c>
      <c r="F30" s="79"/>
      <c r="G30" s="79"/>
      <c r="H30" s="79"/>
      <c r="I30" s="80"/>
      <c r="J30" s="79"/>
    </row>
    <row r="31" spans="1:10" x14ac:dyDescent="0.25">
      <c r="A31" s="69" t="s">
        <v>744</v>
      </c>
      <c r="B31" s="100">
        <f>B55</f>
        <v>34798398763</v>
      </c>
      <c r="C31" s="213">
        <f>$B$32*(1-C30)</f>
        <v>-1.4468177374550051</v>
      </c>
      <c r="D31" s="213">
        <f>$B$32*(1-D30)</f>
        <v>-1.6879540270308391</v>
      </c>
      <c r="E31" s="213">
        <f>$B$32*(1-E30)</f>
        <v>-1.9290903166066735</v>
      </c>
      <c r="F31" s="76"/>
      <c r="G31" s="76"/>
      <c r="H31" s="76"/>
      <c r="I31" s="78"/>
      <c r="J31" s="76"/>
    </row>
    <row r="32" spans="1:10" s="2" customFormat="1" ht="15" thickBot="1" x14ac:dyDescent="0.3">
      <c r="A32" s="83" t="s">
        <v>535</v>
      </c>
      <c r="B32" s="84">
        <f>B30/B31</f>
        <v>-2.4113628957583417</v>
      </c>
      <c r="C32" s="85"/>
      <c r="D32" s="85"/>
      <c r="E32" s="85"/>
      <c r="F32" s="85"/>
      <c r="G32" s="85"/>
      <c r="H32" s="85"/>
      <c r="I32" s="86"/>
      <c r="J32" s="79"/>
    </row>
    <row r="33" spans="1:19" ht="63" customHeight="1" x14ac:dyDescent="0.25">
      <c r="A33" s="301" t="s">
        <v>736</v>
      </c>
      <c r="B33" s="302"/>
      <c r="C33" s="302"/>
      <c r="D33" s="302"/>
      <c r="E33" s="302"/>
      <c r="F33" s="302"/>
      <c r="G33" s="302"/>
      <c r="H33" s="302"/>
      <c r="I33" s="302"/>
    </row>
    <row r="37" spans="1:19" s="63" customFormat="1" x14ac:dyDescent="0.25">
      <c r="A37" s="202"/>
      <c r="B37" s="202"/>
      <c r="C37" s="212" t="s">
        <v>538</v>
      </c>
      <c r="D37" s="212">
        <v>0.34379999999999999</v>
      </c>
      <c r="E37" s="212"/>
      <c r="F37" s="212"/>
      <c r="G37" s="212"/>
      <c r="H37" s="212" t="s">
        <v>633</v>
      </c>
      <c r="I37" s="212">
        <v>0.05</v>
      </c>
      <c r="J37" s="212"/>
      <c r="K37" s="212"/>
      <c r="L37" s="212"/>
      <c r="M37" s="212"/>
      <c r="N37" s="212"/>
      <c r="O37" s="212"/>
      <c r="P37" s="212"/>
      <c r="Q37" s="212"/>
      <c r="R37" s="212" t="s">
        <v>543</v>
      </c>
      <c r="S37" s="212">
        <v>0</v>
      </c>
    </row>
    <row r="38" spans="1:19" s="24" customFormat="1" x14ac:dyDescent="0.25">
      <c r="A38" s="309" t="s">
        <v>541</v>
      </c>
      <c r="B38" s="310"/>
      <c r="C38" s="214" t="s">
        <v>537</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x14ac:dyDescent="0.25">
      <c r="A39" s="98" t="s">
        <v>524</v>
      </c>
      <c r="B39" s="93"/>
      <c r="C39" s="88">
        <f>B2</f>
        <v>-1308149066</v>
      </c>
      <c r="D39" s="88">
        <f>$C$39*(1+$D$37)^D38</f>
        <v>-1757890714.8907998</v>
      </c>
      <c r="E39" s="88">
        <f>$C$39*(1+$D$37)^E38</f>
        <v>-2362253542.6702566</v>
      </c>
      <c r="F39" s="88">
        <f>$C$39*(1+$D$37)^F38</f>
        <v>-3174396310.6402907</v>
      </c>
      <c r="G39" s="88">
        <f>$C$39*(1+$D$37)^G38</f>
        <v>-4265753762.2384224</v>
      </c>
      <c r="H39" s="88">
        <f>$C$39*(1+$D$37)^H38</f>
        <v>-5732319905.6959915</v>
      </c>
      <c r="I39" s="88">
        <f>H39*(1+$I$37)</f>
        <v>-6018935900.9807911</v>
      </c>
      <c r="J39" s="88">
        <f t="shared" ref="J39:N39" si="1">I39*(1+$I$37)</f>
        <v>-6319882696.0298309</v>
      </c>
      <c r="K39" s="88">
        <f t="shared" si="1"/>
        <v>-6635876830.8313227</v>
      </c>
      <c r="L39" s="88">
        <f t="shared" si="1"/>
        <v>-6967670672.3728895</v>
      </c>
      <c r="M39" s="88">
        <f t="shared" si="1"/>
        <v>-7316054205.9915342</v>
      </c>
      <c r="N39" s="88">
        <f t="shared" si="1"/>
        <v>-7681856916.291111</v>
      </c>
      <c r="O39" s="88">
        <f t="shared" ref="O39" si="2">N39*(1+$I$37)</f>
        <v>-8065949762.1056671</v>
      </c>
      <c r="P39" s="88">
        <f t="shared" ref="P39" si="3">O39*(1+$I$37)</f>
        <v>-8469247250.2109509</v>
      </c>
      <c r="Q39" s="88">
        <f t="shared" ref="Q39" si="4">P39*(1+$I$37)</f>
        <v>-8892709612.7214985</v>
      </c>
      <c r="R39" s="88">
        <f t="shared" ref="R39" si="5">Q39*(1+$I$37)</f>
        <v>-9337345093.3575745</v>
      </c>
      <c r="S39" s="88">
        <f>R39*(1+S37)</f>
        <v>-9337345093.3575745</v>
      </c>
    </row>
    <row r="40" spans="1:19" s="23" customFormat="1" x14ac:dyDescent="0.25">
      <c r="A40" s="208" t="s">
        <v>525</v>
      </c>
      <c r="B40" s="207">
        <f>B4</f>
        <v>5.2002854980527209E-2</v>
      </c>
      <c r="C40" s="213"/>
      <c r="D40" s="213">
        <f>(1+$B$40)^D38</f>
        <v>1.0520028549805271</v>
      </c>
      <c r="E40" s="213">
        <f t="shared" ref="E40:R40" si="6">(1+$B$40)^E38</f>
        <v>1.10671000688718</v>
      </c>
      <c r="F40" s="213">
        <f t="shared" si="6"/>
        <v>1.1642620868808322</v>
      </c>
      <c r="G40" s="213">
        <f t="shared" si="6"/>
        <v>1.2248070393442221</v>
      </c>
      <c r="H40" s="213">
        <f t="shared" si="6"/>
        <v>1.2885005021903684</v>
      </c>
      <c r="I40" s="213">
        <f t="shared" si="6"/>
        <v>1.3555062069481105</v>
      </c>
      <c r="J40" s="213">
        <f t="shared" si="6"/>
        <v>1.4259963996532377</v>
      </c>
      <c r="K40" s="213">
        <f t="shared" si="6"/>
        <v>1.5001522836271588</v>
      </c>
      <c r="L40" s="213">
        <f t="shared" si="6"/>
        <v>1.5781644852813286</v>
      </c>
      <c r="M40" s="213">
        <f t="shared" si="6"/>
        <v>1.6602335441448317</v>
      </c>
      <c r="N40" s="213">
        <f t="shared" si="6"/>
        <v>1.746570428374802</v>
      </c>
      <c r="O40" s="213">
        <f t="shared" si="6"/>
        <v>1.837397077074854</v>
      </c>
      <c r="P40" s="213">
        <f t="shared" si="6"/>
        <v>1.9329469708156219</v>
      </c>
      <c r="Q40" s="213">
        <f t="shared" si="6"/>
        <v>2.0334657318239961</v>
      </c>
      <c r="R40" s="213">
        <f t="shared" si="6"/>
        <v>2.139211755383911</v>
      </c>
      <c r="S40" s="181">
        <f>(1+$B$40)^S38</f>
        <v>2.2504568740717796</v>
      </c>
    </row>
    <row r="41" spans="1:19" s="191" customFormat="1" x14ac:dyDescent="0.25">
      <c r="A41" s="311" t="s">
        <v>526</v>
      </c>
      <c r="B41" s="312"/>
      <c r="C41" s="88"/>
      <c r="D41" s="88">
        <f t="shared" ref="D41:R41" si="7">D39/D40</f>
        <v>-1670994243.5691762</v>
      </c>
      <c r="E41" s="88">
        <f t="shared" si="7"/>
        <v>-2134482861.7882633</v>
      </c>
      <c r="F41" s="88">
        <f t="shared" si="7"/>
        <v>-2726530689.6188617</v>
      </c>
      <c r="G41" s="88">
        <f t="shared" si="7"/>
        <v>-3482796575.4690332</v>
      </c>
      <c r="H41" s="88">
        <f t="shared" si="7"/>
        <v>-4448830168.053031</v>
      </c>
      <c r="I41" s="88">
        <f t="shared" si="7"/>
        <v>-4440360265.5072155</v>
      </c>
      <c r="J41" s="88">
        <f t="shared" si="7"/>
        <v>-4431906488.3800898</v>
      </c>
      <c r="K41" s="88">
        <f t="shared" si="7"/>
        <v>-4423468805.9712839</v>
      </c>
      <c r="L41" s="88">
        <f t="shared" si="7"/>
        <v>-4415047187.6388798</v>
      </c>
      <c r="M41" s="88">
        <f t="shared" si="7"/>
        <v>-4406641602.7992945</v>
      </c>
      <c r="N41" s="88">
        <f t="shared" si="7"/>
        <v>-4398252020.9271727</v>
      </c>
      <c r="O41" s="88">
        <f t="shared" si="7"/>
        <v>-4389878411.5552759</v>
      </c>
      <c r="P41" s="88">
        <f t="shared" si="7"/>
        <v>-4381520744.2743692</v>
      </c>
      <c r="Q41" s="88">
        <f t="shared" si="7"/>
        <v>-4373178988.7331104</v>
      </c>
      <c r="R41" s="88">
        <f t="shared" si="7"/>
        <v>-4364853114.6379471</v>
      </c>
      <c r="S41" s="88">
        <f>S39/((B40-S37)*S40)</f>
        <v>-79785785998.980804</v>
      </c>
    </row>
    <row r="42" spans="1:19" s="23" customFormat="1" x14ac:dyDescent="0.25">
      <c r="A42" s="313" t="s">
        <v>544</v>
      </c>
      <c r="B42" s="314"/>
      <c r="C42" s="213"/>
      <c r="D42" s="306">
        <f>SUM(D41:H41)</f>
        <v>-14463634538.498367</v>
      </c>
      <c r="E42" s="307"/>
      <c r="F42" s="307"/>
      <c r="G42" s="307"/>
      <c r="H42" s="308"/>
      <c r="I42" s="306">
        <f>SUM(I41:R41)</f>
        <v>-44025107630.424637</v>
      </c>
      <c r="J42" s="307"/>
      <c r="K42" s="307"/>
      <c r="L42" s="307"/>
      <c r="M42" s="307"/>
      <c r="N42" s="307"/>
      <c r="O42" s="307"/>
      <c r="P42" s="307"/>
      <c r="Q42" s="307"/>
      <c r="R42" s="308"/>
      <c r="S42" s="213">
        <f>S41</f>
        <v>-79785785998.980804</v>
      </c>
    </row>
    <row r="43" spans="1:19" x14ac:dyDescent="0.25">
      <c r="A43" s="204" t="s">
        <v>542</v>
      </c>
      <c r="B43" s="195">
        <f>D42+I42+S42</f>
        <v>-138274528167.90381</v>
      </c>
      <c r="C43" s="196"/>
      <c r="D43" s="196"/>
      <c r="E43" s="196"/>
      <c r="F43" s="196"/>
      <c r="G43" s="196"/>
      <c r="H43" s="196"/>
      <c r="I43" s="196"/>
      <c r="J43" s="196"/>
      <c r="K43" s="196"/>
      <c r="L43" s="196"/>
      <c r="M43" s="196"/>
      <c r="N43" s="196"/>
      <c r="O43" s="196"/>
      <c r="P43" s="196"/>
      <c r="Q43" s="196"/>
      <c r="R43" s="196"/>
      <c r="S43" s="198"/>
    </row>
    <row r="44" spans="1:19" x14ac:dyDescent="0.25">
      <c r="A44" s="204" t="s">
        <v>528</v>
      </c>
      <c r="B44" s="195">
        <f>B43</f>
        <v>-138274528167.90381</v>
      </c>
      <c r="C44" s="196"/>
      <c r="D44" s="196"/>
      <c r="E44" s="196"/>
      <c r="F44" s="196"/>
      <c r="G44" s="196"/>
      <c r="H44" s="196"/>
      <c r="I44" s="196"/>
      <c r="J44" s="196"/>
      <c r="K44" s="196"/>
      <c r="L44" s="196"/>
      <c r="M44" s="196"/>
      <c r="N44" s="196"/>
      <c r="O44" s="196"/>
      <c r="P44" s="196"/>
      <c r="Q44" s="196"/>
      <c r="R44" s="196"/>
      <c r="S44" s="198"/>
    </row>
    <row r="45" spans="1:19" x14ac:dyDescent="0.25">
      <c r="A45" s="194" t="s">
        <v>529</v>
      </c>
      <c r="B45" s="195">
        <f>资产资本表!E17</f>
        <v>59374849696</v>
      </c>
      <c r="C45" s="196"/>
      <c r="D45" s="196"/>
      <c r="E45" s="196"/>
      <c r="F45" s="196"/>
      <c r="G45" s="196"/>
      <c r="H45" s="196"/>
      <c r="I45" s="196"/>
      <c r="J45" s="196"/>
      <c r="K45" s="196"/>
      <c r="L45" s="196"/>
      <c r="M45" s="196"/>
      <c r="N45" s="196"/>
      <c r="O45" s="196"/>
      <c r="P45" s="196"/>
      <c r="Q45" s="196"/>
      <c r="R45" s="196"/>
      <c r="S45" s="198"/>
    </row>
    <row r="46" spans="1:19" x14ac:dyDescent="0.25">
      <c r="A46" s="194" t="s">
        <v>530</v>
      </c>
      <c r="B46" s="195">
        <f>资产资本表!E19</f>
        <v>6928854415</v>
      </c>
      <c r="C46" s="196"/>
      <c r="D46" s="196"/>
      <c r="E46" s="196"/>
      <c r="F46" s="196"/>
      <c r="G46" s="196"/>
      <c r="H46" s="196"/>
      <c r="I46" s="196"/>
      <c r="J46" s="196"/>
      <c r="K46" s="196"/>
      <c r="L46" s="196"/>
      <c r="M46" s="196"/>
      <c r="N46" s="196"/>
      <c r="O46" s="196"/>
      <c r="P46" s="196"/>
      <c r="Q46" s="196"/>
      <c r="R46" s="196"/>
      <c r="S46" s="198"/>
    </row>
    <row r="47" spans="1:19" x14ac:dyDescent="0.25">
      <c r="A47" s="194" t="s">
        <v>531</v>
      </c>
      <c r="B47" s="195">
        <f>资产资本表!E89</f>
        <v>112453996110</v>
      </c>
      <c r="C47" s="196"/>
      <c r="D47" s="196"/>
      <c r="E47" s="196"/>
      <c r="F47" s="196"/>
      <c r="G47" s="196"/>
      <c r="H47" s="196"/>
      <c r="I47" s="196"/>
      <c r="J47" s="196"/>
      <c r="K47" s="196"/>
      <c r="L47" s="196"/>
      <c r="M47" s="196"/>
      <c r="N47" s="196"/>
      <c r="O47" s="196"/>
      <c r="P47" s="196"/>
      <c r="Q47" s="196"/>
      <c r="R47" s="196"/>
      <c r="S47" s="198"/>
    </row>
    <row r="48" spans="1:19" x14ac:dyDescent="0.25">
      <c r="A48" s="199" t="s">
        <v>532</v>
      </c>
      <c r="B48" s="195">
        <f>B44+B45+B46-B47</f>
        <v>-184424820166.90381</v>
      </c>
      <c r="C48" s="196"/>
      <c r="D48" s="196"/>
      <c r="E48" s="196"/>
      <c r="F48" s="196"/>
      <c r="G48" s="196"/>
      <c r="H48" s="196"/>
      <c r="I48" s="196"/>
      <c r="J48" s="196"/>
      <c r="K48" s="196"/>
      <c r="L48" s="196"/>
      <c r="M48" s="196"/>
      <c r="N48" s="196"/>
      <c r="O48" s="196"/>
      <c r="P48" s="196"/>
      <c r="Q48" s="196"/>
      <c r="R48" s="196"/>
      <c r="S48" s="198"/>
    </row>
    <row r="49" spans="1:74" x14ac:dyDescent="0.25">
      <c r="A49" s="194" t="s">
        <v>533</v>
      </c>
      <c r="B49" s="197">
        <f>资产资本表!E103/资产资本表!E107</f>
        <v>0.18674386649485383</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x14ac:dyDescent="0.25">
      <c r="A50" s="199" t="s">
        <v>534</v>
      </c>
      <c r="B50" s="195">
        <f>B48*(1-B49)</f>
        <v>-149984616171.31808</v>
      </c>
      <c r="C50" s="303" t="s">
        <v>540</v>
      </c>
      <c r="D50" s="304"/>
      <c r="E50" s="305"/>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x14ac:dyDescent="0.25">
      <c r="A51" s="194" t="s">
        <v>536</v>
      </c>
      <c r="B51" s="209">
        <f>B55</f>
        <v>34798398763</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5" thickBot="1" x14ac:dyDescent="0.3">
      <c r="A52" s="200" t="s">
        <v>535</v>
      </c>
      <c r="B52" s="205">
        <f>B50/B51</f>
        <v>-4.31010108231738</v>
      </c>
      <c r="C52" s="206">
        <f>$B$52*(1-C51)</f>
        <v>-2.5860606493904279</v>
      </c>
      <c r="D52" s="206">
        <f>$B$52*(1-D51)</f>
        <v>-3.0170707576221658</v>
      </c>
      <c r="E52" s="206">
        <f>$B$52*(1-E51)</f>
        <v>-3.4480808658539042</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x14ac:dyDescent="0.3">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2" customFormat="1" x14ac:dyDescent="0.25">
      <c r="A54" s="193">
        <v>725</v>
      </c>
      <c r="B54" s="178">
        <f>自由现金流分析表!E1</f>
        <v>43100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1" customFormat="1" x14ac:dyDescent="0.25">
      <c r="A55" s="210" t="s">
        <v>547</v>
      </c>
      <c r="B55" s="99">
        <v>34798398763</v>
      </c>
      <c r="C55" s="211"/>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5" thickBot="1" x14ac:dyDescent="0.3">
      <c r="A56" s="73"/>
      <c r="B56" s="92"/>
    </row>
    <row r="57" spans="1:74" ht="52.8" customHeight="1" x14ac:dyDescent="0.25">
      <c r="A57" s="293" t="s">
        <v>737</v>
      </c>
      <c r="B57" s="294"/>
      <c r="C57" s="294"/>
      <c r="D57" s="294"/>
      <c r="E57" s="294"/>
      <c r="F57" s="294"/>
      <c r="G57" s="294"/>
      <c r="H57" s="294"/>
      <c r="I57" s="294"/>
    </row>
    <row r="60" spans="1:74" s="154" customFormat="1" ht="51" customHeight="1" x14ac:dyDescent="0.25">
      <c r="A60" s="291" t="s">
        <v>605</v>
      </c>
      <c r="B60" s="292"/>
      <c r="C60" s="292"/>
      <c r="D60" s="292"/>
      <c r="E60" s="292"/>
      <c r="F60" s="292"/>
      <c r="G60" s="292"/>
      <c r="H60" s="292"/>
      <c r="I60" s="292"/>
    </row>
    <row r="63" spans="1:74" s="4" customFormat="1" x14ac:dyDescent="0.25">
      <c r="A63" s="176" t="s">
        <v>607</v>
      </c>
      <c r="B63" s="175" t="s">
        <v>608</v>
      </c>
      <c r="C63" s="95" t="s">
        <v>609</v>
      </c>
      <c r="D63" s="95" t="s">
        <v>610</v>
      </c>
      <c r="E63" s="95" t="s">
        <v>625</v>
      </c>
      <c r="F63" s="95" t="s">
        <v>611</v>
      </c>
      <c r="G63" s="95" t="s">
        <v>612</v>
      </c>
      <c r="H63" s="95" t="s">
        <v>621</v>
      </c>
      <c r="I63" s="95" t="s">
        <v>614</v>
      </c>
      <c r="J63" s="95" t="s">
        <v>620</v>
      </c>
      <c r="K63" s="95" t="s">
        <v>616</v>
      </c>
      <c r="L63" s="95" t="s">
        <v>622</v>
      </c>
    </row>
    <row r="64" spans="1:74" s="26" customFormat="1" x14ac:dyDescent="0.25">
      <c r="A64" s="177">
        <f>股权价值增加表!M1</f>
        <v>42369</v>
      </c>
      <c r="B64" s="165">
        <v>42366</v>
      </c>
      <c r="C64" s="164">
        <v>17.39</v>
      </c>
      <c r="D64" s="164">
        <v>3.4</v>
      </c>
      <c r="E64" s="166">
        <f>股权价值增加表!M42/100000000</f>
        <v>8.1755207599999995</v>
      </c>
      <c r="F64" s="166">
        <v>0</v>
      </c>
      <c r="G64" s="164">
        <v>16.47</v>
      </c>
      <c r="H64" s="166">
        <f>G64*D64</f>
        <v>55.997999999999998</v>
      </c>
      <c r="I64" s="166">
        <f>C64*D64</f>
        <v>59.125999999999998</v>
      </c>
      <c r="J64" s="166">
        <f>H64/E64</f>
        <v>6.8494719350452726</v>
      </c>
      <c r="K64" s="166">
        <f>I64/E64</f>
        <v>7.2320775319026893</v>
      </c>
      <c r="L64" s="261">
        <v>0</v>
      </c>
    </row>
    <row r="65" spans="1:12" s="26" customFormat="1" x14ac:dyDescent="0.25">
      <c r="A65" s="177">
        <f>股权价值增加表!I1</f>
        <v>42735</v>
      </c>
      <c r="B65" s="165">
        <v>42543</v>
      </c>
      <c r="C65" s="164">
        <v>23.13</v>
      </c>
      <c r="D65" s="164">
        <v>3.64</v>
      </c>
      <c r="E65" s="166">
        <f>股权价值增加表!I42/100000000</f>
        <v>12.675123879999999</v>
      </c>
      <c r="F65" s="166">
        <f>(E65-E64)/E64*100</f>
        <v>55.037510784817577</v>
      </c>
      <c r="G65" s="164">
        <v>23.11</v>
      </c>
      <c r="H65" s="166">
        <f t="shared" ref="H65:H66" si="8">G65*D65</f>
        <v>84.120400000000004</v>
      </c>
      <c r="I65" s="166">
        <f t="shared" ref="I65:I66" si="9">C65*D65</f>
        <v>84.193200000000004</v>
      </c>
      <c r="J65" s="166">
        <f t="shared" ref="J65:J66" si="10">H65/E65</f>
        <v>6.636653084924327</v>
      </c>
      <c r="K65" s="166">
        <f t="shared" ref="K65:K66" si="11">I65/E65</f>
        <v>6.6423966185330894</v>
      </c>
      <c r="L65" s="261">
        <f>K65/F65</f>
        <v>0.12068853630577772</v>
      </c>
    </row>
    <row r="66" spans="1:12" s="26" customFormat="1" x14ac:dyDescent="0.25">
      <c r="A66" s="177">
        <f>股权价值增加表!E1</f>
        <v>43100</v>
      </c>
      <c r="B66" s="165">
        <v>42872</v>
      </c>
      <c r="C66" s="164">
        <v>16.399999999999999</v>
      </c>
      <c r="D66" s="164">
        <v>9.09</v>
      </c>
      <c r="E66" s="166">
        <f>股权价值增加表!E42/100000000</f>
        <v>70.385525830000006</v>
      </c>
      <c r="F66" s="166">
        <f t="shared" ref="F66" si="12">(E66-E65)/E65*100</f>
        <v>455.30444117442431</v>
      </c>
      <c r="G66" s="164">
        <v>15.76</v>
      </c>
      <c r="H66" s="166">
        <f t="shared" si="8"/>
        <v>143.25839999999999</v>
      </c>
      <c r="I66" s="166">
        <f t="shared" si="9"/>
        <v>149.07599999999999</v>
      </c>
      <c r="J66" s="166">
        <f t="shared" si="10"/>
        <v>2.0353389182032622</v>
      </c>
      <c r="K66" s="166">
        <f t="shared" si="11"/>
        <v>2.117992275287659</v>
      </c>
      <c r="L66" s="261">
        <f t="shared" ref="L66" si="13">K66/F66</f>
        <v>4.651815540881731E-3</v>
      </c>
    </row>
    <row r="67" spans="1:12" s="26" customFormat="1" x14ac:dyDescent="0.25">
      <c r="A67" s="160"/>
      <c r="B67" s="161"/>
      <c r="C67" s="82"/>
      <c r="D67" s="82"/>
      <c r="E67" s="82"/>
      <c r="F67" s="163"/>
      <c r="G67" s="82"/>
      <c r="H67" s="163"/>
      <c r="I67" s="163"/>
      <c r="J67" s="163"/>
      <c r="K67" s="163"/>
      <c r="L67" s="262"/>
    </row>
    <row r="68" spans="1:12" s="155" customFormat="1" ht="15" thickBot="1" x14ac:dyDescent="0.3">
      <c r="A68" s="162" t="s">
        <v>619</v>
      </c>
      <c r="B68" s="44" t="s">
        <v>608</v>
      </c>
      <c r="C68" s="44" t="s">
        <v>609</v>
      </c>
      <c r="D68" s="44" t="s">
        <v>610</v>
      </c>
      <c r="E68" s="44" t="s">
        <v>618</v>
      </c>
      <c r="F68" s="44" t="s">
        <v>611</v>
      </c>
      <c r="G68" s="44" t="s">
        <v>612</v>
      </c>
      <c r="H68" s="44" t="s">
        <v>613</v>
      </c>
      <c r="I68" s="44" t="s">
        <v>614</v>
      </c>
      <c r="J68" s="44" t="s">
        <v>615</v>
      </c>
      <c r="K68" s="44" t="s">
        <v>616</v>
      </c>
      <c r="L68" s="263" t="s">
        <v>617</v>
      </c>
    </row>
    <row r="69" spans="1:12" s="26" customFormat="1" ht="15" thickBot="1" x14ac:dyDescent="0.3">
      <c r="A69" s="167" t="s">
        <v>624</v>
      </c>
      <c r="B69" s="168">
        <v>43305</v>
      </c>
      <c r="C69" s="169">
        <v>11.65</v>
      </c>
      <c r="D69" s="169">
        <v>9.09</v>
      </c>
      <c r="E69" s="169">
        <v>4.33</v>
      </c>
      <c r="F69" s="170">
        <f>(E69-E66)/E66*100</f>
        <v>-93.848167007435435</v>
      </c>
      <c r="G69" s="169">
        <v>10.119999999999999</v>
      </c>
      <c r="H69" s="170">
        <f>G69*D69</f>
        <v>91.990799999999993</v>
      </c>
      <c r="I69" s="170">
        <f>C69*D69</f>
        <v>105.8985</v>
      </c>
      <c r="J69" s="170">
        <f>H69/E69</f>
        <v>21.244988452655885</v>
      </c>
      <c r="K69" s="170">
        <f>I69/E69</f>
        <v>24.456928406466513</v>
      </c>
      <c r="L69" s="264">
        <f>K69/F69</f>
        <v>-0.26060102382744282</v>
      </c>
    </row>
    <row r="70" spans="1:12" s="26" customFormat="1" ht="15" thickBot="1" x14ac:dyDescent="0.3">
      <c r="A70" s="171" t="s">
        <v>623</v>
      </c>
      <c r="B70" s="172">
        <v>43305</v>
      </c>
      <c r="C70" s="173">
        <v>11.65</v>
      </c>
      <c r="D70" s="173">
        <v>9.09</v>
      </c>
      <c r="E70" s="173">
        <v>3.86</v>
      </c>
      <c r="F70" s="174">
        <f>(E70-E66)/E66*100</f>
        <v>-94.515917932725344</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-0.29026692180160701</v>
      </c>
    </row>
    <row r="71" spans="1:12" s="87" customFormat="1" ht="138" customHeight="1" x14ac:dyDescent="0.25">
      <c r="A71" s="289" t="s">
        <v>626</v>
      </c>
      <c r="B71" s="290"/>
      <c r="C71" s="290"/>
      <c r="D71" s="290"/>
      <c r="E71" s="290"/>
      <c r="F71" s="290"/>
      <c r="G71" s="290"/>
      <c r="H71" s="290"/>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2019-02-14T01:07:08Z</dcterms:modified>
</cp:coreProperties>
</file>