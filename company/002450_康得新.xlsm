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firstSheet="4" activeTab="5"/>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CL27" i="12"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M54" i="6" l="1"/>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J5" i="12"/>
  <c r="R5" i="12"/>
  <c r="Z5" i="12"/>
  <c r="AH5" i="12"/>
  <c r="AP5" i="12"/>
  <c r="AX5" i="12"/>
  <c r="BF5" i="12"/>
  <c r="BN5" i="12"/>
  <c r="BV5" i="12"/>
  <c r="CD5" i="12"/>
  <c r="CC25" i="12"/>
  <c r="CK25" i="12"/>
  <c r="CK26"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AC13" i="12"/>
  <c r="CK18" i="12"/>
  <c r="X13" i="12"/>
  <c r="BL13" i="12"/>
  <c r="Y26" i="12"/>
  <c r="Y27" i="12" s="1"/>
  <c r="CC26" i="12"/>
  <c r="CC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CH27" i="12"/>
  <c r="CH28" i="12" s="1"/>
  <c r="CI27" i="12"/>
  <c r="CI28" i="12" s="1"/>
  <c r="CK27" i="12"/>
  <c r="CK28" i="12" s="1"/>
  <c r="CJ27" i="12"/>
  <c r="CJ28" i="12"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Y49" i="10" l="1"/>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<sst xmlns="http://schemas.openxmlformats.org/spreadsheetml/2006/main" count="915" uniqueCount="752">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</sst>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49" fontId="26" fillId="6" borderId="0" xfId="0" applyNumberFormat="1" applyFont="1" applyFill="1" applyAlignment="1">
      <alignment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0.39923750420732607</c:v>
                </c:pt>
                <c:pt idx="1">
                  <c:v>0.40450114922625885</c:v>
                </c:pt>
                <c:pt idx="2">
                  <c:v>0.37340041231552523</c:v>
                </c:pt>
                <c:pt idx="3">
                  <c:v>0.39100438439808388</c:v>
                </c:pt>
                <c:pt idx="4">
                  <c:v>0.36325240235645828</c:v>
                </c:pt>
                <c:pt idx="5">
                  <c:v>0.32170327342278016</c:v>
                </c:pt>
              </c:numCache>
            </c:numRef>
          </c:val>
          <c:smooth val="0"/>
          <c:extLst xmlns:c16r2="http://schemas.microsoft.com/office/drawing/2015/06/char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07116800"/>
        <c:axId val="201448192"/>
      </c:lineChart>
      <c:catAx>
        <c:axId val="207116800"/>
        <c:scaling>
          <c:orientation val="minMax"/>
        </c:scaling>
        <c:delete val="0"/>
        <c:axPos val="b"/>
        <c:majorTickMark val="out"/>
        <c:minorTickMark val="none"/>
        <c:tickLblPos val="nextTo"/>
        <c:crossAx val="201448192"/>
        <c:crosses val="autoZero"/>
        <c:auto val="1"/>
        <c:lblAlgn val="ctr"/>
        <c:lblOffset val="100"/>
        <c:noMultiLvlLbl val="0"/>
      </c:catAx>
      <c:valAx>
        <c:axId val="201448192"/>
        <c:scaling>
          <c:orientation val="minMax"/>
        </c:scaling>
        <c:delete val="0"/>
        <c:axPos val="l"/>
        <c:majorGridlines/>
        <c:numFmt formatCode="0.00%" sourceLinked="1"/>
        <c:majorTickMark val="out"/>
        <c:minorTickMark val="none"/>
        <c:tickLblPos val="nextTo"/>
        <c:crossAx val="2071168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0.24562072130951626</c:v>
                </c:pt>
                <c:pt idx="1">
                  <c:v>0.23507845293992502</c:v>
                </c:pt>
                <c:pt idx="2">
                  <c:v>0.2235005163851923</c:v>
                </c:pt>
                <c:pt idx="3">
                  <c:v>0.23597462695255161</c:v>
                </c:pt>
                <c:pt idx="4">
                  <c:v>0.24581018389564857</c:v>
                </c:pt>
                <c:pt idx="5">
                  <c:v>0.21500789023075978</c:v>
                </c:pt>
              </c:numCache>
            </c:numRef>
          </c:val>
          <c:smooth val="0"/>
          <c:extLst xmlns:c16r2="http://schemas.microsoft.com/office/drawing/2015/06/char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08132608"/>
        <c:axId val="206905920"/>
      </c:lineChart>
      <c:catAx>
        <c:axId val="208132608"/>
        <c:scaling>
          <c:orientation val="minMax"/>
        </c:scaling>
        <c:delete val="0"/>
        <c:axPos val="b"/>
        <c:majorTickMark val="out"/>
        <c:minorTickMark val="none"/>
        <c:tickLblPos val="nextTo"/>
        <c:crossAx val="206905920"/>
        <c:crosses val="autoZero"/>
        <c:auto val="1"/>
        <c:lblAlgn val="ctr"/>
        <c:lblOffset val="100"/>
        <c:noMultiLvlLbl val="0"/>
      </c:catAx>
      <c:valAx>
        <c:axId val="206905920"/>
        <c:scaling>
          <c:orientation val="minMax"/>
        </c:scaling>
        <c:delete val="0"/>
        <c:axPos val="l"/>
        <c:majorGridlines/>
        <c:numFmt formatCode="0.00%" sourceLinked="1"/>
        <c:majorTickMark val="out"/>
        <c:minorTickMark val="none"/>
        <c:tickLblPos val="nextTo"/>
        <c:crossAx val="20813260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0.37332450262348554</c:v>
                </c:pt>
                <c:pt idx="1">
                  <c:v>0.36037881033004227</c:v>
                </c:pt>
                <c:pt idx="2">
                  <c:v>0.3613365060857619</c:v>
                </c:pt>
                <c:pt idx="3">
                  <c:v>0.40717085477308201</c:v>
                </c:pt>
                <c:pt idx="4">
                  <c:v>0.53235206444730199</c:v>
                </c:pt>
                <c:pt idx="5">
                  <c:v>0.60126910550363621</c:v>
                </c:pt>
              </c:numCache>
            </c:numRef>
          </c:val>
          <c:smooth val="0"/>
          <c:extLst xmlns:c16r2="http://schemas.microsoft.com/office/drawing/2015/06/char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0.3184869095153281</c:v>
                </c:pt>
                <c:pt idx="1">
                  <c:v>0.30809369547543852</c:v>
                </c:pt>
                <c:pt idx="2">
                  <c:v>0.30814656645841088</c:v>
                </c:pt>
                <c:pt idx="3">
                  <c:v>0.34363782903990442</c:v>
                </c:pt>
                <c:pt idx="4">
                  <c:v>0.4753169018400244</c:v>
                </c:pt>
                <c:pt idx="5">
                  <c:v>0.51027246347139321</c:v>
                </c:pt>
              </c:numCache>
            </c:numRef>
          </c:val>
          <c:smooth val="0"/>
          <c:extLst xmlns:c16r2="http://schemas.microsoft.com/office/drawing/2015/06/char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0.24980038417445033</c:v>
                </c:pt>
                <c:pt idx="1">
                  <c:v>0.25260927045945963</c:v>
                </c:pt>
                <c:pt idx="2">
                  <c:v>0.22035192420026187</c:v>
                </c:pt>
                <c:pt idx="3">
                  <c:v>0.22993580101362909</c:v>
                </c:pt>
                <c:pt idx="4">
                  <c:v>0.23324449414897119</c:v>
                </c:pt>
                <c:pt idx="5">
                  <c:v>0.2296784286896689</c:v>
                </c:pt>
              </c:numCache>
            </c:numRef>
          </c:val>
          <c:smooth val="0"/>
          <c:extLst xmlns:c16r2="http://schemas.microsoft.com/office/drawing/2015/06/char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0.21276967061566579</c:v>
                </c:pt>
                <c:pt idx="1">
                  <c:v>0.21608075223213757</c:v>
                </c:pt>
                <c:pt idx="2">
                  <c:v>0.18798060672790617</c:v>
                </c:pt>
                <c:pt idx="3">
                  <c:v>0.1939957281781389</c:v>
                </c:pt>
                <c:pt idx="4">
                  <c:v>0.20826283823420177</c:v>
                </c:pt>
                <c:pt idx="5">
                  <c:v>0.19492309045448186</c:v>
                </c:pt>
              </c:numCache>
            </c:numRef>
          </c:val>
          <c:smooth val="0"/>
          <c:extLst xmlns:c16r2="http://schemas.microsoft.com/office/drawing/2015/06/char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08133632"/>
        <c:axId val="206907648"/>
      </c:lineChart>
      <c:catAx>
        <c:axId val="208133632"/>
        <c:scaling>
          <c:orientation val="minMax"/>
        </c:scaling>
        <c:delete val="0"/>
        <c:axPos val="b"/>
        <c:majorTickMark val="out"/>
        <c:minorTickMark val="none"/>
        <c:tickLblPos val="nextTo"/>
        <c:crossAx val="206907648"/>
        <c:crosses val="autoZero"/>
        <c:auto val="1"/>
        <c:lblAlgn val="ctr"/>
        <c:lblOffset val="100"/>
        <c:noMultiLvlLbl val="0"/>
      </c:catAx>
      <c:valAx>
        <c:axId val="206907648"/>
        <c:scaling>
          <c:orientation val="minMax"/>
        </c:scaling>
        <c:delete val="0"/>
        <c:axPos val="l"/>
        <c:majorGridlines/>
        <c:numFmt formatCode="0.00%" sourceLinked="1"/>
        <c:majorTickMark val="out"/>
        <c:minorTickMark val="none"/>
        <c:tickLblPos val="nextTo"/>
        <c:crossAx val="208133632"/>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xmlns:c16r2="http://schemas.microsoft.com/office/drawing/2015/06/char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xmlns:c16r2="http://schemas.microsoft.com/office/drawing/2015/06/char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xmlns:c16r2="http://schemas.microsoft.com/office/drawing/2015/06/char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2912397452.52</c:v>
                </c:pt>
              </c:numCache>
            </c:numRef>
          </c:val>
          <c:extLst xmlns:c16r2="http://schemas.microsoft.com/office/drawing/2015/06/char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xmlns:c16r2="http://schemas.microsoft.com/office/drawing/2015/06/char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xmlns:c16r2="http://schemas.microsoft.com/office/drawing/2015/06/char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xmlns:c16r2="http://schemas.microsoft.com/office/drawing/2015/06/char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2302302157.5100002</c:v>
                </c:pt>
              </c:numCache>
            </c:numRef>
          </c:val>
          <c:extLst xmlns:c16r2="http://schemas.microsoft.com/office/drawing/2015/06/char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xmlns:c16r2="http://schemas.microsoft.com/office/drawing/2015/06/char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xmlns:c16r2="http://schemas.microsoft.com/office/drawing/2015/06/char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xmlns:c16r2="http://schemas.microsoft.com/office/drawing/2015/06/char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1646394204.4200001</c:v>
                </c:pt>
              </c:numCache>
            </c:numRef>
          </c:val>
          <c:extLst xmlns:c16r2="http://schemas.microsoft.com/office/drawing/2015/06/char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xmlns:c16r2="http://schemas.microsoft.com/office/drawing/2015/06/char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xmlns:c16r2="http://schemas.microsoft.com/office/drawing/2015/06/char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xmlns:c16r2="http://schemas.microsoft.com/office/drawing/2015/06/char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1187395473.6800001</c:v>
                </c:pt>
              </c:numCache>
            </c:numRef>
          </c:val>
          <c:extLst xmlns:c16r2="http://schemas.microsoft.com/office/drawing/2015/06/char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xmlns:c16r2="http://schemas.microsoft.com/office/drawing/2015/06/char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xmlns:c16r2="http://schemas.microsoft.com/office/drawing/2015/06/char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xmlns:c16r2="http://schemas.microsoft.com/office/drawing/2015/06/char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739345710.11000001</c:v>
                </c:pt>
              </c:numCache>
            </c:numRef>
          </c:val>
          <c:extLst xmlns:c16r2="http://schemas.microsoft.com/office/drawing/2015/06/char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xmlns:c16r2="http://schemas.microsoft.com/office/drawing/2015/06/char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xmlns:c16r2="http://schemas.microsoft.com/office/drawing/2015/06/char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xmlns:c16r2="http://schemas.microsoft.com/office/drawing/2015/06/char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501163191.19999999</c:v>
                </c:pt>
              </c:numCache>
            </c:numRef>
          </c:val>
          <c:extLst xmlns:c16r2="http://schemas.microsoft.com/office/drawing/2015/06/char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09118720"/>
        <c:axId val="206909952"/>
      </c:barChart>
      <c:catAx>
        <c:axId val="209118720"/>
        <c:scaling>
          <c:orientation val="minMax"/>
        </c:scaling>
        <c:delete val="0"/>
        <c:axPos val="b"/>
        <c:numFmt formatCode="General" sourceLinked="1"/>
        <c:majorTickMark val="out"/>
        <c:minorTickMark val="none"/>
        <c:tickLblPos val="nextTo"/>
        <c:crossAx val="206909952"/>
        <c:crosses val="autoZero"/>
        <c:auto val="1"/>
        <c:lblAlgn val="ctr"/>
        <c:lblOffset val="100"/>
        <c:noMultiLvlLbl val="0"/>
      </c:catAx>
      <c:valAx>
        <c:axId val="206909952"/>
        <c:scaling>
          <c:orientation val="minMax"/>
        </c:scaling>
        <c:delete val="0"/>
        <c:axPos val="l"/>
        <c:majorGridlines/>
        <c:numFmt formatCode="General" sourceLinked="1"/>
        <c:majorTickMark val="out"/>
        <c:minorTickMark val="none"/>
        <c:tickLblPos val="nextTo"/>
        <c:crossAx val="2091187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1066008408.7132003</c:v>
                </c:pt>
                <c:pt idx="1">
                  <c:v>746824145.38159871</c:v>
                </c:pt>
                <c:pt idx="2">
                  <c:v>665044170.31879938</c:v>
                </c:pt>
                <c:pt idx="3">
                  <c:v>624216343.11759949</c:v>
                </c:pt>
                <c:pt idx="4">
                  <c:v>361076027.06559986</c:v>
                </c:pt>
                <c:pt idx="5">
                  <c:v>190003121.5176</c:v>
                </c:pt>
              </c:numCache>
            </c:numRef>
          </c:val>
          <c:extLst xmlns:c16r2="http://schemas.microsoft.com/office/drawing/2015/06/char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09120768"/>
        <c:axId val="209018880"/>
      </c:barChart>
      <c:catAx>
        <c:axId val="209120768"/>
        <c:scaling>
          <c:orientation val="minMax"/>
        </c:scaling>
        <c:delete val="0"/>
        <c:axPos val="b"/>
        <c:majorTickMark val="out"/>
        <c:minorTickMark val="none"/>
        <c:tickLblPos val="nextTo"/>
        <c:crossAx val="209018880"/>
        <c:crosses val="autoZero"/>
        <c:auto val="1"/>
        <c:lblAlgn val="ctr"/>
        <c:lblOffset val="100"/>
        <c:noMultiLvlLbl val="0"/>
      </c:catAx>
      <c:valAx>
        <c:axId val="209018880"/>
        <c:scaling>
          <c:orientation val="minMax"/>
        </c:scaling>
        <c:delete val="0"/>
        <c:axPos val="l"/>
        <c:majorGridlines/>
        <c:numFmt formatCode="#,##0.00_ " sourceLinked="1"/>
        <c:majorTickMark val="out"/>
        <c:minorTickMark val="none"/>
        <c:tickLblPos val="nextTo"/>
        <c:crossAx val="2091207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xmlns:c16r2="http://schemas.microsoft.com/office/drawing/2015/06/char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xmlns:c16r2="http://schemas.microsoft.com/office/drawing/2015/06/char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xmlns:c16r2="http://schemas.microsoft.com/office/drawing/2015/06/char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18029361003.709999</c:v>
                </c:pt>
              </c:numCache>
            </c:numRef>
          </c:val>
          <c:extLst xmlns:c16r2="http://schemas.microsoft.com/office/drawing/2015/06/char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xmlns:c16r2="http://schemas.microsoft.com/office/drawing/2015/06/char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xmlns:c16r2="http://schemas.microsoft.com/office/drawing/2015/06/char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xmlns:c16r2="http://schemas.microsoft.com/office/drawing/2015/06/char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15602441096.73</c:v>
                </c:pt>
              </c:numCache>
            </c:numRef>
          </c:val>
          <c:extLst xmlns:c16r2="http://schemas.microsoft.com/office/drawing/2015/06/char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xmlns:c16r2="http://schemas.microsoft.com/office/drawing/2015/06/char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xmlns:c16r2="http://schemas.microsoft.com/office/drawing/2015/06/char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xmlns:c16r2="http://schemas.microsoft.com/office/drawing/2015/06/char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9214674670.8899994</c:v>
                </c:pt>
              </c:numCache>
            </c:numRef>
          </c:val>
          <c:extLst xmlns:c16r2="http://schemas.microsoft.com/office/drawing/2015/06/char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xmlns:c16r2="http://schemas.microsoft.com/office/drawing/2015/06/char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xmlns:c16r2="http://schemas.microsoft.com/office/drawing/2015/06/char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xmlns:c16r2="http://schemas.microsoft.com/office/drawing/2015/06/char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4826640154.2799997</c:v>
                </c:pt>
              </c:numCache>
            </c:numRef>
          </c:val>
          <c:extLst xmlns:c16r2="http://schemas.microsoft.com/office/drawing/2015/06/char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xmlns:c16r2="http://schemas.microsoft.com/office/drawing/2015/06/char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xmlns:c16r2="http://schemas.microsoft.com/office/drawing/2015/06/char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xmlns:c16r2="http://schemas.microsoft.com/office/drawing/2015/06/char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3798064327.9299998</c:v>
                </c:pt>
              </c:numCache>
            </c:numRef>
          </c:val>
          <c:extLst xmlns:c16r2="http://schemas.microsoft.com/office/drawing/2015/06/char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xmlns:c16r2="http://schemas.microsoft.com/office/drawing/2015/06/char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xmlns:c16r2="http://schemas.microsoft.com/office/drawing/2015/06/char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xmlns:c16r2="http://schemas.microsoft.com/office/drawing/2015/06/char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3069706618.2800002</c:v>
                </c:pt>
              </c:numCache>
            </c:numRef>
          </c:val>
          <c:extLst xmlns:c16r2="http://schemas.microsoft.com/office/drawing/2015/06/char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09203712"/>
        <c:axId val="209020608"/>
      </c:barChart>
      <c:catAx>
        <c:axId val="209203712"/>
        <c:scaling>
          <c:orientation val="minMax"/>
        </c:scaling>
        <c:delete val="0"/>
        <c:axPos val="b"/>
        <c:numFmt formatCode="General" sourceLinked="0"/>
        <c:majorTickMark val="out"/>
        <c:minorTickMark val="none"/>
        <c:tickLblPos val="nextTo"/>
        <c:crossAx val="209020608"/>
        <c:crosses val="autoZero"/>
        <c:auto val="1"/>
        <c:lblAlgn val="ctr"/>
        <c:lblOffset val="100"/>
        <c:noMultiLvlLbl val="0"/>
      </c:catAx>
      <c:valAx>
        <c:axId val="209020608"/>
        <c:scaling>
          <c:orientation val="minMax"/>
        </c:scaling>
        <c:delete val="0"/>
        <c:axPos val="l"/>
        <c:majorGridlines/>
        <c:numFmt formatCode="General" sourceLinked="1"/>
        <c:majorTickMark val="out"/>
        <c:minorTickMark val="none"/>
        <c:tickLblPos val="nextTo"/>
        <c:crossAx val="209203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1"/>
                <c:pt idx="0">
                  <c:v>(10)期初长期资产净值 4,214,261,607.63  4,247,256,911.42  4,081,251,676.08  4,344,387,336.38  4,227,132,904.95  4,216,800,547.81  4,191,121,489.23  4,042,953,400.38  4,015,396,780.30  4,436,706,728.31  4,672,724,809.84  4,092,132,496.00  3,987,860,287.72  3,496,08</c:v>
                </c:pt>
              </c:strCache>
            </c:strRef>
          </c:tx>
          <c:invertIfNegative val="0"/>
          <c:cat>
            <c:numRef>
              <c:f>投资和筹资活动现金流表!$E$12</c:f>
              <c:numCache>
                <c:formatCode>#,##0.00_ </c:formatCode>
                <c:ptCount val="1"/>
                <c:pt idx="0">
                  <c:v>4214261607.6300001</c:v>
                </c:pt>
              </c:numCache>
            </c:numRef>
          </c:cat>
          <c:val>
            <c:numRef>
              <c:f>投资和筹资活动现金流表!$E$12:$U$12</c:f>
              <c:numCache>
                <c:formatCode>#,##0.00_ </c:formatCode>
                <c:ptCount val="5"/>
                <c:pt idx="0">
                  <c:v>4214261607.6300001</c:v>
                </c:pt>
                <c:pt idx="1">
                  <c:v>4227132904.9500003</c:v>
                </c:pt>
                <c:pt idx="2">
                  <c:v>4015396780.3000002</c:v>
                </c:pt>
                <c:pt idx="3">
                  <c:v>3987860287.7200003</c:v>
                </c:pt>
                <c:pt idx="4">
                  <c:v>1655643076.5</c:v>
                </c:pt>
              </c:numCache>
            </c:numRef>
          </c:val>
          <c:extLst xmlns:c16r2="http://schemas.microsoft.com/office/drawing/2015/06/char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207376384"/>
        <c:axId val="209024064"/>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1.5698948857426651E-2</c:v>
                </c:pt>
                <c:pt idx="1">
                  <c:v>3.2823242516819118E-2</c:v>
                </c:pt>
                <c:pt idx="2">
                  <c:v>1.9174131701686465E-3</c:v>
                </c:pt>
                <c:pt idx="3">
                  <c:v>2.2645268272833904E-2</c:v>
                </c:pt>
                <c:pt idx="4">
                  <c:v>1.0959611296330027</c:v>
                </c:pt>
              </c:numCache>
            </c:numRef>
          </c:val>
          <c:smooth val="0"/>
          <c:extLst xmlns:c16r2="http://schemas.microsoft.com/office/drawing/2015/06/char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209205760"/>
        <c:axId val="209024640"/>
      </c:lineChart>
      <c:valAx>
        <c:axId val="209024064"/>
        <c:scaling>
          <c:orientation val="minMax"/>
        </c:scaling>
        <c:delete val="0"/>
        <c:axPos val="r"/>
        <c:numFmt formatCode="#,##0.00_ " sourceLinked="1"/>
        <c:majorTickMark val="out"/>
        <c:minorTickMark val="none"/>
        <c:tickLblPos val="nextTo"/>
        <c:crossAx val="207376384"/>
        <c:crosses val="max"/>
        <c:crossBetween val="between"/>
      </c:valAx>
      <c:catAx>
        <c:axId val="207376384"/>
        <c:scaling>
          <c:orientation val="minMax"/>
        </c:scaling>
        <c:delete val="1"/>
        <c:axPos val="b"/>
        <c:numFmt formatCode="#,##0.00_ " sourceLinked="1"/>
        <c:majorTickMark val="out"/>
        <c:minorTickMark val="none"/>
        <c:tickLblPos val="nextTo"/>
        <c:crossAx val="209024064"/>
        <c:crosses val="autoZero"/>
        <c:auto val="1"/>
        <c:lblAlgn val="ctr"/>
        <c:lblOffset val="100"/>
        <c:noMultiLvlLbl val="0"/>
      </c:catAx>
      <c:valAx>
        <c:axId val="209024640"/>
        <c:scaling>
          <c:orientation val="minMax"/>
        </c:scaling>
        <c:delete val="0"/>
        <c:axPos val="l"/>
        <c:numFmt formatCode="0.00%" sourceLinked="1"/>
        <c:majorTickMark val="out"/>
        <c:minorTickMark val="none"/>
        <c:tickLblPos val="nextTo"/>
        <c:crossAx val="209205760"/>
        <c:crosses val="autoZero"/>
        <c:crossBetween val="between"/>
      </c:valAx>
      <c:catAx>
        <c:axId val="209205760"/>
        <c:scaling>
          <c:orientation val="minMax"/>
        </c:scaling>
        <c:delete val="1"/>
        <c:axPos val="b"/>
        <c:majorTickMark val="out"/>
        <c:minorTickMark val="none"/>
        <c:tickLblPos val="nextTo"/>
        <c:crossAx val="209024640"/>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11.410429996947112</c:v>
                </c:pt>
                <c:pt idx="1">
                  <c:v>-0.19385902558685322</c:v>
                </c:pt>
                <c:pt idx="2">
                  <c:v>4.2242453247532143</c:v>
                </c:pt>
                <c:pt idx="3">
                  <c:v>1.5448996460554025</c:v>
                </c:pt>
                <c:pt idx="4">
                  <c:v>0.12042224742712809</c:v>
                </c:pt>
                <c:pt idx="5">
                  <c:v>0.33841076737665082</c:v>
                </c:pt>
              </c:numCache>
            </c:numRef>
          </c:val>
          <c:smooth val="0"/>
          <c:extLst xmlns:c16r2="http://schemas.microsoft.com/office/drawing/2015/06/char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05459456"/>
        <c:axId val="209453056"/>
      </c:lineChart>
      <c:catAx>
        <c:axId val="205459456"/>
        <c:scaling>
          <c:orientation val="minMax"/>
        </c:scaling>
        <c:delete val="0"/>
        <c:axPos val="b"/>
        <c:majorTickMark val="out"/>
        <c:minorTickMark val="none"/>
        <c:tickLblPos val="nextTo"/>
        <c:crossAx val="209453056"/>
        <c:crosses val="autoZero"/>
        <c:auto val="1"/>
        <c:lblAlgn val="ctr"/>
        <c:lblOffset val="100"/>
        <c:noMultiLvlLbl val="0"/>
      </c:catAx>
      <c:valAx>
        <c:axId val="209453056"/>
        <c:scaling>
          <c:orientation val="minMax"/>
        </c:scaling>
        <c:delete val="0"/>
        <c:axPos val="l"/>
        <c:majorGridlines/>
        <c:numFmt formatCode="#,##0.00_ " sourceLinked="1"/>
        <c:majorTickMark val="out"/>
        <c:minorTickMark val="none"/>
        <c:tickLblPos val="nextTo"/>
        <c:crossAx val="20545945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334563580.25999999</c:v>
                </c:pt>
                <c:pt idx="1">
                  <c:v>377488779.08999997</c:v>
                </c:pt>
                <c:pt idx="2">
                  <c:v>214603747.36000001</c:v>
                </c:pt>
                <c:pt idx="3">
                  <c:v>267931559.87</c:v>
                </c:pt>
                <c:pt idx="4">
                  <c:v>1882881916.51</c:v>
                </c:pt>
                <c:pt idx="5">
                  <c:v>806143207.72000003</c:v>
                </c:pt>
              </c:numCache>
            </c:numRef>
          </c:val>
          <c:extLst xmlns:c16r2="http://schemas.microsoft.com/office/drawing/2015/06/char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-13650022.09</c:v>
                </c:pt>
                <c:pt idx="1">
                  <c:v>-132038041.7</c:v>
                </c:pt>
                <c:pt idx="2">
                  <c:v>0</c:v>
                </c:pt>
                <c:pt idx="3">
                  <c:v>10200000</c:v>
                </c:pt>
                <c:pt idx="4">
                  <c:v>-10108672.210000001</c:v>
                </c:pt>
                <c:pt idx="5">
                  <c:v>0</c:v>
                </c:pt>
              </c:numCache>
            </c:numRef>
          </c:val>
          <c:extLst xmlns:c16r2="http://schemas.microsoft.com/office/drawing/2015/06/char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3661761690.5700002</c:v>
                </c:pt>
                <c:pt idx="1">
                  <c:v>-47582840.780000001</c:v>
                </c:pt>
                <c:pt idx="2">
                  <c:v>906538876.46000004</c:v>
                </c:pt>
                <c:pt idx="3">
                  <c:v>429685348.39999998</c:v>
                </c:pt>
                <c:pt idx="4">
                  <c:v>225523563</c:v>
                </c:pt>
                <c:pt idx="5">
                  <c:v>272807541.54000002</c:v>
                </c:pt>
              </c:numCache>
            </c:numRef>
          </c:val>
          <c:extLst xmlns:c16r2="http://schemas.microsoft.com/office/drawing/2015/06/char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4813786270.5699997</c:v>
                </c:pt>
                <c:pt idx="1">
                  <c:v>5707642333.1899996</c:v>
                </c:pt>
                <c:pt idx="2">
                  <c:v>5089201791.3699999</c:v>
                </c:pt>
                <c:pt idx="3">
                  <c:v>1071418061.0599999</c:v>
                </c:pt>
                <c:pt idx="4">
                  <c:v>875902096.01999998</c:v>
                </c:pt>
                <c:pt idx="5">
                  <c:v>3296004410.8099999</c:v>
                </c:pt>
              </c:numCache>
            </c:numRef>
          </c:val>
          <c:extLst xmlns:c16r2="http://schemas.microsoft.com/office/drawing/2015/06/char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07379968"/>
        <c:axId val="209454784"/>
      </c:barChart>
      <c:catAx>
        <c:axId val="207379968"/>
        <c:scaling>
          <c:orientation val="minMax"/>
        </c:scaling>
        <c:delete val="0"/>
        <c:axPos val="b"/>
        <c:majorTickMark val="none"/>
        <c:minorTickMark val="none"/>
        <c:tickLblPos val="nextTo"/>
        <c:crossAx val="209454784"/>
        <c:crosses val="autoZero"/>
        <c:auto val="1"/>
        <c:lblAlgn val="ctr"/>
        <c:lblOffset val="100"/>
        <c:noMultiLvlLbl val="0"/>
      </c:catAx>
      <c:valAx>
        <c:axId val="209454784"/>
        <c:scaling>
          <c:orientation val="minMax"/>
        </c:scaling>
        <c:delete val="0"/>
        <c:axPos val="l"/>
        <c:majorGridlines/>
        <c:numFmt formatCode="#,##0.00_ " sourceLinked="1"/>
        <c:majorTickMark val="none"/>
        <c:minorTickMark val="none"/>
        <c:tickLblPos val="nextTo"/>
        <c:crossAx val="207379968"/>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-3299699666.8099999</c:v>
                </c:pt>
                <c:pt idx="1">
                  <c:v>1900785860.79</c:v>
                </c:pt>
                <c:pt idx="2">
                  <c:v>824995423.36999989</c:v>
                </c:pt>
                <c:pt idx="3">
                  <c:v>-2532090519.6900001</c:v>
                </c:pt>
                <c:pt idx="4">
                  <c:v>-2872814626.23</c:v>
                </c:pt>
                <c:pt idx="5">
                  <c:v>-306358360</c:v>
                </c:pt>
              </c:numCache>
            </c:numRef>
          </c:val>
          <c:extLst xmlns:c16r2="http://schemas.microsoft.com/office/drawing/2015/06/char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5175629399.4799995</c:v>
                </c:pt>
                <c:pt idx="1">
                  <c:v>1843971873.3700018</c:v>
                </c:pt>
                <c:pt idx="2">
                  <c:v>2422933143.5799999</c:v>
                </c:pt>
                <c:pt idx="3">
                  <c:v>1536708962.4400001</c:v>
                </c:pt>
                <c:pt idx="4">
                  <c:v>909873851.51999998</c:v>
                </c:pt>
                <c:pt idx="5">
                  <c:v>1764057780.96</c:v>
                </c:pt>
              </c:numCache>
            </c:numRef>
          </c:val>
          <c:extLst xmlns:c16r2="http://schemas.microsoft.com/office/drawing/2015/06/char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09860096"/>
        <c:axId val="209457088"/>
      </c:barChart>
      <c:catAx>
        <c:axId val="209860096"/>
        <c:scaling>
          <c:orientation val="minMax"/>
        </c:scaling>
        <c:delete val="0"/>
        <c:axPos val="b"/>
        <c:majorTickMark val="out"/>
        <c:minorTickMark val="none"/>
        <c:tickLblPos val="nextTo"/>
        <c:crossAx val="209457088"/>
        <c:crosses val="autoZero"/>
        <c:auto val="1"/>
        <c:lblAlgn val="ctr"/>
        <c:lblOffset val="100"/>
        <c:noMultiLvlLbl val="0"/>
      </c:catAx>
      <c:valAx>
        <c:axId val="209457088"/>
        <c:scaling>
          <c:orientation val="minMax"/>
        </c:scaling>
        <c:delete val="0"/>
        <c:axPos val="l"/>
        <c:majorGridlines/>
        <c:numFmt formatCode="#,##0.00_ " sourceLinked="1"/>
        <c:majorTickMark val="out"/>
        <c:minorTickMark val="none"/>
        <c:tickLblPos val="nextTo"/>
        <c:crossAx val="20986009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8038557634.1899996</c:v>
                </c:pt>
                <c:pt idx="1">
                  <c:v>7300767745.4700003</c:v>
                </c:pt>
                <c:pt idx="2">
                  <c:v>3641192234.0500002</c:v>
                </c:pt>
                <c:pt idx="3">
                  <c:v>3010231074.1599998</c:v>
                </c:pt>
                <c:pt idx="4">
                  <c:v>2480564409.3099999</c:v>
                </c:pt>
                <c:pt idx="5">
                  <c:v>1639698701.77</c:v>
                </c:pt>
              </c:numCache>
            </c:numRef>
          </c:val>
          <c:extLst xmlns:c16r2="http://schemas.microsoft.com/office/drawing/2015/06/char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6569490000</c:v>
                </c:pt>
                <c:pt idx="1">
                  <c:v>2500000000</c:v>
                </c:pt>
                <c:pt idx="2">
                  <c:v>1590530000</c:v>
                </c:pt>
                <c:pt idx="3">
                  <c:v>997000000</c:v>
                </c:pt>
                <c:pt idx="4">
                  <c:v>0</c:v>
                </c:pt>
                <c:pt idx="5">
                  <c:v>892600000</c:v>
                </c:pt>
              </c:numCache>
            </c:numRef>
          </c:val>
          <c:extLst xmlns:c16r2="http://schemas.microsoft.com/office/drawing/2015/06/char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09861120"/>
        <c:axId val="209458816"/>
      </c:barChart>
      <c:catAx>
        <c:axId val="209861120"/>
        <c:scaling>
          <c:orientation val="minMax"/>
        </c:scaling>
        <c:delete val="0"/>
        <c:axPos val="b"/>
        <c:majorTickMark val="out"/>
        <c:minorTickMark val="none"/>
        <c:tickLblPos val="nextTo"/>
        <c:crossAx val="209458816"/>
        <c:crosses val="autoZero"/>
        <c:auto val="1"/>
        <c:lblAlgn val="ctr"/>
        <c:lblOffset val="100"/>
        <c:noMultiLvlLbl val="0"/>
      </c:catAx>
      <c:valAx>
        <c:axId val="209458816"/>
        <c:scaling>
          <c:orientation val="minMax"/>
        </c:scaling>
        <c:delete val="0"/>
        <c:axPos val="l"/>
        <c:majorGridlines/>
        <c:numFmt formatCode="#,##0.00_ " sourceLinked="1"/>
        <c:majorTickMark val="out"/>
        <c:minorTickMark val="none"/>
        <c:tickLblPos val="nextTo"/>
        <c:crossAx val="20986112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7704113204.6000004</c:v>
                </c:pt>
                <c:pt idx="1">
                  <c:v>332694980.45999998</c:v>
                </c:pt>
                <c:pt idx="2">
                  <c:v>153853913.52000001</c:v>
                </c:pt>
                <c:pt idx="3">
                  <c:v>0</c:v>
                </c:pt>
                <c:pt idx="4">
                  <c:v>0</c:v>
                </c:pt>
                <c:pt idx="5">
                  <c:v>0</c:v>
                </c:pt>
              </c:numCache>
            </c:numRef>
          </c:val>
          <c:extLst xmlns:c16r2="http://schemas.microsoft.com/office/drawing/2015/06/char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10014208"/>
        <c:axId val="209460544"/>
      </c:barChart>
      <c:catAx>
        <c:axId val="210014208"/>
        <c:scaling>
          <c:orientation val="minMax"/>
        </c:scaling>
        <c:delete val="0"/>
        <c:axPos val="b"/>
        <c:majorTickMark val="out"/>
        <c:minorTickMark val="none"/>
        <c:tickLblPos val="nextTo"/>
        <c:crossAx val="209460544"/>
        <c:crosses val="autoZero"/>
        <c:auto val="1"/>
        <c:lblAlgn val="ctr"/>
        <c:lblOffset val="100"/>
        <c:noMultiLvlLbl val="0"/>
      </c:catAx>
      <c:valAx>
        <c:axId val="209460544"/>
        <c:scaling>
          <c:orientation val="minMax"/>
        </c:scaling>
        <c:delete val="0"/>
        <c:axPos val="l"/>
        <c:majorGridlines/>
        <c:numFmt formatCode="#,##0.00_ " sourceLinked="1"/>
        <c:majorTickMark val="out"/>
        <c:minorTickMark val="none"/>
        <c:tickLblPos val="nextTo"/>
        <c:crossAx val="2100142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15660240.74</c:v>
                </c:pt>
                <c:pt idx="1">
                  <c:v>29047315.350000001</c:v>
                </c:pt>
                <c:pt idx="2">
                  <c:v>14522441.789999999</c:v>
                </c:pt>
                <c:pt idx="3">
                  <c:v>8563830.6600000001</c:v>
                </c:pt>
                <c:pt idx="4">
                  <c:v>0</c:v>
                </c:pt>
                <c:pt idx="5">
                  <c:v>0</c:v>
                </c:pt>
              </c:numCache>
            </c:numRef>
          </c:val>
          <c:extLst xmlns:c16r2="http://schemas.microsoft.com/office/drawing/2015/06/char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11815688846.720001</c:v>
                </c:pt>
                <c:pt idx="1">
                  <c:v>6703568014.6400003</c:v>
                </c:pt>
                <c:pt idx="2">
                  <c:v>6669975394.960001</c:v>
                </c:pt>
                <c:pt idx="3">
                  <c:v>5027077010.7200003</c:v>
                </c:pt>
                <c:pt idx="4">
                  <c:v>3432929596.21</c:v>
                </c:pt>
                <c:pt idx="5">
                  <c:v>2436750592.46</c:v>
                </c:pt>
              </c:numCache>
            </c:numRef>
          </c:val>
          <c:extLst xmlns:c16r2="http://schemas.microsoft.com/office/drawing/2015/06/char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18029361003.709999</c:v>
                </c:pt>
                <c:pt idx="1">
                  <c:v>15602441096.73</c:v>
                </c:pt>
                <c:pt idx="2">
                  <c:v>9214674670.8900013</c:v>
                </c:pt>
                <c:pt idx="3">
                  <c:v>4826640154.2799997</c:v>
                </c:pt>
                <c:pt idx="4">
                  <c:v>3798064327.9300003</c:v>
                </c:pt>
                <c:pt idx="5">
                  <c:v>3069706618.2800002</c:v>
                </c:pt>
              </c:numCache>
            </c:numRef>
          </c:val>
          <c:extLst xmlns:c16r2="http://schemas.microsoft.com/office/drawing/2015/06/char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29845049850.429996</c:v>
                </c:pt>
                <c:pt idx="1">
                  <c:v>22306009111.369999</c:v>
                </c:pt>
                <c:pt idx="2">
                  <c:v>15884650065.85</c:v>
                </c:pt>
                <c:pt idx="3">
                  <c:v>9891635565.4700012</c:v>
                </c:pt>
                <c:pt idx="4">
                  <c:v>7244341437.7399998</c:v>
                </c:pt>
                <c:pt idx="5">
                  <c:v>5510906381.9399996</c:v>
                </c:pt>
              </c:numCache>
            </c:numRef>
          </c:val>
          <c:extLst xmlns:c16r2="http://schemas.microsoft.com/office/drawing/2015/06/char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09735680"/>
        <c:axId val="209962112"/>
      </c:barChart>
      <c:catAx>
        <c:axId val="209735680"/>
        <c:scaling>
          <c:orientation val="minMax"/>
        </c:scaling>
        <c:delete val="0"/>
        <c:axPos val="b"/>
        <c:majorTickMark val="out"/>
        <c:minorTickMark val="none"/>
        <c:tickLblPos val="nextTo"/>
        <c:crossAx val="209962112"/>
        <c:crosses val="autoZero"/>
        <c:auto val="1"/>
        <c:lblAlgn val="ctr"/>
        <c:lblOffset val="100"/>
        <c:noMultiLvlLbl val="0"/>
      </c:catAx>
      <c:valAx>
        <c:axId val="209962112"/>
        <c:scaling>
          <c:orientation val="minMax"/>
        </c:scaling>
        <c:delete val="0"/>
        <c:axPos val="l"/>
        <c:majorGridlines/>
        <c:numFmt formatCode="#,##0.00_ " sourceLinked="1"/>
        <c:majorTickMark val="out"/>
        <c:minorTickMark val="none"/>
        <c:tickLblPos val="nextTo"/>
        <c:crossAx val="209735680"/>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4.8898216286474783E-2</c:v>
                </c:pt>
                <c:pt idx="1">
                  <c:v>5.7074514190631503E-2</c:v>
                </c:pt>
                <c:pt idx="2">
                  <c:v>4.7297425028649732E-2</c:v>
                </c:pt>
                <c:pt idx="3">
                  <c:v>3.9904215324279492E-2</c:v>
                </c:pt>
                <c:pt idx="4">
                  <c:v>4.1942411031525025E-2</c:v>
                </c:pt>
                <c:pt idx="5">
                  <c:v>4.4561912767596301E-2</c:v>
                </c:pt>
                <c:pt idx="6">
                  <c:v>4.8990304109820117E-2</c:v>
                </c:pt>
                <c:pt idx="7">
                  <c:v>6.6410051933179684E-2</c:v>
                </c:pt>
                <c:pt idx="8">
                  <c:v>3.6717081097695829E-2</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xmlns:c16r2="http://schemas.microsoft.com/office/drawing/2015/06/char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09737216"/>
        <c:axId val="209964416"/>
      </c:lineChart>
      <c:catAx>
        <c:axId val="209737216"/>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209964416"/>
        <c:crosses val="autoZero"/>
        <c:auto val="1"/>
        <c:lblAlgn val="ctr"/>
        <c:lblOffset val="100"/>
        <c:noMultiLvlLbl val="0"/>
      </c:catAx>
      <c:valAx>
        <c:axId val="209964416"/>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209737216"/>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0.46341752608710257</c:v>
                </c:pt>
                <c:pt idx="1">
                  <c:v>0.55580299387492438</c:v>
                </c:pt>
                <c:pt idx="2">
                  <c:v>1.4155303987234171</c:v>
                </c:pt>
                <c:pt idx="3">
                  <c:v>0.56799831413272173</c:v>
                </c:pt>
                <c:pt idx="4">
                  <c:v>-0.22354218554696634</c:v>
                </c:pt>
                <c:pt idx="5">
                  <c:v>4.0377838719137209</c:v>
                </c:pt>
              </c:numCache>
            </c:numRef>
          </c:val>
          <c:smooth val="0"/>
          <c:extLst xmlns:c16r2="http://schemas.microsoft.com/office/drawing/2015/06/char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-1</c:v>
                </c:pt>
                <c:pt idx="1">
                  <c:v>-0.32155141825393463</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-4.2205676206974942E-2</c:v>
                </c:pt>
                <c:pt idx="1">
                  <c:v>0.49783282083555536</c:v>
                </c:pt>
                <c:pt idx="2">
                  <c:v>-9.3699825255376554E-2</c:v>
                </c:pt>
                <c:pt idx="3">
                  <c:v>1.9164165816543701</c:v>
                </c:pt>
                <c:pt idx="4">
                  <c:v>0.40726275649849708</c:v>
                </c:pt>
                <c:pt idx="5">
                  <c:v>0.33126184261251307</c:v>
                </c:pt>
              </c:numCache>
            </c:numRef>
          </c:val>
          <c:smooth val="0"/>
          <c:extLst xmlns:c16r2="http://schemas.microsoft.com/office/drawing/2015/06/char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3.0922220724923781E-2</c:v>
                </c:pt>
                <c:pt idx="1">
                  <c:v>0.59635758505980496</c:v>
                </c:pt>
                <c:pt idx="2">
                  <c:v>0.50454160878420462</c:v>
                </c:pt>
                <c:pt idx="3">
                  <c:v>1.0573520079256238</c:v>
                </c:pt>
                <c:pt idx="4">
                  <c:v>0.87869398273398669</c:v>
                </c:pt>
                <c:pt idx="5">
                  <c:v>0.41298201641546428</c:v>
                </c:pt>
              </c:numCache>
            </c:numRef>
          </c:val>
          <c:smooth val="0"/>
          <c:extLst xmlns:c16r2="http://schemas.microsoft.com/office/drawing/2015/06/char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7.1322314227017972E-2</c:v>
                </c:pt>
                <c:pt idx="1">
                  <c:v>0.65655634717031019</c:v>
                </c:pt>
                <c:pt idx="2">
                  <c:v>1.5215093009311356</c:v>
                </c:pt>
                <c:pt idx="3">
                  <c:v>0.37089735105161203</c:v>
                </c:pt>
                <c:pt idx="4">
                  <c:v>1.5654290083231224</c:v>
                </c:pt>
                <c:pt idx="5">
                  <c:v>0.55173916681008972</c:v>
                </c:pt>
              </c:numCache>
            </c:numRef>
          </c:val>
          <c:smooth val="0"/>
          <c:extLst xmlns:c16r2="http://schemas.microsoft.com/office/drawing/2015/06/char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8.2808193336185401E-2</c:v>
                </c:pt>
                <c:pt idx="1">
                  <c:v>1.0615785132172172E-2</c:v>
                </c:pt>
                <c:pt idx="2">
                  <c:v>4.4403003516385223E-2</c:v>
                </c:pt>
                <c:pt idx="3">
                  <c:v>6.8929238288370385E-3</c:v>
                </c:pt>
                <c:pt idx="4">
                  <c:v>1.4104123428720463</c:v>
                </c:pt>
                <c:pt idx="5">
                  <c:v>1.2762342819513848</c:v>
                </c:pt>
              </c:numCache>
            </c:numRef>
          </c:val>
          <c:smooth val="0"/>
          <c:extLst xmlns:c16r2="http://schemas.microsoft.com/office/drawing/2015/06/char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0.26820650780450744</c:v>
                </c:pt>
                <c:pt idx="1">
                  <c:v>0.19511409592384241</c:v>
                </c:pt>
                <c:pt idx="2">
                  <c:v>0.92234621714765508</c:v>
                </c:pt>
                <c:pt idx="3">
                  <c:v>0.29180976704478118</c:v>
                </c:pt>
                <c:pt idx="4">
                  <c:v>0.46393809749945819</c:v>
                </c:pt>
                <c:pt idx="5">
                  <c:v>1.0308677027358093</c:v>
                </c:pt>
              </c:numCache>
            </c:numRef>
          </c:val>
          <c:smooth val="0"/>
          <c:extLst xmlns:c16r2="http://schemas.microsoft.com/office/drawing/2015/06/char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4.0040897348705595</c:v>
                </c:pt>
                <c:pt idx="1">
                  <c:v>-0.5080079113694026</c:v>
                </c:pt>
                <c:pt idx="2">
                  <c:v>-0.27740795882178682</c:v>
                </c:pt>
                <c:pt idx="3">
                  <c:v>0.6939446518243102</c:v>
                </c:pt>
                <c:pt idx="4">
                  <c:v>0.3416057972431355</c:v>
                </c:pt>
                <c:pt idx="5">
                  <c:v>157.48938114822204</c:v>
                </c:pt>
              </c:numCache>
            </c:numRef>
          </c:val>
          <c:smooth val="0"/>
          <c:extLst xmlns:c16r2="http://schemas.microsoft.com/office/drawing/2015/06/char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10539008"/>
        <c:axId val="209966144"/>
      </c:lineChart>
      <c:catAx>
        <c:axId val="210539008"/>
        <c:scaling>
          <c:orientation val="minMax"/>
        </c:scaling>
        <c:delete val="0"/>
        <c:axPos val="b"/>
        <c:majorTickMark val="out"/>
        <c:minorTickMark val="none"/>
        <c:tickLblPos val="nextTo"/>
        <c:crossAx val="209966144"/>
        <c:crosses val="autoZero"/>
        <c:auto val="1"/>
        <c:lblAlgn val="ctr"/>
        <c:lblOffset val="100"/>
        <c:noMultiLvlLbl val="0"/>
      </c:catAx>
      <c:valAx>
        <c:axId val="209966144"/>
        <c:scaling>
          <c:orientation val="minMax"/>
        </c:scaling>
        <c:delete val="0"/>
        <c:axPos val="l"/>
        <c:majorGridlines/>
        <c:numFmt formatCode="0.00%" sourceLinked="1"/>
        <c:majorTickMark val="out"/>
        <c:minorTickMark val="none"/>
        <c:tickLblPos val="nextTo"/>
        <c:crossAx val="210539008"/>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0.773027776653474</c:v>
                </c:pt>
                <c:pt idx="1">
                  <c:v>0.70676865572802261</c:v>
                </c:pt>
                <c:pt idx="2">
                  <c:v>0.63792100329518764</c:v>
                </c:pt>
                <c:pt idx="3">
                  <c:v>0.42409576781660119</c:v>
                </c:pt>
                <c:pt idx="4">
                  <c:v>0.36930700327463223</c:v>
                </c:pt>
                <c:pt idx="5">
                  <c:v>0.62523827464785164</c:v>
                </c:pt>
              </c:numCache>
            </c:numRef>
          </c:val>
          <c:smooth val="0"/>
          <c:extLst xmlns:c16r2="http://schemas.microsoft.com/office/drawing/2015/06/char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c:v>
                </c:pt>
                <c:pt idx="1">
                  <c:v>1.0076103209580181E-3</c:v>
                </c:pt>
                <c:pt idx="2">
                  <c:v>2.0855465687104695E-3</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0.15403586275979247</c:v>
                </c:pt>
                <c:pt idx="1">
                  <c:v>0.19033591555182686</c:v>
                </c:pt>
                <c:pt idx="2">
                  <c:v>0.26447150797748464</c:v>
                </c:pt>
                <c:pt idx="3">
                  <c:v>0.40664957607633767</c:v>
                </c:pt>
                <c:pt idx="4">
                  <c:v>0.55145011470722138</c:v>
                </c:pt>
                <c:pt idx="5">
                  <c:v>0.30073970307522535</c:v>
                </c:pt>
              </c:numCache>
            </c:numRef>
          </c:val>
          <c:smooth val="0"/>
          <c:extLst xmlns:c16r2="http://schemas.microsoft.com/office/drawing/2015/06/char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0.6242933543352136</c:v>
                </c:pt>
                <c:pt idx="1">
                  <c:v>0.86766436251073964</c:v>
                </c:pt>
                <c:pt idx="2">
                  <c:v>0.72966611682068827</c:v>
                </c:pt>
                <c:pt idx="3">
                  <c:v>0.50361802517670107</c:v>
                </c:pt>
                <c:pt idx="4">
                  <c:v>0.57089119308583469</c:v>
                </c:pt>
                <c:pt idx="5">
                  <c:v>0.54939467647712326</c:v>
                </c:pt>
              </c:numCache>
            </c:numRef>
          </c:val>
          <c:smooth val="0"/>
          <c:extLst xmlns:c16r2="http://schemas.microsoft.com/office/drawing/2015/06/char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0.37570664566478634</c:v>
                </c:pt>
                <c:pt idx="1">
                  <c:v>0.13233563748926036</c:v>
                </c:pt>
                <c:pt idx="2">
                  <c:v>0.27033388317931167</c:v>
                </c:pt>
                <c:pt idx="3">
                  <c:v>0.49638197482329893</c:v>
                </c:pt>
                <c:pt idx="4">
                  <c:v>0.4291088069141652</c:v>
                </c:pt>
                <c:pt idx="5">
                  <c:v>0.45060532352287674</c:v>
                </c:pt>
              </c:numCache>
            </c:numRef>
          </c:val>
          <c:smooth val="0"/>
          <c:extLst xmlns:c16r2="http://schemas.microsoft.com/office/drawing/2015/06/char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10540544"/>
        <c:axId val="209968448"/>
      </c:lineChart>
      <c:catAx>
        <c:axId val="210540544"/>
        <c:scaling>
          <c:orientation val="minMax"/>
        </c:scaling>
        <c:delete val="0"/>
        <c:axPos val="b"/>
        <c:majorTickMark val="out"/>
        <c:minorTickMark val="none"/>
        <c:tickLblPos val="nextTo"/>
        <c:crossAx val="209968448"/>
        <c:crosses val="autoZero"/>
        <c:auto val="1"/>
        <c:lblAlgn val="ctr"/>
        <c:lblOffset val="100"/>
        <c:noMultiLvlLbl val="0"/>
      </c:catAx>
      <c:valAx>
        <c:axId val="209968448"/>
        <c:scaling>
          <c:orientation val="minMax"/>
        </c:scaling>
        <c:delete val="0"/>
        <c:axPos val="l"/>
        <c:majorGridlines/>
        <c:numFmt formatCode="0.00%" sourceLinked="1"/>
        <c:majorTickMark val="out"/>
        <c:minorTickMark val="none"/>
        <c:tickLblPos val="nextTo"/>
        <c:crossAx val="21054054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8.2099749750930169</c:v>
                </c:pt>
                <c:pt idx="1">
                  <c:v>5.3774781452750711</c:v>
                </c:pt>
                <c:pt idx="2">
                  <c:v>4.4707596575695812</c:v>
                </c:pt>
                <c:pt idx="3">
                  <c:v>1.9934708175132536</c:v>
                </c:pt>
                <c:pt idx="4">
                  <c:v>2.2464788446830175</c:v>
                </c:pt>
                <c:pt idx="5">
                  <c:v>6.1648564159175248</c:v>
                </c:pt>
              </c:numCache>
            </c:numRef>
          </c:val>
          <c:smooth val="0"/>
          <c:extLst xmlns:c16r2="http://schemas.microsoft.com/office/drawing/2015/06/char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10542080"/>
        <c:axId val="209807040"/>
      </c:lineChart>
      <c:catAx>
        <c:axId val="210542080"/>
        <c:scaling>
          <c:orientation val="minMax"/>
        </c:scaling>
        <c:delete val="0"/>
        <c:axPos val="b"/>
        <c:majorTickMark val="out"/>
        <c:minorTickMark val="none"/>
        <c:tickLblPos val="nextTo"/>
        <c:crossAx val="209807040"/>
        <c:crosses val="autoZero"/>
        <c:auto val="1"/>
        <c:lblAlgn val="ctr"/>
        <c:lblOffset val="100"/>
        <c:noMultiLvlLbl val="0"/>
      </c:catAx>
      <c:valAx>
        <c:axId val="209807040"/>
        <c:scaling>
          <c:orientation val="minMax"/>
        </c:scaling>
        <c:delete val="0"/>
        <c:axPos val="l"/>
        <c:majorGridlines/>
        <c:numFmt formatCode="0.00%" sourceLinked="1"/>
        <c:majorTickMark val="out"/>
        <c:minorTickMark val="none"/>
        <c:tickLblPos val="nextTo"/>
        <c:crossAx val="21054208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23071052529.989998</c:v>
                </c:pt>
                <c:pt idx="1">
                  <c:v>15765188074.299999</c:v>
                </c:pt>
                <c:pt idx="2">
                  <c:v>10133151907</c:v>
                </c:pt>
                <c:pt idx="3">
                  <c:v>4195000780.1000004</c:v>
                </c:pt>
                <c:pt idx="4">
                  <c:v>2675386027.0700002</c:v>
                </c:pt>
                <c:pt idx="5">
                  <c:v>3445629597.9899998</c:v>
                </c:pt>
              </c:numCache>
            </c:numRef>
          </c:val>
          <c:extLst xmlns:c16r2="http://schemas.microsoft.com/office/drawing/2015/06/char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0</c:v>
                </c:pt>
                <c:pt idx="1">
                  <c:v>22475765</c:v>
                </c:pt>
                <c:pt idx="2">
                  <c:v>33128177.440000001</c:v>
                </c:pt>
                <c:pt idx="3">
                  <c:v>0</c:v>
                </c:pt>
                <c:pt idx="4">
                  <c:v>0</c:v>
                </c:pt>
                <c:pt idx="5">
                  <c:v>0</c:v>
                </c:pt>
              </c:numCache>
            </c:numRef>
          </c:val>
          <c:extLst xmlns:c16r2="http://schemas.microsoft.com/office/drawing/2015/06/char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4597208002.8199997</c:v>
                </c:pt>
                <c:pt idx="1">
                  <c:v>4245634666.5200005</c:v>
                </c:pt>
                <c:pt idx="2">
                  <c:v>4201037356.6100001</c:v>
                </c:pt>
                <c:pt idx="3">
                  <c:v>4022429409.4000006</c:v>
                </c:pt>
                <c:pt idx="4">
                  <c:v>3994892916.8199997</c:v>
                </c:pt>
                <c:pt idx="5">
                  <c:v>1657348348.98</c:v>
                </c:pt>
              </c:numCache>
            </c:numRef>
          </c:val>
          <c:extLst xmlns:c16r2="http://schemas.microsoft.com/office/drawing/2015/06/char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29845049850.429996</c:v>
                </c:pt>
                <c:pt idx="1">
                  <c:v>22306009111.369999</c:v>
                </c:pt>
                <c:pt idx="2">
                  <c:v>15884650065.85</c:v>
                </c:pt>
                <c:pt idx="3">
                  <c:v>9891635565.4700012</c:v>
                </c:pt>
                <c:pt idx="4">
                  <c:v>7244341437.7399998</c:v>
                </c:pt>
                <c:pt idx="5">
                  <c:v>5510906381.9399996</c:v>
                </c:pt>
              </c:numCache>
            </c:numRef>
          </c:val>
          <c:extLst xmlns:c16r2="http://schemas.microsoft.com/office/drawing/2015/06/char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11227136"/>
        <c:axId val="209808768"/>
      </c:barChart>
      <c:catAx>
        <c:axId val="211227136"/>
        <c:scaling>
          <c:orientation val="minMax"/>
        </c:scaling>
        <c:delete val="0"/>
        <c:axPos val="b"/>
        <c:majorTickMark val="out"/>
        <c:minorTickMark val="none"/>
        <c:tickLblPos val="nextTo"/>
        <c:crossAx val="209808768"/>
        <c:crosses val="autoZero"/>
        <c:auto val="1"/>
        <c:lblAlgn val="ctr"/>
        <c:lblOffset val="100"/>
        <c:noMultiLvlLbl val="0"/>
      </c:catAx>
      <c:valAx>
        <c:axId val="209808768"/>
        <c:scaling>
          <c:orientation val="minMax"/>
        </c:scaling>
        <c:delete val="0"/>
        <c:axPos val="l"/>
        <c:majorGridlines/>
        <c:numFmt formatCode="#,##0.00_ " sourceLinked="1"/>
        <c:majorTickMark val="out"/>
        <c:minorTickMark val="none"/>
        <c:tickLblPos val="nextTo"/>
        <c:crossAx val="2112271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7376456023.9000006</c:v>
                </c:pt>
                <c:pt idx="1">
                  <c:v>5816447067.9700003</c:v>
                </c:pt>
                <c:pt idx="2">
                  <c:v>4866855045.7300005</c:v>
                </c:pt>
                <c:pt idx="3">
                  <c:v>2531726596.5500002</c:v>
                </c:pt>
                <c:pt idx="4">
                  <c:v>1959829272.9599998</c:v>
                </c:pt>
                <c:pt idx="5">
                  <c:v>1338737803.4000001</c:v>
                </c:pt>
              </c:numCache>
            </c:numRef>
          </c:val>
          <c:extLst xmlns:c16r2="http://schemas.microsoft.com/office/drawing/2015/06/char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4439232822.8199997</c:v>
                </c:pt>
                <c:pt idx="1">
                  <c:v>887120946.66999996</c:v>
                </c:pt>
                <c:pt idx="2">
                  <c:v>1803120349.23</c:v>
                </c:pt>
                <c:pt idx="3">
                  <c:v>2495350414.1700001</c:v>
                </c:pt>
                <c:pt idx="4">
                  <c:v>1473100323.25</c:v>
                </c:pt>
                <c:pt idx="5">
                  <c:v>1098012789.0599999</c:v>
                </c:pt>
              </c:numCache>
            </c:numRef>
          </c:val>
          <c:extLst xmlns:c16r2="http://schemas.microsoft.com/office/drawing/2015/06/char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11228672"/>
        <c:axId val="209811072"/>
      </c:barChart>
      <c:catAx>
        <c:axId val="211228672"/>
        <c:scaling>
          <c:orientation val="minMax"/>
        </c:scaling>
        <c:delete val="0"/>
        <c:axPos val="b"/>
        <c:majorTickMark val="out"/>
        <c:minorTickMark val="none"/>
        <c:tickLblPos val="nextTo"/>
        <c:crossAx val="209811072"/>
        <c:crosses val="autoZero"/>
        <c:auto val="1"/>
        <c:lblAlgn val="ctr"/>
        <c:lblOffset val="100"/>
        <c:noMultiLvlLbl val="0"/>
      </c:catAx>
      <c:valAx>
        <c:axId val="209811072"/>
        <c:scaling>
          <c:orientation val="minMax"/>
        </c:scaling>
        <c:delete val="0"/>
        <c:axPos val="l"/>
        <c:majorGridlines/>
        <c:numFmt formatCode="#,##0.00_ " sourceLinked="1"/>
        <c:majorTickMark val="out"/>
        <c:minorTickMark val="none"/>
        <c:tickLblPos val="nextTo"/>
        <c:crossAx val="21122867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15694596506.089996</c:v>
                </c:pt>
                <c:pt idx="1">
                  <c:v>9948741006.329998</c:v>
                </c:pt>
                <c:pt idx="2">
                  <c:v>5266296861.2699986</c:v>
                </c:pt>
                <c:pt idx="3">
                  <c:v>1663274183.5500002</c:v>
                </c:pt>
                <c:pt idx="4">
                  <c:v>715556754.10999966</c:v>
                </c:pt>
                <c:pt idx="5">
                  <c:v>2106891794.5899997</c:v>
                </c:pt>
              </c:numCache>
            </c:numRef>
          </c:val>
          <c:extLst xmlns:c16r2="http://schemas.microsoft.com/office/drawing/2015/06/char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-15694596506.089996</c:v>
                </c:pt>
                <c:pt idx="1">
                  <c:v>-9948741006.329998</c:v>
                </c:pt>
                <c:pt idx="2">
                  <c:v>-5266296861.2699995</c:v>
                </c:pt>
                <c:pt idx="3">
                  <c:v>-1663274183.5500002</c:v>
                </c:pt>
                <c:pt idx="4">
                  <c:v>-715556754.11000037</c:v>
                </c:pt>
                <c:pt idx="5">
                  <c:v>-2106891794.5899997</c:v>
                </c:pt>
              </c:numCache>
            </c:numRef>
          </c:val>
          <c:extLst xmlns:c16r2="http://schemas.microsoft.com/office/drawing/2015/06/char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11111936"/>
        <c:axId val="209812800"/>
      </c:barChart>
      <c:catAx>
        <c:axId val="211111936"/>
        <c:scaling>
          <c:orientation val="minMax"/>
        </c:scaling>
        <c:delete val="0"/>
        <c:axPos val="b"/>
        <c:majorTickMark val="out"/>
        <c:minorTickMark val="none"/>
        <c:tickLblPos val="nextTo"/>
        <c:crossAx val="209812800"/>
        <c:crosses val="autoZero"/>
        <c:auto val="1"/>
        <c:lblAlgn val="ctr"/>
        <c:lblOffset val="100"/>
        <c:noMultiLvlLbl val="0"/>
      </c:catAx>
      <c:valAx>
        <c:axId val="209812800"/>
        <c:scaling>
          <c:orientation val="minMax"/>
        </c:scaling>
        <c:delete val="0"/>
        <c:axPos val="l"/>
        <c:majorGridlines/>
        <c:numFmt formatCode="#,##0.00_ " sourceLinked="1"/>
        <c:majorTickMark val="out"/>
        <c:minorTickMark val="none"/>
        <c:tickLblPos val="nextTo"/>
        <c:crossAx val="2111119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0.60076249579267393</c:v>
                </c:pt>
                <c:pt idx="1">
                  <c:v>0.5954988507737411</c:v>
                </c:pt>
                <c:pt idx="2">
                  <c:v>0.62659958768447477</c:v>
                </c:pt>
                <c:pt idx="3">
                  <c:v>0.60899561560191606</c:v>
                </c:pt>
                <c:pt idx="4">
                  <c:v>0.63674759764354172</c:v>
                </c:pt>
                <c:pt idx="5">
                  <c:v>0.67829672657721984</c:v>
                </c:pt>
              </c:numCache>
            </c:numRef>
          </c:val>
          <c:smooth val="0"/>
          <c:extLst xmlns:c16r2="http://schemas.microsoft.com/office/drawing/2015/06/char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0.39923750420732607</c:v>
                </c:pt>
                <c:pt idx="1">
                  <c:v>0.40450114922625885</c:v>
                </c:pt>
                <c:pt idx="2">
                  <c:v>0.37340041231552523</c:v>
                </c:pt>
                <c:pt idx="3">
                  <c:v>0.39100438439808388</c:v>
                </c:pt>
                <c:pt idx="4">
                  <c:v>0.36325240235645828</c:v>
                </c:pt>
                <c:pt idx="5">
                  <c:v>0.32170327342278016</c:v>
                </c:pt>
              </c:numCache>
            </c:numRef>
          </c:val>
          <c:smooth val="0"/>
          <c:extLst xmlns:c16r2="http://schemas.microsoft.com/office/drawing/2015/06/char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8.5051916122202767E-3</c:v>
                </c:pt>
                <c:pt idx="1">
                  <c:v>8.9043682349936384E-3</c:v>
                </c:pt>
                <c:pt idx="2">
                  <c:v>4.9462244754882893E-3</c:v>
                </c:pt>
                <c:pt idx="3">
                  <c:v>4.216375240136341E-3</c:v>
                </c:pt>
                <c:pt idx="4">
                  <c:v>5.3622427669494472E-3</c:v>
                </c:pt>
                <c:pt idx="5">
                  <c:v>5.9679737329381187E-3</c:v>
                </c:pt>
              </c:numCache>
            </c:numRef>
          </c:val>
          <c:smooth val="0"/>
          <c:extLst xmlns:c16r2="http://schemas.microsoft.com/office/drawing/2015/06/char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2.8516143485242122E-2</c:v>
                </c:pt>
                <c:pt idx="1">
                  <c:v>2.5997363197044068E-2</c:v>
                </c:pt>
                <c:pt idx="2">
                  <c:v>2.1955244256809482E-2</c:v>
                </c:pt>
                <c:pt idx="3">
                  <c:v>1.8917365683875274E-2</c:v>
                </c:pt>
                <c:pt idx="4">
                  <c:v>1.6958267845939325E-2</c:v>
                </c:pt>
                <c:pt idx="5">
                  <c:v>1.8503613839702338E-2</c:v>
                </c:pt>
              </c:numCache>
            </c:numRef>
          </c:val>
          <c:smooth val="0"/>
          <c:extLst xmlns:c16r2="http://schemas.microsoft.com/office/drawing/2015/06/char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7.3315590927171909E-2</c:v>
                </c:pt>
                <c:pt idx="1">
                  <c:v>8.4040055160007426E-2</c:v>
                </c:pt>
                <c:pt idx="2">
                  <c:v>7.6451419570784093E-2</c:v>
                </c:pt>
                <c:pt idx="3">
                  <c:v>7.6770010715921516E-2</c:v>
                </c:pt>
                <c:pt idx="4">
                  <c:v>6.786200451029166E-2</c:v>
                </c:pt>
                <c:pt idx="5">
                  <c:v>5.0022830064627211E-2</c:v>
                </c:pt>
              </c:numCache>
            </c:numRef>
          </c:val>
          <c:smooth val="0"/>
          <c:extLst xmlns:c16r2="http://schemas.microsoft.com/office/drawing/2015/06/char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2.5410341531580186E-3</c:v>
                </c:pt>
                <c:pt idx="1">
                  <c:v>1.7815721512825945E-2</c:v>
                </c:pt>
                <c:pt idx="2">
                  <c:v>9.5758483074683282E-3</c:v>
                </c:pt>
                <c:pt idx="3">
                  <c:v>1.5152067349344291E-2</c:v>
                </c:pt>
                <c:pt idx="4">
                  <c:v>2.7124102466476812E-3</c:v>
                </c:pt>
                <c:pt idx="5">
                  <c:v>4.6474182620683457E-3</c:v>
                </c:pt>
              </c:numCache>
            </c:numRef>
          </c:val>
          <c:smooth val="0"/>
          <c:extLst xmlns:c16r2="http://schemas.microsoft.com/office/drawing/2015/06/char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-3.5979974117516036E-4</c:v>
                </c:pt>
                <c:pt idx="1">
                  <c:v>-3.3032192790515688E-3</c:v>
                </c:pt>
                <c:pt idx="2">
                  <c:v>-1.005514170411502E-4</c:v>
                </c:pt>
                <c:pt idx="3">
                  <c:v>-1.2701400553877939E-3</c:v>
                </c:pt>
                <c:pt idx="4">
                  <c:v>-1.8384046054158139E-3</c:v>
                </c:pt>
                <c:pt idx="5">
                  <c:v>-5.3909871711186998E-3</c:v>
                </c:pt>
              </c:numCache>
            </c:numRef>
          </c:val>
          <c:smooth val="0"/>
          <c:extLst xmlns:c16r2="http://schemas.microsoft.com/office/drawing/2015/06/char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1.6495312046760353E-3</c:v>
                </c:pt>
                <c:pt idx="1">
                  <c:v>3.7716779675554786E-3</c:v>
                </c:pt>
                <c:pt idx="2">
                  <c:v>1.416334902973706E-3</c:v>
                </c:pt>
                <c:pt idx="3">
                  <c:v>2.4730969109760291E-3</c:v>
                </c:pt>
                <c:pt idx="4">
                  <c:v>3.09985760714508E-3</c:v>
                </c:pt>
                <c:pt idx="5">
                  <c:v>5.3919803676659743E-3</c:v>
                </c:pt>
              </c:numCache>
            </c:numRef>
          </c:val>
          <c:smooth val="0"/>
          <c:extLst xmlns:c16r2="http://schemas.microsoft.com/office/drawing/2015/06/char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0.11416769164129321</c:v>
                </c:pt>
                <c:pt idx="1">
                  <c:v>0.13722596679337501</c:v>
                </c:pt>
                <c:pt idx="2">
                  <c:v>0.11424452009648274</c:v>
                </c:pt>
                <c:pt idx="3">
                  <c:v>0.11625877584486566</c:v>
                </c:pt>
                <c:pt idx="4">
                  <c:v>9.4156378371557381E-2</c:v>
                </c:pt>
                <c:pt idx="5">
                  <c:v>7.9142829095883271E-2</c:v>
                </c:pt>
              </c:numCache>
            </c:numRef>
          </c:val>
          <c:smooth val="0"/>
          <c:extLst xmlns:c16r2="http://schemas.microsoft.com/office/drawing/2015/06/char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0.24562072130951626</c:v>
                </c:pt>
                <c:pt idx="1">
                  <c:v>0.23507845293992502</c:v>
                </c:pt>
                <c:pt idx="2">
                  <c:v>0.2235005163851923</c:v>
                </c:pt>
                <c:pt idx="3">
                  <c:v>0.23597462695255161</c:v>
                </c:pt>
                <c:pt idx="4">
                  <c:v>0.24581018389564857</c:v>
                </c:pt>
                <c:pt idx="5">
                  <c:v>0.21500789023075978</c:v>
                </c:pt>
              </c:numCache>
            </c:numRef>
          </c:val>
          <c:smooth val="0"/>
          <c:extLst xmlns:c16r2="http://schemas.microsoft.com/office/drawing/2015/06/char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11114496"/>
        <c:axId val="211158144"/>
      </c:lineChart>
      <c:catAx>
        <c:axId val="211114496"/>
        <c:scaling>
          <c:orientation val="minMax"/>
        </c:scaling>
        <c:delete val="0"/>
        <c:axPos val="b"/>
        <c:majorTickMark val="out"/>
        <c:minorTickMark val="none"/>
        <c:tickLblPos val="nextTo"/>
        <c:crossAx val="211158144"/>
        <c:crosses val="autoZero"/>
        <c:auto val="1"/>
        <c:lblAlgn val="ctr"/>
        <c:lblOffset val="100"/>
        <c:noMultiLvlLbl val="0"/>
      </c:catAx>
      <c:valAx>
        <c:axId val="211158144"/>
        <c:scaling>
          <c:orientation val="minMax"/>
        </c:scaling>
        <c:delete val="0"/>
        <c:axPos val="l"/>
        <c:majorGridlines/>
        <c:numFmt formatCode="0.00%" sourceLinked="1"/>
        <c:majorTickMark val="out"/>
        <c:minorTickMark val="none"/>
        <c:tickLblPos val="nextTo"/>
        <c:crossAx val="211114496"/>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0.77243490033178408</c:v>
                </c:pt>
                <c:pt idx="1">
                  <c:v>0.76258240076965234</c:v>
                </c:pt>
                <c:pt idx="2">
                  <c:v>0.72505422954083654</c:v>
                </c:pt>
                <c:pt idx="3">
                  <c:v>0.68691508514538357</c:v>
                </c:pt>
                <c:pt idx="4">
                  <c:v>0.5171309694929207</c:v>
                </c:pt>
                <c:pt idx="5">
                  <c:v>0.42134944693361875</c:v>
                </c:pt>
              </c:numCache>
            </c:numRef>
          </c:val>
          <c:smooth val="0"/>
          <c:extLst xmlns:c16r2="http://schemas.microsoft.com/office/drawing/2015/06/char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-1.350645638192739E-3</c:v>
                </c:pt>
                <c:pt idx="1">
                  <c:v>-3.2015307573237104E-3</c:v>
                </c:pt>
                <c:pt idx="2">
                  <c:v>-6.9446490119936676E-4</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0.22891574530640868</c:v>
                </c:pt>
                <c:pt idx="1">
                  <c:v>0.24061912998767138</c:v>
                </c:pt>
                <c:pt idx="2">
                  <c:v>0.27564023536036286</c:v>
                </c:pt>
                <c:pt idx="3">
                  <c:v>0.31308491485461643</c:v>
                </c:pt>
                <c:pt idx="4">
                  <c:v>0.48286903050707936</c:v>
                </c:pt>
                <c:pt idx="5">
                  <c:v>0.57865055306638125</c:v>
                </c:pt>
              </c:numCache>
            </c:numRef>
          </c:val>
          <c:smooth val="0"/>
          <c:extLst xmlns:c16r2="http://schemas.microsoft.com/office/drawing/2015/06/char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10612224"/>
        <c:axId val="211160448"/>
      </c:lineChart>
      <c:catAx>
        <c:axId val="210612224"/>
        <c:scaling>
          <c:orientation val="minMax"/>
        </c:scaling>
        <c:delete val="0"/>
        <c:axPos val="b"/>
        <c:majorTickMark val="out"/>
        <c:minorTickMark val="none"/>
        <c:tickLblPos val="nextTo"/>
        <c:crossAx val="211160448"/>
        <c:crosses val="autoZero"/>
        <c:auto val="1"/>
        <c:lblAlgn val="ctr"/>
        <c:lblOffset val="100"/>
        <c:noMultiLvlLbl val="0"/>
      </c:catAx>
      <c:valAx>
        <c:axId val="211160448"/>
        <c:scaling>
          <c:orientation val="minMax"/>
        </c:scaling>
        <c:delete val="0"/>
        <c:axPos val="l"/>
        <c:majorGridlines/>
        <c:numFmt formatCode="0.00%" sourceLinked="1"/>
        <c:majorTickMark val="out"/>
        <c:minorTickMark val="none"/>
        <c:tickLblPos val="nextTo"/>
        <c:crossAx val="2106122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0.21276967061566579</c:v>
                </c:pt>
                <c:pt idx="1">
                  <c:v>0.21608075223213757</c:v>
                </c:pt>
                <c:pt idx="2">
                  <c:v>0.18798060672790617</c:v>
                </c:pt>
                <c:pt idx="3">
                  <c:v>0.1939957281781389</c:v>
                </c:pt>
                <c:pt idx="4">
                  <c:v>0.20826283823420177</c:v>
                </c:pt>
                <c:pt idx="5">
                  <c:v>0.19492309045448186</c:v>
                </c:pt>
                <c:pt idx="6">
                  <c:v>9.1199137004556161E-2</c:v>
                </c:pt>
              </c:numCache>
            </c:numRef>
          </c:val>
          <c:smooth val="0"/>
          <c:extLst xmlns:c16r2="http://schemas.microsoft.com/office/drawing/2015/06/char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10613248"/>
        <c:axId val="211162752"/>
      </c:lineChart>
      <c:catAx>
        <c:axId val="210613248"/>
        <c:scaling>
          <c:orientation val="minMax"/>
        </c:scaling>
        <c:delete val="0"/>
        <c:axPos val="b"/>
        <c:majorTickMark val="out"/>
        <c:minorTickMark val="none"/>
        <c:tickLblPos val="nextTo"/>
        <c:crossAx val="211162752"/>
        <c:crosses val="autoZero"/>
        <c:auto val="1"/>
        <c:lblAlgn val="ctr"/>
        <c:lblOffset val="100"/>
        <c:noMultiLvlLbl val="0"/>
      </c:catAx>
      <c:valAx>
        <c:axId val="211162752"/>
        <c:scaling>
          <c:orientation val="minMax"/>
        </c:scaling>
        <c:delete val="0"/>
        <c:axPos val="l"/>
        <c:majorGridlines/>
        <c:numFmt formatCode="0.00%" sourceLinked="1"/>
        <c:majorTickMark val="out"/>
        <c:minorTickMark val="none"/>
        <c:tickLblPos val="nextTo"/>
        <c:crossAx val="21061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0.77243490033178408</c:v>
                </c:pt>
                <c:pt idx="1">
                  <c:v>0.76258240076965234</c:v>
                </c:pt>
                <c:pt idx="2">
                  <c:v>0.72505422954083654</c:v>
                </c:pt>
                <c:pt idx="3">
                  <c:v>0.68691508514538357</c:v>
                </c:pt>
                <c:pt idx="4">
                  <c:v>0.5171309694929207</c:v>
                </c:pt>
                <c:pt idx="5">
                  <c:v>0.42134944693361875</c:v>
                </c:pt>
              </c:numCache>
            </c:numRef>
          </c:val>
          <c:smooth val="0"/>
          <c:extLst xmlns:c16r2="http://schemas.microsoft.com/office/drawing/2015/06/char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-1.350645638192739E-3</c:v>
                </c:pt>
                <c:pt idx="1">
                  <c:v>-3.2015307573237104E-3</c:v>
                </c:pt>
                <c:pt idx="2">
                  <c:v>-6.9446490119936676E-4</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0.22891574530640868</c:v>
                </c:pt>
                <c:pt idx="1">
                  <c:v>0.24061912998767138</c:v>
                </c:pt>
                <c:pt idx="2">
                  <c:v>0.27564023536036286</c:v>
                </c:pt>
                <c:pt idx="3">
                  <c:v>0.31308491485461643</c:v>
                </c:pt>
                <c:pt idx="4">
                  <c:v>0.48286903050707936</c:v>
                </c:pt>
                <c:pt idx="5">
                  <c:v>0.57865055306638125</c:v>
                </c:pt>
              </c:numCache>
            </c:numRef>
          </c:val>
          <c:smooth val="0"/>
          <c:extLst xmlns:c16r2="http://schemas.microsoft.com/office/drawing/2015/06/char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10614272"/>
        <c:axId val="211164480"/>
      </c:lineChart>
      <c:catAx>
        <c:axId val="210614272"/>
        <c:scaling>
          <c:orientation val="minMax"/>
        </c:scaling>
        <c:delete val="0"/>
        <c:axPos val="b"/>
        <c:majorTickMark val="out"/>
        <c:minorTickMark val="none"/>
        <c:tickLblPos val="nextTo"/>
        <c:crossAx val="211164480"/>
        <c:crosses val="autoZero"/>
        <c:auto val="1"/>
        <c:lblAlgn val="ctr"/>
        <c:lblOffset val="100"/>
        <c:noMultiLvlLbl val="0"/>
      </c:catAx>
      <c:valAx>
        <c:axId val="211164480"/>
        <c:scaling>
          <c:orientation val="minMax"/>
        </c:scaling>
        <c:delete val="0"/>
        <c:axPos val="l"/>
        <c:majorGridlines/>
        <c:numFmt formatCode="0.00%" sourceLinked="1"/>
        <c:majorTickMark val="out"/>
        <c:minorTickMark val="none"/>
        <c:tickLblPos val="nextTo"/>
        <c:crossAx val="210614272"/>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0.33087600085444924</c:v>
                </c:pt>
                <c:pt idx="1">
                  <c:v>0.29904516242751633</c:v>
                </c:pt>
                <c:pt idx="2">
                  <c:v>0.39017530615087603</c:v>
                </c:pt>
                <c:pt idx="3">
                  <c:v>0.43528423432523611</c:v>
                </c:pt>
                <c:pt idx="4">
                  <c:v>0.56186044964223059</c:v>
                </c:pt>
                <c:pt idx="5">
                  <c:v>0.61801059361384425</c:v>
                </c:pt>
              </c:numCache>
            </c:numRef>
          </c:val>
          <c:smooth val="0"/>
          <c:extLst xmlns:c16r2="http://schemas.microsoft.com/office/drawing/2015/06/char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10615808"/>
        <c:axId val="212035264"/>
      </c:lineChart>
      <c:catAx>
        <c:axId val="210615808"/>
        <c:scaling>
          <c:orientation val="minMax"/>
        </c:scaling>
        <c:delete val="0"/>
        <c:axPos val="b"/>
        <c:majorTickMark val="out"/>
        <c:minorTickMark val="none"/>
        <c:tickLblPos val="nextTo"/>
        <c:crossAx val="212035264"/>
        <c:crosses val="autoZero"/>
        <c:auto val="1"/>
        <c:lblAlgn val="ctr"/>
        <c:lblOffset val="100"/>
        <c:noMultiLvlLbl val="0"/>
      </c:catAx>
      <c:valAx>
        <c:axId val="212035264"/>
        <c:scaling>
          <c:orientation val="minMax"/>
        </c:scaling>
        <c:delete val="0"/>
        <c:axPos val="l"/>
        <c:majorGridlines/>
        <c:numFmt formatCode="0.00%" sourceLinked="1"/>
        <c:majorTickMark val="out"/>
        <c:minorTickMark val="none"/>
        <c:tickLblPos val="nextTo"/>
        <c:crossAx val="21061580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11789073516.690001</c:v>
                </c:pt>
                <c:pt idx="1">
                  <c:v>9232749388.8799992</c:v>
                </c:pt>
                <c:pt idx="2">
                  <c:v>7459376626.1199999</c:v>
                </c:pt>
                <c:pt idx="3">
                  <c:v>5208091770.6199999</c:v>
                </c:pt>
                <c:pt idx="4">
                  <c:v>3192701967.0799999</c:v>
                </c:pt>
                <c:pt idx="5">
                  <c:v>2234623152.98</c:v>
                </c:pt>
              </c:numCache>
            </c:numRef>
          </c:val>
          <c:extLst xmlns:c16r2="http://schemas.microsoft.com/office/drawing/2015/06/char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7082433228.9700003</c:v>
                </c:pt>
                <c:pt idx="1">
                  <c:v>5498091650.5600004</c:v>
                </c:pt>
                <c:pt idx="2">
                  <c:v>4674042318.3100004</c:v>
                </c:pt>
                <c:pt idx="3">
                  <c:v>3171705053.96</c:v>
                </c:pt>
                <c:pt idx="4">
                  <c:v>2032945307.53</c:v>
                </c:pt>
                <c:pt idx="5">
                  <c:v>1515737569.8</c:v>
                </c:pt>
              </c:numCache>
            </c:numRef>
          </c:val>
          <c:extLst xmlns:c16r2="http://schemas.microsoft.com/office/drawing/2015/06/char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4706640287.7200003</c:v>
                </c:pt>
                <c:pt idx="1">
                  <c:v>3734657738.3199987</c:v>
                </c:pt>
                <c:pt idx="2">
                  <c:v>2785334307.8099995</c:v>
                </c:pt>
                <c:pt idx="3">
                  <c:v>2036386716.6599998</c:v>
                </c:pt>
                <c:pt idx="4">
                  <c:v>1159756659.55</c:v>
                </c:pt>
                <c:pt idx="5">
                  <c:v>718885583.18000007</c:v>
                </c:pt>
              </c:numCache>
            </c:numRef>
          </c:val>
          <c:extLst xmlns:c16r2="http://schemas.microsoft.com/office/drawing/2015/06/char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11792384"/>
        <c:axId val="212036992"/>
      </c:barChart>
      <c:catAx>
        <c:axId val="211792384"/>
        <c:scaling>
          <c:orientation val="minMax"/>
        </c:scaling>
        <c:delete val="0"/>
        <c:axPos val="b"/>
        <c:majorTickMark val="out"/>
        <c:minorTickMark val="none"/>
        <c:tickLblPos val="nextTo"/>
        <c:crossAx val="212036992"/>
        <c:crosses val="autoZero"/>
        <c:auto val="1"/>
        <c:lblAlgn val="ctr"/>
        <c:lblOffset val="100"/>
        <c:noMultiLvlLbl val="0"/>
      </c:catAx>
      <c:valAx>
        <c:axId val="212036992"/>
        <c:scaling>
          <c:orientation val="minMax"/>
        </c:scaling>
        <c:delete val="0"/>
        <c:axPos val="l"/>
        <c:majorGridlines/>
        <c:numFmt formatCode="#,##0.00_ " sourceLinked="1"/>
        <c:majorTickMark val="out"/>
        <c:minorTickMark val="none"/>
        <c:tickLblPos val="nextTo"/>
        <c:crossAx val="2117923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-0.47395105083186267</c:v>
                </c:pt>
                <c:pt idx="2">
                  <c:v>-5.6502431001226851E-2</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11792896"/>
        <c:axId val="212039296"/>
      </c:lineChart>
      <c:catAx>
        <c:axId val="211792896"/>
        <c:scaling>
          <c:orientation val="minMax"/>
        </c:scaling>
        <c:delete val="0"/>
        <c:axPos val="b"/>
        <c:majorTickMark val="out"/>
        <c:minorTickMark val="none"/>
        <c:tickLblPos val="nextTo"/>
        <c:crossAx val="212039296"/>
        <c:crosses val="autoZero"/>
        <c:auto val="1"/>
        <c:lblAlgn val="ctr"/>
        <c:lblOffset val="100"/>
        <c:noMultiLvlLbl val="0"/>
      </c:catAx>
      <c:valAx>
        <c:axId val="212039296"/>
        <c:scaling>
          <c:orientation val="minMax"/>
        </c:scaling>
        <c:delete val="0"/>
        <c:axPos val="l"/>
        <c:majorGridlines/>
        <c:numFmt formatCode="0.00%" sourceLinked="1"/>
        <c:majorTickMark val="out"/>
        <c:minorTickMark val="none"/>
        <c:tickLblPos val="nextTo"/>
        <c:crossAx val="2117928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3.749153804642915E-2</c:v>
                </c:pt>
                <c:pt idx="1">
                  <c:v>4.3436452842259735E-2</c:v>
                </c:pt>
                <c:pt idx="2">
                  <c:v>6.2495716612328639E-2</c:v>
                </c:pt>
                <c:pt idx="3">
                  <c:v>0.13366382181611269</c:v>
                </c:pt>
                <c:pt idx="4">
                  <c:v>0.2738844198276556</c:v>
                </c:pt>
                <c:pt idx="5">
                  <c:v>0.1914904178914571</c:v>
                </c:pt>
              </c:numCache>
            </c:numRef>
          </c:val>
          <c:smooth val="0"/>
          <c:extLst xmlns:c16r2="http://schemas.microsoft.com/office/drawing/2015/06/char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17440768"/>
        <c:axId val="212041024"/>
      </c:lineChart>
      <c:catAx>
        <c:axId val="217440768"/>
        <c:scaling>
          <c:orientation val="minMax"/>
        </c:scaling>
        <c:delete val="0"/>
        <c:axPos val="b"/>
        <c:majorTickMark val="out"/>
        <c:minorTickMark val="none"/>
        <c:tickLblPos val="nextTo"/>
        <c:crossAx val="212041024"/>
        <c:crosses val="autoZero"/>
        <c:auto val="1"/>
        <c:lblAlgn val="ctr"/>
        <c:lblOffset val="100"/>
        <c:noMultiLvlLbl val="0"/>
      </c:catAx>
      <c:valAx>
        <c:axId val="212041024"/>
        <c:scaling>
          <c:orientation val="minMax"/>
        </c:scaling>
        <c:delete val="0"/>
        <c:axPos val="l"/>
        <c:majorGridlines/>
        <c:numFmt formatCode="0.00%" sourceLinked="1"/>
        <c:majorTickMark val="out"/>
        <c:minorTickMark val="none"/>
        <c:tickLblPos val="nextTo"/>
        <c:crossAx val="21744076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5.415808237050534</c:v>
                </c:pt>
                <c:pt idx="1">
                  <c:v>4.0624395232430643</c:v>
                </c:pt>
                <c:pt idx="2">
                  <c:v>4.9161116713635717</c:v>
                </c:pt>
                <c:pt idx="3">
                  <c:v>3.1107842833215957</c:v>
                </c:pt>
                <c:pt idx="4">
                  <c:v>5.5615930343539182</c:v>
                </c:pt>
                <c:pt idx="5">
                  <c:v>5.4779783937943414</c:v>
                </c:pt>
              </c:numCache>
            </c:numRef>
          </c:val>
          <c:smooth val="0"/>
          <c:extLst xmlns:c16r2="http://schemas.microsoft.com/office/drawing/2015/06/char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2.5643985456952127</c:v>
                </c:pt>
                <c:pt idx="1">
                  <c:v>2.1746452801714482</c:v>
                </c:pt>
                <c:pt idx="2">
                  <c:v>1.7756034981177353</c:v>
                </c:pt>
                <c:pt idx="3">
                  <c:v>1.2947627516965814</c:v>
                </c:pt>
                <c:pt idx="4">
                  <c:v>0.79919588173127887</c:v>
                </c:pt>
                <c:pt idx="5">
                  <c:v>1.348312293161108</c:v>
                </c:pt>
              </c:numCache>
            </c:numRef>
          </c:val>
          <c:smooth val="0"/>
          <c:extLst xmlns:c16r2="http://schemas.microsoft.com/office/drawing/2015/06/char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0.51098984328371744</c:v>
                </c:pt>
                <c:pt idx="1">
                  <c:v>0.5856415632574018</c:v>
                </c:pt>
                <c:pt idx="2">
                  <c:v>0.73613587308081785</c:v>
                </c:pt>
                <c:pt idx="3">
                  <c:v>1.2414995952624948</c:v>
                </c:pt>
                <c:pt idx="4">
                  <c:v>1.193361232650433</c:v>
                </c:pt>
                <c:pt idx="5">
                  <c:v>0.64853841349736563</c:v>
                </c:pt>
              </c:numCache>
            </c:numRef>
          </c:val>
          <c:smooth val="0"/>
          <c:extLst xmlns:c16r2="http://schemas.microsoft.com/office/drawing/2015/06/char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0</c:v>
                </c:pt>
                <c:pt idx="1">
                  <c:v>410.78688039672949</c:v>
                </c:pt>
                <c:pt idx="2">
                  <c:v>225.16712969284313</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17441792"/>
        <c:axId val="211936384"/>
      </c:lineChart>
      <c:catAx>
        <c:axId val="217441792"/>
        <c:scaling>
          <c:orientation val="minMax"/>
        </c:scaling>
        <c:delete val="0"/>
        <c:axPos val="b"/>
        <c:majorTickMark val="out"/>
        <c:minorTickMark val="none"/>
        <c:tickLblPos val="nextTo"/>
        <c:crossAx val="211936384"/>
        <c:crosses val="autoZero"/>
        <c:auto val="1"/>
        <c:lblAlgn val="ctr"/>
        <c:lblOffset val="100"/>
        <c:noMultiLvlLbl val="0"/>
      </c:catAx>
      <c:valAx>
        <c:axId val="211936384"/>
        <c:scaling>
          <c:orientation val="minMax"/>
        </c:scaling>
        <c:delete val="0"/>
        <c:axPos val="l"/>
        <c:majorGridlines/>
        <c:numFmt formatCode="#,##0.00_ " sourceLinked="1"/>
        <c:majorTickMark val="out"/>
        <c:minorTickMark val="none"/>
        <c:tickLblPos val="nextTo"/>
        <c:crossAx val="2174417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2.5850914933858866</c:v>
                </c:pt>
                <c:pt idx="1">
                  <c:v>2.1908344209490775</c:v>
                </c:pt>
                <c:pt idx="2">
                  <c:v>1.7646420857468241</c:v>
                </c:pt>
                <c:pt idx="3">
                  <c:v>1.2970304195519353</c:v>
                </c:pt>
                <c:pt idx="4">
                  <c:v>0.80060527118049563</c:v>
                </c:pt>
                <c:pt idx="5">
                  <c:v>0.41423468127728885</c:v>
                </c:pt>
              </c:numCache>
            </c:numRef>
          </c:val>
          <c:smooth val="0"/>
          <c:extLst xmlns:c16r2="http://schemas.microsoft.com/office/drawing/2015/06/char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3.3282999271351694</c:v>
                </c:pt>
                <c:pt idx="1">
                  <c:v>2.9919683285741199</c:v>
                </c:pt>
                <c:pt idx="2">
                  <c:v>2.154600210966148</c:v>
                </c:pt>
                <c:pt idx="3">
                  <c:v>1.5302304033002103</c:v>
                </c:pt>
                <c:pt idx="4">
                  <c:v>2.1388901731251204</c:v>
                </c:pt>
                <c:pt idx="5">
                  <c:v>2.7824564948146362</c:v>
                </c:pt>
              </c:numCache>
            </c:numRef>
          </c:val>
          <c:smooth val="0"/>
          <c:extLst xmlns:c16r2="http://schemas.microsoft.com/office/drawing/2015/06/char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51.97612435659299</c:v>
                </c:pt>
                <c:pt idx="1">
                  <c:v>22.193596640666183</c:v>
                </c:pt>
                <c:pt idx="2">
                  <c:v>36.034221279377007</c:v>
                </c:pt>
                <c:pt idx="3">
                  <c:v>20.002599120736001</c:v>
                </c:pt>
                <c:pt idx="4">
                  <c:v>1.5932393008796093</c:v>
                </c:pt>
                <c:pt idx="5">
                  <c:v>8.4140990387471231</c:v>
                </c:pt>
              </c:numCache>
            </c:numRef>
          </c:val>
          <c:smooth val="0"/>
          <c:extLst xmlns:c16r2="http://schemas.microsoft.com/office/drawing/2015/06/char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23.664303769289315</c:v>
                </c:pt>
                <c:pt idx="1">
                  <c:v>18.295684643342479</c:v>
                </c:pt>
                <c:pt idx="2">
                  <c:v>17.703397921495441</c:v>
                </c:pt>
                <c:pt idx="3">
                  <c:v>22.26885747231934</c:v>
                </c:pt>
                <c:pt idx="4">
                  <c:v>14.407473700839025</c:v>
                </c:pt>
                <c:pt idx="5">
                  <c:v>11.434632088672116</c:v>
                </c:pt>
              </c:numCache>
            </c:numRef>
          </c:val>
          <c:smooth val="0"/>
          <c:extLst xmlns:c16r2="http://schemas.microsoft.com/office/drawing/2015/06/char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17443840"/>
        <c:axId val="211938688"/>
      </c:lineChart>
      <c:catAx>
        <c:axId val="217443840"/>
        <c:scaling>
          <c:orientation val="minMax"/>
        </c:scaling>
        <c:delete val="0"/>
        <c:axPos val="b"/>
        <c:majorTickMark val="out"/>
        <c:minorTickMark val="none"/>
        <c:tickLblPos val="nextTo"/>
        <c:crossAx val="211938688"/>
        <c:crosses val="autoZero"/>
        <c:auto val="1"/>
        <c:lblAlgn val="ctr"/>
        <c:lblOffset val="100"/>
        <c:noMultiLvlLbl val="0"/>
      </c:catAx>
      <c:valAx>
        <c:axId val="211938688"/>
        <c:scaling>
          <c:orientation val="minMax"/>
        </c:scaling>
        <c:delete val="0"/>
        <c:axPos val="l"/>
        <c:majorGridlines/>
        <c:numFmt formatCode="#,##0.00_ " sourceLinked="1"/>
        <c:majorTickMark val="out"/>
        <c:minorTickMark val="none"/>
        <c:tickLblPos val="nextTo"/>
        <c:crossAx val="217443840"/>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2.4420345877525103</c:v>
                </c:pt>
                <c:pt idx="1">
                  <c:v>2.394002528519882</c:v>
                </c:pt>
                <c:pt idx="2">
                  <c:v>3.2774449004522812</c:v>
                </c:pt>
                <c:pt idx="3">
                  <c:v>4.6632793475974657</c:v>
                </c:pt>
                <c:pt idx="4">
                  <c:v>7.9509157349284845</c:v>
                </c:pt>
                <c:pt idx="5">
                  <c:v>9.9012987476033576</c:v>
                </c:pt>
              </c:numCache>
            </c:numRef>
          </c:val>
          <c:smooth val="0"/>
          <c:extLst xmlns:c16r2="http://schemas.microsoft.com/office/drawing/2015/06/char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11.965148491360061</c:v>
                </c:pt>
                <c:pt idx="1">
                  <c:v>9.7460055757916582</c:v>
                </c:pt>
                <c:pt idx="2">
                  <c:v>9.1470834045598401</c:v>
                </c:pt>
                <c:pt idx="3">
                  <c:v>6.6122669055717784</c:v>
                </c:pt>
                <c:pt idx="4">
                  <c:v>5.6824076691033421</c:v>
                </c:pt>
                <c:pt idx="5">
                  <c:v>7.4617834908523148</c:v>
                </c:pt>
              </c:numCache>
            </c:numRef>
          </c:val>
          <c:smooth val="0"/>
          <c:extLst xmlns:c16r2="http://schemas.microsoft.com/office/drawing/2015/06/char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9.1511923832996054</c:v>
                </c:pt>
                <c:pt idx="1">
                  <c:v>11.239244032589891</c:v>
                </c:pt>
                <c:pt idx="2">
                  <c:v>7.27802829726462</c:v>
                </c:pt>
                <c:pt idx="3">
                  <c:v>5.5146486600027993</c:v>
                </c:pt>
                <c:pt idx="4">
                  <c:v>6.6006627671218965</c:v>
                </c:pt>
                <c:pt idx="5">
                  <c:v>28.991622234126016</c:v>
                </c:pt>
              </c:numCache>
            </c:numRef>
          </c:val>
          <c:smooth val="0"/>
          <c:extLst xmlns:c16r2="http://schemas.microsoft.com/office/drawing/2015/06/char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17719808"/>
        <c:axId val="211940992"/>
      </c:lineChart>
      <c:catAx>
        <c:axId val="217719808"/>
        <c:scaling>
          <c:orientation val="minMax"/>
        </c:scaling>
        <c:delete val="0"/>
        <c:axPos val="b"/>
        <c:majorTickMark val="out"/>
        <c:minorTickMark val="none"/>
        <c:tickLblPos val="nextTo"/>
        <c:crossAx val="211940992"/>
        <c:crosses val="autoZero"/>
        <c:auto val="1"/>
        <c:lblAlgn val="ctr"/>
        <c:lblOffset val="100"/>
        <c:noMultiLvlLbl val="0"/>
      </c:catAx>
      <c:valAx>
        <c:axId val="211940992"/>
        <c:scaling>
          <c:orientation val="minMax"/>
        </c:scaling>
        <c:delete val="0"/>
        <c:axPos val="l"/>
        <c:majorGridlines/>
        <c:numFmt formatCode="#,##0.00_ " sourceLinked="1"/>
        <c:majorTickMark val="out"/>
        <c:minorTickMark val="none"/>
        <c:tickLblPos val="nextTo"/>
        <c:crossAx val="21771980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0.50186052727714725</c:v>
                </c:pt>
                <c:pt idx="1">
                  <c:v>0.38925994040880718</c:v>
                </c:pt>
                <c:pt idx="2">
                  <c:v>0.34175322027661587</c:v>
                </c:pt>
                <c:pt idx="3">
                  <c:v>0.25570545227876817</c:v>
                </c:pt>
                <c:pt idx="4">
                  <c:v>0.19237159680249777</c:v>
                </c:pt>
                <c:pt idx="5">
                  <c:v>0.27411787012258693</c:v>
                </c:pt>
              </c:numCache>
            </c:numRef>
          </c:val>
          <c:smooth val="0"/>
          <c:extLst xmlns:c16r2="http://schemas.microsoft.com/office/drawing/2015/06/char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17720320"/>
        <c:axId val="217513984"/>
      </c:lineChart>
      <c:catAx>
        <c:axId val="217720320"/>
        <c:scaling>
          <c:orientation val="minMax"/>
        </c:scaling>
        <c:delete val="0"/>
        <c:axPos val="b"/>
        <c:majorTickMark val="out"/>
        <c:minorTickMark val="none"/>
        <c:tickLblPos val="nextTo"/>
        <c:crossAx val="217513984"/>
        <c:crosses val="autoZero"/>
        <c:auto val="1"/>
        <c:lblAlgn val="ctr"/>
        <c:lblOffset val="100"/>
        <c:noMultiLvlLbl val="0"/>
      </c:catAx>
      <c:valAx>
        <c:axId val="217513984"/>
        <c:scaling>
          <c:orientation val="minMax"/>
        </c:scaling>
        <c:delete val="0"/>
        <c:axPos val="l"/>
        <c:majorGridlines/>
        <c:numFmt formatCode="0.00%" sourceLinked="1"/>
        <c:majorTickMark val="out"/>
        <c:minorTickMark val="none"/>
        <c:tickLblPos val="nextTo"/>
        <c:crossAx val="2177203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0.28836887497538494</c:v>
                </c:pt>
                <c:pt idx="1">
                  <c:v>0.2748185383679948</c:v>
                </c:pt>
                <c:pt idx="2">
                  <c:v>0.26198856202498988</c:v>
                </c:pt>
                <c:pt idx="3">
                  <c:v>0.27969180237517027</c:v>
                </c:pt>
                <c:pt idx="4">
                  <c:v>0.27529573919919104</c:v>
                </c:pt>
                <c:pt idx="5">
                  <c:v>0.25334440506222883</c:v>
                </c:pt>
              </c:numCache>
            </c:numRef>
          </c:val>
          <c:smooth val="0"/>
          <c:extLst xmlns:c16r2="http://schemas.microsoft.com/office/drawing/2015/06/char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17501696"/>
        <c:axId val="217515712"/>
      </c:lineChart>
      <c:catAx>
        <c:axId val="217501696"/>
        <c:scaling>
          <c:orientation val="minMax"/>
        </c:scaling>
        <c:delete val="0"/>
        <c:axPos val="b"/>
        <c:majorTickMark val="out"/>
        <c:minorTickMark val="none"/>
        <c:tickLblPos val="nextTo"/>
        <c:crossAx val="217515712"/>
        <c:crosses val="autoZero"/>
        <c:auto val="1"/>
        <c:lblAlgn val="ctr"/>
        <c:lblOffset val="100"/>
        <c:noMultiLvlLbl val="0"/>
      </c:catAx>
      <c:valAx>
        <c:axId val="217515712"/>
        <c:scaling>
          <c:orientation val="minMax"/>
        </c:scaling>
        <c:delete val="0"/>
        <c:axPos val="l"/>
        <c:majorGridlines/>
        <c:numFmt formatCode="0.00%" sourceLinked="1"/>
        <c:majorTickMark val="out"/>
        <c:minorTickMark val="none"/>
        <c:tickLblPos val="nextTo"/>
        <c:crossAx val="2175016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2508357289.0100002</c:v>
                </c:pt>
                <c:pt idx="1">
                  <c:v>1995019433.1199987</c:v>
                </c:pt>
                <c:pt idx="2">
                  <c:v>1402218143.9899993</c:v>
                </c:pt>
                <c:pt idx="3">
                  <c:v>1010347555.4599996</c:v>
                </c:pt>
                <c:pt idx="4">
                  <c:v>664921173.29999983</c:v>
                </c:pt>
                <c:pt idx="5">
                  <c:v>435579650.98000002</c:v>
                </c:pt>
              </c:numCache>
            </c:numRef>
          </c:val>
          <c:extLst xmlns:c16r2="http://schemas.microsoft.com/office/drawing/2015/06/char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18029361003.709999</c:v>
                </c:pt>
                <c:pt idx="1">
                  <c:v>15602441096.73</c:v>
                </c:pt>
                <c:pt idx="2">
                  <c:v>9214674670.8900013</c:v>
                </c:pt>
                <c:pt idx="3">
                  <c:v>4826640154.2799997</c:v>
                </c:pt>
                <c:pt idx="4">
                  <c:v>3798064327.9300003</c:v>
                </c:pt>
                <c:pt idx="5">
                  <c:v>3069706618.2800002</c:v>
                </c:pt>
              </c:numCache>
            </c:numRef>
          </c:val>
          <c:extLst xmlns:c16r2="http://schemas.microsoft.com/office/drawing/2015/06/char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17503232"/>
        <c:axId val="217518592"/>
      </c:barChart>
      <c:catAx>
        <c:axId val="217503232"/>
        <c:scaling>
          <c:orientation val="minMax"/>
        </c:scaling>
        <c:delete val="0"/>
        <c:axPos val="b"/>
        <c:majorTickMark val="out"/>
        <c:minorTickMark val="none"/>
        <c:tickLblPos val="nextTo"/>
        <c:crossAx val="217518592"/>
        <c:crosses val="autoZero"/>
        <c:auto val="1"/>
        <c:lblAlgn val="ctr"/>
        <c:lblOffset val="100"/>
        <c:noMultiLvlLbl val="0"/>
      </c:catAx>
      <c:valAx>
        <c:axId val="217518592"/>
        <c:scaling>
          <c:orientation val="minMax"/>
        </c:scaling>
        <c:delete val="0"/>
        <c:axPos val="l"/>
        <c:majorGridlines/>
        <c:numFmt formatCode="#,##0.00_ " sourceLinked="1"/>
        <c:majorTickMark val="out"/>
        <c:minorTickMark val="none"/>
        <c:tickLblPos val="nextTo"/>
        <c:crossAx val="2175032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11789073516.690001</c:v>
                </c:pt>
                <c:pt idx="1">
                  <c:v>9232749388.8799992</c:v>
                </c:pt>
                <c:pt idx="2">
                  <c:v>7459376626.1199999</c:v>
                </c:pt>
                <c:pt idx="3">
                  <c:v>5208091770.6199999</c:v>
                </c:pt>
                <c:pt idx="4">
                  <c:v>3192701967.0799999</c:v>
                </c:pt>
                <c:pt idx="5">
                  <c:v>2234623152.98</c:v>
                </c:pt>
              </c:numCache>
            </c:numRef>
          </c:val>
          <c:extLst xmlns:c16r2="http://schemas.microsoft.com/office/drawing/2015/06/char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3399601867.0100002</c:v>
                </c:pt>
                <c:pt idx="1">
                  <c:v>2537330692.1699986</c:v>
                </c:pt>
                <c:pt idx="2">
                  <c:v>1954271355.8799994</c:v>
                </c:pt>
                <c:pt idx="3">
                  <c:v>1456660574.2599995</c:v>
                </c:pt>
                <c:pt idx="4">
                  <c:v>878937248.06999993</c:v>
                </c:pt>
                <c:pt idx="5">
                  <c:v>566129273.23000002</c:v>
                </c:pt>
              </c:numCache>
            </c:numRef>
          </c:val>
          <c:extLst xmlns:c16r2="http://schemas.microsoft.com/office/drawing/2015/06/char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17504256"/>
        <c:axId val="217520320"/>
      </c:barChart>
      <c:catAx>
        <c:axId val="217504256"/>
        <c:scaling>
          <c:orientation val="minMax"/>
        </c:scaling>
        <c:delete val="0"/>
        <c:axPos val="b"/>
        <c:majorTickMark val="out"/>
        <c:minorTickMark val="none"/>
        <c:tickLblPos val="nextTo"/>
        <c:crossAx val="217520320"/>
        <c:crosses val="autoZero"/>
        <c:auto val="1"/>
        <c:lblAlgn val="ctr"/>
        <c:lblOffset val="100"/>
        <c:noMultiLvlLbl val="0"/>
      </c:catAx>
      <c:valAx>
        <c:axId val="217520320"/>
        <c:scaling>
          <c:orientation val="minMax"/>
        </c:scaling>
        <c:delete val="0"/>
        <c:axPos val="l"/>
        <c:majorGridlines/>
        <c:numFmt formatCode="#,##0.00_ " sourceLinked="1"/>
        <c:majorTickMark val="out"/>
        <c:minorTickMark val="none"/>
        <c:tickLblPos val="nextTo"/>
        <c:crossAx val="2175042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-5944394.0599999996</c:v>
                </c:pt>
                <c:pt idx="1">
                  <c:v>-10652412.439999999</c:v>
                </c:pt>
                <c:pt idx="2">
                  <c:v>-1871822.56</c:v>
                </c:pt>
                <c:pt idx="3">
                  <c:v>0</c:v>
                </c:pt>
                <c:pt idx="4">
                  <c:v>0</c:v>
                </c:pt>
                <c:pt idx="5">
                  <c:v>0</c:v>
                </c:pt>
              </c:numCache>
            </c:numRef>
          </c:val>
          <c:extLst xmlns:c16r2="http://schemas.microsoft.com/office/drawing/2015/06/char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0</c:v>
                </c:pt>
                <c:pt idx="1">
                  <c:v>22475765</c:v>
                </c:pt>
                <c:pt idx="2">
                  <c:v>33128177.440000001</c:v>
                </c:pt>
                <c:pt idx="3">
                  <c:v>0</c:v>
                </c:pt>
                <c:pt idx="4">
                  <c:v>0</c:v>
                </c:pt>
                <c:pt idx="5">
                  <c:v>0</c:v>
                </c:pt>
              </c:numCache>
            </c:numRef>
          </c:val>
          <c:extLst xmlns:c16r2="http://schemas.microsoft.com/office/drawing/2015/06/char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17505280"/>
        <c:axId val="218136576"/>
      </c:barChart>
      <c:catAx>
        <c:axId val="217505280"/>
        <c:scaling>
          <c:orientation val="minMax"/>
        </c:scaling>
        <c:delete val="0"/>
        <c:axPos val="b"/>
        <c:majorTickMark val="out"/>
        <c:minorTickMark val="none"/>
        <c:tickLblPos val="nextTo"/>
        <c:crossAx val="218136576"/>
        <c:crosses val="autoZero"/>
        <c:auto val="1"/>
        <c:lblAlgn val="ctr"/>
        <c:lblOffset val="100"/>
        <c:noMultiLvlLbl val="0"/>
      </c:catAx>
      <c:valAx>
        <c:axId val="218136576"/>
        <c:scaling>
          <c:orientation val="minMax"/>
        </c:scaling>
        <c:delete val="0"/>
        <c:axPos val="l"/>
        <c:majorGridlines/>
        <c:numFmt formatCode="#,##0.00_ " sourceLinked="1"/>
        <c:majorTickMark val="out"/>
        <c:minorTickMark val="none"/>
        <c:tickLblPos val="nextTo"/>
        <c:crossAx val="217505280"/>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0.91856845997087844</c:v>
                </c:pt>
                <c:pt idx="1">
                  <c:v>0.72690801232205859</c:v>
                </c:pt>
                <c:pt idx="2">
                  <c:v>0.79240081694129061</c:v>
                </c:pt>
                <c:pt idx="3">
                  <c:v>0.64908027943292079</c:v>
                </c:pt>
                <c:pt idx="4">
                  <c:v>0.87321257303468836</c:v>
                </c:pt>
                <c:pt idx="5">
                  <c:v>0.91577271416487771</c:v>
                </c:pt>
              </c:numCache>
            </c:numRef>
          </c:val>
          <c:smooth val="0"/>
          <c:extLst xmlns:c16r2="http://schemas.microsoft.com/office/drawing/2015/06/char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0.78759788223362692</c:v>
                </c:pt>
                <c:pt idx="1">
                  <c:v>0.91701970739652705</c:v>
                </c:pt>
                <c:pt idx="2">
                  <c:v>0.8584327964201719</c:v>
                </c:pt>
                <c:pt idx="3">
                  <c:v>0.7165211066987931</c:v>
                </c:pt>
                <c:pt idx="4">
                  <c:v>0.95450709764527675</c:v>
                </c:pt>
                <c:pt idx="5">
                  <c:v>0.97111531934766959</c:v>
                </c:pt>
              </c:numCache>
            </c:numRef>
          </c:val>
          <c:smooth val="0"/>
          <c:extLst xmlns:c16r2="http://schemas.microsoft.com/office/drawing/2015/06/char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1.2645773486505845</c:v>
                </c:pt>
                <c:pt idx="1">
                  <c:v>-2.19233286986413E-2</c:v>
                </c:pt>
                <c:pt idx="2">
                  <c:v>0.54375763383895759</c:v>
                </c:pt>
                <c:pt idx="3">
                  <c:v>0.3496283243243874</c:v>
                </c:pt>
                <c:pt idx="4">
                  <c:v>0.28736486842975978</c:v>
                </c:pt>
                <c:pt idx="5">
                  <c:v>0.56780299632420628</c:v>
                </c:pt>
              </c:numCache>
            </c:numRef>
          </c:val>
          <c:smooth val="0"/>
          <c:extLst xmlns:c16r2="http://schemas.microsoft.com/office/drawing/2015/06/char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1.4598246057742541</c:v>
                </c:pt>
                <c:pt idx="1">
                  <c:v>-2.3850815681321705E-2</c:v>
                </c:pt>
                <c:pt idx="2">
                  <c:v>0.64650345621719862</c:v>
                </c:pt>
                <c:pt idx="3">
                  <c:v>0.42528469146873843</c:v>
                </c:pt>
                <c:pt idx="4">
                  <c:v>0.33917338183220713</c:v>
                </c:pt>
                <c:pt idx="5">
                  <c:v>0.62630919724146206</c:v>
                </c:pt>
              </c:numCache>
            </c:numRef>
          </c:val>
          <c:smooth val="0"/>
          <c:extLst xmlns:c16r2="http://schemas.microsoft.com/office/drawing/2015/06/char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17848320"/>
        <c:axId val="218138304"/>
      </c:lineChart>
      <c:catAx>
        <c:axId val="217848320"/>
        <c:scaling>
          <c:orientation val="minMax"/>
        </c:scaling>
        <c:delete val="0"/>
        <c:axPos val="b"/>
        <c:majorTickMark val="out"/>
        <c:minorTickMark val="none"/>
        <c:tickLblPos val="nextTo"/>
        <c:crossAx val="218138304"/>
        <c:crosses val="autoZero"/>
        <c:auto val="1"/>
        <c:lblAlgn val="ctr"/>
        <c:lblOffset val="100"/>
        <c:noMultiLvlLbl val="0"/>
      </c:catAx>
      <c:valAx>
        <c:axId val="218138304"/>
        <c:scaling>
          <c:orientation val="minMax"/>
        </c:scaling>
        <c:delete val="0"/>
        <c:axPos val="l"/>
        <c:majorGridlines/>
        <c:numFmt formatCode="#,##0.00_ " sourceLinked="1"/>
        <c:majorTickMark val="out"/>
        <c:minorTickMark val="none"/>
        <c:tickLblPos val="nextTo"/>
        <c:crossAx val="21784832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-8.4607704656470926</c:v>
                </c:pt>
                <c:pt idx="1">
                  <c:v>-1.7176190921153973</c:v>
                </c:pt>
                <c:pt idx="2">
                  <c:v>2.6281651184011947</c:v>
                </c:pt>
                <c:pt idx="3">
                  <c:v>0.16595319390025356</c:v>
                </c:pt>
                <c:pt idx="4">
                  <c:v>-0.32800744350557981</c:v>
                </c:pt>
                <c:pt idx="5">
                  <c:v>0.61034829138014079</c:v>
                </c:pt>
              </c:numCache>
            </c:numRef>
          </c:val>
          <c:smooth val="0"/>
          <c:extLst xmlns:c16r2="http://schemas.microsoft.com/office/drawing/2015/06/char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207188480"/>
        <c:axId val="218140608"/>
      </c:lineChart>
      <c:catAx>
        <c:axId val="207188480"/>
        <c:scaling>
          <c:orientation val="minMax"/>
        </c:scaling>
        <c:delete val="0"/>
        <c:axPos val="b"/>
        <c:majorTickMark val="out"/>
        <c:minorTickMark val="none"/>
        <c:tickLblPos val="nextTo"/>
        <c:crossAx val="218140608"/>
        <c:crosses val="autoZero"/>
        <c:auto val="1"/>
        <c:lblAlgn val="ctr"/>
        <c:lblOffset val="100"/>
        <c:noMultiLvlLbl val="0"/>
      </c:catAx>
      <c:valAx>
        <c:axId val="218140608"/>
        <c:scaling>
          <c:orientation val="minMax"/>
        </c:scaling>
        <c:delete val="0"/>
        <c:axPos val="l"/>
        <c:majorGridlines/>
        <c:numFmt formatCode="0.00%" sourceLinked="1"/>
        <c:majorTickMark val="out"/>
        <c:minorTickMark val="none"/>
        <c:tickLblPos val="nextTo"/>
        <c:crossAx val="20718848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3661761690.5700002</c:v>
                </c:pt>
                <c:pt idx="1">
                  <c:v>-47582840.780000001</c:v>
                </c:pt>
                <c:pt idx="2">
                  <c:v>906538876.46000004</c:v>
                </c:pt>
                <c:pt idx="3">
                  <c:v>429685348.39999998</c:v>
                </c:pt>
                <c:pt idx="4">
                  <c:v>225523563</c:v>
                </c:pt>
                <c:pt idx="5">
                  <c:v>272807541.54000002</c:v>
                </c:pt>
              </c:numCache>
            </c:numRef>
          </c:val>
          <c:smooth val="0"/>
          <c:extLst xmlns:c16r2="http://schemas.microsoft.com/office/drawing/2015/06/char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2895640740.7403135</c:v>
                </c:pt>
                <c:pt idx="1">
                  <c:v>2170420442.7199483</c:v>
                </c:pt>
                <c:pt idx="2">
                  <c:v>1667174527.8494534</c:v>
                </c:pt>
                <c:pt idx="3">
                  <c:v>1228977512.7067084</c:v>
                </c:pt>
                <c:pt idx="4">
                  <c:v>784798657.65193367</c:v>
                </c:pt>
                <c:pt idx="5">
                  <c:v>480461609.58303815</c:v>
                </c:pt>
              </c:numCache>
            </c:numRef>
          </c:val>
          <c:smooth val="0"/>
          <c:extLst xmlns:c16r2="http://schemas.microsoft.com/office/drawing/2015/06/char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2508357289.0100002</c:v>
                </c:pt>
                <c:pt idx="1">
                  <c:v>1995019433.1199987</c:v>
                </c:pt>
                <c:pt idx="2">
                  <c:v>1402218143.9899993</c:v>
                </c:pt>
                <c:pt idx="3">
                  <c:v>1010347555.4599996</c:v>
                </c:pt>
                <c:pt idx="4">
                  <c:v>664921173.29999983</c:v>
                </c:pt>
                <c:pt idx="5">
                  <c:v>435579650.98000002</c:v>
                </c:pt>
              </c:numCache>
            </c:numRef>
          </c:val>
          <c:smooth val="0"/>
          <c:extLst xmlns:c16r2="http://schemas.microsoft.com/office/drawing/2015/06/char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207189504"/>
        <c:axId val="218142336"/>
      </c:lineChart>
      <c:catAx>
        <c:axId val="207189504"/>
        <c:scaling>
          <c:orientation val="minMax"/>
        </c:scaling>
        <c:delete val="0"/>
        <c:axPos val="b"/>
        <c:majorTickMark val="out"/>
        <c:minorTickMark val="none"/>
        <c:tickLblPos val="nextTo"/>
        <c:crossAx val="218142336"/>
        <c:crosses val="autoZero"/>
        <c:auto val="1"/>
        <c:lblAlgn val="ctr"/>
        <c:lblOffset val="100"/>
        <c:noMultiLvlLbl val="0"/>
      </c:catAx>
      <c:valAx>
        <c:axId val="218142336"/>
        <c:scaling>
          <c:orientation val="minMax"/>
        </c:scaling>
        <c:delete val="0"/>
        <c:axPos val="l"/>
        <c:majorGridlines/>
        <c:numFmt formatCode="#,##0.00_ " sourceLinked="1"/>
        <c:majorTickMark val="out"/>
        <c:minorTickMark val="none"/>
        <c:tickLblPos val="nextTo"/>
        <c:crossAx val="207189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xmlns=""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xmlns=""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xmlns=""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xmlns=""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xmlns=""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xmlns=""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xmlns=""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xmlns=""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xmlns=""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xmlns=""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xmlns=""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xmlns=""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xmlns=""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xmlns=""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xmlns=""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xmlns=""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xmlns=""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xmlns=""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xmlns=""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xmlns=""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xmlns=""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xmlns=""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xmlns=""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xmlns=""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xmlns=""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xmlns=""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222248</xdr:colOff>
      <xdr:row>37</xdr:row>
      <xdr:rowOff>9439</xdr:rowOff>
    </xdr:to>
    <xdr:pic>
      <xdr:nvPicPr>
        <xdr:cNvPr id="2" name="图片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xmlns=""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xmlns=""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xmlns=""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270021</xdr:colOff>
      <xdr:row>27</xdr:row>
      <xdr:rowOff>38002</xdr:rowOff>
    </xdr:to>
    <xdr:pic>
      <xdr:nvPicPr>
        <xdr:cNvPr id="2" name="图片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917615</xdr:colOff>
      <xdr:row>47</xdr:row>
      <xdr:rowOff>38016</xdr:rowOff>
    </xdr:to>
    <xdr:pic>
      <xdr:nvPicPr>
        <xdr:cNvPr id="4" name="图片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M85"/>
  <sheetViews>
    <sheetView workbookViewId="0">
      <selection activeCell="Y25" sqref="Y25"/>
    </sheetView>
  </sheetViews>
  <sheetFormatPr defaultRowHeight="13.5"/>
  <cols>
    <col min="1" max="1" width="34" style="189" bestFit="1" customWidth="1"/>
    <col min="2" max="4" width="12.75" style="189" hidden="1" customWidth="1"/>
    <col min="5" max="5" width="12.75" style="189" bestFit="1" customWidth="1"/>
    <col min="6" max="8" width="12.75" style="189" hidden="1" customWidth="1"/>
    <col min="9" max="9" width="12.75" style="189" bestFit="1" customWidth="1"/>
    <col min="10" max="12" width="12.75" style="189" hidden="1" customWidth="1"/>
    <col min="13" max="13" width="12.75" style="189" bestFit="1" customWidth="1"/>
    <col min="14" max="16" width="12.75" style="189" hidden="1" customWidth="1"/>
    <col min="17" max="17" width="12.75" style="189" bestFit="1" customWidth="1"/>
    <col min="18" max="19" width="13.875" style="189" hidden="1" customWidth="1"/>
    <col min="20" max="20" width="12.75" style="189" hidden="1" customWidth="1"/>
    <col min="21" max="21" width="12.75" style="189" bestFit="1" customWidth="1"/>
    <col min="22" max="22" width="13.875" style="189" hidden="1" customWidth="1"/>
    <col min="23" max="24" width="12.75" style="189" hidden="1" customWidth="1"/>
    <col min="25" max="25" width="12.75" style="189" bestFit="1" customWidth="1"/>
    <col min="26" max="28" width="12.75" style="189" hidden="1" customWidth="1"/>
    <col min="29" max="29" width="12.75" style="189" bestFit="1" customWidth="1"/>
    <col min="30" max="32" width="12.75" style="189" hidden="1" customWidth="1"/>
    <col min="33" max="33" width="12.75" style="189" bestFit="1" customWidth="1"/>
    <col min="34" max="35" width="12.75" style="189" hidden="1" customWidth="1"/>
    <col min="36" max="38" width="12.75" style="189" bestFit="1" customWidth="1"/>
    <col min="39" max="39" width="9.5" style="189" hidden="1" customWidth="1"/>
    <col min="40" max="16384" width="9" style="189"/>
  </cols>
  <sheetData>
    <row r="1" spans="1:39">
      <c r="A1" s="189">
        <v>2450</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20091231</v>
      </c>
      <c r="AK1" s="189">
        <v>20081231</v>
      </c>
      <c r="AL1" s="189">
        <v>20071231</v>
      </c>
      <c r="AM1" s="189">
        <v>19700101</v>
      </c>
    </row>
    <row r="2" spans="1:39">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row>
    <row r="3" spans="1:39">
      <c r="A3" s="189" t="s">
        <v>107</v>
      </c>
    </row>
    <row r="4" spans="1:39">
      <c r="A4" s="189" t="s">
        <v>108</v>
      </c>
      <c r="B4" s="189">
        <v>15013531518.9</v>
      </c>
      <c r="C4" s="189">
        <v>16781114176.870001</v>
      </c>
      <c r="D4" s="189">
        <v>19727971901.66</v>
      </c>
      <c r="E4" s="189">
        <v>18504142834.009998</v>
      </c>
      <c r="F4" s="189">
        <v>18916073143.400002</v>
      </c>
      <c r="G4" s="189">
        <v>16843261793.52</v>
      </c>
      <c r="H4" s="189">
        <v>15140190751.809999</v>
      </c>
      <c r="I4" s="189">
        <v>15388938487.469999</v>
      </c>
      <c r="J4" s="189">
        <v>15336752373.84</v>
      </c>
      <c r="K4" s="189">
        <v>10271899810.91</v>
      </c>
      <c r="L4" s="189">
        <v>10334459034.92</v>
      </c>
      <c r="M4" s="189">
        <v>10086511907</v>
      </c>
      <c r="N4" s="189">
        <v>6585194940.04</v>
      </c>
      <c r="O4" s="189">
        <v>5444212539.9099998</v>
      </c>
      <c r="P4" s="189">
        <v>4069518701.1599998</v>
      </c>
      <c r="Q4" s="189">
        <v>4192943122.7800002</v>
      </c>
      <c r="R4" s="189">
        <v>3821607434.6199999</v>
      </c>
      <c r="S4" s="189">
        <v>2796391151.8499999</v>
      </c>
      <c r="T4" s="189">
        <v>2323949894.6599998</v>
      </c>
      <c r="U4" s="189">
        <v>2675386027.0700002</v>
      </c>
      <c r="V4" s="189">
        <v>2584698785.8200002</v>
      </c>
      <c r="W4" s="189">
        <v>2644577589.6799998</v>
      </c>
      <c r="X4" s="189">
        <v>2751523259.3800001</v>
      </c>
      <c r="Y4" s="189">
        <v>3445629597.9899998</v>
      </c>
      <c r="Z4" s="189">
        <v>2569228947.27</v>
      </c>
      <c r="AA4" s="189">
        <v>2244750389.1300001</v>
      </c>
      <c r="AB4" s="189">
        <v>680514715.74000001</v>
      </c>
      <c r="AC4" s="189">
        <v>683957407.77999997</v>
      </c>
      <c r="AD4" s="189">
        <v>742879369.25999999</v>
      </c>
      <c r="AE4" s="189">
        <v>782365552.09000003</v>
      </c>
      <c r="AF4" s="189">
        <v>704850866.16999996</v>
      </c>
      <c r="AG4" s="189">
        <v>664279577.02999997</v>
      </c>
      <c r="AH4" s="189">
        <v>555785071.48000002</v>
      </c>
      <c r="AI4" s="189">
        <v>158935384.56</v>
      </c>
      <c r="AJ4" s="189">
        <v>161098984.71000001</v>
      </c>
      <c r="AK4" s="189">
        <v>28111040.539999999</v>
      </c>
      <c r="AL4" s="189">
        <v>34761453.939999998</v>
      </c>
      <c r="AM4" s="189">
        <v>0</v>
      </c>
    </row>
    <row r="5" spans="1:39">
      <c r="A5" s="189" t="s">
        <v>109</v>
      </c>
      <c r="B5" s="189">
        <v>0</v>
      </c>
      <c r="C5" s="189">
        <v>0</v>
      </c>
      <c r="D5" s="189">
        <v>850000</v>
      </c>
      <c r="E5" s="189">
        <v>850000</v>
      </c>
      <c r="F5" s="189">
        <v>0</v>
      </c>
      <c r="G5" s="189">
        <v>336790989.60000002</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row>
    <row r="6" spans="1:39">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row>
    <row r="7" spans="1:39">
      <c r="A7" s="189" t="s">
        <v>111</v>
      </c>
      <c r="B7" s="189">
        <v>113709071.06</v>
      </c>
      <c r="C7" s="189">
        <v>124394001.31</v>
      </c>
      <c r="D7" s="189">
        <v>304490782.61000001</v>
      </c>
      <c r="E7" s="189">
        <v>432048433.19</v>
      </c>
      <c r="F7" s="189">
        <v>100983537.56</v>
      </c>
      <c r="G7" s="189">
        <v>139949179.78999999</v>
      </c>
      <c r="H7" s="189">
        <v>151147366.16</v>
      </c>
      <c r="I7" s="189">
        <v>195613019.53999999</v>
      </c>
      <c r="J7" s="189">
        <v>73650747.010000005</v>
      </c>
      <c r="K7" s="189">
        <v>55942662.43</v>
      </c>
      <c r="L7" s="189">
        <v>62390405.990000002</v>
      </c>
      <c r="M7" s="189">
        <v>52297676.369999997</v>
      </c>
      <c r="N7" s="189">
        <v>54287371.229999997</v>
      </c>
      <c r="O7" s="189">
        <v>41669500.689999998</v>
      </c>
      <c r="P7" s="189">
        <v>47920822.799999997</v>
      </c>
      <c r="Q7" s="189">
        <v>35516097.549999997</v>
      </c>
      <c r="R7" s="189">
        <v>31412111.809999999</v>
      </c>
      <c r="S7" s="189">
        <v>23709486.190000001</v>
      </c>
      <c r="T7" s="189">
        <v>87666446.659999996</v>
      </c>
      <c r="U7" s="189">
        <v>52690668.960000001</v>
      </c>
      <c r="V7" s="189">
        <v>35622619</v>
      </c>
      <c r="W7" s="189">
        <v>41379158.469999999</v>
      </c>
      <c r="X7" s="189">
        <v>39152261.619999997</v>
      </c>
      <c r="Y7" s="189">
        <v>28945010.789999999</v>
      </c>
      <c r="Z7" s="189">
        <v>21435910.07</v>
      </c>
      <c r="AA7" s="189">
        <v>11601836.119999999</v>
      </c>
      <c r="AB7" s="189">
        <v>17642178.899999999</v>
      </c>
      <c r="AC7" s="189">
        <v>25842313.300000001</v>
      </c>
      <c r="AD7" s="189">
        <v>16033557.210000001</v>
      </c>
      <c r="AE7" s="189">
        <v>14195864.199999999</v>
      </c>
      <c r="AF7" s="189">
        <v>15318276.810000001</v>
      </c>
      <c r="AG7" s="189">
        <v>4870000</v>
      </c>
      <c r="AH7" s="189">
        <v>3865030</v>
      </c>
      <c r="AI7" s="189">
        <v>3080000</v>
      </c>
      <c r="AJ7" s="189">
        <v>800000</v>
      </c>
      <c r="AK7" s="189">
        <v>570000</v>
      </c>
      <c r="AL7" s="189">
        <v>1070000</v>
      </c>
      <c r="AM7" s="189">
        <v>0</v>
      </c>
    </row>
    <row r="8" spans="1:39">
      <c r="A8" s="189" t="s">
        <v>112</v>
      </c>
      <c r="B8" s="189">
        <v>7145171088.2799997</v>
      </c>
      <c r="C8" s="189">
        <v>6433036470.5600004</v>
      </c>
      <c r="D8" s="189">
        <v>4813729753.25</v>
      </c>
      <c r="E8" s="189">
        <v>4408748773.7700005</v>
      </c>
      <c r="F8" s="189">
        <v>5385316361.6199999</v>
      </c>
      <c r="G8" s="189">
        <v>4900436735.1300001</v>
      </c>
      <c r="H8" s="189">
        <v>4264105192</v>
      </c>
      <c r="I8" s="189">
        <v>4799989215.0500002</v>
      </c>
      <c r="J8" s="189">
        <v>3581128811.3699999</v>
      </c>
      <c r="K8" s="189">
        <v>3130859653.4099998</v>
      </c>
      <c r="L8" s="189">
        <v>2948341169.4099998</v>
      </c>
      <c r="M8" s="189">
        <v>2793848738.8600001</v>
      </c>
      <c r="N8" s="189">
        <v>2734979953.6399999</v>
      </c>
      <c r="O8" s="189">
        <v>2013528718.3</v>
      </c>
      <c r="P8" s="189">
        <v>1868709641.2</v>
      </c>
      <c r="Q8" s="189">
        <v>1770341668.21</v>
      </c>
      <c r="R8" s="189">
        <v>1201094542.3299999</v>
      </c>
      <c r="S8" s="189">
        <v>938102399.91999996</v>
      </c>
      <c r="T8" s="189">
        <v>598827952.28999996</v>
      </c>
      <c r="U8" s="189">
        <v>431104965.57999998</v>
      </c>
      <c r="V8" s="189">
        <v>475827325.00999999</v>
      </c>
      <c r="W8" s="189">
        <v>336636148.81999999</v>
      </c>
      <c r="X8" s="189">
        <v>345724326.47000003</v>
      </c>
      <c r="Y8" s="189">
        <v>320919035.22000003</v>
      </c>
      <c r="Z8" s="189">
        <v>239880423.06</v>
      </c>
      <c r="AA8" s="189">
        <v>211646916.71000001</v>
      </c>
      <c r="AB8" s="189">
        <v>155659719.16</v>
      </c>
      <c r="AC8" s="189">
        <v>127022332.72</v>
      </c>
      <c r="AD8" s="189">
        <v>109870965.13</v>
      </c>
      <c r="AE8" s="189">
        <v>43788635.049999997</v>
      </c>
      <c r="AF8" s="189">
        <v>64960325.530000001</v>
      </c>
      <c r="AG8" s="189">
        <v>49517963.130000003</v>
      </c>
      <c r="AH8" s="189">
        <v>61730933.009999998</v>
      </c>
      <c r="AI8" s="189">
        <v>56207446.469999999</v>
      </c>
      <c r="AJ8" s="189">
        <v>33708208.579999998</v>
      </c>
      <c r="AK8" s="189">
        <v>21610589.600000001</v>
      </c>
      <c r="AL8" s="189">
        <v>21711897.66</v>
      </c>
      <c r="AM8" s="189">
        <v>0</v>
      </c>
    </row>
    <row r="9" spans="1:39">
      <c r="A9" s="189" t="s">
        <v>113</v>
      </c>
      <c r="B9" s="189">
        <v>334212282.45999998</v>
      </c>
      <c r="C9" s="189">
        <v>216656811.81999999</v>
      </c>
      <c r="D9" s="189">
        <v>380697233.5</v>
      </c>
      <c r="E9" s="189">
        <v>247775099.28</v>
      </c>
      <c r="F9" s="189">
        <v>368606262.98000002</v>
      </c>
      <c r="G9" s="189">
        <v>515699993.36000001</v>
      </c>
      <c r="H9" s="189">
        <v>630850602.54999995</v>
      </c>
      <c r="I9" s="189">
        <v>740614826.55999994</v>
      </c>
      <c r="J9" s="189">
        <v>837197587.78999996</v>
      </c>
      <c r="K9" s="189">
        <v>707652934.57000005</v>
      </c>
      <c r="L9" s="189">
        <v>652476203.99000001</v>
      </c>
      <c r="M9" s="189">
        <v>589928931.62</v>
      </c>
      <c r="N9" s="189">
        <v>371240815.43000001</v>
      </c>
      <c r="O9" s="189">
        <v>245756507.31</v>
      </c>
      <c r="P9" s="189">
        <v>106206471.05</v>
      </c>
      <c r="Q9" s="189">
        <v>162256611.28999999</v>
      </c>
      <c r="R9" s="189">
        <v>181254101.13999999</v>
      </c>
      <c r="S9" s="189">
        <v>137828234.38999999</v>
      </c>
      <c r="T9" s="189">
        <v>196808232.46000001</v>
      </c>
      <c r="U9" s="189">
        <v>155941476.72</v>
      </c>
      <c r="V9" s="189">
        <v>99605184.659999996</v>
      </c>
      <c r="W9" s="189">
        <v>86268684.010000005</v>
      </c>
      <c r="X9" s="189">
        <v>646530882.40999997</v>
      </c>
      <c r="Y9" s="189">
        <v>84529346.459999993</v>
      </c>
      <c r="Z9" s="189">
        <v>420577958.50999999</v>
      </c>
      <c r="AA9" s="189">
        <v>276465031.02999997</v>
      </c>
      <c r="AB9" s="189">
        <v>185342297.03999999</v>
      </c>
      <c r="AC9" s="189">
        <v>171642649.41999999</v>
      </c>
      <c r="AD9" s="189">
        <v>210249495.25</v>
      </c>
      <c r="AE9" s="189">
        <v>203084894.72</v>
      </c>
      <c r="AF9" s="189">
        <v>73044254.890000001</v>
      </c>
      <c r="AG9" s="189">
        <v>51738442.469999999</v>
      </c>
      <c r="AH9" s="189">
        <v>65013507.270000003</v>
      </c>
      <c r="AI9" s="189">
        <v>40524225.82</v>
      </c>
      <c r="AJ9" s="189">
        <v>40007126.869999997</v>
      </c>
      <c r="AK9" s="189">
        <v>92297982.370000005</v>
      </c>
      <c r="AL9" s="189">
        <v>22928298.07</v>
      </c>
      <c r="AM9" s="189">
        <v>0</v>
      </c>
    </row>
    <row r="10" spans="1:39">
      <c r="A10" s="189" t="s">
        <v>114</v>
      </c>
      <c r="B10" s="189">
        <v>0</v>
      </c>
      <c r="C10" s="189">
        <v>55959220.149999999</v>
      </c>
      <c r="D10" s="189">
        <v>58867400.390000001</v>
      </c>
      <c r="E10" s="189">
        <v>45181595.5</v>
      </c>
      <c r="F10" s="189">
        <v>0</v>
      </c>
      <c r="G10" s="189">
        <v>0</v>
      </c>
      <c r="H10" s="189">
        <v>0</v>
      </c>
      <c r="I10" s="189">
        <v>0</v>
      </c>
      <c r="J10" s="189">
        <v>0</v>
      </c>
      <c r="K10" s="189">
        <v>0</v>
      </c>
      <c r="L10" s="189">
        <v>0</v>
      </c>
      <c r="M10" s="189">
        <v>0</v>
      </c>
      <c r="N10" s="189">
        <v>0</v>
      </c>
      <c r="O10" s="189">
        <v>0</v>
      </c>
      <c r="P10" s="189">
        <v>0</v>
      </c>
      <c r="Q10" s="189">
        <v>2057657.32</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row>
    <row r="11" spans="1:39">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row>
    <row r="12" spans="1:39">
      <c r="A12" s="189" t="s">
        <v>116</v>
      </c>
      <c r="B12" s="189">
        <v>83632312.209999993</v>
      </c>
      <c r="C12" s="189">
        <v>17567578.949999999</v>
      </c>
      <c r="D12" s="189">
        <v>20099131.710000001</v>
      </c>
      <c r="E12" s="189">
        <v>13308563.109999999</v>
      </c>
      <c r="F12" s="189">
        <v>28226824.98</v>
      </c>
      <c r="G12" s="189">
        <v>24021517.170000002</v>
      </c>
      <c r="H12" s="189">
        <v>32558515.870000001</v>
      </c>
      <c r="I12" s="189">
        <v>22468439.190000001</v>
      </c>
      <c r="J12" s="189">
        <v>43908848.990000002</v>
      </c>
      <c r="K12" s="189">
        <v>495563322.04000002</v>
      </c>
      <c r="L12" s="189">
        <v>19393414.460000001</v>
      </c>
      <c r="M12" s="189">
        <v>14462223.619999999</v>
      </c>
      <c r="N12" s="189">
        <v>14679924.039999999</v>
      </c>
      <c r="O12" s="189">
        <v>15413663.619999999</v>
      </c>
      <c r="P12" s="189">
        <v>9767937.1600000001</v>
      </c>
      <c r="Q12" s="189">
        <v>15880211.34</v>
      </c>
      <c r="R12" s="189">
        <v>18385018.390000001</v>
      </c>
      <c r="S12" s="189">
        <v>8293086.5300000003</v>
      </c>
      <c r="T12" s="189">
        <v>6825548.6500000004</v>
      </c>
      <c r="U12" s="189">
        <v>5459449.4000000004</v>
      </c>
      <c r="V12" s="189">
        <v>3302022.64</v>
      </c>
      <c r="W12" s="189">
        <v>2847544.7</v>
      </c>
      <c r="X12" s="189">
        <v>3191446.77</v>
      </c>
      <c r="Y12" s="189">
        <v>2395768.89</v>
      </c>
      <c r="Z12" s="189">
        <v>6824270</v>
      </c>
      <c r="AA12" s="189">
        <v>6026189.9400000004</v>
      </c>
      <c r="AB12" s="189">
        <v>6883183.8399999999</v>
      </c>
      <c r="AC12" s="189">
        <v>7288648.5999999996</v>
      </c>
      <c r="AD12" s="189">
        <v>11492155.550000001</v>
      </c>
      <c r="AE12" s="189">
        <v>5808920.5499999998</v>
      </c>
      <c r="AF12" s="189">
        <v>7961527.21</v>
      </c>
      <c r="AG12" s="189">
        <v>5743026.0199999996</v>
      </c>
      <c r="AH12" s="189">
        <v>926232.75</v>
      </c>
      <c r="AI12" s="189">
        <v>4511018.57</v>
      </c>
      <c r="AJ12" s="189">
        <v>3717178.02</v>
      </c>
      <c r="AK12" s="189">
        <v>4272647.96</v>
      </c>
      <c r="AL12" s="189">
        <v>2814082.67</v>
      </c>
      <c r="AM12" s="189">
        <v>0</v>
      </c>
    </row>
    <row r="13" spans="1:39">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row>
    <row r="14" spans="1:39">
      <c r="A14" s="189" t="s">
        <v>118</v>
      </c>
      <c r="B14" s="189">
        <v>850944343.95000005</v>
      </c>
      <c r="C14" s="189">
        <v>692785255.57000005</v>
      </c>
      <c r="D14" s="189">
        <v>600993713.50999999</v>
      </c>
      <c r="E14" s="189">
        <v>582550231.92999995</v>
      </c>
      <c r="F14" s="189">
        <v>677230430.11000001</v>
      </c>
      <c r="G14" s="189">
        <v>669935234.58000004</v>
      </c>
      <c r="H14" s="189">
        <v>731628983.34000003</v>
      </c>
      <c r="I14" s="189">
        <v>601293534.66999996</v>
      </c>
      <c r="J14" s="189">
        <v>724713297.20000005</v>
      </c>
      <c r="K14" s="189">
        <v>578841182.41999996</v>
      </c>
      <c r="L14" s="189">
        <v>576317041.96000004</v>
      </c>
      <c r="M14" s="189">
        <v>526982374.43000001</v>
      </c>
      <c r="N14" s="189">
        <v>706591203.73000002</v>
      </c>
      <c r="O14" s="189">
        <v>686741051.61000001</v>
      </c>
      <c r="P14" s="189">
        <v>583826254.91999996</v>
      </c>
      <c r="Q14" s="189">
        <v>494991977.74000001</v>
      </c>
      <c r="R14" s="189">
        <v>638413407.54999995</v>
      </c>
      <c r="S14" s="189">
        <v>571230376.52999997</v>
      </c>
      <c r="T14" s="189">
        <v>593901583.94000006</v>
      </c>
      <c r="U14" s="189">
        <v>464347715.97000003</v>
      </c>
      <c r="V14" s="189">
        <v>431579661.52999997</v>
      </c>
      <c r="W14" s="189">
        <v>253100928.06</v>
      </c>
      <c r="X14" s="189">
        <v>290281048.81999999</v>
      </c>
      <c r="Y14" s="189">
        <v>251174796.99000001</v>
      </c>
      <c r="Z14" s="189">
        <v>233794349.62</v>
      </c>
      <c r="AA14" s="189">
        <v>213524954.25999999</v>
      </c>
      <c r="AB14" s="189">
        <v>123536794.45999999</v>
      </c>
      <c r="AC14" s="189">
        <v>155092034.97</v>
      </c>
      <c r="AD14" s="189">
        <v>186641875.87</v>
      </c>
      <c r="AE14" s="189">
        <v>150491469.63</v>
      </c>
      <c r="AF14" s="189">
        <v>86165944.5</v>
      </c>
      <c r="AG14" s="189">
        <v>37721411.020000003</v>
      </c>
      <c r="AH14" s="189">
        <v>46838898.729999997</v>
      </c>
      <c r="AI14" s="189">
        <v>57493710.369999997</v>
      </c>
      <c r="AJ14" s="189">
        <v>35777972.329999998</v>
      </c>
      <c r="AK14" s="189">
        <v>27429417.100000001</v>
      </c>
      <c r="AL14" s="189">
        <v>19587683.620000001</v>
      </c>
      <c r="AM14" s="189">
        <v>0</v>
      </c>
    </row>
    <row r="15" spans="1:39">
      <c r="A15" s="189" t="s">
        <v>119</v>
      </c>
      <c r="B15" s="189">
        <v>481326.94</v>
      </c>
      <c r="C15" s="189">
        <v>481326.94</v>
      </c>
      <c r="D15" s="189">
        <v>820626.12</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row>
    <row r="16" spans="1:39">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row>
    <row r="17" spans="1:39">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row>
    <row r="18" spans="1:39">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row>
    <row r="19" spans="1:39">
      <c r="A19" s="189" t="s">
        <v>123</v>
      </c>
      <c r="B19" s="189">
        <v>1771077559.9200001</v>
      </c>
      <c r="C19" s="189">
        <v>2683311214.9200001</v>
      </c>
      <c r="D19" s="189">
        <v>570538352</v>
      </c>
      <c r="E19" s="189">
        <v>899580984.20000005</v>
      </c>
      <c r="F19" s="189">
        <v>1333558041.4200001</v>
      </c>
      <c r="G19" s="189">
        <v>2478010383.6399999</v>
      </c>
      <c r="H19" s="189">
        <v>2559056957.4699998</v>
      </c>
      <c r="I19" s="189">
        <v>26547468.27</v>
      </c>
      <c r="J19" s="189">
        <v>11305496.49</v>
      </c>
      <c r="K19" s="189">
        <v>5029886.76</v>
      </c>
      <c r="L19" s="189">
        <v>14837223.449999999</v>
      </c>
      <c r="M19" s="189">
        <v>23166720.199999999</v>
      </c>
      <c r="N19" s="189">
        <v>28549268.859999999</v>
      </c>
      <c r="O19" s="189">
        <v>35306327.399999999</v>
      </c>
      <c r="P19" s="189">
        <v>157532114.13</v>
      </c>
      <c r="Q19" s="189">
        <v>180086896.34</v>
      </c>
      <c r="R19" s="189">
        <v>119159292.64</v>
      </c>
      <c r="S19" s="189">
        <v>213762469.72999999</v>
      </c>
      <c r="T19" s="189">
        <v>180586129.43000001</v>
      </c>
      <c r="U19" s="189">
        <v>182929472.25999999</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row>
    <row r="20" spans="1:39">
      <c r="A20" s="189" t="s">
        <v>124</v>
      </c>
      <c r="B20" s="189">
        <v>25312759503.720001</v>
      </c>
      <c r="C20" s="189">
        <v>27005306057.09</v>
      </c>
      <c r="D20" s="189">
        <v>26479058894.75</v>
      </c>
      <c r="E20" s="189">
        <v>25134186514.990002</v>
      </c>
      <c r="F20" s="189">
        <v>26809994602.07</v>
      </c>
      <c r="G20" s="189">
        <v>25908105826.790001</v>
      </c>
      <c r="H20" s="189">
        <v>23509538369.200001</v>
      </c>
      <c r="I20" s="189">
        <v>21775464990.75</v>
      </c>
      <c r="J20" s="189">
        <v>20608657162.689999</v>
      </c>
      <c r="K20" s="189">
        <v>15245789452.540001</v>
      </c>
      <c r="L20" s="189">
        <v>14608214494.18</v>
      </c>
      <c r="M20" s="189">
        <v>14087198572.1</v>
      </c>
      <c r="N20" s="189">
        <v>10495523476.969999</v>
      </c>
      <c r="O20" s="189">
        <v>8482628308.8400002</v>
      </c>
      <c r="P20" s="189">
        <v>6843481942.4200001</v>
      </c>
      <c r="Q20" s="189">
        <v>6854074242.5699997</v>
      </c>
      <c r="R20" s="189">
        <v>6011325908.4799995</v>
      </c>
      <c r="S20" s="189">
        <v>4689317205.1400003</v>
      </c>
      <c r="T20" s="189">
        <v>3988565788.0900002</v>
      </c>
      <c r="U20" s="189">
        <v>3967859775.96</v>
      </c>
      <c r="V20" s="189">
        <v>3630635598.6599998</v>
      </c>
      <c r="W20" s="189">
        <v>3364810053.7399998</v>
      </c>
      <c r="X20" s="189">
        <v>4076403225.4699998</v>
      </c>
      <c r="Y20" s="189">
        <v>4133593556.3400002</v>
      </c>
      <c r="Z20" s="189">
        <v>3491741858.5300002</v>
      </c>
      <c r="AA20" s="189">
        <v>2964015317.1900001</v>
      </c>
      <c r="AB20" s="189">
        <v>1169578889.1400001</v>
      </c>
      <c r="AC20" s="189">
        <v>1170845386.79</v>
      </c>
      <c r="AD20" s="189">
        <v>1277167418.27</v>
      </c>
      <c r="AE20" s="189">
        <v>1199735336.24</v>
      </c>
      <c r="AF20" s="189">
        <v>952301195.11000001</v>
      </c>
      <c r="AG20" s="189">
        <v>813870419.66999996</v>
      </c>
      <c r="AH20" s="189">
        <v>734159673.24000001</v>
      </c>
      <c r="AI20" s="189">
        <v>320751785.79000002</v>
      </c>
      <c r="AJ20" s="189">
        <v>275109470.50999999</v>
      </c>
      <c r="AK20" s="189">
        <v>174291677.56999999</v>
      </c>
      <c r="AL20" s="189">
        <v>102873415.95999999</v>
      </c>
      <c r="AM20" s="189">
        <v>0</v>
      </c>
    </row>
    <row r="21" spans="1:39">
      <c r="A21" s="189" t="s">
        <v>125</v>
      </c>
    </row>
    <row r="22" spans="1:39">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row>
    <row r="23" spans="1:39">
      <c r="A23" s="189" t="s">
        <v>127</v>
      </c>
      <c r="B23" s="189">
        <v>4206115444.2399998</v>
      </c>
      <c r="C23" s="189">
        <v>4227132583.77</v>
      </c>
      <c r="D23" s="189">
        <v>4471569361.1700001</v>
      </c>
      <c r="E23" s="189">
        <v>4520878100.4799995</v>
      </c>
      <c r="F23" s="189">
        <v>2436201494.3499999</v>
      </c>
      <c r="G23" s="189">
        <v>766249586.83000004</v>
      </c>
      <c r="H23" s="189">
        <v>394249586.88999999</v>
      </c>
      <c r="I23" s="189">
        <v>376249586.82999998</v>
      </c>
      <c r="J23" s="189">
        <v>379334987.82999998</v>
      </c>
      <c r="K23" s="189">
        <v>376222007.37</v>
      </c>
      <c r="L23" s="189">
        <v>365722000</v>
      </c>
      <c r="M23" s="189">
        <v>46640000</v>
      </c>
      <c r="N23" s="189">
        <v>26640000</v>
      </c>
      <c r="O23" s="189">
        <v>0</v>
      </c>
      <c r="P23" s="189">
        <v>0</v>
      </c>
      <c r="Q23" s="189">
        <v>0</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row>
    <row r="24" spans="1:39">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row>
    <row r="25" spans="1:39">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row>
    <row r="26" spans="1:39">
      <c r="A26" s="189" t="s">
        <v>130</v>
      </c>
      <c r="B26" s="189">
        <v>5086376.8099999996</v>
      </c>
      <c r="C26" s="189">
        <v>1806535.66</v>
      </c>
      <c r="D26" s="189">
        <v>2500000</v>
      </c>
      <c r="E26" s="189">
        <v>0</v>
      </c>
      <c r="F26" s="189">
        <v>16531370.939999999</v>
      </c>
      <c r="G26" s="189">
        <v>16531370.939999999</v>
      </c>
      <c r="H26" s="189">
        <v>22475765</v>
      </c>
      <c r="I26" s="189">
        <v>22475765</v>
      </c>
      <c r="J26" s="189">
        <v>26007345.920000002</v>
      </c>
      <c r="K26" s="189">
        <v>29341371.530000001</v>
      </c>
      <c r="L26" s="189">
        <v>33128177.440000001</v>
      </c>
      <c r="M26" s="189">
        <v>33128177.440000001</v>
      </c>
      <c r="N26" s="189">
        <v>12500000</v>
      </c>
      <c r="O26" s="189">
        <v>0</v>
      </c>
      <c r="P26" s="189">
        <v>3000000</v>
      </c>
      <c r="Q26" s="189">
        <v>0</v>
      </c>
      <c r="R26" s="189">
        <v>0</v>
      </c>
      <c r="S26" s="189">
        <v>0</v>
      </c>
      <c r="T26" s="189">
        <v>0</v>
      </c>
      <c r="U26" s="189">
        <v>0</v>
      </c>
      <c r="V26" s="189">
        <v>0</v>
      </c>
      <c r="W26" s="189">
        <v>0</v>
      </c>
      <c r="X26" s="189">
        <v>0</v>
      </c>
      <c r="Y26" s="189">
        <v>0</v>
      </c>
      <c r="Z26" s="189">
        <v>0</v>
      </c>
      <c r="AA26" s="189">
        <v>0</v>
      </c>
      <c r="AB26" s="189">
        <v>0</v>
      </c>
      <c r="AC26" s="189">
        <v>0</v>
      </c>
      <c r="AD26" s="189">
        <v>0</v>
      </c>
      <c r="AE26" s="189">
        <v>0</v>
      </c>
      <c r="AF26" s="189">
        <v>0</v>
      </c>
      <c r="AG26" s="189">
        <v>0</v>
      </c>
      <c r="AH26" s="189">
        <v>0</v>
      </c>
      <c r="AI26" s="189">
        <v>0</v>
      </c>
      <c r="AJ26" s="189">
        <v>0</v>
      </c>
      <c r="AK26" s="189">
        <v>0</v>
      </c>
      <c r="AL26" s="189">
        <v>0</v>
      </c>
      <c r="AM26" s="189">
        <v>0</v>
      </c>
    </row>
    <row r="27" spans="1:39">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17049575.969999999</v>
      </c>
      <c r="AH27" s="189">
        <v>17191695.690000001</v>
      </c>
      <c r="AI27" s="189">
        <v>17333815.41</v>
      </c>
      <c r="AJ27" s="189">
        <v>17618054.850000001</v>
      </c>
      <c r="AK27" s="189">
        <v>18186533.73</v>
      </c>
      <c r="AL27" s="189">
        <v>18755012.66</v>
      </c>
      <c r="AM27" s="189">
        <v>0</v>
      </c>
    </row>
    <row r="28" spans="1:39">
      <c r="A28" s="189" t="s">
        <v>132</v>
      </c>
      <c r="B28" s="189">
        <v>3596104038.8299999</v>
      </c>
      <c r="C28" s="189">
        <v>3568218308.8099999</v>
      </c>
      <c r="D28" s="189">
        <v>3567039900.3899999</v>
      </c>
      <c r="E28" s="189">
        <v>3542070659.1300001</v>
      </c>
      <c r="F28" s="189">
        <v>3158086697.3800001</v>
      </c>
      <c r="G28" s="189">
        <v>3134529088.23</v>
      </c>
      <c r="H28" s="189">
        <v>3080299182.3400002</v>
      </c>
      <c r="I28" s="189">
        <v>3085844626.3299999</v>
      </c>
      <c r="J28" s="189">
        <v>3076757271.4099998</v>
      </c>
      <c r="K28" s="189">
        <v>3103122331.7600002</v>
      </c>
      <c r="L28" s="189">
        <v>3422908290.79</v>
      </c>
      <c r="M28" s="189">
        <v>3462069941.4000001</v>
      </c>
      <c r="N28" s="189">
        <v>3445767909.5599999</v>
      </c>
      <c r="O28" s="189">
        <v>3358314371.8299999</v>
      </c>
      <c r="P28" s="189">
        <v>3378806302</v>
      </c>
      <c r="Q28" s="189">
        <v>3403469019.6900001</v>
      </c>
      <c r="R28" s="189">
        <v>3080325465.6199999</v>
      </c>
      <c r="S28" s="189">
        <v>2115781758.8599999</v>
      </c>
      <c r="T28" s="189">
        <v>1502491031.28</v>
      </c>
      <c r="U28" s="189">
        <v>1492690932.52</v>
      </c>
      <c r="V28" s="189">
        <v>875448625.01999998</v>
      </c>
      <c r="W28" s="189">
        <v>809474969.13</v>
      </c>
      <c r="X28" s="189">
        <v>806291865.24000001</v>
      </c>
      <c r="Y28" s="189">
        <v>803111623.53999996</v>
      </c>
      <c r="Z28" s="189">
        <v>714693488.65999997</v>
      </c>
      <c r="AA28" s="189">
        <v>689931689.76999998</v>
      </c>
      <c r="AB28" s="189">
        <v>524424409.10000002</v>
      </c>
      <c r="AC28" s="189">
        <v>293269856.79000002</v>
      </c>
      <c r="AD28" s="189">
        <v>265072613.81</v>
      </c>
      <c r="AE28" s="189">
        <v>264430847.84</v>
      </c>
      <c r="AF28" s="189">
        <v>266032995.31999999</v>
      </c>
      <c r="AG28" s="189">
        <v>251261659.75999999</v>
      </c>
      <c r="AH28" s="189">
        <v>251616285.37</v>
      </c>
      <c r="AI28" s="189">
        <v>245377768.28999999</v>
      </c>
      <c r="AJ28" s="189">
        <v>245551850.33000001</v>
      </c>
      <c r="AK28" s="189">
        <v>96941926.760000005</v>
      </c>
      <c r="AL28" s="189">
        <v>93197793.25</v>
      </c>
      <c r="AM28" s="189">
        <v>0</v>
      </c>
    </row>
    <row r="29" spans="1:39">
      <c r="A29" s="189" t="s">
        <v>133</v>
      </c>
      <c r="B29" s="189">
        <v>492654558.52999997</v>
      </c>
      <c r="C29" s="189">
        <v>496106557.54000002</v>
      </c>
      <c r="D29" s="189">
        <v>375428159.05000001</v>
      </c>
      <c r="E29" s="189">
        <v>226817094.63</v>
      </c>
      <c r="F29" s="189">
        <v>510715252.5</v>
      </c>
      <c r="G29" s="189">
        <v>447197732.02999997</v>
      </c>
      <c r="H29" s="189">
        <v>443424546.26999998</v>
      </c>
      <c r="I29" s="189">
        <v>416009605.75999999</v>
      </c>
      <c r="J29" s="189">
        <v>442673289.94999999</v>
      </c>
      <c r="K29" s="189">
        <v>334677345.99000001</v>
      </c>
      <c r="L29" s="189">
        <v>265080448.24000001</v>
      </c>
      <c r="M29" s="189">
        <v>207008126.19999999</v>
      </c>
      <c r="N29" s="189">
        <v>165099608.99000001</v>
      </c>
      <c r="O29" s="189">
        <v>279430769.41000003</v>
      </c>
      <c r="P29" s="189">
        <v>259926925.58000001</v>
      </c>
      <c r="Q29" s="189">
        <v>260370751.78</v>
      </c>
      <c r="R29" s="189">
        <v>761878148.22000003</v>
      </c>
      <c r="S29" s="189">
        <v>1575636564.29</v>
      </c>
      <c r="T29" s="189">
        <v>2022026172.1300001</v>
      </c>
      <c r="U29" s="189">
        <v>2003906108.3399999</v>
      </c>
      <c r="V29" s="189">
        <v>1527365917.1300001</v>
      </c>
      <c r="W29" s="189">
        <v>904298723.38</v>
      </c>
      <c r="X29" s="189">
        <v>372565364.38</v>
      </c>
      <c r="Y29" s="189">
        <v>265580799.88</v>
      </c>
      <c r="Z29" s="189">
        <v>47578669.960000001</v>
      </c>
      <c r="AA29" s="189">
        <v>39367515.329999998</v>
      </c>
      <c r="AB29" s="189">
        <v>158550785.31</v>
      </c>
      <c r="AC29" s="189">
        <v>228988175.34999999</v>
      </c>
      <c r="AD29" s="189">
        <v>25115780.210000001</v>
      </c>
      <c r="AE29" s="189">
        <v>8615049.1699999999</v>
      </c>
      <c r="AF29" s="189">
        <v>1873053.4</v>
      </c>
      <c r="AG29" s="189">
        <v>329572.40000000002</v>
      </c>
      <c r="AH29" s="189">
        <v>0</v>
      </c>
      <c r="AI29" s="189">
        <v>0</v>
      </c>
      <c r="AJ29" s="189">
        <v>0</v>
      </c>
      <c r="AK29" s="189">
        <v>99407640.390000001</v>
      </c>
      <c r="AL29" s="189">
        <v>16274266.27</v>
      </c>
      <c r="AM29" s="189">
        <v>0</v>
      </c>
    </row>
    <row r="30" spans="1:39">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row>
    <row r="31" spans="1:39">
      <c r="A31" s="189" t="s">
        <v>135</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748893.59</v>
      </c>
      <c r="AA31" s="189">
        <v>748893.59</v>
      </c>
      <c r="AB31" s="189">
        <v>1048893.5900000001</v>
      </c>
      <c r="AC31" s="189">
        <v>0</v>
      </c>
      <c r="AD31" s="189">
        <v>0</v>
      </c>
      <c r="AE31" s="189">
        <v>0</v>
      </c>
      <c r="AF31" s="189">
        <v>0</v>
      </c>
      <c r="AG31" s="189">
        <v>0</v>
      </c>
      <c r="AH31" s="189">
        <v>0</v>
      </c>
      <c r="AI31" s="189">
        <v>0</v>
      </c>
      <c r="AJ31" s="189">
        <v>0</v>
      </c>
      <c r="AK31" s="189">
        <v>0</v>
      </c>
      <c r="AL31" s="189">
        <v>0</v>
      </c>
      <c r="AM31" s="189">
        <v>0</v>
      </c>
    </row>
    <row r="32" spans="1:39">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row>
    <row r="33" spans="1:39">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row>
    <row r="34" spans="1:39">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row>
    <row r="35" spans="1:39">
      <c r="A35" s="189" t="s">
        <v>139</v>
      </c>
      <c r="B35" s="189">
        <v>491812429.76999998</v>
      </c>
      <c r="C35" s="189">
        <v>500908698.10000002</v>
      </c>
      <c r="D35" s="189">
        <v>518674122.81999999</v>
      </c>
      <c r="E35" s="189">
        <v>498179605.51999998</v>
      </c>
      <c r="F35" s="189">
        <v>498304523.54000002</v>
      </c>
      <c r="G35" s="189">
        <v>510307060.25</v>
      </c>
      <c r="H35" s="189">
        <v>526332049.97000003</v>
      </c>
      <c r="I35" s="189">
        <v>504640824.81</v>
      </c>
      <c r="J35" s="189">
        <v>464819810.25</v>
      </c>
      <c r="K35" s="189">
        <v>395055948.55000001</v>
      </c>
      <c r="L35" s="189">
        <v>416220360.94</v>
      </c>
      <c r="M35" s="189">
        <v>421352819.33999997</v>
      </c>
      <c r="N35" s="189">
        <v>394261089.12</v>
      </c>
      <c r="O35" s="189">
        <v>397767045.37</v>
      </c>
      <c r="P35" s="189">
        <v>230904952.02000001</v>
      </c>
      <c r="Q35" s="189">
        <v>233873326.33000001</v>
      </c>
      <c r="R35" s="189">
        <v>228895105.97</v>
      </c>
      <c r="S35" s="189">
        <v>231361825.52000001</v>
      </c>
      <c r="T35" s="189">
        <v>232444684.24000001</v>
      </c>
      <c r="U35" s="189">
        <v>221600402.22</v>
      </c>
      <c r="V35" s="189">
        <v>210750636.46000001</v>
      </c>
      <c r="W35" s="189">
        <v>197096859.75</v>
      </c>
      <c r="X35" s="189">
        <v>198662783.12</v>
      </c>
      <c r="Y35" s="189">
        <v>195425890.02000001</v>
      </c>
      <c r="Z35" s="189">
        <v>197127503.31</v>
      </c>
      <c r="AA35" s="189">
        <v>198793436.97</v>
      </c>
      <c r="AB35" s="189">
        <v>200475051.06</v>
      </c>
      <c r="AC35" s="189">
        <v>202181097.03999999</v>
      </c>
      <c r="AD35" s="189">
        <v>70377725.430000007</v>
      </c>
      <c r="AE35" s="189">
        <v>61475911.729999997</v>
      </c>
      <c r="AF35" s="189">
        <v>62170375.659999996</v>
      </c>
      <c r="AG35" s="189">
        <v>61619072.549999997</v>
      </c>
      <c r="AH35" s="189">
        <v>18130246.079999998</v>
      </c>
      <c r="AI35" s="189">
        <v>18460908.899999999</v>
      </c>
      <c r="AJ35" s="189">
        <v>19356691.870000001</v>
      </c>
      <c r="AK35" s="189">
        <v>16603857.32</v>
      </c>
      <c r="AL35" s="189">
        <v>17528892.399999999</v>
      </c>
      <c r="AM35" s="189">
        <v>0</v>
      </c>
    </row>
    <row r="36" spans="1:39">
      <c r="A36" s="189" t="s">
        <v>140</v>
      </c>
      <c r="B36" s="189">
        <v>7313005.5800000001</v>
      </c>
      <c r="C36" s="189">
        <v>16341528.449999999</v>
      </c>
      <c r="D36" s="189">
        <v>6735447.0199999996</v>
      </c>
      <c r="E36" s="189">
        <v>45588986.810000002</v>
      </c>
      <c r="F36" s="189">
        <v>0</v>
      </c>
      <c r="G36" s="189">
        <v>27655701.559999999</v>
      </c>
      <c r="H36" s="189">
        <v>15171318.710000001</v>
      </c>
      <c r="I36" s="189">
        <v>4489532.45</v>
      </c>
      <c r="J36" s="189">
        <v>37381822.93</v>
      </c>
      <c r="K36" s="189">
        <v>0</v>
      </c>
      <c r="L36" s="189">
        <v>0</v>
      </c>
      <c r="M36" s="189">
        <v>0</v>
      </c>
      <c r="N36" s="189">
        <v>30810999.940000001</v>
      </c>
      <c r="O36" s="189">
        <v>27768806.73</v>
      </c>
      <c r="P36" s="189">
        <v>22898575.890000001</v>
      </c>
      <c r="Q36" s="189">
        <v>19839837.280000001</v>
      </c>
      <c r="R36" s="189">
        <v>17967403.530000001</v>
      </c>
      <c r="S36" s="189">
        <v>17240078.640000001</v>
      </c>
      <c r="T36" s="189">
        <v>10771419.460000001</v>
      </c>
      <c r="U36" s="189">
        <v>15293634.380000001</v>
      </c>
      <c r="V36" s="189">
        <v>10670833.92</v>
      </c>
      <c r="W36" s="189">
        <v>11049185.08</v>
      </c>
      <c r="X36" s="189">
        <v>9953445.1099999994</v>
      </c>
      <c r="Y36" s="189">
        <v>8085204.3399999999</v>
      </c>
      <c r="Z36" s="189">
        <v>0</v>
      </c>
      <c r="AA36" s="189">
        <v>0</v>
      </c>
      <c r="AB36" s="189">
        <v>0</v>
      </c>
      <c r="AC36" s="189">
        <v>0</v>
      </c>
      <c r="AD36" s="189">
        <v>0</v>
      </c>
      <c r="AE36" s="189">
        <v>0</v>
      </c>
      <c r="AF36" s="189">
        <v>0</v>
      </c>
      <c r="AG36" s="189">
        <v>0</v>
      </c>
      <c r="AH36" s="189">
        <v>122635</v>
      </c>
      <c r="AI36" s="189">
        <v>17650</v>
      </c>
      <c r="AJ36" s="189">
        <v>0</v>
      </c>
      <c r="AK36" s="189">
        <v>3868494.09</v>
      </c>
      <c r="AL36" s="189">
        <v>1855130.99</v>
      </c>
      <c r="AM36" s="189">
        <v>0</v>
      </c>
    </row>
    <row r="37" spans="1:39">
      <c r="A37" s="189" t="s">
        <v>141</v>
      </c>
      <c r="B37" s="189">
        <v>46883206.530000001</v>
      </c>
      <c r="C37" s="189">
        <v>46883206.530000001</v>
      </c>
      <c r="D37" s="189">
        <v>46883206.530000001</v>
      </c>
      <c r="E37" s="189">
        <v>46883206.530000001</v>
      </c>
      <c r="F37" s="189">
        <v>59160468.420000002</v>
      </c>
      <c r="G37" s="189">
        <v>59160468.420000002</v>
      </c>
      <c r="H37" s="189">
        <v>59160468.420000002</v>
      </c>
      <c r="I37" s="189">
        <v>59160468.420000002</v>
      </c>
      <c r="J37" s="189">
        <v>57714591.829999998</v>
      </c>
      <c r="K37" s="189">
        <v>52585542.289999999</v>
      </c>
      <c r="L37" s="189">
        <v>7032629.0999999996</v>
      </c>
      <c r="M37" s="189">
        <v>7032629.0999999996</v>
      </c>
      <c r="N37" s="189">
        <v>7032629.0999999996</v>
      </c>
      <c r="O37" s="189">
        <v>7032629.0999999996</v>
      </c>
      <c r="P37" s="189">
        <v>7032629.0999999996</v>
      </c>
      <c r="Q37" s="189">
        <v>7032629.0999999996</v>
      </c>
      <c r="R37" s="189">
        <v>7032629.0999999996</v>
      </c>
      <c r="S37" s="189">
        <v>7032629.0999999996</v>
      </c>
      <c r="T37" s="189">
        <v>7032629.0999999996</v>
      </c>
      <c r="U37" s="189">
        <v>7032629.0999999996</v>
      </c>
      <c r="V37" s="189">
        <v>1705272.48</v>
      </c>
      <c r="W37" s="189">
        <v>1705272.48</v>
      </c>
      <c r="X37" s="189">
        <v>1705272.48</v>
      </c>
      <c r="Y37" s="189">
        <v>1705272.48</v>
      </c>
      <c r="Z37" s="189">
        <v>1705272.48</v>
      </c>
      <c r="AA37" s="189">
        <v>1705272.48</v>
      </c>
      <c r="AB37" s="189">
        <v>1705272.48</v>
      </c>
      <c r="AC37" s="189">
        <v>1705272.48</v>
      </c>
      <c r="AD37" s="189">
        <v>0</v>
      </c>
      <c r="AE37" s="189">
        <v>0</v>
      </c>
      <c r="AF37" s="189">
        <v>0</v>
      </c>
      <c r="AG37" s="189">
        <v>0</v>
      </c>
      <c r="AH37" s="189">
        <v>0</v>
      </c>
      <c r="AI37" s="189">
        <v>0</v>
      </c>
      <c r="AJ37" s="189">
        <v>0</v>
      </c>
      <c r="AK37" s="189">
        <v>0</v>
      </c>
      <c r="AL37" s="189">
        <v>0</v>
      </c>
      <c r="AM37" s="189">
        <v>0</v>
      </c>
    </row>
    <row r="38" spans="1:39">
      <c r="A38" s="189" t="s">
        <v>142</v>
      </c>
      <c r="B38" s="189">
        <v>47392095.899999999</v>
      </c>
      <c r="C38" s="189">
        <v>48058882.469999999</v>
      </c>
      <c r="D38" s="189">
        <v>48175243.509999998</v>
      </c>
      <c r="E38" s="189">
        <v>51785379.229999997</v>
      </c>
      <c r="F38" s="189">
        <v>55573058.630000003</v>
      </c>
      <c r="G38" s="189">
        <v>59318265.210000001</v>
      </c>
      <c r="H38" s="189">
        <v>3584800.47</v>
      </c>
      <c r="I38" s="189">
        <v>2170420.0699999998</v>
      </c>
      <c r="J38" s="189">
        <v>1726262.77</v>
      </c>
      <c r="K38" s="189">
        <v>1907945.11</v>
      </c>
      <c r="L38" s="189">
        <v>1121708.8799999999</v>
      </c>
      <c r="M38" s="189">
        <v>975279.67</v>
      </c>
      <c r="N38" s="189">
        <v>455683.45</v>
      </c>
      <c r="O38" s="189">
        <v>476087.23</v>
      </c>
      <c r="P38" s="189">
        <v>496491.01</v>
      </c>
      <c r="Q38" s="189">
        <v>516894.79</v>
      </c>
      <c r="R38" s="189">
        <v>7026631.9100000001</v>
      </c>
      <c r="S38" s="189">
        <v>5044500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row>
    <row r="39" spans="1:39">
      <c r="A39" s="189" t="s">
        <v>143</v>
      </c>
      <c r="B39" s="189">
        <v>68059347.019999996</v>
      </c>
      <c r="C39" s="189">
        <v>71908217.870000005</v>
      </c>
      <c r="D39" s="189">
        <v>57737517.420000002</v>
      </c>
      <c r="E39" s="189">
        <v>60682725.960000001</v>
      </c>
      <c r="F39" s="189">
        <v>30421641.16</v>
      </c>
      <c r="G39" s="189">
        <v>30402173.059999999</v>
      </c>
      <c r="H39" s="189">
        <v>28817646.210000001</v>
      </c>
      <c r="I39" s="189">
        <v>42904820.689999998</v>
      </c>
      <c r="J39" s="189">
        <v>41226369.75</v>
      </c>
      <c r="K39" s="189">
        <v>29502892.52</v>
      </c>
      <c r="L39" s="189">
        <v>24399222.23</v>
      </c>
      <c r="M39" s="189">
        <v>24356429.260000002</v>
      </c>
      <c r="N39" s="189">
        <v>25614473.960000001</v>
      </c>
      <c r="O39" s="189">
        <v>18340245.539999999</v>
      </c>
      <c r="P39" s="189">
        <v>20182221.77</v>
      </c>
      <c r="Q39" s="189">
        <v>17864021.57</v>
      </c>
      <c r="R39" s="189">
        <v>13874770.26</v>
      </c>
      <c r="S39" s="189">
        <v>10811595.789999999</v>
      </c>
      <c r="T39" s="189">
        <v>5226587.42</v>
      </c>
      <c r="U39" s="189">
        <v>7325722.5099999998</v>
      </c>
      <c r="V39" s="189">
        <v>23688843.289999999</v>
      </c>
      <c r="W39" s="189">
        <v>3688599.83</v>
      </c>
      <c r="X39" s="189">
        <v>3084316.5</v>
      </c>
      <c r="Y39" s="189">
        <v>4171676.7</v>
      </c>
      <c r="Z39" s="189">
        <v>4110935.54</v>
      </c>
      <c r="AA39" s="189">
        <v>3836646.64</v>
      </c>
      <c r="AB39" s="189">
        <v>2608592.6</v>
      </c>
      <c r="AC39" s="189">
        <v>2173137.8199999998</v>
      </c>
      <c r="AD39" s="189">
        <v>1929085.55</v>
      </c>
      <c r="AE39" s="189">
        <v>1399823.67</v>
      </c>
      <c r="AF39" s="189">
        <v>1238462.02</v>
      </c>
      <c r="AG39" s="189">
        <v>1003877.23</v>
      </c>
      <c r="AH39" s="189">
        <v>937914.45</v>
      </c>
      <c r="AI39" s="189">
        <v>842382.11</v>
      </c>
      <c r="AJ39" s="189">
        <v>688489.81</v>
      </c>
      <c r="AK39" s="189">
        <v>557275.94999999995</v>
      </c>
      <c r="AL39" s="189">
        <v>258118.05</v>
      </c>
      <c r="AM39" s="189">
        <v>0</v>
      </c>
    </row>
    <row r="40" spans="1:39">
      <c r="A40" s="189" t="s">
        <v>144</v>
      </c>
      <c r="B40" s="189">
        <v>2445775918.4299998</v>
      </c>
      <c r="C40" s="189">
        <v>696952200.22000003</v>
      </c>
      <c r="D40" s="189">
        <v>103801033.15000001</v>
      </c>
      <c r="E40" s="189">
        <v>135284163.59999999</v>
      </c>
      <c r="F40" s="189">
        <v>183513463.25</v>
      </c>
      <c r="G40" s="189">
        <v>194131033.38999999</v>
      </c>
      <c r="H40" s="189">
        <v>177466333.62</v>
      </c>
      <c r="I40" s="189">
        <v>135726012.52000001</v>
      </c>
      <c r="J40" s="189">
        <v>156664738.44</v>
      </c>
      <c r="K40" s="189">
        <v>187643840.62</v>
      </c>
      <c r="L40" s="189">
        <v>181529127.86000001</v>
      </c>
      <c r="M40" s="189">
        <v>78242131.640000001</v>
      </c>
      <c r="N40" s="189">
        <v>142290782.78999999</v>
      </c>
      <c r="O40" s="189">
        <v>109024163.12</v>
      </c>
      <c r="P40" s="189">
        <v>126737932.11</v>
      </c>
      <c r="Q40" s="189">
        <v>79462928.859999999</v>
      </c>
      <c r="R40" s="189">
        <v>326739202.80000001</v>
      </c>
      <c r="S40" s="189">
        <v>716848486.74000001</v>
      </c>
      <c r="T40" s="189">
        <v>319172601.47000003</v>
      </c>
      <c r="U40" s="189">
        <v>247043487.75</v>
      </c>
      <c r="V40" s="189">
        <v>848163418.53999996</v>
      </c>
      <c r="W40" s="189">
        <v>929600464.76999998</v>
      </c>
      <c r="X40" s="189">
        <v>314887280.35000002</v>
      </c>
      <c r="Y40" s="189">
        <v>379267882.01999998</v>
      </c>
      <c r="Z40" s="189">
        <v>0</v>
      </c>
      <c r="AA40" s="189">
        <v>0</v>
      </c>
      <c r="AB40" s="189">
        <v>0</v>
      </c>
      <c r="AC40" s="189">
        <v>0</v>
      </c>
      <c r="AD40" s="189">
        <v>0</v>
      </c>
      <c r="AE40" s="189">
        <v>0</v>
      </c>
      <c r="AF40" s="189">
        <v>0</v>
      </c>
      <c r="AG40" s="189">
        <v>0</v>
      </c>
      <c r="AH40" s="189">
        <v>0</v>
      </c>
      <c r="AI40" s="189">
        <v>0</v>
      </c>
      <c r="AJ40" s="189">
        <v>0</v>
      </c>
      <c r="AK40" s="189">
        <v>0</v>
      </c>
      <c r="AL40" s="189">
        <v>0</v>
      </c>
      <c r="AM40" s="189">
        <v>0</v>
      </c>
    </row>
    <row r="41" spans="1:39">
      <c r="A41" s="189" t="s">
        <v>145</v>
      </c>
      <c r="B41" s="189">
        <v>11407196421.639999</v>
      </c>
      <c r="C41" s="189">
        <v>9674316719.4200001</v>
      </c>
      <c r="D41" s="189">
        <v>9198543991.0599995</v>
      </c>
      <c r="E41" s="189">
        <v>9128169921.8899994</v>
      </c>
      <c r="F41" s="189">
        <v>6948507970.1700001</v>
      </c>
      <c r="G41" s="189">
        <v>5245482479.9200001</v>
      </c>
      <c r="H41" s="189">
        <v>4750981697.8999996</v>
      </c>
      <c r="I41" s="189">
        <v>4649671662.8800001</v>
      </c>
      <c r="J41" s="189">
        <v>4684306491.0799999</v>
      </c>
      <c r="K41" s="189">
        <v>4510059225.7399998</v>
      </c>
      <c r="L41" s="189">
        <v>4717141965.4799995</v>
      </c>
      <c r="M41" s="189">
        <v>4280805534.0500002</v>
      </c>
      <c r="N41" s="189">
        <v>4250473176.9099998</v>
      </c>
      <c r="O41" s="189">
        <v>4198154118.3299999</v>
      </c>
      <c r="P41" s="189">
        <v>4049986029.48</v>
      </c>
      <c r="Q41" s="189">
        <v>4022429409.4000001</v>
      </c>
      <c r="R41" s="189">
        <v>4443739357.4099998</v>
      </c>
      <c r="S41" s="189">
        <v>4679757438.9399996</v>
      </c>
      <c r="T41" s="189">
        <v>4099165125.0999999</v>
      </c>
      <c r="U41" s="189">
        <v>3994892916.8200002</v>
      </c>
      <c r="V41" s="189">
        <v>3497793546.8400002</v>
      </c>
      <c r="W41" s="189">
        <v>2856914074.4200001</v>
      </c>
      <c r="X41" s="189">
        <v>1707150327.1800001</v>
      </c>
      <c r="Y41" s="189">
        <v>1657348348.98</v>
      </c>
      <c r="Z41" s="189">
        <v>965964763.53999996</v>
      </c>
      <c r="AA41" s="189">
        <v>934383454.77999997</v>
      </c>
      <c r="AB41" s="189">
        <v>888813004.13999999</v>
      </c>
      <c r="AC41" s="189">
        <v>728317539.48000002</v>
      </c>
      <c r="AD41" s="189">
        <v>362495205</v>
      </c>
      <c r="AE41" s="189">
        <v>335921632.41000003</v>
      </c>
      <c r="AF41" s="189">
        <v>331314886.39999998</v>
      </c>
      <c r="AG41" s="189">
        <v>331263757.91000003</v>
      </c>
      <c r="AH41" s="189">
        <v>287998776.58999997</v>
      </c>
      <c r="AI41" s="189">
        <v>282032524.70999998</v>
      </c>
      <c r="AJ41" s="189">
        <v>283215086.86000001</v>
      </c>
      <c r="AK41" s="189">
        <v>235565728.24000001</v>
      </c>
      <c r="AL41" s="189">
        <v>147869213.62</v>
      </c>
      <c r="AM41" s="189">
        <v>0</v>
      </c>
    </row>
    <row r="42" spans="1:39">
      <c r="A42" s="189" t="s">
        <v>146</v>
      </c>
      <c r="B42" s="189">
        <v>36719955925.360001</v>
      </c>
      <c r="C42" s="189">
        <v>36679622776.510002</v>
      </c>
      <c r="D42" s="189">
        <v>35677602885.809998</v>
      </c>
      <c r="E42" s="189">
        <v>34262356436.880001</v>
      </c>
      <c r="F42" s="189">
        <v>33758502572.240002</v>
      </c>
      <c r="G42" s="189">
        <v>31153588306.709999</v>
      </c>
      <c r="H42" s="189">
        <v>28260520067.099998</v>
      </c>
      <c r="I42" s="189">
        <v>26425136653.630001</v>
      </c>
      <c r="J42" s="189">
        <v>25292963653.77</v>
      </c>
      <c r="K42" s="189">
        <v>19755848678.279999</v>
      </c>
      <c r="L42" s="189">
        <v>19325356459.66</v>
      </c>
      <c r="M42" s="189">
        <v>18368004106.150002</v>
      </c>
      <c r="N42" s="189">
        <v>14745996653.879999</v>
      </c>
      <c r="O42" s="189">
        <v>12680782427.17</v>
      </c>
      <c r="P42" s="189">
        <v>10893467971.9</v>
      </c>
      <c r="Q42" s="189">
        <v>10876503651.969999</v>
      </c>
      <c r="R42" s="189">
        <v>10455065265.889999</v>
      </c>
      <c r="S42" s="189">
        <v>9369074644.0799999</v>
      </c>
      <c r="T42" s="189">
        <v>8087730913.1899996</v>
      </c>
      <c r="U42" s="189">
        <v>7962752692.7799997</v>
      </c>
      <c r="V42" s="189">
        <v>7128429145.5</v>
      </c>
      <c r="W42" s="189">
        <v>6221724128.1599998</v>
      </c>
      <c r="X42" s="189">
        <v>5783553552.6499996</v>
      </c>
      <c r="Y42" s="189">
        <v>5790941905.3199997</v>
      </c>
      <c r="Z42" s="189">
        <v>4457706622.0699997</v>
      </c>
      <c r="AA42" s="189">
        <v>3898398771.9699998</v>
      </c>
      <c r="AB42" s="189">
        <v>2058391893.28</v>
      </c>
      <c r="AC42" s="189">
        <v>1899162926.27</v>
      </c>
      <c r="AD42" s="189">
        <v>1639662623.27</v>
      </c>
      <c r="AE42" s="189">
        <v>1535656968.6500001</v>
      </c>
      <c r="AF42" s="189">
        <v>1283616081.51</v>
      </c>
      <c r="AG42" s="189">
        <v>1145134177.5799999</v>
      </c>
      <c r="AH42" s="189">
        <v>1022158449.83</v>
      </c>
      <c r="AI42" s="189">
        <v>602784310.5</v>
      </c>
      <c r="AJ42" s="189">
        <v>558324557.37</v>
      </c>
      <c r="AK42" s="189">
        <v>409857405.81</v>
      </c>
      <c r="AL42" s="189">
        <v>250742629.58000001</v>
      </c>
      <c r="AM42" s="189">
        <v>0</v>
      </c>
    </row>
    <row r="43" spans="1:39">
      <c r="A43" s="189" t="s">
        <v>147</v>
      </c>
    </row>
    <row r="44" spans="1:39">
      <c r="A44" s="189" t="s">
        <v>148</v>
      </c>
      <c r="B44" s="189">
        <v>6180813826.6199999</v>
      </c>
      <c r="C44" s="189">
        <v>6383218790.8599997</v>
      </c>
      <c r="D44" s="189">
        <v>7277878781.9899998</v>
      </c>
      <c r="E44" s="189">
        <v>6565490467.1000004</v>
      </c>
      <c r="F44" s="189">
        <v>6681305925.4399996</v>
      </c>
      <c r="G44" s="189">
        <v>5759251461.0699997</v>
      </c>
      <c r="H44" s="189">
        <v>4269177043.71</v>
      </c>
      <c r="I44" s="189">
        <v>4817944740.3699999</v>
      </c>
      <c r="J44" s="189">
        <v>4361694547.2799997</v>
      </c>
      <c r="K44" s="189">
        <v>4050380921.2800002</v>
      </c>
      <c r="L44" s="189">
        <v>3448055036.6900001</v>
      </c>
      <c r="M44" s="189">
        <v>3356301280</v>
      </c>
      <c r="N44" s="189">
        <v>2918667882.4499998</v>
      </c>
      <c r="O44" s="189">
        <v>2206174304.96</v>
      </c>
      <c r="P44" s="189">
        <v>1871196637.04</v>
      </c>
      <c r="Q44" s="189">
        <v>1799176765.55</v>
      </c>
      <c r="R44" s="189">
        <v>1681741019.6400001</v>
      </c>
      <c r="S44" s="189">
        <v>1888541565.7</v>
      </c>
      <c r="T44" s="189">
        <v>1875100254.4000001</v>
      </c>
      <c r="U44" s="189">
        <v>1910764627.26</v>
      </c>
      <c r="V44" s="189">
        <v>1679497252.73</v>
      </c>
      <c r="W44" s="189">
        <v>1260791809.2</v>
      </c>
      <c r="X44" s="189">
        <v>1184349327.25</v>
      </c>
      <c r="Y44" s="189">
        <v>1334349327.25</v>
      </c>
      <c r="Z44" s="189">
        <v>1084349327.25</v>
      </c>
      <c r="AA44" s="189">
        <v>700195212.94000006</v>
      </c>
      <c r="AB44" s="189">
        <v>667406112.83000004</v>
      </c>
      <c r="AC44" s="189">
        <v>658355648.17999995</v>
      </c>
      <c r="AD44" s="189">
        <v>393424574.14999998</v>
      </c>
      <c r="AE44" s="189">
        <v>363073863.52999997</v>
      </c>
      <c r="AF44" s="189">
        <v>143000000</v>
      </c>
      <c r="AG44" s="189">
        <v>80000000</v>
      </c>
      <c r="AH44" s="189">
        <v>120000000</v>
      </c>
      <c r="AI44" s="189">
        <v>217000000</v>
      </c>
      <c r="AJ44" s="189">
        <v>197000000</v>
      </c>
      <c r="AK44" s="189">
        <v>156000000</v>
      </c>
      <c r="AL44" s="189">
        <v>89100000</v>
      </c>
      <c r="AM44" s="189">
        <v>0</v>
      </c>
    </row>
    <row r="45" spans="1:39">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row>
    <row r="46" spans="1:39">
      <c r="A46" s="189" t="s">
        <v>150</v>
      </c>
      <c r="B46" s="189">
        <v>0</v>
      </c>
      <c r="C46" s="189">
        <v>861086930.23000002</v>
      </c>
      <c r="D46" s="189">
        <v>418393162.92000002</v>
      </c>
      <c r="E46" s="189">
        <v>465301242.41000003</v>
      </c>
      <c r="F46" s="189">
        <v>697084591.38999999</v>
      </c>
      <c r="G46" s="189">
        <v>643363053.79999995</v>
      </c>
      <c r="H46" s="189">
        <v>621571363.83000004</v>
      </c>
      <c r="I46" s="189">
        <v>501219149.10000002</v>
      </c>
      <c r="J46" s="189">
        <v>463552032.36000001</v>
      </c>
      <c r="K46" s="189">
        <v>478443792.22000003</v>
      </c>
      <c r="L46" s="189">
        <v>437134424.25</v>
      </c>
      <c r="M46" s="189">
        <v>393341929.13999999</v>
      </c>
      <c r="N46" s="189">
        <v>286317581.12</v>
      </c>
      <c r="O46" s="189">
        <v>260125984.33000001</v>
      </c>
      <c r="P46" s="189">
        <v>234772487.93000001</v>
      </c>
      <c r="Q46" s="189">
        <v>275744167.79000002</v>
      </c>
      <c r="R46" s="189">
        <v>145441264.99000001</v>
      </c>
      <c r="S46" s="189">
        <v>232506050</v>
      </c>
      <c r="T46" s="189">
        <v>78431981.219999999</v>
      </c>
      <c r="U46" s="189">
        <v>73282382.900000006</v>
      </c>
      <c r="V46" s="189">
        <v>125295242</v>
      </c>
      <c r="W46" s="189">
        <v>115653592.38</v>
      </c>
      <c r="X46" s="189">
        <v>41825267.289999999</v>
      </c>
      <c r="Y46" s="189">
        <v>33701358.100000001</v>
      </c>
      <c r="Z46" s="189">
        <v>10000000</v>
      </c>
      <c r="AA46" s="189">
        <v>110000000</v>
      </c>
      <c r="AB46" s="189">
        <v>110000000</v>
      </c>
      <c r="AC46" s="189">
        <v>57741130.009999998</v>
      </c>
      <c r="AD46" s="189">
        <v>110618565.45999999</v>
      </c>
      <c r="AE46" s="189">
        <v>0</v>
      </c>
      <c r="AF46" s="189">
        <v>0</v>
      </c>
      <c r="AG46" s="189">
        <v>1877600</v>
      </c>
      <c r="AH46" s="189">
        <v>5265800</v>
      </c>
      <c r="AI46" s="189">
        <v>0</v>
      </c>
      <c r="AJ46" s="189">
        <v>0</v>
      </c>
      <c r="AK46" s="189">
        <v>0</v>
      </c>
      <c r="AL46" s="189">
        <v>2900000</v>
      </c>
      <c r="AM46" s="189">
        <v>0</v>
      </c>
    </row>
    <row r="47" spans="1:39">
      <c r="A47" s="189" t="s">
        <v>151</v>
      </c>
      <c r="B47" s="189">
        <v>0</v>
      </c>
      <c r="C47" s="189">
        <v>1325721675.5999999</v>
      </c>
      <c r="D47" s="189">
        <v>1012332983.64</v>
      </c>
      <c r="E47" s="189">
        <v>944499623.33000004</v>
      </c>
      <c r="F47" s="189">
        <v>904239783.26999998</v>
      </c>
      <c r="G47" s="189">
        <v>867708295.70000005</v>
      </c>
      <c r="H47" s="189">
        <v>769750703.13999999</v>
      </c>
      <c r="I47" s="189">
        <v>625241036.92999995</v>
      </c>
      <c r="J47" s="189">
        <v>748507566.32000005</v>
      </c>
      <c r="K47" s="189">
        <v>708724418.28999996</v>
      </c>
      <c r="L47" s="189">
        <v>815414880.63999999</v>
      </c>
      <c r="M47" s="189">
        <v>789115568.26999998</v>
      </c>
      <c r="N47" s="189">
        <v>831133393.53999996</v>
      </c>
      <c r="O47" s="189">
        <v>528347614.81</v>
      </c>
      <c r="P47" s="189">
        <v>519262924.49000001</v>
      </c>
      <c r="Q47" s="189">
        <v>578409309.26999998</v>
      </c>
      <c r="R47" s="189">
        <v>687811889.39999998</v>
      </c>
      <c r="S47" s="189">
        <v>719776239.76999998</v>
      </c>
      <c r="T47" s="189">
        <v>275398749.44999999</v>
      </c>
      <c r="U47" s="189">
        <v>541045863.33000004</v>
      </c>
      <c r="V47" s="189">
        <v>301037355.69</v>
      </c>
      <c r="W47" s="189">
        <v>161709163.94999999</v>
      </c>
      <c r="X47" s="189">
        <v>133686876.98</v>
      </c>
      <c r="Y47" s="189">
        <v>208423394.96000001</v>
      </c>
      <c r="Z47" s="189">
        <v>137429578.56999999</v>
      </c>
      <c r="AA47" s="189">
        <v>112608251.90000001</v>
      </c>
      <c r="AB47" s="189">
        <v>106178512.22</v>
      </c>
      <c r="AC47" s="189">
        <v>60869945.600000001</v>
      </c>
      <c r="AD47" s="189">
        <v>56957643.25</v>
      </c>
      <c r="AE47" s="189">
        <v>75773225.019999996</v>
      </c>
      <c r="AF47" s="189">
        <v>63198547.780000001</v>
      </c>
      <c r="AG47" s="189">
        <v>44431070.490000002</v>
      </c>
      <c r="AH47" s="189">
        <v>15399105.800000001</v>
      </c>
      <c r="AI47" s="189">
        <v>21062842.350000001</v>
      </c>
      <c r="AJ47" s="189">
        <v>26368793.109999999</v>
      </c>
      <c r="AK47" s="189">
        <v>13466587.42</v>
      </c>
      <c r="AL47" s="189">
        <v>6925663.1799999997</v>
      </c>
      <c r="AM47" s="189">
        <v>0</v>
      </c>
    </row>
    <row r="48" spans="1:39">
      <c r="A48" s="189" t="s">
        <v>152</v>
      </c>
      <c r="B48" s="189">
        <v>56787634.689999998</v>
      </c>
      <c r="C48" s="189">
        <v>29655312.73</v>
      </c>
      <c r="D48" s="189">
        <v>81205948.140000001</v>
      </c>
      <c r="E48" s="189">
        <v>116677612.90000001</v>
      </c>
      <c r="F48" s="189">
        <v>37533101.420000002</v>
      </c>
      <c r="G48" s="189">
        <v>125725112</v>
      </c>
      <c r="H48" s="189">
        <v>60197103.090000004</v>
      </c>
      <c r="I48" s="189">
        <v>64597715.490000002</v>
      </c>
      <c r="J48" s="189">
        <v>42962165.229999997</v>
      </c>
      <c r="K48" s="189">
        <v>26019345.91</v>
      </c>
      <c r="L48" s="189">
        <v>90381788.590000004</v>
      </c>
      <c r="M48" s="189">
        <v>63918154.590000004</v>
      </c>
      <c r="N48" s="189">
        <v>51740963.950000003</v>
      </c>
      <c r="O48" s="189">
        <v>60187808.840000004</v>
      </c>
      <c r="P48" s="189">
        <v>50715015.170000002</v>
      </c>
      <c r="Q48" s="189">
        <v>36139706.82</v>
      </c>
      <c r="R48" s="189">
        <v>53526819.920000002</v>
      </c>
      <c r="S48" s="189">
        <v>44663025.890000001</v>
      </c>
      <c r="T48" s="189">
        <v>26798823.949999999</v>
      </c>
      <c r="U48" s="189">
        <v>19853051.510000002</v>
      </c>
      <c r="V48" s="189">
        <v>37187107.850000001</v>
      </c>
      <c r="W48" s="189">
        <v>24076132.879999999</v>
      </c>
      <c r="X48" s="189">
        <v>16691135.130000001</v>
      </c>
      <c r="Y48" s="189">
        <v>10703672.470000001</v>
      </c>
      <c r="Z48" s="189">
        <v>35687237.93</v>
      </c>
      <c r="AA48" s="189">
        <v>25810791.039999999</v>
      </c>
      <c r="AB48" s="189">
        <v>33635802.07</v>
      </c>
      <c r="AC48" s="189">
        <v>40645213.75</v>
      </c>
      <c r="AD48" s="189">
        <v>46274020.049999997</v>
      </c>
      <c r="AE48" s="189">
        <v>128324092.73999999</v>
      </c>
      <c r="AF48" s="189">
        <v>66332286.609999999</v>
      </c>
      <c r="AG48" s="189">
        <v>19730976.670000002</v>
      </c>
      <c r="AH48" s="189">
        <v>3276427.56</v>
      </c>
      <c r="AI48" s="189">
        <v>422759.84</v>
      </c>
      <c r="AJ48" s="189">
        <v>246752.76</v>
      </c>
      <c r="AK48" s="189">
        <v>4701503.28</v>
      </c>
      <c r="AL48" s="189">
        <v>564086.5</v>
      </c>
      <c r="AM48" s="189">
        <v>0</v>
      </c>
    </row>
    <row r="49" spans="1:39">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row>
    <row r="50" spans="1:39">
      <c r="A50" s="189" t="s">
        <v>154</v>
      </c>
      <c r="B50" s="189">
        <v>47247213.359999999</v>
      </c>
      <c r="C50" s="189">
        <v>47633599.409999996</v>
      </c>
      <c r="D50" s="189">
        <v>42394696.5</v>
      </c>
      <c r="E50" s="189">
        <v>73152602.790000007</v>
      </c>
      <c r="F50" s="189">
        <v>37439526.479999997</v>
      </c>
      <c r="G50" s="189">
        <v>37111052.060000002</v>
      </c>
      <c r="H50" s="189">
        <v>36659345.509999998</v>
      </c>
      <c r="I50" s="189">
        <v>73543665.810000002</v>
      </c>
      <c r="J50" s="189">
        <v>34527054.310000002</v>
      </c>
      <c r="K50" s="189">
        <v>30969030.960000001</v>
      </c>
      <c r="L50" s="189">
        <v>27305022.780000001</v>
      </c>
      <c r="M50" s="189">
        <v>45652663.439999998</v>
      </c>
      <c r="N50" s="189">
        <v>25797614.300000001</v>
      </c>
      <c r="O50" s="189">
        <v>23918995.100000001</v>
      </c>
      <c r="P50" s="189">
        <v>13164511.18</v>
      </c>
      <c r="Q50" s="189">
        <v>20806914.109999999</v>
      </c>
      <c r="R50" s="189">
        <v>9916489.2599999998</v>
      </c>
      <c r="S50" s="189">
        <v>9444209.4000000004</v>
      </c>
      <c r="T50" s="189">
        <v>13285856.119999999</v>
      </c>
      <c r="U50" s="189">
        <v>11738954.35</v>
      </c>
      <c r="V50" s="189">
        <v>12088445.26</v>
      </c>
      <c r="W50" s="189">
        <v>12360443.59</v>
      </c>
      <c r="X50" s="189">
        <v>10636564.310000001</v>
      </c>
      <c r="Y50" s="189">
        <v>8831739.6199999992</v>
      </c>
      <c r="Z50" s="189">
        <v>4430604.3</v>
      </c>
      <c r="AA50" s="189">
        <v>4504429.2699999996</v>
      </c>
      <c r="AB50" s="189">
        <v>4286502.08</v>
      </c>
      <c r="AC50" s="189">
        <v>3563212.77</v>
      </c>
      <c r="AD50" s="189">
        <v>2802140.76</v>
      </c>
      <c r="AE50" s="189">
        <v>3800363.11</v>
      </c>
      <c r="AF50" s="189">
        <v>1950604.42</v>
      </c>
      <c r="AG50" s="189">
        <v>1357622.86</v>
      </c>
      <c r="AH50" s="189">
        <v>1103568.48</v>
      </c>
      <c r="AI50" s="189">
        <v>949965.71</v>
      </c>
      <c r="AJ50" s="189">
        <v>714705.04</v>
      </c>
      <c r="AK50" s="189">
        <v>418926.08000000002</v>
      </c>
      <c r="AL50" s="189">
        <v>178829.58</v>
      </c>
      <c r="AM50" s="189">
        <v>0</v>
      </c>
    </row>
    <row r="51" spans="1:39">
      <c r="A51" s="189" t="s">
        <v>155</v>
      </c>
      <c r="B51" s="189">
        <v>312902635.37</v>
      </c>
      <c r="C51" s="189">
        <v>265210752.83000001</v>
      </c>
      <c r="D51" s="189">
        <v>154013314.02000001</v>
      </c>
      <c r="E51" s="189">
        <v>220469956.84999999</v>
      </c>
      <c r="F51" s="189">
        <v>226985132.97999999</v>
      </c>
      <c r="G51" s="189">
        <v>217568441.11000001</v>
      </c>
      <c r="H51" s="189">
        <v>116099393.81999999</v>
      </c>
      <c r="I51" s="189">
        <v>274311017.75</v>
      </c>
      <c r="J51" s="189">
        <v>189914490.63999999</v>
      </c>
      <c r="K51" s="189">
        <v>110813759.51000001</v>
      </c>
      <c r="L51" s="189">
        <v>61905929.43</v>
      </c>
      <c r="M51" s="189">
        <v>137631776.43000001</v>
      </c>
      <c r="N51" s="189">
        <v>147968372.72999999</v>
      </c>
      <c r="O51" s="189">
        <v>140097969.41</v>
      </c>
      <c r="P51" s="189">
        <v>68400859.590000004</v>
      </c>
      <c r="Q51" s="189">
        <v>54006381.880000003</v>
      </c>
      <c r="R51" s="189">
        <v>34817537.479999997</v>
      </c>
      <c r="S51" s="189">
        <v>22931606.07</v>
      </c>
      <c r="T51" s="189">
        <v>45629013.920000002</v>
      </c>
      <c r="U51" s="189">
        <v>57070293.939999998</v>
      </c>
      <c r="V51" s="189">
        <v>-126565631.78</v>
      </c>
      <c r="W51" s="189">
        <v>4152238.9</v>
      </c>
      <c r="X51" s="189">
        <v>8286717.8399999999</v>
      </c>
      <c r="Y51" s="189">
        <v>10371570.470000001</v>
      </c>
      <c r="Z51" s="189">
        <v>27002355.940000001</v>
      </c>
      <c r="AA51" s="189">
        <v>8621752.8000000007</v>
      </c>
      <c r="AB51" s="189">
        <v>30312292.510000002</v>
      </c>
      <c r="AC51" s="189">
        <v>13652463.710000001</v>
      </c>
      <c r="AD51" s="189">
        <v>9201757.6199999992</v>
      </c>
      <c r="AE51" s="189">
        <v>12135927.99</v>
      </c>
      <c r="AF51" s="189">
        <v>-106572.71</v>
      </c>
      <c r="AG51" s="189">
        <v>4266943.4800000004</v>
      </c>
      <c r="AH51" s="189">
        <v>5813142.6600000001</v>
      </c>
      <c r="AI51" s="189">
        <v>5639618.1699999999</v>
      </c>
      <c r="AJ51" s="189">
        <v>3413347.91</v>
      </c>
      <c r="AK51" s="189">
        <v>5214053.13</v>
      </c>
      <c r="AL51" s="189">
        <v>1736553.09</v>
      </c>
      <c r="AM51" s="189">
        <v>0</v>
      </c>
    </row>
    <row r="52" spans="1:39">
      <c r="A52" s="189" t="s">
        <v>156</v>
      </c>
      <c r="B52" s="189">
        <v>0</v>
      </c>
      <c r="C52" s="189">
        <v>205518432.99000001</v>
      </c>
      <c r="D52" s="189">
        <v>167410544.78999999</v>
      </c>
      <c r="E52" s="189">
        <v>180013410.13</v>
      </c>
      <c r="F52" s="189">
        <v>127288810.81999999</v>
      </c>
      <c r="G52" s="189">
        <v>156479372</v>
      </c>
      <c r="H52" s="189">
        <v>75979125.459999993</v>
      </c>
      <c r="I52" s="189">
        <v>70488179.879999995</v>
      </c>
      <c r="J52" s="189">
        <v>81636653.019999996</v>
      </c>
      <c r="K52" s="189">
        <v>130032183.59999999</v>
      </c>
      <c r="L52" s="189">
        <v>119705228.31</v>
      </c>
      <c r="M52" s="189">
        <v>73279545.799999997</v>
      </c>
      <c r="N52" s="189">
        <v>64288198.579999998</v>
      </c>
      <c r="O52" s="189">
        <v>93479070.530000001</v>
      </c>
      <c r="P52" s="189">
        <v>59217219.68</v>
      </c>
      <c r="Q52" s="189">
        <v>27286654.719999999</v>
      </c>
      <c r="R52" s="189">
        <v>48662204.909999996</v>
      </c>
      <c r="S52" s="189">
        <v>35668082.579999998</v>
      </c>
      <c r="T52" s="189">
        <v>22154473.73</v>
      </c>
      <c r="U52" s="189">
        <v>6051979.0999999996</v>
      </c>
      <c r="V52" s="189">
        <v>44645581.25</v>
      </c>
      <c r="W52" s="189">
        <v>30757292.460000001</v>
      </c>
      <c r="X52" s="189">
        <v>4241327</v>
      </c>
      <c r="Y52" s="189">
        <v>4388476.1500000004</v>
      </c>
      <c r="Z52" s="189">
        <v>1395418.12</v>
      </c>
      <c r="AA52" s="189">
        <v>803915.48</v>
      </c>
      <c r="AB52" s="189">
        <v>772948.64</v>
      </c>
      <c r="AC52" s="189">
        <v>839336.11</v>
      </c>
      <c r="AD52" s="189">
        <v>335462.36</v>
      </c>
      <c r="AE52" s="189">
        <v>461972.92</v>
      </c>
      <c r="AF52" s="189">
        <v>463861.98</v>
      </c>
      <c r="AG52" s="189">
        <v>376929.32</v>
      </c>
      <c r="AH52" s="189">
        <v>278287.08</v>
      </c>
      <c r="AI52" s="189">
        <v>400907.08</v>
      </c>
      <c r="AJ52" s="189">
        <v>446376.58</v>
      </c>
      <c r="AK52" s="189">
        <v>271430.5</v>
      </c>
      <c r="AL52" s="189">
        <v>208946.71</v>
      </c>
      <c r="AM52" s="189">
        <v>0</v>
      </c>
    </row>
    <row r="53" spans="1:39">
      <c r="A53" s="189" t="s">
        <v>157</v>
      </c>
      <c r="B53" s="189">
        <v>0</v>
      </c>
      <c r="C53" s="189">
        <v>0</v>
      </c>
      <c r="D53" s="189">
        <v>0</v>
      </c>
      <c r="E53" s="189">
        <v>0</v>
      </c>
      <c r="F53" s="189">
        <v>47376011.57</v>
      </c>
      <c r="G53" s="189">
        <v>47376011.57</v>
      </c>
      <c r="H53" s="189">
        <v>0</v>
      </c>
      <c r="I53" s="189">
        <v>0</v>
      </c>
      <c r="J53" s="189">
        <v>22095738.91</v>
      </c>
      <c r="K53" s="189">
        <v>22095738.91</v>
      </c>
      <c r="L53" s="189">
        <v>0</v>
      </c>
      <c r="M53" s="189">
        <v>0</v>
      </c>
      <c r="N53" s="189">
        <v>0</v>
      </c>
      <c r="O53" s="189">
        <v>19150244.66</v>
      </c>
      <c r="P53" s="189">
        <v>0</v>
      </c>
      <c r="Q53" s="189">
        <v>37918400.469999999</v>
      </c>
      <c r="R53" s="189">
        <v>37918400.469999999</v>
      </c>
      <c r="S53" s="189">
        <v>37918400.469999999</v>
      </c>
      <c r="T53" s="189">
        <v>13347513.6</v>
      </c>
      <c r="U53" s="189">
        <v>13347513.6</v>
      </c>
      <c r="V53" s="189">
        <v>13347513.6</v>
      </c>
      <c r="W53" s="189">
        <v>13347513.6</v>
      </c>
      <c r="X53" s="189">
        <v>4449171.2</v>
      </c>
      <c r="Y53" s="189">
        <v>4449171.2</v>
      </c>
      <c r="Z53" s="189">
        <v>4449171.2</v>
      </c>
      <c r="AA53" s="189">
        <v>4449171.2</v>
      </c>
      <c r="AB53" s="189">
        <v>4637532.1600000001</v>
      </c>
      <c r="AC53" s="189">
        <v>0</v>
      </c>
      <c r="AD53" s="189">
        <v>735103.75</v>
      </c>
      <c r="AE53" s="189">
        <v>918889.91</v>
      </c>
      <c r="AF53" s="189">
        <v>0</v>
      </c>
      <c r="AG53" s="189">
        <v>0</v>
      </c>
      <c r="AH53" s="189">
        <v>0</v>
      </c>
      <c r="AI53" s="189">
        <v>0</v>
      </c>
      <c r="AJ53" s="189">
        <v>0</v>
      </c>
      <c r="AK53" s="189">
        <v>0</v>
      </c>
      <c r="AL53" s="189">
        <v>0</v>
      </c>
      <c r="AM53" s="189">
        <v>0</v>
      </c>
    </row>
    <row r="54" spans="1:39">
      <c r="A54" s="189" t="s">
        <v>158</v>
      </c>
      <c r="B54" s="189">
        <v>196595272.21000001</v>
      </c>
      <c r="C54" s="189">
        <v>36757239.399999999</v>
      </c>
      <c r="D54" s="189">
        <v>40907489.799999997</v>
      </c>
      <c r="E54" s="189">
        <v>41669430.880000003</v>
      </c>
      <c r="F54" s="189">
        <v>71589203.780000001</v>
      </c>
      <c r="G54" s="189">
        <v>69859366.810000002</v>
      </c>
      <c r="H54" s="189">
        <v>30180620.219999999</v>
      </c>
      <c r="I54" s="189">
        <v>30522258.84</v>
      </c>
      <c r="J54" s="189">
        <v>22798460.739999998</v>
      </c>
      <c r="K54" s="189">
        <v>25118013.559999999</v>
      </c>
      <c r="L54" s="189">
        <v>12817557.109999999</v>
      </c>
      <c r="M54" s="189">
        <v>11370966.42</v>
      </c>
      <c r="N54" s="189">
        <v>9497772.0399999991</v>
      </c>
      <c r="O54" s="189">
        <v>9421539.1300000008</v>
      </c>
      <c r="P54" s="189">
        <v>4885877.4800000004</v>
      </c>
      <c r="Q54" s="189">
        <v>9088749.0399999991</v>
      </c>
      <c r="R54" s="189">
        <v>12868245.52</v>
      </c>
      <c r="S54" s="189">
        <v>10115139.279999999</v>
      </c>
      <c r="T54" s="189">
        <v>15257469.25</v>
      </c>
      <c r="U54" s="189">
        <v>15320709.01</v>
      </c>
      <c r="V54" s="189">
        <v>8731582.8900000006</v>
      </c>
      <c r="W54" s="189">
        <v>9474353.9100000001</v>
      </c>
      <c r="X54" s="189">
        <v>9285098.5600000005</v>
      </c>
      <c r="Y54" s="189">
        <v>7415797.0800000001</v>
      </c>
      <c r="Z54" s="189">
        <v>4123707.25</v>
      </c>
      <c r="AA54" s="189">
        <v>4565357.03</v>
      </c>
      <c r="AB54" s="189">
        <v>4824778.3600000003</v>
      </c>
      <c r="AC54" s="189">
        <v>3893623.59</v>
      </c>
      <c r="AD54" s="189">
        <v>2703171.61</v>
      </c>
      <c r="AE54" s="189">
        <v>1982220.73</v>
      </c>
      <c r="AF54" s="189">
        <v>954322.24</v>
      </c>
      <c r="AG54" s="189">
        <v>1163959.08</v>
      </c>
      <c r="AH54" s="189">
        <v>1087211.1599999999</v>
      </c>
      <c r="AI54" s="189">
        <v>1414264.23</v>
      </c>
      <c r="AJ54" s="189">
        <v>5629645.0300000003</v>
      </c>
      <c r="AK54" s="189">
        <v>1472687.49</v>
      </c>
      <c r="AL54" s="189">
        <v>771968.19</v>
      </c>
      <c r="AM54" s="189">
        <v>0</v>
      </c>
    </row>
    <row r="55" spans="1:39">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row>
    <row r="56" spans="1:39">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row>
    <row r="57" spans="1:39">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row>
    <row r="58" spans="1:39">
      <c r="A58" s="189" t="s">
        <v>162</v>
      </c>
      <c r="B58" s="189">
        <v>299500000</v>
      </c>
      <c r="C58" s="189">
        <v>691867746.66999996</v>
      </c>
      <c r="D58" s="189">
        <v>691409946.66999996</v>
      </c>
      <c r="E58" s="189">
        <v>630952146.66999996</v>
      </c>
      <c r="F58" s="189">
        <v>931028536.96000004</v>
      </c>
      <c r="G58" s="189">
        <v>929957073.88</v>
      </c>
      <c r="H58" s="189">
        <v>929485610.79999995</v>
      </c>
      <c r="I58" s="189">
        <v>928014147.72000003</v>
      </c>
      <c r="J58" s="189">
        <v>0</v>
      </c>
      <c r="K58" s="189">
        <v>1099575000</v>
      </c>
      <c r="L58" s="189">
        <v>1330914088.8599999</v>
      </c>
      <c r="M58" s="189">
        <v>1437274219.9300001</v>
      </c>
      <c r="N58" s="189">
        <v>1641775936.96</v>
      </c>
      <c r="O58" s="189">
        <v>546539626.53999996</v>
      </c>
      <c r="P58" s="189">
        <v>403805800.69</v>
      </c>
      <c r="Q58" s="189">
        <v>705263176.27999997</v>
      </c>
      <c r="R58" s="189">
        <v>375702166.41000003</v>
      </c>
      <c r="S58" s="189">
        <v>111512666.59999999</v>
      </c>
      <c r="T58" s="189">
        <v>40549036.420000002</v>
      </c>
      <c r="U58" s="189">
        <v>43012666.600000001</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row>
    <row r="59" spans="1:39">
      <c r="A59" s="189" t="s">
        <v>163</v>
      </c>
      <c r="B59" s="189">
        <v>1498693238.99</v>
      </c>
      <c r="C59" s="189">
        <v>2497300157.2600002</v>
      </c>
      <c r="D59" s="189">
        <v>2497440312.3200002</v>
      </c>
      <c r="E59" s="189">
        <v>2496219258.8600001</v>
      </c>
      <c r="F59" s="189">
        <v>1498925576.5</v>
      </c>
      <c r="G59" s="189">
        <v>1497921341.8800001</v>
      </c>
      <c r="H59" s="189">
        <v>998517431.91999996</v>
      </c>
      <c r="I59" s="189">
        <v>2496697426.8099999</v>
      </c>
      <c r="J59" s="189">
        <v>2499072555.5999999</v>
      </c>
      <c r="K59" s="189">
        <v>1498588888.9000001</v>
      </c>
      <c r="L59" s="189">
        <v>1499118166.6800001</v>
      </c>
      <c r="M59" s="189">
        <v>998100666.70000005</v>
      </c>
      <c r="N59" s="189">
        <v>997083166.72000003</v>
      </c>
      <c r="O59" s="189">
        <v>996065666.74000001</v>
      </c>
      <c r="P59" s="189">
        <v>0</v>
      </c>
      <c r="Q59" s="189">
        <v>0</v>
      </c>
      <c r="R59" s="189">
        <v>0</v>
      </c>
      <c r="S59" s="189">
        <v>0</v>
      </c>
      <c r="T59" s="189">
        <v>0</v>
      </c>
      <c r="U59" s="189">
        <v>0</v>
      </c>
      <c r="V59" s="189">
        <v>853983.69</v>
      </c>
      <c r="W59" s="189">
        <v>731986.02</v>
      </c>
      <c r="X59" s="189">
        <v>609988.31999999995</v>
      </c>
      <c r="Y59" s="189">
        <v>487990.68</v>
      </c>
      <c r="Z59" s="189">
        <v>0</v>
      </c>
      <c r="AA59" s="189">
        <v>0</v>
      </c>
      <c r="AB59" s="189">
        <v>0</v>
      </c>
      <c r="AC59" s="189">
        <v>0</v>
      </c>
      <c r="AD59" s="189">
        <v>0</v>
      </c>
      <c r="AE59" s="189">
        <v>0</v>
      </c>
      <c r="AF59" s="189">
        <v>0</v>
      </c>
      <c r="AG59" s="189">
        <v>0</v>
      </c>
      <c r="AH59" s="189">
        <v>0</v>
      </c>
      <c r="AI59" s="189">
        <v>0</v>
      </c>
      <c r="AJ59" s="189">
        <v>0</v>
      </c>
      <c r="AK59" s="189">
        <v>0</v>
      </c>
      <c r="AL59" s="189">
        <v>0</v>
      </c>
      <c r="AM59" s="189">
        <v>0</v>
      </c>
    </row>
    <row r="60" spans="1:39">
      <c r="A60" s="189" t="s">
        <v>164</v>
      </c>
      <c r="B60" s="189">
        <v>12102356931.860001</v>
      </c>
      <c r="C60" s="189">
        <v>12343970637.98</v>
      </c>
      <c r="D60" s="189">
        <v>12383387180.790001</v>
      </c>
      <c r="E60" s="189">
        <v>11734445751.92</v>
      </c>
      <c r="F60" s="189">
        <v>11260796200.610001</v>
      </c>
      <c r="G60" s="189">
        <v>10352320581.879999</v>
      </c>
      <c r="H60" s="189">
        <v>7907617741.5</v>
      </c>
      <c r="I60" s="189">
        <v>9882579338.7000008</v>
      </c>
      <c r="J60" s="189">
        <v>8466761264.4099998</v>
      </c>
      <c r="K60" s="189">
        <v>8180761093.1400003</v>
      </c>
      <c r="L60" s="189">
        <v>7842752123.3400002</v>
      </c>
      <c r="M60" s="189">
        <v>7305986770.7200003</v>
      </c>
      <c r="N60" s="189">
        <v>6974270882.3900003</v>
      </c>
      <c r="O60" s="189">
        <v>4883508825.0500002</v>
      </c>
      <c r="P60" s="189">
        <v>3225421333.25</v>
      </c>
      <c r="Q60" s="189">
        <v>3543840225.9299998</v>
      </c>
      <c r="R60" s="189">
        <v>3088406038</v>
      </c>
      <c r="S60" s="189">
        <v>3113076985.7600002</v>
      </c>
      <c r="T60" s="189">
        <v>2405953172.0599999</v>
      </c>
      <c r="U60" s="189">
        <v>2691488041.5999999</v>
      </c>
      <c r="V60" s="189">
        <v>2096118433.1800001</v>
      </c>
      <c r="W60" s="189">
        <v>1633054526.8900001</v>
      </c>
      <c r="X60" s="189">
        <v>1414061473.8800001</v>
      </c>
      <c r="Y60" s="189">
        <v>1623122497.98</v>
      </c>
      <c r="Z60" s="189">
        <v>1308867400.5599999</v>
      </c>
      <c r="AA60" s="189">
        <v>971558881.65999997</v>
      </c>
      <c r="AB60" s="189">
        <v>962054480.87</v>
      </c>
      <c r="AC60" s="189">
        <v>839560573.72000003</v>
      </c>
      <c r="AD60" s="189">
        <v>623052439.00999999</v>
      </c>
      <c r="AE60" s="189">
        <v>586470555.95000005</v>
      </c>
      <c r="AF60" s="189">
        <v>275793050.31999999</v>
      </c>
      <c r="AG60" s="189">
        <v>153205101.90000001</v>
      </c>
      <c r="AH60" s="189">
        <v>152223542.74000001</v>
      </c>
      <c r="AI60" s="189">
        <v>246890357.38</v>
      </c>
      <c r="AJ60" s="189">
        <v>233819620.43000001</v>
      </c>
      <c r="AK60" s="189">
        <v>181545187.90000001</v>
      </c>
      <c r="AL60" s="189">
        <v>102386047.25</v>
      </c>
      <c r="AM60" s="189">
        <v>0</v>
      </c>
    </row>
    <row r="61" spans="1:39">
      <c r="A61" s="189" t="s">
        <v>165</v>
      </c>
    </row>
    <row r="62" spans="1:39">
      <c r="A62" s="189" t="s">
        <v>166</v>
      </c>
      <c r="B62" s="189">
        <v>478000000</v>
      </c>
      <c r="C62" s="189">
        <v>736000000</v>
      </c>
      <c r="D62" s="189">
        <v>586500000</v>
      </c>
      <c r="E62" s="189">
        <v>507000000</v>
      </c>
      <c r="F62" s="189">
        <v>487900000</v>
      </c>
      <c r="G62" s="189">
        <v>478500000</v>
      </c>
      <c r="H62" s="189">
        <v>479000000</v>
      </c>
      <c r="I62" s="189">
        <v>290000000</v>
      </c>
      <c r="J62" s="189">
        <v>270000000</v>
      </c>
      <c r="K62" s="189">
        <v>0</v>
      </c>
      <c r="L62" s="189">
        <v>211111111.03999999</v>
      </c>
      <c r="M62" s="189">
        <v>211111111.03999999</v>
      </c>
      <c r="N62" s="189">
        <v>232222222.16</v>
      </c>
      <c r="O62" s="189">
        <v>353333331.75</v>
      </c>
      <c r="P62" s="189">
        <v>567184372.49000001</v>
      </c>
      <c r="Q62" s="189">
        <v>544428954.25999999</v>
      </c>
      <c r="R62" s="189">
        <v>870466161.99000001</v>
      </c>
      <c r="S62" s="189">
        <v>1039069874.66</v>
      </c>
      <c r="T62" s="189">
        <v>664502805.75999999</v>
      </c>
      <c r="U62" s="189">
        <v>569569220.09000003</v>
      </c>
      <c r="V62" s="189">
        <v>560601006.71000004</v>
      </c>
      <c r="W62" s="189">
        <v>310621239.04000002</v>
      </c>
      <c r="X62" s="189">
        <v>200000000</v>
      </c>
      <c r="Y62" s="189">
        <v>200000000</v>
      </c>
      <c r="Z62" s="189">
        <v>200000000</v>
      </c>
      <c r="AA62" s="189">
        <v>100000000</v>
      </c>
      <c r="AB62" s="189">
        <v>0</v>
      </c>
      <c r="AC62" s="189">
        <v>0</v>
      </c>
      <c r="AD62" s="189">
        <v>0</v>
      </c>
      <c r="AE62" s="189">
        <v>0</v>
      </c>
      <c r="AF62" s="189">
        <v>100000000</v>
      </c>
      <c r="AG62" s="189">
        <v>100000000</v>
      </c>
      <c r="AH62" s="189">
        <v>0</v>
      </c>
      <c r="AI62" s="189">
        <v>50000000</v>
      </c>
      <c r="AJ62" s="189">
        <v>50000000</v>
      </c>
      <c r="AK62" s="189">
        <v>50000000</v>
      </c>
      <c r="AL62" s="189">
        <v>0</v>
      </c>
      <c r="AM62" s="189">
        <v>0</v>
      </c>
    </row>
    <row r="63" spans="1:39">
      <c r="A63" s="189" t="s">
        <v>167</v>
      </c>
      <c r="B63" s="189">
        <v>4046536144.6999998</v>
      </c>
      <c r="C63" s="189">
        <v>3964988372.96</v>
      </c>
      <c r="D63" s="189">
        <v>3861828553.1500001</v>
      </c>
      <c r="E63" s="189">
        <v>3932232822.8200002</v>
      </c>
      <c r="F63" s="189">
        <v>4558351386.0500002</v>
      </c>
      <c r="G63" s="189">
        <v>3595429058.52</v>
      </c>
      <c r="H63" s="189">
        <v>3667368746.6700001</v>
      </c>
      <c r="I63" s="189">
        <v>597120946.66999996</v>
      </c>
      <c r="J63" s="189">
        <v>1494205831.3099999</v>
      </c>
      <c r="K63" s="189">
        <v>1493276568.23</v>
      </c>
      <c r="L63" s="189">
        <v>1492347305.1500001</v>
      </c>
      <c r="M63" s="189">
        <v>1491431814.2</v>
      </c>
      <c r="N63" s="189">
        <v>1490440579.3499999</v>
      </c>
      <c r="O63" s="189">
        <v>1893505965.6199999</v>
      </c>
      <c r="P63" s="189">
        <v>1892707864.04</v>
      </c>
      <c r="Q63" s="189">
        <v>1892031224.72</v>
      </c>
      <c r="R63" s="189">
        <v>1891200811.8299999</v>
      </c>
      <c r="S63" s="189">
        <v>893795398.94000006</v>
      </c>
      <c r="T63" s="189">
        <v>893389986.04999995</v>
      </c>
      <c r="U63" s="189">
        <v>892984573.15999997</v>
      </c>
      <c r="V63" s="189">
        <v>892598040.33000004</v>
      </c>
      <c r="W63" s="189">
        <v>892216038.72000003</v>
      </c>
      <c r="X63" s="189">
        <v>891338280.78999996</v>
      </c>
      <c r="Y63" s="189">
        <v>891438280.78999996</v>
      </c>
      <c r="Z63" s="189">
        <v>0</v>
      </c>
      <c r="AA63" s="189">
        <v>0</v>
      </c>
      <c r="AB63" s="189">
        <v>0</v>
      </c>
      <c r="AC63" s="189">
        <v>0</v>
      </c>
      <c r="AD63" s="189">
        <v>0</v>
      </c>
      <c r="AE63" s="189">
        <v>0</v>
      </c>
      <c r="AF63" s="189">
        <v>0</v>
      </c>
      <c r="AG63" s="189">
        <v>0</v>
      </c>
      <c r="AH63" s="189">
        <v>0</v>
      </c>
      <c r="AI63" s="189">
        <v>0</v>
      </c>
      <c r="AJ63" s="189">
        <v>0</v>
      </c>
      <c r="AK63" s="189">
        <v>0</v>
      </c>
      <c r="AL63" s="189">
        <v>0</v>
      </c>
      <c r="AM63" s="189">
        <v>0</v>
      </c>
    </row>
    <row r="64" spans="1:39">
      <c r="A64" s="189" t="s">
        <v>168</v>
      </c>
      <c r="B64" s="189">
        <v>0</v>
      </c>
      <c r="C64" s="189">
        <v>0</v>
      </c>
      <c r="D64" s="189">
        <v>0</v>
      </c>
      <c r="E64" s="189">
        <v>0</v>
      </c>
      <c r="F64" s="189">
        <v>119984.33</v>
      </c>
      <c r="G64" s="189">
        <v>0</v>
      </c>
      <c r="H64" s="189">
        <v>0</v>
      </c>
      <c r="I64" s="189">
        <v>0</v>
      </c>
      <c r="J64" s="189">
        <v>0</v>
      </c>
      <c r="K64" s="189">
        <v>0</v>
      </c>
      <c r="L64" s="189">
        <v>83481419.510000005</v>
      </c>
      <c r="M64" s="189">
        <v>100577423.98999999</v>
      </c>
      <c r="N64" s="189">
        <v>108147399.45999999</v>
      </c>
      <c r="O64" s="189">
        <v>132502410.55</v>
      </c>
      <c r="P64" s="189">
        <v>60144038.619999997</v>
      </c>
      <c r="Q64" s="189">
        <v>58890235.189999998</v>
      </c>
      <c r="R64" s="189">
        <v>113194626.53</v>
      </c>
      <c r="S64" s="189">
        <v>122076000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row>
    <row r="65" spans="1:39">
      <c r="A65" s="189" t="s">
        <v>169</v>
      </c>
      <c r="B65" s="189">
        <v>0</v>
      </c>
      <c r="C65" s="189">
        <v>0</v>
      </c>
      <c r="D65" s="189">
        <v>0</v>
      </c>
      <c r="E65" s="189">
        <v>0</v>
      </c>
      <c r="F65" s="189">
        <v>0</v>
      </c>
      <c r="G65" s="189">
        <v>0</v>
      </c>
      <c r="H65" s="189">
        <v>0</v>
      </c>
      <c r="I65" s="189">
        <v>0</v>
      </c>
      <c r="J65" s="189">
        <v>0</v>
      </c>
      <c r="K65" s="189">
        <v>0</v>
      </c>
      <c r="L65" s="189">
        <v>0</v>
      </c>
      <c r="M65" s="189">
        <v>0</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row>
    <row r="66" spans="1:39">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100000</v>
      </c>
      <c r="S66" s="189">
        <v>100000</v>
      </c>
      <c r="T66" s="189">
        <v>100000</v>
      </c>
      <c r="U66" s="189">
        <v>100000</v>
      </c>
      <c r="V66" s="189">
        <v>100000</v>
      </c>
      <c r="W66" s="189">
        <v>100000</v>
      </c>
      <c r="X66" s="189">
        <v>100000</v>
      </c>
      <c r="Y66" s="189">
        <v>100000</v>
      </c>
      <c r="Z66" s="189">
        <v>100000</v>
      </c>
      <c r="AA66" s="189">
        <v>100000</v>
      </c>
      <c r="AB66" s="189">
        <v>100000</v>
      </c>
      <c r="AC66" s="189">
        <v>100000</v>
      </c>
      <c r="AD66" s="189">
        <v>100000</v>
      </c>
      <c r="AE66" s="189">
        <v>100000</v>
      </c>
      <c r="AF66" s="189">
        <v>100000</v>
      </c>
      <c r="AG66" s="189">
        <v>100000</v>
      </c>
      <c r="AH66" s="189">
        <v>100000</v>
      </c>
      <c r="AI66" s="189">
        <v>100000</v>
      </c>
      <c r="AJ66" s="189">
        <v>100000</v>
      </c>
      <c r="AK66" s="189">
        <v>100000</v>
      </c>
      <c r="AL66" s="189">
        <v>0</v>
      </c>
      <c r="AM66" s="189">
        <v>0</v>
      </c>
    </row>
    <row r="67" spans="1:39">
      <c r="A67" s="189" t="s">
        <v>171</v>
      </c>
      <c r="B67" s="189">
        <v>0</v>
      </c>
      <c r="C67" s="189">
        <v>0</v>
      </c>
      <c r="D67" s="189">
        <v>0</v>
      </c>
      <c r="E67" s="189">
        <v>0</v>
      </c>
      <c r="F67" s="189">
        <v>4932841.6399999997</v>
      </c>
      <c r="G67" s="189">
        <v>0</v>
      </c>
      <c r="H67" s="189">
        <v>0</v>
      </c>
      <c r="I67" s="189">
        <v>0</v>
      </c>
      <c r="J67" s="189">
        <v>240786.86</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row>
    <row r="68" spans="1:39">
      <c r="A68" s="189" t="s">
        <v>172</v>
      </c>
      <c r="B68" s="189">
        <v>14746424.49</v>
      </c>
      <c r="C68" s="189">
        <v>12185071.789999999</v>
      </c>
      <c r="D68" s="189">
        <v>12836701.01</v>
      </c>
      <c r="E68" s="189">
        <v>10083818.59</v>
      </c>
      <c r="F68" s="189">
        <v>4411047.5599999996</v>
      </c>
      <c r="G68" s="189">
        <v>4711246.55</v>
      </c>
      <c r="H68" s="189">
        <v>5011445.54</v>
      </c>
      <c r="I68" s="189">
        <v>5311644.53</v>
      </c>
      <c r="J68" s="189">
        <v>0</v>
      </c>
      <c r="K68" s="189">
        <v>0</v>
      </c>
      <c r="L68" s="189">
        <v>0</v>
      </c>
      <c r="M68" s="189">
        <v>0</v>
      </c>
      <c r="N68" s="189">
        <v>0</v>
      </c>
      <c r="O68" s="189">
        <v>0</v>
      </c>
      <c r="P68" s="189">
        <v>0</v>
      </c>
      <c r="Q68" s="189">
        <v>0</v>
      </c>
      <c r="R68" s="189">
        <v>0</v>
      </c>
      <c r="S68" s="189">
        <v>0</v>
      </c>
      <c r="T68" s="189">
        <v>207800.46</v>
      </c>
      <c r="U68" s="189">
        <v>0</v>
      </c>
      <c r="V68" s="189">
        <v>0</v>
      </c>
      <c r="W68" s="189">
        <v>0</v>
      </c>
      <c r="X68" s="189">
        <v>0</v>
      </c>
      <c r="Y68" s="189">
        <v>0</v>
      </c>
      <c r="Z68" s="189">
        <v>0</v>
      </c>
      <c r="AA68" s="189">
        <v>0</v>
      </c>
      <c r="AB68" s="189">
        <v>234238.19</v>
      </c>
      <c r="AC68" s="189">
        <v>207800.46</v>
      </c>
      <c r="AD68" s="189">
        <v>181166.16</v>
      </c>
      <c r="AE68" s="189">
        <v>154693.15</v>
      </c>
      <c r="AF68" s="189">
        <v>128229.86</v>
      </c>
      <c r="AG68" s="189">
        <v>102366.49</v>
      </c>
      <c r="AH68" s="189">
        <v>77783.09</v>
      </c>
      <c r="AI68" s="189">
        <v>61337.13</v>
      </c>
      <c r="AJ68" s="189">
        <v>18765.64</v>
      </c>
      <c r="AK68" s="189">
        <v>1389.31</v>
      </c>
      <c r="AL68" s="189">
        <v>919.89</v>
      </c>
      <c r="AM68" s="189">
        <v>0</v>
      </c>
    </row>
    <row r="69" spans="1:39">
      <c r="A69" s="189" t="s">
        <v>173</v>
      </c>
      <c r="B69" s="189">
        <v>51715039.840000004</v>
      </c>
      <c r="C69" s="189">
        <v>51015039.840000004</v>
      </c>
      <c r="D69" s="189">
        <v>49233039.840000004</v>
      </c>
      <c r="E69" s="189">
        <v>49233039.840000004</v>
      </c>
      <c r="F69" s="189">
        <v>50359627</v>
      </c>
      <c r="G69" s="189">
        <v>47989627</v>
      </c>
      <c r="H69" s="189">
        <v>47761627</v>
      </c>
      <c r="I69" s="189">
        <v>47683627</v>
      </c>
      <c r="J69" s="189">
        <v>38712428</v>
      </c>
      <c r="K69" s="189">
        <v>38712428</v>
      </c>
      <c r="L69" s="189">
        <v>44440379.990000002</v>
      </c>
      <c r="M69" s="189">
        <v>44222315.310000002</v>
      </c>
      <c r="N69" s="189">
        <v>10277051.630000001</v>
      </c>
      <c r="O69" s="189">
        <v>10408986.93</v>
      </c>
      <c r="P69" s="189">
        <v>10540922.27</v>
      </c>
      <c r="Q69" s="189">
        <v>10672857.59</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row>
    <row r="70" spans="1:39">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-15810556.08</v>
      </c>
      <c r="S70" s="189">
        <v>-23537043.510000002</v>
      </c>
      <c r="T70" s="189">
        <v>5327731.57</v>
      </c>
      <c r="U70" s="189">
        <v>10546530</v>
      </c>
      <c r="V70" s="189">
        <v>5242522.25</v>
      </c>
      <c r="W70" s="189">
        <v>5486517.5899999999</v>
      </c>
      <c r="X70" s="189">
        <v>6330512.96</v>
      </c>
      <c r="Y70" s="189">
        <v>6574508.2699999996</v>
      </c>
      <c r="Z70" s="189">
        <v>6584496.6200000001</v>
      </c>
      <c r="AA70" s="189">
        <v>6706494.29</v>
      </c>
      <c r="AB70" s="189">
        <v>6873491.96</v>
      </c>
      <c r="AC70" s="189">
        <v>6927989.6299999999</v>
      </c>
      <c r="AD70" s="189">
        <v>6982487.2999999998</v>
      </c>
      <c r="AE70" s="189">
        <v>7036984.9699999997</v>
      </c>
      <c r="AF70" s="189">
        <v>1691482.64</v>
      </c>
      <c r="AG70" s="189">
        <v>1745980.3</v>
      </c>
      <c r="AH70" s="189">
        <v>1800477.97</v>
      </c>
      <c r="AI70" s="189">
        <v>1854975.64</v>
      </c>
      <c r="AJ70" s="189">
        <v>1660291.67</v>
      </c>
      <c r="AK70" s="189">
        <v>1747500</v>
      </c>
      <c r="AL70" s="189">
        <v>187500</v>
      </c>
      <c r="AM70" s="189">
        <v>0</v>
      </c>
    </row>
    <row r="71" spans="1:39">
      <c r="A71" s="189" t="s">
        <v>175</v>
      </c>
      <c r="B71" s="189">
        <v>4590997609.0299997</v>
      </c>
      <c r="C71" s="189">
        <v>4764188484.5900002</v>
      </c>
      <c r="D71" s="189">
        <v>4510398294</v>
      </c>
      <c r="E71" s="189">
        <v>4498549681.25</v>
      </c>
      <c r="F71" s="189">
        <v>5106074886.5799999</v>
      </c>
      <c r="G71" s="189">
        <v>4126629932.0700002</v>
      </c>
      <c r="H71" s="189">
        <v>4199141819.21</v>
      </c>
      <c r="I71" s="189">
        <v>940116218.20000005</v>
      </c>
      <c r="J71" s="189">
        <v>1803159046.1700001</v>
      </c>
      <c r="K71" s="189">
        <v>1531988996.23</v>
      </c>
      <c r="L71" s="189">
        <v>1831380215.6900001</v>
      </c>
      <c r="M71" s="189">
        <v>1847342664.54</v>
      </c>
      <c r="N71" s="189">
        <v>1841087252.5999999</v>
      </c>
      <c r="O71" s="189">
        <v>2389750694.8499999</v>
      </c>
      <c r="P71" s="189">
        <v>2530577197.4200001</v>
      </c>
      <c r="Q71" s="189">
        <v>2506023271.7600002</v>
      </c>
      <c r="R71" s="189">
        <v>2859151044.27</v>
      </c>
      <c r="S71" s="189">
        <v>2031504230.0899999</v>
      </c>
      <c r="T71" s="189">
        <v>1563528323.8399999</v>
      </c>
      <c r="U71" s="189">
        <v>1473200323.25</v>
      </c>
      <c r="V71" s="189">
        <v>1458541569.29</v>
      </c>
      <c r="W71" s="189">
        <v>1208423795.3499999</v>
      </c>
      <c r="X71" s="189">
        <v>1097768793.75</v>
      </c>
      <c r="Y71" s="189">
        <v>1098112789.0599999</v>
      </c>
      <c r="Z71" s="189">
        <v>206684496.62</v>
      </c>
      <c r="AA71" s="189">
        <v>106806494.29000001</v>
      </c>
      <c r="AB71" s="189">
        <v>7207730.1500000004</v>
      </c>
      <c r="AC71" s="189">
        <v>7235790.0899999999</v>
      </c>
      <c r="AD71" s="189">
        <v>7263653.46</v>
      </c>
      <c r="AE71" s="189">
        <v>7291678.1200000001</v>
      </c>
      <c r="AF71" s="189">
        <v>101919712.5</v>
      </c>
      <c r="AG71" s="189">
        <v>101948346.79000001</v>
      </c>
      <c r="AH71" s="189">
        <v>1978261.06</v>
      </c>
      <c r="AI71" s="189">
        <v>52016312.770000003</v>
      </c>
      <c r="AJ71" s="189">
        <v>51779057.310000002</v>
      </c>
      <c r="AK71" s="189">
        <v>51848889.310000002</v>
      </c>
      <c r="AL71" s="189">
        <v>188419.89</v>
      </c>
      <c r="AM71" s="189">
        <v>0</v>
      </c>
    </row>
    <row r="72" spans="1:39">
      <c r="A72" s="189" t="s">
        <v>176</v>
      </c>
      <c r="B72" s="189">
        <v>16693354540.889999</v>
      </c>
      <c r="C72" s="189">
        <v>17108159122.57</v>
      </c>
      <c r="D72" s="189">
        <v>16893785474.790001</v>
      </c>
      <c r="E72" s="189">
        <v>16232995433.17</v>
      </c>
      <c r="F72" s="189">
        <v>16366871087.190001</v>
      </c>
      <c r="G72" s="189">
        <v>14478950513.950001</v>
      </c>
      <c r="H72" s="189">
        <v>12106759560.709999</v>
      </c>
      <c r="I72" s="189">
        <v>10822695556.9</v>
      </c>
      <c r="J72" s="189">
        <v>10269920310.58</v>
      </c>
      <c r="K72" s="189">
        <v>9712750089.3700008</v>
      </c>
      <c r="L72" s="189">
        <v>9674132339.0300007</v>
      </c>
      <c r="M72" s="189">
        <v>9153329435.2600002</v>
      </c>
      <c r="N72" s="189">
        <v>8815358134.9899998</v>
      </c>
      <c r="O72" s="189">
        <v>7273259519.8999996</v>
      </c>
      <c r="P72" s="189">
        <v>5755998530.6700001</v>
      </c>
      <c r="Q72" s="189">
        <v>6049863497.6899996</v>
      </c>
      <c r="R72" s="189">
        <v>5947557082.2700005</v>
      </c>
      <c r="S72" s="189">
        <v>5144581215.8500004</v>
      </c>
      <c r="T72" s="189">
        <v>3969481495.9000001</v>
      </c>
      <c r="U72" s="189">
        <v>4164688364.8499999</v>
      </c>
      <c r="V72" s="189">
        <v>3554660002.4699998</v>
      </c>
      <c r="W72" s="189">
        <v>2841478322.2399998</v>
      </c>
      <c r="X72" s="189">
        <v>2511830267.6300001</v>
      </c>
      <c r="Y72" s="189">
        <v>2721235287.04</v>
      </c>
      <c r="Z72" s="189">
        <v>1515551897.1800001</v>
      </c>
      <c r="AA72" s="189">
        <v>1078365375.95</v>
      </c>
      <c r="AB72" s="189">
        <v>969262211.01999998</v>
      </c>
      <c r="AC72" s="189">
        <v>846796363.80999994</v>
      </c>
      <c r="AD72" s="189">
        <v>630316092.47000003</v>
      </c>
      <c r="AE72" s="189">
        <v>593762234.07000005</v>
      </c>
      <c r="AF72" s="189">
        <v>377712762.81999999</v>
      </c>
      <c r="AG72" s="189">
        <v>255153448.69</v>
      </c>
      <c r="AH72" s="189">
        <v>154201803.80000001</v>
      </c>
      <c r="AI72" s="189">
        <v>298906670.14999998</v>
      </c>
      <c r="AJ72" s="189">
        <v>285598677.74000001</v>
      </c>
      <c r="AK72" s="189">
        <v>233394077.21000001</v>
      </c>
      <c r="AL72" s="189">
        <v>102574467.14</v>
      </c>
      <c r="AM72" s="189">
        <v>0</v>
      </c>
    </row>
    <row r="73" spans="1:39">
      <c r="A73" s="189" t="s">
        <v>177</v>
      </c>
    </row>
    <row r="74" spans="1:39">
      <c r="A74" s="189" t="s">
        <v>178</v>
      </c>
      <c r="B74" s="189">
        <v>3540900282</v>
      </c>
      <c r="C74" s="189">
        <v>3540900282</v>
      </c>
      <c r="D74" s="189">
        <v>3540900282</v>
      </c>
      <c r="E74" s="189">
        <v>3538598582</v>
      </c>
      <c r="F74" s="189">
        <v>3537201317</v>
      </c>
      <c r="G74" s="189">
        <v>3534188332</v>
      </c>
      <c r="H74" s="189">
        <v>3529632477</v>
      </c>
      <c r="I74" s="189">
        <v>3528782028</v>
      </c>
      <c r="J74" s="189">
        <v>3524319595</v>
      </c>
      <c r="K74" s="189">
        <v>3223778110</v>
      </c>
      <c r="L74" s="189">
        <v>1611017536</v>
      </c>
      <c r="M74" s="189">
        <v>1608735458</v>
      </c>
      <c r="N74" s="189">
        <v>1436681035</v>
      </c>
      <c r="O74" s="189">
        <v>1435553422</v>
      </c>
      <c r="P74" s="189">
        <v>953835456</v>
      </c>
      <c r="Q74" s="189">
        <v>952389257</v>
      </c>
      <c r="R74" s="189">
        <v>951885976</v>
      </c>
      <c r="S74" s="189">
        <v>949696738</v>
      </c>
      <c r="T74" s="189">
        <v>939797637</v>
      </c>
      <c r="U74" s="189">
        <v>939797637</v>
      </c>
      <c r="V74" s="189">
        <v>935372380</v>
      </c>
      <c r="W74" s="189">
        <v>935372380</v>
      </c>
      <c r="X74" s="189">
        <v>623581587</v>
      </c>
      <c r="Y74" s="189">
        <v>619620000</v>
      </c>
      <c r="Z74" s="189">
        <v>619620000</v>
      </c>
      <c r="AA74" s="189">
        <v>619620000</v>
      </c>
      <c r="AB74" s="189">
        <v>517120000</v>
      </c>
      <c r="AC74" s="189">
        <v>323200000</v>
      </c>
      <c r="AD74" s="189">
        <v>323200000</v>
      </c>
      <c r="AE74" s="189">
        <v>323200000</v>
      </c>
      <c r="AF74" s="189">
        <v>161600000</v>
      </c>
      <c r="AG74" s="189">
        <v>161600000</v>
      </c>
      <c r="AH74" s="189">
        <v>161600000</v>
      </c>
      <c r="AI74" s="189">
        <v>121200000</v>
      </c>
      <c r="AJ74" s="189">
        <v>121200000</v>
      </c>
      <c r="AK74" s="189">
        <v>101000000</v>
      </c>
      <c r="AL74" s="189">
        <v>101000000</v>
      </c>
      <c r="AM74" s="189">
        <v>0</v>
      </c>
    </row>
    <row r="75" spans="1:39">
      <c r="A75" s="189" t="s">
        <v>179</v>
      </c>
      <c r="B75" s="189">
        <v>6819717511.9899998</v>
      </c>
      <c r="C75" s="189">
        <v>6819717511.9899998</v>
      </c>
      <c r="D75" s="189">
        <v>6830144987.1800003</v>
      </c>
      <c r="E75" s="189">
        <v>6806856066.0500002</v>
      </c>
      <c r="F75" s="189">
        <v>6781688973.3400002</v>
      </c>
      <c r="G75" s="189">
        <v>6701012727.25</v>
      </c>
      <c r="H75" s="189">
        <v>7046410325.4799995</v>
      </c>
      <c r="I75" s="189">
        <v>6705584415.0799999</v>
      </c>
      <c r="J75" s="189">
        <v>7013585579.0200005</v>
      </c>
      <c r="K75" s="189">
        <v>2529066566.46</v>
      </c>
      <c r="L75" s="189">
        <v>4090283131.27</v>
      </c>
      <c r="M75" s="189">
        <v>4055502639.9299998</v>
      </c>
      <c r="N75" s="189">
        <v>1317831911.8599999</v>
      </c>
      <c r="O75" s="189">
        <v>1160699607.4300001</v>
      </c>
      <c r="P75" s="189">
        <v>1641940347.6800001</v>
      </c>
      <c r="Q75" s="189">
        <v>1621830865.26</v>
      </c>
      <c r="R75" s="189">
        <v>1605871943.27</v>
      </c>
      <c r="S75" s="189">
        <v>1576801717.3900001</v>
      </c>
      <c r="T75" s="189">
        <v>1647669471.21</v>
      </c>
      <c r="U75" s="189">
        <v>1526957665.1900001</v>
      </c>
      <c r="V75" s="189">
        <v>1496688147.1800001</v>
      </c>
      <c r="W75" s="189">
        <v>1489309490.1600001</v>
      </c>
      <c r="X75" s="189">
        <v>1830602987.6800001</v>
      </c>
      <c r="Y75" s="189">
        <v>1736099334.3800001</v>
      </c>
      <c r="Z75" s="189">
        <v>1732358276.23</v>
      </c>
      <c r="AA75" s="189">
        <v>1730143326.6099999</v>
      </c>
      <c r="AB75" s="189">
        <v>237483432.52000001</v>
      </c>
      <c r="AC75" s="189">
        <v>425578704.91000003</v>
      </c>
      <c r="AD75" s="189">
        <v>411987673.82999998</v>
      </c>
      <c r="AE75" s="189">
        <v>411987673.82999998</v>
      </c>
      <c r="AF75" s="189">
        <v>573587673.83000004</v>
      </c>
      <c r="AG75" s="189">
        <v>573587673.83000004</v>
      </c>
      <c r="AH75" s="189">
        <v>564250515.87</v>
      </c>
      <c r="AI75" s="189">
        <v>66814142.020000003</v>
      </c>
      <c r="AJ75" s="189">
        <v>66814142.020000003</v>
      </c>
      <c r="AK75" s="189">
        <v>37014142.020000003</v>
      </c>
      <c r="AL75" s="189">
        <v>37614142.020000003</v>
      </c>
      <c r="AM75" s="189">
        <v>0</v>
      </c>
    </row>
    <row r="76" spans="1:39">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row>
    <row r="77" spans="1:39">
      <c r="A77" s="189" t="s">
        <v>181</v>
      </c>
      <c r="B77" s="189">
        <v>70573276.510000005</v>
      </c>
      <c r="C77" s="189">
        <v>57016907.18</v>
      </c>
      <c r="D77" s="189">
        <v>57704291.780000001</v>
      </c>
      <c r="E77" s="189">
        <v>45270069.149999999</v>
      </c>
      <c r="F77" s="189">
        <v>24209138.390000001</v>
      </c>
      <c r="G77" s="189">
        <v>16219613.199999999</v>
      </c>
      <c r="H77" s="189">
        <v>3502647.69</v>
      </c>
      <c r="I77" s="189">
        <v>-794253.99</v>
      </c>
      <c r="J77" s="189">
        <v>-1217402.04</v>
      </c>
      <c r="K77" s="189">
        <v>-1169219.53</v>
      </c>
      <c r="L77" s="189">
        <v>296059.40999999997</v>
      </c>
      <c r="M77" s="189">
        <v>-426371.31</v>
      </c>
      <c r="N77" s="189">
        <v>1280064.8400000001</v>
      </c>
      <c r="O77" s="189">
        <v>3395800.14</v>
      </c>
      <c r="P77" s="189">
        <v>3202833.39</v>
      </c>
      <c r="Q77" s="189">
        <v>3132341.31</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row>
    <row r="78" spans="1:39">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row>
    <row r="79" spans="1:39">
      <c r="A79" s="189" t="s">
        <v>183</v>
      </c>
      <c r="B79" s="189">
        <v>966591604.13</v>
      </c>
      <c r="C79" s="189">
        <v>793388820.05999994</v>
      </c>
      <c r="D79" s="189">
        <v>603742466.57000005</v>
      </c>
      <c r="E79" s="189">
        <v>603742466.57000005</v>
      </c>
      <c r="F79" s="189">
        <v>538827735.05999994</v>
      </c>
      <c r="G79" s="189">
        <v>542140140.15999997</v>
      </c>
      <c r="H79" s="189">
        <v>366191812.43000001</v>
      </c>
      <c r="I79" s="189">
        <v>366191812.43000001</v>
      </c>
      <c r="J79" s="189">
        <v>325289622.80000001</v>
      </c>
      <c r="K79" s="189">
        <v>325289622.80000001</v>
      </c>
      <c r="L79" s="189">
        <v>325289622.80000001</v>
      </c>
      <c r="M79" s="189">
        <v>325289622.80000001</v>
      </c>
      <c r="N79" s="189">
        <v>50804121.609999999</v>
      </c>
      <c r="O79" s="189">
        <v>50804121.609999999</v>
      </c>
      <c r="P79" s="189">
        <v>50804121.609999999</v>
      </c>
      <c r="Q79" s="189">
        <v>50804121.609999999</v>
      </c>
      <c r="R79" s="189">
        <v>129591130.34</v>
      </c>
      <c r="S79" s="189">
        <v>102420613.98999999</v>
      </c>
      <c r="T79" s="189">
        <v>50169340.18</v>
      </c>
      <c r="U79" s="189">
        <v>50804121.609999999</v>
      </c>
      <c r="V79" s="189">
        <v>49917918.030000001</v>
      </c>
      <c r="W79" s="189">
        <v>45058024.390000001</v>
      </c>
      <c r="X79" s="189">
        <v>41613586.859999999</v>
      </c>
      <c r="Y79" s="189">
        <v>41281634.859999999</v>
      </c>
      <c r="Z79" s="189">
        <v>63215804.549999997</v>
      </c>
      <c r="AA79" s="189">
        <v>50476474.460000001</v>
      </c>
      <c r="AB79" s="189">
        <v>36523384.770000003</v>
      </c>
      <c r="AC79" s="189">
        <v>30737432.140000001</v>
      </c>
      <c r="AD79" s="189">
        <v>27049168.800000001</v>
      </c>
      <c r="AE79" s="189">
        <v>22451626.050000001</v>
      </c>
      <c r="AF79" s="189">
        <v>17617949.710000001</v>
      </c>
      <c r="AG79" s="189">
        <v>15787869.77</v>
      </c>
      <c r="AH79" s="189">
        <v>14340641.060000001</v>
      </c>
      <c r="AI79" s="189">
        <v>11921778.220000001</v>
      </c>
      <c r="AJ79" s="189">
        <v>8610045.1099999994</v>
      </c>
      <c r="AK79" s="189">
        <v>4012811.67</v>
      </c>
      <c r="AL79" s="189">
        <v>1055060.08</v>
      </c>
      <c r="AM79" s="189">
        <v>0</v>
      </c>
    </row>
    <row r="80" spans="1:39">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row>
    <row r="81" spans="1:39">
      <c r="A81" s="189" t="s">
        <v>185</v>
      </c>
      <c r="B81" s="189">
        <v>8608216032.9799995</v>
      </c>
      <c r="C81" s="189">
        <v>8340911856.5500002</v>
      </c>
      <c r="D81" s="189">
        <v>7732598382.4200001</v>
      </c>
      <c r="E81" s="189">
        <v>7017314917.7799997</v>
      </c>
      <c r="F81" s="189">
        <v>6487213296.4700003</v>
      </c>
      <c r="G81" s="189">
        <v>5859477061.2600002</v>
      </c>
      <c r="H81" s="189">
        <v>5186826294.6000004</v>
      </c>
      <c r="I81" s="189">
        <v>4981672758.8199997</v>
      </c>
      <c r="J81" s="189">
        <v>4140334005.5500002</v>
      </c>
      <c r="K81" s="189">
        <v>3942935083.8299999</v>
      </c>
      <c r="L81" s="189">
        <v>3588660210.4499998</v>
      </c>
      <c r="M81" s="189">
        <v>3189623945.02</v>
      </c>
      <c r="N81" s="189">
        <v>3081614209.1500001</v>
      </c>
      <c r="O81" s="189">
        <v>2713777228.98</v>
      </c>
      <c r="P81" s="189">
        <v>2457440576.73</v>
      </c>
      <c r="Q81" s="189">
        <v>2166135112.6500001</v>
      </c>
      <c r="R81" s="189">
        <v>1788626218.3399999</v>
      </c>
      <c r="S81" s="189">
        <v>1564872150.3900001</v>
      </c>
      <c r="T81" s="189">
        <v>1457610894.4000001</v>
      </c>
      <c r="U81" s="189">
        <v>1249431136.1600001</v>
      </c>
      <c r="V81" s="189">
        <v>1067167410.3</v>
      </c>
      <c r="W81" s="189">
        <v>885142961.66999996</v>
      </c>
      <c r="X81" s="189">
        <v>750276022.62</v>
      </c>
      <c r="Y81" s="189">
        <v>647101881.90999997</v>
      </c>
      <c r="Z81" s="189">
        <v>502249931.14999998</v>
      </c>
      <c r="AA81" s="189">
        <v>394961583.11000001</v>
      </c>
      <c r="AB81" s="189">
        <v>273378328.73000002</v>
      </c>
      <c r="AC81" s="189">
        <v>247561475.52000001</v>
      </c>
      <c r="AD81" s="189">
        <v>224139014.03</v>
      </c>
      <c r="AE81" s="189">
        <v>184259521.22999999</v>
      </c>
      <c r="AF81" s="189">
        <v>153129014.43000001</v>
      </c>
      <c r="AG81" s="189">
        <v>139016319.38999999</v>
      </c>
      <c r="AH81" s="189">
        <v>127765489.09999999</v>
      </c>
      <c r="AI81" s="189">
        <v>103941720.11</v>
      </c>
      <c r="AJ81" s="189">
        <v>76101692.5</v>
      </c>
      <c r="AK81" s="189">
        <v>34436374.909999996</v>
      </c>
      <c r="AL81" s="189">
        <v>8498960.3399999999</v>
      </c>
      <c r="AM81" s="189">
        <v>0</v>
      </c>
    </row>
    <row r="82" spans="1:39">
      <c r="A82" s="189" t="s">
        <v>186</v>
      </c>
      <c r="B82" s="189">
        <v>20005998707.610001</v>
      </c>
      <c r="C82" s="189">
        <v>19551935377.779999</v>
      </c>
      <c r="D82" s="189">
        <v>18765090409.950001</v>
      </c>
      <c r="E82" s="189">
        <v>18011782101.549999</v>
      </c>
      <c r="F82" s="189">
        <v>17369140460.259998</v>
      </c>
      <c r="G82" s="189">
        <v>16653037873.870001</v>
      </c>
      <c r="H82" s="189">
        <v>16132563557.200001</v>
      </c>
      <c r="I82" s="189">
        <v>15581436760.34</v>
      </c>
      <c r="J82" s="189">
        <v>15002311400.33</v>
      </c>
      <c r="K82" s="189">
        <v>10019900163.559999</v>
      </c>
      <c r="L82" s="189">
        <v>9615546559.9300003</v>
      </c>
      <c r="M82" s="189">
        <v>9178725294.4400005</v>
      </c>
      <c r="N82" s="189">
        <v>5888211342.46</v>
      </c>
      <c r="O82" s="189">
        <v>5364230180.1599998</v>
      </c>
      <c r="P82" s="189">
        <v>5107223335.4099998</v>
      </c>
      <c r="Q82" s="189">
        <v>4794291697.8299999</v>
      </c>
      <c r="R82" s="189">
        <v>4478453001.8000002</v>
      </c>
      <c r="S82" s="189">
        <v>4195034272.8000002</v>
      </c>
      <c r="T82" s="189">
        <v>4098383146.3699999</v>
      </c>
      <c r="U82" s="189">
        <v>3766466374.0700002</v>
      </c>
      <c r="V82" s="189">
        <v>3549435694.2800002</v>
      </c>
      <c r="W82" s="189">
        <v>3355054490.5300002</v>
      </c>
      <c r="X82" s="189">
        <v>3246245382.0599999</v>
      </c>
      <c r="Y82" s="189">
        <v>3044271192.77</v>
      </c>
      <c r="Z82" s="189">
        <v>2917689491.0100002</v>
      </c>
      <c r="AA82" s="189">
        <v>2795514398.5599999</v>
      </c>
      <c r="AB82" s="189">
        <v>1064839406.62</v>
      </c>
      <c r="AC82" s="189">
        <v>1027416635.55</v>
      </c>
      <c r="AD82" s="189">
        <v>986376944.08000004</v>
      </c>
      <c r="AE82" s="189">
        <v>941894734.58000004</v>
      </c>
      <c r="AF82" s="189">
        <v>905903318.69000006</v>
      </c>
      <c r="AG82" s="189">
        <v>889980728.88999999</v>
      </c>
      <c r="AH82" s="189">
        <v>867956646.02999997</v>
      </c>
      <c r="AI82" s="189">
        <v>303877640.35000002</v>
      </c>
      <c r="AJ82" s="189">
        <v>272725879.63</v>
      </c>
      <c r="AK82" s="189">
        <v>176463328.59999999</v>
      </c>
      <c r="AL82" s="189">
        <v>148168162.44</v>
      </c>
      <c r="AM82" s="189">
        <v>0</v>
      </c>
    </row>
    <row r="83" spans="1:39">
      <c r="A83" s="189" t="s">
        <v>187</v>
      </c>
      <c r="B83" s="189">
        <v>20602676.859999999</v>
      </c>
      <c r="C83" s="189">
        <v>19528276.16</v>
      </c>
      <c r="D83" s="189">
        <v>18727001.07</v>
      </c>
      <c r="E83" s="189">
        <v>17578902.16</v>
      </c>
      <c r="F83" s="189">
        <v>22491024.789999999</v>
      </c>
      <c r="G83" s="189">
        <v>21599918.890000001</v>
      </c>
      <c r="H83" s="189">
        <v>21196949.190000001</v>
      </c>
      <c r="I83" s="189">
        <v>21004336.390000001</v>
      </c>
      <c r="J83" s="189">
        <v>20731942.859999999</v>
      </c>
      <c r="K83" s="189">
        <v>23198425.350000001</v>
      </c>
      <c r="L83" s="189">
        <v>35677560.700000003</v>
      </c>
      <c r="M83" s="189">
        <v>35949376.450000003</v>
      </c>
      <c r="N83" s="189">
        <v>42427176.43</v>
      </c>
      <c r="O83" s="189">
        <v>43292727.109999999</v>
      </c>
      <c r="P83" s="189">
        <v>30246105.82</v>
      </c>
      <c r="Q83" s="189">
        <v>32348456.449999999</v>
      </c>
      <c r="R83" s="189">
        <v>29055181.82</v>
      </c>
      <c r="S83" s="189">
        <v>29459155.43</v>
      </c>
      <c r="T83" s="189">
        <v>19866270.920000002</v>
      </c>
      <c r="U83" s="189">
        <v>31597953.859999999</v>
      </c>
      <c r="V83" s="189">
        <v>24333448.75</v>
      </c>
      <c r="W83" s="189">
        <v>25191315.390000001</v>
      </c>
      <c r="X83" s="189">
        <v>25477902.960000001</v>
      </c>
      <c r="Y83" s="189">
        <v>25435425.510000002</v>
      </c>
      <c r="Z83" s="189">
        <v>24465233.879999999</v>
      </c>
      <c r="AA83" s="189">
        <v>24518997.460000001</v>
      </c>
      <c r="AB83" s="189">
        <v>24290275.640000001</v>
      </c>
      <c r="AC83" s="189">
        <v>24949926.91</v>
      </c>
      <c r="AD83" s="189">
        <v>22969586.719999999</v>
      </c>
      <c r="AE83" s="189">
        <v>0</v>
      </c>
      <c r="AF83" s="189">
        <v>0</v>
      </c>
      <c r="AG83" s="189">
        <v>0</v>
      </c>
      <c r="AH83" s="189">
        <v>0</v>
      </c>
      <c r="AI83" s="189">
        <v>0</v>
      </c>
      <c r="AJ83" s="189">
        <v>0</v>
      </c>
      <c r="AK83" s="189">
        <v>0</v>
      </c>
      <c r="AL83" s="189">
        <v>0</v>
      </c>
      <c r="AM83" s="189">
        <v>0</v>
      </c>
    </row>
    <row r="84" spans="1:39">
      <c r="A84" s="189" t="s">
        <v>188</v>
      </c>
      <c r="B84" s="189">
        <v>20026601384.470001</v>
      </c>
      <c r="C84" s="189">
        <v>19571463653.939999</v>
      </c>
      <c r="D84" s="189">
        <v>18783817411.02</v>
      </c>
      <c r="E84" s="189">
        <v>18029361003.709999</v>
      </c>
      <c r="F84" s="189">
        <v>17391631485.049999</v>
      </c>
      <c r="G84" s="189">
        <v>16674637792.76</v>
      </c>
      <c r="H84" s="189">
        <v>16153760506.389999</v>
      </c>
      <c r="I84" s="189">
        <v>15602441096.73</v>
      </c>
      <c r="J84" s="189">
        <v>15023043343.190001</v>
      </c>
      <c r="K84" s="189">
        <v>10043098588.91</v>
      </c>
      <c r="L84" s="189">
        <v>9651224120.6299992</v>
      </c>
      <c r="M84" s="189">
        <v>9214674670.8899994</v>
      </c>
      <c r="N84" s="189">
        <v>5930638518.8900003</v>
      </c>
      <c r="O84" s="189">
        <v>5407522907.2700005</v>
      </c>
      <c r="P84" s="189">
        <v>5137469441.2299995</v>
      </c>
      <c r="Q84" s="189">
        <v>4826640154.2799997</v>
      </c>
      <c r="R84" s="189">
        <v>4507508183.6199999</v>
      </c>
      <c r="S84" s="189">
        <v>4224493428.23</v>
      </c>
      <c r="T84" s="189">
        <v>4118249417.29</v>
      </c>
      <c r="U84" s="189">
        <v>3798064327.9299998</v>
      </c>
      <c r="V84" s="189">
        <v>3573769143.0300002</v>
      </c>
      <c r="W84" s="189">
        <v>3380245805.9200001</v>
      </c>
      <c r="X84" s="189">
        <v>3271723285.02</v>
      </c>
      <c r="Y84" s="189">
        <v>3069706618.2800002</v>
      </c>
      <c r="Z84" s="189">
        <v>2942154724.8899999</v>
      </c>
      <c r="AA84" s="189">
        <v>2820033396.02</v>
      </c>
      <c r="AB84" s="189">
        <v>1089129682.26</v>
      </c>
      <c r="AC84" s="189">
        <v>1052366562.46</v>
      </c>
      <c r="AD84" s="189">
        <v>1009346530.8</v>
      </c>
      <c r="AE84" s="189">
        <v>941894734.58000004</v>
      </c>
      <c r="AF84" s="189">
        <v>905903318.69000006</v>
      </c>
      <c r="AG84" s="189">
        <v>889980728.88999999</v>
      </c>
      <c r="AH84" s="189">
        <v>867956646.02999997</v>
      </c>
      <c r="AI84" s="189">
        <v>303877640.35000002</v>
      </c>
      <c r="AJ84" s="189">
        <v>272725879.63</v>
      </c>
      <c r="AK84" s="189">
        <v>176463328.59999999</v>
      </c>
      <c r="AL84" s="189">
        <v>148168162.44</v>
      </c>
      <c r="AM84" s="189">
        <v>0</v>
      </c>
    </row>
    <row r="85" spans="1:39">
      <c r="A85" s="189" t="s">
        <v>189</v>
      </c>
      <c r="B85" s="189">
        <v>36719955925.360001</v>
      </c>
      <c r="C85" s="189">
        <v>36679622776.510002</v>
      </c>
      <c r="D85" s="189">
        <v>35677602885.809998</v>
      </c>
      <c r="E85" s="189">
        <v>34262356436.880001</v>
      </c>
      <c r="F85" s="189">
        <v>33758502572.240002</v>
      </c>
      <c r="G85" s="189">
        <v>31153588306.709999</v>
      </c>
      <c r="H85" s="189">
        <v>28260520067.099998</v>
      </c>
      <c r="I85" s="189">
        <v>26425136653.630001</v>
      </c>
      <c r="J85" s="189">
        <v>25292963653.77</v>
      </c>
      <c r="K85" s="189">
        <v>19755848678.279999</v>
      </c>
      <c r="L85" s="189">
        <v>19325356459.66</v>
      </c>
      <c r="M85" s="189">
        <v>18368004106.150002</v>
      </c>
      <c r="N85" s="189">
        <v>14745996653.879999</v>
      </c>
      <c r="O85" s="189">
        <v>12680782427.17</v>
      </c>
      <c r="P85" s="189">
        <v>10893467971.9</v>
      </c>
      <c r="Q85" s="189">
        <v>10876503651.969999</v>
      </c>
      <c r="R85" s="189">
        <v>10455065265.889999</v>
      </c>
      <c r="S85" s="189">
        <v>9369074644.0799999</v>
      </c>
      <c r="T85" s="189">
        <v>8087730913.1899996</v>
      </c>
      <c r="U85" s="189">
        <v>7962752692.7799997</v>
      </c>
      <c r="V85" s="189">
        <v>7128429145.5</v>
      </c>
      <c r="W85" s="189">
        <v>6221724128.1599998</v>
      </c>
      <c r="X85" s="189">
        <v>5783553552.6499996</v>
      </c>
      <c r="Y85" s="189">
        <v>5790941905.3199997</v>
      </c>
      <c r="Z85" s="189">
        <v>4457706622.0699997</v>
      </c>
      <c r="AA85" s="189">
        <v>3898398771.9699998</v>
      </c>
      <c r="AB85" s="189">
        <v>2058391893.28</v>
      </c>
      <c r="AC85" s="189">
        <v>1899162926.27</v>
      </c>
      <c r="AD85" s="189">
        <v>1639662623.27</v>
      </c>
      <c r="AE85" s="189">
        <v>1535656968.6500001</v>
      </c>
      <c r="AF85" s="189">
        <v>1283616081.51</v>
      </c>
      <c r="AG85" s="189">
        <v>1145134177.5799999</v>
      </c>
      <c r="AH85" s="189">
        <v>1022158449.83</v>
      </c>
      <c r="AI85" s="189">
        <v>602784310.5</v>
      </c>
      <c r="AJ85" s="189">
        <v>558324557.37</v>
      </c>
      <c r="AK85" s="189">
        <v>409857405.81</v>
      </c>
      <c r="AL85" s="189">
        <v>250742629.58000001</v>
      </c>
      <c r="AM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P31"/>
  <sheetViews>
    <sheetView workbookViewId="0">
      <selection activeCell="A2" sqref="A2"/>
    </sheetView>
  </sheetViews>
  <sheetFormatPr defaultRowHeight="13.5"/>
  <cols>
    <col min="1" max="1" width="37" style="189" bestFit="1" customWidth="1"/>
    <col min="2" max="4" width="12.75" style="189" hidden="1" customWidth="1"/>
    <col min="5" max="5" width="12.75" style="189" bestFit="1" customWidth="1"/>
    <col min="6" max="6" width="12.75" style="189" hidden="1" customWidth="1"/>
    <col min="7" max="8" width="13.875" style="189" hidden="1" customWidth="1"/>
    <col min="9" max="9" width="13.875" style="189" bestFit="1" customWidth="1"/>
    <col min="10" max="12" width="12.75" style="189" hidden="1" customWidth="1"/>
    <col min="13" max="13" width="12.75" style="189" bestFit="1" customWidth="1"/>
    <col min="14" max="16" width="12.75" style="189" hidden="1" customWidth="1"/>
    <col min="17" max="17" width="12.75" style="189" bestFit="1" customWidth="1"/>
    <col min="18" max="20" width="12.75" style="189" hidden="1" customWidth="1"/>
    <col min="21" max="21" width="12.75" style="189" bestFit="1" customWidth="1"/>
    <col min="22" max="24" width="12.75" style="189" hidden="1" customWidth="1"/>
    <col min="25" max="25" width="12.75" style="189" bestFit="1" customWidth="1"/>
    <col min="26" max="28" width="12.75" style="189" hidden="1" customWidth="1"/>
    <col min="29" max="29" width="12.75" style="189" bestFit="1" customWidth="1"/>
    <col min="30" max="32" width="12.75" style="189" hidden="1" customWidth="1"/>
    <col min="33" max="33" width="12.75" style="189" bestFit="1" customWidth="1"/>
    <col min="34" max="36" width="12.75" style="189" hidden="1" customWidth="1"/>
    <col min="37" max="37" width="12.75" style="189" bestFit="1" customWidth="1"/>
    <col min="38" max="39" width="12.75" style="189" hidden="1" customWidth="1"/>
    <col min="40" max="41" width="12.75" style="189" bestFit="1" customWidth="1"/>
    <col min="42" max="42" width="9.5" style="189" hidden="1" customWidth="1"/>
    <col min="43" max="16384" width="9" style="189"/>
  </cols>
  <sheetData>
    <row r="1" spans="1:42">
      <c r="A1" s="189">
        <v>2450</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20081231</v>
      </c>
      <c r="AO1" s="189">
        <v>20071231</v>
      </c>
      <c r="AP1" s="189">
        <v>19700101</v>
      </c>
    </row>
    <row r="2" spans="1:42">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row>
    <row r="3" spans="1:42">
      <c r="A3" s="189" t="s">
        <v>190</v>
      </c>
      <c r="B3" s="189">
        <v>10834749631.77</v>
      </c>
      <c r="C3" s="189">
        <v>7240583096.5200005</v>
      </c>
      <c r="D3" s="189">
        <v>3550359888.6900001</v>
      </c>
      <c r="E3" s="189">
        <v>11789073516.690001</v>
      </c>
      <c r="F3" s="189">
        <v>9450631221.3799992</v>
      </c>
      <c r="G3" s="189">
        <v>6050755584.71</v>
      </c>
      <c r="H3" s="189">
        <v>2700241153</v>
      </c>
      <c r="I3" s="189">
        <v>9232749388.8799992</v>
      </c>
      <c r="J3" s="189">
        <v>7156918837.8000002</v>
      </c>
      <c r="K3" s="189">
        <v>4499173734.3900003</v>
      </c>
      <c r="L3" s="189">
        <v>2007598833.6500001</v>
      </c>
      <c r="M3" s="189">
        <v>7459376626.1199999</v>
      </c>
      <c r="N3" s="189">
        <v>5214917067.6099997</v>
      </c>
      <c r="O3" s="189">
        <v>3301126126.96</v>
      </c>
      <c r="P3" s="189">
        <v>1500354327.0899999</v>
      </c>
      <c r="Q3" s="189">
        <v>5208091770.6199999</v>
      </c>
      <c r="R3" s="189">
        <v>3652588157.7399998</v>
      </c>
      <c r="S3" s="189">
        <v>2424211203.8699999</v>
      </c>
      <c r="T3" s="189">
        <v>1221227187.02</v>
      </c>
      <c r="U3" s="189">
        <v>3192701967.0799999</v>
      </c>
      <c r="V3" s="189">
        <v>2279929133.7600002</v>
      </c>
      <c r="W3" s="189">
        <v>1509892379.6400001</v>
      </c>
      <c r="X3" s="189">
        <v>655682698.38</v>
      </c>
      <c r="Y3" s="189">
        <v>2234623152.98</v>
      </c>
      <c r="Z3" s="189">
        <v>1459303292.4400001</v>
      </c>
      <c r="AA3" s="189">
        <v>961642839.58000004</v>
      </c>
      <c r="AB3" s="189">
        <v>407522741.93000001</v>
      </c>
      <c r="AC3" s="189">
        <v>1526021238.48</v>
      </c>
      <c r="AD3" s="189">
        <v>1098832203.2</v>
      </c>
      <c r="AE3" s="189">
        <v>647395840.48000002</v>
      </c>
      <c r="AF3" s="189">
        <v>237639702.31</v>
      </c>
      <c r="AG3" s="189">
        <v>524201146.48000002</v>
      </c>
      <c r="AH3" s="189">
        <v>380020138.85000002</v>
      </c>
      <c r="AI3" s="189">
        <v>223459375.99000001</v>
      </c>
      <c r="AJ3" s="189">
        <v>89061445.689999998</v>
      </c>
      <c r="AK3" s="189">
        <v>364399272.83999997</v>
      </c>
      <c r="AL3" s="189">
        <v>232406318.21000001</v>
      </c>
      <c r="AM3" s="189">
        <v>134187532.15000001</v>
      </c>
      <c r="AN3" s="189">
        <v>259676963.58000001</v>
      </c>
      <c r="AO3" s="189">
        <v>163933411.49000001</v>
      </c>
      <c r="AP3" s="189">
        <v>0</v>
      </c>
    </row>
    <row r="4" spans="1:42">
      <c r="A4" s="189" t="s">
        <v>191</v>
      </c>
      <c r="B4" s="189">
        <v>10834749631.77</v>
      </c>
      <c r="C4" s="189">
        <v>7240583096.5200005</v>
      </c>
      <c r="D4" s="189">
        <v>3550359888.6900001</v>
      </c>
      <c r="E4" s="189">
        <v>11789073516.690001</v>
      </c>
      <c r="F4" s="189">
        <v>9450631221.3799992</v>
      </c>
      <c r="G4" s="189">
        <v>6050755584.71</v>
      </c>
      <c r="H4" s="189">
        <v>2700241153</v>
      </c>
      <c r="I4" s="189">
        <v>9232749388.8799992</v>
      </c>
      <c r="J4" s="189">
        <v>7156918837.8000002</v>
      </c>
      <c r="K4" s="189">
        <v>4499173734.3900003</v>
      </c>
      <c r="L4" s="189">
        <v>2007598833.6500001</v>
      </c>
      <c r="M4" s="189">
        <v>7459376626.1199999</v>
      </c>
      <c r="N4" s="189">
        <v>5214917067.6099997</v>
      </c>
      <c r="O4" s="189">
        <v>3301126126.96</v>
      </c>
      <c r="P4" s="189">
        <v>1500354327.0899999</v>
      </c>
      <c r="Q4" s="189">
        <v>5208091770.6199999</v>
      </c>
      <c r="R4" s="189">
        <v>3652588157.7399998</v>
      </c>
      <c r="S4" s="189">
        <v>2424211203.8699999</v>
      </c>
      <c r="T4" s="189">
        <v>1221227187.02</v>
      </c>
      <c r="U4" s="189">
        <v>3192701967.0799999</v>
      </c>
      <c r="V4" s="189">
        <v>2279929133.7600002</v>
      </c>
      <c r="W4" s="189">
        <v>1509892379.6400001</v>
      </c>
      <c r="X4" s="189">
        <v>655682698.38</v>
      </c>
      <c r="Y4" s="189">
        <v>2234623152.98</v>
      </c>
      <c r="Z4" s="189">
        <v>1459303292.4400001</v>
      </c>
      <c r="AA4" s="189">
        <v>961642839.58000004</v>
      </c>
      <c r="AB4" s="189">
        <v>407522741.93000001</v>
      </c>
      <c r="AC4" s="189">
        <v>1526021238.48</v>
      </c>
      <c r="AD4" s="189">
        <v>1098832203.2</v>
      </c>
      <c r="AE4" s="189">
        <v>647395840.48000002</v>
      </c>
      <c r="AF4" s="189">
        <v>237639702.31</v>
      </c>
      <c r="AG4" s="189">
        <v>524201146.48000002</v>
      </c>
      <c r="AH4" s="189">
        <v>380020138.85000002</v>
      </c>
      <c r="AI4" s="189">
        <v>223459375.99000001</v>
      </c>
      <c r="AJ4" s="189">
        <v>89061445.689999998</v>
      </c>
      <c r="AK4" s="189">
        <v>364399272.83999997</v>
      </c>
      <c r="AL4" s="189">
        <v>232406318.21000001</v>
      </c>
      <c r="AM4" s="189">
        <v>134187532.15000001</v>
      </c>
      <c r="AN4" s="189">
        <v>259676963.58000001</v>
      </c>
      <c r="AO4" s="189">
        <v>163933411.49000001</v>
      </c>
      <c r="AP4" s="189">
        <v>0</v>
      </c>
    </row>
    <row r="5" spans="1:42">
      <c r="A5" s="189" t="s">
        <v>192</v>
      </c>
      <c r="B5" s="189">
        <v>8303625333.2600002</v>
      </c>
      <c r="C5" s="189">
        <v>5487750570.71</v>
      </c>
      <c r="D5" s="189">
        <v>2706106991.3600001</v>
      </c>
      <c r="E5" s="189">
        <v>8966430784.1000004</v>
      </c>
      <c r="F5" s="189">
        <v>7226153965.1099997</v>
      </c>
      <c r="G5" s="189">
        <v>4542135964.6099997</v>
      </c>
      <c r="H5" s="189">
        <v>2032354971.1600001</v>
      </c>
      <c r="I5" s="189">
        <v>6990553046</v>
      </c>
      <c r="J5" s="189">
        <v>5542249058.8500004</v>
      </c>
      <c r="K5" s="189">
        <v>3468878892.4000001</v>
      </c>
      <c r="L5" s="189">
        <v>1531011709.76</v>
      </c>
      <c r="M5" s="189">
        <v>5821710073.4799995</v>
      </c>
      <c r="N5" s="189">
        <v>4002260552.1199999</v>
      </c>
      <c r="O5" s="189">
        <v>2521775613.1300001</v>
      </c>
      <c r="P5" s="189">
        <v>1157503926.8699999</v>
      </c>
      <c r="Q5" s="189">
        <v>4033576412.6100001</v>
      </c>
      <c r="R5" s="189">
        <v>2831995877.0300002</v>
      </c>
      <c r="S5" s="189">
        <v>1894733932.9400001</v>
      </c>
      <c r="T5" s="189">
        <v>961657590.03999996</v>
      </c>
      <c r="U5" s="189">
        <v>2463253178.4499998</v>
      </c>
      <c r="V5" s="189">
        <v>1739643131.75</v>
      </c>
      <c r="W5" s="189">
        <v>1168616099.21</v>
      </c>
      <c r="X5" s="189">
        <v>501372824.36000001</v>
      </c>
      <c r="Y5" s="189">
        <v>1745509005.95</v>
      </c>
      <c r="Z5" s="189">
        <v>1112683719.26</v>
      </c>
      <c r="AA5" s="189">
        <v>748546011.63999999</v>
      </c>
      <c r="AB5" s="189">
        <v>345793834.14999998</v>
      </c>
      <c r="AC5" s="189">
        <v>1361799025.74</v>
      </c>
      <c r="AD5" s="189">
        <v>969665965.32000005</v>
      </c>
      <c r="AE5" s="189">
        <v>574771864.59000003</v>
      </c>
      <c r="AF5" s="189">
        <v>218310813</v>
      </c>
      <c r="AG5" s="189">
        <v>445743683.07999998</v>
      </c>
      <c r="AH5" s="189">
        <v>313728524.70999998</v>
      </c>
      <c r="AI5" s="189">
        <v>186824796.44999999</v>
      </c>
      <c r="AJ5" s="189">
        <v>78040362.810000002</v>
      </c>
      <c r="AK5" s="189">
        <v>312768193.69</v>
      </c>
      <c r="AL5" s="189">
        <v>204500373.31999999</v>
      </c>
      <c r="AM5" s="189">
        <v>119486920.05</v>
      </c>
      <c r="AN5" s="189">
        <v>226852376.91</v>
      </c>
      <c r="AO5" s="189">
        <v>145445055.47999999</v>
      </c>
      <c r="AP5" s="189">
        <v>0</v>
      </c>
    </row>
    <row r="6" spans="1:42">
      <c r="A6" s="189" t="s">
        <v>193</v>
      </c>
      <c r="B6" s="189">
        <v>6788805195.1899996</v>
      </c>
      <c r="C6" s="189">
        <v>4481291237.6999998</v>
      </c>
      <c r="D6" s="189">
        <v>2173617313.7600002</v>
      </c>
      <c r="E6" s="189">
        <v>7082433228.9700003</v>
      </c>
      <c r="F6" s="189">
        <v>5867004503.1800003</v>
      </c>
      <c r="G6" s="189">
        <v>3760335260.7600002</v>
      </c>
      <c r="H6" s="189">
        <v>1685339422.6600001</v>
      </c>
      <c r="I6" s="189">
        <v>5498091650.5600004</v>
      </c>
      <c r="J6" s="189">
        <v>4486393024.54</v>
      </c>
      <c r="K6" s="189">
        <v>2820743132.8600001</v>
      </c>
      <c r="L6" s="189">
        <v>1228341627.6400001</v>
      </c>
      <c r="M6" s="189">
        <v>4674042318.3100004</v>
      </c>
      <c r="N6" s="189">
        <v>3206565234.98</v>
      </c>
      <c r="O6" s="189">
        <v>2046150402.3299999</v>
      </c>
      <c r="P6" s="189">
        <v>932009375.05999994</v>
      </c>
      <c r="Q6" s="189">
        <v>3171705053.96</v>
      </c>
      <c r="R6" s="189">
        <v>2262121253.6999998</v>
      </c>
      <c r="S6" s="189">
        <v>1508397409.0699999</v>
      </c>
      <c r="T6" s="189">
        <v>773688343.23000002</v>
      </c>
      <c r="U6" s="189">
        <v>2032945307.53</v>
      </c>
      <c r="V6" s="189">
        <v>1431678641.1400001</v>
      </c>
      <c r="W6" s="189">
        <v>986327119.15999997</v>
      </c>
      <c r="X6" s="189">
        <v>433342685.77999997</v>
      </c>
      <c r="Y6" s="189">
        <v>1515737569.8</v>
      </c>
      <c r="Z6" s="189">
        <v>968960651.47000003</v>
      </c>
      <c r="AA6" s="189">
        <v>653401720.63</v>
      </c>
      <c r="AB6" s="189">
        <v>295686297.69</v>
      </c>
      <c r="AC6" s="189">
        <v>1229967250.8199999</v>
      </c>
      <c r="AD6" s="189">
        <v>891749062.62</v>
      </c>
      <c r="AE6" s="189">
        <v>530225147.60000002</v>
      </c>
      <c r="AF6" s="189">
        <v>200625460.34999999</v>
      </c>
      <c r="AG6" s="189">
        <v>386934282.25</v>
      </c>
      <c r="AH6" s="189">
        <v>275652349.01999998</v>
      </c>
      <c r="AI6" s="189">
        <v>161860298.44</v>
      </c>
      <c r="AJ6" s="189">
        <v>66705448.380000003</v>
      </c>
      <c r="AK6" s="189">
        <v>274436681.06999999</v>
      </c>
      <c r="AL6" s="189">
        <v>180786912.02000001</v>
      </c>
      <c r="AM6" s="189">
        <v>105400729.06</v>
      </c>
      <c r="AN6" s="189">
        <v>199359707.38</v>
      </c>
      <c r="AO6" s="189">
        <v>128316202.27</v>
      </c>
      <c r="AP6" s="189">
        <v>0</v>
      </c>
    </row>
    <row r="7" spans="1:42">
      <c r="A7" s="189" t="s">
        <v>194</v>
      </c>
      <c r="B7" s="189">
        <v>64533771.479999997</v>
      </c>
      <c r="C7" s="189">
        <v>43080148.43</v>
      </c>
      <c r="D7" s="189">
        <v>22247984.079999998</v>
      </c>
      <c r="E7" s="189">
        <v>100268329.19</v>
      </c>
      <c r="F7" s="189">
        <v>71892695.629999995</v>
      </c>
      <c r="G7" s="189">
        <v>43900756.210000001</v>
      </c>
      <c r="H7" s="189">
        <v>19412909.550000001</v>
      </c>
      <c r="I7" s="189">
        <v>82211800.379999995</v>
      </c>
      <c r="J7" s="189">
        <v>31009864.260000002</v>
      </c>
      <c r="K7" s="189">
        <v>19761763.640000001</v>
      </c>
      <c r="L7" s="189">
        <v>10225822.73</v>
      </c>
      <c r="M7" s="189">
        <v>36895751.240000002</v>
      </c>
      <c r="N7" s="189">
        <v>24014504.899999999</v>
      </c>
      <c r="O7" s="189">
        <v>12676136.92</v>
      </c>
      <c r="P7" s="189">
        <v>6493513.25</v>
      </c>
      <c r="Q7" s="189">
        <v>21959269.190000001</v>
      </c>
      <c r="R7" s="189">
        <v>18739175.539999999</v>
      </c>
      <c r="S7" s="189">
        <v>13935854.970000001</v>
      </c>
      <c r="T7" s="189">
        <v>6826486.5099999998</v>
      </c>
      <c r="U7" s="189">
        <v>17120043.030000001</v>
      </c>
      <c r="V7" s="189">
        <v>12594479.880000001</v>
      </c>
      <c r="W7" s="189">
        <v>8678637.1699999999</v>
      </c>
      <c r="X7" s="189">
        <v>3769022.05</v>
      </c>
      <c r="Y7" s="189">
        <v>13336172.279999999</v>
      </c>
      <c r="Z7" s="189">
        <v>9665778.0899999999</v>
      </c>
      <c r="AA7" s="189">
        <v>6410557.4199999999</v>
      </c>
      <c r="AB7" s="189">
        <v>2911324.51</v>
      </c>
      <c r="AC7" s="189">
        <v>3353912.79</v>
      </c>
      <c r="AD7" s="189">
        <v>2210431.5</v>
      </c>
      <c r="AE7" s="189">
        <v>1193724.8799999999</v>
      </c>
      <c r="AF7" s="189">
        <v>126479.66</v>
      </c>
      <c r="AG7" s="189">
        <v>383156.72</v>
      </c>
      <c r="AH7" s="189">
        <v>163679.24</v>
      </c>
      <c r="AI7" s="189">
        <v>38125</v>
      </c>
      <c r="AJ7" s="189">
        <v>20624.990000000002</v>
      </c>
      <c r="AK7" s="189">
        <v>70000</v>
      </c>
      <c r="AL7" s="189">
        <v>52499.99</v>
      </c>
      <c r="AM7" s="189">
        <v>39583.33</v>
      </c>
      <c r="AN7" s="189">
        <v>70000</v>
      </c>
      <c r="AO7" s="189">
        <v>70000</v>
      </c>
      <c r="AP7" s="189">
        <v>0</v>
      </c>
    </row>
    <row r="8" spans="1:42">
      <c r="A8" s="189" t="s">
        <v>195</v>
      </c>
      <c r="B8" s="189">
        <v>292605855.30000001</v>
      </c>
      <c r="C8" s="189">
        <v>181082640.61000001</v>
      </c>
      <c r="D8" s="189">
        <v>96370680.810000002</v>
      </c>
      <c r="E8" s="189">
        <v>336178911.95999998</v>
      </c>
      <c r="F8" s="189">
        <v>216761710.46000001</v>
      </c>
      <c r="G8" s="189">
        <v>136774629.74000001</v>
      </c>
      <c r="H8" s="189">
        <v>62716184.32</v>
      </c>
      <c r="I8" s="189">
        <v>240027139.16999999</v>
      </c>
      <c r="J8" s="189">
        <v>165889017.03</v>
      </c>
      <c r="K8" s="189">
        <v>103318327.73999999</v>
      </c>
      <c r="L8" s="189">
        <v>49076483.280000001</v>
      </c>
      <c r="M8" s="189">
        <v>163772435.83000001</v>
      </c>
      <c r="N8" s="189">
        <v>106216784.86</v>
      </c>
      <c r="O8" s="189">
        <v>59753480.030000001</v>
      </c>
      <c r="P8" s="189">
        <v>26202237.870000001</v>
      </c>
      <c r="Q8" s="189">
        <v>98523376.540000007</v>
      </c>
      <c r="R8" s="189">
        <v>55933899.460000001</v>
      </c>
      <c r="S8" s="189">
        <v>33359104.34</v>
      </c>
      <c r="T8" s="189">
        <v>20531440.43</v>
      </c>
      <c r="U8" s="189">
        <v>54142695.109999999</v>
      </c>
      <c r="V8" s="189">
        <v>43221231.140000001</v>
      </c>
      <c r="W8" s="189">
        <v>20653168.32</v>
      </c>
      <c r="X8" s="189">
        <v>9120554.3800000008</v>
      </c>
      <c r="Y8" s="189">
        <v>41348603.899999999</v>
      </c>
      <c r="Z8" s="189">
        <v>23995136.379999999</v>
      </c>
      <c r="AA8" s="189">
        <v>15763913.140000001</v>
      </c>
      <c r="AB8" s="189">
        <v>9093100.9399999995</v>
      </c>
      <c r="AC8" s="189">
        <v>24868725.66</v>
      </c>
      <c r="AD8" s="189">
        <v>17757420.539999999</v>
      </c>
      <c r="AE8" s="189">
        <v>10865803.09</v>
      </c>
      <c r="AF8" s="189">
        <v>4694530.93</v>
      </c>
      <c r="AG8" s="189">
        <v>16105280.189999999</v>
      </c>
      <c r="AH8" s="189">
        <v>12087930.18</v>
      </c>
      <c r="AI8" s="189">
        <v>7820526.9199999999</v>
      </c>
      <c r="AJ8" s="189">
        <v>2867851.13</v>
      </c>
      <c r="AK8" s="189">
        <v>10127758.24</v>
      </c>
      <c r="AL8" s="189">
        <v>5490233.4199999999</v>
      </c>
      <c r="AM8" s="189">
        <v>3153390.14</v>
      </c>
      <c r="AN8" s="189">
        <v>9445406.2799999993</v>
      </c>
      <c r="AO8" s="189">
        <v>5025537.62</v>
      </c>
      <c r="AP8" s="189">
        <v>0</v>
      </c>
    </row>
    <row r="9" spans="1:42">
      <c r="A9" s="189" t="s">
        <v>196</v>
      </c>
      <c r="B9" s="189">
        <v>398531855.00999999</v>
      </c>
      <c r="C9" s="189">
        <v>417380626.13</v>
      </c>
      <c r="D9" s="189">
        <v>198274463.37</v>
      </c>
      <c r="E9" s="189">
        <v>864322891.36000001</v>
      </c>
      <c r="F9" s="189">
        <v>647843606.34000003</v>
      </c>
      <c r="G9" s="189">
        <v>395468876.64999998</v>
      </c>
      <c r="H9" s="189">
        <v>210178031.81999999</v>
      </c>
      <c r="I9" s="189">
        <v>775920767.91999996</v>
      </c>
      <c r="J9" s="189">
        <v>545472048.75</v>
      </c>
      <c r="K9" s="189">
        <v>323161162.76999998</v>
      </c>
      <c r="L9" s="189">
        <v>149319545.38999999</v>
      </c>
      <c r="M9" s="189">
        <v>570279932.17999995</v>
      </c>
      <c r="N9" s="189">
        <v>401645141.57999998</v>
      </c>
      <c r="O9" s="189">
        <v>240493510.53</v>
      </c>
      <c r="P9" s="189">
        <v>111896340.84</v>
      </c>
      <c r="Q9" s="189">
        <v>399825261.04000002</v>
      </c>
      <c r="R9" s="189">
        <v>296797842.14999998</v>
      </c>
      <c r="S9" s="189">
        <v>215498347.09</v>
      </c>
      <c r="T9" s="189">
        <v>101043686.04000001</v>
      </c>
      <c r="U9" s="189">
        <v>216663155.28999999</v>
      </c>
      <c r="V9" s="189">
        <v>147046704.65000001</v>
      </c>
      <c r="W9" s="189">
        <v>88810181.090000004</v>
      </c>
      <c r="X9" s="189">
        <v>38629243.079999998</v>
      </c>
      <c r="Y9" s="189">
        <v>111782174.23999999</v>
      </c>
      <c r="Z9" s="189">
        <v>64909456.659999996</v>
      </c>
      <c r="AA9" s="189">
        <v>43108593.020000003</v>
      </c>
      <c r="AB9" s="189">
        <v>22326863.969999999</v>
      </c>
      <c r="AC9" s="189">
        <v>64800429.969999999</v>
      </c>
      <c r="AD9" s="189">
        <v>33300997.690000001</v>
      </c>
      <c r="AE9" s="189">
        <v>21493699.539999999</v>
      </c>
      <c r="AF9" s="189">
        <v>9027430.5999999996</v>
      </c>
      <c r="AG9" s="189">
        <v>28842589.41</v>
      </c>
      <c r="AH9" s="189">
        <v>13215030.960000001</v>
      </c>
      <c r="AI9" s="189">
        <v>8595455.2100000009</v>
      </c>
      <c r="AJ9" s="189">
        <v>4419985.05</v>
      </c>
      <c r="AK9" s="189">
        <v>15234670.18</v>
      </c>
      <c r="AL9" s="189">
        <v>9367403.0800000001</v>
      </c>
      <c r="AM9" s="189">
        <v>5300378.41</v>
      </c>
      <c r="AN9" s="189">
        <v>7973823.1600000001</v>
      </c>
      <c r="AO9" s="189">
        <v>5128016.9400000004</v>
      </c>
      <c r="AP9" s="189">
        <v>0</v>
      </c>
    </row>
    <row r="10" spans="1:42">
      <c r="A10" s="189" t="s">
        <v>197</v>
      </c>
      <c r="B10" s="189">
        <v>305544206.73000002</v>
      </c>
      <c r="C10" s="189">
        <v>229874223.09</v>
      </c>
      <c r="D10" s="189">
        <v>199890833.72999999</v>
      </c>
      <c r="E10" s="189">
        <v>553270984.17999995</v>
      </c>
      <c r="F10" s="189">
        <v>416339443.12</v>
      </c>
      <c r="G10" s="189">
        <v>231056630.59999999</v>
      </c>
      <c r="H10" s="189">
        <v>76324261.319999993</v>
      </c>
      <c r="I10" s="189">
        <v>229813596.06</v>
      </c>
      <c r="J10" s="189">
        <v>236500789.87</v>
      </c>
      <c r="K10" s="189">
        <v>153580479.58000001</v>
      </c>
      <c r="L10" s="189">
        <v>87594187.140000001</v>
      </c>
      <c r="M10" s="189">
        <v>305289776.88</v>
      </c>
      <c r="N10" s="189">
        <v>208898114.16999999</v>
      </c>
      <c r="O10" s="189">
        <v>152736730.43000001</v>
      </c>
      <c r="P10" s="189">
        <v>68825855.439999998</v>
      </c>
      <c r="Q10" s="189">
        <v>262650094.61000001</v>
      </c>
      <c r="R10" s="189">
        <v>143912964.58000001</v>
      </c>
      <c r="S10" s="189">
        <v>94642853.469999999</v>
      </c>
      <c r="T10" s="189">
        <v>30145550.649999999</v>
      </c>
      <c r="U10" s="189">
        <v>133722059.95999999</v>
      </c>
      <c r="V10" s="189">
        <v>97773104.069999993</v>
      </c>
      <c r="W10" s="189">
        <v>63140882.789999999</v>
      </c>
      <c r="X10" s="189">
        <v>17104108.02</v>
      </c>
      <c r="Y10" s="189">
        <v>52919257.280000001</v>
      </c>
      <c r="Z10" s="189">
        <v>38012843.600000001</v>
      </c>
      <c r="AA10" s="189">
        <v>23370073.039999999</v>
      </c>
      <c r="AB10" s="189">
        <v>12727378.140000001</v>
      </c>
      <c r="AC10" s="189">
        <v>34595787.93</v>
      </c>
      <c r="AD10" s="189">
        <v>21776995.609999999</v>
      </c>
      <c r="AE10" s="189">
        <v>8930777.0399999991</v>
      </c>
      <c r="AF10" s="189">
        <v>2850644.46</v>
      </c>
      <c r="AG10" s="189">
        <v>12762602.109999999</v>
      </c>
      <c r="AH10" s="189">
        <v>11077784.699999999</v>
      </c>
      <c r="AI10" s="189">
        <v>7696253.5</v>
      </c>
      <c r="AJ10" s="189">
        <v>3670717.24</v>
      </c>
      <c r="AK10" s="189">
        <v>11904496.16</v>
      </c>
      <c r="AL10" s="189">
        <v>6969018.46</v>
      </c>
      <c r="AM10" s="189">
        <v>4712470.96</v>
      </c>
      <c r="AN10" s="189">
        <v>9630938.2699999996</v>
      </c>
      <c r="AO10" s="189">
        <v>7605214.8700000001</v>
      </c>
      <c r="AP10" s="189">
        <v>0</v>
      </c>
    </row>
    <row r="11" spans="1:42">
      <c r="A11" s="189" t="s">
        <v>198</v>
      </c>
      <c r="B11" s="189">
        <v>179401749.36000001</v>
      </c>
      <c r="C11" s="189">
        <v>135041694.75</v>
      </c>
      <c r="D11" s="189">
        <v>15705715.609999999</v>
      </c>
      <c r="E11" s="189">
        <v>29956438.440000001</v>
      </c>
      <c r="F11" s="189">
        <v>6312006.3799999999</v>
      </c>
      <c r="G11" s="189">
        <v>-25400189.350000001</v>
      </c>
      <c r="H11" s="189">
        <v>-21615838.510000002</v>
      </c>
      <c r="I11" s="189">
        <v>164488091.91</v>
      </c>
      <c r="J11" s="189">
        <v>76984314.400000006</v>
      </c>
      <c r="K11" s="189">
        <v>48314025.810000002</v>
      </c>
      <c r="L11" s="189">
        <v>6454043.5800000001</v>
      </c>
      <c r="M11" s="189">
        <v>71429859.040000007</v>
      </c>
      <c r="N11" s="189">
        <v>54920771.630000003</v>
      </c>
      <c r="O11" s="189">
        <v>9965352.8900000006</v>
      </c>
      <c r="P11" s="189">
        <v>12076604.41</v>
      </c>
      <c r="Q11" s="189">
        <v>78913357.269999996</v>
      </c>
      <c r="R11" s="189">
        <v>54490741.600000001</v>
      </c>
      <c r="S11" s="189">
        <v>28900364</v>
      </c>
      <c r="T11" s="189">
        <v>29422083.18</v>
      </c>
      <c r="U11" s="189">
        <v>8659917.5299999993</v>
      </c>
      <c r="V11" s="189">
        <v>7328970.8700000001</v>
      </c>
      <c r="W11" s="189">
        <v>1006110.68</v>
      </c>
      <c r="X11" s="189">
        <v>-592788.94999999995</v>
      </c>
      <c r="Y11" s="189">
        <v>10385228.449999999</v>
      </c>
      <c r="Z11" s="189">
        <v>7139853.0599999996</v>
      </c>
      <c r="AA11" s="189">
        <v>6491154.3899999997</v>
      </c>
      <c r="AB11" s="189">
        <v>3048868.9</v>
      </c>
      <c r="AC11" s="189">
        <v>4212918.57</v>
      </c>
      <c r="AD11" s="189">
        <v>2871057.36</v>
      </c>
      <c r="AE11" s="189">
        <v>2062712.44</v>
      </c>
      <c r="AF11" s="189">
        <v>986267</v>
      </c>
      <c r="AG11" s="189">
        <v>715772.4</v>
      </c>
      <c r="AH11" s="189">
        <v>1531750.61</v>
      </c>
      <c r="AI11" s="189">
        <v>814137.39</v>
      </c>
      <c r="AJ11" s="189">
        <v>355736.02</v>
      </c>
      <c r="AK11" s="189">
        <v>994588.04</v>
      </c>
      <c r="AL11" s="189">
        <v>1834306.35</v>
      </c>
      <c r="AM11" s="189">
        <v>880368.15</v>
      </c>
      <c r="AN11" s="189">
        <v>372501.82</v>
      </c>
      <c r="AO11" s="189">
        <v>-699916.22</v>
      </c>
      <c r="AP11" s="189">
        <v>0</v>
      </c>
    </row>
    <row r="12" spans="1:42">
      <c r="A12" s="189" t="s">
        <v>199</v>
      </c>
      <c r="B12" s="189">
        <v>0</v>
      </c>
      <c r="C12" s="189">
        <v>0</v>
      </c>
      <c r="D12" s="189">
        <v>0</v>
      </c>
      <c r="E12" s="189">
        <v>850000</v>
      </c>
      <c r="F12" s="189">
        <v>0</v>
      </c>
      <c r="G12" s="189">
        <v>-1929010.4</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row>
    <row r="13" spans="1:42">
      <c r="A13" s="189" t="s">
        <v>200</v>
      </c>
      <c r="B13" s="189">
        <v>38041531.390000001</v>
      </c>
      <c r="C13" s="189">
        <v>19079377.280000001</v>
      </c>
      <c r="D13" s="189">
        <v>10965644.359999999</v>
      </c>
      <c r="E13" s="189">
        <v>51846083.219999999</v>
      </c>
      <c r="F13" s="189">
        <v>24930067.219999999</v>
      </c>
      <c r="G13" s="189">
        <v>4853414.16</v>
      </c>
      <c r="H13" s="189">
        <v>0</v>
      </c>
      <c r="I13" s="189">
        <v>25282857.18</v>
      </c>
      <c r="J13" s="189">
        <v>31851449.920000002</v>
      </c>
      <c r="K13" s="189">
        <v>35155460.740000002</v>
      </c>
      <c r="L13" s="189">
        <v>0</v>
      </c>
      <c r="M13" s="189">
        <v>-1837323.69</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row>
    <row r="14" spans="1:42">
      <c r="A14" s="189" t="s">
        <v>201</v>
      </c>
      <c r="B14" s="189">
        <v>-2413623.19</v>
      </c>
      <c r="C14" s="189">
        <v>-693464.34</v>
      </c>
      <c r="D14" s="189">
        <v>0</v>
      </c>
      <c r="E14" s="189">
        <v>-5944394.0599999996</v>
      </c>
      <c r="F14" s="189">
        <v>-10877235.699999999</v>
      </c>
      <c r="G14" s="189">
        <v>-5944394.0599999996</v>
      </c>
      <c r="H14" s="189">
        <v>0</v>
      </c>
      <c r="I14" s="189">
        <v>-10652412.439999999</v>
      </c>
      <c r="J14" s="189">
        <v>-7120831.5199999996</v>
      </c>
      <c r="K14" s="189">
        <v>-3786805.91</v>
      </c>
      <c r="L14" s="189">
        <v>0</v>
      </c>
      <c r="M14" s="189">
        <v>-1871822.56</v>
      </c>
      <c r="N14" s="189">
        <v>0</v>
      </c>
      <c r="O14" s="189">
        <v>0</v>
      </c>
      <c r="P14" s="189">
        <v>0</v>
      </c>
      <c r="Q14" s="189">
        <v>0</v>
      </c>
      <c r="R14" s="189">
        <v>0</v>
      </c>
      <c r="S14" s="189">
        <v>0</v>
      </c>
      <c r="T14" s="189">
        <v>0</v>
      </c>
      <c r="U14" s="189">
        <v>0</v>
      </c>
      <c r="V14" s="189">
        <v>0</v>
      </c>
      <c r="W14" s="189">
        <v>0</v>
      </c>
      <c r="X14" s="189">
        <v>0</v>
      </c>
      <c r="Y14" s="189">
        <v>0</v>
      </c>
      <c r="Z14" s="189">
        <v>0</v>
      </c>
      <c r="AA14" s="189">
        <v>0</v>
      </c>
      <c r="AB14" s="189">
        <v>0</v>
      </c>
      <c r="AC14" s="189">
        <v>0</v>
      </c>
      <c r="AD14" s="189">
        <v>0</v>
      </c>
      <c r="AE14" s="189">
        <v>0</v>
      </c>
      <c r="AF14" s="189">
        <v>0</v>
      </c>
      <c r="AG14" s="189">
        <v>0</v>
      </c>
      <c r="AH14" s="189">
        <v>0</v>
      </c>
      <c r="AI14" s="189">
        <v>0</v>
      </c>
      <c r="AJ14" s="189">
        <v>0</v>
      </c>
      <c r="AK14" s="189">
        <v>0</v>
      </c>
      <c r="AL14" s="189">
        <v>0</v>
      </c>
      <c r="AM14" s="189">
        <v>0</v>
      </c>
      <c r="AN14" s="189">
        <v>0</v>
      </c>
      <c r="AO14" s="189">
        <v>0</v>
      </c>
      <c r="AP14" s="189">
        <v>0</v>
      </c>
    </row>
    <row r="15" spans="1:42">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row>
    <row r="16" spans="1:42">
      <c r="A16" s="189" t="s">
        <v>203</v>
      </c>
      <c r="B16" s="189">
        <v>2585845810.4400001</v>
      </c>
      <c r="C16" s="189">
        <v>1776982891</v>
      </c>
      <c r="D16" s="189">
        <v>857283441.45000005</v>
      </c>
      <c r="E16" s="189">
        <v>2892951007.8800001</v>
      </c>
      <c r="F16" s="189">
        <v>2259036623.8899999</v>
      </c>
      <c r="G16" s="189">
        <v>1517961974.79</v>
      </c>
      <c r="H16" s="189">
        <v>667886181.84000003</v>
      </c>
      <c r="I16" s="189">
        <v>2267479200.0599999</v>
      </c>
      <c r="J16" s="189">
        <v>1646521228.8699999</v>
      </c>
      <c r="K16" s="189">
        <v>1065450302.73</v>
      </c>
      <c r="L16" s="189">
        <v>476587123.88999999</v>
      </c>
      <c r="M16" s="189">
        <v>1635829228.95</v>
      </c>
      <c r="N16" s="189">
        <v>1212656515.49</v>
      </c>
      <c r="O16" s="189">
        <v>779350513.83000004</v>
      </c>
      <c r="P16" s="189">
        <v>342850400.22000003</v>
      </c>
      <c r="Q16" s="189">
        <v>1174515358.01</v>
      </c>
      <c r="R16" s="189">
        <v>820592280.71000004</v>
      </c>
      <c r="S16" s="189">
        <v>529477270.93000001</v>
      </c>
      <c r="T16" s="189">
        <v>259569596.97999999</v>
      </c>
      <c r="U16" s="189">
        <v>729448788.63</v>
      </c>
      <c r="V16" s="189">
        <v>540286002.00999999</v>
      </c>
      <c r="W16" s="189">
        <v>341276280.43000001</v>
      </c>
      <c r="X16" s="189">
        <v>154309874.02000001</v>
      </c>
      <c r="Y16" s="189">
        <v>489114147.02999997</v>
      </c>
      <c r="Z16" s="189">
        <v>346619573.18000001</v>
      </c>
      <c r="AA16" s="189">
        <v>213096827.94</v>
      </c>
      <c r="AB16" s="189">
        <v>61728907.780000001</v>
      </c>
      <c r="AC16" s="189">
        <v>164222212.74000001</v>
      </c>
      <c r="AD16" s="189">
        <v>129166237.88</v>
      </c>
      <c r="AE16" s="189">
        <v>72623975.890000001</v>
      </c>
      <c r="AF16" s="189">
        <v>19328889.309999999</v>
      </c>
      <c r="AG16" s="189">
        <v>78457463.400000006</v>
      </c>
      <c r="AH16" s="189">
        <v>66291614.140000001</v>
      </c>
      <c r="AI16" s="189">
        <v>36634579.539999999</v>
      </c>
      <c r="AJ16" s="189">
        <v>11021082.880000001</v>
      </c>
      <c r="AK16" s="189">
        <v>51631079.149999999</v>
      </c>
      <c r="AL16" s="189">
        <v>27905944.890000001</v>
      </c>
      <c r="AM16" s="189">
        <v>14700612.1</v>
      </c>
      <c r="AN16" s="189">
        <v>32824586.670000002</v>
      </c>
      <c r="AO16" s="189">
        <v>18488356.010000002</v>
      </c>
      <c r="AP16" s="189">
        <v>0</v>
      </c>
    </row>
    <row r="17" spans="1:42">
      <c r="A17" s="189" t="s">
        <v>204</v>
      </c>
      <c r="B17" s="189">
        <v>9518568.6699999999</v>
      </c>
      <c r="C17" s="189">
        <v>6382057.3200000003</v>
      </c>
      <c r="D17" s="189">
        <v>354137.61</v>
      </c>
      <c r="E17" s="189">
        <v>21510185.379999999</v>
      </c>
      <c r="F17" s="189">
        <v>19825786.989999998</v>
      </c>
      <c r="G17" s="189">
        <v>4774580.49</v>
      </c>
      <c r="H17" s="189">
        <v>5813969.1799999997</v>
      </c>
      <c r="I17" s="189">
        <v>37095809.289999999</v>
      </c>
      <c r="J17" s="189">
        <v>25344097.960000001</v>
      </c>
      <c r="K17" s="189">
        <v>2919367.04</v>
      </c>
      <c r="L17" s="189">
        <v>815712.73</v>
      </c>
      <c r="M17" s="189">
        <v>12528656.32</v>
      </c>
      <c r="N17" s="189">
        <v>6910580.9400000004</v>
      </c>
      <c r="O17" s="189">
        <v>3972604.43</v>
      </c>
      <c r="P17" s="189">
        <v>818631.97</v>
      </c>
      <c r="Q17" s="189">
        <v>15735626.609999999</v>
      </c>
      <c r="R17" s="189">
        <v>10189115.41</v>
      </c>
      <c r="S17" s="189">
        <v>9649964.7300000004</v>
      </c>
      <c r="T17" s="189">
        <v>3038872.15</v>
      </c>
      <c r="U17" s="189">
        <v>10072419.789999999</v>
      </c>
      <c r="V17" s="189">
        <v>7719595.21</v>
      </c>
      <c r="W17" s="189">
        <v>1108570.54</v>
      </c>
      <c r="X17" s="189">
        <v>373872.67</v>
      </c>
      <c r="Y17" s="189">
        <v>13764390.75</v>
      </c>
      <c r="Z17" s="189">
        <v>9558163.1899999995</v>
      </c>
      <c r="AA17" s="189">
        <v>327985.52</v>
      </c>
      <c r="AB17" s="189">
        <v>143497.67000000001</v>
      </c>
      <c r="AC17" s="189">
        <v>3364117.87</v>
      </c>
      <c r="AD17" s="189">
        <v>829812.38</v>
      </c>
      <c r="AE17" s="189">
        <v>774325.87</v>
      </c>
      <c r="AF17" s="189">
        <v>486158.66</v>
      </c>
      <c r="AG17" s="189">
        <v>4308996.8899999997</v>
      </c>
      <c r="AH17" s="189">
        <v>980568.92</v>
      </c>
      <c r="AI17" s="189">
        <v>224071.25</v>
      </c>
      <c r="AJ17" s="189">
        <v>120346.69</v>
      </c>
      <c r="AK17" s="189">
        <v>2830033.33</v>
      </c>
      <c r="AL17" s="189">
        <v>232355</v>
      </c>
      <c r="AM17" s="189">
        <v>0</v>
      </c>
      <c r="AN17" s="189">
        <v>1337819.57</v>
      </c>
      <c r="AO17" s="189">
        <v>156115</v>
      </c>
      <c r="AP17" s="189">
        <v>0</v>
      </c>
    </row>
    <row r="18" spans="1:42">
      <c r="A18" s="189" t="s">
        <v>205</v>
      </c>
      <c r="B18" s="189">
        <v>1932709.28</v>
      </c>
      <c r="C18" s="189">
        <v>386333.75</v>
      </c>
      <c r="D18" s="189">
        <v>252190.55</v>
      </c>
      <c r="E18" s="189">
        <v>2063740.74</v>
      </c>
      <c r="F18" s="189">
        <v>701457.82</v>
      </c>
      <c r="G18" s="189">
        <v>517880.12</v>
      </c>
      <c r="H18" s="189">
        <v>18443.05</v>
      </c>
      <c r="I18" s="189">
        <v>2272851.84</v>
      </c>
      <c r="J18" s="189">
        <v>3601431.81</v>
      </c>
      <c r="K18" s="189">
        <v>102547.84</v>
      </c>
      <c r="L18" s="189">
        <v>48649.61</v>
      </c>
      <c r="M18" s="189">
        <v>1963680.85</v>
      </c>
      <c r="N18" s="189">
        <v>97398.8</v>
      </c>
      <c r="O18" s="189">
        <v>62739.82</v>
      </c>
      <c r="P18" s="189">
        <v>28603.79</v>
      </c>
      <c r="Q18" s="189">
        <v>2855510.94</v>
      </c>
      <c r="R18" s="189">
        <v>267679.88</v>
      </c>
      <c r="S18" s="189">
        <v>62176.18</v>
      </c>
      <c r="T18" s="189">
        <v>28979.95</v>
      </c>
      <c r="U18" s="189">
        <v>175498.31</v>
      </c>
      <c r="V18" s="189">
        <v>171815.9</v>
      </c>
      <c r="W18" s="189">
        <v>130000</v>
      </c>
      <c r="X18" s="189">
        <v>170000</v>
      </c>
      <c r="Y18" s="189">
        <v>1715346.58</v>
      </c>
      <c r="Z18" s="189">
        <v>459615.39</v>
      </c>
      <c r="AA18" s="189">
        <v>330000</v>
      </c>
      <c r="AB18" s="189">
        <v>0</v>
      </c>
      <c r="AC18" s="189">
        <v>284725.5</v>
      </c>
      <c r="AD18" s="189">
        <v>233927.98</v>
      </c>
      <c r="AE18" s="189">
        <v>180000</v>
      </c>
      <c r="AF18" s="189">
        <v>0</v>
      </c>
      <c r="AG18" s="189">
        <v>0</v>
      </c>
      <c r="AH18" s="189">
        <v>0</v>
      </c>
      <c r="AI18" s="189">
        <v>0</v>
      </c>
      <c r="AJ18" s="189">
        <v>0</v>
      </c>
      <c r="AK18" s="189">
        <v>19503.86</v>
      </c>
      <c r="AL18" s="189">
        <v>17000.86</v>
      </c>
      <c r="AM18" s="189">
        <v>17000.86</v>
      </c>
      <c r="AN18" s="189">
        <v>22579.8</v>
      </c>
      <c r="AO18" s="189">
        <v>11272.84</v>
      </c>
      <c r="AP18" s="189">
        <v>0</v>
      </c>
    </row>
    <row r="19" spans="1:42">
      <c r="A19" s="189" t="s">
        <v>206</v>
      </c>
      <c r="B19" s="189">
        <v>0</v>
      </c>
      <c r="C19" s="189">
        <v>0</v>
      </c>
      <c r="D19" s="189">
        <v>0</v>
      </c>
      <c r="E19" s="189">
        <v>0</v>
      </c>
      <c r="F19" s="189">
        <v>182251.56</v>
      </c>
      <c r="G19" s="189">
        <v>199013.61</v>
      </c>
      <c r="H19" s="189">
        <v>10315.219999999999</v>
      </c>
      <c r="I19" s="189">
        <v>647707.86</v>
      </c>
      <c r="J19" s="189">
        <v>175087.32</v>
      </c>
      <c r="K19" s="189">
        <v>375.95</v>
      </c>
      <c r="L19" s="189">
        <v>0</v>
      </c>
      <c r="M19" s="189">
        <v>112541.84</v>
      </c>
      <c r="N19" s="189">
        <v>37302.720000000001</v>
      </c>
      <c r="O19" s="189">
        <v>37302.720000000001</v>
      </c>
      <c r="P19" s="189">
        <v>0</v>
      </c>
      <c r="Q19" s="189">
        <v>2700504.9</v>
      </c>
      <c r="R19" s="189">
        <v>0</v>
      </c>
      <c r="S19" s="189">
        <v>28979.95</v>
      </c>
      <c r="T19" s="189">
        <v>0</v>
      </c>
      <c r="U19" s="189">
        <v>33325.85</v>
      </c>
      <c r="V19" s="189">
        <v>0</v>
      </c>
      <c r="W19" s="189">
        <v>0</v>
      </c>
      <c r="X19" s="189">
        <v>0</v>
      </c>
      <c r="Y19" s="189">
        <v>1065346.58</v>
      </c>
      <c r="Z19" s="189">
        <v>0</v>
      </c>
      <c r="AA19" s="189">
        <v>0</v>
      </c>
      <c r="AB19" s="189">
        <v>0</v>
      </c>
      <c r="AC19" s="189">
        <v>104725.5</v>
      </c>
      <c r="AD19" s="189">
        <v>0</v>
      </c>
      <c r="AE19" s="189">
        <v>0</v>
      </c>
      <c r="AF19" s="189">
        <v>0</v>
      </c>
      <c r="AG19" s="189">
        <v>0</v>
      </c>
      <c r="AH19" s="189">
        <v>0</v>
      </c>
      <c r="AI19" s="189">
        <v>0</v>
      </c>
      <c r="AJ19" s="189">
        <v>0</v>
      </c>
      <c r="AK19" s="189">
        <v>0</v>
      </c>
      <c r="AL19" s="189">
        <v>0</v>
      </c>
      <c r="AM19" s="189">
        <v>0</v>
      </c>
      <c r="AN19" s="189">
        <v>0</v>
      </c>
      <c r="AO19" s="189">
        <v>0</v>
      </c>
      <c r="AP19" s="189">
        <v>0</v>
      </c>
    </row>
    <row r="20" spans="1:42">
      <c r="A20" s="189" t="s">
        <v>207</v>
      </c>
      <c r="B20" s="189">
        <v>2593431669.8299999</v>
      </c>
      <c r="C20" s="189">
        <v>1782978614.5699999</v>
      </c>
      <c r="D20" s="189">
        <v>857385388.50999999</v>
      </c>
      <c r="E20" s="189">
        <v>2912397452.52</v>
      </c>
      <c r="F20" s="189">
        <v>2278160953.0599999</v>
      </c>
      <c r="G20" s="189">
        <v>1522218675.1600001</v>
      </c>
      <c r="H20" s="189">
        <v>673681707.97000003</v>
      </c>
      <c r="I20" s="189">
        <v>2302302157.5100002</v>
      </c>
      <c r="J20" s="189">
        <v>1668263895.02</v>
      </c>
      <c r="K20" s="189">
        <v>1068267121.9299999</v>
      </c>
      <c r="L20" s="189">
        <v>477354187.00999999</v>
      </c>
      <c r="M20" s="189">
        <v>1646394204.4200001</v>
      </c>
      <c r="N20" s="189">
        <v>1219469697.6300001</v>
      </c>
      <c r="O20" s="189">
        <v>783260378.44000006</v>
      </c>
      <c r="P20" s="189">
        <v>343640428.39999998</v>
      </c>
      <c r="Q20" s="189">
        <v>1187395473.6800001</v>
      </c>
      <c r="R20" s="189">
        <v>830513716.24000001</v>
      </c>
      <c r="S20" s="189">
        <v>539065059.48000002</v>
      </c>
      <c r="T20" s="189">
        <v>262579489.18000001</v>
      </c>
      <c r="U20" s="189">
        <v>739345710.11000001</v>
      </c>
      <c r="V20" s="189">
        <v>547833781.32000005</v>
      </c>
      <c r="W20" s="189">
        <v>342254850.97000003</v>
      </c>
      <c r="X20" s="189">
        <v>154513746.69</v>
      </c>
      <c r="Y20" s="189">
        <v>501163191.19999999</v>
      </c>
      <c r="Z20" s="189">
        <v>355718120.98000002</v>
      </c>
      <c r="AA20" s="189">
        <v>213094813.46000001</v>
      </c>
      <c r="AB20" s="189">
        <v>61872405.450000003</v>
      </c>
      <c r="AC20" s="189">
        <v>167301605.11000001</v>
      </c>
      <c r="AD20" s="189">
        <v>129762122.28</v>
      </c>
      <c r="AE20" s="189">
        <v>73218301.760000005</v>
      </c>
      <c r="AF20" s="189">
        <v>19815047.969999999</v>
      </c>
      <c r="AG20" s="189">
        <v>82766460.290000007</v>
      </c>
      <c r="AH20" s="189">
        <v>67272183.060000002</v>
      </c>
      <c r="AI20" s="189">
        <v>36858650.789999999</v>
      </c>
      <c r="AJ20" s="189">
        <v>11141429.57</v>
      </c>
      <c r="AK20" s="189">
        <v>54441608.619999997</v>
      </c>
      <c r="AL20" s="189">
        <v>28121299.030000001</v>
      </c>
      <c r="AM20" s="189">
        <v>14683611.24</v>
      </c>
      <c r="AN20" s="189">
        <v>34139826.439999998</v>
      </c>
      <c r="AO20" s="189">
        <v>18633198.170000002</v>
      </c>
      <c r="AP20" s="189">
        <v>0</v>
      </c>
    </row>
    <row r="21" spans="1:42">
      <c r="A21" s="189" t="s">
        <v>208</v>
      </c>
      <c r="B21" s="189">
        <v>388971925.72000003</v>
      </c>
      <c r="C21" s="189">
        <v>267785948.31</v>
      </c>
      <c r="D21" s="189">
        <v>140953594.31999999</v>
      </c>
      <c r="E21" s="189">
        <v>436557804.51999998</v>
      </c>
      <c r="F21" s="189">
        <v>397308825.33999997</v>
      </c>
      <c r="G21" s="189">
        <v>266681483.44999999</v>
      </c>
      <c r="H21" s="189">
        <v>132101872.09</v>
      </c>
      <c r="I21" s="189">
        <v>337258654.33999997</v>
      </c>
      <c r="J21" s="189">
        <v>253195314.88</v>
      </c>
      <c r="K21" s="189">
        <v>170463492.16999999</v>
      </c>
      <c r="L21" s="189">
        <v>78589737.329999998</v>
      </c>
      <c r="M21" s="189">
        <v>241469848.91</v>
      </c>
      <c r="N21" s="189">
        <v>196428960.11000001</v>
      </c>
      <c r="O21" s="189">
        <v>127191070.41</v>
      </c>
      <c r="P21" s="189">
        <v>52653912.189999998</v>
      </c>
      <c r="Q21" s="189">
        <v>187179197.56999999</v>
      </c>
      <c r="R21" s="189">
        <v>128997189.98</v>
      </c>
      <c r="S21" s="189">
        <v>88069143.909999996</v>
      </c>
      <c r="T21" s="189">
        <v>54399730.939999998</v>
      </c>
      <c r="U21" s="189">
        <v>79758981.980000004</v>
      </c>
      <c r="V21" s="189">
        <v>80531058.989999995</v>
      </c>
      <c r="W21" s="189">
        <v>53912872.799999997</v>
      </c>
      <c r="X21" s="189">
        <v>25230523.050000001</v>
      </c>
      <c r="Y21" s="189">
        <v>77665083.510000005</v>
      </c>
      <c r="Z21" s="189">
        <v>56107985.990000002</v>
      </c>
      <c r="AA21" s="189">
        <v>33458593.02</v>
      </c>
      <c r="AB21" s="189">
        <v>18001250.899999999</v>
      </c>
      <c r="AC21" s="189">
        <v>36722806.740000002</v>
      </c>
      <c r="AD21" s="189">
        <v>25136541.91</v>
      </c>
      <c r="AE21" s="189">
        <v>14039343.66</v>
      </c>
      <c r="AF21" s="189">
        <v>3872272.99</v>
      </c>
      <c r="AG21" s="189">
        <v>12674008.74</v>
      </c>
      <c r="AH21" s="189">
        <v>9877790.5099999998</v>
      </c>
      <c r="AI21" s="189">
        <v>5706890.0700000003</v>
      </c>
      <c r="AJ21" s="189">
        <v>1710576.21</v>
      </c>
      <c r="AK21" s="189">
        <v>8179057.5899999999</v>
      </c>
      <c r="AL21" s="189">
        <v>4224970.93</v>
      </c>
      <c r="AM21" s="189">
        <v>2242792.4300000002</v>
      </c>
      <c r="AN21" s="189">
        <v>5244660.28</v>
      </c>
      <c r="AO21" s="189">
        <v>1518619.71</v>
      </c>
      <c r="AP21" s="189">
        <v>0</v>
      </c>
    </row>
    <row r="22" spans="1:42">
      <c r="A22" s="189" t="s">
        <v>209</v>
      </c>
      <c r="B22" s="189">
        <v>2204459744.1100001</v>
      </c>
      <c r="C22" s="189">
        <v>1515192666.26</v>
      </c>
      <c r="D22" s="189">
        <v>716431794.19000006</v>
      </c>
      <c r="E22" s="189">
        <v>2475839648</v>
      </c>
      <c r="F22" s="189">
        <v>1880852127.72</v>
      </c>
      <c r="G22" s="189">
        <v>1255537191.71</v>
      </c>
      <c r="H22" s="189">
        <v>541579835.88</v>
      </c>
      <c r="I22" s="189">
        <v>1965043503.1700001</v>
      </c>
      <c r="J22" s="189">
        <v>1415068580.1400001</v>
      </c>
      <c r="K22" s="189">
        <v>897803629.75999999</v>
      </c>
      <c r="L22" s="189">
        <v>398764449.68000001</v>
      </c>
      <c r="M22" s="189">
        <v>1404924355.51</v>
      </c>
      <c r="N22" s="189">
        <v>1023040737.52</v>
      </c>
      <c r="O22" s="189">
        <v>656069308.02999997</v>
      </c>
      <c r="P22" s="189">
        <v>290986516.20999998</v>
      </c>
      <c r="Q22" s="189">
        <v>1000216276.11</v>
      </c>
      <c r="R22" s="189">
        <v>701516526.25999999</v>
      </c>
      <c r="S22" s="189">
        <v>450995915.56999999</v>
      </c>
      <c r="T22" s="189">
        <v>208179758.24000001</v>
      </c>
      <c r="U22" s="189">
        <v>659586728.13</v>
      </c>
      <c r="V22" s="189">
        <v>467302722.32999998</v>
      </c>
      <c r="W22" s="189">
        <v>288341978.17000002</v>
      </c>
      <c r="X22" s="189">
        <v>129283223.64</v>
      </c>
      <c r="Y22" s="189">
        <v>423498107.69</v>
      </c>
      <c r="Z22" s="189">
        <v>299610134.99000001</v>
      </c>
      <c r="AA22" s="189">
        <v>179636220.44</v>
      </c>
      <c r="AB22" s="189">
        <v>43871154.549999997</v>
      </c>
      <c r="AC22" s="189">
        <v>130578798.37</v>
      </c>
      <c r="AD22" s="189">
        <v>104625580.37</v>
      </c>
      <c r="AE22" s="189">
        <v>59178958.100000001</v>
      </c>
      <c r="AF22" s="189">
        <v>15942774.98</v>
      </c>
      <c r="AG22" s="189">
        <v>70092451.549999997</v>
      </c>
      <c r="AH22" s="189">
        <v>57394392.549999997</v>
      </c>
      <c r="AI22" s="189">
        <v>31151760.719999999</v>
      </c>
      <c r="AJ22" s="189">
        <v>9430853.3599999994</v>
      </c>
      <c r="AK22" s="189">
        <v>46262551.030000001</v>
      </c>
      <c r="AL22" s="189">
        <v>23896328.100000001</v>
      </c>
      <c r="AM22" s="189">
        <v>12440818.810000001</v>
      </c>
      <c r="AN22" s="189">
        <v>28895166.16</v>
      </c>
      <c r="AO22" s="189">
        <v>17114578.460000001</v>
      </c>
      <c r="AP22" s="189">
        <v>0</v>
      </c>
    </row>
    <row r="23" spans="1:42">
      <c r="A23" s="189" t="s">
        <v>210</v>
      </c>
      <c r="B23" s="189">
        <v>2201435969.4099998</v>
      </c>
      <c r="C23" s="189">
        <v>1513243292.26</v>
      </c>
      <c r="D23" s="189">
        <v>715283464.63999999</v>
      </c>
      <c r="E23" s="189">
        <v>2474381792.1399999</v>
      </c>
      <c r="F23" s="189">
        <v>1879365439.3199999</v>
      </c>
      <c r="G23" s="189">
        <v>1254941609.21</v>
      </c>
      <c r="H23" s="189">
        <v>541490533.30999994</v>
      </c>
      <c r="I23" s="189">
        <v>1962907989.0899999</v>
      </c>
      <c r="J23" s="189">
        <v>1414502682.8099999</v>
      </c>
      <c r="K23" s="189">
        <v>898097312.29999995</v>
      </c>
      <c r="L23" s="189">
        <v>399036265.43000001</v>
      </c>
      <c r="M23" s="189">
        <v>1409457254.5999999</v>
      </c>
      <c r="N23" s="189">
        <v>1026962017.54</v>
      </c>
      <c r="O23" s="189">
        <v>659125037.37</v>
      </c>
      <c r="P23" s="189">
        <v>293088866.83999997</v>
      </c>
      <c r="Q23" s="189">
        <v>1002781183.88</v>
      </c>
      <c r="R23" s="189">
        <v>704059298.29999995</v>
      </c>
      <c r="S23" s="189">
        <v>453134714</v>
      </c>
      <c r="T23" s="189">
        <v>208988465.97</v>
      </c>
      <c r="U23" s="189">
        <v>658620360</v>
      </c>
      <c r="V23" s="189">
        <v>468404699.08999997</v>
      </c>
      <c r="W23" s="189">
        <v>288586088.29000002</v>
      </c>
      <c r="X23" s="189">
        <v>129240746.19</v>
      </c>
      <c r="Y23" s="189">
        <v>423012609.08999997</v>
      </c>
      <c r="Z23" s="189">
        <v>300094828.01999998</v>
      </c>
      <c r="AA23" s="189">
        <v>180067149.88999999</v>
      </c>
      <c r="AB23" s="189">
        <v>44530805.82</v>
      </c>
      <c r="AC23" s="189">
        <v>130766718.48</v>
      </c>
      <c r="AD23" s="189">
        <v>103655993.65000001</v>
      </c>
      <c r="AE23" s="189">
        <v>59178958.100000001</v>
      </c>
      <c r="AF23" s="189">
        <v>15942774.98</v>
      </c>
      <c r="AG23" s="189">
        <v>70092451.549999997</v>
      </c>
      <c r="AH23" s="189">
        <v>57394392.549999997</v>
      </c>
      <c r="AI23" s="189">
        <v>31151760.719999999</v>
      </c>
      <c r="AJ23" s="189">
        <v>9430853.3599999994</v>
      </c>
      <c r="AK23" s="189">
        <v>46262551.030000001</v>
      </c>
      <c r="AL23" s="189">
        <v>23896328.100000001</v>
      </c>
      <c r="AM23" s="189">
        <v>12440818.810000001</v>
      </c>
      <c r="AN23" s="189">
        <v>28895166.16</v>
      </c>
      <c r="AO23" s="189">
        <v>17114578.460000001</v>
      </c>
      <c r="AP23" s="189">
        <v>0</v>
      </c>
    </row>
    <row r="24" spans="1:42">
      <c r="A24" s="189" t="s">
        <v>211</v>
      </c>
      <c r="B24" s="189">
        <v>3023774.7</v>
      </c>
      <c r="C24" s="189">
        <v>1949374</v>
      </c>
      <c r="D24" s="189">
        <v>1148329.55</v>
      </c>
      <c r="E24" s="189">
        <v>1457855.86</v>
      </c>
      <c r="F24" s="189">
        <v>1486688.4</v>
      </c>
      <c r="G24" s="189">
        <v>595582.5</v>
      </c>
      <c r="H24" s="189">
        <v>89302.57</v>
      </c>
      <c r="I24" s="189">
        <v>2135514.08</v>
      </c>
      <c r="J24" s="189">
        <v>565897.32999999996</v>
      </c>
      <c r="K24" s="189">
        <v>-293682.53999999998</v>
      </c>
      <c r="L24" s="189">
        <v>-271815.75</v>
      </c>
      <c r="M24" s="189">
        <v>-4532899.09</v>
      </c>
      <c r="N24" s="189">
        <v>-3921280.02</v>
      </c>
      <c r="O24" s="189">
        <v>-3055729.34</v>
      </c>
      <c r="P24" s="189">
        <v>-2102350.63</v>
      </c>
      <c r="Q24" s="189">
        <v>-2564907.77</v>
      </c>
      <c r="R24" s="189">
        <v>-2542772.04</v>
      </c>
      <c r="S24" s="189">
        <v>-2138798.4300000002</v>
      </c>
      <c r="T24" s="189">
        <v>-808707.73</v>
      </c>
      <c r="U24" s="189">
        <v>966368.13</v>
      </c>
      <c r="V24" s="189">
        <v>-1101976.76</v>
      </c>
      <c r="W24" s="189">
        <v>-244110.12</v>
      </c>
      <c r="X24" s="189">
        <v>42477.45</v>
      </c>
      <c r="Y24" s="189">
        <v>485498.6</v>
      </c>
      <c r="Z24" s="189">
        <v>-484693.03</v>
      </c>
      <c r="AA24" s="189">
        <v>-430929.45</v>
      </c>
      <c r="AB24" s="189">
        <v>-659651.27</v>
      </c>
      <c r="AC24" s="189">
        <v>-187920.11</v>
      </c>
      <c r="AD24" s="189">
        <v>969586.72</v>
      </c>
      <c r="AE24" s="189">
        <v>0</v>
      </c>
      <c r="AF24" s="189">
        <v>0</v>
      </c>
      <c r="AG24" s="189">
        <v>0</v>
      </c>
      <c r="AH24" s="189">
        <v>0</v>
      </c>
      <c r="AI24" s="189">
        <v>0</v>
      </c>
      <c r="AJ24" s="189">
        <v>0</v>
      </c>
      <c r="AK24" s="189">
        <v>0</v>
      </c>
      <c r="AL24" s="189">
        <v>0</v>
      </c>
      <c r="AM24" s="189">
        <v>0</v>
      </c>
      <c r="AN24" s="189">
        <v>0</v>
      </c>
      <c r="AO24" s="189">
        <v>0</v>
      </c>
      <c r="AP24" s="189">
        <v>0</v>
      </c>
    </row>
    <row r="25" spans="1:42">
      <c r="A25" s="189" t="s">
        <v>212</v>
      </c>
    </row>
    <row r="26" spans="1:42">
      <c r="A26" s="189" t="s">
        <v>213</v>
      </c>
      <c r="B26" s="189">
        <v>0.62</v>
      </c>
      <c r="C26" s="189">
        <v>0.43</v>
      </c>
      <c r="D26" s="189">
        <v>0.2</v>
      </c>
      <c r="E26" s="189">
        <v>0.7</v>
      </c>
      <c r="F26" s="189">
        <v>0.53200000000000003</v>
      </c>
      <c r="G26" s="189">
        <v>0.3553</v>
      </c>
      <c r="H26" s="189">
        <v>0.15340000000000001</v>
      </c>
      <c r="I26" s="189">
        <v>0.6</v>
      </c>
      <c r="J26" s="189">
        <v>0.43930000000000002</v>
      </c>
      <c r="K26" s="189">
        <v>0.27910000000000001</v>
      </c>
      <c r="L26" s="189">
        <v>0.25</v>
      </c>
      <c r="M26" s="189">
        <v>0.98340000000000005</v>
      </c>
      <c r="N26" s="189">
        <v>0.72</v>
      </c>
      <c r="O26" s="189">
        <v>0.46</v>
      </c>
      <c r="P26" s="189">
        <v>0.31</v>
      </c>
      <c r="Q26" s="189">
        <v>1.06</v>
      </c>
      <c r="R26" s="189">
        <v>0.74</v>
      </c>
      <c r="S26" s="189">
        <v>0.48</v>
      </c>
      <c r="T26" s="189">
        <v>0.22</v>
      </c>
      <c r="U26" s="189">
        <v>0.71</v>
      </c>
      <c r="V26" s="189">
        <v>0.49</v>
      </c>
      <c r="W26" s="189">
        <v>0.31</v>
      </c>
      <c r="X26" s="189">
        <v>0.14000000000000001</v>
      </c>
      <c r="Y26" s="189">
        <v>0.73</v>
      </c>
      <c r="Z26" s="189">
        <v>0.5333</v>
      </c>
      <c r="AA26" s="189">
        <v>0.33710000000000001</v>
      </c>
      <c r="AB26" s="189">
        <v>8.6099999999999996E-2</v>
      </c>
      <c r="AC26" s="189">
        <v>0.40460000000000002</v>
      </c>
      <c r="AD26" s="189">
        <v>0.32069999999999999</v>
      </c>
      <c r="AE26" s="189">
        <v>0.18</v>
      </c>
      <c r="AF26" s="189">
        <v>0.1</v>
      </c>
      <c r="AG26" s="189">
        <v>0.50800000000000001</v>
      </c>
      <c r="AH26" s="189">
        <v>0.44</v>
      </c>
      <c r="AI26" s="189">
        <v>0.26</v>
      </c>
      <c r="AJ26" s="189">
        <v>0.08</v>
      </c>
      <c r="AK26" s="189">
        <v>0.39829999999999999</v>
      </c>
      <c r="AL26" s="189">
        <v>0.21</v>
      </c>
      <c r="AM26" s="189">
        <v>0.1</v>
      </c>
      <c r="AN26" s="189">
        <v>0.28610000000000002</v>
      </c>
      <c r="AO26" s="189">
        <v>0.16950000000000001</v>
      </c>
      <c r="AP26" s="189">
        <v>0</v>
      </c>
    </row>
    <row r="27" spans="1:42">
      <c r="A27" s="189" t="s">
        <v>214</v>
      </c>
      <c r="B27" s="189">
        <v>0.62</v>
      </c>
      <c r="C27" s="189">
        <v>0.43</v>
      </c>
      <c r="D27" s="189">
        <v>0.2</v>
      </c>
      <c r="E27" s="189">
        <v>0.7</v>
      </c>
      <c r="F27" s="189">
        <v>0.53159999999999996</v>
      </c>
      <c r="G27" s="189">
        <v>0.35499999999999998</v>
      </c>
      <c r="H27" s="189">
        <v>0.15310000000000001</v>
      </c>
      <c r="I27" s="189">
        <v>0.59</v>
      </c>
      <c r="J27" s="189">
        <v>0.43880000000000002</v>
      </c>
      <c r="K27" s="189">
        <v>0.27839999999999998</v>
      </c>
      <c r="L27" s="189">
        <v>0.25</v>
      </c>
      <c r="M27" s="189">
        <v>0.97870000000000001</v>
      </c>
      <c r="N27" s="189">
        <v>0.71</v>
      </c>
      <c r="O27" s="189">
        <v>0.46</v>
      </c>
      <c r="P27" s="189">
        <v>0.31</v>
      </c>
      <c r="Q27" s="189">
        <v>1.05</v>
      </c>
      <c r="R27" s="189">
        <v>0.74</v>
      </c>
      <c r="S27" s="189">
        <v>0.48</v>
      </c>
      <c r="T27" s="189">
        <v>0.22</v>
      </c>
      <c r="U27" s="189">
        <v>0.7</v>
      </c>
      <c r="V27" s="189">
        <v>0.49</v>
      </c>
      <c r="W27" s="189">
        <v>0.3</v>
      </c>
      <c r="X27" s="189">
        <v>0.14000000000000001</v>
      </c>
      <c r="Y27" s="189">
        <v>0.73</v>
      </c>
      <c r="Z27" s="189">
        <v>0.52700000000000002</v>
      </c>
      <c r="AA27" s="189">
        <v>0.3337</v>
      </c>
      <c r="AB27" s="189">
        <v>8.5900000000000004E-2</v>
      </c>
      <c r="AC27" s="189">
        <v>0.40350000000000003</v>
      </c>
      <c r="AD27" s="189">
        <v>0.32069999999999999</v>
      </c>
      <c r="AE27" s="189">
        <v>0.18</v>
      </c>
      <c r="AF27" s="189">
        <v>0.1</v>
      </c>
      <c r="AG27" s="189">
        <v>0.50800000000000001</v>
      </c>
      <c r="AH27" s="189">
        <v>0.44</v>
      </c>
      <c r="AI27" s="189">
        <v>0.26</v>
      </c>
      <c r="AJ27" s="189">
        <v>0.08</v>
      </c>
      <c r="AK27" s="189">
        <v>0.39829999999999999</v>
      </c>
      <c r="AL27" s="189">
        <v>0.21</v>
      </c>
      <c r="AM27" s="189">
        <v>0.1</v>
      </c>
      <c r="AN27" s="189">
        <v>0.28610000000000002</v>
      </c>
      <c r="AO27" s="189">
        <v>0.16950000000000001</v>
      </c>
      <c r="AP27" s="189">
        <v>0</v>
      </c>
    </row>
    <row r="28" spans="1:42">
      <c r="A28" s="189" t="s">
        <v>215</v>
      </c>
      <c r="B28" s="189">
        <v>25303207.359999999</v>
      </c>
      <c r="C28" s="189">
        <v>11746838.029999999</v>
      </c>
      <c r="D28" s="189">
        <v>12434222.630000001</v>
      </c>
      <c r="E28" s="189">
        <v>46064323.140000001</v>
      </c>
      <c r="F28" s="189">
        <v>25003392.379999999</v>
      </c>
      <c r="G28" s="189">
        <v>17013867.190000001</v>
      </c>
      <c r="H28" s="189">
        <v>4296901.68</v>
      </c>
      <c r="I28" s="189">
        <v>-367882.68</v>
      </c>
      <c r="J28" s="189">
        <v>-791030.73</v>
      </c>
      <c r="K28" s="189">
        <v>-742848.22</v>
      </c>
      <c r="L28" s="189">
        <v>722430.72</v>
      </c>
      <c r="M28" s="189">
        <v>-3558712.62</v>
      </c>
      <c r="N28" s="189">
        <v>-1852276.47</v>
      </c>
      <c r="O28" s="189">
        <v>263458.83</v>
      </c>
      <c r="P28" s="189">
        <v>70492.08</v>
      </c>
      <c r="Q28" s="189">
        <v>3656527.2</v>
      </c>
      <c r="R28" s="189">
        <v>3001919.74</v>
      </c>
      <c r="S28" s="189">
        <v>1767238.92</v>
      </c>
      <c r="T28" s="189">
        <v>3659989.47</v>
      </c>
      <c r="U28" s="189">
        <v>-524185.89</v>
      </c>
      <c r="V28" s="189">
        <v>121497.15</v>
      </c>
      <c r="W28" s="189">
        <v>3292.7</v>
      </c>
      <c r="X28" s="189">
        <v>2856.28</v>
      </c>
      <c r="Y28" s="189">
        <v>-170681.36</v>
      </c>
      <c r="Z28" s="189">
        <v>-93543.9</v>
      </c>
      <c r="AA28" s="189">
        <v>-26008.6</v>
      </c>
      <c r="AB28" s="189">
        <v>-4762.38</v>
      </c>
      <c r="AC28" s="189">
        <v>350157.08</v>
      </c>
      <c r="AD28" s="189">
        <v>12221.52</v>
      </c>
      <c r="AE28" s="189">
        <v>7047.57</v>
      </c>
      <c r="AF28" s="189">
        <v>0</v>
      </c>
      <c r="AG28" s="189">
        <v>-11134.1</v>
      </c>
      <c r="AH28" s="189">
        <v>0</v>
      </c>
      <c r="AI28" s="189">
        <v>0</v>
      </c>
      <c r="AJ28" s="189">
        <v>0</v>
      </c>
      <c r="AK28" s="189">
        <v>-87208.33</v>
      </c>
      <c r="AL28" s="189">
        <v>0</v>
      </c>
      <c r="AM28" s="189">
        <v>0</v>
      </c>
      <c r="AN28" s="189">
        <v>1326000</v>
      </c>
      <c r="AO28" s="189">
        <v>173437.5</v>
      </c>
      <c r="AP28" s="189">
        <v>0</v>
      </c>
    </row>
    <row r="29" spans="1:42">
      <c r="A29" s="189" t="s">
        <v>216</v>
      </c>
      <c r="B29" s="189">
        <v>2229762951.4699998</v>
      </c>
      <c r="C29" s="189">
        <v>1526939504.29</v>
      </c>
      <c r="D29" s="189">
        <v>728866016.82000005</v>
      </c>
      <c r="E29" s="189">
        <v>2521903971.1399999</v>
      </c>
      <c r="F29" s="189">
        <v>1905855520.0999999</v>
      </c>
      <c r="G29" s="189">
        <v>1272551058.9000001</v>
      </c>
      <c r="H29" s="189">
        <v>545876737.55999994</v>
      </c>
      <c r="I29" s="189">
        <v>1964675620.49</v>
      </c>
      <c r="J29" s="189">
        <v>1414277549.4100001</v>
      </c>
      <c r="K29" s="189">
        <v>897060781.53999996</v>
      </c>
      <c r="L29" s="189">
        <v>399486880.39999998</v>
      </c>
      <c r="M29" s="189">
        <v>1401365642.8900001</v>
      </c>
      <c r="N29" s="189">
        <v>1021188461.05</v>
      </c>
      <c r="O29" s="189">
        <v>656332766.86000001</v>
      </c>
      <c r="P29" s="189">
        <v>291057008.29000002</v>
      </c>
      <c r="Q29" s="189">
        <v>1003872803.3099999</v>
      </c>
      <c r="R29" s="189">
        <v>704518446</v>
      </c>
      <c r="S29" s="189">
        <v>452763154.49000001</v>
      </c>
      <c r="T29" s="189">
        <v>211839747.71000001</v>
      </c>
      <c r="U29" s="189">
        <v>659062542.24000001</v>
      </c>
      <c r="V29" s="189">
        <v>467424219.48000002</v>
      </c>
      <c r="W29" s="189">
        <v>288345270.87</v>
      </c>
      <c r="X29" s="189">
        <v>129286079.92</v>
      </c>
      <c r="Y29" s="189">
        <v>423327426.32999998</v>
      </c>
      <c r="Z29" s="189">
        <v>299516591.08999997</v>
      </c>
      <c r="AA29" s="189">
        <v>179610211.84</v>
      </c>
      <c r="AB29" s="189">
        <v>43866392.170000002</v>
      </c>
      <c r="AC29" s="189">
        <v>130928955.45</v>
      </c>
      <c r="AD29" s="189">
        <v>104637801.89</v>
      </c>
      <c r="AE29" s="189">
        <v>59186005.670000002</v>
      </c>
      <c r="AF29" s="189">
        <v>15942774.98</v>
      </c>
      <c r="AG29" s="189">
        <v>70081317.450000003</v>
      </c>
      <c r="AH29" s="189">
        <v>57394392.549999997</v>
      </c>
      <c r="AI29" s="189">
        <v>0</v>
      </c>
      <c r="AJ29" s="189">
        <v>9430853.3599999994</v>
      </c>
      <c r="AK29" s="189">
        <v>46175342.700000003</v>
      </c>
      <c r="AL29" s="189">
        <v>23896328.100000001</v>
      </c>
      <c r="AM29" s="189">
        <v>0</v>
      </c>
      <c r="AN29" s="189">
        <v>30221166.16</v>
      </c>
      <c r="AO29" s="189">
        <v>17288015.960000001</v>
      </c>
      <c r="AP29" s="189">
        <v>0</v>
      </c>
    </row>
    <row r="30" spans="1:42">
      <c r="A30" s="189" t="s">
        <v>217</v>
      </c>
      <c r="B30" s="189">
        <v>2226739176.77</v>
      </c>
      <c r="C30" s="189">
        <v>1524990130.29</v>
      </c>
      <c r="D30" s="189">
        <v>727717687.26999998</v>
      </c>
      <c r="E30" s="189">
        <v>2520446115.2800002</v>
      </c>
      <c r="F30" s="189">
        <v>1904368831.7</v>
      </c>
      <c r="G30" s="189">
        <v>1271955476.4000001</v>
      </c>
      <c r="H30" s="189">
        <v>545787434.99000001</v>
      </c>
      <c r="I30" s="189">
        <v>1962540106.4100001</v>
      </c>
      <c r="J30" s="189">
        <v>1413711652.0799999</v>
      </c>
      <c r="K30" s="189">
        <v>897354464.08000004</v>
      </c>
      <c r="L30" s="189">
        <v>399758696.14999998</v>
      </c>
      <c r="M30" s="189">
        <v>1405898541.98</v>
      </c>
      <c r="N30" s="189">
        <v>1025109741.0700001</v>
      </c>
      <c r="O30" s="189">
        <v>659388496.20000005</v>
      </c>
      <c r="P30" s="189">
        <v>293159358.92000002</v>
      </c>
      <c r="Q30" s="189">
        <v>1006437711.08</v>
      </c>
      <c r="R30" s="189">
        <v>707061218.03999996</v>
      </c>
      <c r="S30" s="189">
        <v>454901952.92000002</v>
      </c>
      <c r="T30" s="189">
        <v>212648455.44</v>
      </c>
      <c r="U30" s="189">
        <v>658096174.11000001</v>
      </c>
      <c r="V30" s="189">
        <v>468526196.24000001</v>
      </c>
      <c r="W30" s="189">
        <v>288589380.99000001</v>
      </c>
      <c r="X30" s="189">
        <v>129243602.47</v>
      </c>
      <c r="Y30" s="189">
        <v>422841927.73000002</v>
      </c>
      <c r="Z30" s="189">
        <v>300001284.12</v>
      </c>
      <c r="AA30" s="189">
        <v>180041141.28999999</v>
      </c>
      <c r="AB30" s="189">
        <v>44526043.439999998</v>
      </c>
      <c r="AC30" s="189">
        <v>131116875.56</v>
      </c>
      <c r="AD30" s="189">
        <v>103668215.17</v>
      </c>
      <c r="AE30" s="189">
        <v>59186005.670000002</v>
      </c>
      <c r="AF30" s="189">
        <v>15942774.98</v>
      </c>
      <c r="AG30" s="189">
        <v>70081317.450000003</v>
      </c>
      <c r="AH30" s="189">
        <v>57394392.549999997</v>
      </c>
      <c r="AI30" s="189">
        <v>0</v>
      </c>
      <c r="AJ30" s="189">
        <v>9430853.3599999994</v>
      </c>
      <c r="AK30" s="189">
        <v>46175342.700000003</v>
      </c>
      <c r="AL30" s="189">
        <v>23896328.100000001</v>
      </c>
      <c r="AM30" s="189">
        <v>0</v>
      </c>
      <c r="AN30" s="189">
        <v>30221166.16</v>
      </c>
      <c r="AO30" s="189">
        <v>17288015.960000001</v>
      </c>
      <c r="AP30" s="189">
        <v>0</v>
      </c>
    </row>
    <row r="31" spans="1:42">
      <c r="A31" s="189" t="s">
        <v>218</v>
      </c>
      <c r="B31" s="189">
        <v>3023774.7</v>
      </c>
      <c r="C31" s="189">
        <v>1949374</v>
      </c>
      <c r="D31" s="189">
        <v>1148329.55</v>
      </c>
      <c r="E31" s="189">
        <v>1457855.86</v>
      </c>
      <c r="F31" s="189">
        <v>1486688.4</v>
      </c>
      <c r="G31" s="189">
        <v>595582.5</v>
      </c>
      <c r="H31" s="189">
        <v>89302.57</v>
      </c>
      <c r="I31" s="189">
        <v>2135514.08</v>
      </c>
      <c r="J31" s="189">
        <v>565897.32999999996</v>
      </c>
      <c r="K31" s="189">
        <v>-293682.53999999998</v>
      </c>
      <c r="L31" s="189">
        <v>-271815.75</v>
      </c>
      <c r="M31" s="189">
        <v>-4532899.09</v>
      </c>
      <c r="N31" s="189">
        <v>-3921280.02</v>
      </c>
      <c r="O31" s="189">
        <v>-3055729.34</v>
      </c>
      <c r="P31" s="189">
        <v>-2102350.63</v>
      </c>
      <c r="Q31" s="189">
        <v>-2564907.77</v>
      </c>
      <c r="R31" s="189">
        <v>-2542772.04</v>
      </c>
      <c r="S31" s="189">
        <v>-2138798.4300000002</v>
      </c>
      <c r="T31" s="189">
        <v>-808707.73</v>
      </c>
      <c r="U31" s="189">
        <v>966368.13</v>
      </c>
      <c r="V31" s="189">
        <v>-1101976.76</v>
      </c>
      <c r="W31" s="189">
        <v>-244110.12</v>
      </c>
      <c r="X31" s="189">
        <v>42477.45</v>
      </c>
      <c r="Y31" s="189">
        <v>485498.6</v>
      </c>
      <c r="Z31" s="189">
        <v>-484693.03</v>
      </c>
      <c r="AA31" s="189">
        <v>-430929.45</v>
      </c>
      <c r="AB31" s="189">
        <v>-659651.27</v>
      </c>
      <c r="AC31" s="189">
        <v>-187920.11</v>
      </c>
      <c r="AD31" s="189">
        <v>969586.72</v>
      </c>
      <c r="AE31" s="189">
        <v>0</v>
      </c>
      <c r="AF31" s="189">
        <v>0</v>
      </c>
      <c r="AG31" s="189">
        <v>0</v>
      </c>
      <c r="AH31" s="189">
        <v>0</v>
      </c>
      <c r="AI31" s="189">
        <v>0</v>
      </c>
      <c r="AJ31" s="189">
        <v>0</v>
      </c>
      <c r="AK31" s="189">
        <v>0</v>
      </c>
      <c r="AL31" s="189">
        <v>0</v>
      </c>
      <c r="AM31" s="189">
        <v>0</v>
      </c>
      <c r="AN31" s="189">
        <v>0</v>
      </c>
      <c r="AO31" s="189">
        <v>0</v>
      </c>
      <c r="AP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P77"/>
  <sheetViews>
    <sheetView workbookViewId="0">
      <selection activeCell="A31" sqref="A31"/>
    </sheetView>
  </sheetViews>
  <sheetFormatPr defaultRowHeight="13.5"/>
  <cols>
    <col min="1" max="1" width="54.625" style="189" bestFit="1" customWidth="1"/>
    <col min="2" max="2" width="12.75" style="189" hidden="1" customWidth="1"/>
    <col min="3" max="3" width="13.875" style="189" hidden="1" customWidth="1"/>
    <col min="4" max="4" width="12.75" style="189" hidden="1" customWidth="1"/>
    <col min="5" max="5" width="13.875" style="189" bestFit="1" customWidth="1"/>
    <col min="6" max="6" width="12.75" style="189" hidden="1" customWidth="1"/>
    <col min="7" max="7" width="13.875" style="189" hidden="1" customWidth="1"/>
    <col min="8" max="8" width="12.75" style="189" hidden="1" customWidth="1"/>
    <col min="9" max="9" width="13.875" style="189" bestFit="1" customWidth="1"/>
    <col min="10" max="10" width="12.75" style="189" hidden="1" customWidth="1"/>
    <col min="11" max="12" width="13.875" style="189" hidden="1" customWidth="1"/>
    <col min="13" max="13" width="13.875" style="189" bestFit="1" customWidth="1"/>
    <col min="14" max="16" width="13.875" style="189" hidden="1" customWidth="1"/>
    <col min="17" max="17" width="13.875" style="189" bestFit="1" customWidth="1"/>
    <col min="18" max="20" width="13.875" style="189" hidden="1" customWidth="1"/>
    <col min="21" max="21" width="13.875" style="189" bestFit="1" customWidth="1"/>
    <col min="22" max="24" width="13.875" style="189" hidden="1" customWidth="1"/>
    <col min="25" max="25" width="13.875" style="189" bestFit="1" customWidth="1"/>
    <col min="26" max="28" width="13.875" style="189" hidden="1" customWidth="1"/>
    <col min="29" max="29" width="13.875" style="189" bestFit="1" customWidth="1"/>
    <col min="30" max="32" width="13.875" style="189" hidden="1" customWidth="1"/>
    <col min="33" max="33" width="13.875" style="189" bestFit="1" customWidth="1"/>
    <col min="34" max="35" width="13.875" style="189" hidden="1" customWidth="1"/>
    <col min="36" max="36" width="12.75" style="189" hidden="1" customWidth="1"/>
    <col min="37" max="37" width="13.875" style="189" bestFit="1" customWidth="1"/>
    <col min="38" max="39" width="12.75" style="189" hidden="1" customWidth="1"/>
    <col min="40" max="41" width="13.875" style="189" bestFit="1" customWidth="1"/>
    <col min="42" max="42" width="9.5" style="189" hidden="1" customWidth="1"/>
    <col min="43" max="16384" width="9" style="189"/>
  </cols>
  <sheetData>
    <row r="1" spans="1:42">
      <c r="A1" s="189">
        <v>2450</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20081231</v>
      </c>
      <c r="AO1" s="189">
        <v>20071231</v>
      </c>
      <c r="AP1" s="189">
        <v>19700101</v>
      </c>
    </row>
    <row r="2" spans="1:42">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row>
    <row r="3" spans="1:42">
      <c r="A3" s="189" t="s">
        <v>219</v>
      </c>
    </row>
    <row r="4" spans="1:42">
      <c r="A4" s="189" t="s">
        <v>220</v>
      </c>
      <c r="B4" s="189">
        <v>8802985040.4400005</v>
      </c>
      <c r="C4" s="189">
        <v>5667373170.4099998</v>
      </c>
      <c r="D4" s="189">
        <v>3281316778.5700002</v>
      </c>
      <c r="E4" s="189">
        <v>12670013192.51</v>
      </c>
      <c r="F4" s="189">
        <v>9436275968.4400005</v>
      </c>
      <c r="G4" s="189">
        <v>6495248156.3100004</v>
      </c>
      <c r="H4" s="189">
        <v>3718062040.29</v>
      </c>
      <c r="I4" s="189">
        <v>7852290622.6499996</v>
      </c>
      <c r="J4" s="189">
        <v>6753191184.5600004</v>
      </c>
      <c r="K4" s="189">
        <v>4421322728.8100004</v>
      </c>
      <c r="L4" s="189">
        <v>2005503973.47</v>
      </c>
      <c r="M4" s="189">
        <v>6915654874.9200001</v>
      </c>
      <c r="N4" s="189">
        <v>4560658692.8500004</v>
      </c>
      <c r="O4" s="189">
        <v>3177588060.6100001</v>
      </c>
      <c r="P4" s="189">
        <v>1363958564.1099999</v>
      </c>
      <c r="Q4" s="189">
        <v>3955149504.29</v>
      </c>
      <c r="R4" s="189">
        <v>3416314815.52</v>
      </c>
      <c r="S4" s="189">
        <v>2174377112.3200002</v>
      </c>
      <c r="T4" s="189">
        <v>1160713867.6700001</v>
      </c>
      <c r="U4" s="189">
        <v>3261851774.54</v>
      </c>
      <c r="V4" s="189">
        <v>2711071856.5900002</v>
      </c>
      <c r="W4" s="189">
        <v>1654178062</v>
      </c>
      <c r="X4" s="189">
        <v>725305512.35000002</v>
      </c>
      <c r="Y4" s="189">
        <v>2394296084.6300001</v>
      </c>
      <c r="Z4" s="189">
        <v>1579980785.72</v>
      </c>
      <c r="AA4" s="189">
        <v>1030061435.03</v>
      </c>
      <c r="AB4" s="189">
        <v>466165218.32999998</v>
      </c>
      <c r="AC4" s="189">
        <v>1724816960.48</v>
      </c>
      <c r="AD4" s="189">
        <v>1387941321.8900001</v>
      </c>
      <c r="AE4" s="189">
        <v>880167787.28999996</v>
      </c>
      <c r="AF4" s="189">
        <v>369440482.76999998</v>
      </c>
      <c r="AG4" s="189">
        <v>563149145.15999997</v>
      </c>
      <c r="AH4" s="189">
        <v>388332817.56</v>
      </c>
      <c r="AI4" s="189">
        <v>218990053.91999999</v>
      </c>
      <c r="AJ4" s="189">
        <v>104305858.98999999</v>
      </c>
      <c r="AK4" s="189">
        <v>390611279.64999998</v>
      </c>
      <c r="AL4" s="189">
        <v>236431974.84999999</v>
      </c>
      <c r="AM4" s="189">
        <v>127830072.05</v>
      </c>
      <c r="AN4" s="189">
        <v>291975059.06999999</v>
      </c>
      <c r="AO4" s="189">
        <v>173409984.88999999</v>
      </c>
      <c r="AP4" s="189">
        <v>0</v>
      </c>
    </row>
    <row r="5" spans="1:42">
      <c r="A5" s="189" t="s">
        <v>221</v>
      </c>
      <c r="B5" s="189">
        <v>19180464.120000001</v>
      </c>
      <c r="C5" s="189">
        <v>6287825.0800000001</v>
      </c>
      <c r="D5" s="189">
        <v>2593813.33</v>
      </c>
      <c r="E5" s="189">
        <v>30879104.219999999</v>
      </c>
      <c r="F5" s="189">
        <v>21677778.829999998</v>
      </c>
      <c r="G5" s="189">
        <v>16165300.6</v>
      </c>
      <c r="H5" s="189">
        <v>3659864.3</v>
      </c>
      <c r="I5" s="189">
        <v>30350696.170000002</v>
      </c>
      <c r="J5" s="189">
        <v>26044562.620000001</v>
      </c>
      <c r="K5" s="189">
        <v>6428319.1600000001</v>
      </c>
      <c r="L5" s="189">
        <v>352874.41</v>
      </c>
      <c r="M5" s="189">
        <v>102954054.88</v>
      </c>
      <c r="N5" s="189">
        <v>102495669.29000001</v>
      </c>
      <c r="O5" s="189">
        <v>101990185.03</v>
      </c>
      <c r="P5" s="189">
        <v>64166061.990000002</v>
      </c>
      <c r="Q5" s="189">
        <v>66527853.880000003</v>
      </c>
      <c r="R5" s="189">
        <v>49974080.030000001</v>
      </c>
      <c r="S5" s="189">
        <v>4202720.46</v>
      </c>
      <c r="T5" s="189">
        <v>867057.99</v>
      </c>
      <c r="U5" s="189">
        <v>455222.28</v>
      </c>
      <c r="V5" s="189">
        <v>6923008.1900000004</v>
      </c>
      <c r="W5" s="189">
        <v>181703.35</v>
      </c>
      <c r="X5" s="189">
        <v>181703.35</v>
      </c>
      <c r="Y5" s="189">
        <v>1629528.02</v>
      </c>
      <c r="Z5" s="189">
        <v>22152.78</v>
      </c>
      <c r="AA5" s="189">
        <v>0</v>
      </c>
      <c r="AB5" s="189">
        <v>0</v>
      </c>
      <c r="AC5" s="189">
        <v>0</v>
      </c>
      <c r="AD5" s="189">
        <v>1569047.9</v>
      </c>
      <c r="AE5" s="189">
        <v>0</v>
      </c>
      <c r="AF5" s="189">
        <v>0</v>
      </c>
      <c r="AG5" s="189">
        <v>759253.41</v>
      </c>
      <c r="AH5" s="189">
        <v>759253.41</v>
      </c>
      <c r="AI5" s="189">
        <v>759253.41</v>
      </c>
      <c r="AJ5" s="189">
        <v>0</v>
      </c>
      <c r="AK5" s="189">
        <v>69003.53</v>
      </c>
      <c r="AL5" s="189">
        <v>69003.53</v>
      </c>
      <c r="AM5" s="189">
        <v>0</v>
      </c>
      <c r="AN5" s="189">
        <v>510882.29</v>
      </c>
      <c r="AO5" s="189">
        <v>1629990.21</v>
      </c>
      <c r="AP5" s="189">
        <v>0</v>
      </c>
    </row>
    <row r="6" spans="1:42">
      <c r="A6" s="189" t="s">
        <v>222</v>
      </c>
      <c r="B6" s="189">
        <v>193606539.78999999</v>
      </c>
      <c r="C6" s="189">
        <v>153077278.13999999</v>
      </c>
      <c r="D6" s="189">
        <v>69598545.090000004</v>
      </c>
      <c r="E6" s="189">
        <v>218760373.81999999</v>
      </c>
      <c r="F6" s="189">
        <v>132703084.39</v>
      </c>
      <c r="G6" s="189">
        <v>84142746.870000005</v>
      </c>
      <c r="H6" s="189">
        <v>51547257.329999998</v>
      </c>
      <c r="I6" s="189">
        <v>121211047.76000001</v>
      </c>
      <c r="J6" s="189">
        <v>84997659.659999996</v>
      </c>
      <c r="K6" s="189">
        <v>69312837.340000004</v>
      </c>
      <c r="L6" s="189">
        <v>43907130.100000001</v>
      </c>
      <c r="M6" s="189">
        <v>53696344.18</v>
      </c>
      <c r="N6" s="189">
        <v>38679476.609999999</v>
      </c>
      <c r="O6" s="189">
        <v>25792301.829999998</v>
      </c>
      <c r="P6" s="189">
        <v>72710651.230000004</v>
      </c>
      <c r="Q6" s="189">
        <v>36912143.799999997</v>
      </c>
      <c r="R6" s="189">
        <v>32555736.940000001</v>
      </c>
      <c r="S6" s="189">
        <v>71958467.599999994</v>
      </c>
      <c r="T6" s="189">
        <v>152549369.21000001</v>
      </c>
      <c r="U6" s="189">
        <v>77717831.109999999</v>
      </c>
      <c r="V6" s="189">
        <v>75259842.75</v>
      </c>
      <c r="W6" s="189">
        <v>25397275.949999999</v>
      </c>
      <c r="X6" s="189">
        <v>9437045.5199999996</v>
      </c>
      <c r="Y6" s="189">
        <v>39864897.869999997</v>
      </c>
      <c r="Z6" s="189">
        <v>15344646.619999999</v>
      </c>
      <c r="AA6" s="189">
        <v>2771125.4</v>
      </c>
      <c r="AB6" s="189">
        <v>2169011.38</v>
      </c>
      <c r="AC6" s="189">
        <v>14890835</v>
      </c>
      <c r="AD6" s="189">
        <v>7522536.2999999998</v>
      </c>
      <c r="AE6" s="189">
        <v>7197823.9500000002</v>
      </c>
      <c r="AF6" s="189">
        <v>1240772.98</v>
      </c>
      <c r="AG6" s="189">
        <v>7217499.3799999999</v>
      </c>
      <c r="AH6" s="189">
        <v>2638003.21</v>
      </c>
      <c r="AI6" s="189">
        <v>1310997.6100000001</v>
      </c>
      <c r="AJ6" s="189">
        <v>551498.93999999994</v>
      </c>
      <c r="AK6" s="189">
        <v>4877191.84</v>
      </c>
      <c r="AL6" s="189">
        <v>1327612.3</v>
      </c>
      <c r="AM6" s="189">
        <v>32819.07</v>
      </c>
      <c r="AN6" s="189">
        <v>5628916.1799999997</v>
      </c>
      <c r="AO6" s="189">
        <v>1906208.42</v>
      </c>
      <c r="AP6" s="189">
        <v>0</v>
      </c>
    </row>
    <row r="7" spans="1:42">
      <c r="A7" s="189" t="s">
        <v>223</v>
      </c>
      <c r="B7" s="189">
        <v>9015772044.3500004</v>
      </c>
      <c r="C7" s="189">
        <v>5826738273.6300001</v>
      </c>
      <c r="D7" s="189">
        <v>3353509136.9899998</v>
      </c>
      <c r="E7" s="189">
        <v>12919652670.549999</v>
      </c>
      <c r="F7" s="189">
        <v>9590656831.6599998</v>
      </c>
      <c r="G7" s="189">
        <v>6595556203.7799997</v>
      </c>
      <c r="H7" s="189">
        <v>3773269161.9200001</v>
      </c>
      <c r="I7" s="189">
        <v>8003852366.5799999</v>
      </c>
      <c r="J7" s="189">
        <v>6864233406.8400002</v>
      </c>
      <c r="K7" s="189">
        <v>4497063885.3100004</v>
      </c>
      <c r="L7" s="189">
        <v>2049763977.98</v>
      </c>
      <c r="M7" s="189">
        <v>7072305273.9799995</v>
      </c>
      <c r="N7" s="189">
        <v>4701833838.75</v>
      </c>
      <c r="O7" s="189">
        <v>3305370547.4699998</v>
      </c>
      <c r="P7" s="189">
        <v>1500835277.3299999</v>
      </c>
      <c r="Q7" s="189">
        <v>4058589501.9699998</v>
      </c>
      <c r="R7" s="189">
        <v>3498844632.4899998</v>
      </c>
      <c r="S7" s="189">
        <v>2250538300.3800001</v>
      </c>
      <c r="T7" s="189">
        <v>1314130294.8699999</v>
      </c>
      <c r="U7" s="189">
        <v>3340024827.9299998</v>
      </c>
      <c r="V7" s="189">
        <v>2793254707.5300002</v>
      </c>
      <c r="W7" s="189">
        <v>1679757041.3</v>
      </c>
      <c r="X7" s="189">
        <v>734924261.22000003</v>
      </c>
      <c r="Y7" s="189">
        <v>2435790510.52</v>
      </c>
      <c r="Z7" s="189">
        <v>1595347585.1199999</v>
      </c>
      <c r="AA7" s="189">
        <v>1032832560.4299999</v>
      </c>
      <c r="AB7" s="189">
        <v>468334229.70999998</v>
      </c>
      <c r="AC7" s="189">
        <v>1739707795.48</v>
      </c>
      <c r="AD7" s="189">
        <v>1397032906.0899999</v>
      </c>
      <c r="AE7" s="189">
        <v>887365611.24000001</v>
      </c>
      <c r="AF7" s="189">
        <v>370681255.75</v>
      </c>
      <c r="AG7" s="189">
        <v>571125897.95000005</v>
      </c>
      <c r="AH7" s="189">
        <v>391730074.18000001</v>
      </c>
      <c r="AI7" s="189">
        <v>221060304.94</v>
      </c>
      <c r="AJ7" s="189">
        <v>104857357.93000001</v>
      </c>
      <c r="AK7" s="189">
        <v>395557475.01999998</v>
      </c>
      <c r="AL7" s="189">
        <v>237828590.68000001</v>
      </c>
      <c r="AM7" s="189">
        <v>127862891.12</v>
      </c>
      <c r="AN7" s="189">
        <v>298114857.54000002</v>
      </c>
      <c r="AO7" s="189">
        <v>176946183.52000001</v>
      </c>
      <c r="AP7" s="189">
        <v>0</v>
      </c>
    </row>
    <row r="8" spans="1:42">
      <c r="A8" s="189" t="s">
        <v>224</v>
      </c>
      <c r="B8" s="189">
        <v>5308739109.0799999</v>
      </c>
      <c r="C8" s="189">
        <v>4106071635.25</v>
      </c>
      <c r="D8" s="189">
        <v>2410058642.5999999</v>
      </c>
      <c r="E8" s="189">
        <v>6988532240.5299997</v>
      </c>
      <c r="F8" s="189">
        <v>5707720900.75</v>
      </c>
      <c r="G8" s="189">
        <v>3723045404.0599999</v>
      </c>
      <c r="H8" s="189">
        <v>1993445895.1800001</v>
      </c>
      <c r="I8" s="189">
        <v>6466444729.7399998</v>
      </c>
      <c r="J8" s="189">
        <v>5500799386.04</v>
      </c>
      <c r="K8" s="189">
        <v>3544903932.27</v>
      </c>
      <c r="L8" s="189">
        <v>1449342036.1300001</v>
      </c>
      <c r="M8" s="189">
        <v>5041361317</v>
      </c>
      <c r="N8" s="189">
        <v>3452939476</v>
      </c>
      <c r="O8" s="189">
        <v>2426531378.4499998</v>
      </c>
      <c r="P8" s="189">
        <v>1077089132.49</v>
      </c>
      <c r="Q8" s="189">
        <v>2686633286.23</v>
      </c>
      <c r="R8" s="189">
        <v>2382499052.0500002</v>
      </c>
      <c r="S8" s="189">
        <v>1397417369.99</v>
      </c>
      <c r="T8" s="189">
        <v>901447457.97000003</v>
      </c>
      <c r="U8" s="189">
        <v>2396655092.0599999</v>
      </c>
      <c r="V8" s="189">
        <v>1984237003.8299999</v>
      </c>
      <c r="W8" s="189">
        <v>1146652580.1600001</v>
      </c>
      <c r="X8" s="189">
        <v>560667632.38</v>
      </c>
      <c r="Y8" s="189">
        <v>1816388034.3900001</v>
      </c>
      <c r="Z8" s="189">
        <v>1231366342.0799999</v>
      </c>
      <c r="AA8" s="189">
        <v>790814371.48000002</v>
      </c>
      <c r="AB8" s="189">
        <v>346095198.35000002</v>
      </c>
      <c r="AC8" s="189">
        <v>1415988027.04</v>
      </c>
      <c r="AD8" s="189">
        <v>1216151842.97</v>
      </c>
      <c r="AE8" s="189">
        <v>752071376.53999996</v>
      </c>
      <c r="AF8" s="189">
        <v>328957032.05000001</v>
      </c>
      <c r="AG8" s="189">
        <v>375060723.75999999</v>
      </c>
      <c r="AH8" s="189">
        <v>299211502.86000001</v>
      </c>
      <c r="AI8" s="189">
        <v>187009032.46000001</v>
      </c>
      <c r="AJ8" s="189">
        <v>80338668</v>
      </c>
      <c r="AK8" s="189">
        <v>302988591.58999997</v>
      </c>
      <c r="AL8" s="189">
        <v>186406970.84999999</v>
      </c>
      <c r="AM8" s="189">
        <v>82316003.290000007</v>
      </c>
      <c r="AN8" s="189">
        <v>226608831.63</v>
      </c>
      <c r="AO8" s="189">
        <v>149805499.38</v>
      </c>
      <c r="AP8" s="189">
        <v>0</v>
      </c>
    </row>
    <row r="9" spans="1:42">
      <c r="A9" s="189" t="s">
        <v>225</v>
      </c>
      <c r="B9" s="189">
        <v>510708187.97000003</v>
      </c>
      <c r="C9" s="189">
        <v>316924194.92000002</v>
      </c>
      <c r="D9" s="189">
        <v>182079117.81999999</v>
      </c>
      <c r="E9" s="189">
        <v>629488734.75</v>
      </c>
      <c r="F9" s="189">
        <v>474724817.64999998</v>
      </c>
      <c r="G9" s="189">
        <v>328677327.35000002</v>
      </c>
      <c r="H9" s="189">
        <v>189769304.09</v>
      </c>
      <c r="I9" s="189">
        <v>522016652.87</v>
      </c>
      <c r="J9" s="189">
        <v>358418563.60000002</v>
      </c>
      <c r="K9" s="189">
        <v>224547190.31999999</v>
      </c>
      <c r="L9" s="189">
        <v>97871146.790000007</v>
      </c>
      <c r="M9" s="189">
        <v>365302541.30000001</v>
      </c>
      <c r="N9" s="189">
        <v>257205946.25999999</v>
      </c>
      <c r="O9" s="189">
        <v>169886866.84</v>
      </c>
      <c r="P9" s="189">
        <v>85745030.230000004</v>
      </c>
      <c r="Q9" s="189">
        <v>349137446.56</v>
      </c>
      <c r="R9" s="189">
        <v>184456039.84</v>
      </c>
      <c r="S9" s="189">
        <v>115573631.70999999</v>
      </c>
      <c r="T9" s="189">
        <v>60825406.780000001</v>
      </c>
      <c r="U9" s="189">
        <v>166864878.43000001</v>
      </c>
      <c r="V9" s="189">
        <v>108840836.86</v>
      </c>
      <c r="W9" s="189">
        <v>65872146.719999999</v>
      </c>
      <c r="X9" s="189">
        <v>30757435.77</v>
      </c>
      <c r="Y9" s="189">
        <v>81146174.400000006</v>
      </c>
      <c r="Z9" s="189">
        <v>50588191.909999996</v>
      </c>
      <c r="AA9" s="189">
        <v>30722778.239999998</v>
      </c>
      <c r="AB9" s="189">
        <v>14488106.710000001</v>
      </c>
      <c r="AC9" s="189">
        <v>45455592.530000001</v>
      </c>
      <c r="AD9" s="189">
        <v>30765120.120000001</v>
      </c>
      <c r="AE9" s="189">
        <v>17360055.41</v>
      </c>
      <c r="AF9" s="189">
        <v>6956946.3799999999</v>
      </c>
      <c r="AG9" s="189">
        <v>17766108.32</v>
      </c>
      <c r="AH9" s="189">
        <v>14850538.890000001</v>
      </c>
      <c r="AI9" s="189">
        <v>9608360.9800000004</v>
      </c>
      <c r="AJ9" s="189">
        <v>4600934.42</v>
      </c>
      <c r="AK9" s="189">
        <v>15439636.98</v>
      </c>
      <c r="AL9" s="189">
        <v>10950777.82</v>
      </c>
      <c r="AM9" s="189">
        <v>7161099.4299999997</v>
      </c>
      <c r="AN9" s="189">
        <v>11963771.67</v>
      </c>
      <c r="AO9" s="189">
        <v>8413820.2599999998</v>
      </c>
      <c r="AP9" s="189">
        <v>0</v>
      </c>
    </row>
    <row r="10" spans="1:42">
      <c r="A10" s="189" t="s">
        <v>226</v>
      </c>
      <c r="B10" s="189">
        <v>739306760.10000002</v>
      </c>
      <c r="C10" s="189">
        <v>499334135.73000002</v>
      </c>
      <c r="D10" s="189">
        <v>323483468.88999999</v>
      </c>
      <c r="E10" s="189">
        <v>1100210547.48</v>
      </c>
      <c r="F10" s="189">
        <v>828166274.77999997</v>
      </c>
      <c r="G10" s="189">
        <v>540137229.78999996</v>
      </c>
      <c r="H10" s="189">
        <v>333304448.38999999</v>
      </c>
      <c r="I10" s="189">
        <v>712704964.63</v>
      </c>
      <c r="J10" s="189">
        <v>437549846.49000001</v>
      </c>
      <c r="K10" s="189">
        <v>325900137.26999998</v>
      </c>
      <c r="L10" s="189">
        <v>212555564.59</v>
      </c>
      <c r="M10" s="189">
        <v>497462911.06</v>
      </c>
      <c r="N10" s="189">
        <v>344290298.93000001</v>
      </c>
      <c r="O10" s="189">
        <v>203131302.00999999</v>
      </c>
      <c r="P10" s="189">
        <v>126933440.98</v>
      </c>
      <c r="Q10" s="189">
        <v>418832515.06</v>
      </c>
      <c r="R10" s="189">
        <v>426425203.13999999</v>
      </c>
      <c r="S10" s="189">
        <v>302560895.69</v>
      </c>
      <c r="T10" s="189">
        <v>162728059.31</v>
      </c>
      <c r="U10" s="189">
        <v>429834251.94999999</v>
      </c>
      <c r="V10" s="189">
        <v>334202715.37</v>
      </c>
      <c r="W10" s="189">
        <v>175242070.99000001</v>
      </c>
      <c r="X10" s="189">
        <v>37926783.740000002</v>
      </c>
      <c r="Y10" s="189">
        <v>206117560.65000001</v>
      </c>
      <c r="Z10" s="189">
        <v>144617000.75</v>
      </c>
      <c r="AA10" s="189">
        <v>101720411.34</v>
      </c>
      <c r="AB10" s="189">
        <v>32885641.640000001</v>
      </c>
      <c r="AC10" s="189">
        <v>68482801.150000006</v>
      </c>
      <c r="AD10" s="189">
        <v>50920853.859999999</v>
      </c>
      <c r="AE10" s="189">
        <v>22746051.550000001</v>
      </c>
      <c r="AF10" s="189">
        <v>8344778.6900000004</v>
      </c>
      <c r="AG10" s="189">
        <v>30704847.039999999</v>
      </c>
      <c r="AH10" s="189">
        <v>19664029.809999999</v>
      </c>
      <c r="AI10" s="189">
        <v>9689709.6999999993</v>
      </c>
      <c r="AJ10" s="189">
        <v>5026706.46</v>
      </c>
      <c r="AK10" s="189">
        <v>20992400.579999998</v>
      </c>
      <c r="AL10" s="189">
        <v>12001567.970000001</v>
      </c>
      <c r="AM10" s="189">
        <v>7850734.0700000003</v>
      </c>
      <c r="AN10" s="189">
        <v>14373688.91</v>
      </c>
      <c r="AO10" s="189">
        <v>9039267.5600000005</v>
      </c>
      <c r="AP10" s="189">
        <v>0</v>
      </c>
    </row>
    <row r="11" spans="1:42">
      <c r="A11" s="189" t="s">
        <v>227</v>
      </c>
      <c r="B11" s="189">
        <v>383347556.66000003</v>
      </c>
      <c r="C11" s="189">
        <v>268509618.14999998</v>
      </c>
      <c r="D11" s="189">
        <v>137458959.46000001</v>
      </c>
      <c r="E11" s="189">
        <v>539659457.22000003</v>
      </c>
      <c r="F11" s="189">
        <v>329678171.66000003</v>
      </c>
      <c r="G11" s="189">
        <v>244016269.63</v>
      </c>
      <c r="H11" s="189">
        <v>115364652.38</v>
      </c>
      <c r="I11" s="189">
        <v>350268860.12</v>
      </c>
      <c r="J11" s="189">
        <v>231277479.91999999</v>
      </c>
      <c r="K11" s="189">
        <v>139594696.38</v>
      </c>
      <c r="L11" s="189">
        <v>67234169.689999998</v>
      </c>
      <c r="M11" s="189">
        <v>261639628.16</v>
      </c>
      <c r="N11" s="189">
        <v>258711753.75999999</v>
      </c>
      <c r="O11" s="189">
        <v>151648812.36000001</v>
      </c>
      <c r="P11" s="189">
        <v>71906219.189999998</v>
      </c>
      <c r="Q11" s="189">
        <v>174300905.72</v>
      </c>
      <c r="R11" s="189">
        <v>208615879.84999999</v>
      </c>
      <c r="S11" s="189">
        <v>178379107.72999999</v>
      </c>
      <c r="T11" s="189">
        <v>85653766.040000007</v>
      </c>
      <c r="U11" s="189">
        <v>121147042.48999999</v>
      </c>
      <c r="V11" s="189">
        <v>135200179.27000001</v>
      </c>
      <c r="W11" s="189">
        <v>90502667.260000005</v>
      </c>
      <c r="X11" s="189">
        <v>35615050.240000002</v>
      </c>
      <c r="Y11" s="189">
        <v>59331199.539999999</v>
      </c>
      <c r="Z11" s="189">
        <v>54685083.509999998</v>
      </c>
      <c r="AA11" s="189">
        <v>33560309.200000003</v>
      </c>
      <c r="AB11" s="189">
        <v>20998786.66</v>
      </c>
      <c r="AC11" s="189">
        <v>48963778</v>
      </c>
      <c r="AD11" s="189">
        <v>38855678.520000003</v>
      </c>
      <c r="AE11" s="189">
        <v>19910767.469999999</v>
      </c>
      <c r="AF11" s="189">
        <v>14487831.789999999</v>
      </c>
      <c r="AG11" s="189">
        <v>38498709.200000003</v>
      </c>
      <c r="AH11" s="189">
        <v>11023024.609999999</v>
      </c>
      <c r="AI11" s="189">
        <v>6652317.0999999996</v>
      </c>
      <c r="AJ11" s="189">
        <v>3960596.1</v>
      </c>
      <c r="AK11" s="189">
        <v>10056945.449999999</v>
      </c>
      <c r="AL11" s="189">
        <v>5722387.29</v>
      </c>
      <c r="AM11" s="189">
        <v>3947456.9</v>
      </c>
      <c r="AN11" s="189">
        <v>10377228.960000001</v>
      </c>
      <c r="AO11" s="189">
        <v>5708963.2400000002</v>
      </c>
      <c r="AP11" s="189">
        <v>0</v>
      </c>
    </row>
    <row r="12" spans="1:42">
      <c r="A12" s="189" t="s">
        <v>228</v>
      </c>
      <c r="B12" s="189">
        <v>6942101613.8100004</v>
      </c>
      <c r="C12" s="189">
        <v>5190839584.0500002</v>
      </c>
      <c r="D12" s="189">
        <v>3053080188.77</v>
      </c>
      <c r="E12" s="189">
        <v>9257890979.9799995</v>
      </c>
      <c r="F12" s="189">
        <v>7340290164.8400002</v>
      </c>
      <c r="G12" s="189">
        <v>4835876230.8299999</v>
      </c>
      <c r="H12" s="189">
        <v>2631884300.04</v>
      </c>
      <c r="I12" s="189">
        <v>8051435207.3599997</v>
      </c>
      <c r="J12" s="189">
        <v>6528045276.0500002</v>
      </c>
      <c r="K12" s="189">
        <v>4234945956.2399998</v>
      </c>
      <c r="L12" s="189">
        <v>1827002917.2</v>
      </c>
      <c r="M12" s="189">
        <v>6165766397.5200005</v>
      </c>
      <c r="N12" s="189">
        <v>4313147474.9499998</v>
      </c>
      <c r="O12" s="189">
        <v>2951198359.6599998</v>
      </c>
      <c r="P12" s="189">
        <v>1361673822.8900001</v>
      </c>
      <c r="Q12" s="189">
        <v>3628904153.5700002</v>
      </c>
      <c r="R12" s="189">
        <v>3201996174.8800001</v>
      </c>
      <c r="S12" s="189">
        <v>1993931005.1199999</v>
      </c>
      <c r="T12" s="189">
        <v>1210654690.0999999</v>
      </c>
      <c r="U12" s="189">
        <v>3114501264.9299998</v>
      </c>
      <c r="V12" s="189">
        <v>2562480735.3299999</v>
      </c>
      <c r="W12" s="189">
        <v>1478269465.1300001</v>
      </c>
      <c r="X12" s="189">
        <v>664966902.13</v>
      </c>
      <c r="Y12" s="189">
        <v>2162982968.98</v>
      </c>
      <c r="Z12" s="189">
        <v>1481256618.25</v>
      </c>
      <c r="AA12" s="189">
        <v>956817870.25999999</v>
      </c>
      <c r="AB12" s="189">
        <v>414467733.36000001</v>
      </c>
      <c r="AC12" s="189">
        <v>1578890198.72</v>
      </c>
      <c r="AD12" s="189">
        <v>1336693495.47</v>
      </c>
      <c r="AE12" s="189">
        <v>812088250.97000003</v>
      </c>
      <c r="AF12" s="189">
        <v>358746588.91000003</v>
      </c>
      <c r="AG12" s="189">
        <v>462030388.31999999</v>
      </c>
      <c r="AH12" s="189">
        <v>344749096.17000002</v>
      </c>
      <c r="AI12" s="189">
        <v>212959420.24000001</v>
      </c>
      <c r="AJ12" s="189">
        <v>93926904.980000004</v>
      </c>
      <c r="AK12" s="189">
        <v>349477574.60000002</v>
      </c>
      <c r="AL12" s="189">
        <v>215081703.93000001</v>
      </c>
      <c r="AM12" s="189">
        <v>101275293.69</v>
      </c>
      <c r="AN12" s="189">
        <v>263323521.16999999</v>
      </c>
      <c r="AO12" s="189">
        <v>172967550.44</v>
      </c>
      <c r="AP12" s="189">
        <v>0</v>
      </c>
    </row>
    <row r="13" spans="1:42">
      <c r="A13" s="189" t="s">
        <v>229</v>
      </c>
      <c r="B13" s="189">
        <v>2073670430.54</v>
      </c>
      <c r="C13" s="189">
        <v>635898689.58000004</v>
      </c>
      <c r="D13" s="189">
        <v>300428948.22000003</v>
      </c>
      <c r="E13" s="189">
        <v>3661761690.5700002</v>
      </c>
      <c r="F13" s="189">
        <v>2250366666.8200002</v>
      </c>
      <c r="G13" s="189">
        <v>1759679972.95</v>
      </c>
      <c r="H13" s="189">
        <v>1141384861.8800001</v>
      </c>
      <c r="I13" s="189">
        <v>-47582840.780000001</v>
      </c>
      <c r="J13" s="189">
        <v>336188130.79000002</v>
      </c>
      <c r="K13" s="189">
        <v>262117929.06999999</v>
      </c>
      <c r="L13" s="189">
        <v>222761060.78</v>
      </c>
      <c r="M13" s="189">
        <v>906538876.46000004</v>
      </c>
      <c r="N13" s="189">
        <v>388686363.80000001</v>
      </c>
      <c r="O13" s="189">
        <v>354172187.81</v>
      </c>
      <c r="P13" s="189">
        <v>139161454.44</v>
      </c>
      <c r="Q13" s="189">
        <v>429685348.39999998</v>
      </c>
      <c r="R13" s="189">
        <v>296848457.61000001</v>
      </c>
      <c r="S13" s="189">
        <v>256607295.25999999</v>
      </c>
      <c r="T13" s="189">
        <v>103475604.77</v>
      </c>
      <c r="U13" s="189">
        <v>225523563</v>
      </c>
      <c r="V13" s="189">
        <v>230773972.19999999</v>
      </c>
      <c r="W13" s="189">
        <v>201487576.16999999</v>
      </c>
      <c r="X13" s="189">
        <v>69957359.090000004</v>
      </c>
      <c r="Y13" s="189">
        <v>272807541.54000002</v>
      </c>
      <c r="Z13" s="189">
        <v>114090966.87</v>
      </c>
      <c r="AA13" s="189">
        <v>76014690.170000002</v>
      </c>
      <c r="AB13" s="189">
        <v>53866496.350000001</v>
      </c>
      <c r="AC13" s="189">
        <v>160817596.75999999</v>
      </c>
      <c r="AD13" s="189">
        <v>60339410.619999997</v>
      </c>
      <c r="AE13" s="189">
        <v>75277360.269999996</v>
      </c>
      <c r="AF13" s="189">
        <v>11934666.84</v>
      </c>
      <c r="AG13" s="189">
        <v>109095509.63</v>
      </c>
      <c r="AH13" s="189">
        <v>46980978.009999998</v>
      </c>
      <c r="AI13" s="189">
        <v>8100884.7000000002</v>
      </c>
      <c r="AJ13" s="189">
        <v>10930452.949999999</v>
      </c>
      <c r="AK13" s="189">
        <v>46079900.420000002</v>
      </c>
      <c r="AL13" s="189">
        <v>22746886.75</v>
      </c>
      <c r="AM13" s="189">
        <v>26587597.43</v>
      </c>
      <c r="AN13" s="189">
        <v>34791336.369999997</v>
      </c>
      <c r="AO13" s="189">
        <v>3978633.08</v>
      </c>
      <c r="AP13" s="189">
        <v>0</v>
      </c>
    </row>
    <row r="14" spans="1:42">
      <c r="A14" s="189" t="s">
        <v>230</v>
      </c>
    </row>
    <row r="15" spans="1:42">
      <c r="A15" s="189" t="s">
        <v>231</v>
      </c>
      <c r="B15" s="189">
        <v>3129118615.52</v>
      </c>
      <c r="C15" s="189">
        <v>2893910640</v>
      </c>
      <c r="D15" s="189">
        <v>2980000</v>
      </c>
      <c r="E15" s="189">
        <v>407944358.54000002</v>
      </c>
      <c r="F15" s="189">
        <v>360050000</v>
      </c>
      <c r="G15" s="189">
        <v>30000000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row>
    <row r="16" spans="1:42">
      <c r="A16" s="189" t="s">
        <v>232</v>
      </c>
      <c r="B16" s="189">
        <v>69716827.530000001</v>
      </c>
      <c r="C16" s="189">
        <v>45851737.299999997</v>
      </c>
      <c r="D16" s="189">
        <v>19093269.57</v>
      </c>
      <c r="E16" s="189">
        <v>52475851.189999998</v>
      </c>
      <c r="F16" s="189">
        <v>27430934.149999999</v>
      </c>
      <c r="G16" s="189">
        <v>797808.22</v>
      </c>
      <c r="H16" s="189">
        <v>0</v>
      </c>
      <c r="I16" s="189">
        <v>30014.79</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row>
    <row r="17" spans="1:42">
      <c r="A17" s="189" t="s">
        <v>233</v>
      </c>
      <c r="B17" s="189">
        <v>1500</v>
      </c>
      <c r="C17" s="189">
        <v>0</v>
      </c>
      <c r="D17" s="189">
        <v>0</v>
      </c>
      <c r="E17" s="189">
        <v>400745.2</v>
      </c>
      <c r="F17" s="189">
        <v>369045.2</v>
      </c>
      <c r="G17" s="189">
        <v>476896.2</v>
      </c>
      <c r="H17" s="189">
        <v>640</v>
      </c>
      <c r="I17" s="189">
        <v>1740759.3</v>
      </c>
      <c r="J17" s="189">
        <v>770209.3</v>
      </c>
      <c r="K17" s="189">
        <v>94089.76</v>
      </c>
      <c r="L17" s="189">
        <v>0</v>
      </c>
      <c r="M17" s="189">
        <v>19700</v>
      </c>
      <c r="N17" s="189">
        <v>17500</v>
      </c>
      <c r="O17" s="189">
        <v>0</v>
      </c>
      <c r="P17" s="189">
        <v>0</v>
      </c>
      <c r="Q17" s="189">
        <v>60175.21</v>
      </c>
      <c r="R17" s="189">
        <v>16000</v>
      </c>
      <c r="S17" s="189">
        <v>-3100</v>
      </c>
      <c r="T17" s="189">
        <v>0</v>
      </c>
      <c r="U17" s="189">
        <v>50400</v>
      </c>
      <c r="V17" s="189">
        <v>50400</v>
      </c>
      <c r="W17" s="189">
        <v>0</v>
      </c>
      <c r="X17" s="189">
        <v>0</v>
      </c>
      <c r="Y17" s="189">
        <v>3760000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row>
    <row r="18" spans="1:42">
      <c r="A18" s="189" t="s">
        <v>234</v>
      </c>
      <c r="B18" s="189">
        <v>0</v>
      </c>
      <c r="C18" s="189">
        <v>0</v>
      </c>
      <c r="D18" s="189">
        <v>0</v>
      </c>
      <c r="E18" s="189">
        <v>13650022.09</v>
      </c>
      <c r="F18" s="189">
        <v>0</v>
      </c>
      <c r="G18" s="189">
        <v>0</v>
      </c>
      <c r="H18" s="189">
        <v>0</v>
      </c>
      <c r="I18" s="189">
        <v>132038041.7</v>
      </c>
      <c r="J18" s="189">
        <v>131059545.87</v>
      </c>
      <c r="K18" s="189">
        <v>-358177654.13</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row>
    <row r="19" spans="1:42">
      <c r="A19" s="189" t="s">
        <v>235</v>
      </c>
      <c r="B19" s="189">
        <v>0</v>
      </c>
      <c r="C19" s="189">
        <v>0</v>
      </c>
      <c r="D19" s="189">
        <v>510697600</v>
      </c>
      <c r="E19" s="189">
        <v>0</v>
      </c>
      <c r="F19" s="189">
        <v>1957582600</v>
      </c>
      <c r="G19" s="189">
        <v>100000000</v>
      </c>
      <c r="H19" s="189">
        <v>0</v>
      </c>
      <c r="I19" s="189">
        <v>4719881.26</v>
      </c>
      <c r="J19" s="189">
        <v>0</v>
      </c>
      <c r="K19" s="189">
        <v>0</v>
      </c>
      <c r="L19" s="189">
        <v>0</v>
      </c>
      <c r="M19" s="189">
        <v>50000000</v>
      </c>
      <c r="N19" s="189">
        <v>50000000</v>
      </c>
      <c r="O19" s="189">
        <v>50000000</v>
      </c>
      <c r="P19" s="189">
        <v>0</v>
      </c>
      <c r="Q19" s="189">
        <v>5200000</v>
      </c>
      <c r="R19" s="189">
        <v>0</v>
      </c>
      <c r="S19" s="189">
        <v>0</v>
      </c>
      <c r="T19" s="189">
        <v>0</v>
      </c>
      <c r="U19" s="189">
        <v>0</v>
      </c>
      <c r="V19" s="189">
        <v>0</v>
      </c>
      <c r="W19" s="189">
        <v>0</v>
      </c>
      <c r="X19" s="189">
        <v>0</v>
      </c>
      <c r="Y19" s="189">
        <v>0</v>
      </c>
      <c r="Z19" s="189">
        <v>0</v>
      </c>
      <c r="AA19" s="189">
        <v>0</v>
      </c>
      <c r="AB19" s="189">
        <v>0</v>
      </c>
      <c r="AC19" s="189">
        <v>459901.61</v>
      </c>
      <c r="AD19" s="189">
        <v>0</v>
      </c>
      <c r="AE19" s="189">
        <v>0</v>
      </c>
      <c r="AF19" s="189">
        <v>0</v>
      </c>
      <c r="AG19" s="189">
        <v>0</v>
      </c>
      <c r="AH19" s="189">
        <v>314415.27</v>
      </c>
      <c r="AI19" s="189">
        <v>0</v>
      </c>
      <c r="AJ19" s="189">
        <v>0</v>
      </c>
      <c r="AK19" s="189">
        <v>27920000</v>
      </c>
      <c r="AL19" s="189">
        <v>27920000</v>
      </c>
      <c r="AM19" s="189">
        <v>27920000</v>
      </c>
      <c r="AN19" s="189">
        <v>0</v>
      </c>
      <c r="AO19" s="189">
        <v>17411244.789999999</v>
      </c>
      <c r="AP19" s="189">
        <v>0</v>
      </c>
    </row>
    <row r="20" spans="1:42">
      <c r="A20" s="189" t="s">
        <v>236</v>
      </c>
      <c r="B20" s="189">
        <v>3198836943.0500002</v>
      </c>
      <c r="C20" s="189">
        <v>2939762377.3000002</v>
      </c>
      <c r="D20" s="189">
        <v>532770869.56999999</v>
      </c>
      <c r="E20" s="189">
        <v>474470977.01999998</v>
      </c>
      <c r="F20" s="189">
        <v>2345432579.3499999</v>
      </c>
      <c r="G20" s="189">
        <v>131274704.42</v>
      </c>
      <c r="H20" s="189">
        <v>640</v>
      </c>
      <c r="I20" s="189">
        <v>138528697.05000001</v>
      </c>
      <c r="J20" s="189">
        <v>131829755.17</v>
      </c>
      <c r="K20" s="189">
        <v>-358083564.37</v>
      </c>
      <c r="L20" s="189">
        <v>0</v>
      </c>
      <c r="M20" s="189">
        <v>50019700</v>
      </c>
      <c r="N20" s="189">
        <v>50017500</v>
      </c>
      <c r="O20" s="189">
        <v>50000000</v>
      </c>
      <c r="P20" s="189">
        <v>0</v>
      </c>
      <c r="Q20" s="189">
        <v>5260175.21</v>
      </c>
      <c r="R20" s="189">
        <v>16000</v>
      </c>
      <c r="S20" s="189">
        <v>-3100</v>
      </c>
      <c r="T20" s="189">
        <v>0</v>
      </c>
      <c r="U20" s="189">
        <v>50400</v>
      </c>
      <c r="V20" s="189">
        <v>50400</v>
      </c>
      <c r="W20" s="189">
        <v>0</v>
      </c>
      <c r="X20" s="189">
        <v>0</v>
      </c>
      <c r="Y20" s="189">
        <v>3760000</v>
      </c>
      <c r="Z20" s="189">
        <v>0</v>
      </c>
      <c r="AA20" s="189">
        <v>0</v>
      </c>
      <c r="AB20" s="189">
        <v>0</v>
      </c>
      <c r="AC20" s="189">
        <v>459901.61</v>
      </c>
      <c r="AD20" s="189">
        <v>0</v>
      </c>
      <c r="AE20" s="189">
        <v>0</v>
      </c>
      <c r="AF20" s="189">
        <v>0</v>
      </c>
      <c r="AG20" s="189">
        <v>0</v>
      </c>
      <c r="AH20" s="189">
        <v>314415.27</v>
      </c>
      <c r="AI20" s="189">
        <v>0</v>
      </c>
      <c r="AJ20" s="189">
        <v>0</v>
      </c>
      <c r="AK20" s="189">
        <v>27920000</v>
      </c>
      <c r="AL20" s="189">
        <v>27920000</v>
      </c>
      <c r="AM20" s="189">
        <v>27920000</v>
      </c>
      <c r="AN20" s="189">
        <v>0</v>
      </c>
      <c r="AO20" s="189">
        <v>17411244.789999999</v>
      </c>
      <c r="AP20" s="189">
        <v>0</v>
      </c>
    </row>
    <row r="21" spans="1:42">
      <c r="A21" s="189" t="s">
        <v>237</v>
      </c>
      <c r="B21" s="189">
        <v>2588605919.04</v>
      </c>
      <c r="C21" s="189">
        <v>703160265.44000006</v>
      </c>
      <c r="D21" s="189">
        <v>116290222.8</v>
      </c>
      <c r="E21" s="189">
        <v>334964325.45999998</v>
      </c>
      <c r="F21" s="189">
        <v>250772065.63</v>
      </c>
      <c r="G21" s="189">
        <v>195291985.59999999</v>
      </c>
      <c r="H21" s="189">
        <v>115783595.95</v>
      </c>
      <c r="I21" s="189">
        <v>379229538.38999999</v>
      </c>
      <c r="J21" s="189">
        <v>396511315.38999999</v>
      </c>
      <c r="K21" s="189">
        <v>247773507.84999999</v>
      </c>
      <c r="L21" s="189">
        <v>101954067.90000001</v>
      </c>
      <c r="M21" s="189">
        <v>214623447.36000001</v>
      </c>
      <c r="N21" s="189">
        <v>268835491.49000001</v>
      </c>
      <c r="O21" s="189">
        <v>225814948.5</v>
      </c>
      <c r="P21" s="189">
        <v>74957107.560000002</v>
      </c>
      <c r="Q21" s="189">
        <v>267991735.08000001</v>
      </c>
      <c r="R21" s="189">
        <v>523400154.39999998</v>
      </c>
      <c r="S21" s="189">
        <v>666500635.16999996</v>
      </c>
      <c r="T21" s="189">
        <v>239749428.38999999</v>
      </c>
      <c r="U21" s="189">
        <v>1882932316.51</v>
      </c>
      <c r="V21" s="189">
        <v>1717909739.8499999</v>
      </c>
      <c r="W21" s="189">
        <v>1049592024.14</v>
      </c>
      <c r="X21" s="189">
        <v>638731831.25999999</v>
      </c>
      <c r="Y21" s="189">
        <v>809903207.72000003</v>
      </c>
      <c r="Z21" s="189">
        <v>394091071.70999998</v>
      </c>
      <c r="AA21" s="189">
        <v>207442239.81</v>
      </c>
      <c r="AB21" s="189">
        <v>81673224.659999996</v>
      </c>
      <c r="AC21" s="189">
        <v>520348782.18000001</v>
      </c>
      <c r="AD21" s="189">
        <v>181550134.81</v>
      </c>
      <c r="AE21" s="189">
        <v>99012902.340000004</v>
      </c>
      <c r="AF21" s="189">
        <v>31454681.09</v>
      </c>
      <c r="AG21" s="189">
        <v>69823201.879999995</v>
      </c>
      <c r="AH21" s="189">
        <v>57045578.780000001</v>
      </c>
      <c r="AI21" s="189">
        <v>19909760.879999999</v>
      </c>
      <c r="AJ21" s="189">
        <v>6374936.8700000001</v>
      </c>
      <c r="AK21" s="189">
        <v>15681648.710000001</v>
      </c>
      <c r="AL21" s="189">
        <v>8588864.2400000002</v>
      </c>
      <c r="AM21" s="189">
        <v>13712869.66</v>
      </c>
      <c r="AN21" s="189">
        <v>150388382.75999999</v>
      </c>
      <c r="AO21" s="189">
        <v>27849507.280000001</v>
      </c>
      <c r="AP21" s="189">
        <v>0</v>
      </c>
    </row>
    <row r="22" spans="1:42">
      <c r="A22" s="189" t="s">
        <v>238</v>
      </c>
      <c r="B22" s="189">
        <v>7500000</v>
      </c>
      <c r="C22" s="189">
        <v>2500000</v>
      </c>
      <c r="D22" s="189">
        <v>2500000</v>
      </c>
      <c r="E22" s="189">
        <v>8112057563.1400003</v>
      </c>
      <c r="F22" s="189">
        <v>2410171064.79</v>
      </c>
      <c r="G22" s="189">
        <v>748720000</v>
      </c>
      <c r="H22" s="189">
        <v>18000000</v>
      </c>
      <c r="I22" s="189">
        <v>332694980.45999998</v>
      </c>
      <c r="J22" s="189">
        <v>342962585.80000001</v>
      </c>
      <c r="K22" s="189">
        <v>329582000</v>
      </c>
      <c r="L22" s="189">
        <v>319082000</v>
      </c>
      <c r="M22" s="189">
        <v>153853913.52000001</v>
      </c>
      <c r="N22" s="189">
        <v>42140000</v>
      </c>
      <c r="O22" s="189">
        <v>3000000</v>
      </c>
      <c r="P22" s="189">
        <v>3000000</v>
      </c>
      <c r="Q22" s="189">
        <v>0</v>
      </c>
      <c r="R22" s="189">
        <v>0</v>
      </c>
      <c r="S22" s="189">
        <v>0</v>
      </c>
      <c r="T22" s="189">
        <v>0</v>
      </c>
      <c r="U22" s="189">
        <v>0</v>
      </c>
      <c r="V22" s="189">
        <v>0</v>
      </c>
      <c r="W22" s="189">
        <v>0</v>
      </c>
      <c r="X22" s="189">
        <v>0</v>
      </c>
      <c r="Y22" s="189">
        <v>0</v>
      </c>
      <c r="Z22" s="189">
        <v>0</v>
      </c>
      <c r="AA22" s="189">
        <v>0</v>
      </c>
      <c r="AB22" s="189">
        <v>0</v>
      </c>
      <c r="AC22" s="189">
        <v>5000000</v>
      </c>
      <c r="AD22" s="189">
        <v>5000000</v>
      </c>
      <c r="AE22" s="189">
        <v>0</v>
      </c>
      <c r="AF22" s="189">
        <v>0</v>
      </c>
      <c r="AG22" s="189">
        <v>0</v>
      </c>
      <c r="AH22" s="189">
        <v>0</v>
      </c>
      <c r="AI22" s="189">
        <v>0</v>
      </c>
      <c r="AJ22" s="189">
        <v>0</v>
      </c>
      <c r="AK22" s="189">
        <v>0</v>
      </c>
      <c r="AL22" s="189">
        <v>0</v>
      </c>
      <c r="AM22" s="189">
        <v>0</v>
      </c>
      <c r="AN22" s="189">
        <v>0</v>
      </c>
      <c r="AO22" s="189">
        <v>29400000</v>
      </c>
      <c r="AP22" s="189">
        <v>0</v>
      </c>
    </row>
    <row r="23" spans="1:42">
      <c r="A23" s="189" t="s">
        <v>239</v>
      </c>
      <c r="B23" s="189">
        <v>0</v>
      </c>
      <c r="C23" s="189">
        <v>0</v>
      </c>
      <c r="D23" s="189">
        <v>0</v>
      </c>
      <c r="E23" s="189">
        <v>0</v>
      </c>
      <c r="F23" s="189">
        <v>0</v>
      </c>
      <c r="G23" s="189">
        <v>0</v>
      </c>
      <c r="H23" s="189">
        <v>0</v>
      </c>
      <c r="I23" s="189">
        <v>0</v>
      </c>
      <c r="J23" s="189">
        <v>443221991.94999999</v>
      </c>
      <c r="K23" s="189">
        <v>-4719881.26</v>
      </c>
      <c r="L23" s="189">
        <v>0</v>
      </c>
      <c r="M23" s="189">
        <v>0</v>
      </c>
      <c r="N23" s="189">
        <v>0</v>
      </c>
      <c r="O23" s="189">
        <v>0</v>
      </c>
      <c r="P23" s="189">
        <v>0</v>
      </c>
      <c r="Q23" s="189">
        <v>10200000</v>
      </c>
      <c r="R23" s="189">
        <v>0</v>
      </c>
      <c r="S23" s="189">
        <v>0</v>
      </c>
      <c r="T23" s="189">
        <v>0</v>
      </c>
      <c r="U23" s="189">
        <v>-10108672.210000001</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860000</v>
      </c>
      <c r="AO23" s="189">
        <v>0</v>
      </c>
      <c r="AP23" s="189">
        <v>0</v>
      </c>
    </row>
    <row r="24" spans="1:42">
      <c r="A24" s="189" t="s">
        <v>240</v>
      </c>
      <c r="B24" s="189">
        <v>887143630</v>
      </c>
      <c r="C24" s="189">
        <v>1793143630</v>
      </c>
      <c r="D24" s="189">
        <v>181048650</v>
      </c>
      <c r="E24" s="189">
        <v>3982140</v>
      </c>
      <c r="F24" s="189">
        <v>3258075500</v>
      </c>
      <c r="G24" s="189">
        <v>2550000000</v>
      </c>
      <c r="H24" s="189">
        <v>2550000000</v>
      </c>
      <c r="I24" s="189">
        <v>0</v>
      </c>
      <c r="J24" s="189">
        <v>0</v>
      </c>
      <c r="K24" s="189">
        <v>0</v>
      </c>
      <c r="L24" s="189">
        <v>0</v>
      </c>
      <c r="M24" s="189">
        <v>0</v>
      </c>
      <c r="N24" s="189">
        <v>0</v>
      </c>
      <c r="O24" s="189">
        <v>0</v>
      </c>
      <c r="P24" s="189">
        <v>0</v>
      </c>
      <c r="Q24" s="189">
        <v>50000000</v>
      </c>
      <c r="R24" s="189">
        <v>0</v>
      </c>
      <c r="S24" s="189">
        <v>0</v>
      </c>
      <c r="T24" s="189">
        <v>0</v>
      </c>
      <c r="U24" s="189">
        <v>0</v>
      </c>
      <c r="V24" s="189">
        <v>0</v>
      </c>
      <c r="W24" s="189">
        <v>0</v>
      </c>
      <c r="X24" s="189">
        <v>0</v>
      </c>
      <c r="Y24" s="189">
        <v>0</v>
      </c>
      <c r="Z24" s="189">
        <v>0</v>
      </c>
      <c r="AA24" s="189">
        <v>0</v>
      </c>
      <c r="AB24" s="189">
        <v>0</v>
      </c>
      <c r="AC24" s="189">
        <v>0</v>
      </c>
      <c r="AD24" s="189">
        <v>0</v>
      </c>
      <c r="AE24" s="189">
        <v>26000000</v>
      </c>
      <c r="AF24" s="189">
        <v>0</v>
      </c>
      <c r="AG24" s="189">
        <v>0</v>
      </c>
      <c r="AH24" s="189">
        <v>0</v>
      </c>
      <c r="AI24" s="189">
        <v>0</v>
      </c>
      <c r="AJ24" s="189">
        <v>0</v>
      </c>
      <c r="AK24" s="189">
        <v>0</v>
      </c>
      <c r="AL24" s="189">
        <v>0</v>
      </c>
      <c r="AM24" s="189">
        <v>0</v>
      </c>
      <c r="AN24" s="189">
        <v>0</v>
      </c>
      <c r="AO24" s="189">
        <v>0</v>
      </c>
      <c r="AP24" s="189">
        <v>0</v>
      </c>
    </row>
    <row r="25" spans="1:42">
      <c r="A25" s="189" t="s">
        <v>241</v>
      </c>
      <c r="B25" s="189">
        <v>3483249549.04</v>
      </c>
      <c r="C25" s="189">
        <v>2498803895.4400001</v>
      </c>
      <c r="D25" s="189">
        <v>299838872.80000001</v>
      </c>
      <c r="E25" s="189">
        <v>8451004028.6000004</v>
      </c>
      <c r="F25" s="189">
        <v>5919018630.4200001</v>
      </c>
      <c r="G25" s="189">
        <v>3494011985.5999999</v>
      </c>
      <c r="H25" s="189">
        <v>2683783595.9499998</v>
      </c>
      <c r="I25" s="189">
        <v>711924518.85000002</v>
      </c>
      <c r="J25" s="189">
        <v>1182695893.1400001</v>
      </c>
      <c r="K25" s="189">
        <v>572635626.59000003</v>
      </c>
      <c r="L25" s="189">
        <v>421036067.89999998</v>
      </c>
      <c r="M25" s="189">
        <v>368477360.88</v>
      </c>
      <c r="N25" s="189">
        <v>310975491.49000001</v>
      </c>
      <c r="O25" s="189">
        <v>228814948.5</v>
      </c>
      <c r="P25" s="189">
        <v>77957107.560000002</v>
      </c>
      <c r="Q25" s="189">
        <v>328191735.07999998</v>
      </c>
      <c r="R25" s="189">
        <v>523400154.39999998</v>
      </c>
      <c r="S25" s="189">
        <v>666500635.16999996</v>
      </c>
      <c r="T25" s="189">
        <v>239749428.38999999</v>
      </c>
      <c r="U25" s="189">
        <v>1872823644.3</v>
      </c>
      <c r="V25" s="189">
        <v>1717909739.8499999</v>
      </c>
      <c r="W25" s="189">
        <v>1049592024.14</v>
      </c>
      <c r="X25" s="189">
        <v>638731831.25999999</v>
      </c>
      <c r="Y25" s="189">
        <v>809903207.72000003</v>
      </c>
      <c r="Z25" s="189">
        <v>394091071.70999998</v>
      </c>
      <c r="AA25" s="189">
        <v>207442239.81</v>
      </c>
      <c r="AB25" s="189">
        <v>81673224.659999996</v>
      </c>
      <c r="AC25" s="189">
        <v>525348782.18000001</v>
      </c>
      <c r="AD25" s="189">
        <v>186550134.81</v>
      </c>
      <c r="AE25" s="189">
        <v>125012902.34</v>
      </c>
      <c r="AF25" s="189">
        <v>31454681.09</v>
      </c>
      <c r="AG25" s="189">
        <v>69823201.879999995</v>
      </c>
      <c r="AH25" s="189">
        <v>57045578.780000001</v>
      </c>
      <c r="AI25" s="189">
        <v>19909760.879999999</v>
      </c>
      <c r="AJ25" s="189">
        <v>6374936.8700000001</v>
      </c>
      <c r="AK25" s="189">
        <v>15681648.710000001</v>
      </c>
      <c r="AL25" s="189">
        <v>8588864.2400000002</v>
      </c>
      <c r="AM25" s="189">
        <v>13712869.66</v>
      </c>
      <c r="AN25" s="189">
        <v>151248382.75999999</v>
      </c>
      <c r="AO25" s="189">
        <v>57249507.280000001</v>
      </c>
      <c r="AP25" s="189">
        <v>0</v>
      </c>
    </row>
    <row r="26" spans="1:42">
      <c r="A26" s="189" t="s">
        <v>242</v>
      </c>
      <c r="B26" s="189">
        <v>-284412605.99000001</v>
      </c>
      <c r="C26" s="189">
        <v>440958481.86000001</v>
      </c>
      <c r="D26" s="189">
        <v>232931996.77000001</v>
      </c>
      <c r="E26" s="189">
        <v>-7976533051.5799999</v>
      </c>
      <c r="F26" s="189">
        <v>-3573586051.0700002</v>
      </c>
      <c r="G26" s="189">
        <v>-3362737281.1799998</v>
      </c>
      <c r="H26" s="189">
        <v>-2683782955.9499998</v>
      </c>
      <c r="I26" s="189">
        <v>-573395821.79999995</v>
      </c>
      <c r="J26" s="189">
        <v>-1050866137.97</v>
      </c>
      <c r="K26" s="189">
        <v>-930719190.96000004</v>
      </c>
      <c r="L26" s="189">
        <v>-421036067.89999998</v>
      </c>
      <c r="M26" s="189">
        <v>-318457660.88</v>
      </c>
      <c r="N26" s="189">
        <v>-260957991.49000001</v>
      </c>
      <c r="O26" s="189">
        <v>-178814948.5</v>
      </c>
      <c r="P26" s="189">
        <v>-77957107.560000002</v>
      </c>
      <c r="Q26" s="189">
        <v>-322931559.87</v>
      </c>
      <c r="R26" s="189">
        <v>-523384154.39999998</v>
      </c>
      <c r="S26" s="189">
        <v>-666503735.16999996</v>
      </c>
      <c r="T26" s="189">
        <v>-239749428.38999999</v>
      </c>
      <c r="U26" s="189">
        <v>-1872773244.3</v>
      </c>
      <c r="V26" s="189">
        <v>-1717859339.8499999</v>
      </c>
      <c r="W26" s="189">
        <v>-1049592024.14</v>
      </c>
      <c r="X26" s="189">
        <v>-638731831.25999999</v>
      </c>
      <c r="Y26" s="189">
        <v>-806143207.72000003</v>
      </c>
      <c r="Z26" s="189">
        <v>-394091071.70999998</v>
      </c>
      <c r="AA26" s="189">
        <v>-207442239.81</v>
      </c>
      <c r="AB26" s="189">
        <v>-81673224.659999996</v>
      </c>
      <c r="AC26" s="189">
        <v>-524888880.56999999</v>
      </c>
      <c r="AD26" s="189">
        <v>-186550134.81</v>
      </c>
      <c r="AE26" s="189">
        <v>-125012902.34</v>
      </c>
      <c r="AF26" s="189">
        <v>-31454681.09</v>
      </c>
      <c r="AG26" s="189">
        <v>-69823201.879999995</v>
      </c>
      <c r="AH26" s="189">
        <v>-56731163.509999998</v>
      </c>
      <c r="AI26" s="189">
        <v>-19909760.879999999</v>
      </c>
      <c r="AJ26" s="189">
        <v>-6374936.8700000001</v>
      </c>
      <c r="AK26" s="189">
        <v>12238351.289999999</v>
      </c>
      <c r="AL26" s="189">
        <v>19331135.760000002</v>
      </c>
      <c r="AM26" s="189">
        <v>14207130.34</v>
      </c>
      <c r="AN26" s="189">
        <v>-151248382.75999999</v>
      </c>
      <c r="AO26" s="189">
        <v>-39838262.490000002</v>
      </c>
      <c r="AP26" s="189">
        <v>0</v>
      </c>
    </row>
    <row r="27" spans="1:42">
      <c r="A27" s="189" t="s">
        <v>243</v>
      </c>
    </row>
    <row r="28" spans="1:42">
      <c r="A28" s="189" t="s">
        <v>244</v>
      </c>
      <c r="B28" s="189">
        <v>41569946.840000004</v>
      </c>
      <c r="C28" s="189">
        <v>15163145.939999999</v>
      </c>
      <c r="D28" s="189">
        <v>0</v>
      </c>
      <c r="E28" s="189">
        <v>116670381.19</v>
      </c>
      <c r="F28" s="189">
        <v>77631264.109999999</v>
      </c>
      <c r="G28" s="189">
        <v>0</v>
      </c>
      <c r="H28" s="189">
        <v>0</v>
      </c>
      <c r="I28" s="189">
        <v>4937559236.79</v>
      </c>
      <c r="J28" s="189">
        <v>4867159308.21</v>
      </c>
      <c r="K28" s="189">
        <v>67159309.170000002</v>
      </c>
      <c r="L28" s="189">
        <v>16449916.15</v>
      </c>
      <c r="M28" s="189">
        <v>3102575455.3699999</v>
      </c>
      <c r="N28" s="189">
        <v>185082327.69999999</v>
      </c>
      <c r="O28" s="189">
        <v>29460617.649999999</v>
      </c>
      <c r="P28" s="189">
        <v>24460617.649999999</v>
      </c>
      <c r="Q28" s="189">
        <v>125086184.31</v>
      </c>
      <c r="R28" s="189">
        <v>1105199949.6099999</v>
      </c>
      <c r="S28" s="189">
        <v>58331319.810000002</v>
      </c>
      <c r="T28" s="189">
        <v>43637819.719999999</v>
      </c>
      <c r="U28" s="189">
        <v>163958749.77000001</v>
      </c>
      <c r="V28" s="189">
        <v>91543061.760000005</v>
      </c>
      <c r="W28" s="189">
        <v>91378282.069999993</v>
      </c>
      <c r="X28" s="189">
        <v>65837323.229999997</v>
      </c>
      <c r="Y28" s="189">
        <v>1591625000</v>
      </c>
      <c r="Z28" s="189">
        <v>1591625000</v>
      </c>
      <c r="AA28" s="189">
        <v>1591625000</v>
      </c>
      <c r="AB28" s="189">
        <v>0</v>
      </c>
      <c r="AC28" s="189">
        <v>2000000</v>
      </c>
      <c r="AD28" s="189">
        <v>17000000</v>
      </c>
      <c r="AE28" s="189">
        <v>0</v>
      </c>
      <c r="AF28" s="189">
        <v>0</v>
      </c>
      <c r="AG28" s="189">
        <v>554469600</v>
      </c>
      <c r="AH28" s="189">
        <v>554469600</v>
      </c>
      <c r="AI28" s="189">
        <v>0</v>
      </c>
      <c r="AJ28" s="189">
        <v>0</v>
      </c>
      <c r="AK28" s="189">
        <v>50000000</v>
      </c>
      <c r="AL28" s="189">
        <v>50000000</v>
      </c>
      <c r="AM28" s="189">
        <v>50000000</v>
      </c>
      <c r="AN28" s="189">
        <v>260000</v>
      </c>
      <c r="AO28" s="189">
        <v>61391405.979999997</v>
      </c>
      <c r="AP28" s="189">
        <v>0</v>
      </c>
    </row>
    <row r="29" spans="1:42">
      <c r="A29" s="189" t="s">
        <v>245</v>
      </c>
      <c r="B29" s="189">
        <v>0</v>
      </c>
      <c r="C29" s="189">
        <v>0</v>
      </c>
      <c r="D29" s="189">
        <v>0</v>
      </c>
      <c r="E29" s="189">
        <v>0</v>
      </c>
      <c r="F29" s="189">
        <v>0</v>
      </c>
      <c r="G29" s="189">
        <v>0</v>
      </c>
      <c r="H29" s="189">
        <v>0</v>
      </c>
      <c r="I29" s="189">
        <v>0</v>
      </c>
      <c r="J29" s="189">
        <v>0</v>
      </c>
      <c r="K29" s="189">
        <v>0</v>
      </c>
      <c r="L29" s="189">
        <v>0</v>
      </c>
      <c r="M29" s="189">
        <v>0</v>
      </c>
      <c r="N29" s="189">
        <v>5000000</v>
      </c>
      <c r="O29" s="189">
        <v>5000000</v>
      </c>
      <c r="P29" s="189">
        <v>0</v>
      </c>
      <c r="Q29" s="189">
        <v>0</v>
      </c>
      <c r="R29" s="189">
        <v>0</v>
      </c>
      <c r="S29" s="189">
        <v>0</v>
      </c>
      <c r="T29" s="189">
        <v>0</v>
      </c>
      <c r="U29" s="189">
        <v>0</v>
      </c>
      <c r="V29" s="189">
        <v>0</v>
      </c>
      <c r="W29" s="189">
        <v>0</v>
      </c>
      <c r="X29" s="189">
        <v>0</v>
      </c>
      <c r="Y29" s="189">
        <v>0</v>
      </c>
      <c r="Z29" s="189">
        <v>0</v>
      </c>
      <c r="AA29" s="189">
        <v>0</v>
      </c>
      <c r="AB29" s="189">
        <v>0</v>
      </c>
      <c r="AC29" s="189">
        <v>2000000</v>
      </c>
      <c r="AD29" s="189">
        <v>17000000</v>
      </c>
      <c r="AE29" s="189">
        <v>0</v>
      </c>
      <c r="AF29" s="189">
        <v>0</v>
      </c>
      <c r="AG29" s="189">
        <v>0</v>
      </c>
      <c r="AH29" s="189">
        <v>0</v>
      </c>
      <c r="AI29" s="189">
        <v>0</v>
      </c>
      <c r="AJ29" s="189">
        <v>0</v>
      </c>
      <c r="AK29" s="189">
        <v>0</v>
      </c>
      <c r="AL29" s="189">
        <v>0</v>
      </c>
      <c r="AM29" s="189">
        <v>0</v>
      </c>
      <c r="AN29" s="189">
        <v>0</v>
      </c>
      <c r="AO29" s="189">
        <v>0</v>
      </c>
      <c r="AP29" s="189">
        <v>0</v>
      </c>
    </row>
    <row r="30" spans="1:42">
      <c r="A30" s="189" t="s">
        <v>246</v>
      </c>
      <c r="B30" s="189">
        <v>6741130758.6999998</v>
      </c>
      <c r="C30" s="189">
        <v>4320439778.6999998</v>
      </c>
      <c r="D30" s="189">
        <v>2141827064.6700001</v>
      </c>
      <c r="E30" s="189">
        <v>8038557634.1899996</v>
      </c>
      <c r="F30" s="189">
        <v>6058875067.0699997</v>
      </c>
      <c r="G30" s="189">
        <v>3842019678.0799999</v>
      </c>
      <c r="H30" s="189">
        <v>1140099721.21</v>
      </c>
      <c r="I30" s="189">
        <v>7300767745.4700003</v>
      </c>
      <c r="J30" s="189">
        <v>5313359451.4700003</v>
      </c>
      <c r="K30" s="189">
        <v>3302918616.4499998</v>
      </c>
      <c r="L30" s="189">
        <v>1301407627.0999999</v>
      </c>
      <c r="M30" s="189">
        <v>3641192234.0500002</v>
      </c>
      <c r="N30" s="189">
        <v>2406627200.2800002</v>
      </c>
      <c r="O30" s="189">
        <v>1306435940.73</v>
      </c>
      <c r="P30" s="189">
        <v>329950745.13999999</v>
      </c>
      <c r="Q30" s="189">
        <v>3010231074.1599998</v>
      </c>
      <c r="R30" s="189">
        <v>1912575974.54</v>
      </c>
      <c r="S30" s="189">
        <v>1379180482.3</v>
      </c>
      <c r="T30" s="189">
        <v>313949065.31</v>
      </c>
      <c r="U30" s="189">
        <v>2480564409.3099999</v>
      </c>
      <c r="V30" s="189">
        <v>1540212756.1300001</v>
      </c>
      <c r="W30" s="189">
        <v>531415967.47000003</v>
      </c>
      <c r="X30" s="189">
        <v>0</v>
      </c>
      <c r="Y30" s="189">
        <v>1639698701.77</v>
      </c>
      <c r="Z30" s="189">
        <v>1139742889.8800001</v>
      </c>
      <c r="AA30" s="189">
        <v>619698701.76999998</v>
      </c>
      <c r="AB30" s="189">
        <v>213148260.41999999</v>
      </c>
      <c r="AC30" s="189">
        <v>665854495.5</v>
      </c>
      <c r="AD30" s="189">
        <v>323000000</v>
      </c>
      <c r="AE30" s="189">
        <v>283000000</v>
      </c>
      <c r="AF30" s="189">
        <v>83000000</v>
      </c>
      <c r="AG30" s="189">
        <v>282000000</v>
      </c>
      <c r="AH30" s="189">
        <v>102000000</v>
      </c>
      <c r="AI30" s="189">
        <v>82000000</v>
      </c>
      <c r="AJ30" s="189">
        <v>82000000</v>
      </c>
      <c r="AK30" s="189">
        <v>312000000</v>
      </c>
      <c r="AL30" s="189">
        <v>112000000</v>
      </c>
      <c r="AM30" s="189">
        <v>58000000</v>
      </c>
      <c r="AN30" s="189">
        <v>258347071.44999999</v>
      </c>
      <c r="AO30" s="189">
        <v>139100000</v>
      </c>
      <c r="AP30" s="189">
        <v>0</v>
      </c>
    </row>
    <row r="31" spans="1:42">
      <c r="A31" s="189" t="s">
        <v>247</v>
      </c>
      <c r="B31" s="189">
        <v>1496625000</v>
      </c>
      <c r="C31" s="189">
        <v>1496625000</v>
      </c>
      <c r="D31" s="189">
        <v>0</v>
      </c>
      <c r="E31" s="189">
        <v>6569490000</v>
      </c>
      <c r="F31" s="189">
        <v>5569790000</v>
      </c>
      <c r="G31" s="189">
        <v>3569790000</v>
      </c>
      <c r="H31" s="189">
        <v>3062500000</v>
      </c>
      <c r="I31" s="189">
        <v>2500000000</v>
      </c>
      <c r="J31" s="189">
        <v>2500000000</v>
      </c>
      <c r="K31" s="189">
        <v>1500000000</v>
      </c>
      <c r="L31" s="189">
        <v>500000000</v>
      </c>
      <c r="M31" s="189">
        <v>1590530000</v>
      </c>
      <c r="N31" s="189">
        <v>1600000000</v>
      </c>
      <c r="O31" s="189">
        <v>1000000000</v>
      </c>
      <c r="P31" s="189">
        <v>0</v>
      </c>
      <c r="Q31" s="189">
        <v>997000000</v>
      </c>
      <c r="R31" s="189">
        <v>0</v>
      </c>
      <c r="S31" s="189">
        <v>0</v>
      </c>
      <c r="T31" s="189">
        <v>0</v>
      </c>
      <c r="U31" s="189">
        <v>0</v>
      </c>
      <c r="V31" s="189">
        <v>0</v>
      </c>
      <c r="W31" s="189">
        <v>0</v>
      </c>
      <c r="X31" s="189">
        <v>0</v>
      </c>
      <c r="Y31" s="189">
        <v>892600000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row>
    <row r="32" spans="1:42">
      <c r="A32" s="189" t="s">
        <v>248</v>
      </c>
      <c r="B32" s="189">
        <v>21846442.100000001</v>
      </c>
      <c r="C32" s="189">
        <v>1782000</v>
      </c>
      <c r="D32" s="189">
        <v>589660118.11000001</v>
      </c>
      <c r="E32" s="189">
        <v>5977840</v>
      </c>
      <c r="F32" s="189">
        <v>47337106.640000001</v>
      </c>
      <c r="G32" s="189">
        <v>77297772.530000001</v>
      </c>
      <c r="H32" s="189">
        <v>100328172.70999999</v>
      </c>
      <c r="I32" s="189">
        <v>9000000</v>
      </c>
      <c r="J32" s="189">
        <v>85696113.659999996</v>
      </c>
      <c r="K32" s="189">
        <v>0</v>
      </c>
      <c r="L32" s="189">
        <v>30658070.699999999</v>
      </c>
      <c r="M32" s="189">
        <v>141914158.56999999</v>
      </c>
      <c r="N32" s="189">
        <v>101277413</v>
      </c>
      <c r="O32" s="189">
        <v>101277413</v>
      </c>
      <c r="P32" s="189">
        <v>1277413</v>
      </c>
      <c r="Q32" s="189">
        <v>0</v>
      </c>
      <c r="R32" s="189">
        <v>0</v>
      </c>
      <c r="S32" s="189">
        <v>0</v>
      </c>
      <c r="T32" s="189">
        <v>0</v>
      </c>
      <c r="U32" s="189">
        <v>0</v>
      </c>
      <c r="V32" s="189">
        <v>0</v>
      </c>
      <c r="W32" s="189">
        <v>0</v>
      </c>
      <c r="X32" s="189">
        <v>0</v>
      </c>
      <c r="Y32" s="189">
        <v>0</v>
      </c>
      <c r="Z32" s="189">
        <v>0</v>
      </c>
      <c r="AA32" s="189">
        <v>0</v>
      </c>
      <c r="AB32" s="189">
        <v>0</v>
      </c>
      <c r="AC32" s="189">
        <v>0</v>
      </c>
      <c r="AD32" s="189">
        <v>29696896.600000001</v>
      </c>
      <c r="AE32" s="189">
        <v>19346185.98</v>
      </c>
      <c r="AF32" s="189">
        <v>0</v>
      </c>
      <c r="AG32" s="189">
        <v>0</v>
      </c>
      <c r="AH32" s="189">
        <v>0</v>
      </c>
      <c r="AI32" s="189">
        <v>0</v>
      </c>
      <c r="AJ32" s="189">
        <v>0</v>
      </c>
      <c r="AK32" s="189">
        <v>0</v>
      </c>
      <c r="AL32" s="189">
        <v>0</v>
      </c>
      <c r="AM32" s="189">
        <v>0</v>
      </c>
      <c r="AN32" s="189">
        <v>0</v>
      </c>
      <c r="AO32" s="189">
        <v>0</v>
      </c>
      <c r="AP32" s="189">
        <v>0</v>
      </c>
    </row>
    <row r="33" spans="1:42">
      <c r="A33" s="189" t="s">
        <v>249</v>
      </c>
      <c r="B33" s="189">
        <v>8301172147.6400003</v>
      </c>
      <c r="C33" s="189">
        <v>5834009924.6400003</v>
      </c>
      <c r="D33" s="189">
        <v>2731487182.7800002</v>
      </c>
      <c r="E33" s="189">
        <v>14730695855.379999</v>
      </c>
      <c r="F33" s="189">
        <v>11753633437.82</v>
      </c>
      <c r="G33" s="189">
        <v>7489107450.6099997</v>
      </c>
      <c r="H33" s="189">
        <v>4302927893.9200001</v>
      </c>
      <c r="I33" s="189">
        <v>14747326982.26</v>
      </c>
      <c r="J33" s="189">
        <v>12766214873.34</v>
      </c>
      <c r="K33" s="189">
        <v>4870077925.6199999</v>
      </c>
      <c r="L33" s="189">
        <v>1848515613.95</v>
      </c>
      <c r="M33" s="189">
        <v>8476211847.9899998</v>
      </c>
      <c r="N33" s="189">
        <v>4292986940.98</v>
      </c>
      <c r="O33" s="189">
        <v>2437173971.3800001</v>
      </c>
      <c r="P33" s="189">
        <v>355688775.79000002</v>
      </c>
      <c r="Q33" s="189">
        <v>4132317258.4699998</v>
      </c>
      <c r="R33" s="189">
        <v>3017775924.1500001</v>
      </c>
      <c r="S33" s="189">
        <v>1437511802.1099999</v>
      </c>
      <c r="T33" s="189">
        <v>357586885.02999997</v>
      </c>
      <c r="U33" s="189">
        <v>2644523159.0799999</v>
      </c>
      <c r="V33" s="189">
        <v>1631755817.8900001</v>
      </c>
      <c r="W33" s="189">
        <v>622794249.53999996</v>
      </c>
      <c r="X33" s="189">
        <v>65837323.229999997</v>
      </c>
      <c r="Y33" s="189">
        <v>4123923701.77</v>
      </c>
      <c r="Z33" s="189">
        <v>2731367889.8800001</v>
      </c>
      <c r="AA33" s="189">
        <v>2211323701.77</v>
      </c>
      <c r="AB33" s="189">
        <v>213148260.41999999</v>
      </c>
      <c r="AC33" s="189">
        <v>667854495.5</v>
      </c>
      <c r="AD33" s="189">
        <v>369696896.60000002</v>
      </c>
      <c r="AE33" s="189">
        <v>302346185.98000002</v>
      </c>
      <c r="AF33" s="189">
        <v>83000000</v>
      </c>
      <c r="AG33" s="189">
        <v>836469600</v>
      </c>
      <c r="AH33" s="189">
        <v>656469600</v>
      </c>
      <c r="AI33" s="189">
        <v>82000000</v>
      </c>
      <c r="AJ33" s="189">
        <v>82000000</v>
      </c>
      <c r="AK33" s="189">
        <v>362000000</v>
      </c>
      <c r="AL33" s="189">
        <v>162000000</v>
      </c>
      <c r="AM33" s="189">
        <v>108000000</v>
      </c>
      <c r="AN33" s="189">
        <v>258607071.44999999</v>
      </c>
      <c r="AO33" s="189">
        <v>200491405.97999999</v>
      </c>
      <c r="AP33" s="189">
        <v>0</v>
      </c>
    </row>
    <row r="34" spans="1:42">
      <c r="A34" s="189" t="s">
        <v>250</v>
      </c>
      <c r="B34" s="189">
        <v>10100299093.73</v>
      </c>
      <c r="C34" s="189">
        <v>5747457901.3699999</v>
      </c>
      <c r="D34" s="189">
        <v>1209355281</v>
      </c>
      <c r="E34" s="189">
        <v>9236744583.8400002</v>
      </c>
      <c r="F34" s="189">
        <v>6302440506.96</v>
      </c>
      <c r="G34" s="189">
        <v>4028545450.9099998</v>
      </c>
      <c r="H34" s="189">
        <v>2828400718.3200002</v>
      </c>
      <c r="I34" s="189">
        <v>7857260376.8699999</v>
      </c>
      <c r="J34" s="189">
        <v>6284460692.6999998</v>
      </c>
      <c r="K34" s="189">
        <v>3744018008.21</v>
      </c>
      <c r="L34" s="189">
        <v>1321274959.76</v>
      </c>
      <c r="M34" s="189">
        <v>2720987102.8800001</v>
      </c>
      <c r="N34" s="189">
        <v>1675292507.6700001</v>
      </c>
      <c r="O34" s="189">
        <v>1146218098.6199999</v>
      </c>
      <c r="P34" s="189">
        <v>467882561.31</v>
      </c>
      <c r="Q34" s="189">
        <v>2434671626.3400002</v>
      </c>
      <c r="R34" s="189">
        <v>1429190829.1400001</v>
      </c>
      <c r="S34" s="189">
        <v>762870671.76999998</v>
      </c>
      <c r="T34" s="189">
        <v>537639038.21000004</v>
      </c>
      <c r="U34" s="189">
        <v>1564638578.6900001</v>
      </c>
      <c r="V34" s="189">
        <v>922219335.78999996</v>
      </c>
      <c r="W34" s="189">
        <v>512091763.36000001</v>
      </c>
      <c r="X34" s="189">
        <v>169363383.68000001</v>
      </c>
      <c r="Y34" s="189">
        <v>763852444.65999997</v>
      </c>
      <c r="Z34" s="189">
        <v>532138535.57999998</v>
      </c>
      <c r="AA34" s="189">
        <v>492264019.92000002</v>
      </c>
      <c r="AB34" s="189">
        <v>170097795.77000001</v>
      </c>
      <c r="AC34" s="189">
        <v>253090000</v>
      </c>
      <c r="AD34" s="189">
        <v>140000000</v>
      </c>
      <c r="AE34" s="189">
        <v>120000000</v>
      </c>
      <c r="AF34" s="189">
        <v>20000000</v>
      </c>
      <c r="AG34" s="189">
        <v>349000000</v>
      </c>
      <c r="AH34" s="189">
        <v>229000000</v>
      </c>
      <c r="AI34" s="189">
        <v>62000000</v>
      </c>
      <c r="AJ34" s="189">
        <v>42000000</v>
      </c>
      <c r="AK34" s="189">
        <v>271000000</v>
      </c>
      <c r="AL34" s="189">
        <v>76000000</v>
      </c>
      <c r="AM34" s="189">
        <v>62000000</v>
      </c>
      <c r="AN34" s="189">
        <v>141447071.44999999</v>
      </c>
      <c r="AO34" s="189">
        <v>115900000</v>
      </c>
      <c r="AP34" s="189">
        <v>0</v>
      </c>
    </row>
    <row r="35" spans="1:42">
      <c r="A35" s="189" t="s">
        <v>550</v>
      </c>
      <c r="B35" s="189">
        <v>750780100.77999997</v>
      </c>
      <c r="C35" s="189">
        <v>298280761.38</v>
      </c>
      <c r="D35" s="189">
        <v>182825883.19999999</v>
      </c>
      <c r="E35" s="189">
        <v>643855339.74000001</v>
      </c>
      <c r="F35" s="189">
        <v>457686271.94</v>
      </c>
      <c r="G35" s="189">
        <v>291738854.88</v>
      </c>
      <c r="H35" s="189">
        <v>88836308.640000001</v>
      </c>
      <c r="I35" s="189">
        <v>510381298.00999999</v>
      </c>
      <c r="J35" s="189">
        <v>392312807.95999998</v>
      </c>
      <c r="K35" s="189">
        <v>249823861.30000001</v>
      </c>
      <c r="L35" s="189">
        <v>36622096.579999998</v>
      </c>
      <c r="M35" s="189">
        <v>432496600.98000002</v>
      </c>
      <c r="N35" s="189">
        <v>328143227.31999999</v>
      </c>
      <c r="O35" s="189">
        <v>204333121.41</v>
      </c>
      <c r="P35" s="189">
        <v>73446665</v>
      </c>
      <c r="Q35" s="189">
        <v>283232638.42000002</v>
      </c>
      <c r="R35" s="189">
        <v>187703331.49000001</v>
      </c>
      <c r="S35" s="189">
        <v>144503390.94999999</v>
      </c>
      <c r="T35" s="189">
        <v>34141745.799999997</v>
      </c>
      <c r="U35" s="189">
        <v>203982484.37</v>
      </c>
      <c r="V35" s="189">
        <v>82371562.129999995</v>
      </c>
      <c r="W35" s="189">
        <v>63089719.689999998</v>
      </c>
      <c r="X35" s="189">
        <v>13163825.949999999</v>
      </c>
      <c r="Y35" s="189">
        <v>63804346.299999997</v>
      </c>
      <c r="Z35" s="189">
        <v>32753780.960000001</v>
      </c>
      <c r="AA35" s="189">
        <v>25882607.850000001</v>
      </c>
      <c r="AB35" s="189">
        <v>18508597.600000001</v>
      </c>
      <c r="AC35" s="189">
        <v>28587473.629999999</v>
      </c>
      <c r="AD35" s="189">
        <v>20342412.02</v>
      </c>
      <c r="AE35" s="189">
        <v>13560100.91</v>
      </c>
      <c r="AF35" s="189">
        <v>2883216.95</v>
      </c>
      <c r="AG35" s="189">
        <v>10976295.67</v>
      </c>
      <c r="AH35" s="189">
        <v>9855850.5099999998</v>
      </c>
      <c r="AI35" s="189">
        <v>6966132.2699999996</v>
      </c>
      <c r="AJ35" s="189">
        <v>3223174.01</v>
      </c>
      <c r="AK35" s="189">
        <v>12352821.550000001</v>
      </c>
      <c r="AL35" s="189">
        <v>6181075.7699999996</v>
      </c>
      <c r="AM35" s="189">
        <v>4282467.01</v>
      </c>
      <c r="AN35" s="189">
        <v>7048501.9699999997</v>
      </c>
      <c r="AO35" s="189">
        <v>19725371.300000001</v>
      </c>
      <c r="AP35" s="189">
        <v>0</v>
      </c>
    </row>
    <row r="36" spans="1:42">
      <c r="A36" s="189" t="s">
        <v>251</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1250000</v>
      </c>
      <c r="AO36" s="189">
        <v>0</v>
      </c>
      <c r="AP36" s="189">
        <v>0</v>
      </c>
    </row>
    <row r="37" spans="1:42">
      <c r="A37" s="189" t="s">
        <v>252</v>
      </c>
      <c r="B37" s="189">
        <v>6766919.8099999996</v>
      </c>
      <c r="C37" s="189">
        <v>19649951.239999998</v>
      </c>
      <c r="D37" s="189">
        <v>3649919.81</v>
      </c>
      <c r="E37" s="189">
        <v>36309661.229999997</v>
      </c>
      <c r="F37" s="189">
        <v>10846177</v>
      </c>
      <c r="G37" s="189">
        <v>3200000</v>
      </c>
      <c r="H37" s="189">
        <v>3000000</v>
      </c>
      <c r="I37" s="189">
        <v>672042974.19000006</v>
      </c>
      <c r="J37" s="189">
        <v>47510832.240000002</v>
      </c>
      <c r="K37" s="189">
        <v>81114148.019999996</v>
      </c>
      <c r="L37" s="189">
        <v>8952840.0199999996</v>
      </c>
      <c r="M37" s="189">
        <v>233526352.75999999</v>
      </c>
      <c r="N37" s="189">
        <v>185577020.81999999</v>
      </c>
      <c r="O37" s="189">
        <v>64892437.840000004</v>
      </c>
      <c r="P37" s="189">
        <v>0</v>
      </c>
      <c r="Q37" s="189">
        <v>342994932.64999998</v>
      </c>
      <c r="R37" s="189">
        <v>27824289.129999999</v>
      </c>
      <c r="S37" s="189">
        <v>0</v>
      </c>
      <c r="T37" s="189">
        <v>0</v>
      </c>
      <c r="U37" s="189">
        <v>0</v>
      </c>
      <c r="V37" s="189">
        <v>100000</v>
      </c>
      <c r="W37" s="189">
        <v>100000</v>
      </c>
      <c r="X37" s="189">
        <v>100000</v>
      </c>
      <c r="Y37" s="189">
        <v>262500</v>
      </c>
      <c r="Z37" s="189">
        <v>262500</v>
      </c>
      <c r="AA37" s="189">
        <v>262500</v>
      </c>
      <c r="AB37" s="189">
        <v>0</v>
      </c>
      <c r="AC37" s="189">
        <v>1053968.1499999999</v>
      </c>
      <c r="AD37" s="189">
        <v>4418125.5</v>
      </c>
      <c r="AE37" s="189">
        <v>895055.61</v>
      </c>
      <c r="AF37" s="189">
        <v>0</v>
      </c>
      <c r="AG37" s="189">
        <v>12429082.15</v>
      </c>
      <c r="AH37" s="189">
        <v>13037069.23</v>
      </c>
      <c r="AI37" s="189">
        <v>3254858.81</v>
      </c>
      <c r="AJ37" s="189">
        <v>3495.81</v>
      </c>
      <c r="AK37" s="189">
        <v>3778999.6</v>
      </c>
      <c r="AL37" s="189">
        <v>2991499.6</v>
      </c>
      <c r="AM37" s="189">
        <v>5177.21</v>
      </c>
      <c r="AN37" s="189">
        <v>30000</v>
      </c>
      <c r="AO37" s="189">
        <v>1385824</v>
      </c>
      <c r="AP37" s="189">
        <v>0</v>
      </c>
    </row>
    <row r="38" spans="1:42">
      <c r="A38" s="189" t="s">
        <v>253</v>
      </c>
      <c r="B38" s="189">
        <v>10857846114.32</v>
      </c>
      <c r="C38" s="189">
        <v>6065388613.9899998</v>
      </c>
      <c r="D38" s="189">
        <v>1395831084.01</v>
      </c>
      <c r="E38" s="189">
        <v>9916909584.8099995</v>
      </c>
      <c r="F38" s="189">
        <v>6770972955.8999996</v>
      </c>
      <c r="G38" s="189">
        <v>4323484305.79</v>
      </c>
      <c r="H38" s="189">
        <v>2920237026.96</v>
      </c>
      <c r="I38" s="189">
        <v>9039684649.0699997</v>
      </c>
      <c r="J38" s="189">
        <v>6724284332.8999996</v>
      </c>
      <c r="K38" s="189">
        <v>4074956017.5300002</v>
      </c>
      <c r="L38" s="189">
        <v>1366849896.3599999</v>
      </c>
      <c r="M38" s="189">
        <v>3387010056.6199999</v>
      </c>
      <c r="N38" s="189">
        <v>2189012755.8099999</v>
      </c>
      <c r="O38" s="189">
        <v>1415443657.8699999</v>
      </c>
      <c r="P38" s="189">
        <v>541329226.30999994</v>
      </c>
      <c r="Q38" s="189">
        <v>3060899197.4099998</v>
      </c>
      <c r="R38" s="189">
        <v>1644718449.76</v>
      </c>
      <c r="S38" s="189">
        <v>907374062.72000003</v>
      </c>
      <c r="T38" s="189">
        <v>571780784.00999999</v>
      </c>
      <c r="U38" s="189">
        <v>1768621063.0599999</v>
      </c>
      <c r="V38" s="189">
        <v>1004690897.92</v>
      </c>
      <c r="W38" s="189">
        <v>575281483.04999995</v>
      </c>
      <c r="X38" s="189">
        <v>182627209.63</v>
      </c>
      <c r="Y38" s="189">
        <v>827919290.96000004</v>
      </c>
      <c r="Z38" s="189">
        <v>565154816.53999996</v>
      </c>
      <c r="AA38" s="189">
        <v>518409127.76999998</v>
      </c>
      <c r="AB38" s="189">
        <v>188606393.37</v>
      </c>
      <c r="AC38" s="189">
        <v>282731441.77999997</v>
      </c>
      <c r="AD38" s="189">
        <v>164760537.52000001</v>
      </c>
      <c r="AE38" s="189">
        <v>134455156.52000001</v>
      </c>
      <c r="AF38" s="189">
        <v>22883216.949999999</v>
      </c>
      <c r="AG38" s="189">
        <v>372405377.81999999</v>
      </c>
      <c r="AH38" s="189">
        <v>251892919.74000001</v>
      </c>
      <c r="AI38" s="189">
        <v>72220991.079999998</v>
      </c>
      <c r="AJ38" s="189">
        <v>45226669.82</v>
      </c>
      <c r="AK38" s="189">
        <v>287131821.14999998</v>
      </c>
      <c r="AL38" s="189">
        <v>85172575.370000005</v>
      </c>
      <c r="AM38" s="189">
        <v>66287644.219999999</v>
      </c>
      <c r="AN38" s="189">
        <v>148525573.41999999</v>
      </c>
      <c r="AO38" s="189">
        <v>137011195.30000001</v>
      </c>
      <c r="AP38" s="189">
        <v>0</v>
      </c>
    </row>
    <row r="39" spans="1:42">
      <c r="A39" s="189" t="s">
        <v>254</v>
      </c>
      <c r="B39" s="189">
        <v>-2556673966.6799998</v>
      </c>
      <c r="C39" s="189">
        <v>-231378689.34999999</v>
      </c>
      <c r="D39" s="189">
        <v>1335656098.77</v>
      </c>
      <c r="E39" s="189">
        <v>4813786270.5699997</v>
      </c>
      <c r="F39" s="189">
        <v>4982660481.9200001</v>
      </c>
      <c r="G39" s="189">
        <v>3165623144.8200002</v>
      </c>
      <c r="H39" s="189">
        <v>1382690866.96</v>
      </c>
      <c r="I39" s="189">
        <v>5707642333.1899996</v>
      </c>
      <c r="J39" s="189">
        <v>6041930540.4399996</v>
      </c>
      <c r="K39" s="189">
        <v>795121908.09000003</v>
      </c>
      <c r="L39" s="189">
        <v>481665717.58999997</v>
      </c>
      <c r="M39" s="189">
        <v>5089201791.3699999</v>
      </c>
      <c r="N39" s="189">
        <v>2103974185.1700001</v>
      </c>
      <c r="O39" s="189">
        <v>1021730313.51</v>
      </c>
      <c r="P39" s="189">
        <v>-185640450.52000001</v>
      </c>
      <c r="Q39" s="189">
        <v>1071418061.0599999</v>
      </c>
      <c r="R39" s="189">
        <v>1373057474.3900001</v>
      </c>
      <c r="S39" s="189">
        <v>530137739.38999999</v>
      </c>
      <c r="T39" s="189">
        <v>-214193898.97999999</v>
      </c>
      <c r="U39" s="189">
        <v>875902096.01999998</v>
      </c>
      <c r="V39" s="189">
        <v>627064919.97000003</v>
      </c>
      <c r="W39" s="189">
        <v>47512766.490000002</v>
      </c>
      <c r="X39" s="189">
        <v>-116789886.40000001</v>
      </c>
      <c r="Y39" s="189">
        <v>3296004410.8099999</v>
      </c>
      <c r="Z39" s="189">
        <v>2166213073.3400002</v>
      </c>
      <c r="AA39" s="189">
        <v>1692914574</v>
      </c>
      <c r="AB39" s="189">
        <v>24541867.050000001</v>
      </c>
      <c r="AC39" s="189">
        <v>385123053.72000003</v>
      </c>
      <c r="AD39" s="189">
        <v>204936359.08000001</v>
      </c>
      <c r="AE39" s="189">
        <v>167891029.46000001</v>
      </c>
      <c r="AF39" s="189">
        <v>60116783.049999997</v>
      </c>
      <c r="AG39" s="189">
        <v>464064222.18000001</v>
      </c>
      <c r="AH39" s="189">
        <v>404576680.25999999</v>
      </c>
      <c r="AI39" s="189">
        <v>9779008.9199999999</v>
      </c>
      <c r="AJ39" s="189">
        <v>36773330.18</v>
      </c>
      <c r="AK39" s="189">
        <v>74868178.849999994</v>
      </c>
      <c r="AL39" s="189">
        <v>76827424.629999995</v>
      </c>
      <c r="AM39" s="189">
        <v>41712355.780000001</v>
      </c>
      <c r="AN39" s="189">
        <v>110081498.03</v>
      </c>
      <c r="AO39" s="189">
        <v>63480210.68</v>
      </c>
      <c r="AP39" s="189">
        <v>0</v>
      </c>
    </row>
    <row r="40" spans="1:42">
      <c r="A40" s="189" t="s">
        <v>255</v>
      </c>
      <c r="B40" s="189">
        <v>1651269.12</v>
      </c>
      <c r="C40" s="189">
        <v>-21465170.66</v>
      </c>
      <c r="D40" s="189">
        <v>-55527858</v>
      </c>
      <c r="E40" s="189">
        <v>-110256047.26000001</v>
      </c>
      <c r="F40" s="189">
        <v>-87645335.099999994</v>
      </c>
      <c r="G40" s="189">
        <v>-31250758</v>
      </c>
      <c r="H40" s="189">
        <v>11287664.16</v>
      </c>
      <c r="I40" s="189">
        <v>23036423.859999999</v>
      </c>
      <c r="J40" s="189">
        <v>6949894.7000000002</v>
      </c>
      <c r="K40" s="189">
        <v>4279516.53</v>
      </c>
      <c r="L40" s="189">
        <v>-4785511.8499999996</v>
      </c>
      <c r="M40" s="189">
        <v>37640497.710000001</v>
      </c>
      <c r="N40" s="189">
        <v>23422660.170000002</v>
      </c>
      <c r="O40" s="189">
        <v>6241301.4900000002</v>
      </c>
      <c r="P40" s="189">
        <v>1011682.02</v>
      </c>
      <c r="Q40" s="189">
        <v>3280313.47</v>
      </c>
      <c r="R40" s="189">
        <v>-300370.05</v>
      </c>
      <c r="S40" s="189">
        <v>763825.3</v>
      </c>
      <c r="T40" s="189">
        <v>-968409.81</v>
      </c>
      <c r="U40" s="189">
        <v>1104014.3600000001</v>
      </c>
      <c r="V40" s="189">
        <v>-910364.49</v>
      </c>
      <c r="W40" s="189">
        <v>-460326.83</v>
      </c>
      <c r="X40" s="189">
        <v>-8541980.0399999991</v>
      </c>
      <c r="Y40" s="189">
        <v>-996554.42</v>
      </c>
      <c r="Z40" s="189">
        <v>-941429.01</v>
      </c>
      <c r="AA40" s="189">
        <v>-694043.01</v>
      </c>
      <c r="AB40" s="189">
        <v>-177830.78</v>
      </c>
      <c r="AC40" s="189">
        <v>-1373939.16</v>
      </c>
      <c r="AD40" s="189">
        <v>-125842.66</v>
      </c>
      <c r="AE40" s="189">
        <v>-69512.33</v>
      </c>
      <c r="AF40" s="189">
        <v>-25479.66</v>
      </c>
      <c r="AG40" s="189">
        <v>-155937.60999999999</v>
      </c>
      <c r="AH40" s="189">
        <v>-140407.99</v>
      </c>
      <c r="AI40" s="189">
        <v>-133732.89000000001</v>
      </c>
      <c r="AJ40" s="189">
        <v>-4073.74</v>
      </c>
      <c r="AK40" s="189">
        <v>-198486.39</v>
      </c>
      <c r="AL40" s="189">
        <v>-101621.96</v>
      </c>
      <c r="AM40" s="189">
        <v>-99448.1</v>
      </c>
      <c r="AN40" s="189">
        <v>-274865.03999999998</v>
      </c>
      <c r="AO40" s="189">
        <v>-230973.24</v>
      </c>
      <c r="AP40" s="189">
        <v>0</v>
      </c>
    </row>
    <row r="41" spans="1:42">
      <c r="A41" s="189" t="s">
        <v>256</v>
      </c>
      <c r="B41" s="189">
        <v>-765764873.00999999</v>
      </c>
      <c r="C41" s="189">
        <v>824013311.42999995</v>
      </c>
      <c r="D41" s="189">
        <v>1813489185.76</v>
      </c>
      <c r="E41" s="189">
        <v>388758862.30000001</v>
      </c>
      <c r="F41" s="189">
        <v>3571795762.5700002</v>
      </c>
      <c r="G41" s="189">
        <v>1531315078.5899999</v>
      </c>
      <c r="H41" s="189">
        <v>-148419562.94999999</v>
      </c>
      <c r="I41" s="189">
        <v>5109700094.4700003</v>
      </c>
      <c r="J41" s="189">
        <v>5334202427.96</v>
      </c>
      <c r="K41" s="189">
        <v>130800162.73</v>
      </c>
      <c r="L41" s="189">
        <v>278605198.62</v>
      </c>
      <c r="M41" s="189">
        <v>5714923504.6599998</v>
      </c>
      <c r="N41" s="189">
        <v>2255125217.6500001</v>
      </c>
      <c r="O41" s="189">
        <v>1203328854.3099999</v>
      </c>
      <c r="P41" s="189">
        <v>-123424421.62</v>
      </c>
      <c r="Q41" s="189">
        <v>1181452163.0599999</v>
      </c>
      <c r="R41" s="189">
        <v>1146221407.55</v>
      </c>
      <c r="S41" s="189">
        <v>121005124.78</v>
      </c>
      <c r="T41" s="189">
        <v>-351436132.41000003</v>
      </c>
      <c r="U41" s="189">
        <v>-770243570.91999996</v>
      </c>
      <c r="V41" s="189">
        <v>-860930812.16999996</v>
      </c>
      <c r="W41" s="189">
        <v>-801052008.30999994</v>
      </c>
      <c r="X41" s="189">
        <v>-694106338.61000001</v>
      </c>
      <c r="Y41" s="189">
        <v>2761672190.21</v>
      </c>
      <c r="Z41" s="189">
        <v>1885271539.49</v>
      </c>
      <c r="AA41" s="189">
        <v>1560792981.3499999</v>
      </c>
      <c r="AB41" s="189">
        <v>-3442692.04</v>
      </c>
      <c r="AC41" s="189">
        <v>19677830.75</v>
      </c>
      <c r="AD41" s="189">
        <v>78599792.230000004</v>
      </c>
      <c r="AE41" s="189">
        <v>118085975.06</v>
      </c>
      <c r="AF41" s="189">
        <v>40571289.140000001</v>
      </c>
      <c r="AG41" s="189">
        <v>503180592.31999999</v>
      </c>
      <c r="AH41" s="189">
        <v>394686086.76999998</v>
      </c>
      <c r="AI41" s="189">
        <v>-2163600.15</v>
      </c>
      <c r="AJ41" s="189">
        <v>41324772.520000003</v>
      </c>
      <c r="AK41" s="189">
        <v>132987944.17</v>
      </c>
      <c r="AL41" s="189">
        <v>118803825.18000001</v>
      </c>
      <c r="AM41" s="189">
        <v>82407635.450000003</v>
      </c>
      <c r="AN41" s="189">
        <v>-6650413.4000000004</v>
      </c>
      <c r="AO41" s="189">
        <v>27389608.030000001</v>
      </c>
      <c r="AP41" s="189">
        <v>0</v>
      </c>
    </row>
    <row r="42" spans="1:42">
      <c r="A42" s="189" t="s">
        <v>257</v>
      </c>
      <c r="B42" s="189">
        <v>15078500370.889999</v>
      </c>
      <c r="C42" s="189">
        <v>15078500370.889999</v>
      </c>
      <c r="D42" s="189">
        <v>15078500370.889999</v>
      </c>
      <c r="E42" s="189">
        <v>14689741508.59</v>
      </c>
      <c r="F42" s="189">
        <v>14689741508.59</v>
      </c>
      <c r="G42" s="189">
        <v>14689741508.59</v>
      </c>
      <c r="H42" s="189">
        <v>14689741508.59</v>
      </c>
      <c r="I42" s="189">
        <v>9580041414.1200008</v>
      </c>
      <c r="J42" s="189">
        <v>9573495847.3299999</v>
      </c>
      <c r="K42" s="189">
        <v>9571761694.7900009</v>
      </c>
      <c r="L42" s="189">
        <v>9571761694.7900009</v>
      </c>
      <c r="M42" s="189">
        <v>3856838190.1300001</v>
      </c>
      <c r="N42" s="189">
        <v>3856838190.1300001</v>
      </c>
      <c r="O42" s="189">
        <v>3856838190.1300001</v>
      </c>
      <c r="P42" s="189">
        <v>4192943122.7800002</v>
      </c>
      <c r="Q42" s="189">
        <v>2675386027.0700002</v>
      </c>
      <c r="R42" s="189">
        <v>2675386027.0700002</v>
      </c>
      <c r="S42" s="189">
        <v>2675386027.0700002</v>
      </c>
      <c r="T42" s="189">
        <v>2675386027.0700002</v>
      </c>
      <c r="U42" s="189">
        <v>3445629597.9899998</v>
      </c>
      <c r="V42" s="189">
        <v>3445629597.9899998</v>
      </c>
      <c r="W42" s="189">
        <v>3445629597.9899998</v>
      </c>
      <c r="X42" s="189">
        <v>3445629597.9899998</v>
      </c>
      <c r="Y42" s="189">
        <v>683957407.77999997</v>
      </c>
      <c r="Z42" s="189">
        <v>683957407.77999997</v>
      </c>
      <c r="AA42" s="189">
        <v>683957407.77999997</v>
      </c>
      <c r="AB42" s="189">
        <v>683957407.77999997</v>
      </c>
      <c r="AC42" s="189">
        <v>664279577.02999997</v>
      </c>
      <c r="AD42" s="189">
        <v>664279577.02999997</v>
      </c>
      <c r="AE42" s="189">
        <v>664279577.02999997</v>
      </c>
      <c r="AF42" s="189">
        <v>664279577.02999997</v>
      </c>
      <c r="AG42" s="189">
        <v>161098984.71000001</v>
      </c>
      <c r="AH42" s="189">
        <v>161098984.71000001</v>
      </c>
      <c r="AI42" s="189">
        <v>161098984.71000001</v>
      </c>
      <c r="AJ42" s="189">
        <v>161098984.71000001</v>
      </c>
      <c r="AK42" s="189">
        <v>28111040.539999999</v>
      </c>
      <c r="AL42" s="189">
        <v>28111040.539999999</v>
      </c>
      <c r="AM42" s="189">
        <v>28178862.079999998</v>
      </c>
      <c r="AN42" s="189">
        <v>34761453.939999998</v>
      </c>
      <c r="AO42" s="189">
        <v>7371845.9100000001</v>
      </c>
      <c r="AP42" s="189">
        <v>0</v>
      </c>
    </row>
    <row r="43" spans="1:42">
      <c r="A43" s="189" t="s">
        <v>258</v>
      </c>
      <c r="B43" s="189">
        <v>14312735497.879999</v>
      </c>
      <c r="C43" s="189">
        <v>15902513682.32</v>
      </c>
      <c r="D43" s="189">
        <v>16891989556.65</v>
      </c>
      <c r="E43" s="189">
        <v>15078500370.889999</v>
      </c>
      <c r="F43" s="189">
        <v>18261537271.16</v>
      </c>
      <c r="G43" s="189">
        <v>16221056587.18</v>
      </c>
      <c r="H43" s="189">
        <v>14541321945.639999</v>
      </c>
      <c r="I43" s="189">
        <v>14689741508.59</v>
      </c>
      <c r="J43" s="189">
        <v>14907698275.290001</v>
      </c>
      <c r="K43" s="189">
        <v>9702561857.5200005</v>
      </c>
      <c r="L43" s="189">
        <v>9850366893.4099998</v>
      </c>
      <c r="M43" s="189">
        <v>9571761694.7900009</v>
      </c>
      <c r="N43" s="189">
        <v>6111963407.7799997</v>
      </c>
      <c r="O43" s="189">
        <v>5060167044.4399996</v>
      </c>
      <c r="P43" s="189">
        <v>4069518701.1599998</v>
      </c>
      <c r="Q43" s="189">
        <v>3856838190.1300001</v>
      </c>
      <c r="R43" s="189">
        <v>3821607434.6199999</v>
      </c>
      <c r="S43" s="189">
        <v>2796391151.8499999</v>
      </c>
      <c r="T43" s="189">
        <v>2323949894.6599998</v>
      </c>
      <c r="U43" s="189">
        <v>2675386027.0700002</v>
      </c>
      <c r="V43" s="189">
        <v>2584698785.8200002</v>
      </c>
      <c r="W43" s="189">
        <v>2644577589.6799998</v>
      </c>
      <c r="X43" s="189">
        <v>2751523259.3800001</v>
      </c>
      <c r="Y43" s="189">
        <v>3445629597.9899998</v>
      </c>
      <c r="Z43" s="189">
        <v>2569228947.27</v>
      </c>
      <c r="AA43" s="189">
        <v>2244750389.1300001</v>
      </c>
      <c r="AB43" s="189">
        <v>680514715.74000001</v>
      </c>
      <c r="AC43" s="189">
        <v>683957407.77999997</v>
      </c>
      <c r="AD43" s="189">
        <v>742879369.25999999</v>
      </c>
      <c r="AE43" s="189">
        <v>782365552.09000003</v>
      </c>
      <c r="AF43" s="189">
        <v>704850866.16999996</v>
      </c>
      <c r="AG43" s="189">
        <v>664279577.02999997</v>
      </c>
      <c r="AH43" s="189">
        <v>555785071.48000002</v>
      </c>
      <c r="AI43" s="189">
        <v>158935384.56</v>
      </c>
      <c r="AJ43" s="189">
        <v>202423757.22999999</v>
      </c>
      <c r="AK43" s="189">
        <v>161098984.71000001</v>
      </c>
      <c r="AL43" s="189">
        <v>146914865.72</v>
      </c>
      <c r="AM43" s="189">
        <v>110586497.53</v>
      </c>
      <c r="AN43" s="189">
        <v>28111040.539999999</v>
      </c>
      <c r="AO43" s="189">
        <v>34761453.939999998</v>
      </c>
      <c r="AP43" s="189">
        <v>0</v>
      </c>
    </row>
    <row r="44" spans="1:42">
      <c r="A44" s="189" t="s">
        <v>259</v>
      </c>
    </row>
    <row r="45" spans="1:42">
      <c r="A45" s="189" t="s">
        <v>260</v>
      </c>
      <c r="B45" s="189">
        <v>0</v>
      </c>
      <c r="C45" s="189">
        <v>1515192666.26</v>
      </c>
      <c r="D45" s="189">
        <v>0</v>
      </c>
      <c r="E45" s="189">
        <v>2475839648</v>
      </c>
      <c r="F45" s="189">
        <v>0</v>
      </c>
      <c r="G45" s="189">
        <v>1255537191.71</v>
      </c>
      <c r="H45" s="189">
        <v>0</v>
      </c>
      <c r="I45" s="189">
        <v>1965043503.1700001</v>
      </c>
      <c r="J45" s="189">
        <v>0</v>
      </c>
      <c r="K45" s="189">
        <v>897803629.75999999</v>
      </c>
      <c r="L45" s="189">
        <v>0</v>
      </c>
      <c r="M45" s="189">
        <v>1404924355.51</v>
      </c>
      <c r="N45" s="189">
        <v>0</v>
      </c>
      <c r="O45" s="189">
        <v>656069308.02999997</v>
      </c>
      <c r="P45" s="189">
        <v>0</v>
      </c>
      <c r="Q45" s="189">
        <v>1000216276.11</v>
      </c>
      <c r="R45" s="189">
        <v>0</v>
      </c>
      <c r="S45" s="189">
        <v>450995915.56999999</v>
      </c>
      <c r="T45" s="189">
        <v>0</v>
      </c>
      <c r="U45" s="189">
        <v>659586728.13</v>
      </c>
      <c r="V45" s="189">
        <v>0</v>
      </c>
      <c r="W45" s="189">
        <v>288341978.17000002</v>
      </c>
      <c r="X45" s="189">
        <v>0</v>
      </c>
      <c r="Y45" s="189">
        <v>423498107.69</v>
      </c>
      <c r="Z45" s="189">
        <v>0</v>
      </c>
      <c r="AA45" s="189">
        <v>179636220.44</v>
      </c>
      <c r="AB45" s="189">
        <v>0</v>
      </c>
      <c r="AC45" s="189">
        <v>130578798.37</v>
      </c>
      <c r="AD45" s="189">
        <v>0</v>
      </c>
      <c r="AE45" s="189">
        <v>59190742.960000001</v>
      </c>
      <c r="AF45" s="189">
        <v>0</v>
      </c>
      <c r="AG45" s="189">
        <v>70092451.549999997</v>
      </c>
      <c r="AH45" s="189">
        <v>0</v>
      </c>
      <c r="AI45" s="189">
        <v>0</v>
      </c>
      <c r="AJ45" s="189">
        <v>0</v>
      </c>
      <c r="AK45" s="189">
        <v>46210422.039999999</v>
      </c>
      <c r="AL45" s="189">
        <v>0</v>
      </c>
      <c r="AM45" s="189">
        <v>0</v>
      </c>
      <c r="AN45" s="189">
        <v>28895166.16</v>
      </c>
      <c r="AO45" s="189">
        <v>17114578.460000001</v>
      </c>
      <c r="AP45" s="189">
        <v>0</v>
      </c>
    </row>
    <row r="46" spans="1:42">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row>
    <row r="47" spans="1:42">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row>
    <row r="48" spans="1:42">
      <c r="A48" s="189" t="s">
        <v>262</v>
      </c>
      <c r="B48" s="189">
        <v>0</v>
      </c>
      <c r="C48" s="189">
        <v>135041694.75</v>
      </c>
      <c r="D48" s="189">
        <v>0</v>
      </c>
      <c r="E48" s="189">
        <v>29956438.440000001</v>
      </c>
      <c r="F48" s="189">
        <v>0</v>
      </c>
      <c r="G48" s="189">
        <v>-25400189.350000001</v>
      </c>
      <c r="H48" s="189">
        <v>0</v>
      </c>
      <c r="I48" s="189">
        <v>164488091.91</v>
      </c>
      <c r="J48" s="189">
        <v>0</v>
      </c>
      <c r="K48" s="189">
        <v>48314025.810000002</v>
      </c>
      <c r="L48" s="189">
        <v>0</v>
      </c>
      <c r="M48" s="189">
        <v>71429859.040000007</v>
      </c>
      <c r="N48" s="189">
        <v>0</v>
      </c>
      <c r="O48" s="189">
        <v>9965352.8900000006</v>
      </c>
      <c r="P48" s="189">
        <v>0</v>
      </c>
      <c r="Q48" s="189">
        <v>78913357.269999996</v>
      </c>
      <c r="R48" s="189">
        <v>0</v>
      </c>
      <c r="S48" s="189">
        <v>29400130.84</v>
      </c>
      <c r="T48" s="189">
        <v>0</v>
      </c>
      <c r="U48" s="189">
        <v>8659917.5299999993</v>
      </c>
      <c r="V48" s="189">
        <v>0</v>
      </c>
      <c r="W48" s="189">
        <v>793875.12</v>
      </c>
      <c r="X48" s="189">
        <v>0</v>
      </c>
      <c r="Y48" s="189">
        <v>10385228.449999999</v>
      </c>
      <c r="Z48" s="189">
        <v>0</v>
      </c>
      <c r="AA48" s="189">
        <v>6491154.3899999997</v>
      </c>
      <c r="AB48" s="189">
        <v>0</v>
      </c>
      <c r="AC48" s="189">
        <v>4212918.57</v>
      </c>
      <c r="AD48" s="189">
        <v>0</v>
      </c>
      <c r="AE48" s="189">
        <v>0</v>
      </c>
      <c r="AF48" s="189">
        <v>0</v>
      </c>
      <c r="AG48" s="189">
        <v>715772.4</v>
      </c>
      <c r="AH48" s="189">
        <v>0</v>
      </c>
      <c r="AI48" s="189">
        <v>0</v>
      </c>
      <c r="AJ48" s="189">
        <v>0</v>
      </c>
      <c r="AK48" s="189">
        <v>994588.04</v>
      </c>
      <c r="AL48" s="189">
        <v>0</v>
      </c>
      <c r="AM48" s="189">
        <v>0</v>
      </c>
      <c r="AN48" s="189">
        <v>372501.82</v>
      </c>
      <c r="AO48" s="189">
        <v>-699916.22</v>
      </c>
      <c r="AP48" s="189">
        <v>0</v>
      </c>
    </row>
    <row r="49" spans="1:42">
      <c r="A49" s="189" t="s">
        <v>263</v>
      </c>
      <c r="B49" s="189">
        <v>0</v>
      </c>
      <c r="C49" s="189">
        <v>106932218.75</v>
      </c>
      <c r="D49" s="189">
        <v>0</v>
      </c>
      <c r="E49" s="189">
        <v>197938163.75</v>
      </c>
      <c r="F49" s="189">
        <v>0</v>
      </c>
      <c r="G49" s="189">
        <v>88331943.969999999</v>
      </c>
      <c r="H49" s="189">
        <v>0</v>
      </c>
      <c r="I49" s="189">
        <v>181260911.65000001</v>
      </c>
      <c r="J49" s="189">
        <v>0</v>
      </c>
      <c r="K49" s="189">
        <v>96444524.900000006</v>
      </c>
      <c r="L49" s="189">
        <v>0</v>
      </c>
      <c r="M49" s="189">
        <v>190974754.86000001</v>
      </c>
      <c r="N49" s="189">
        <v>0</v>
      </c>
      <c r="O49" s="189">
        <v>91998614.040000007</v>
      </c>
      <c r="P49" s="189">
        <v>0</v>
      </c>
      <c r="Q49" s="189">
        <v>162964970.91999999</v>
      </c>
      <c r="R49" s="189">
        <v>0</v>
      </c>
      <c r="S49" s="189">
        <v>50661736.740000002</v>
      </c>
      <c r="T49" s="189">
        <v>0</v>
      </c>
      <c r="U49" s="189">
        <v>60803402.539999999</v>
      </c>
      <c r="V49" s="189">
        <v>0</v>
      </c>
      <c r="W49" s="189">
        <v>26121474.539999999</v>
      </c>
      <c r="X49" s="189">
        <v>0</v>
      </c>
      <c r="Y49" s="189">
        <v>33542649.300000001</v>
      </c>
      <c r="Z49" s="189">
        <v>0</v>
      </c>
      <c r="AA49" s="189">
        <v>16224920.08</v>
      </c>
      <c r="AB49" s="189">
        <v>0</v>
      </c>
      <c r="AC49" s="189">
        <v>15220897.67</v>
      </c>
      <c r="AD49" s="189">
        <v>0</v>
      </c>
      <c r="AE49" s="189">
        <v>1854938.16</v>
      </c>
      <c r="AF49" s="189">
        <v>0</v>
      </c>
      <c r="AG49" s="189">
        <v>13779522.529999999</v>
      </c>
      <c r="AH49" s="189">
        <v>0</v>
      </c>
      <c r="AI49" s="189">
        <v>0</v>
      </c>
      <c r="AJ49" s="189">
        <v>0</v>
      </c>
      <c r="AK49" s="189">
        <v>8875139.8699999992</v>
      </c>
      <c r="AL49" s="189">
        <v>0</v>
      </c>
      <c r="AM49" s="189">
        <v>0</v>
      </c>
      <c r="AN49" s="189">
        <v>5492133.54</v>
      </c>
      <c r="AO49" s="189">
        <v>5290785.6500000004</v>
      </c>
      <c r="AP49" s="189">
        <v>0</v>
      </c>
    </row>
    <row r="50" spans="1:42">
      <c r="A50" s="189" t="s">
        <v>264</v>
      </c>
      <c r="B50" s="189">
        <v>0</v>
      </c>
      <c r="C50" s="189">
        <v>42926243.229999997</v>
      </c>
      <c r="D50" s="189">
        <v>0</v>
      </c>
      <c r="E50" s="189">
        <v>59049996.5</v>
      </c>
      <c r="F50" s="189">
        <v>0</v>
      </c>
      <c r="G50" s="189">
        <v>30094985.82</v>
      </c>
      <c r="H50" s="189">
        <v>0</v>
      </c>
      <c r="I50" s="189">
        <v>56205820.43</v>
      </c>
      <c r="J50" s="189">
        <v>0</v>
      </c>
      <c r="K50" s="189">
        <v>9930708.2200000007</v>
      </c>
      <c r="L50" s="189">
        <v>0</v>
      </c>
      <c r="M50" s="189">
        <v>15750922.17</v>
      </c>
      <c r="N50" s="189">
        <v>0</v>
      </c>
      <c r="O50" s="189">
        <v>6815400.8200000003</v>
      </c>
      <c r="P50" s="189">
        <v>0</v>
      </c>
      <c r="Q50" s="189">
        <v>11364414.529999999</v>
      </c>
      <c r="R50" s="189">
        <v>0</v>
      </c>
      <c r="S50" s="189">
        <v>5100200.6500000004</v>
      </c>
      <c r="T50" s="189">
        <v>0</v>
      </c>
      <c r="U50" s="189">
        <v>7524731.7300000004</v>
      </c>
      <c r="V50" s="189">
        <v>0</v>
      </c>
      <c r="W50" s="189">
        <v>3517080.52</v>
      </c>
      <c r="X50" s="189">
        <v>0</v>
      </c>
      <c r="Y50" s="189">
        <v>6826474.54</v>
      </c>
      <c r="Z50" s="189">
        <v>0</v>
      </c>
      <c r="AA50" s="189">
        <v>3410654.98</v>
      </c>
      <c r="AB50" s="189">
        <v>0</v>
      </c>
      <c r="AC50" s="189">
        <v>4153937.85</v>
      </c>
      <c r="AD50" s="189">
        <v>0</v>
      </c>
      <c r="AE50" s="189">
        <v>9417740.0199999996</v>
      </c>
      <c r="AF50" s="189">
        <v>0</v>
      </c>
      <c r="AG50" s="189">
        <v>1918598.32</v>
      </c>
      <c r="AH50" s="189">
        <v>0</v>
      </c>
      <c r="AI50" s="189">
        <v>0</v>
      </c>
      <c r="AJ50" s="189">
        <v>0</v>
      </c>
      <c r="AK50" s="189">
        <v>2044910.42</v>
      </c>
      <c r="AL50" s="189">
        <v>0</v>
      </c>
      <c r="AM50" s="189">
        <v>0</v>
      </c>
      <c r="AN50" s="189">
        <v>1058837.27</v>
      </c>
      <c r="AO50" s="189">
        <v>1053089.81</v>
      </c>
      <c r="AP50" s="189">
        <v>0</v>
      </c>
    </row>
    <row r="51" spans="1:42">
      <c r="A51" s="189" t="s">
        <v>265</v>
      </c>
      <c r="B51" s="189">
        <v>0</v>
      </c>
      <c r="C51" s="189">
        <v>4551046.3099999996</v>
      </c>
      <c r="D51" s="189">
        <v>0</v>
      </c>
      <c r="E51" s="189">
        <v>11177737.220000001</v>
      </c>
      <c r="F51" s="189">
        <v>0</v>
      </c>
      <c r="G51" s="189">
        <v>4729237.12</v>
      </c>
      <c r="H51" s="189">
        <v>0</v>
      </c>
      <c r="I51" s="189">
        <v>646321.86</v>
      </c>
      <c r="J51" s="189">
        <v>0</v>
      </c>
      <c r="K51" s="189">
        <v>729938.45</v>
      </c>
      <c r="L51" s="189">
        <v>0</v>
      </c>
      <c r="M51" s="189">
        <v>81615.12</v>
      </c>
      <c r="N51" s="189">
        <v>0</v>
      </c>
      <c r="O51" s="189">
        <v>40807.56</v>
      </c>
      <c r="P51" s="189">
        <v>0</v>
      </c>
      <c r="Q51" s="189">
        <v>596315.56000000006</v>
      </c>
      <c r="R51" s="189">
        <v>0</v>
      </c>
      <c r="S51" s="189">
        <v>0</v>
      </c>
      <c r="T51" s="189">
        <v>0</v>
      </c>
      <c r="U51" s="189">
        <v>0</v>
      </c>
      <c r="V51" s="189">
        <v>0</v>
      </c>
      <c r="W51" s="189">
        <v>0</v>
      </c>
      <c r="X51" s="189">
        <v>0</v>
      </c>
      <c r="Y51" s="189">
        <v>0</v>
      </c>
      <c r="Z51" s="189">
        <v>0</v>
      </c>
      <c r="AA51" s="189">
        <v>0</v>
      </c>
      <c r="AB51" s="189">
        <v>0</v>
      </c>
      <c r="AC51" s="189">
        <v>0</v>
      </c>
      <c r="AD51" s="189">
        <v>0</v>
      </c>
      <c r="AE51" s="189">
        <v>1388319.22</v>
      </c>
      <c r="AF51" s="189">
        <v>0</v>
      </c>
      <c r="AG51" s="189">
        <v>0</v>
      </c>
      <c r="AH51" s="189">
        <v>0</v>
      </c>
      <c r="AI51" s="189">
        <v>0</v>
      </c>
      <c r="AJ51" s="189">
        <v>0</v>
      </c>
      <c r="AK51" s="189">
        <v>0</v>
      </c>
      <c r="AL51" s="189">
        <v>0</v>
      </c>
      <c r="AM51" s="189">
        <v>0</v>
      </c>
      <c r="AN51" s="189">
        <v>0</v>
      </c>
      <c r="AO51" s="189">
        <v>0</v>
      </c>
      <c r="AP51" s="189">
        <v>0</v>
      </c>
    </row>
    <row r="52" spans="1:42">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row>
    <row r="53" spans="1:42">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row>
    <row r="54" spans="1:42">
      <c r="A54" s="189" t="s">
        <v>268</v>
      </c>
      <c r="B54" s="189">
        <v>0</v>
      </c>
      <c r="C54" s="189">
        <v>195652.88</v>
      </c>
      <c r="D54" s="189">
        <v>0</v>
      </c>
      <c r="E54" s="189">
        <v>238205.34</v>
      </c>
      <c r="F54" s="189">
        <v>0</v>
      </c>
      <c r="G54" s="189">
        <v>199013.61</v>
      </c>
      <c r="H54" s="189">
        <v>0</v>
      </c>
      <c r="I54" s="189">
        <v>627516.66</v>
      </c>
      <c r="J54" s="189">
        <v>0</v>
      </c>
      <c r="K54" s="189">
        <v>3534.29</v>
      </c>
      <c r="L54" s="189">
        <v>0</v>
      </c>
      <c r="M54" s="189">
        <v>97280.54</v>
      </c>
      <c r="N54" s="189">
        <v>0</v>
      </c>
      <c r="O54" s="189">
        <v>37302.720000000001</v>
      </c>
      <c r="P54" s="189">
        <v>0</v>
      </c>
      <c r="Q54" s="189">
        <v>2699692.81</v>
      </c>
      <c r="R54" s="189">
        <v>0</v>
      </c>
      <c r="S54" s="189">
        <v>0</v>
      </c>
      <c r="T54" s="189">
        <v>0</v>
      </c>
      <c r="U54" s="189">
        <v>33325.85</v>
      </c>
      <c r="V54" s="189">
        <v>0</v>
      </c>
      <c r="W54" s="189">
        <v>0</v>
      </c>
      <c r="X54" s="189">
        <v>0</v>
      </c>
      <c r="Y54" s="189">
        <v>1065346.58</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row>
    <row r="55" spans="1:42">
      <c r="A55" s="189" t="s">
        <v>269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row>
    <row r="56" spans="1:42">
      <c r="A56" s="189" t="s">
        <v>270</v>
      </c>
      <c r="B56" s="189">
        <v>0</v>
      </c>
      <c r="C56" s="189">
        <v>0</v>
      </c>
      <c r="D56" s="189">
        <v>0</v>
      </c>
      <c r="E56" s="189">
        <v>-850000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row>
    <row r="57" spans="1:42">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row>
    <row r="58" spans="1:42">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row>
    <row r="59" spans="1:42">
      <c r="A59" s="189" t="s">
        <v>197</v>
      </c>
      <c r="B59" s="189">
        <v>0</v>
      </c>
      <c r="C59" s="189">
        <v>345345722.98000002</v>
      </c>
      <c r="D59" s="189">
        <v>0</v>
      </c>
      <c r="E59" s="189">
        <v>484728351.18000001</v>
      </c>
      <c r="F59" s="189">
        <v>0</v>
      </c>
      <c r="G59" s="189">
        <v>220092038.65000001</v>
      </c>
      <c r="H59" s="189">
        <v>0</v>
      </c>
      <c r="I59" s="189">
        <v>239765940.99000001</v>
      </c>
      <c r="J59" s="189">
        <v>0</v>
      </c>
      <c r="K59" s="189">
        <v>201403649.81999999</v>
      </c>
      <c r="L59" s="189">
        <v>0</v>
      </c>
      <c r="M59" s="189">
        <v>327448730.79000002</v>
      </c>
      <c r="N59" s="189">
        <v>0</v>
      </c>
      <c r="O59" s="189">
        <v>143859021.91999999</v>
      </c>
      <c r="P59" s="189">
        <v>0</v>
      </c>
      <c r="Q59" s="189">
        <v>261776452.09999999</v>
      </c>
      <c r="R59" s="189">
        <v>0</v>
      </c>
      <c r="S59" s="189">
        <v>89360134.299999997</v>
      </c>
      <c r="T59" s="189">
        <v>0</v>
      </c>
      <c r="U59" s="189">
        <v>143852287.03</v>
      </c>
      <c r="V59" s="189">
        <v>0</v>
      </c>
      <c r="W59" s="189">
        <v>65873887.950000003</v>
      </c>
      <c r="X59" s="189">
        <v>0</v>
      </c>
      <c r="Y59" s="189">
        <v>58593037.789999999</v>
      </c>
      <c r="Z59" s="189">
        <v>0</v>
      </c>
      <c r="AA59" s="189">
        <v>22139397.690000001</v>
      </c>
      <c r="AB59" s="189">
        <v>0</v>
      </c>
      <c r="AC59" s="189">
        <v>28069059.75</v>
      </c>
      <c r="AD59" s="189">
        <v>0</v>
      </c>
      <c r="AE59" s="189">
        <v>6883499.1799999997</v>
      </c>
      <c r="AF59" s="189">
        <v>0</v>
      </c>
      <c r="AG59" s="189">
        <v>10976370.67</v>
      </c>
      <c r="AH59" s="189">
        <v>0</v>
      </c>
      <c r="AI59" s="189">
        <v>0</v>
      </c>
      <c r="AJ59" s="189">
        <v>0</v>
      </c>
      <c r="AK59" s="189">
        <v>10266116.060000001</v>
      </c>
      <c r="AL59" s="189">
        <v>0</v>
      </c>
      <c r="AM59" s="189">
        <v>0</v>
      </c>
      <c r="AN59" s="189">
        <v>7110985.7599999998</v>
      </c>
      <c r="AO59" s="189">
        <v>6145846.1699999999</v>
      </c>
      <c r="AP59" s="189">
        <v>0</v>
      </c>
    </row>
    <row r="60" spans="1:42">
      <c r="A60" s="189" t="s">
        <v>273</v>
      </c>
      <c r="B60" s="189">
        <v>0</v>
      </c>
      <c r="C60" s="189">
        <v>-19079377.280000001</v>
      </c>
      <c r="D60" s="189">
        <v>0</v>
      </c>
      <c r="E60" s="189">
        <v>-51846083.219999999</v>
      </c>
      <c r="F60" s="189">
        <v>0</v>
      </c>
      <c r="G60" s="189">
        <v>-4853414.16</v>
      </c>
      <c r="H60" s="189">
        <v>0</v>
      </c>
      <c r="I60" s="189">
        <v>-25282857.18</v>
      </c>
      <c r="J60" s="189">
        <v>0</v>
      </c>
      <c r="K60" s="189">
        <v>-35155460.740000002</v>
      </c>
      <c r="L60" s="189">
        <v>0</v>
      </c>
      <c r="M60" s="189">
        <v>1837323.69</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row>
    <row r="61" spans="1:42">
      <c r="A61" s="189" t="s">
        <v>274</v>
      </c>
      <c r="B61" s="189">
        <v>0</v>
      </c>
      <c r="C61" s="189">
        <v>-11225491.91</v>
      </c>
      <c r="D61" s="189">
        <v>0</v>
      </c>
      <c r="E61" s="189">
        <v>-17777905.27</v>
      </c>
      <c r="F61" s="189">
        <v>0</v>
      </c>
      <c r="G61" s="189">
        <v>-12502647.630000001</v>
      </c>
      <c r="H61" s="189">
        <v>0</v>
      </c>
      <c r="I61" s="189">
        <v>-13337307.199999999</v>
      </c>
      <c r="J61" s="189">
        <v>0</v>
      </c>
      <c r="K61" s="189">
        <v>-5146463.26</v>
      </c>
      <c r="L61" s="189">
        <v>0</v>
      </c>
      <c r="M61" s="189">
        <v>-6492407.6900000004</v>
      </c>
      <c r="N61" s="189">
        <v>0</v>
      </c>
      <c r="O61" s="189">
        <v>-476223.97</v>
      </c>
      <c r="P61" s="189">
        <v>0</v>
      </c>
      <c r="Q61" s="189">
        <v>-10538299.060000001</v>
      </c>
      <c r="R61" s="189">
        <v>0</v>
      </c>
      <c r="S61" s="189">
        <v>-3485873.28</v>
      </c>
      <c r="T61" s="189">
        <v>0</v>
      </c>
      <c r="U61" s="189">
        <v>-3154045.81</v>
      </c>
      <c r="V61" s="189">
        <v>0</v>
      </c>
      <c r="W61" s="189">
        <v>483076.87</v>
      </c>
      <c r="X61" s="189">
        <v>0</v>
      </c>
      <c r="Y61" s="189">
        <v>-1998538.88</v>
      </c>
      <c r="Z61" s="189">
        <v>0</v>
      </c>
      <c r="AA61" s="189">
        <v>-1663508.82</v>
      </c>
      <c r="AB61" s="189">
        <v>0</v>
      </c>
      <c r="AC61" s="189">
        <v>-1115462.19</v>
      </c>
      <c r="AD61" s="189">
        <v>0</v>
      </c>
      <c r="AE61" s="189">
        <v>-343619.79</v>
      </c>
      <c r="AF61" s="189">
        <v>0</v>
      </c>
      <c r="AG61" s="189">
        <v>-315387.42</v>
      </c>
      <c r="AH61" s="189">
        <v>0</v>
      </c>
      <c r="AI61" s="189">
        <v>0</v>
      </c>
      <c r="AJ61" s="189">
        <v>0</v>
      </c>
      <c r="AK61" s="189">
        <v>-131213.85999999999</v>
      </c>
      <c r="AL61" s="189">
        <v>0</v>
      </c>
      <c r="AM61" s="189">
        <v>0</v>
      </c>
      <c r="AN61" s="189">
        <v>-299157.90000000002</v>
      </c>
      <c r="AO61" s="189">
        <v>124312.43</v>
      </c>
      <c r="AP61" s="189">
        <v>0</v>
      </c>
    </row>
    <row r="62" spans="1:42">
      <c r="A62" s="189" t="s">
        <v>275</v>
      </c>
      <c r="B62" s="189">
        <v>0</v>
      </c>
      <c r="C62" s="189">
        <v>0</v>
      </c>
      <c r="D62" s="189">
        <v>0</v>
      </c>
      <c r="E62" s="189">
        <v>4772174.0599999996</v>
      </c>
      <c r="F62" s="189">
        <v>0</v>
      </c>
      <c r="G62" s="189">
        <v>0</v>
      </c>
      <c r="H62" s="189">
        <v>0</v>
      </c>
      <c r="I62" s="189">
        <v>-600825.84</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-207800.46</v>
      </c>
      <c r="Z62" s="189">
        <v>0</v>
      </c>
      <c r="AA62" s="189">
        <v>-207800.46</v>
      </c>
      <c r="AB62" s="189">
        <v>0</v>
      </c>
      <c r="AC62" s="189">
        <v>105433.97</v>
      </c>
      <c r="AD62" s="189">
        <v>0</v>
      </c>
      <c r="AE62" s="189">
        <v>-112770058.61</v>
      </c>
      <c r="AF62" s="189">
        <v>0</v>
      </c>
      <c r="AG62" s="189">
        <v>83600.850000000006</v>
      </c>
      <c r="AH62" s="189">
        <v>0</v>
      </c>
      <c r="AI62" s="189">
        <v>0</v>
      </c>
      <c r="AJ62" s="189">
        <v>0</v>
      </c>
      <c r="AK62" s="189">
        <v>0</v>
      </c>
      <c r="AL62" s="189">
        <v>0</v>
      </c>
      <c r="AM62" s="189">
        <v>0</v>
      </c>
      <c r="AN62" s="189">
        <v>469.42</v>
      </c>
      <c r="AO62" s="189">
        <v>294.08</v>
      </c>
      <c r="AP62" s="189">
        <v>0</v>
      </c>
    </row>
    <row r="63" spans="1:42">
      <c r="A63" s="189" t="s">
        <v>276</v>
      </c>
      <c r="B63" s="189">
        <v>0</v>
      </c>
      <c r="C63" s="189">
        <v>-109864240.41</v>
      </c>
      <c r="D63" s="189">
        <v>0</v>
      </c>
      <c r="E63" s="189">
        <v>8657711.1099999994</v>
      </c>
      <c r="F63" s="189">
        <v>0</v>
      </c>
      <c r="G63" s="189">
        <v>68358253.349999994</v>
      </c>
      <c r="H63" s="189">
        <v>0</v>
      </c>
      <c r="I63" s="189">
        <v>-148611570.27000001</v>
      </c>
      <c r="J63" s="189">
        <v>0</v>
      </c>
      <c r="K63" s="189">
        <v>-128907778.3</v>
      </c>
      <c r="L63" s="189">
        <v>0</v>
      </c>
      <c r="M63" s="189">
        <v>-34864319.079999998</v>
      </c>
      <c r="N63" s="189">
        <v>0</v>
      </c>
      <c r="O63" s="189">
        <v>-191749073.87</v>
      </c>
      <c r="P63" s="189">
        <v>0</v>
      </c>
      <c r="Q63" s="189">
        <v>-34160295.140000001</v>
      </c>
      <c r="R63" s="189">
        <v>0</v>
      </c>
      <c r="S63" s="189">
        <v>-106882660.56</v>
      </c>
      <c r="T63" s="189">
        <v>0</v>
      </c>
      <c r="U63" s="189">
        <v>-206286137.05000001</v>
      </c>
      <c r="V63" s="189">
        <v>0</v>
      </c>
      <c r="W63" s="189">
        <v>-1186809.44</v>
      </c>
      <c r="X63" s="189">
        <v>0</v>
      </c>
      <c r="Y63" s="189">
        <v>-95900005.650000006</v>
      </c>
      <c r="Z63" s="189">
        <v>0</v>
      </c>
      <c r="AA63" s="189">
        <v>-58432919.289999999</v>
      </c>
      <c r="AB63" s="189">
        <v>0</v>
      </c>
      <c r="AC63" s="189">
        <v>-102470426.26000001</v>
      </c>
      <c r="AD63" s="189">
        <v>0</v>
      </c>
      <c r="AE63" s="189">
        <v>-39411213.700000003</v>
      </c>
      <c r="AF63" s="189">
        <v>0</v>
      </c>
      <c r="AG63" s="189">
        <v>-2251888.34</v>
      </c>
      <c r="AH63" s="189">
        <v>0</v>
      </c>
      <c r="AI63" s="189">
        <v>0</v>
      </c>
      <c r="AJ63" s="189">
        <v>0</v>
      </c>
      <c r="AK63" s="189">
        <v>-8348555.2300000004</v>
      </c>
      <c r="AL63" s="189">
        <v>0</v>
      </c>
      <c r="AM63" s="189">
        <v>0</v>
      </c>
      <c r="AN63" s="189">
        <v>-7841733.4800000004</v>
      </c>
      <c r="AO63" s="189">
        <v>3663200.34</v>
      </c>
      <c r="AP63" s="189">
        <v>0</v>
      </c>
    </row>
    <row r="64" spans="1:42">
      <c r="A64" s="189" t="s">
        <v>277</v>
      </c>
      <c r="B64" s="189">
        <v>0</v>
      </c>
      <c r="C64" s="189">
        <v>-2264487415.8699999</v>
      </c>
      <c r="D64" s="189">
        <v>0</v>
      </c>
      <c r="E64" s="189">
        <v>284052413.99000001</v>
      </c>
      <c r="F64" s="189">
        <v>0</v>
      </c>
      <c r="G64" s="189">
        <v>-209208464.75</v>
      </c>
      <c r="H64" s="189">
        <v>0</v>
      </c>
      <c r="I64" s="189">
        <v>-2550540994.3600001</v>
      </c>
      <c r="J64" s="189">
        <v>0</v>
      </c>
      <c r="K64" s="189">
        <v>-879821851.00999999</v>
      </c>
      <c r="L64" s="189">
        <v>0</v>
      </c>
      <c r="M64" s="189">
        <v>-1427143522.3900001</v>
      </c>
      <c r="N64" s="189">
        <v>0</v>
      </c>
      <c r="O64" s="189">
        <v>-332373801.52999997</v>
      </c>
      <c r="P64" s="189">
        <v>0</v>
      </c>
      <c r="Q64" s="189">
        <v>-1116160298.97</v>
      </c>
      <c r="R64" s="189">
        <v>0</v>
      </c>
      <c r="S64" s="189">
        <v>-540168445.25999999</v>
      </c>
      <c r="T64" s="189">
        <v>0</v>
      </c>
      <c r="U64" s="189">
        <v>-288698097.63999999</v>
      </c>
      <c r="V64" s="189">
        <v>0</v>
      </c>
      <c r="W64" s="189">
        <v>47151877.270000003</v>
      </c>
      <c r="X64" s="189">
        <v>0</v>
      </c>
      <c r="Y64" s="189">
        <v>-269544228.89999998</v>
      </c>
      <c r="Z64" s="189">
        <v>0</v>
      </c>
      <c r="AA64" s="189">
        <v>-124079804.73999999</v>
      </c>
      <c r="AB64" s="189">
        <v>0</v>
      </c>
      <c r="AC64" s="189">
        <v>-250416750.28</v>
      </c>
      <c r="AD64" s="189">
        <v>0</v>
      </c>
      <c r="AE64" s="189">
        <v>149176008.15000001</v>
      </c>
      <c r="AF64" s="189">
        <v>0</v>
      </c>
      <c r="AG64" s="189">
        <v>-36766545.869999997</v>
      </c>
      <c r="AH64" s="189">
        <v>0</v>
      </c>
      <c r="AI64" s="189">
        <v>0</v>
      </c>
      <c r="AJ64" s="189">
        <v>0</v>
      </c>
      <c r="AK64" s="189">
        <v>-21067132.989999998</v>
      </c>
      <c r="AL64" s="189">
        <v>0</v>
      </c>
      <c r="AM64" s="189">
        <v>0</v>
      </c>
      <c r="AN64" s="189">
        <v>1903487</v>
      </c>
      <c r="AO64" s="189">
        <v>6516823.3200000003</v>
      </c>
      <c r="AP64" s="189">
        <v>0</v>
      </c>
    </row>
    <row r="65" spans="1:42">
      <c r="A65" s="189" t="s">
        <v>278</v>
      </c>
      <c r="B65" s="189">
        <v>0</v>
      </c>
      <c r="C65" s="189">
        <v>890369969.88999999</v>
      </c>
      <c r="D65" s="189">
        <v>0</v>
      </c>
      <c r="E65" s="189">
        <v>174990223.30000001</v>
      </c>
      <c r="F65" s="189">
        <v>0</v>
      </c>
      <c r="G65" s="189">
        <v>343475570.88</v>
      </c>
      <c r="H65" s="189">
        <v>0</v>
      </c>
      <c r="I65" s="189">
        <v>53077878.520000003</v>
      </c>
      <c r="J65" s="189">
        <v>0</v>
      </c>
      <c r="K65" s="189">
        <v>53987294.75</v>
      </c>
      <c r="L65" s="189">
        <v>0</v>
      </c>
      <c r="M65" s="189">
        <v>348240162.57999998</v>
      </c>
      <c r="N65" s="189">
        <v>0</v>
      </c>
      <c r="O65" s="189">
        <v>-36014718.539999999</v>
      </c>
      <c r="P65" s="189">
        <v>0</v>
      </c>
      <c r="Q65" s="189">
        <v>53092587.509999998</v>
      </c>
      <c r="R65" s="189">
        <v>0</v>
      </c>
      <c r="S65" s="189">
        <v>268392600.37</v>
      </c>
      <c r="T65" s="189">
        <v>0</v>
      </c>
      <c r="U65" s="189">
        <v>-186871463.80000001</v>
      </c>
      <c r="V65" s="189">
        <v>0</v>
      </c>
      <c r="W65" s="189">
        <v>-246783258.58000001</v>
      </c>
      <c r="X65" s="189">
        <v>0</v>
      </c>
      <c r="Y65" s="189">
        <v>90156829.109999999</v>
      </c>
      <c r="Z65" s="189">
        <v>0</v>
      </c>
      <c r="AA65" s="189">
        <v>21735843.93</v>
      </c>
      <c r="AB65" s="189">
        <v>0</v>
      </c>
      <c r="AC65" s="189">
        <v>332479189.31</v>
      </c>
      <c r="AD65" s="189">
        <v>0</v>
      </c>
      <c r="AE65" s="189">
        <v>-108995.32</v>
      </c>
      <c r="AF65" s="189">
        <v>0</v>
      </c>
      <c r="AG65" s="189">
        <v>50863014.939999998</v>
      </c>
      <c r="AH65" s="189">
        <v>0</v>
      </c>
      <c r="AI65" s="189">
        <v>0</v>
      </c>
      <c r="AJ65" s="189">
        <v>0</v>
      </c>
      <c r="AK65" s="189">
        <v>7033829.5300000003</v>
      </c>
      <c r="AL65" s="189">
        <v>0</v>
      </c>
      <c r="AM65" s="189">
        <v>0</v>
      </c>
      <c r="AN65" s="189">
        <v>-3909694.68</v>
      </c>
      <c r="AO65" s="189">
        <v>-36278605.020000003</v>
      </c>
      <c r="AP65" s="189">
        <v>0</v>
      </c>
    </row>
    <row r="66" spans="1:42">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row>
    <row r="67" spans="1:42">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row>
    <row r="68" spans="1:42">
      <c r="A68" s="189" t="s">
        <v>281</v>
      </c>
      <c r="B68" s="189">
        <v>0</v>
      </c>
      <c r="C68" s="189">
        <v>0</v>
      </c>
      <c r="D68" s="189">
        <v>0</v>
      </c>
      <c r="E68" s="189">
        <v>834616.17</v>
      </c>
      <c r="F68" s="189">
        <v>0</v>
      </c>
      <c r="G68" s="189">
        <v>826453.73</v>
      </c>
      <c r="H68" s="189">
        <v>0</v>
      </c>
      <c r="I68" s="189">
        <v>29674728.879999999</v>
      </c>
      <c r="J68" s="189">
        <v>0</v>
      </c>
      <c r="K68" s="189">
        <v>2532176.38</v>
      </c>
      <c r="L68" s="189">
        <v>0</v>
      </c>
      <c r="M68" s="189">
        <v>14254121.32</v>
      </c>
      <c r="N68" s="189">
        <v>0</v>
      </c>
      <c r="O68" s="189">
        <v>6000197.7400000002</v>
      </c>
      <c r="P68" s="189">
        <v>0</v>
      </c>
      <c r="Q68" s="189">
        <v>18920174.760000002</v>
      </c>
      <c r="R68" s="189">
        <v>0</v>
      </c>
      <c r="S68" s="189">
        <v>13233555.890000001</v>
      </c>
      <c r="T68" s="189">
        <v>0</v>
      </c>
      <c r="U68" s="189">
        <v>30072914.489999998</v>
      </c>
      <c r="V68" s="189">
        <v>0</v>
      </c>
      <c r="W68" s="189">
        <v>17174393.75</v>
      </c>
      <c r="X68" s="189">
        <v>0</v>
      </c>
      <c r="Y68" s="189">
        <v>16390441.970000001</v>
      </c>
      <c r="Z68" s="189">
        <v>0</v>
      </c>
      <c r="AA68" s="189">
        <v>10760531.970000001</v>
      </c>
      <c r="AB68" s="189">
        <v>0</v>
      </c>
      <c r="AC68" s="189">
        <v>0</v>
      </c>
      <c r="AD68" s="189">
        <v>0</v>
      </c>
      <c r="AE68" s="189">
        <v>0</v>
      </c>
      <c r="AF68" s="189">
        <v>0</v>
      </c>
      <c r="AG68" s="189">
        <v>0</v>
      </c>
      <c r="AH68" s="189">
        <v>0</v>
      </c>
      <c r="AI68" s="189">
        <v>0</v>
      </c>
      <c r="AJ68" s="189">
        <v>0</v>
      </c>
      <c r="AK68" s="189">
        <v>201796.54</v>
      </c>
      <c r="AL68" s="189">
        <v>0</v>
      </c>
      <c r="AM68" s="189">
        <v>0</v>
      </c>
      <c r="AN68" s="189">
        <v>2008341.46</v>
      </c>
      <c r="AO68" s="189">
        <v>1048224.06</v>
      </c>
      <c r="AP68" s="189">
        <v>0</v>
      </c>
    </row>
    <row r="69" spans="1:42">
      <c r="A69" s="189" t="s">
        <v>282</v>
      </c>
      <c r="B69" s="189">
        <v>0</v>
      </c>
      <c r="C69" s="189">
        <v>635898689.58000004</v>
      </c>
      <c r="D69" s="189">
        <v>0</v>
      </c>
      <c r="E69" s="189">
        <v>3661761690.5700002</v>
      </c>
      <c r="F69" s="189">
        <v>0</v>
      </c>
      <c r="G69" s="189">
        <v>1759679972.95</v>
      </c>
      <c r="H69" s="189">
        <v>0</v>
      </c>
      <c r="I69" s="189">
        <v>-47582840.780000001</v>
      </c>
      <c r="J69" s="189">
        <v>0</v>
      </c>
      <c r="K69" s="189">
        <v>262117929.06999999</v>
      </c>
      <c r="L69" s="189">
        <v>0</v>
      </c>
      <c r="M69" s="189">
        <v>906538876.46000004</v>
      </c>
      <c r="N69" s="189">
        <v>0</v>
      </c>
      <c r="O69" s="189">
        <v>354172187.81</v>
      </c>
      <c r="P69" s="189">
        <v>0</v>
      </c>
      <c r="Q69" s="189">
        <v>429685348.39999998</v>
      </c>
      <c r="R69" s="189">
        <v>0</v>
      </c>
      <c r="S69" s="189">
        <v>256607295.25999999</v>
      </c>
      <c r="T69" s="189">
        <v>0</v>
      </c>
      <c r="U69" s="189">
        <v>225523563</v>
      </c>
      <c r="V69" s="189">
        <v>0</v>
      </c>
      <c r="W69" s="189">
        <v>201487576.16999999</v>
      </c>
      <c r="X69" s="189">
        <v>0</v>
      </c>
      <c r="Y69" s="189">
        <v>272807541.54000002</v>
      </c>
      <c r="Z69" s="189">
        <v>0</v>
      </c>
      <c r="AA69" s="189">
        <v>76014690.170000002</v>
      </c>
      <c r="AB69" s="189">
        <v>0</v>
      </c>
      <c r="AC69" s="189">
        <v>160817596.75999999</v>
      </c>
      <c r="AD69" s="189">
        <v>0</v>
      </c>
      <c r="AE69" s="189">
        <v>75277360.269999996</v>
      </c>
      <c r="AF69" s="189">
        <v>0</v>
      </c>
      <c r="AG69" s="189">
        <v>109095509.63</v>
      </c>
      <c r="AH69" s="189">
        <v>0</v>
      </c>
      <c r="AI69" s="189">
        <v>0</v>
      </c>
      <c r="AJ69" s="189">
        <v>0</v>
      </c>
      <c r="AK69" s="189">
        <v>46079900.420000002</v>
      </c>
      <c r="AL69" s="189">
        <v>0</v>
      </c>
      <c r="AM69" s="189">
        <v>0</v>
      </c>
      <c r="AN69" s="189">
        <v>34791336.369999997</v>
      </c>
      <c r="AO69" s="189">
        <v>3978633.08</v>
      </c>
      <c r="AP69" s="189">
        <v>0</v>
      </c>
    </row>
    <row r="70" spans="1:42">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row>
    <row r="71" spans="1:42">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row>
    <row r="72" spans="1:42">
      <c r="A72" s="189" t="s">
        <v>285</v>
      </c>
      <c r="B72" s="189">
        <v>0</v>
      </c>
      <c r="C72" s="189">
        <v>0</v>
      </c>
      <c r="D72" s="189">
        <v>0</v>
      </c>
      <c r="E72" s="189">
        <v>0</v>
      </c>
      <c r="F72" s="189">
        <v>0</v>
      </c>
      <c r="G72" s="189">
        <v>0</v>
      </c>
      <c r="H72" s="189">
        <v>0</v>
      </c>
      <c r="I72" s="189">
        <v>0</v>
      </c>
      <c r="J72" s="189">
        <v>0</v>
      </c>
      <c r="K72" s="189">
        <v>0</v>
      </c>
      <c r="L72" s="189">
        <v>0</v>
      </c>
      <c r="M72" s="189">
        <v>158673354.90000001</v>
      </c>
      <c r="N72" s="189">
        <v>0</v>
      </c>
      <c r="O72" s="189">
        <v>0</v>
      </c>
      <c r="P72" s="189">
        <v>0</v>
      </c>
      <c r="Q72" s="189">
        <v>100158740.28</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row>
    <row r="73" spans="1:42">
      <c r="A73" s="189" t="s">
        <v>286</v>
      </c>
      <c r="B73" s="189">
        <v>0</v>
      </c>
      <c r="C73" s="189">
        <v>15902513682.32</v>
      </c>
      <c r="D73" s="189">
        <v>0</v>
      </c>
      <c r="E73" s="189">
        <v>15078500370.889999</v>
      </c>
      <c r="F73" s="189">
        <v>0</v>
      </c>
      <c r="G73" s="189">
        <v>16221056587.18</v>
      </c>
      <c r="H73" s="189">
        <v>0</v>
      </c>
      <c r="I73" s="189">
        <v>14689741508.59</v>
      </c>
      <c r="J73" s="189">
        <v>0</v>
      </c>
      <c r="K73" s="189">
        <v>9702561857.5200005</v>
      </c>
      <c r="L73" s="189">
        <v>0</v>
      </c>
      <c r="M73" s="189">
        <v>9571761694.7900009</v>
      </c>
      <c r="N73" s="189">
        <v>0</v>
      </c>
      <c r="O73" s="189">
        <v>5060167044.4399996</v>
      </c>
      <c r="P73" s="189">
        <v>0</v>
      </c>
      <c r="Q73" s="189">
        <v>3856838190.1300001</v>
      </c>
      <c r="R73" s="189">
        <v>0</v>
      </c>
      <c r="S73" s="189">
        <v>0</v>
      </c>
      <c r="T73" s="189">
        <v>0</v>
      </c>
      <c r="U73" s="189">
        <v>2675386027.0700002</v>
      </c>
      <c r="V73" s="189">
        <v>0</v>
      </c>
      <c r="W73" s="189">
        <v>2644577589.6799998</v>
      </c>
      <c r="X73" s="189">
        <v>0</v>
      </c>
      <c r="Y73" s="189">
        <v>3445629597.9899998</v>
      </c>
      <c r="Z73" s="189">
        <v>0</v>
      </c>
      <c r="AA73" s="189">
        <v>2244750389.1300001</v>
      </c>
      <c r="AB73" s="189">
        <v>0</v>
      </c>
      <c r="AC73" s="189">
        <v>683957407.77999997</v>
      </c>
      <c r="AD73" s="189">
        <v>0</v>
      </c>
      <c r="AE73" s="189">
        <v>782365552.09000003</v>
      </c>
      <c r="AF73" s="189">
        <v>704850866.16999996</v>
      </c>
      <c r="AG73" s="189">
        <v>664279577.02999997</v>
      </c>
      <c r="AH73" s="189">
        <v>555785071.48000002</v>
      </c>
      <c r="AI73" s="189">
        <v>158935384.56</v>
      </c>
      <c r="AJ73" s="189">
        <v>202423757.22999999</v>
      </c>
      <c r="AK73" s="189">
        <v>161098984.71000001</v>
      </c>
      <c r="AL73" s="189">
        <v>146914865.72</v>
      </c>
      <c r="AM73" s="189">
        <v>110586497.53</v>
      </c>
      <c r="AN73" s="189">
        <v>28111040.539999999</v>
      </c>
      <c r="AO73" s="189">
        <v>34761453.939999998</v>
      </c>
      <c r="AP73" s="189">
        <v>0</v>
      </c>
    </row>
    <row r="74" spans="1:42">
      <c r="A74" s="189" t="s">
        <v>287</v>
      </c>
      <c r="B74" s="189">
        <v>0</v>
      </c>
      <c r="C74" s="189">
        <v>15078500370.889999</v>
      </c>
      <c r="D74" s="189">
        <v>0</v>
      </c>
      <c r="E74" s="189">
        <v>14689741508.59</v>
      </c>
      <c r="F74" s="189">
        <v>0</v>
      </c>
      <c r="G74" s="189">
        <v>14689741508.59</v>
      </c>
      <c r="H74" s="189">
        <v>0</v>
      </c>
      <c r="I74" s="189">
        <v>9580041414.1200008</v>
      </c>
      <c r="J74" s="189">
        <v>0</v>
      </c>
      <c r="K74" s="189">
        <v>9571761694.7900009</v>
      </c>
      <c r="L74" s="189">
        <v>0</v>
      </c>
      <c r="M74" s="189">
        <v>3856838190.1300001</v>
      </c>
      <c r="N74" s="189">
        <v>0</v>
      </c>
      <c r="O74" s="189">
        <v>3856838190.1300001</v>
      </c>
      <c r="P74" s="189">
        <v>0</v>
      </c>
      <c r="Q74" s="189">
        <v>2675386027.0700002</v>
      </c>
      <c r="R74" s="189">
        <v>0</v>
      </c>
      <c r="S74" s="189">
        <v>0</v>
      </c>
      <c r="T74" s="189">
        <v>0</v>
      </c>
      <c r="U74" s="189">
        <v>3445629597.9899998</v>
      </c>
      <c r="V74" s="189">
        <v>0</v>
      </c>
      <c r="W74" s="189">
        <v>3445629597.9899998</v>
      </c>
      <c r="X74" s="189">
        <v>0</v>
      </c>
      <c r="Y74" s="189">
        <v>683957407.77999997</v>
      </c>
      <c r="Z74" s="189">
        <v>0</v>
      </c>
      <c r="AA74" s="189">
        <v>683957407.77999997</v>
      </c>
      <c r="AB74" s="189">
        <v>0</v>
      </c>
      <c r="AC74" s="189">
        <v>664279577.02999997</v>
      </c>
      <c r="AD74" s="189">
        <v>0</v>
      </c>
      <c r="AE74" s="189">
        <v>664279577.02999997</v>
      </c>
      <c r="AF74" s="189">
        <v>664279577.02999997</v>
      </c>
      <c r="AG74" s="189">
        <v>161098984.71000001</v>
      </c>
      <c r="AH74" s="189">
        <v>161098984.71000001</v>
      </c>
      <c r="AI74" s="189">
        <v>161098984.71000001</v>
      </c>
      <c r="AJ74" s="189">
        <v>161098984.71000001</v>
      </c>
      <c r="AK74" s="189">
        <v>28111040.539999999</v>
      </c>
      <c r="AL74" s="189">
        <v>28111040.539999999</v>
      </c>
      <c r="AM74" s="189">
        <v>28178862.079999998</v>
      </c>
      <c r="AN74" s="189">
        <v>34761453.939999998</v>
      </c>
      <c r="AO74" s="189">
        <v>7371845.9100000001</v>
      </c>
      <c r="AP74" s="189">
        <v>0</v>
      </c>
    </row>
    <row r="75" spans="1:42">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2796391151.8499999</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row>
    <row r="76" spans="1:42">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2675386027.0700002</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row>
    <row r="77" spans="1:42">
      <c r="A77" s="189" t="s">
        <v>290</v>
      </c>
      <c r="B77" s="189">
        <v>0</v>
      </c>
      <c r="C77" s="189">
        <v>824013311.42999995</v>
      </c>
      <c r="D77" s="189">
        <v>0</v>
      </c>
      <c r="E77" s="189">
        <v>388758862.30000001</v>
      </c>
      <c r="F77" s="189">
        <v>0</v>
      </c>
      <c r="G77" s="189">
        <v>1531315078.5899999</v>
      </c>
      <c r="H77" s="189">
        <v>0</v>
      </c>
      <c r="I77" s="189">
        <v>5109700094.4700003</v>
      </c>
      <c r="J77" s="189">
        <v>0</v>
      </c>
      <c r="K77" s="189">
        <v>130800162.73</v>
      </c>
      <c r="L77" s="189">
        <v>0</v>
      </c>
      <c r="M77" s="189">
        <v>5714923504.6599998</v>
      </c>
      <c r="N77" s="189">
        <v>0</v>
      </c>
      <c r="O77" s="189">
        <v>1203328854.3099999</v>
      </c>
      <c r="P77" s="189">
        <v>0</v>
      </c>
      <c r="Q77" s="189">
        <v>1181452163.0599999</v>
      </c>
      <c r="R77" s="189">
        <v>0</v>
      </c>
      <c r="S77" s="189">
        <v>121005124.78</v>
      </c>
      <c r="T77" s="189">
        <v>0</v>
      </c>
      <c r="U77" s="189">
        <v>-770243570.91999996</v>
      </c>
      <c r="V77" s="189">
        <v>0</v>
      </c>
      <c r="W77" s="189">
        <v>-801052008.30999994</v>
      </c>
      <c r="X77" s="189">
        <v>0</v>
      </c>
      <c r="Y77" s="189">
        <v>2761672190.21</v>
      </c>
      <c r="Z77" s="189">
        <v>0</v>
      </c>
      <c r="AA77" s="189">
        <v>1560792981.3499999</v>
      </c>
      <c r="AB77" s="189">
        <v>0</v>
      </c>
      <c r="AC77" s="189">
        <v>19677830.75</v>
      </c>
      <c r="AD77" s="189">
        <v>0</v>
      </c>
      <c r="AE77" s="189">
        <v>118085975.06</v>
      </c>
      <c r="AF77" s="189">
        <v>40571289.140000001</v>
      </c>
      <c r="AG77" s="189">
        <v>503180592.31999999</v>
      </c>
      <c r="AH77" s="189">
        <v>394686086.76999998</v>
      </c>
      <c r="AI77" s="189">
        <v>-2163600.15</v>
      </c>
      <c r="AJ77" s="189">
        <v>41324772.520000003</v>
      </c>
      <c r="AK77" s="189">
        <v>132987944.17</v>
      </c>
      <c r="AL77" s="189">
        <v>118803825.18000001</v>
      </c>
      <c r="AM77" s="189">
        <v>82407635.450000003</v>
      </c>
      <c r="AN77" s="189">
        <v>-6650413.4000000004</v>
      </c>
      <c r="AO77" s="189">
        <v>27389608.030000001</v>
      </c>
      <c r="AP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E69" sqref="E69"/>
    </sheetView>
  </sheetViews>
  <sheetFormatPr defaultRowHeight="13.5"/>
  <cols>
    <col min="1" max="1" width="31.875" style="17" bestFit="1" customWidth="1"/>
    <col min="2" max="4" width="20.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6" width="22" hidden="1" customWidth="1"/>
    <col min="27" max="28" width="19.5" hidden="1" customWidth="1"/>
    <col min="29" max="29" width="19.5" bestFit="1" customWidth="1"/>
    <col min="30" max="32" width="19.5" hidden="1" customWidth="1"/>
    <col min="33" max="33" width="19.5" bestFit="1" customWidth="1"/>
    <col min="34" max="35" width="19.5" hidden="1" customWidth="1"/>
    <col min="36" max="37" width="19.5" bestFit="1" customWidth="1"/>
    <col min="38" max="38" width="18.25" bestFit="1" customWidth="1"/>
    <col min="39" max="39" width="9.5" hidden="1" customWidth="1"/>
    <col min="40" max="44" width="20.5" bestFit="1" customWidth="1"/>
    <col min="45" max="78" width="19.375" bestFit="1" customWidth="1"/>
    <col min="79" max="81" width="17.25" bestFit="1" customWidth="1"/>
    <col min="82" max="82" width="7.375" bestFit="1" customWidth="1"/>
    <col min="83" max="84" width="19.375" bestFit="1" customWidth="1"/>
    <col min="85" max="87" width="17.25" bestFit="1" customWidth="1"/>
    <col min="88" max="89" width="16.125" bestFit="1" customWidth="1"/>
    <col min="90" max="90" width="7.375" bestFit="1" customWidth="1"/>
  </cols>
  <sheetData>
    <row r="1" spans="1:90" s="41" customFormat="1" ht="14.45">
      <c r="A1" s="41">
        <v>2450</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20091231</v>
      </c>
      <c r="AK1" s="189">
        <v>20081231</v>
      </c>
      <c r="AL1" s="189">
        <v>20071231</v>
      </c>
      <c r="AM1" s="189">
        <v>19700101</v>
      </c>
      <c r="AN1" s="189"/>
      <c r="AO1" s="189"/>
      <c r="AP1" s="189"/>
      <c r="AQ1" s="189"/>
      <c r="AR1" s="189"/>
      <c r="AS1" s="189"/>
      <c r="AT1" s="189"/>
      <c r="AU1" s="189"/>
      <c r="AV1" s="189"/>
      <c r="AW1" s="189"/>
      <c r="AX1" s="189"/>
      <c r="AY1" s="189"/>
      <c r="AZ1" s="189"/>
      <c r="BA1" s="189"/>
      <c r="BB1" s="189"/>
      <c r="BC1" s="189"/>
      <c r="BD1" s="189"/>
      <c r="BE1" s="189"/>
      <c r="BF1" s="189"/>
      <c r="BG1" s="189"/>
      <c r="BH1" s="189"/>
      <c r="BI1" s="189"/>
      <c r="BJ1" s="189"/>
      <c r="BK1" s="189"/>
      <c r="BL1" s="189"/>
      <c r="BM1" s="189"/>
      <c r="BN1" s="189"/>
      <c r="BO1" s="189"/>
      <c r="BP1" s="189"/>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189">
        <v>15013531518.9</v>
      </c>
      <c r="C4" s="189">
        <v>16781114176.870001</v>
      </c>
      <c r="D4" s="189">
        <v>19727971901.66</v>
      </c>
      <c r="E4" s="189">
        <v>18504142834.009998</v>
      </c>
      <c r="F4" s="189">
        <v>18916073143.400002</v>
      </c>
      <c r="G4" s="189">
        <v>16843261793.52</v>
      </c>
      <c r="H4" s="189">
        <v>15140190751.809999</v>
      </c>
      <c r="I4" s="189">
        <v>15388938487.469999</v>
      </c>
      <c r="J4" s="189">
        <v>15336752373.84</v>
      </c>
      <c r="K4" s="189">
        <v>10271899810.91</v>
      </c>
      <c r="L4" s="189">
        <v>10334459034.92</v>
      </c>
      <c r="M4" s="189">
        <v>10086511907</v>
      </c>
      <c r="N4" s="189">
        <v>6585194940.04</v>
      </c>
      <c r="O4" s="189">
        <v>5444212539.9099998</v>
      </c>
      <c r="P4" s="189">
        <v>4069518701.1599998</v>
      </c>
      <c r="Q4" s="189">
        <v>4192943122.7800002</v>
      </c>
      <c r="R4" s="189">
        <v>3821607434.6199999</v>
      </c>
      <c r="S4" s="189">
        <v>2796391151.8499999</v>
      </c>
      <c r="T4" s="189">
        <v>2323949894.6599998</v>
      </c>
      <c r="U4" s="189">
        <v>2675386027.0700002</v>
      </c>
      <c r="V4" s="189">
        <v>2584698785.8200002</v>
      </c>
      <c r="W4" s="189">
        <v>2644577589.6799998</v>
      </c>
      <c r="X4" s="189">
        <v>2751523259.3800001</v>
      </c>
      <c r="Y4" s="189">
        <v>3445629597.9899998</v>
      </c>
      <c r="Z4" s="189">
        <v>2569228947.27</v>
      </c>
      <c r="AA4" s="189">
        <v>2244750389.1300001</v>
      </c>
      <c r="AB4" s="189">
        <v>680514715.74000001</v>
      </c>
      <c r="AC4" s="189">
        <v>683957407.77999997</v>
      </c>
      <c r="AD4" s="189">
        <v>742879369.25999999</v>
      </c>
      <c r="AE4" s="189">
        <v>782365552.09000003</v>
      </c>
      <c r="AF4" s="189">
        <v>704850866.16999996</v>
      </c>
      <c r="AG4" s="189">
        <v>664279577.02999997</v>
      </c>
      <c r="AH4" s="189">
        <v>555785071.48000002</v>
      </c>
      <c r="AI4" s="189">
        <v>158935384.56</v>
      </c>
      <c r="AJ4" s="189">
        <v>161098984.71000001</v>
      </c>
      <c r="AK4" s="189">
        <v>28111040.539999999</v>
      </c>
      <c r="AL4" s="189">
        <v>34761453.939999998</v>
      </c>
      <c r="AM4" s="189">
        <v>0</v>
      </c>
      <c r="AN4" s="189"/>
      <c r="AO4" s="189"/>
      <c r="AP4" s="189"/>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189"/>
      <c r="BP4" s="189"/>
      <c r="BQ4" s="189"/>
      <c r="BR4" s="189"/>
      <c r="BS4" s="189"/>
      <c r="BT4" s="189"/>
      <c r="BU4" s="189"/>
      <c r="BV4" s="189"/>
      <c r="BW4" s="189"/>
      <c r="BX4" s="189"/>
      <c r="BY4" s="189"/>
      <c r="BZ4" s="189"/>
      <c r="CA4" s="189"/>
      <c r="CB4" s="189"/>
      <c r="CC4" s="189"/>
      <c r="CD4" s="189"/>
      <c r="CE4" s="189"/>
      <c r="CF4" s="189"/>
      <c r="CG4" s="189"/>
      <c r="CH4" s="189"/>
      <c r="CI4" s="189"/>
      <c r="CJ4" s="189"/>
      <c r="CK4" s="189"/>
      <c r="CL4" s="189"/>
    </row>
    <row r="5" spans="1:90">
      <c r="A5" s="17" t="s">
        <v>2</v>
      </c>
      <c r="B5" s="189">
        <v>0</v>
      </c>
      <c r="C5" s="189">
        <v>0</v>
      </c>
      <c r="D5" s="189">
        <v>850000</v>
      </c>
      <c r="E5" s="189">
        <v>850000</v>
      </c>
      <c r="F5" s="189">
        <v>0</v>
      </c>
      <c r="G5" s="189">
        <v>336790989.60000002</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c r="AO5" s="189"/>
      <c r="AP5" s="189"/>
      <c r="AQ5" s="189"/>
      <c r="AR5" s="189"/>
      <c r="AS5" s="189"/>
      <c r="AT5" s="189"/>
      <c r="AU5" s="189"/>
      <c r="AV5" s="189"/>
      <c r="AW5" s="189"/>
      <c r="AX5" s="189"/>
      <c r="AY5" s="189"/>
      <c r="AZ5" s="189"/>
      <c r="BA5" s="189"/>
      <c r="BB5" s="189"/>
      <c r="BC5" s="189"/>
      <c r="BD5" s="189"/>
      <c r="BE5" s="189"/>
      <c r="BF5" s="189"/>
      <c r="BG5" s="189"/>
      <c r="BH5" s="189"/>
      <c r="BI5" s="189"/>
      <c r="BJ5" s="189"/>
      <c r="BK5" s="189"/>
      <c r="BL5" s="189"/>
      <c r="BM5" s="189"/>
      <c r="BN5" s="189"/>
      <c r="BO5" s="189"/>
      <c r="BP5" s="189"/>
      <c r="BQ5" s="189"/>
      <c r="BR5" s="189"/>
      <c r="BS5" s="189"/>
      <c r="BT5" s="189"/>
      <c r="BU5" s="189"/>
      <c r="BV5" s="189"/>
      <c r="BW5" s="189"/>
      <c r="BX5" s="189"/>
      <c r="BY5" s="189"/>
      <c r="BZ5" s="189"/>
      <c r="CA5" s="189"/>
      <c r="CB5" s="189"/>
      <c r="CC5" s="189"/>
      <c r="CD5" s="189"/>
      <c r="CE5" s="189"/>
      <c r="CF5" s="189"/>
      <c r="CG5" s="189"/>
      <c r="CH5" s="189"/>
      <c r="CI5" s="189"/>
      <c r="CJ5" s="189"/>
      <c r="CK5" s="189"/>
      <c r="CL5" s="189"/>
    </row>
    <row r="6" spans="1:90">
      <c r="A6" s="17" t="s">
        <v>13</v>
      </c>
      <c r="B6" s="189">
        <v>481326.94</v>
      </c>
      <c r="C6" s="189">
        <v>481326.94</v>
      </c>
      <c r="D6" s="189">
        <v>820626.12</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c r="AO6" s="189"/>
      <c r="AP6" s="189"/>
      <c r="AQ6" s="189"/>
      <c r="AR6" s="189"/>
      <c r="AS6" s="189"/>
      <c r="AT6" s="189"/>
      <c r="AU6" s="189"/>
      <c r="AV6" s="189"/>
      <c r="AW6" s="189"/>
      <c r="AX6" s="189"/>
      <c r="AY6" s="189"/>
      <c r="AZ6" s="189"/>
      <c r="BA6" s="189"/>
      <c r="BB6" s="189"/>
      <c r="BC6" s="189"/>
      <c r="BD6" s="189"/>
      <c r="BE6" s="189"/>
      <c r="BF6" s="189"/>
      <c r="BG6" s="189"/>
      <c r="BH6" s="189"/>
      <c r="BI6" s="189"/>
      <c r="BJ6" s="189"/>
      <c r="BK6" s="189"/>
      <c r="BL6" s="189"/>
      <c r="BM6" s="189"/>
      <c r="BN6" s="189"/>
      <c r="BO6" s="189"/>
      <c r="BP6" s="189"/>
      <c r="BQ6" s="189"/>
      <c r="BR6" s="189"/>
      <c r="BS6" s="189"/>
      <c r="BT6" s="189"/>
      <c r="BU6" s="189"/>
      <c r="BV6" s="189"/>
      <c r="BW6" s="189"/>
      <c r="BX6" s="189"/>
      <c r="BY6" s="189"/>
      <c r="BZ6" s="189"/>
      <c r="CA6" s="189"/>
      <c r="CB6" s="189"/>
      <c r="CC6" s="189"/>
      <c r="CD6" s="189"/>
      <c r="CE6" s="189"/>
      <c r="CF6" s="189"/>
      <c r="CG6" s="189"/>
      <c r="CH6" s="189"/>
      <c r="CI6" s="189"/>
      <c r="CJ6" s="189"/>
      <c r="CK6" s="189"/>
      <c r="CL6" s="189"/>
    </row>
    <row r="7" spans="1:90">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c r="AO7" s="189"/>
      <c r="AP7" s="189"/>
      <c r="AQ7" s="189"/>
      <c r="AR7" s="189"/>
      <c r="AS7" s="189"/>
      <c r="AT7" s="189"/>
      <c r="AU7" s="189"/>
      <c r="AV7" s="189"/>
      <c r="AW7" s="189"/>
      <c r="AX7" s="189"/>
      <c r="AY7" s="189"/>
      <c r="AZ7" s="189"/>
      <c r="BA7" s="189"/>
      <c r="BB7" s="189"/>
      <c r="BC7" s="189"/>
      <c r="BD7" s="189"/>
      <c r="BE7" s="189"/>
      <c r="BF7" s="189"/>
      <c r="BG7" s="189"/>
      <c r="BH7" s="189"/>
      <c r="BI7" s="189"/>
      <c r="BJ7" s="189"/>
      <c r="BK7" s="189"/>
      <c r="BL7" s="189"/>
      <c r="BM7" s="189"/>
      <c r="BN7" s="189"/>
      <c r="BO7" s="189"/>
      <c r="BP7" s="189"/>
      <c r="BQ7" s="189"/>
      <c r="BR7" s="189"/>
      <c r="BS7" s="189"/>
      <c r="BT7" s="189"/>
      <c r="BU7" s="189"/>
      <c r="BV7" s="189"/>
      <c r="BW7" s="189"/>
      <c r="BX7" s="189"/>
      <c r="BY7" s="189"/>
      <c r="BZ7" s="189"/>
      <c r="CA7" s="189"/>
      <c r="CB7" s="189"/>
      <c r="CC7" s="189"/>
      <c r="CD7" s="189"/>
      <c r="CE7" s="189"/>
      <c r="CF7" s="189"/>
      <c r="CG7" s="189"/>
      <c r="CH7" s="189"/>
      <c r="CI7" s="189"/>
      <c r="CJ7" s="189"/>
      <c r="CK7" s="189"/>
      <c r="CL7" s="189"/>
    </row>
    <row r="8" spans="1:90">
      <c r="A8" s="17" t="s">
        <v>5</v>
      </c>
      <c r="B8" s="189">
        <v>4206115444.2399998</v>
      </c>
      <c r="C8" s="189">
        <v>4227132583.77</v>
      </c>
      <c r="D8" s="189">
        <v>4471569361.1700001</v>
      </c>
      <c r="E8" s="189">
        <v>4520878100.4799995</v>
      </c>
      <c r="F8" s="189">
        <v>2436201494.3499999</v>
      </c>
      <c r="G8" s="189">
        <v>766249586.83000004</v>
      </c>
      <c r="H8" s="189">
        <v>394249586.88999999</v>
      </c>
      <c r="I8" s="189">
        <v>376249586.82999998</v>
      </c>
      <c r="J8" s="189">
        <v>379334987.82999998</v>
      </c>
      <c r="K8" s="189">
        <v>376222007.37</v>
      </c>
      <c r="L8" s="189">
        <v>365722000</v>
      </c>
      <c r="M8" s="189">
        <v>46640000</v>
      </c>
      <c r="N8" s="189">
        <v>26640000</v>
      </c>
      <c r="O8" s="189">
        <v>0</v>
      </c>
      <c r="P8" s="189">
        <v>0</v>
      </c>
      <c r="Q8" s="189">
        <v>0</v>
      </c>
      <c r="R8" s="189">
        <v>0</v>
      </c>
      <c r="S8" s="189">
        <v>0</v>
      </c>
      <c r="T8" s="189">
        <v>0</v>
      </c>
      <c r="U8" s="189">
        <v>0</v>
      </c>
      <c r="V8" s="189">
        <v>0</v>
      </c>
      <c r="W8" s="189">
        <v>0</v>
      </c>
      <c r="X8" s="189">
        <v>0</v>
      </c>
      <c r="Y8" s="189">
        <v>0</v>
      </c>
      <c r="Z8" s="189">
        <v>0</v>
      </c>
      <c r="AA8" s="189">
        <v>0</v>
      </c>
      <c r="AB8" s="189">
        <v>0</v>
      </c>
      <c r="AC8" s="189">
        <v>0</v>
      </c>
      <c r="AD8" s="189">
        <v>0</v>
      </c>
      <c r="AE8" s="189">
        <v>0</v>
      </c>
      <c r="AF8" s="189">
        <v>0</v>
      </c>
      <c r="AG8" s="189">
        <v>0</v>
      </c>
      <c r="AH8" s="189">
        <v>0</v>
      </c>
      <c r="AI8" s="189">
        <v>0</v>
      </c>
      <c r="AJ8" s="189">
        <v>0</v>
      </c>
      <c r="AK8" s="189">
        <v>0</v>
      </c>
      <c r="AL8" s="189">
        <v>0</v>
      </c>
      <c r="AM8" s="189">
        <v>0</v>
      </c>
      <c r="AN8" s="189"/>
      <c r="AO8" s="189"/>
      <c r="AP8" s="189"/>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189"/>
      <c r="BP8" s="189"/>
      <c r="BQ8" s="189"/>
      <c r="BR8" s="189"/>
      <c r="BS8" s="189"/>
      <c r="BT8" s="189"/>
      <c r="BU8" s="189"/>
      <c r="BV8" s="189"/>
      <c r="BW8" s="189"/>
      <c r="BX8" s="189"/>
      <c r="BY8" s="189"/>
      <c r="BZ8" s="189"/>
      <c r="CA8" s="189"/>
      <c r="CB8" s="189"/>
      <c r="CC8" s="189"/>
      <c r="CD8" s="189"/>
      <c r="CE8" s="189"/>
      <c r="CF8" s="189"/>
      <c r="CG8" s="189"/>
      <c r="CH8" s="189"/>
      <c r="CI8" s="189"/>
      <c r="CJ8" s="189"/>
      <c r="CK8" s="189"/>
      <c r="CL8" s="189"/>
    </row>
    <row r="9" spans="1:90">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c r="AO9" s="189"/>
      <c r="AP9" s="189"/>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189"/>
      <c r="BP9" s="189"/>
      <c r="BQ9" s="189"/>
      <c r="BR9" s="189"/>
      <c r="BS9" s="189"/>
      <c r="BT9" s="189"/>
      <c r="BU9" s="189"/>
      <c r="BV9" s="189"/>
      <c r="BW9" s="189"/>
      <c r="BX9" s="189"/>
      <c r="BY9" s="189"/>
      <c r="BZ9" s="189"/>
      <c r="CA9" s="189"/>
      <c r="CB9" s="189"/>
      <c r="CC9" s="189"/>
      <c r="CD9" s="189"/>
      <c r="CE9" s="189"/>
      <c r="CF9" s="189"/>
      <c r="CG9" s="189"/>
      <c r="CH9" s="189"/>
      <c r="CI9" s="189"/>
      <c r="CJ9" s="189"/>
      <c r="CK9" s="189"/>
      <c r="CL9" s="189"/>
    </row>
    <row r="10" spans="1:90">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17049575.969999999</v>
      </c>
      <c r="AH10" s="189">
        <v>17191695.690000001</v>
      </c>
      <c r="AI10" s="189">
        <v>17333815.41</v>
      </c>
      <c r="AJ10" s="189">
        <v>17618054.850000001</v>
      </c>
      <c r="AK10" s="189">
        <v>18186533.73</v>
      </c>
      <c r="AL10" s="189">
        <v>18755012.66</v>
      </c>
      <c r="AM10" s="189">
        <v>0</v>
      </c>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row>
    <row r="11" spans="1:90">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row>
    <row r="12" spans="1:90">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c r="BO12" s="189"/>
      <c r="BP12" s="189"/>
      <c r="BQ12" s="189"/>
      <c r="BR12" s="189"/>
      <c r="BS12" s="189"/>
      <c r="BT12" s="189"/>
      <c r="BU12" s="189"/>
      <c r="BV12" s="189"/>
      <c r="BW12" s="189"/>
      <c r="BX12" s="189"/>
      <c r="BY12" s="189"/>
      <c r="BZ12" s="189"/>
      <c r="CA12" s="189"/>
      <c r="CB12" s="189"/>
      <c r="CC12" s="189"/>
      <c r="CD12" s="189"/>
      <c r="CE12" s="189"/>
      <c r="CF12" s="189"/>
      <c r="CG12" s="189"/>
      <c r="CH12" s="189"/>
      <c r="CI12" s="189"/>
      <c r="CJ12" s="189"/>
      <c r="CK12" s="189"/>
      <c r="CL12" s="189"/>
    </row>
    <row r="13" spans="1:90">
      <c r="A13" s="17" t="s">
        <v>10</v>
      </c>
      <c r="B13" s="189">
        <v>0</v>
      </c>
      <c r="C13" s="189">
        <v>55959220.149999999</v>
      </c>
      <c r="D13" s="189">
        <v>58867400.390000001</v>
      </c>
      <c r="E13" s="189">
        <v>45181595.5</v>
      </c>
      <c r="F13" s="189">
        <v>0</v>
      </c>
      <c r="G13" s="189">
        <v>0</v>
      </c>
      <c r="H13" s="189">
        <v>0</v>
      </c>
      <c r="I13" s="189">
        <v>0</v>
      </c>
      <c r="J13" s="189">
        <v>0</v>
      </c>
      <c r="K13" s="189">
        <v>0</v>
      </c>
      <c r="L13" s="189">
        <v>0</v>
      </c>
      <c r="M13" s="189">
        <v>0</v>
      </c>
      <c r="N13" s="189">
        <v>0</v>
      </c>
      <c r="O13" s="189">
        <v>0</v>
      </c>
      <c r="P13" s="189">
        <v>0</v>
      </c>
      <c r="Q13" s="189">
        <v>2057657.32</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row>
    <row r="14" spans="1:90" ht="14.45" hidden="1">
      <c r="B14" s="26"/>
      <c r="C14" s="26"/>
      <c r="D14" s="26"/>
      <c r="E14" s="26"/>
      <c r="F14" s="26"/>
      <c r="G14" s="26"/>
      <c r="H14" s="26"/>
      <c r="I14" s="26"/>
      <c r="J14" s="26"/>
      <c r="K14" s="26"/>
      <c r="L14" s="23"/>
    </row>
    <row r="15" spans="1:90" ht="14.45" hidden="1">
      <c r="B15" s="26"/>
      <c r="C15" s="26"/>
      <c r="D15" s="26"/>
      <c r="E15" s="26"/>
      <c r="F15" s="26"/>
      <c r="G15" s="26"/>
      <c r="H15" s="26"/>
      <c r="I15" s="26"/>
      <c r="J15" s="26"/>
      <c r="K15" s="26"/>
      <c r="L15" s="23"/>
    </row>
    <row r="16" spans="1:90" ht="14.45" hidden="1">
      <c r="B16" s="26"/>
      <c r="C16" s="26"/>
      <c r="D16" s="26"/>
      <c r="E16" s="26"/>
      <c r="F16" s="26"/>
      <c r="G16" s="26"/>
      <c r="H16" s="26"/>
      <c r="I16" s="26"/>
      <c r="J16" s="26"/>
      <c r="K16" s="26"/>
      <c r="L16" s="23"/>
    </row>
    <row r="17" spans="1:90" s="5" customFormat="1">
      <c r="A17" s="121" t="s">
        <v>11</v>
      </c>
      <c r="B17" s="33">
        <f>SUM(B4:B13)</f>
        <v>19220128290.080002</v>
      </c>
      <c r="C17" s="33">
        <f t="shared" ref="C17:BN17" si="0">SUM(C4:C13)</f>
        <v>21064687307.730003</v>
      </c>
      <c r="D17" s="33">
        <f t="shared" si="0"/>
        <v>24260079289.339996</v>
      </c>
      <c r="E17" s="33">
        <f t="shared" si="0"/>
        <v>23071052529.989998</v>
      </c>
      <c r="F17" s="33">
        <f t="shared" si="0"/>
        <v>21352274637.75</v>
      </c>
      <c r="G17" s="33">
        <f t="shared" si="0"/>
        <v>17946302369.950001</v>
      </c>
      <c r="H17" s="33">
        <f t="shared" si="0"/>
        <v>15534440338.699999</v>
      </c>
      <c r="I17" s="33">
        <f t="shared" si="0"/>
        <v>15765188074.299999</v>
      </c>
      <c r="J17" s="33">
        <f t="shared" si="0"/>
        <v>15716087361.67</v>
      </c>
      <c r="K17" s="33">
        <f t="shared" si="0"/>
        <v>10648121818.280001</v>
      </c>
      <c r="L17" s="33">
        <f t="shared" si="0"/>
        <v>10700181034.92</v>
      </c>
      <c r="M17" s="33">
        <f t="shared" si="0"/>
        <v>10133151907</v>
      </c>
      <c r="N17" s="33">
        <f t="shared" si="0"/>
        <v>6611834940.04</v>
      </c>
      <c r="O17" s="33">
        <f t="shared" si="0"/>
        <v>5444212539.9099998</v>
      </c>
      <c r="P17" s="33">
        <f t="shared" si="0"/>
        <v>4069518701.1599998</v>
      </c>
      <c r="Q17" s="33">
        <f t="shared" si="0"/>
        <v>4195000780.1000004</v>
      </c>
      <c r="R17" s="33">
        <f t="shared" si="0"/>
        <v>3821607434.6199999</v>
      </c>
      <c r="S17" s="33">
        <f t="shared" si="0"/>
        <v>2796391151.8499999</v>
      </c>
      <c r="T17" s="33">
        <f t="shared" si="0"/>
        <v>2323949894.6599998</v>
      </c>
      <c r="U17" s="33">
        <f t="shared" si="0"/>
        <v>2675386027.0700002</v>
      </c>
      <c r="V17" s="33">
        <f t="shared" si="0"/>
        <v>2584698785.8200002</v>
      </c>
      <c r="W17" s="33">
        <f t="shared" si="0"/>
        <v>2644577589.6799998</v>
      </c>
      <c r="X17" s="33">
        <f t="shared" si="0"/>
        <v>2751523259.3800001</v>
      </c>
      <c r="Y17" s="33">
        <f t="shared" si="0"/>
        <v>3445629597.9899998</v>
      </c>
      <c r="Z17" s="33">
        <f t="shared" si="0"/>
        <v>2569228947.27</v>
      </c>
      <c r="AA17" s="33">
        <f t="shared" si="0"/>
        <v>2244750389.1300001</v>
      </c>
      <c r="AB17" s="33">
        <f t="shared" si="0"/>
        <v>680514715.74000001</v>
      </c>
      <c r="AC17" s="33">
        <f t="shared" si="0"/>
        <v>683957407.77999997</v>
      </c>
      <c r="AD17" s="33">
        <f t="shared" si="0"/>
        <v>742879369.25999999</v>
      </c>
      <c r="AE17" s="33">
        <f t="shared" si="0"/>
        <v>782365552.09000003</v>
      </c>
      <c r="AF17" s="33">
        <f t="shared" si="0"/>
        <v>704850866.16999996</v>
      </c>
      <c r="AG17" s="33">
        <f t="shared" si="0"/>
        <v>681329153</v>
      </c>
      <c r="AH17" s="33">
        <f t="shared" si="0"/>
        <v>572976767.17000008</v>
      </c>
      <c r="AI17" s="33">
        <f t="shared" si="0"/>
        <v>176269199.97</v>
      </c>
      <c r="AJ17" s="33">
        <f t="shared" si="0"/>
        <v>178717039.56</v>
      </c>
      <c r="AK17" s="33">
        <f t="shared" si="0"/>
        <v>46297574.269999996</v>
      </c>
      <c r="AL17" s="33">
        <f t="shared" si="0"/>
        <v>53516466.599999994</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2" t="s">
        <v>79</v>
      </c>
      <c r="B18" s="34"/>
      <c r="C18" s="34"/>
      <c r="D18" s="34"/>
      <c r="E18" s="34"/>
      <c r="F18" s="34"/>
      <c r="G18" s="34"/>
      <c r="H18" s="34"/>
      <c r="I18" s="34"/>
      <c r="J18" s="34"/>
      <c r="K18" s="34"/>
      <c r="L18" s="32"/>
      <c r="M18" s="14"/>
      <c r="N18" s="14"/>
    </row>
    <row r="19" spans="1:90" s="5" customFormat="1">
      <c r="A19" s="121" t="s">
        <v>78</v>
      </c>
      <c r="B19" s="189">
        <v>5086376.8099999996</v>
      </c>
      <c r="C19" s="189">
        <v>1806535.66</v>
      </c>
      <c r="D19" s="189">
        <v>2500000</v>
      </c>
      <c r="E19" s="189">
        <v>0</v>
      </c>
      <c r="F19" s="189">
        <v>16531370.939999999</v>
      </c>
      <c r="G19" s="189">
        <v>16531370.939999999</v>
      </c>
      <c r="H19" s="189">
        <v>22475765</v>
      </c>
      <c r="I19" s="189">
        <v>22475765</v>
      </c>
      <c r="J19" s="189">
        <v>26007345.920000002</v>
      </c>
      <c r="K19" s="189">
        <v>29341371.530000001</v>
      </c>
      <c r="L19" s="189">
        <v>33128177.440000001</v>
      </c>
      <c r="M19" s="189">
        <v>33128177.440000001</v>
      </c>
      <c r="N19" s="189">
        <v>12500000</v>
      </c>
      <c r="O19" s="189">
        <v>0</v>
      </c>
      <c r="P19" s="189">
        <v>3000000</v>
      </c>
      <c r="Q19" s="189">
        <v>0</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c r="AO19" s="189"/>
      <c r="AP19" s="189"/>
      <c r="AQ19" s="189"/>
      <c r="AR19" s="189"/>
      <c r="AS19" s="189"/>
      <c r="AT19" s="189"/>
      <c r="AU19" s="189"/>
      <c r="AV19" s="189"/>
      <c r="AW19" s="189"/>
      <c r="AX19" s="189"/>
      <c r="AY19" s="189"/>
      <c r="AZ19" s="189"/>
      <c r="BA19" s="189"/>
      <c r="BB19" s="189"/>
      <c r="BC19" s="189"/>
      <c r="BD19" s="189"/>
      <c r="BE19" s="189"/>
      <c r="BF19" s="189"/>
      <c r="BG19" s="189"/>
      <c r="BH19" s="189"/>
      <c r="BI19" s="189"/>
      <c r="BJ19" s="189"/>
      <c r="BK19" s="189"/>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189">
        <v>113709071.06</v>
      </c>
      <c r="C22" s="189">
        <v>124394001.31</v>
      </c>
      <c r="D22" s="189">
        <v>304490782.61000001</v>
      </c>
      <c r="E22" s="189">
        <v>432048433.19</v>
      </c>
      <c r="F22" s="189">
        <v>100983537.56</v>
      </c>
      <c r="G22" s="189">
        <v>139949179.78999999</v>
      </c>
      <c r="H22" s="189">
        <v>151147366.16</v>
      </c>
      <c r="I22" s="189">
        <v>195613019.53999999</v>
      </c>
      <c r="J22" s="189">
        <v>73650747.010000005</v>
      </c>
      <c r="K22" s="189">
        <v>55942662.43</v>
      </c>
      <c r="L22" s="189">
        <v>62390405.990000002</v>
      </c>
      <c r="M22" s="189">
        <v>52297676.369999997</v>
      </c>
      <c r="N22" s="189">
        <v>54287371.229999997</v>
      </c>
      <c r="O22" s="189">
        <v>41669500.689999998</v>
      </c>
      <c r="P22" s="189">
        <v>47920822.799999997</v>
      </c>
      <c r="Q22" s="189">
        <v>35516097.549999997</v>
      </c>
      <c r="R22" s="189">
        <v>31412111.809999999</v>
      </c>
      <c r="S22" s="189">
        <v>23709486.190000001</v>
      </c>
      <c r="T22" s="189">
        <v>87666446.659999996</v>
      </c>
      <c r="U22" s="189">
        <v>52690668.960000001</v>
      </c>
      <c r="V22" s="189">
        <v>35622619</v>
      </c>
      <c r="W22" s="189">
        <v>41379158.469999999</v>
      </c>
      <c r="X22" s="189">
        <v>39152261.619999997</v>
      </c>
      <c r="Y22" s="189">
        <v>28945010.789999999</v>
      </c>
      <c r="Z22" s="189">
        <v>21435910.07</v>
      </c>
      <c r="AA22" s="189">
        <v>11601836.119999999</v>
      </c>
      <c r="AB22" s="189">
        <v>17642178.899999999</v>
      </c>
      <c r="AC22" s="189">
        <v>25842313.300000001</v>
      </c>
      <c r="AD22" s="189">
        <v>16033557.210000001</v>
      </c>
      <c r="AE22" s="189">
        <v>14195864.199999999</v>
      </c>
      <c r="AF22" s="189">
        <v>15318276.810000001</v>
      </c>
      <c r="AG22" s="189">
        <v>4870000</v>
      </c>
      <c r="AH22" s="189">
        <v>3865030</v>
      </c>
      <c r="AI22" s="189">
        <v>3080000</v>
      </c>
      <c r="AJ22" s="189">
        <v>800000</v>
      </c>
      <c r="AK22" s="189">
        <v>570000</v>
      </c>
      <c r="AL22" s="189">
        <v>1070000</v>
      </c>
      <c r="AM22" s="189">
        <v>0</v>
      </c>
      <c r="AN22" s="189"/>
      <c r="AO22" s="189"/>
      <c r="AP22" s="189"/>
      <c r="AQ22" s="189"/>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row>
    <row r="23" spans="1:90">
      <c r="A23" s="17" t="s">
        <v>15</v>
      </c>
      <c r="B23" s="189">
        <v>7145171088.2799997</v>
      </c>
      <c r="C23" s="189">
        <v>6433036470.5600004</v>
      </c>
      <c r="D23" s="189">
        <v>4813729753.25</v>
      </c>
      <c r="E23" s="189">
        <v>4408748773.7700005</v>
      </c>
      <c r="F23" s="189">
        <v>5385316361.6199999</v>
      </c>
      <c r="G23" s="189">
        <v>4900436735.1300001</v>
      </c>
      <c r="H23" s="189">
        <v>4264105192</v>
      </c>
      <c r="I23" s="189">
        <v>4799989215.0500002</v>
      </c>
      <c r="J23" s="189">
        <v>3581128811.3699999</v>
      </c>
      <c r="K23" s="189">
        <v>3130859653.4099998</v>
      </c>
      <c r="L23" s="189">
        <v>2948341169.4099998</v>
      </c>
      <c r="M23" s="189">
        <v>2793848738.8600001</v>
      </c>
      <c r="N23" s="189">
        <v>2734979953.6399999</v>
      </c>
      <c r="O23" s="189">
        <v>2013528718.3</v>
      </c>
      <c r="P23" s="189">
        <v>1868709641.2</v>
      </c>
      <c r="Q23" s="189">
        <v>1770341668.21</v>
      </c>
      <c r="R23" s="189">
        <v>1201094542.3299999</v>
      </c>
      <c r="S23" s="189">
        <v>938102399.91999996</v>
      </c>
      <c r="T23" s="189">
        <v>598827952.28999996</v>
      </c>
      <c r="U23" s="189">
        <v>431104965.57999998</v>
      </c>
      <c r="V23" s="189">
        <v>475827325.00999999</v>
      </c>
      <c r="W23" s="189">
        <v>336636148.81999999</v>
      </c>
      <c r="X23" s="189">
        <v>345724326.47000003</v>
      </c>
      <c r="Y23" s="189">
        <v>320919035.22000003</v>
      </c>
      <c r="Z23" s="189">
        <v>239880423.06</v>
      </c>
      <c r="AA23" s="189">
        <v>211646916.71000001</v>
      </c>
      <c r="AB23" s="189">
        <v>155659719.16</v>
      </c>
      <c r="AC23" s="189">
        <v>127022332.72</v>
      </c>
      <c r="AD23" s="189">
        <v>109870965.13</v>
      </c>
      <c r="AE23" s="189">
        <v>43788635.049999997</v>
      </c>
      <c r="AF23" s="189">
        <v>64960325.530000001</v>
      </c>
      <c r="AG23" s="189">
        <v>49517963.130000003</v>
      </c>
      <c r="AH23" s="189">
        <v>61730933.009999998</v>
      </c>
      <c r="AI23" s="189">
        <v>56207446.469999999</v>
      </c>
      <c r="AJ23" s="189">
        <v>33708208.579999998</v>
      </c>
      <c r="AK23" s="189">
        <v>21610589.600000001</v>
      </c>
      <c r="AL23" s="189">
        <v>21711897.66</v>
      </c>
      <c r="AM23" s="189">
        <v>0</v>
      </c>
      <c r="AN23" s="189"/>
      <c r="AO23" s="189"/>
      <c r="AP23" s="189"/>
      <c r="AQ23" s="189"/>
      <c r="AR23" s="189"/>
      <c r="AS23" s="189"/>
      <c r="AT23" s="189"/>
      <c r="AU23" s="189"/>
      <c r="AV23" s="189"/>
      <c r="AW23" s="189"/>
      <c r="AX23" s="189"/>
      <c r="AY23" s="189"/>
      <c r="AZ23" s="189"/>
      <c r="BA23" s="189"/>
      <c r="BB23" s="189"/>
      <c r="BC23" s="189"/>
      <c r="BD23" s="189"/>
      <c r="BE23" s="189"/>
      <c r="BF23" s="189"/>
      <c r="BG23" s="189"/>
      <c r="BH23" s="189"/>
      <c r="BI23" s="189"/>
      <c r="BJ23" s="189"/>
      <c r="BK23" s="189"/>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row>
    <row r="24" spans="1:90">
      <c r="A24" s="17" t="s">
        <v>16</v>
      </c>
      <c r="B24" s="189">
        <v>334212282.45999998</v>
      </c>
      <c r="C24" s="189">
        <v>216656811.81999999</v>
      </c>
      <c r="D24" s="189">
        <v>380697233.5</v>
      </c>
      <c r="E24" s="189">
        <v>247775099.28</v>
      </c>
      <c r="F24" s="189">
        <v>368606262.98000002</v>
      </c>
      <c r="G24" s="189">
        <v>515699993.36000001</v>
      </c>
      <c r="H24" s="189">
        <v>630850602.54999995</v>
      </c>
      <c r="I24" s="189">
        <v>740614826.55999994</v>
      </c>
      <c r="J24" s="189">
        <v>837197587.78999996</v>
      </c>
      <c r="K24" s="189">
        <v>707652934.57000005</v>
      </c>
      <c r="L24" s="189">
        <v>652476203.99000001</v>
      </c>
      <c r="M24" s="189">
        <v>589928931.62</v>
      </c>
      <c r="N24" s="189">
        <v>371240815.43000001</v>
      </c>
      <c r="O24" s="189">
        <v>245756507.31</v>
      </c>
      <c r="P24" s="189">
        <v>106206471.05</v>
      </c>
      <c r="Q24" s="189">
        <v>162256611.28999999</v>
      </c>
      <c r="R24" s="189">
        <v>181254101.13999999</v>
      </c>
      <c r="S24" s="189">
        <v>137828234.38999999</v>
      </c>
      <c r="T24" s="189">
        <v>196808232.46000001</v>
      </c>
      <c r="U24" s="189">
        <v>155941476.72</v>
      </c>
      <c r="V24" s="189">
        <v>99605184.659999996</v>
      </c>
      <c r="W24" s="189">
        <v>86268684.010000005</v>
      </c>
      <c r="X24" s="189">
        <v>646530882.40999997</v>
      </c>
      <c r="Y24" s="189">
        <v>84529346.459999993</v>
      </c>
      <c r="Z24" s="189">
        <v>420577958.50999999</v>
      </c>
      <c r="AA24" s="189">
        <v>276465031.02999997</v>
      </c>
      <c r="AB24" s="189">
        <v>185342297.03999999</v>
      </c>
      <c r="AC24" s="189">
        <v>171642649.41999999</v>
      </c>
      <c r="AD24" s="189">
        <v>210249495.25</v>
      </c>
      <c r="AE24" s="189">
        <v>203084894.72</v>
      </c>
      <c r="AF24" s="189">
        <v>73044254.890000001</v>
      </c>
      <c r="AG24" s="189">
        <v>51738442.469999999</v>
      </c>
      <c r="AH24" s="189">
        <v>65013507.270000003</v>
      </c>
      <c r="AI24" s="189">
        <v>40524225.82</v>
      </c>
      <c r="AJ24" s="189">
        <v>40007126.869999997</v>
      </c>
      <c r="AK24" s="189">
        <v>92297982.370000005</v>
      </c>
      <c r="AL24" s="189">
        <v>22928298.07</v>
      </c>
      <c r="AM24" s="189">
        <v>0</v>
      </c>
      <c r="AN24" s="189"/>
      <c r="AO24" s="189"/>
      <c r="AP24" s="189"/>
      <c r="AQ24" s="189"/>
      <c r="AR24" s="189"/>
      <c r="AS24" s="189"/>
      <c r="AT24" s="189"/>
      <c r="AU24" s="189"/>
      <c r="AV24" s="189"/>
      <c r="AW24" s="189"/>
      <c r="AX24" s="189"/>
      <c r="AY24" s="189"/>
      <c r="AZ24" s="189"/>
      <c r="BA24" s="189"/>
      <c r="BB24" s="189"/>
      <c r="BC24" s="189"/>
      <c r="BD24" s="189"/>
      <c r="BE24" s="189"/>
      <c r="BF24" s="189"/>
      <c r="BG24" s="189"/>
      <c r="BH24" s="189"/>
      <c r="BI24" s="189"/>
      <c r="BJ24" s="189"/>
      <c r="BK24" s="189"/>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row>
    <row r="25" spans="1:90">
      <c r="A25" s="17" t="s">
        <v>17</v>
      </c>
      <c r="B25" s="189">
        <v>83632312.209999993</v>
      </c>
      <c r="C25" s="189">
        <v>17567578.949999999</v>
      </c>
      <c r="D25" s="189">
        <v>20099131.710000001</v>
      </c>
      <c r="E25" s="189">
        <v>13308563.109999999</v>
      </c>
      <c r="F25" s="189">
        <v>28226824.98</v>
      </c>
      <c r="G25" s="189">
        <v>24021517.170000002</v>
      </c>
      <c r="H25" s="189">
        <v>32558515.870000001</v>
      </c>
      <c r="I25" s="189">
        <v>22468439.190000001</v>
      </c>
      <c r="J25" s="189">
        <v>43908848.990000002</v>
      </c>
      <c r="K25" s="189">
        <v>495563322.04000002</v>
      </c>
      <c r="L25" s="189">
        <v>19393414.460000001</v>
      </c>
      <c r="M25" s="189">
        <v>14462223.619999999</v>
      </c>
      <c r="N25" s="189">
        <v>14679924.039999999</v>
      </c>
      <c r="O25" s="189">
        <v>15413663.619999999</v>
      </c>
      <c r="P25" s="189">
        <v>9767937.1600000001</v>
      </c>
      <c r="Q25" s="189">
        <v>15880211.34</v>
      </c>
      <c r="R25" s="189">
        <v>18385018.390000001</v>
      </c>
      <c r="S25" s="189">
        <v>8293086.5300000003</v>
      </c>
      <c r="T25" s="189">
        <v>6825548.6500000004</v>
      </c>
      <c r="U25" s="189">
        <v>5459449.4000000004</v>
      </c>
      <c r="V25" s="189">
        <v>3302022.64</v>
      </c>
      <c r="W25" s="189">
        <v>2847544.7</v>
      </c>
      <c r="X25" s="189">
        <v>3191446.77</v>
      </c>
      <c r="Y25" s="189">
        <v>2395768.89</v>
      </c>
      <c r="Z25" s="189">
        <v>6824270</v>
      </c>
      <c r="AA25" s="189">
        <v>6026189.9400000004</v>
      </c>
      <c r="AB25" s="189">
        <v>6883183.8399999999</v>
      </c>
      <c r="AC25" s="189">
        <v>7288648.5999999996</v>
      </c>
      <c r="AD25" s="189">
        <v>11492155.550000001</v>
      </c>
      <c r="AE25" s="189">
        <v>5808920.5499999998</v>
      </c>
      <c r="AF25" s="189">
        <v>7961527.21</v>
      </c>
      <c r="AG25" s="189">
        <v>5743026.0199999996</v>
      </c>
      <c r="AH25" s="189">
        <v>926232.75</v>
      </c>
      <c r="AI25" s="189">
        <v>4511018.57</v>
      </c>
      <c r="AJ25" s="189">
        <v>3717178.02</v>
      </c>
      <c r="AK25" s="189">
        <v>4272647.96</v>
      </c>
      <c r="AL25" s="189">
        <v>2814082.67</v>
      </c>
      <c r="AM25" s="189">
        <v>0</v>
      </c>
      <c r="AN25" s="189"/>
      <c r="AO25" s="189"/>
      <c r="AP25" s="189"/>
      <c r="AQ25" s="189"/>
      <c r="AR25" s="189"/>
      <c r="AS25" s="189"/>
      <c r="AT25" s="189"/>
      <c r="AU25" s="189"/>
      <c r="AV25" s="189"/>
      <c r="AW25" s="189"/>
      <c r="AX25" s="189"/>
      <c r="AY25" s="189"/>
      <c r="AZ25" s="189"/>
      <c r="BA25" s="189"/>
      <c r="BB25" s="189"/>
      <c r="BC25" s="189"/>
      <c r="BD25" s="189"/>
      <c r="BE25" s="189"/>
      <c r="BF25" s="189"/>
      <c r="BG25" s="189"/>
      <c r="BH25" s="189"/>
      <c r="BI25" s="189"/>
      <c r="BJ25" s="189"/>
      <c r="BK25" s="189"/>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row>
    <row r="26" spans="1:90">
      <c r="A26" s="17" t="s">
        <v>18</v>
      </c>
      <c r="B26" s="189">
        <v>850944343.95000005</v>
      </c>
      <c r="C26" s="189">
        <v>692785255.57000005</v>
      </c>
      <c r="D26" s="189">
        <v>600993713.50999999</v>
      </c>
      <c r="E26" s="189">
        <v>582550231.92999995</v>
      </c>
      <c r="F26" s="189">
        <v>677230430.11000001</v>
      </c>
      <c r="G26" s="189">
        <v>669935234.58000004</v>
      </c>
      <c r="H26" s="189">
        <v>731628983.34000003</v>
      </c>
      <c r="I26" s="189">
        <v>601293534.66999996</v>
      </c>
      <c r="J26" s="189">
        <v>724713297.20000005</v>
      </c>
      <c r="K26" s="189">
        <v>578841182.41999996</v>
      </c>
      <c r="L26" s="189">
        <v>576317041.96000004</v>
      </c>
      <c r="M26" s="189">
        <v>526982374.43000001</v>
      </c>
      <c r="N26" s="189">
        <v>706591203.73000002</v>
      </c>
      <c r="O26" s="189">
        <v>686741051.61000001</v>
      </c>
      <c r="P26" s="189">
        <v>583826254.91999996</v>
      </c>
      <c r="Q26" s="189">
        <v>494991977.74000001</v>
      </c>
      <c r="R26" s="189">
        <v>638413407.54999995</v>
      </c>
      <c r="S26" s="189">
        <v>571230376.52999997</v>
      </c>
      <c r="T26" s="189">
        <v>593901583.94000006</v>
      </c>
      <c r="U26" s="189">
        <v>464347715.97000003</v>
      </c>
      <c r="V26" s="189">
        <v>431579661.52999997</v>
      </c>
      <c r="W26" s="189">
        <v>253100928.06</v>
      </c>
      <c r="X26" s="189">
        <v>290281048.81999999</v>
      </c>
      <c r="Y26" s="189">
        <v>251174796.99000001</v>
      </c>
      <c r="Z26" s="189">
        <v>233794349.62</v>
      </c>
      <c r="AA26" s="189">
        <v>213524954.25999999</v>
      </c>
      <c r="AB26" s="189">
        <v>123536794.45999999</v>
      </c>
      <c r="AC26" s="189">
        <v>155092034.97</v>
      </c>
      <c r="AD26" s="189">
        <v>186641875.87</v>
      </c>
      <c r="AE26" s="189">
        <v>150491469.63</v>
      </c>
      <c r="AF26" s="189">
        <v>86165944.5</v>
      </c>
      <c r="AG26" s="189">
        <v>37721411.020000003</v>
      </c>
      <c r="AH26" s="189">
        <v>46838898.729999997</v>
      </c>
      <c r="AI26" s="189">
        <v>57493710.369999997</v>
      </c>
      <c r="AJ26" s="189">
        <v>35777972.329999998</v>
      </c>
      <c r="AK26" s="189">
        <v>27429417.100000001</v>
      </c>
      <c r="AL26" s="189">
        <v>19587683.620000001</v>
      </c>
      <c r="AM26" s="189">
        <v>0</v>
      </c>
      <c r="AN26" s="189"/>
      <c r="AO26" s="189"/>
      <c r="AP26" s="189"/>
      <c r="AQ26" s="189"/>
      <c r="AR26" s="189"/>
      <c r="AS26" s="189"/>
      <c r="AT26" s="189"/>
      <c r="AU26" s="189"/>
      <c r="AV26" s="189"/>
      <c r="AW26" s="189"/>
      <c r="AX26" s="189"/>
      <c r="AY26" s="189"/>
      <c r="AZ26" s="189"/>
      <c r="BA26" s="189"/>
      <c r="BB26" s="189"/>
      <c r="BC26" s="189"/>
      <c r="BD26" s="189"/>
      <c r="BE26" s="189"/>
      <c r="BF26" s="189"/>
      <c r="BG26" s="189"/>
      <c r="BH26" s="189"/>
      <c r="BI26" s="189"/>
      <c r="BJ26" s="189"/>
      <c r="BK26" s="189"/>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row>
    <row r="27" spans="1:90">
      <c r="A27" s="17" t="s">
        <v>19</v>
      </c>
      <c r="B27" s="189">
        <v>1771077559.9200001</v>
      </c>
      <c r="C27" s="189">
        <v>2683311214.9200001</v>
      </c>
      <c r="D27" s="189">
        <v>570538352</v>
      </c>
      <c r="E27" s="189">
        <v>899580984.20000005</v>
      </c>
      <c r="F27" s="189">
        <v>1333558041.4200001</v>
      </c>
      <c r="G27" s="189">
        <v>2478010383.6399999</v>
      </c>
      <c r="H27" s="189">
        <v>2559056957.4699998</v>
      </c>
      <c r="I27" s="189">
        <v>26547468.27</v>
      </c>
      <c r="J27" s="189">
        <v>11305496.49</v>
      </c>
      <c r="K27" s="189">
        <v>5029886.76</v>
      </c>
      <c r="L27" s="189">
        <v>14837223.449999999</v>
      </c>
      <c r="M27" s="189">
        <v>23166720.199999999</v>
      </c>
      <c r="N27" s="189">
        <v>28549268.859999999</v>
      </c>
      <c r="O27" s="189">
        <v>35306327.399999999</v>
      </c>
      <c r="P27" s="189">
        <v>157532114.13</v>
      </c>
      <c r="Q27" s="189">
        <v>180086896.34</v>
      </c>
      <c r="R27" s="189">
        <v>119159292.64</v>
      </c>
      <c r="S27" s="189">
        <v>213762469.72999999</v>
      </c>
      <c r="T27" s="189">
        <v>180586129.43000001</v>
      </c>
      <c r="U27" s="189">
        <v>182929472.25999999</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c r="AO27" s="189"/>
      <c r="AP27" s="189"/>
      <c r="AQ27" s="189"/>
      <c r="AR27" s="189"/>
      <c r="AS27" s="189"/>
      <c r="AT27" s="189"/>
      <c r="AU27" s="189"/>
      <c r="AV27" s="189"/>
      <c r="AW27" s="189"/>
      <c r="AX27" s="189"/>
      <c r="AY27" s="189"/>
      <c r="AZ27" s="189"/>
      <c r="BA27" s="189"/>
      <c r="BB27" s="189"/>
      <c r="BC27" s="189"/>
      <c r="BD27" s="189"/>
      <c r="BE27" s="189"/>
      <c r="BF27" s="189"/>
      <c r="BG27" s="189"/>
      <c r="BH27" s="189"/>
      <c r="BI27" s="189"/>
      <c r="BJ27" s="189"/>
      <c r="BK27" s="189"/>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row>
    <row r="28" spans="1:90">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c r="AO28" s="189"/>
      <c r="AP28" s="189"/>
      <c r="AQ28" s="189"/>
      <c r="AR28" s="189"/>
      <c r="AS28" s="189"/>
      <c r="AT28" s="189"/>
      <c r="AU28" s="189"/>
      <c r="AV28" s="189"/>
      <c r="AW28" s="189"/>
      <c r="AX28" s="189"/>
      <c r="AY28" s="189"/>
      <c r="AZ28" s="189"/>
      <c r="BA28" s="189"/>
      <c r="BB28" s="189"/>
      <c r="BC28" s="189"/>
      <c r="BD28" s="189"/>
      <c r="BE28" s="189"/>
      <c r="BF28" s="189"/>
      <c r="BG28" s="189"/>
      <c r="BH28" s="189"/>
      <c r="BI28" s="189"/>
      <c r="BJ28" s="189"/>
      <c r="BK28" s="189"/>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row>
    <row r="29" spans="1:90">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c r="AO29" s="189"/>
      <c r="AP29" s="189"/>
      <c r="AQ29" s="189"/>
      <c r="AR29" s="189"/>
      <c r="AS29" s="189"/>
      <c r="AT29" s="189"/>
      <c r="AU29" s="189"/>
      <c r="AV29" s="189"/>
      <c r="AW29" s="189"/>
      <c r="AX29" s="189"/>
      <c r="AY29" s="189"/>
      <c r="AZ29" s="189"/>
      <c r="BA29" s="189"/>
      <c r="BB29" s="189"/>
      <c r="BC29" s="189"/>
      <c r="BD29" s="189"/>
      <c r="BE29" s="189"/>
      <c r="BF29" s="189"/>
      <c r="BG29" s="189"/>
      <c r="BH29" s="189"/>
      <c r="BI29" s="189"/>
      <c r="BJ29" s="189"/>
      <c r="BK29" s="189"/>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row>
    <row r="30" spans="1:90" ht="14.45" hidden="1">
      <c r="B30" s="26"/>
      <c r="C30" s="26"/>
      <c r="D30" s="26"/>
      <c r="E30" s="26"/>
      <c r="F30" s="26"/>
      <c r="G30" s="26"/>
      <c r="H30" s="26"/>
      <c r="I30" s="26"/>
      <c r="J30" s="26"/>
      <c r="K30" s="26"/>
      <c r="L30" s="23"/>
    </row>
    <row r="31" spans="1:90" ht="14.45" hidden="1">
      <c r="B31" s="26"/>
      <c r="C31" s="26"/>
      <c r="D31" s="26"/>
      <c r="E31" s="26"/>
      <c r="F31" s="26"/>
      <c r="G31" s="26"/>
      <c r="H31" s="26"/>
      <c r="I31" s="26"/>
      <c r="J31" s="26"/>
      <c r="K31" s="26"/>
      <c r="L31" s="23"/>
    </row>
    <row r="32" spans="1:90" ht="14.45" hidden="1">
      <c r="B32" s="26"/>
      <c r="C32" s="26"/>
      <c r="D32" s="26"/>
      <c r="E32" s="26"/>
      <c r="F32" s="26"/>
      <c r="G32" s="26"/>
      <c r="H32" s="26"/>
      <c r="I32" s="26"/>
      <c r="J32" s="26"/>
      <c r="K32" s="26"/>
      <c r="L32" s="23"/>
    </row>
    <row r="33" spans="1:90" s="10" customFormat="1">
      <c r="A33" s="123" t="s">
        <v>20</v>
      </c>
      <c r="B33" s="35">
        <f>SUM(B22:B29)</f>
        <v>10298746657.880001</v>
      </c>
      <c r="C33" s="35">
        <f t="shared" ref="C33:BN33" si="2">SUM(C22:C29)</f>
        <v>10167751333.130001</v>
      </c>
      <c r="D33" s="35">
        <f t="shared" si="2"/>
        <v>6690548966.5799999</v>
      </c>
      <c r="E33" s="35">
        <f t="shared" si="2"/>
        <v>6584012085.4799995</v>
      </c>
      <c r="F33" s="35">
        <f t="shared" si="2"/>
        <v>7893921458.6699991</v>
      </c>
      <c r="G33" s="35">
        <f t="shared" si="2"/>
        <v>8728053043.6700001</v>
      </c>
      <c r="H33" s="35">
        <f t="shared" si="2"/>
        <v>8369347617.3899994</v>
      </c>
      <c r="I33" s="35">
        <f t="shared" si="2"/>
        <v>6386526503.2799997</v>
      </c>
      <c r="J33" s="35">
        <f t="shared" si="2"/>
        <v>5271904788.8499994</v>
      </c>
      <c r="K33" s="35">
        <f t="shared" si="2"/>
        <v>4973889641.6300001</v>
      </c>
      <c r="L33" s="35">
        <f t="shared" si="2"/>
        <v>4273755459.2599993</v>
      </c>
      <c r="M33" s="35">
        <f t="shared" si="2"/>
        <v>4000686665.0999994</v>
      </c>
      <c r="N33" s="35">
        <f t="shared" si="2"/>
        <v>3910328536.9299998</v>
      </c>
      <c r="O33" s="35">
        <f t="shared" si="2"/>
        <v>3038415768.9300003</v>
      </c>
      <c r="P33" s="35">
        <f t="shared" si="2"/>
        <v>2773963241.2600002</v>
      </c>
      <c r="Q33" s="35">
        <f t="shared" si="2"/>
        <v>2659073462.4700003</v>
      </c>
      <c r="R33" s="35">
        <f t="shared" si="2"/>
        <v>2189718473.8599997</v>
      </c>
      <c r="S33" s="35">
        <f t="shared" si="2"/>
        <v>1892926053.29</v>
      </c>
      <c r="T33" s="35">
        <f t="shared" si="2"/>
        <v>1664615893.4300001</v>
      </c>
      <c r="U33" s="35">
        <f t="shared" si="2"/>
        <v>1292473748.8900001</v>
      </c>
      <c r="V33" s="35">
        <f t="shared" si="2"/>
        <v>1045936812.8399999</v>
      </c>
      <c r="W33" s="35">
        <f t="shared" si="2"/>
        <v>720232464.05999994</v>
      </c>
      <c r="X33" s="35">
        <f t="shared" si="2"/>
        <v>1324879966.0899999</v>
      </c>
      <c r="Y33" s="35">
        <f t="shared" si="2"/>
        <v>687963958.35000002</v>
      </c>
      <c r="Z33" s="35">
        <f t="shared" si="2"/>
        <v>922512911.25999999</v>
      </c>
      <c r="AA33" s="35">
        <f t="shared" si="2"/>
        <v>719264928.05999994</v>
      </c>
      <c r="AB33" s="35">
        <f t="shared" si="2"/>
        <v>489064173.39999998</v>
      </c>
      <c r="AC33" s="35">
        <f t="shared" si="2"/>
        <v>486887979.00999999</v>
      </c>
      <c r="AD33" s="35">
        <f t="shared" si="2"/>
        <v>534288049.01000005</v>
      </c>
      <c r="AE33" s="35">
        <f t="shared" si="2"/>
        <v>417369784.14999998</v>
      </c>
      <c r="AF33" s="35">
        <f t="shared" si="2"/>
        <v>247450328.94000003</v>
      </c>
      <c r="AG33" s="35">
        <f t="shared" si="2"/>
        <v>149590842.63999999</v>
      </c>
      <c r="AH33" s="35">
        <f t="shared" si="2"/>
        <v>178374601.75999999</v>
      </c>
      <c r="AI33" s="35">
        <f t="shared" si="2"/>
        <v>161816401.22999999</v>
      </c>
      <c r="AJ33" s="35">
        <f t="shared" si="2"/>
        <v>114010485.79999998</v>
      </c>
      <c r="AK33" s="35">
        <f t="shared" si="2"/>
        <v>146180637.03</v>
      </c>
      <c r="AL33" s="35">
        <f t="shared" si="2"/>
        <v>68111962.020000011</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2" t="s">
        <v>82</v>
      </c>
      <c r="B34" s="34"/>
      <c r="C34" s="34"/>
      <c r="D34" s="34"/>
      <c r="E34" s="34"/>
      <c r="F34" s="34"/>
      <c r="G34" s="34"/>
      <c r="H34" s="34"/>
      <c r="I34" s="34"/>
      <c r="J34" s="34"/>
      <c r="K34" s="34"/>
      <c r="L34" s="32"/>
      <c r="M34" s="14"/>
      <c r="N34" s="14"/>
    </row>
    <row r="35" spans="1:90">
      <c r="A35" s="17" t="s">
        <v>21</v>
      </c>
      <c r="B35" s="189">
        <v>0</v>
      </c>
      <c r="C35" s="189">
        <v>861086930.23000002</v>
      </c>
      <c r="D35" s="189">
        <v>418393162.92000002</v>
      </c>
      <c r="E35" s="189">
        <v>465301242.41000003</v>
      </c>
      <c r="F35" s="189">
        <v>697084591.38999999</v>
      </c>
      <c r="G35" s="189">
        <v>643363053.79999995</v>
      </c>
      <c r="H35" s="189">
        <v>621571363.83000004</v>
      </c>
      <c r="I35" s="189">
        <v>501219149.10000002</v>
      </c>
      <c r="J35" s="189">
        <v>463552032.36000001</v>
      </c>
      <c r="K35" s="189">
        <v>478443792.22000003</v>
      </c>
      <c r="L35" s="189">
        <v>437134424.25</v>
      </c>
      <c r="M35" s="189">
        <v>393341929.13999999</v>
      </c>
      <c r="N35" s="189">
        <v>286317581.12</v>
      </c>
      <c r="O35" s="189">
        <v>260125984.33000001</v>
      </c>
      <c r="P35" s="189">
        <v>234772487.93000001</v>
      </c>
      <c r="Q35" s="189">
        <v>275744167.79000002</v>
      </c>
      <c r="R35" s="189">
        <v>145441264.99000001</v>
      </c>
      <c r="S35" s="189">
        <v>232506050</v>
      </c>
      <c r="T35" s="189">
        <v>78431981.219999999</v>
      </c>
      <c r="U35" s="189">
        <v>73282382.900000006</v>
      </c>
      <c r="V35" s="189">
        <v>125295242</v>
      </c>
      <c r="W35" s="189">
        <v>115653592.38</v>
      </c>
      <c r="X35" s="189">
        <v>41825267.289999999</v>
      </c>
      <c r="Y35" s="189">
        <v>33701358.100000001</v>
      </c>
      <c r="Z35" s="189">
        <v>10000000</v>
      </c>
      <c r="AA35" s="189">
        <v>110000000</v>
      </c>
      <c r="AB35" s="189">
        <v>110000000</v>
      </c>
      <c r="AC35" s="189">
        <v>57741130.009999998</v>
      </c>
      <c r="AD35" s="189">
        <v>110618565.45999999</v>
      </c>
      <c r="AE35" s="189">
        <v>0</v>
      </c>
      <c r="AF35" s="189">
        <v>0</v>
      </c>
      <c r="AG35" s="189">
        <v>1877600</v>
      </c>
      <c r="AH35" s="189">
        <v>5265800</v>
      </c>
      <c r="AI35" s="189">
        <v>0</v>
      </c>
      <c r="AJ35" s="189">
        <v>0</v>
      </c>
      <c r="AK35" s="189">
        <v>0</v>
      </c>
      <c r="AL35" s="189">
        <v>2900000</v>
      </c>
      <c r="AM35" s="189">
        <v>0</v>
      </c>
      <c r="AN35" s="189"/>
      <c r="AO35" s="189"/>
      <c r="AP35" s="189"/>
      <c r="AQ35" s="189"/>
      <c r="AR35" s="189"/>
      <c r="AS35" s="189"/>
      <c r="AT35" s="189"/>
      <c r="AU35" s="189"/>
      <c r="AV35" s="189"/>
      <c r="AW35" s="189"/>
      <c r="AX35" s="189"/>
      <c r="AY35" s="189"/>
      <c r="AZ35" s="189"/>
      <c r="BA35" s="189"/>
      <c r="BB35" s="189"/>
      <c r="BC35" s="189"/>
      <c r="BD35" s="189"/>
      <c r="BE35" s="189"/>
      <c r="BF35" s="189"/>
      <c r="BG35" s="189"/>
      <c r="BH35" s="189"/>
      <c r="BI35" s="189"/>
      <c r="BJ35" s="189"/>
      <c r="BK35" s="189"/>
      <c r="BL35" s="189"/>
      <c r="BM35" s="189"/>
      <c r="BN35" s="189"/>
      <c r="BO35" s="189"/>
      <c r="BP35" s="189"/>
      <c r="BQ35" s="189"/>
      <c r="BR35" s="189"/>
      <c r="BS35" s="189"/>
      <c r="BT35" s="189"/>
      <c r="BU35" s="189"/>
      <c r="BV35" s="189"/>
      <c r="BW35" s="189"/>
      <c r="BX35" s="189"/>
      <c r="BY35" s="189"/>
      <c r="BZ35" s="189"/>
      <c r="CA35" s="189"/>
      <c r="CB35" s="189"/>
      <c r="CC35" s="189"/>
      <c r="CD35" s="189"/>
      <c r="CE35" s="189"/>
      <c r="CF35" s="189"/>
      <c r="CG35" s="189"/>
      <c r="CH35" s="189"/>
      <c r="CI35" s="189"/>
      <c r="CJ35" s="189"/>
      <c r="CK35" s="189"/>
      <c r="CL35" s="189"/>
    </row>
    <row r="36" spans="1:90">
      <c r="A36" s="17" t="s">
        <v>22</v>
      </c>
      <c r="B36" s="189">
        <v>0</v>
      </c>
      <c r="C36" s="189">
        <v>1325721675.5999999</v>
      </c>
      <c r="D36" s="189">
        <v>1012332983.64</v>
      </c>
      <c r="E36" s="189">
        <v>944499623.33000004</v>
      </c>
      <c r="F36" s="189">
        <v>904239783.26999998</v>
      </c>
      <c r="G36" s="189">
        <v>867708295.70000005</v>
      </c>
      <c r="H36" s="189">
        <v>769750703.13999999</v>
      </c>
      <c r="I36" s="189">
        <v>625241036.92999995</v>
      </c>
      <c r="J36" s="189">
        <v>748507566.32000005</v>
      </c>
      <c r="K36" s="189">
        <v>708724418.28999996</v>
      </c>
      <c r="L36" s="189">
        <v>815414880.63999999</v>
      </c>
      <c r="M36" s="189">
        <v>789115568.26999998</v>
      </c>
      <c r="N36" s="189">
        <v>831133393.53999996</v>
      </c>
      <c r="O36" s="189">
        <v>528347614.81</v>
      </c>
      <c r="P36" s="189">
        <v>519262924.49000001</v>
      </c>
      <c r="Q36" s="189">
        <v>578409309.26999998</v>
      </c>
      <c r="R36" s="189">
        <v>687811889.39999998</v>
      </c>
      <c r="S36" s="189">
        <v>719776239.76999998</v>
      </c>
      <c r="T36" s="189">
        <v>275398749.44999999</v>
      </c>
      <c r="U36" s="189">
        <v>541045863.33000004</v>
      </c>
      <c r="V36" s="189">
        <v>301037355.69</v>
      </c>
      <c r="W36" s="189">
        <v>161709163.94999999</v>
      </c>
      <c r="X36" s="189">
        <v>133686876.98</v>
      </c>
      <c r="Y36" s="189">
        <v>208423394.96000001</v>
      </c>
      <c r="Z36" s="189">
        <v>137429578.56999999</v>
      </c>
      <c r="AA36" s="189">
        <v>112608251.90000001</v>
      </c>
      <c r="AB36" s="189">
        <v>106178512.22</v>
      </c>
      <c r="AC36" s="189">
        <v>60869945.600000001</v>
      </c>
      <c r="AD36" s="189">
        <v>56957643.25</v>
      </c>
      <c r="AE36" s="189">
        <v>75773225.019999996</v>
      </c>
      <c r="AF36" s="189">
        <v>63198547.780000001</v>
      </c>
      <c r="AG36" s="189">
        <v>44431070.490000002</v>
      </c>
      <c r="AH36" s="189">
        <v>15399105.800000001</v>
      </c>
      <c r="AI36" s="189">
        <v>21062842.350000001</v>
      </c>
      <c r="AJ36" s="189">
        <v>26368793.109999999</v>
      </c>
      <c r="AK36" s="189">
        <v>13466587.42</v>
      </c>
      <c r="AL36" s="189">
        <v>6925663.1799999997</v>
      </c>
      <c r="AM36" s="189">
        <v>0</v>
      </c>
      <c r="AN36" s="189"/>
      <c r="AO36" s="189"/>
      <c r="AP36" s="189"/>
      <c r="AQ36" s="189"/>
      <c r="AR36" s="189"/>
      <c r="AS36" s="189"/>
      <c r="AT36" s="189"/>
      <c r="AU36" s="189"/>
      <c r="AV36" s="189"/>
      <c r="AW36" s="189"/>
      <c r="AX36" s="189"/>
      <c r="AY36" s="189"/>
      <c r="AZ36" s="189"/>
      <c r="BA36" s="189"/>
      <c r="BB36" s="189"/>
      <c r="BC36" s="189"/>
      <c r="BD36" s="189"/>
      <c r="BE36" s="189"/>
      <c r="BF36" s="189"/>
      <c r="BG36" s="189"/>
      <c r="BH36" s="189"/>
      <c r="BI36" s="189"/>
      <c r="BJ36" s="189"/>
      <c r="BK36" s="189"/>
      <c r="BL36" s="189"/>
      <c r="BM36" s="189"/>
      <c r="BN36" s="189"/>
      <c r="BO36" s="189"/>
      <c r="BP36" s="189"/>
      <c r="BQ36" s="189"/>
      <c r="BR36" s="189"/>
      <c r="BS36" s="189"/>
      <c r="BT36" s="189"/>
      <c r="BU36" s="189"/>
      <c r="BV36" s="189"/>
      <c r="BW36" s="189"/>
      <c r="BX36" s="189"/>
      <c r="BY36" s="189"/>
      <c r="BZ36" s="189"/>
      <c r="CA36" s="189"/>
      <c r="CB36" s="189"/>
      <c r="CC36" s="189"/>
      <c r="CD36" s="189"/>
      <c r="CE36" s="189"/>
      <c r="CF36" s="189"/>
      <c r="CG36" s="189"/>
      <c r="CH36" s="189"/>
      <c r="CI36" s="189"/>
      <c r="CJ36" s="189"/>
      <c r="CK36" s="189"/>
      <c r="CL36" s="189"/>
    </row>
    <row r="37" spans="1:90">
      <c r="A37" s="17" t="s">
        <v>23</v>
      </c>
      <c r="B37" s="189">
        <v>56787634.689999998</v>
      </c>
      <c r="C37" s="189">
        <v>29655312.73</v>
      </c>
      <c r="D37" s="189">
        <v>81205948.140000001</v>
      </c>
      <c r="E37" s="189">
        <v>116677612.90000001</v>
      </c>
      <c r="F37" s="189">
        <v>37533101.420000002</v>
      </c>
      <c r="G37" s="189">
        <v>125725112</v>
      </c>
      <c r="H37" s="189">
        <v>60197103.090000004</v>
      </c>
      <c r="I37" s="189">
        <v>64597715.490000002</v>
      </c>
      <c r="J37" s="189">
        <v>42962165.229999997</v>
      </c>
      <c r="K37" s="189">
        <v>26019345.91</v>
      </c>
      <c r="L37" s="189">
        <v>90381788.590000004</v>
      </c>
      <c r="M37" s="189">
        <v>63918154.590000004</v>
      </c>
      <c r="N37" s="189">
        <v>51740963.950000003</v>
      </c>
      <c r="O37" s="189">
        <v>60187808.840000004</v>
      </c>
      <c r="P37" s="189">
        <v>50715015.170000002</v>
      </c>
      <c r="Q37" s="189">
        <v>36139706.82</v>
      </c>
      <c r="R37" s="189">
        <v>53526819.920000002</v>
      </c>
      <c r="S37" s="189">
        <v>44663025.890000001</v>
      </c>
      <c r="T37" s="189">
        <v>26798823.949999999</v>
      </c>
      <c r="U37" s="189">
        <v>19853051.510000002</v>
      </c>
      <c r="V37" s="189">
        <v>37187107.850000001</v>
      </c>
      <c r="W37" s="189">
        <v>24076132.879999999</v>
      </c>
      <c r="X37" s="189">
        <v>16691135.130000001</v>
      </c>
      <c r="Y37" s="189">
        <v>10703672.470000001</v>
      </c>
      <c r="Z37" s="189">
        <v>35687237.93</v>
      </c>
      <c r="AA37" s="189">
        <v>25810791.039999999</v>
      </c>
      <c r="AB37" s="189">
        <v>33635802.07</v>
      </c>
      <c r="AC37" s="189">
        <v>40645213.75</v>
      </c>
      <c r="AD37" s="189">
        <v>46274020.049999997</v>
      </c>
      <c r="AE37" s="189">
        <v>128324092.73999999</v>
      </c>
      <c r="AF37" s="189">
        <v>66332286.609999999</v>
      </c>
      <c r="AG37" s="189">
        <v>19730976.670000002</v>
      </c>
      <c r="AH37" s="189">
        <v>3276427.56</v>
      </c>
      <c r="AI37" s="189">
        <v>422759.84</v>
      </c>
      <c r="AJ37" s="189">
        <v>246752.76</v>
      </c>
      <c r="AK37" s="189">
        <v>4701503.28</v>
      </c>
      <c r="AL37" s="189">
        <v>564086.5</v>
      </c>
      <c r="AM37" s="189">
        <v>0</v>
      </c>
      <c r="AN37" s="189"/>
      <c r="AO37" s="189"/>
      <c r="AP37" s="189"/>
      <c r="AQ37" s="189"/>
      <c r="AR37" s="189"/>
      <c r="AS37" s="189"/>
      <c r="AT37" s="189"/>
      <c r="AU37" s="189"/>
      <c r="AV37" s="189"/>
      <c r="AW37" s="189"/>
      <c r="AX37" s="189"/>
      <c r="AY37" s="189"/>
      <c r="AZ37" s="189"/>
      <c r="BA37" s="189"/>
      <c r="BB37" s="189"/>
      <c r="BC37" s="189"/>
      <c r="BD37" s="189"/>
      <c r="BE37" s="189"/>
      <c r="BF37" s="189"/>
      <c r="BG37" s="189"/>
      <c r="BH37" s="189"/>
      <c r="BI37" s="189"/>
      <c r="BJ37" s="189"/>
      <c r="BK37" s="189"/>
      <c r="BL37" s="189"/>
      <c r="BM37" s="189"/>
      <c r="BN37" s="189"/>
      <c r="BO37" s="189"/>
      <c r="BP37" s="189"/>
      <c r="BQ37" s="189"/>
      <c r="BR37" s="189"/>
      <c r="BS37" s="189"/>
      <c r="BT37" s="189"/>
      <c r="BU37" s="189"/>
      <c r="BV37" s="189"/>
      <c r="BW37" s="189"/>
      <c r="BX37" s="189"/>
      <c r="BY37" s="189"/>
      <c r="BZ37" s="189"/>
      <c r="CA37" s="189"/>
      <c r="CB37" s="189"/>
      <c r="CC37" s="189"/>
      <c r="CD37" s="189"/>
      <c r="CE37" s="189"/>
      <c r="CF37" s="189"/>
      <c r="CG37" s="189"/>
      <c r="CH37" s="189"/>
      <c r="CI37" s="189"/>
      <c r="CJ37" s="189"/>
      <c r="CK37" s="189"/>
      <c r="CL37" s="189"/>
    </row>
    <row r="38" spans="1:90">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c r="AO38" s="189"/>
      <c r="AP38" s="189"/>
      <c r="AQ38" s="189"/>
      <c r="AR38" s="189"/>
      <c r="AS38" s="189"/>
      <c r="AT38" s="189"/>
      <c r="AU38" s="189"/>
      <c r="AV38" s="189"/>
      <c r="AW38" s="189"/>
      <c r="AX38" s="189"/>
      <c r="AY38" s="189"/>
      <c r="AZ38" s="189"/>
      <c r="BA38" s="189"/>
      <c r="BB38" s="189"/>
      <c r="BC38" s="189"/>
      <c r="BD38" s="189"/>
      <c r="BE38" s="189"/>
      <c r="BF38" s="189"/>
      <c r="BG38" s="189"/>
      <c r="BH38" s="189"/>
      <c r="BI38" s="189"/>
      <c r="BJ38" s="189"/>
      <c r="BK38" s="189"/>
      <c r="BL38" s="189"/>
      <c r="BM38" s="189"/>
      <c r="BN38" s="189"/>
      <c r="BO38" s="189"/>
      <c r="BP38" s="189"/>
      <c r="BQ38" s="189"/>
      <c r="BR38" s="189"/>
      <c r="BS38" s="189"/>
      <c r="BT38" s="189"/>
      <c r="BU38" s="189"/>
      <c r="BV38" s="189"/>
      <c r="BW38" s="189"/>
      <c r="BX38" s="189"/>
      <c r="BY38" s="189"/>
      <c r="BZ38" s="189"/>
      <c r="CA38" s="189"/>
      <c r="CB38" s="189"/>
      <c r="CC38" s="189"/>
      <c r="CD38" s="189"/>
      <c r="CE38" s="189"/>
      <c r="CF38" s="189"/>
      <c r="CG38" s="189"/>
      <c r="CH38" s="189"/>
      <c r="CI38" s="189"/>
      <c r="CJ38" s="189"/>
      <c r="CK38" s="189"/>
      <c r="CL38" s="189"/>
    </row>
    <row r="39" spans="1:90">
      <c r="A39" s="17" t="s">
        <v>25</v>
      </c>
      <c r="B39" s="189">
        <v>47247213.359999999</v>
      </c>
      <c r="C39" s="189">
        <v>47633599.409999996</v>
      </c>
      <c r="D39" s="189">
        <v>42394696.5</v>
      </c>
      <c r="E39" s="189">
        <v>73152602.790000007</v>
      </c>
      <c r="F39" s="189">
        <v>37439526.479999997</v>
      </c>
      <c r="G39" s="189">
        <v>37111052.060000002</v>
      </c>
      <c r="H39" s="189">
        <v>36659345.509999998</v>
      </c>
      <c r="I39" s="189">
        <v>73543665.810000002</v>
      </c>
      <c r="J39" s="189">
        <v>34527054.310000002</v>
      </c>
      <c r="K39" s="189">
        <v>30969030.960000001</v>
      </c>
      <c r="L39" s="189">
        <v>27305022.780000001</v>
      </c>
      <c r="M39" s="189">
        <v>45652663.439999998</v>
      </c>
      <c r="N39" s="189">
        <v>25797614.300000001</v>
      </c>
      <c r="O39" s="189">
        <v>23918995.100000001</v>
      </c>
      <c r="P39" s="189">
        <v>13164511.18</v>
      </c>
      <c r="Q39" s="189">
        <v>20806914.109999999</v>
      </c>
      <c r="R39" s="189">
        <v>9916489.2599999998</v>
      </c>
      <c r="S39" s="189">
        <v>9444209.4000000004</v>
      </c>
      <c r="T39" s="189">
        <v>13285856.119999999</v>
      </c>
      <c r="U39" s="189">
        <v>11738954.35</v>
      </c>
      <c r="V39" s="189">
        <v>12088445.26</v>
      </c>
      <c r="W39" s="189">
        <v>12360443.59</v>
      </c>
      <c r="X39" s="189">
        <v>10636564.310000001</v>
      </c>
      <c r="Y39" s="189">
        <v>8831739.6199999992</v>
      </c>
      <c r="Z39" s="189">
        <v>4430604.3</v>
      </c>
      <c r="AA39" s="189">
        <v>4504429.2699999996</v>
      </c>
      <c r="AB39" s="189">
        <v>4286502.08</v>
      </c>
      <c r="AC39" s="189">
        <v>3563212.77</v>
      </c>
      <c r="AD39" s="189">
        <v>2802140.76</v>
      </c>
      <c r="AE39" s="189">
        <v>3800363.11</v>
      </c>
      <c r="AF39" s="189">
        <v>1950604.42</v>
      </c>
      <c r="AG39" s="189">
        <v>1357622.86</v>
      </c>
      <c r="AH39" s="189">
        <v>1103568.48</v>
      </c>
      <c r="AI39" s="189">
        <v>949965.71</v>
      </c>
      <c r="AJ39" s="189">
        <v>714705.04</v>
      </c>
      <c r="AK39" s="189">
        <v>418926.08000000002</v>
      </c>
      <c r="AL39" s="189">
        <v>178829.58</v>
      </c>
      <c r="AM39" s="189">
        <v>0</v>
      </c>
      <c r="AN39" s="189"/>
      <c r="AO39" s="189"/>
      <c r="AP39" s="189"/>
      <c r="AQ39" s="189"/>
      <c r="AR39" s="189"/>
      <c r="AS39" s="189"/>
      <c r="AT39" s="189"/>
      <c r="AU39" s="189"/>
      <c r="AV39" s="189"/>
      <c r="AW39" s="189"/>
      <c r="AX39" s="189"/>
      <c r="AY39" s="189"/>
      <c r="AZ39" s="189"/>
      <c r="BA39" s="189"/>
      <c r="BB39" s="189"/>
      <c r="BC39" s="189"/>
      <c r="BD39" s="189"/>
      <c r="BE39" s="189"/>
      <c r="BF39" s="189"/>
      <c r="BG39" s="189"/>
      <c r="BH39" s="189"/>
      <c r="BI39" s="189"/>
      <c r="BJ39" s="189"/>
      <c r="BK39" s="189"/>
      <c r="BL39" s="189"/>
      <c r="BM39" s="189"/>
      <c r="BN39" s="189"/>
      <c r="BO39" s="189"/>
      <c r="BP39" s="189"/>
      <c r="BQ39" s="189"/>
      <c r="BR39" s="189"/>
      <c r="BS39" s="189"/>
      <c r="BT39" s="189"/>
      <c r="BU39" s="189"/>
      <c r="BV39" s="189"/>
      <c r="BW39" s="189"/>
      <c r="BX39" s="189"/>
      <c r="BY39" s="189"/>
      <c r="BZ39" s="189"/>
      <c r="CA39" s="189"/>
      <c r="CB39" s="189"/>
      <c r="CC39" s="189"/>
      <c r="CD39" s="189"/>
      <c r="CE39" s="189"/>
      <c r="CF39" s="189"/>
      <c r="CG39" s="189"/>
      <c r="CH39" s="189"/>
      <c r="CI39" s="189"/>
      <c r="CJ39" s="189"/>
      <c r="CK39" s="189"/>
      <c r="CL39" s="189"/>
    </row>
    <row r="40" spans="1:90">
      <c r="A40" s="17" t="s">
        <v>26</v>
      </c>
      <c r="B40" s="189">
        <v>312902635.37</v>
      </c>
      <c r="C40" s="189">
        <v>265210752.83000001</v>
      </c>
      <c r="D40" s="189">
        <v>154013314.02000001</v>
      </c>
      <c r="E40" s="189">
        <v>220469956.84999999</v>
      </c>
      <c r="F40" s="189">
        <v>226985132.97999999</v>
      </c>
      <c r="G40" s="189">
        <v>217568441.11000001</v>
      </c>
      <c r="H40" s="189">
        <v>116099393.81999999</v>
      </c>
      <c r="I40" s="189">
        <v>274311017.75</v>
      </c>
      <c r="J40" s="189">
        <v>189914490.63999999</v>
      </c>
      <c r="K40" s="189">
        <v>110813759.51000001</v>
      </c>
      <c r="L40" s="189">
        <v>61905929.43</v>
      </c>
      <c r="M40" s="189">
        <v>137631776.43000001</v>
      </c>
      <c r="N40" s="189">
        <v>147968372.72999999</v>
      </c>
      <c r="O40" s="189">
        <v>140097969.41</v>
      </c>
      <c r="P40" s="189">
        <v>68400859.590000004</v>
      </c>
      <c r="Q40" s="189">
        <v>54006381.880000003</v>
      </c>
      <c r="R40" s="189">
        <v>34817537.479999997</v>
      </c>
      <c r="S40" s="189">
        <v>22931606.07</v>
      </c>
      <c r="T40" s="189">
        <v>45629013.920000002</v>
      </c>
      <c r="U40" s="189">
        <v>57070293.939999998</v>
      </c>
      <c r="V40" s="189">
        <v>-126565631.78</v>
      </c>
      <c r="W40" s="189">
        <v>4152238.9</v>
      </c>
      <c r="X40" s="189">
        <v>8286717.8399999999</v>
      </c>
      <c r="Y40" s="189">
        <v>10371570.470000001</v>
      </c>
      <c r="Z40" s="189">
        <v>27002355.940000001</v>
      </c>
      <c r="AA40" s="189">
        <v>8621752.8000000007</v>
      </c>
      <c r="AB40" s="189">
        <v>30312292.510000002</v>
      </c>
      <c r="AC40" s="189">
        <v>13652463.710000001</v>
      </c>
      <c r="AD40" s="189">
        <v>9201757.6199999992</v>
      </c>
      <c r="AE40" s="189">
        <v>12135927.99</v>
      </c>
      <c r="AF40" s="189">
        <v>-106572.71</v>
      </c>
      <c r="AG40" s="189">
        <v>4266943.4800000004</v>
      </c>
      <c r="AH40" s="189">
        <v>5813142.6600000001</v>
      </c>
      <c r="AI40" s="189">
        <v>5639618.1699999999</v>
      </c>
      <c r="AJ40" s="189">
        <v>3413347.91</v>
      </c>
      <c r="AK40" s="189">
        <v>5214053.13</v>
      </c>
      <c r="AL40" s="189">
        <v>1736553.09</v>
      </c>
      <c r="AM40" s="189">
        <v>0</v>
      </c>
      <c r="AN40" s="189"/>
      <c r="AO40" s="189"/>
      <c r="AP40" s="189"/>
      <c r="AQ40" s="189"/>
      <c r="AR40" s="189"/>
      <c r="AS40" s="189"/>
      <c r="AT40" s="189"/>
      <c r="AU40" s="189"/>
      <c r="AV40" s="189"/>
      <c r="AW40" s="189"/>
      <c r="AX40" s="189"/>
      <c r="AY40" s="189"/>
      <c r="AZ40" s="189"/>
      <c r="BA40" s="189"/>
      <c r="BB40" s="189"/>
      <c r="BC40" s="189"/>
      <c r="BD40" s="189"/>
      <c r="BE40" s="189"/>
      <c r="BF40" s="189"/>
      <c r="BG40" s="189"/>
      <c r="BH40" s="189"/>
      <c r="BI40" s="189"/>
      <c r="BJ40" s="189"/>
      <c r="BK40" s="189"/>
      <c r="BL40" s="189"/>
      <c r="BM40" s="189"/>
      <c r="BN40" s="189"/>
      <c r="BO40" s="189"/>
      <c r="BP40" s="189"/>
      <c r="BQ40" s="189"/>
      <c r="BR40" s="189"/>
      <c r="BS40" s="189"/>
      <c r="BT40" s="189"/>
      <c r="BU40" s="189"/>
      <c r="BV40" s="189"/>
      <c r="BW40" s="189"/>
      <c r="BX40" s="189"/>
      <c r="BY40" s="189"/>
      <c r="BZ40" s="189"/>
      <c r="CA40" s="189"/>
      <c r="CB40" s="189"/>
      <c r="CC40" s="189"/>
      <c r="CD40" s="189"/>
      <c r="CE40" s="189"/>
      <c r="CF40" s="189"/>
      <c r="CG40" s="189"/>
      <c r="CH40" s="189"/>
      <c r="CI40" s="189"/>
      <c r="CJ40" s="189"/>
      <c r="CK40" s="189"/>
      <c r="CL40" s="189"/>
    </row>
    <row r="41" spans="1:90">
      <c r="A41" s="17" t="s">
        <v>27</v>
      </c>
      <c r="B41" s="189">
        <v>196595272.21000001</v>
      </c>
      <c r="C41" s="189">
        <v>36757239.399999999</v>
      </c>
      <c r="D41" s="189">
        <v>40907489.799999997</v>
      </c>
      <c r="E41" s="189">
        <v>41669430.880000003</v>
      </c>
      <c r="F41" s="189">
        <v>71589203.780000001</v>
      </c>
      <c r="G41" s="189">
        <v>69859366.810000002</v>
      </c>
      <c r="H41" s="189">
        <v>30180620.219999999</v>
      </c>
      <c r="I41" s="189">
        <v>30522258.84</v>
      </c>
      <c r="J41" s="189">
        <v>22798460.739999998</v>
      </c>
      <c r="K41" s="189">
        <v>25118013.559999999</v>
      </c>
      <c r="L41" s="189">
        <v>12817557.109999999</v>
      </c>
      <c r="M41" s="189">
        <v>11370966.42</v>
      </c>
      <c r="N41" s="189">
        <v>9497772.0399999991</v>
      </c>
      <c r="O41" s="189">
        <v>9421539.1300000008</v>
      </c>
      <c r="P41" s="189">
        <v>4885877.4800000004</v>
      </c>
      <c r="Q41" s="189">
        <v>9088749.0399999991</v>
      </c>
      <c r="R41" s="189">
        <v>12868245.52</v>
      </c>
      <c r="S41" s="189">
        <v>10115139.279999999</v>
      </c>
      <c r="T41" s="189">
        <v>15257469.25</v>
      </c>
      <c r="U41" s="189">
        <v>15320709.01</v>
      </c>
      <c r="V41" s="189">
        <v>8731582.8900000006</v>
      </c>
      <c r="W41" s="189">
        <v>9474353.9100000001</v>
      </c>
      <c r="X41" s="189">
        <v>9285098.5600000005</v>
      </c>
      <c r="Y41" s="189">
        <v>7415797.0800000001</v>
      </c>
      <c r="Z41" s="189">
        <v>4123707.25</v>
      </c>
      <c r="AA41" s="189">
        <v>4565357.03</v>
      </c>
      <c r="AB41" s="189">
        <v>4824778.3600000003</v>
      </c>
      <c r="AC41" s="189">
        <v>3893623.59</v>
      </c>
      <c r="AD41" s="189">
        <v>2703171.61</v>
      </c>
      <c r="AE41" s="189">
        <v>1982220.73</v>
      </c>
      <c r="AF41" s="189">
        <v>954322.24</v>
      </c>
      <c r="AG41" s="189">
        <v>1163959.08</v>
      </c>
      <c r="AH41" s="189">
        <v>1087211.1599999999</v>
      </c>
      <c r="AI41" s="189">
        <v>1414264.23</v>
      </c>
      <c r="AJ41" s="189">
        <v>5629645.0300000003</v>
      </c>
      <c r="AK41" s="189">
        <v>1472687.49</v>
      </c>
      <c r="AL41" s="189">
        <v>771968.19</v>
      </c>
      <c r="AM41" s="189">
        <v>0</v>
      </c>
      <c r="AN41" s="189"/>
      <c r="AO41" s="189"/>
      <c r="AP41" s="189"/>
      <c r="AQ41" s="189"/>
      <c r="AR41" s="189"/>
      <c r="AS41" s="189"/>
      <c r="AT41" s="189"/>
      <c r="AU41" s="189"/>
      <c r="AV41" s="189"/>
      <c r="AW41" s="189"/>
      <c r="AX41" s="189"/>
      <c r="AY41" s="189"/>
      <c r="AZ41" s="189"/>
      <c r="BA41" s="189"/>
      <c r="BB41" s="189"/>
      <c r="BC41" s="189"/>
      <c r="BD41" s="189"/>
      <c r="BE41" s="189"/>
      <c r="BF41" s="189"/>
      <c r="BG41" s="189"/>
      <c r="BH41" s="189"/>
      <c r="BI41" s="189"/>
      <c r="BJ41" s="189"/>
      <c r="BK41" s="189"/>
      <c r="BL41" s="189"/>
      <c r="BM41" s="189"/>
      <c r="BN41" s="189"/>
      <c r="BO41" s="189"/>
      <c r="BP41" s="189"/>
      <c r="BQ41" s="189"/>
      <c r="BR41" s="189"/>
      <c r="BS41" s="189"/>
      <c r="BT41" s="189"/>
      <c r="BU41" s="189"/>
      <c r="BV41" s="189"/>
      <c r="BW41" s="189"/>
      <c r="BX41" s="189"/>
      <c r="BY41" s="189"/>
      <c r="BZ41" s="189"/>
      <c r="CA41" s="189"/>
      <c r="CB41" s="189"/>
      <c r="CC41" s="189"/>
      <c r="CD41" s="189"/>
      <c r="CE41" s="189"/>
      <c r="CF41" s="189"/>
      <c r="CG41" s="189"/>
      <c r="CH41" s="189"/>
      <c r="CI41" s="189"/>
      <c r="CJ41" s="189"/>
      <c r="CK41" s="189"/>
      <c r="CL41" s="189"/>
    </row>
    <row r="42" spans="1:90" s="39" customFormat="1">
      <c r="A42" s="124" t="s">
        <v>28</v>
      </c>
      <c r="B42" s="189">
        <v>0</v>
      </c>
      <c r="C42" s="189">
        <v>0</v>
      </c>
      <c r="D42" s="189">
        <v>0</v>
      </c>
      <c r="E42" s="189">
        <v>0</v>
      </c>
      <c r="F42" s="189">
        <v>0</v>
      </c>
      <c r="G42" s="189">
        <v>0</v>
      </c>
      <c r="H42" s="189">
        <v>0</v>
      </c>
      <c r="I42" s="189">
        <v>0</v>
      </c>
      <c r="J42" s="189">
        <v>0</v>
      </c>
      <c r="K42" s="189">
        <v>0</v>
      </c>
      <c r="L42" s="189">
        <v>0</v>
      </c>
      <c r="M42" s="189">
        <v>0</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c r="AO42" s="189"/>
      <c r="AP42" s="189"/>
      <c r="AQ42" s="189"/>
      <c r="AR42" s="189"/>
      <c r="AS42" s="189"/>
      <c r="AT42" s="189"/>
      <c r="AU42" s="189"/>
      <c r="AV42" s="189"/>
      <c r="AW42" s="189"/>
      <c r="AX42" s="189"/>
      <c r="AY42" s="189"/>
      <c r="AZ42" s="189"/>
      <c r="BA42" s="189"/>
      <c r="BB42" s="189"/>
      <c r="BC42" s="189"/>
      <c r="BD42" s="189"/>
      <c r="BE42" s="189"/>
      <c r="BF42" s="189"/>
      <c r="BG42" s="189"/>
      <c r="BH42" s="189"/>
      <c r="BI42" s="189"/>
      <c r="BJ42" s="189"/>
      <c r="BK42" s="189"/>
      <c r="BL42" s="189"/>
      <c r="BM42" s="189"/>
      <c r="BN42" s="189"/>
      <c r="BO42" s="189"/>
      <c r="BP42" s="189"/>
      <c r="BQ42" s="189"/>
      <c r="BR42" s="189"/>
      <c r="BS42" s="189"/>
      <c r="BT42" s="189"/>
      <c r="BU42" s="189"/>
      <c r="BV42" s="189"/>
      <c r="BW42" s="189"/>
      <c r="BX42" s="189"/>
      <c r="BY42" s="189"/>
      <c r="BZ42" s="189"/>
      <c r="CA42" s="189"/>
      <c r="CB42" s="189"/>
      <c r="CC42" s="189"/>
      <c r="CD42" s="189"/>
      <c r="CE42" s="189"/>
      <c r="CF42" s="189"/>
      <c r="CG42" s="189"/>
      <c r="CH42" s="189"/>
      <c r="CI42" s="189"/>
      <c r="CJ42" s="189"/>
      <c r="CK42" s="189"/>
      <c r="CL42" s="189"/>
    </row>
    <row r="43" spans="1:90">
      <c r="A43" s="17" t="s">
        <v>29</v>
      </c>
      <c r="B43" s="189">
        <v>51715039.840000004</v>
      </c>
      <c r="C43" s="189">
        <v>51015039.840000004</v>
      </c>
      <c r="D43" s="189">
        <v>49233039.840000004</v>
      </c>
      <c r="E43" s="189">
        <v>49233039.840000004</v>
      </c>
      <c r="F43" s="189">
        <v>50359627</v>
      </c>
      <c r="G43" s="189">
        <v>47989627</v>
      </c>
      <c r="H43" s="189">
        <v>47761627</v>
      </c>
      <c r="I43" s="189">
        <v>47683627</v>
      </c>
      <c r="J43" s="189">
        <v>38712428</v>
      </c>
      <c r="K43" s="189">
        <v>38712428</v>
      </c>
      <c r="L43" s="189">
        <v>44440379.990000002</v>
      </c>
      <c r="M43" s="189">
        <v>44222315.310000002</v>
      </c>
      <c r="N43" s="189">
        <v>10277051.630000001</v>
      </c>
      <c r="O43" s="189">
        <v>10408986.93</v>
      </c>
      <c r="P43" s="189">
        <v>10540922.27</v>
      </c>
      <c r="Q43" s="189">
        <v>10672857.59</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c r="AO43" s="189"/>
      <c r="AP43" s="189"/>
      <c r="AQ43" s="189"/>
      <c r="AR43" s="189"/>
      <c r="AS43" s="189"/>
      <c r="AT43" s="189"/>
      <c r="AU43" s="189"/>
      <c r="AV43" s="189"/>
      <c r="AW43" s="189"/>
      <c r="AX43" s="189"/>
      <c r="AY43" s="189"/>
      <c r="AZ43" s="189"/>
      <c r="BA43" s="189"/>
      <c r="BB43" s="189"/>
      <c r="BC43" s="189"/>
      <c r="BD43" s="189"/>
      <c r="BE43" s="189"/>
      <c r="BF43" s="189"/>
      <c r="BG43" s="189"/>
      <c r="BH43" s="189"/>
      <c r="BI43" s="189"/>
      <c r="BJ43" s="189"/>
      <c r="BK43" s="189"/>
      <c r="BL43" s="189"/>
      <c r="BM43" s="189"/>
      <c r="BN43" s="189"/>
      <c r="BO43" s="189"/>
      <c r="BP43" s="189"/>
      <c r="BQ43" s="189"/>
      <c r="BR43" s="189"/>
      <c r="BS43" s="189"/>
      <c r="BT43" s="189"/>
      <c r="BU43" s="189"/>
      <c r="BV43" s="189"/>
      <c r="BW43" s="189"/>
      <c r="BX43" s="189"/>
      <c r="BY43" s="189"/>
      <c r="BZ43" s="189"/>
      <c r="CA43" s="189"/>
      <c r="CB43" s="189"/>
      <c r="CC43" s="189"/>
      <c r="CD43" s="189"/>
      <c r="CE43" s="189"/>
      <c r="CF43" s="189"/>
      <c r="CG43" s="189"/>
      <c r="CH43" s="189"/>
      <c r="CI43" s="189"/>
      <c r="CJ43" s="189"/>
      <c r="CK43" s="189"/>
      <c r="CL43" s="189"/>
    </row>
    <row r="44" spans="1:90">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100000</v>
      </c>
      <c r="S44" s="189">
        <v>100000</v>
      </c>
      <c r="T44" s="189">
        <v>100000</v>
      </c>
      <c r="U44" s="189">
        <v>100000</v>
      </c>
      <c r="V44" s="189">
        <v>100000</v>
      </c>
      <c r="W44" s="189">
        <v>100000</v>
      </c>
      <c r="X44" s="189">
        <v>100000</v>
      </c>
      <c r="Y44" s="189">
        <v>100000</v>
      </c>
      <c r="Z44" s="189">
        <v>100000</v>
      </c>
      <c r="AA44" s="189">
        <v>100000</v>
      </c>
      <c r="AB44" s="189">
        <v>100000</v>
      </c>
      <c r="AC44" s="189">
        <v>100000</v>
      </c>
      <c r="AD44" s="189">
        <v>100000</v>
      </c>
      <c r="AE44" s="189">
        <v>100000</v>
      </c>
      <c r="AF44" s="189">
        <v>100000</v>
      </c>
      <c r="AG44" s="189">
        <v>100000</v>
      </c>
      <c r="AH44" s="189">
        <v>100000</v>
      </c>
      <c r="AI44" s="189">
        <v>100000</v>
      </c>
      <c r="AJ44" s="189">
        <v>100000</v>
      </c>
      <c r="AK44" s="189">
        <v>100000</v>
      </c>
      <c r="AL44" s="189">
        <v>0</v>
      </c>
      <c r="AM44" s="189">
        <v>0</v>
      </c>
      <c r="AN44" s="189"/>
      <c r="AO44" s="189"/>
      <c r="AP44" s="189"/>
      <c r="AQ44" s="189"/>
      <c r="AR44" s="189"/>
      <c r="AS44" s="189"/>
      <c r="AT44" s="189"/>
      <c r="AU44" s="189"/>
      <c r="AV44" s="189"/>
      <c r="AW44" s="189"/>
      <c r="AX44" s="189"/>
      <c r="AY44" s="189"/>
      <c r="AZ44" s="189"/>
      <c r="BA44" s="189"/>
      <c r="BB44" s="189"/>
      <c r="BC44" s="189"/>
      <c r="BD44" s="189"/>
      <c r="BE44" s="189"/>
      <c r="BF44" s="189"/>
      <c r="BG44" s="189"/>
      <c r="BH44" s="189"/>
      <c r="BI44" s="189"/>
      <c r="BJ44" s="189"/>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row>
    <row r="45" spans="1:90">
      <c r="A45" s="17" t="s">
        <v>31</v>
      </c>
      <c r="B45" s="189">
        <v>1498693238.99</v>
      </c>
      <c r="C45" s="189">
        <v>2497300157.2600002</v>
      </c>
      <c r="D45" s="189">
        <v>2497440312.3200002</v>
      </c>
      <c r="E45" s="189">
        <v>2496219258.8600001</v>
      </c>
      <c r="F45" s="189">
        <v>1498925576.5</v>
      </c>
      <c r="G45" s="189">
        <v>1497921341.8800001</v>
      </c>
      <c r="H45" s="189">
        <v>998517431.91999996</v>
      </c>
      <c r="I45" s="189">
        <v>2496697426.8099999</v>
      </c>
      <c r="J45" s="189">
        <v>2499072555.5999999</v>
      </c>
      <c r="K45" s="189">
        <v>1498588888.9000001</v>
      </c>
      <c r="L45" s="189">
        <v>1499118166.6800001</v>
      </c>
      <c r="M45" s="189">
        <v>998100666.70000005</v>
      </c>
      <c r="N45" s="189">
        <v>997083166.72000003</v>
      </c>
      <c r="O45" s="189">
        <v>996065666.74000001</v>
      </c>
      <c r="P45" s="189">
        <v>0</v>
      </c>
      <c r="Q45" s="189">
        <v>0</v>
      </c>
      <c r="R45" s="189">
        <v>0</v>
      </c>
      <c r="S45" s="189">
        <v>0</v>
      </c>
      <c r="T45" s="189">
        <v>0</v>
      </c>
      <c r="U45" s="189">
        <v>0</v>
      </c>
      <c r="V45" s="189">
        <v>853983.69</v>
      </c>
      <c r="W45" s="189">
        <v>731986.02</v>
      </c>
      <c r="X45" s="189">
        <v>609988.31999999995</v>
      </c>
      <c r="Y45" s="189">
        <v>487990.68</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c r="AO45" s="189"/>
      <c r="AP45" s="189"/>
      <c r="AQ45" s="189"/>
      <c r="AR45" s="189"/>
      <c r="AS45" s="189"/>
      <c r="AT45" s="189"/>
      <c r="AU45" s="189"/>
      <c r="AV45" s="189"/>
      <c r="AW45" s="189"/>
      <c r="AX45" s="189"/>
      <c r="AY45" s="189"/>
      <c r="AZ45" s="189"/>
      <c r="BA45" s="189"/>
      <c r="BB45" s="189"/>
      <c r="BC45" s="189"/>
      <c r="BD45" s="189"/>
      <c r="BE45" s="189"/>
      <c r="BF45" s="189"/>
      <c r="BG45" s="189"/>
      <c r="BH45" s="189"/>
      <c r="BI45" s="189"/>
      <c r="BJ45" s="189"/>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row>
    <row r="46" spans="1:90" ht="14.45" hidden="1">
      <c r="B46" s="26"/>
      <c r="C46" s="26"/>
      <c r="D46" s="26"/>
      <c r="E46" s="26"/>
      <c r="F46" s="26"/>
      <c r="G46" s="26"/>
      <c r="H46" s="26"/>
      <c r="I46" s="26"/>
      <c r="J46" s="26"/>
      <c r="K46" s="26"/>
      <c r="L46" s="23"/>
    </row>
    <row r="47" spans="1:90" ht="14.45" hidden="1">
      <c r="B47" s="26"/>
      <c r="C47" s="26"/>
      <c r="D47" s="26"/>
      <c r="E47" s="26"/>
      <c r="F47" s="26"/>
      <c r="G47" s="26"/>
      <c r="H47" s="26"/>
      <c r="I47" s="26"/>
      <c r="J47" s="26"/>
      <c r="K47" s="26"/>
      <c r="L47" s="23"/>
    </row>
    <row r="48" spans="1:90" ht="14.45" hidden="1">
      <c r="B48" s="26"/>
      <c r="C48" s="26"/>
      <c r="D48" s="26"/>
      <c r="E48" s="26"/>
      <c r="F48" s="26"/>
      <c r="G48" s="26"/>
      <c r="H48" s="26"/>
      <c r="I48" s="26"/>
      <c r="J48" s="26"/>
      <c r="K48" s="26"/>
      <c r="L48" s="23"/>
    </row>
    <row r="49" spans="1:90" s="10" customFormat="1">
      <c r="A49" s="123" t="s">
        <v>32</v>
      </c>
      <c r="B49" s="35">
        <f>SUM(B35:B41)+SUM(B43:B45)</f>
        <v>2163941034.46</v>
      </c>
      <c r="C49" s="35">
        <f>SUM(C35:C41)+SUM(C43:C45)</f>
        <v>5114380707.3000002</v>
      </c>
      <c r="D49" s="35">
        <f>SUM(D35:D41)+SUM(D43:D45)</f>
        <v>4295920947.1800003</v>
      </c>
      <c r="E49" s="35">
        <f>SUM(E35:E45)</f>
        <v>4407222767.8600006</v>
      </c>
      <c r="F49" s="35">
        <f t="shared" ref="F49:BQ49" si="4">SUM(F35:F45)</f>
        <v>3524156542.8199997</v>
      </c>
      <c r="G49" s="35">
        <f t="shared" si="4"/>
        <v>3507246290.3600001</v>
      </c>
      <c r="H49" s="35">
        <f t="shared" si="4"/>
        <v>2680737588.5299997</v>
      </c>
      <c r="I49" s="35">
        <f t="shared" si="4"/>
        <v>4113815897.7299995</v>
      </c>
      <c r="J49" s="35">
        <f t="shared" si="4"/>
        <v>4040046753.1999998</v>
      </c>
      <c r="K49" s="35">
        <f t="shared" si="4"/>
        <v>2917389677.3500004</v>
      </c>
      <c r="L49" s="35">
        <f t="shared" si="4"/>
        <v>2988518149.4699998</v>
      </c>
      <c r="M49" s="35">
        <f t="shared" si="4"/>
        <v>2483354040.3000002</v>
      </c>
      <c r="N49" s="35">
        <f t="shared" si="4"/>
        <v>2359815916.0299997</v>
      </c>
      <c r="O49" s="35">
        <f t="shared" si="4"/>
        <v>2028574565.29</v>
      </c>
      <c r="P49" s="35">
        <f t="shared" si="4"/>
        <v>901742598.11000001</v>
      </c>
      <c r="Q49" s="35">
        <f t="shared" si="4"/>
        <v>984868086.5</v>
      </c>
      <c r="R49" s="35">
        <f t="shared" si="4"/>
        <v>944482246.56999993</v>
      </c>
      <c r="S49" s="35">
        <f t="shared" si="4"/>
        <v>1039536270.41</v>
      </c>
      <c r="T49" s="35">
        <f t="shared" si="4"/>
        <v>454901893.90999997</v>
      </c>
      <c r="U49" s="35">
        <f t="shared" si="4"/>
        <v>718411255.03999996</v>
      </c>
      <c r="V49" s="35">
        <f t="shared" si="4"/>
        <v>358728085.59999996</v>
      </c>
      <c r="W49" s="35">
        <f t="shared" si="4"/>
        <v>328257911.62999994</v>
      </c>
      <c r="X49" s="35">
        <f t="shared" si="4"/>
        <v>221121648.43000001</v>
      </c>
      <c r="Y49" s="35">
        <f t="shared" si="4"/>
        <v>280035523.38</v>
      </c>
      <c r="Z49" s="35">
        <f t="shared" si="4"/>
        <v>218773483.99000001</v>
      </c>
      <c r="AA49" s="35">
        <f t="shared" si="4"/>
        <v>266210582.04000002</v>
      </c>
      <c r="AB49" s="35">
        <f t="shared" si="4"/>
        <v>289337887.24000001</v>
      </c>
      <c r="AC49" s="35">
        <f t="shared" si="4"/>
        <v>180465589.43000004</v>
      </c>
      <c r="AD49" s="35">
        <f t="shared" si="4"/>
        <v>228657298.75</v>
      </c>
      <c r="AE49" s="35">
        <f t="shared" si="4"/>
        <v>222115829.59</v>
      </c>
      <c r="AF49" s="35">
        <f t="shared" si="4"/>
        <v>132429188.34</v>
      </c>
      <c r="AG49" s="35">
        <f t="shared" si="4"/>
        <v>72928172.580000013</v>
      </c>
      <c r="AH49" s="35">
        <f t="shared" si="4"/>
        <v>32045255.66</v>
      </c>
      <c r="AI49" s="35">
        <f t="shared" si="4"/>
        <v>29589450.300000001</v>
      </c>
      <c r="AJ49" s="35">
        <f t="shared" si="4"/>
        <v>36473243.850000001</v>
      </c>
      <c r="AK49" s="35">
        <f t="shared" si="4"/>
        <v>25373757.399999995</v>
      </c>
      <c r="AL49" s="35">
        <f t="shared" si="4"/>
        <v>13077100.539999999</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25" t="s">
        <v>81</v>
      </c>
      <c r="B50" s="36">
        <f>B33-B49</f>
        <v>8134805623.420001</v>
      </c>
      <c r="C50" s="36">
        <f t="shared" ref="C50:BN50" si="6">C33-C49</f>
        <v>5053370625.8300009</v>
      </c>
      <c r="D50" s="36">
        <f t="shared" si="6"/>
        <v>2394628019.3999996</v>
      </c>
      <c r="E50" s="36">
        <f t="shared" si="6"/>
        <v>2176789317.6199989</v>
      </c>
      <c r="F50" s="36">
        <f t="shared" si="6"/>
        <v>4369764915.8499994</v>
      </c>
      <c r="G50" s="36">
        <f t="shared" si="6"/>
        <v>5220806753.3099995</v>
      </c>
      <c r="H50" s="36">
        <f t="shared" si="6"/>
        <v>5688610028.8599997</v>
      </c>
      <c r="I50" s="36">
        <f t="shared" si="6"/>
        <v>2272710605.5500002</v>
      </c>
      <c r="J50" s="36">
        <f t="shared" si="6"/>
        <v>1231858035.6499996</v>
      </c>
      <c r="K50" s="36">
        <f t="shared" si="6"/>
        <v>2056499964.2799997</v>
      </c>
      <c r="L50" s="36">
        <f t="shared" si="6"/>
        <v>1285237309.7899995</v>
      </c>
      <c r="M50" s="36">
        <f t="shared" si="6"/>
        <v>1517332624.7999992</v>
      </c>
      <c r="N50" s="36">
        <f t="shared" si="6"/>
        <v>1550512620.9000001</v>
      </c>
      <c r="O50" s="36">
        <f t="shared" si="6"/>
        <v>1009841203.6400003</v>
      </c>
      <c r="P50" s="36">
        <f t="shared" si="6"/>
        <v>1872220643.1500001</v>
      </c>
      <c r="Q50" s="36">
        <f t="shared" si="6"/>
        <v>1674205375.9700003</v>
      </c>
      <c r="R50" s="36">
        <f t="shared" si="6"/>
        <v>1245236227.2899997</v>
      </c>
      <c r="S50" s="36">
        <f t="shared" si="6"/>
        <v>853389782.88</v>
      </c>
      <c r="T50" s="36">
        <f t="shared" si="6"/>
        <v>1209713999.52</v>
      </c>
      <c r="U50" s="36">
        <f t="shared" si="6"/>
        <v>574062493.85000014</v>
      </c>
      <c r="V50" s="36">
        <f t="shared" si="6"/>
        <v>687208727.24000001</v>
      </c>
      <c r="W50" s="36">
        <f t="shared" si="6"/>
        <v>391974552.43000001</v>
      </c>
      <c r="X50" s="36">
        <f t="shared" si="6"/>
        <v>1103758317.6599998</v>
      </c>
      <c r="Y50" s="36">
        <f t="shared" si="6"/>
        <v>407928434.97000003</v>
      </c>
      <c r="Z50" s="36">
        <f t="shared" si="6"/>
        <v>703739427.26999998</v>
      </c>
      <c r="AA50" s="36">
        <f t="shared" si="6"/>
        <v>453054346.01999992</v>
      </c>
      <c r="AB50" s="36">
        <f t="shared" si="6"/>
        <v>199726286.15999997</v>
      </c>
      <c r="AC50" s="36">
        <f t="shared" si="6"/>
        <v>306422389.57999992</v>
      </c>
      <c r="AD50" s="36">
        <f t="shared" si="6"/>
        <v>305630750.26000005</v>
      </c>
      <c r="AE50" s="36">
        <f t="shared" si="6"/>
        <v>195253954.55999997</v>
      </c>
      <c r="AF50" s="36">
        <f t="shared" si="6"/>
        <v>115021140.60000002</v>
      </c>
      <c r="AG50" s="36">
        <f t="shared" si="6"/>
        <v>76662670.059999973</v>
      </c>
      <c r="AH50" s="36">
        <f t="shared" si="6"/>
        <v>146329346.09999999</v>
      </c>
      <c r="AI50" s="36">
        <f t="shared" si="6"/>
        <v>132226950.92999999</v>
      </c>
      <c r="AJ50" s="36">
        <f t="shared" si="6"/>
        <v>77537241.949999988</v>
      </c>
      <c r="AK50" s="36">
        <f t="shared" si="6"/>
        <v>120806879.63000001</v>
      </c>
      <c r="AL50" s="36">
        <f t="shared" si="6"/>
        <v>55034861.480000012</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c r="A51" s="192" t="s">
        <v>33</v>
      </c>
    </row>
    <row r="52" spans="1:90" s="192" customFormat="1">
      <c r="A52" s="192" t="s">
        <v>34</v>
      </c>
      <c r="B52" s="189">
        <v>3596104038.8299999</v>
      </c>
      <c r="C52" s="189">
        <v>3568218308.8099999</v>
      </c>
      <c r="D52" s="189">
        <v>3567039900.3899999</v>
      </c>
      <c r="E52" s="189">
        <v>3542070659.1300001</v>
      </c>
      <c r="F52" s="189">
        <v>3158086697.3800001</v>
      </c>
      <c r="G52" s="189">
        <v>3134529088.23</v>
      </c>
      <c r="H52" s="189">
        <v>3080299182.3400002</v>
      </c>
      <c r="I52" s="189">
        <v>3085844626.3299999</v>
      </c>
      <c r="J52" s="189">
        <v>3076757271.4099998</v>
      </c>
      <c r="K52" s="189">
        <v>3103122331.7600002</v>
      </c>
      <c r="L52" s="189">
        <v>3422908290.79</v>
      </c>
      <c r="M52" s="189">
        <v>3462069941.4000001</v>
      </c>
      <c r="N52" s="189">
        <v>3445767909.5599999</v>
      </c>
      <c r="O52" s="189">
        <v>3358314371.8299999</v>
      </c>
      <c r="P52" s="189">
        <v>3378806302</v>
      </c>
      <c r="Q52" s="189">
        <v>3403469019.6900001</v>
      </c>
      <c r="R52" s="189">
        <v>3080325465.6199999</v>
      </c>
      <c r="S52" s="189">
        <v>2115781758.8599999</v>
      </c>
      <c r="T52" s="189">
        <v>1502491031.28</v>
      </c>
      <c r="U52" s="189">
        <v>1492690932.52</v>
      </c>
      <c r="V52" s="189">
        <v>875448625.01999998</v>
      </c>
      <c r="W52" s="189">
        <v>809474969.13</v>
      </c>
      <c r="X52" s="189">
        <v>806291865.24000001</v>
      </c>
      <c r="Y52" s="189">
        <v>803111623.53999996</v>
      </c>
      <c r="Z52" s="189">
        <v>714693488.65999997</v>
      </c>
      <c r="AA52" s="189">
        <v>689931689.76999998</v>
      </c>
      <c r="AB52" s="189">
        <v>524424409.10000002</v>
      </c>
      <c r="AC52" s="189">
        <v>293269856.79000002</v>
      </c>
      <c r="AD52" s="189">
        <v>265072613.81</v>
      </c>
      <c r="AE52" s="189">
        <v>264430847.84</v>
      </c>
      <c r="AF52" s="189">
        <v>266032995.31999999</v>
      </c>
      <c r="AG52" s="189">
        <v>251261659.75999999</v>
      </c>
      <c r="AH52" s="189">
        <v>251616285.37</v>
      </c>
      <c r="AI52" s="189">
        <v>245377768.28999999</v>
      </c>
      <c r="AJ52" s="189">
        <v>245551850.33000001</v>
      </c>
      <c r="AK52" s="189">
        <v>96941926.760000005</v>
      </c>
      <c r="AL52" s="189">
        <v>93197793.25</v>
      </c>
      <c r="AM52" s="189">
        <v>0</v>
      </c>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c r="BW52" s="189"/>
      <c r="BX52" s="189"/>
      <c r="BY52" s="189"/>
      <c r="BZ52" s="189"/>
      <c r="CA52" s="189"/>
      <c r="CB52" s="189"/>
      <c r="CC52" s="189"/>
      <c r="CD52" s="189"/>
      <c r="CE52" s="189"/>
      <c r="CF52" s="189"/>
      <c r="CG52" s="189"/>
      <c r="CH52" s="189"/>
      <c r="CI52" s="189"/>
      <c r="CJ52" s="189"/>
      <c r="CK52" s="189"/>
      <c r="CL52" s="189"/>
    </row>
    <row r="53" spans="1:90" s="192" customFormat="1">
      <c r="A53" s="192" t="s">
        <v>35</v>
      </c>
      <c r="B53" s="189">
        <v>492654558.52999997</v>
      </c>
      <c r="C53" s="189">
        <v>496106557.54000002</v>
      </c>
      <c r="D53" s="189">
        <v>375428159.05000001</v>
      </c>
      <c r="E53" s="189">
        <v>226817094.63</v>
      </c>
      <c r="F53" s="189">
        <v>510715252.5</v>
      </c>
      <c r="G53" s="189">
        <v>447197732.02999997</v>
      </c>
      <c r="H53" s="189">
        <v>443424546.26999998</v>
      </c>
      <c r="I53" s="189">
        <v>416009605.75999999</v>
      </c>
      <c r="J53" s="189">
        <v>442673289.94999999</v>
      </c>
      <c r="K53" s="189">
        <v>334677345.99000001</v>
      </c>
      <c r="L53" s="189">
        <v>265080448.24000001</v>
      </c>
      <c r="M53" s="189">
        <v>207008126.19999999</v>
      </c>
      <c r="N53" s="189">
        <v>165099608.99000001</v>
      </c>
      <c r="O53" s="189">
        <v>279430769.41000003</v>
      </c>
      <c r="P53" s="189">
        <v>259926925.58000001</v>
      </c>
      <c r="Q53" s="189">
        <v>260370751.78</v>
      </c>
      <c r="R53" s="189">
        <v>761878148.22000003</v>
      </c>
      <c r="S53" s="189">
        <v>1575636564.29</v>
      </c>
      <c r="T53" s="189">
        <v>2022026172.1300001</v>
      </c>
      <c r="U53" s="189">
        <v>2003906108.3399999</v>
      </c>
      <c r="V53" s="189">
        <v>1527365917.1300001</v>
      </c>
      <c r="W53" s="189">
        <v>904298723.38</v>
      </c>
      <c r="X53" s="189">
        <v>372565364.38</v>
      </c>
      <c r="Y53" s="189">
        <v>265580799.88</v>
      </c>
      <c r="Z53" s="189">
        <v>47578669.960000001</v>
      </c>
      <c r="AA53" s="189">
        <v>39367515.329999998</v>
      </c>
      <c r="AB53" s="189">
        <v>158550785.31</v>
      </c>
      <c r="AC53" s="189">
        <v>228988175.34999999</v>
      </c>
      <c r="AD53" s="189">
        <v>25115780.210000001</v>
      </c>
      <c r="AE53" s="189">
        <v>8615049.1699999999</v>
      </c>
      <c r="AF53" s="189">
        <v>1873053.4</v>
      </c>
      <c r="AG53" s="189">
        <v>329572.40000000002</v>
      </c>
      <c r="AH53" s="189">
        <v>0</v>
      </c>
      <c r="AI53" s="189">
        <v>0</v>
      </c>
      <c r="AJ53" s="189">
        <v>0</v>
      </c>
      <c r="AK53" s="189">
        <v>99407640.390000001</v>
      </c>
      <c r="AL53" s="189">
        <v>16274266.27</v>
      </c>
      <c r="AM53" s="189">
        <v>0</v>
      </c>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c r="BW53" s="189"/>
      <c r="BX53" s="189"/>
      <c r="BY53" s="189"/>
      <c r="BZ53" s="189"/>
      <c r="CA53" s="189"/>
      <c r="CB53" s="189"/>
      <c r="CC53" s="189"/>
      <c r="CD53" s="189"/>
      <c r="CE53" s="189"/>
      <c r="CF53" s="189"/>
      <c r="CG53" s="189"/>
      <c r="CH53" s="189"/>
      <c r="CI53" s="189"/>
      <c r="CJ53" s="189"/>
      <c r="CK53" s="189"/>
      <c r="CL53" s="189"/>
    </row>
    <row r="54" spans="1:90" s="192" customFormat="1">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c r="BW54" s="189"/>
      <c r="BX54" s="189"/>
      <c r="BY54" s="189"/>
      <c r="BZ54" s="189"/>
      <c r="CA54" s="189"/>
      <c r="CB54" s="189"/>
      <c r="CC54" s="189"/>
      <c r="CD54" s="189"/>
      <c r="CE54" s="189"/>
      <c r="CF54" s="189"/>
      <c r="CG54" s="189"/>
      <c r="CH54" s="189"/>
      <c r="CI54" s="189"/>
      <c r="CJ54" s="189"/>
      <c r="CK54" s="189"/>
      <c r="CL54" s="189"/>
    </row>
    <row r="55" spans="1:90" s="192" customFormat="1">
      <c r="A55" s="192" t="s">
        <v>37</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748893.59</v>
      </c>
      <c r="AA55" s="189">
        <v>748893.59</v>
      </c>
      <c r="AB55" s="189">
        <v>1048893.5900000001</v>
      </c>
      <c r="AC55" s="189">
        <v>0</v>
      </c>
      <c r="AD55" s="189">
        <v>0</v>
      </c>
      <c r="AE55" s="189">
        <v>0</v>
      </c>
      <c r="AF55" s="189">
        <v>0</v>
      </c>
      <c r="AG55" s="189">
        <v>0</v>
      </c>
      <c r="AH55" s="189">
        <v>0</v>
      </c>
      <c r="AI55" s="189">
        <v>0</v>
      </c>
      <c r="AJ55" s="189">
        <v>0</v>
      </c>
      <c r="AK55" s="189">
        <v>0</v>
      </c>
      <c r="AL55" s="189">
        <v>0</v>
      </c>
      <c r="AM55" s="189">
        <v>0</v>
      </c>
      <c r="AN55" s="189"/>
      <c r="AO55" s="189"/>
      <c r="AP55" s="189"/>
      <c r="AQ55" s="189"/>
      <c r="AR55" s="189"/>
      <c r="AS55" s="189"/>
      <c r="AT55" s="189"/>
      <c r="AU55" s="189"/>
      <c r="AV55" s="189"/>
      <c r="AW55" s="189"/>
      <c r="AX55" s="189"/>
      <c r="AY55" s="189"/>
      <c r="AZ55" s="189"/>
      <c r="BA55" s="189"/>
      <c r="BB55" s="189"/>
      <c r="BC55" s="189"/>
      <c r="BD55" s="189"/>
      <c r="BE55" s="189"/>
      <c r="BF55" s="189"/>
      <c r="BG55" s="189"/>
      <c r="BH55" s="189"/>
      <c r="BI55" s="189"/>
      <c r="BJ55" s="189"/>
      <c r="BK55" s="189"/>
      <c r="BL55" s="189"/>
      <c r="BM55" s="189"/>
      <c r="BN55" s="189"/>
      <c r="BO55" s="189"/>
      <c r="BP55" s="189"/>
      <c r="BQ55" s="189"/>
      <c r="BR55" s="189"/>
      <c r="BS55" s="189"/>
      <c r="BT55" s="189"/>
      <c r="BU55" s="189"/>
      <c r="BV55" s="189"/>
      <c r="BW55" s="189"/>
      <c r="BX55" s="189"/>
      <c r="BY55" s="189"/>
      <c r="BZ55" s="189"/>
      <c r="CA55" s="189"/>
      <c r="CB55" s="189"/>
      <c r="CC55" s="189"/>
      <c r="CD55" s="189"/>
      <c r="CE55" s="189"/>
      <c r="CF55" s="189"/>
      <c r="CG55" s="189"/>
      <c r="CH55" s="189"/>
      <c r="CI55" s="189"/>
      <c r="CJ55" s="189"/>
      <c r="CK55" s="189"/>
      <c r="CL55" s="189"/>
    </row>
    <row r="56" spans="1:90" s="192" customFormat="1">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c r="AO56" s="189"/>
      <c r="AP56" s="189"/>
      <c r="AQ56" s="189"/>
      <c r="AR56" s="189"/>
      <c r="AS56" s="189"/>
      <c r="AT56" s="189"/>
      <c r="AU56" s="189"/>
      <c r="AV56" s="189"/>
      <c r="AW56" s="189"/>
      <c r="AX56" s="189"/>
      <c r="AY56" s="189"/>
      <c r="AZ56" s="189"/>
      <c r="BA56" s="189"/>
      <c r="BB56" s="189"/>
      <c r="BC56" s="189"/>
      <c r="BD56" s="189"/>
      <c r="BE56" s="189"/>
      <c r="BF56" s="189"/>
      <c r="BG56" s="189"/>
      <c r="BH56" s="189"/>
      <c r="BI56" s="189"/>
      <c r="BJ56" s="189"/>
      <c r="BK56" s="189"/>
      <c r="BL56" s="189"/>
      <c r="BM56" s="189"/>
      <c r="BN56" s="189"/>
      <c r="BO56" s="189"/>
      <c r="BP56" s="189"/>
      <c r="BQ56" s="189"/>
      <c r="BR56" s="189"/>
      <c r="BS56" s="189"/>
      <c r="BT56" s="189"/>
      <c r="BU56" s="189"/>
      <c r="BV56" s="189"/>
      <c r="BW56" s="189"/>
      <c r="BX56" s="189"/>
      <c r="BY56" s="189"/>
      <c r="BZ56" s="189"/>
      <c r="CA56" s="189"/>
      <c r="CB56" s="189"/>
      <c r="CC56" s="189"/>
      <c r="CD56" s="189"/>
      <c r="CE56" s="189"/>
      <c r="CF56" s="189"/>
      <c r="CG56" s="189"/>
      <c r="CH56" s="189"/>
      <c r="CI56" s="189"/>
      <c r="CJ56" s="189"/>
      <c r="CK56" s="189"/>
      <c r="CL56" s="189"/>
    </row>
    <row r="57" spans="1:90" s="192" customFormat="1">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c r="AO57" s="189"/>
      <c r="AP57" s="189"/>
      <c r="AQ57" s="189"/>
      <c r="AR57" s="189"/>
      <c r="AS57" s="189"/>
      <c r="AT57" s="189"/>
      <c r="AU57" s="189"/>
      <c r="AV57" s="189"/>
      <c r="AW57" s="189"/>
      <c r="AX57" s="189"/>
      <c r="AY57" s="189"/>
      <c r="AZ57" s="189"/>
      <c r="BA57" s="189"/>
      <c r="BB57" s="189"/>
      <c r="BC57" s="189"/>
      <c r="BD57" s="189"/>
      <c r="BE57" s="189"/>
      <c r="BF57" s="189"/>
      <c r="BG57" s="189"/>
      <c r="BH57" s="189"/>
      <c r="BI57" s="189"/>
      <c r="BJ57" s="189"/>
      <c r="BK57" s="189"/>
      <c r="BL57" s="189"/>
      <c r="BM57" s="189"/>
      <c r="BN57" s="189"/>
      <c r="BO57" s="189"/>
      <c r="BP57" s="189"/>
      <c r="BQ57" s="189"/>
      <c r="BR57" s="189"/>
      <c r="BS57" s="189"/>
      <c r="BT57" s="189"/>
      <c r="BU57" s="189"/>
      <c r="BV57" s="189"/>
      <c r="BW57" s="189"/>
      <c r="BX57" s="189"/>
      <c r="BY57" s="189"/>
      <c r="BZ57" s="189"/>
      <c r="CA57" s="189"/>
      <c r="CB57" s="189"/>
      <c r="CC57" s="189"/>
      <c r="CD57" s="189"/>
      <c r="CE57" s="189"/>
      <c r="CF57" s="189"/>
      <c r="CG57" s="189"/>
      <c r="CH57" s="189"/>
      <c r="CI57" s="189"/>
      <c r="CJ57" s="189"/>
      <c r="CK57" s="189"/>
      <c r="CL57" s="189"/>
    </row>
    <row r="58" spans="1:90" s="192" customFormat="1">
      <c r="A58" s="192" t="s">
        <v>40</v>
      </c>
      <c r="B58" s="189">
        <v>491812429.76999998</v>
      </c>
      <c r="C58" s="189">
        <v>500908698.10000002</v>
      </c>
      <c r="D58" s="189">
        <v>518674122.81999999</v>
      </c>
      <c r="E58" s="189">
        <v>498179605.51999998</v>
      </c>
      <c r="F58" s="189">
        <v>498304523.54000002</v>
      </c>
      <c r="G58" s="189">
        <v>510307060.25</v>
      </c>
      <c r="H58" s="189">
        <v>526332049.97000003</v>
      </c>
      <c r="I58" s="189">
        <v>504640824.81</v>
      </c>
      <c r="J58" s="189">
        <v>464819810.25</v>
      </c>
      <c r="K58" s="189">
        <v>395055948.55000001</v>
      </c>
      <c r="L58" s="189">
        <v>416220360.94</v>
      </c>
      <c r="M58" s="189">
        <v>421352819.33999997</v>
      </c>
      <c r="N58" s="189">
        <v>394261089.12</v>
      </c>
      <c r="O58" s="189">
        <v>397767045.37</v>
      </c>
      <c r="P58" s="189">
        <v>230904952.02000001</v>
      </c>
      <c r="Q58" s="189">
        <v>233873326.33000001</v>
      </c>
      <c r="R58" s="189">
        <v>228895105.97</v>
      </c>
      <c r="S58" s="189">
        <v>231361825.52000001</v>
      </c>
      <c r="T58" s="189">
        <v>232444684.24000001</v>
      </c>
      <c r="U58" s="189">
        <v>221600402.22</v>
      </c>
      <c r="V58" s="189">
        <v>210750636.46000001</v>
      </c>
      <c r="W58" s="189">
        <v>197096859.75</v>
      </c>
      <c r="X58" s="189">
        <v>198662783.12</v>
      </c>
      <c r="Y58" s="189">
        <v>195425890.02000001</v>
      </c>
      <c r="Z58" s="189">
        <v>197127503.31</v>
      </c>
      <c r="AA58" s="189">
        <v>198793436.97</v>
      </c>
      <c r="AB58" s="189">
        <v>200475051.06</v>
      </c>
      <c r="AC58" s="189">
        <v>202181097.03999999</v>
      </c>
      <c r="AD58" s="189">
        <v>70377725.430000007</v>
      </c>
      <c r="AE58" s="189">
        <v>61475911.729999997</v>
      </c>
      <c r="AF58" s="189">
        <v>62170375.659999996</v>
      </c>
      <c r="AG58" s="189">
        <v>61619072.549999997</v>
      </c>
      <c r="AH58" s="189">
        <v>18130246.079999998</v>
      </c>
      <c r="AI58" s="189">
        <v>18460908.899999999</v>
      </c>
      <c r="AJ58" s="189">
        <v>19356691.870000001</v>
      </c>
      <c r="AK58" s="189">
        <v>16603857.32</v>
      </c>
      <c r="AL58" s="189">
        <v>17528892.399999999</v>
      </c>
      <c r="AM58" s="189">
        <v>0</v>
      </c>
      <c r="AN58" s="189"/>
      <c r="AO58" s="189"/>
      <c r="AP58" s="189"/>
      <c r="AQ58" s="189"/>
      <c r="AR58" s="189"/>
      <c r="AS58" s="189"/>
      <c r="AT58" s="189"/>
      <c r="AU58" s="189"/>
      <c r="AV58" s="189"/>
      <c r="AW58" s="189"/>
      <c r="AX58" s="189"/>
      <c r="AY58" s="189"/>
      <c r="AZ58" s="189"/>
      <c r="BA58" s="189"/>
      <c r="BB58" s="189"/>
      <c r="BC58" s="189"/>
      <c r="BD58" s="189"/>
      <c r="BE58" s="189"/>
      <c r="BF58" s="189"/>
      <c r="BG58" s="189"/>
      <c r="BH58" s="189"/>
      <c r="BI58" s="189"/>
      <c r="BJ58" s="189"/>
      <c r="BK58" s="189"/>
      <c r="BL58" s="189"/>
      <c r="BM58" s="189"/>
      <c r="BN58" s="189"/>
      <c r="BO58" s="189"/>
      <c r="BP58" s="189"/>
      <c r="BQ58" s="189"/>
      <c r="BR58" s="189"/>
      <c r="BS58" s="189"/>
      <c r="BT58" s="189"/>
      <c r="BU58" s="189"/>
      <c r="BV58" s="189"/>
      <c r="BW58" s="189"/>
      <c r="BX58" s="189"/>
      <c r="BY58" s="189"/>
      <c r="BZ58" s="189"/>
      <c r="CA58" s="189"/>
      <c r="CB58" s="189"/>
      <c r="CC58" s="189"/>
      <c r="CD58" s="189"/>
      <c r="CE58" s="189"/>
      <c r="CF58" s="189"/>
      <c r="CG58" s="189"/>
      <c r="CH58" s="189"/>
      <c r="CI58" s="189"/>
      <c r="CJ58" s="189"/>
      <c r="CK58" s="189"/>
      <c r="CL58" s="189"/>
    </row>
    <row r="59" spans="1:90" s="192" customFormat="1">
      <c r="A59" s="192" t="s">
        <v>41</v>
      </c>
      <c r="B59" s="189">
        <v>7313005.5800000001</v>
      </c>
      <c r="C59" s="189">
        <v>16341528.449999999</v>
      </c>
      <c r="D59" s="189">
        <v>6735447.0199999996</v>
      </c>
      <c r="E59" s="189">
        <v>45588986.810000002</v>
      </c>
      <c r="F59" s="189">
        <v>0</v>
      </c>
      <c r="G59" s="189">
        <v>27655701.559999999</v>
      </c>
      <c r="H59" s="189">
        <v>15171318.710000001</v>
      </c>
      <c r="I59" s="189">
        <v>4489532.45</v>
      </c>
      <c r="J59" s="189">
        <v>37381822.93</v>
      </c>
      <c r="K59" s="189">
        <v>0</v>
      </c>
      <c r="L59" s="189">
        <v>0</v>
      </c>
      <c r="M59" s="189">
        <v>0</v>
      </c>
      <c r="N59" s="189">
        <v>30810999.940000001</v>
      </c>
      <c r="O59" s="189">
        <v>27768806.73</v>
      </c>
      <c r="P59" s="189">
        <v>22898575.890000001</v>
      </c>
      <c r="Q59" s="189">
        <v>19839837.280000001</v>
      </c>
      <c r="R59" s="189">
        <v>17967403.530000001</v>
      </c>
      <c r="S59" s="189">
        <v>17240078.640000001</v>
      </c>
      <c r="T59" s="189">
        <v>10771419.460000001</v>
      </c>
      <c r="U59" s="189">
        <v>15293634.380000001</v>
      </c>
      <c r="V59" s="189">
        <v>10670833.92</v>
      </c>
      <c r="W59" s="189">
        <v>11049185.08</v>
      </c>
      <c r="X59" s="189">
        <v>9953445.1099999994</v>
      </c>
      <c r="Y59" s="189">
        <v>8085204.3399999999</v>
      </c>
      <c r="Z59" s="189">
        <v>0</v>
      </c>
      <c r="AA59" s="189">
        <v>0</v>
      </c>
      <c r="AB59" s="189">
        <v>0</v>
      </c>
      <c r="AC59" s="189">
        <v>0</v>
      </c>
      <c r="AD59" s="189">
        <v>0</v>
      </c>
      <c r="AE59" s="189">
        <v>0</v>
      </c>
      <c r="AF59" s="189">
        <v>0</v>
      </c>
      <c r="AG59" s="189">
        <v>0</v>
      </c>
      <c r="AH59" s="189">
        <v>122635</v>
      </c>
      <c r="AI59" s="189">
        <v>17650</v>
      </c>
      <c r="AJ59" s="189">
        <v>0</v>
      </c>
      <c r="AK59" s="189">
        <v>3868494.09</v>
      </c>
      <c r="AL59" s="189">
        <v>1855130.99</v>
      </c>
      <c r="AM59" s="189">
        <v>0</v>
      </c>
      <c r="AN59" s="189"/>
      <c r="AO59" s="189"/>
      <c r="AP59" s="189"/>
      <c r="AQ59" s="189"/>
      <c r="AR59" s="189"/>
      <c r="AS59" s="189"/>
      <c r="AT59" s="189"/>
      <c r="AU59" s="189"/>
      <c r="AV59" s="189"/>
      <c r="AW59" s="189"/>
      <c r="AX59" s="189"/>
      <c r="AY59" s="189"/>
      <c r="AZ59" s="189"/>
      <c r="BA59" s="189"/>
      <c r="BB59" s="189"/>
      <c r="BC59" s="189"/>
      <c r="BD59" s="189"/>
      <c r="BE59" s="189"/>
      <c r="BF59" s="189"/>
      <c r="BG59" s="189"/>
      <c r="BH59" s="189"/>
      <c r="BI59" s="189"/>
      <c r="BJ59" s="189"/>
      <c r="BK59" s="189"/>
      <c r="BL59" s="189"/>
      <c r="BM59" s="189"/>
      <c r="BN59" s="189"/>
      <c r="BO59" s="189"/>
      <c r="BP59" s="189"/>
      <c r="BQ59" s="189"/>
      <c r="BR59" s="189"/>
      <c r="BS59" s="189"/>
      <c r="BT59" s="189"/>
      <c r="BU59" s="189"/>
      <c r="BV59" s="189"/>
      <c r="BW59" s="189"/>
      <c r="BX59" s="189"/>
      <c r="BY59" s="189"/>
      <c r="BZ59" s="189"/>
      <c r="CA59" s="189"/>
      <c r="CB59" s="189"/>
      <c r="CC59" s="189"/>
      <c r="CD59" s="189"/>
      <c r="CE59" s="189"/>
      <c r="CF59" s="189"/>
      <c r="CG59" s="189"/>
      <c r="CH59" s="189"/>
      <c r="CI59" s="189"/>
      <c r="CJ59" s="189"/>
      <c r="CK59" s="189"/>
      <c r="CL59" s="189"/>
    </row>
    <row r="60" spans="1:90" s="192" customFormat="1">
      <c r="A60" s="192" t="s">
        <v>42</v>
      </c>
      <c r="B60" s="189">
        <v>46883206.530000001</v>
      </c>
      <c r="C60" s="189">
        <v>46883206.530000001</v>
      </c>
      <c r="D60" s="189">
        <v>46883206.530000001</v>
      </c>
      <c r="E60" s="189">
        <v>46883206.530000001</v>
      </c>
      <c r="F60" s="189">
        <v>59160468.420000002</v>
      </c>
      <c r="G60" s="189">
        <v>59160468.420000002</v>
      </c>
      <c r="H60" s="189">
        <v>59160468.420000002</v>
      </c>
      <c r="I60" s="189">
        <v>59160468.420000002</v>
      </c>
      <c r="J60" s="189">
        <v>57714591.829999998</v>
      </c>
      <c r="K60" s="189">
        <v>52585542.289999999</v>
      </c>
      <c r="L60" s="189">
        <v>7032629.0999999996</v>
      </c>
      <c r="M60" s="189">
        <v>7032629.0999999996</v>
      </c>
      <c r="N60" s="189">
        <v>7032629.0999999996</v>
      </c>
      <c r="O60" s="189">
        <v>7032629.0999999996</v>
      </c>
      <c r="P60" s="189">
        <v>7032629.0999999996</v>
      </c>
      <c r="Q60" s="189">
        <v>7032629.0999999996</v>
      </c>
      <c r="R60" s="189">
        <v>7032629.0999999996</v>
      </c>
      <c r="S60" s="189">
        <v>7032629.0999999996</v>
      </c>
      <c r="T60" s="189">
        <v>7032629.0999999996</v>
      </c>
      <c r="U60" s="189">
        <v>7032629.0999999996</v>
      </c>
      <c r="V60" s="189">
        <v>1705272.48</v>
      </c>
      <c r="W60" s="189">
        <v>1705272.48</v>
      </c>
      <c r="X60" s="189">
        <v>1705272.48</v>
      </c>
      <c r="Y60" s="189">
        <v>1705272.48</v>
      </c>
      <c r="Z60" s="189">
        <v>1705272.48</v>
      </c>
      <c r="AA60" s="189">
        <v>1705272.48</v>
      </c>
      <c r="AB60" s="189">
        <v>1705272.48</v>
      </c>
      <c r="AC60" s="189">
        <v>1705272.48</v>
      </c>
      <c r="AD60" s="189">
        <v>0</v>
      </c>
      <c r="AE60" s="189">
        <v>0</v>
      </c>
      <c r="AF60" s="189">
        <v>0</v>
      </c>
      <c r="AG60" s="189">
        <v>0</v>
      </c>
      <c r="AH60" s="189">
        <v>0</v>
      </c>
      <c r="AI60" s="189">
        <v>0</v>
      </c>
      <c r="AJ60" s="189">
        <v>0</v>
      </c>
      <c r="AK60" s="189">
        <v>0</v>
      </c>
      <c r="AL60" s="189">
        <v>0</v>
      </c>
      <c r="AM60" s="189">
        <v>0</v>
      </c>
      <c r="AN60" s="189"/>
      <c r="AO60" s="189"/>
      <c r="AP60" s="189"/>
      <c r="AQ60" s="189"/>
      <c r="AR60" s="189"/>
      <c r="AS60" s="189"/>
      <c r="AT60" s="189"/>
      <c r="AU60" s="189"/>
      <c r="AV60" s="189"/>
      <c r="AW60" s="189"/>
      <c r="AX60" s="189"/>
      <c r="AY60" s="189"/>
      <c r="AZ60" s="189"/>
      <c r="BA60" s="189"/>
      <c r="BB60" s="189"/>
      <c r="BC60" s="189"/>
      <c r="BD60" s="189"/>
      <c r="BE60" s="189"/>
      <c r="BF60" s="189"/>
      <c r="BG60" s="189"/>
      <c r="BH60" s="189"/>
      <c r="BI60" s="189"/>
      <c r="BJ60" s="189"/>
      <c r="BK60" s="189"/>
      <c r="BL60" s="189"/>
      <c r="BM60" s="189"/>
      <c r="BN60" s="189"/>
      <c r="BO60" s="189"/>
      <c r="BP60" s="189"/>
      <c r="BQ60" s="189"/>
      <c r="BR60" s="189"/>
      <c r="BS60" s="189"/>
      <c r="BT60" s="189"/>
      <c r="BU60" s="189"/>
      <c r="BV60" s="189"/>
      <c r="BW60" s="189"/>
      <c r="BX60" s="189"/>
      <c r="BY60" s="189"/>
      <c r="BZ60" s="189"/>
      <c r="CA60" s="189"/>
      <c r="CB60" s="189"/>
      <c r="CC60" s="189"/>
      <c r="CD60" s="189"/>
      <c r="CE60" s="189"/>
      <c r="CF60" s="189"/>
      <c r="CG60" s="189"/>
      <c r="CH60" s="189"/>
      <c r="CI60" s="189"/>
      <c r="CJ60" s="189"/>
      <c r="CK60" s="189"/>
      <c r="CL60" s="189"/>
    </row>
    <row r="61" spans="1:90" s="192" customFormat="1">
      <c r="A61" s="192" t="s">
        <v>43</v>
      </c>
      <c r="B61" s="189">
        <v>47392095.899999999</v>
      </c>
      <c r="C61" s="189">
        <v>48058882.469999999</v>
      </c>
      <c r="D61" s="189">
        <v>48175243.509999998</v>
      </c>
      <c r="E61" s="189">
        <v>51785379.229999997</v>
      </c>
      <c r="F61" s="189">
        <v>55573058.630000003</v>
      </c>
      <c r="G61" s="189">
        <v>59318265.210000001</v>
      </c>
      <c r="H61" s="189">
        <v>3584800.47</v>
      </c>
      <c r="I61" s="189">
        <v>2170420.0699999998</v>
      </c>
      <c r="J61" s="189">
        <v>1726262.77</v>
      </c>
      <c r="K61" s="189">
        <v>1907945.11</v>
      </c>
      <c r="L61" s="189">
        <v>1121708.8799999999</v>
      </c>
      <c r="M61" s="189">
        <v>975279.67</v>
      </c>
      <c r="N61" s="189">
        <v>455683.45</v>
      </c>
      <c r="O61" s="189">
        <v>476087.23</v>
      </c>
      <c r="P61" s="189">
        <v>496491.01</v>
      </c>
      <c r="Q61" s="189">
        <v>516894.79</v>
      </c>
      <c r="R61" s="189">
        <v>7026631.9100000001</v>
      </c>
      <c r="S61" s="189">
        <v>5044500</v>
      </c>
      <c r="T61" s="189">
        <v>0</v>
      </c>
      <c r="U61" s="189">
        <v>0</v>
      </c>
      <c r="V61" s="189">
        <v>0</v>
      </c>
      <c r="W61" s="189">
        <v>0</v>
      </c>
      <c r="X61" s="189">
        <v>0</v>
      </c>
      <c r="Y61" s="189">
        <v>0</v>
      </c>
      <c r="Z61" s="189">
        <v>0</v>
      </c>
      <c r="AA61" s="189">
        <v>0</v>
      </c>
      <c r="AB61" s="189">
        <v>0</v>
      </c>
      <c r="AC61" s="189">
        <v>0</v>
      </c>
      <c r="AD61" s="189">
        <v>0</v>
      </c>
      <c r="AE61" s="189">
        <v>0</v>
      </c>
      <c r="AF61" s="189">
        <v>0</v>
      </c>
      <c r="AG61" s="189">
        <v>0</v>
      </c>
      <c r="AH61" s="189">
        <v>0</v>
      </c>
      <c r="AI61" s="189">
        <v>0</v>
      </c>
      <c r="AJ61" s="189">
        <v>0</v>
      </c>
      <c r="AK61" s="189">
        <v>0</v>
      </c>
      <c r="AL61" s="189">
        <v>0</v>
      </c>
      <c r="AM61" s="189">
        <v>0</v>
      </c>
      <c r="AN61" s="189"/>
      <c r="AO61" s="189"/>
      <c r="AP61" s="189"/>
      <c r="AQ61" s="189"/>
      <c r="AR61" s="189"/>
      <c r="AS61" s="189"/>
      <c r="AT61" s="189"/>
      <c r="AU61" s="189"/>
      <c r="AV61" s="189"/>
      <c r="AW61" s="189"/>
      <c r="AX61" s="189"/>
      <c r="AY61" s="189"/>
      <c r="AZ61" s="189"/>
      <c r="BA61" s="189"/>
      <c r="BB61" s="189"/>
      <c r="BC61" s="189"/>
      <c r="BD61" s="189"/>
      <c r="BE61" s="189"/>
      <c r="BF61" s="189"/>
      <c r="BG61" s="189"/>
      <c r="BH61" s="189"/>
      <c r="BI61" s="189"/>
      <c r="BJ61" s="189"/>
      <c r="BK61" s="189"/>
      <c r="BL61" s="189"/>
      <c r="BM61" s="189"/>
      <c r="BN61" s="189"/>
      <c r="BO61" s="189"/>
      <c r="BP61" s="189"/>
      <c r="BQ61" s="189"/>
      <c r="BR61" s="189"/>
      <c r="BS61" s="189"/>
      <c r="BT61" s="189"/>
      <c r="BU61" s="189"/>
      <c r="BV61" s="189"/>
      <c r="BW61" s="189"/>
      <c r="BX61" s="189"/>
      <c r="BY61" s="189"/>
      <c r="BZ61" s="189"/>
      <c r="CA61" s="189"/>
      <c r="CB61" s="189"/>
      <c r="CC61" s="189"/>
      <c r="CD61" s="189"/>
      <c r="CE61" s="189"/>
      <c r="CF61" s="189"/>
      <c r="CG61" s="189"/>
      <c r="CH61" s="189"/>
      <c r="CI61" s="189"/>
      <c r="CJ61" s="189"/>
      <c r="CK61" s="189"/>
      <c r="CL61" s="189"/>
    </row>
    <row r="62" spans="1:90" s="192" customFormat="1">
      <c r="A62" s="192" t="s">
        <v>44</v>
      </c>
      <c r="B62" s="189">
        <v>68059347.019999996</v>
      </c>
      <c r="C62" s="189">
        <v>71908217.870000005</v>
      </c>
      <c r="D62" s="189">
        <v>57737517.420000002</v>
      </c>
      <c r="E62" s="189">
        <v>60682725.960000001</v>
      </c>
      <c r="F62" s="189">
        <v>30421641.16</v>
      </c>
      <c r="G62" s="189">
        <v>30402173.059999999</v>
      </c>
      <c r="H62" s="189">
        <v>28817646.210000001</v>
      </c>
      <c r="I62" s="189">
        <v>42904820.689999998</v>
      </c>
      <c r="J62" s="189">
        <v>41226369.75</v>
      </c>
      <c r="K62" s="189">
        <v>29502892.52</v>
      </c>
      <c r="L62" s="189">
        <v>24399222.23</v>
      </c>
      <c r="M62" s="189">
        <v>24356429.260000002</v>
      </c>
      <c r="N62" s="189">
        <v>25614473.960000001</v>
      </c>
      <c r="O62" s="189">
        <v>18340245.539999999</v>
      </c>
      <c r="P62" s="189">
        <v>20182221.77</v>
      </c>
      <c r="Q62" s="189">
        <v>17864021.57</v>
      </c>
      <c r="R62" s="189">
        <v>13874770.26</v>
      </c>
      <c r="S62" s="189">
        <v>10811595.789999999</v>
      </c>
      <c r="T62" s="189">
        <v>5226587.42</v>
      </c>
      <c r="U62" s="189">
        <v>7325722.5099999998</v>
      </c>
      <c r="V62" s="189">
        <v>23688843.289999999</v>
      </c>
      <c r="W62" s="189">
        <v>3688599.83</v>
      </c>
      <c r="X62" s="189">
        <v>3084316.5</v>
      </c>
      <c r="Y62" s="189">
        <v>4171676.7</v>
      </c>
      <c r="Z62" s="189">
        <v>4110935.54</v>
      </c>
      <c r="AA62" s="189">
        <v>3836646.64</v>
      </c>
      <c r="AB62" s="189">
        <v>2608592.6</v>
      </c>
      <c r="AC62" s="189">
        <v>2173137.8199999998</v>
      </c>
      <c r="AD62" s="189">
        <v>1929085.55</v>
      </c>
      <c r="AE62" s="189">
        <v>1399823.67</v>
      </c>
      <c r="AF62" s="189">
        <v>1238462.02</v>
      </c>
      <c r="AG62" s="189">
        <v>1003877.23</v>
      </c>
      <c r="AH62" s="189">
        <v>937914.45</v>
      </c>
      <c r="AI62" s="189">
        <v>842382.11</v>
      </c>
      <c r="AJ62" s="189">
        <v>688489.81</v>
      </c>
      <c r="AK62" s="189">
        <v>557275.94999999995</v>
      </c>
      <c r="AL62" s="189">
        <v>258118.05</v>
      </c>
      <c r="AM62" s="189">
        <v>0</v>
      </c>
      <c r="AN62" s="189"/>
      <c r="AO62" s="189"/>
      <c r="AP62" s="189"/>
      <c r="AQ62" s="189"/>
      <c r="AR62" s="189"/>
      <c r="AS62" s="189"/>
      <c r="AT62" s="189"/>
      <c r="AU62" s="189"/>
      <c r="AV62" s="189"/>
      <c r="AW62" s="189"/>
      <c r="AX62" s="189"/>
      <c r="AY62" s="189"/>
      <c r="AZ62" s="189"/>
      <c r="BA62" s="189"/>
      <c r="BB62" s="189"/>
      <c r="BC62" s="189"/>
      <c r="BD62" s="189"/>
      <c r="BE62" s="189"/>
      <c r="BF62" s="189"/>
      <c r="BG62" s="189"/>
      <c r="BH62" s="189"/>
      <c r="BI62" s="189"/>
      <c r="BJ62" s="189"/>
      <c r="BK62" s="189"/>
      <c r="BL62" s="189"/>
      <c r="BM62" s="189"/>
      <c r="BN62" s="189"/>
      <c r="BO62" s="189"/>
      <c r="BP62" s="189"/>
      <c r="BQ62" s="189"/>
      <c r="BR62" s="189"/>
      <c r="BS62" s="189"/>
      <c r="BT62" s="189"/>
      <c r="BU62" s="189"/>
      <c r="BV62" s="189"/>
      <c r="BW62" s="189"/>
      <c r="BX62" s="189"/>
      <c r="BY62" s="189"/>
      <c r="BZ62" s="189"/>
      <c r="CA62" s="189"/>
      <c r="CB62" s="189"/>
      <c r="CC62" s="189"/>
      <c r="CD62" s="189"/>
      <c r="CE62" s="189"/>
      <c r="CF62" s="189"/>
      <c r="CG62" s="189"/>
      <c r="CH62" s="189"/>
      <c r="CI62" s="189"/>
      <c r="CJ62" s="189"/>
      <c r="CK62" s="189"/>
      <c r="CL62" s="189"/>
    </row>
    <row r="63" spans="1:90" s="192" customFormat="1">
      <c r="A63" s="192" t="s">
        <v>45</v>
      </c>
      <c r="B63" s="189">
        <v>14746424.49</v>
      </c>
      <c r="C63" s="189">
        <v>12185071.789999999</v>
      </c>
      <c r="D63" s="189">
        <v>12836701.01</v>
      </c>
      <c r="E63" s="189">
        <v>10083818.59</v>
      </c>
      <c r="F63" s="189">
        <v>4411047.5599999996</v>
      </c>
      <c r="G63" s="189">
        <v>4711246.55</v>
      </c>
      <c r="H63" s="189">
        <v>5011445.54</v>
      </c>
      <c r="I63" s="189">
        <v>5311644.53</v>
      </c>
      <c r="J63" s="189">
        <v>0</v>
      </c>
      <c r="K63" s="189">
        <v>0</v>
      </c>
      <c r="L63" s="189">
        <v>0</v>
      </c>
      <c r="M63" s="189">
        <v>0</v>
      </c>
      <c r="N63" s="189">
        <v>0</v>
      </c>
      <c r="O63" s="189">
        <v>0</v>
      </c>
      <c r="P63" s="189">
        <v>0</v>
      </c>
      <c r="Q63" s="189">
        <v>0</v>
      </c>
      <c r="R63" s="189">
        <v>0</v>
      </c>
      <c r="S63" s="189">
        <v>0</v>
      </c>
      <c r="T63" s="189">
        <v>207800.46</v>
      </c>
      <c r="U63" s="189">
        <v>0</v>
      </c>
      <c r="V63" s="189">
        <v>0</v>
      </c>
      <c r="W63" s="189">
        <v>0</v>
      </c>
      <c r="X63" s="189">
        <v>0</v>
      </c>
      <c r="Y63" s="189">
        <v>0</v>
      </c>
      <c r="Z63" s="189">
        <v>0</v>
      </c>
      <c r="AA63" s="189">
        <v>0</v>
      </c>
      <c r="AB63" s="189">
        <v>234238.19</v>
      </c>
      <c r="AC63" s="189">
        <v>207800.46</v>
      </c>
      <c r="AD63" s="189">
        <v>181166.16</v>
      </c>
      <c r="AE63" s="189">
        <v>154693.15</v>
      </c>
      <c r="AF63" s="189">
        <v>128229.86</v>
      </c>
      <c r="AG63" s="189">
        <v>102366.49</v>
      </c>
      <c r="AH63" s="189">
        <v>77783.09</v>
      </c>
      <c r="AI63" s="189">
        <v>61337.13</v>
      </c>
      <c r="AJ63" s="189">
        <v>18765.64</v>
      </c>
      <c r="AK63" s="189">
        <v>1389.31</v>
      </c>
      <c r="AL63" s="189">
        <v>919.89</v>
      </c>
      <c r="AM63" s="189">
        <v>0</v>
      </c>
      <c r="AN63" s="189"/>
      <c r="AO63" s="189"/>
      <c r="AP63" s="189"/>
      <c r="AQ63" s="189"/>
      <c r="AR63" s="189"/>
      <c r="AS63" s="189"/>
      <c r="AT63" s="189"/>
      <c r="AU63" s="189"/>
      <c r="AV63" s="189"/>
      <c r="AW63" s="189"/>
      <c r="AX63" s="189"/>
      <c r="AY63" s="189"/>
      <c r="AZ63" s="189"/>
      <c r="BA63" s="189"/>
      <c r="BB63" s="189"/>
      <c r="BC63" s="189"/>
      <c r="BD63" s="189"/>
      <c r="BE63" s="189"/>
      <c r="BF63" s="189"/>
      <c r="BG63" s="189"/>
      <c r="BH63" s="189"/>
      <c r="BI63" s="189"/>
      <c r="BJ63" s="189"/>
      <c r="BK63" s="189"/>
      <c r="BL63" s="189"/>
      <c r="BM63" s="189"/>
      <c r="BN63" s="189"/>
      <c r="BO63" s="189"/>
      <c r="BP63" s="189"/>
      <c r="BQ63" s="189"/>
      <c r="BR63" s="189"/>
      <c r="BS63" s="189"/>
      <c r="BT63" s="189"/>
      <c r="BU63" s="189"/>
      <c r="BV63" s="189"/>
      <c r="BW63" s="189"/>
      <c r="BX63" s="189"/>
      <c r="BY63" s="189"/>
      <c r="BZ63" s="189"/>
      <c r="CA63" s="189"/>
      <c r="CB63" s="189"/>
      <c r="CC63" s="189"/>
      <c r="CD63" s="189"/>
      <c r="CE63" s="189"/>
      <c r="CF63" s="189"/>
      <c r="CG63" s="189"/>
      <c r="CH63" s="189"/>
      <c r="CI63" s="189"/>
      <c r="CJ63" s="189"/>
      <c r="CK63" s="189"/>
      <c r="CL63" s="189"/>
    </row>
    <row r="64" spans="1:90" s="192" customFormat="1">
      <c r="A64" s="192" t="s">
        <v>46</v>
      </c>
      <c r="B64" s="189">
        <v>2445775918.4299998</v>
      </c>
      <c r="C64" s="189">
        <v>696952200.22000003</v>
      </c>
      <c r="D64" s="189">
        <v>103801033.15000001</v>
      </c>
      <c r="E64" s="189">
        <v>135284163.59999999</v>
      </c>
      <c r="F64" s="189">
        <v>183513463.25</v>
      </c>
      <c r="G64" s="189">
        <v>194131033.38999999</v>
      </c>
      <c r="H64" s="189">
        <v>177466333.62</v>
      </c>
      <c r="I64" s="189">
        <v>135726012.52000001</v>
      </c>
      <c r="J64" s="189">
        <v>156664738.44</v>
      </c>
      <c r="K64" s="189">
        <v>187643840.62</v>
      </c>
      <c r="L64" s="189">
        <v>181529127.86000001</v>
      </c>
      <c r="M64" s="189">
        <v>78242131.640000001</v>
      </c>
      <c r="N64" s="189">
        <v>142290782.78999999</v>
      </c>
      <c r="O64" s="189">
        <v>109024163.12</v>
      </c>
      <c r="P64" s="189">
        <v>126737932.11</v>
      </c>
      <c r="Q64" s="189">
        <v>79462928.859999999</v>
      </c>
      <c r="R64" s="189">
        <v>326739202.80000001</v>
      </c>
      <c r="S64" s="189">
        <v>716848486.74000001</v>
      </c>
      <c r="T64" s="189">
        <v>319172601.47000003</v>
      </c>
      <c r="U64" s="189">
        <v>247043487.75</v>
      </c>
      <c r="V64" s="189">
        <v>848163418.53999996</v>
      </c>
      <c r="W64" s="189">
        <v>929600464.76999998</v>
      </c>
      <c r="X64" s="189">
        <v>314887280.35000002</v>
      </c>
      <c r="Y64" s="189">
        <v>379267882.01999998</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c r="AO64" s="189"/>
      <c r="AP64" s="189"/>
      <c r="AQ64" s="189"/>
      <c r="AR64" s="189"/>
      <c r="AS64" s="189"/>
      <c r="AT64" s="189"/>
      <c r="AU64" s="189"/>
      <c r="AV64" s="189"/>
      <c r="AW64" s="189"/>
      <c r="AX64" s="189"/>
      <c r="AY64" s="189"/>
      <c r="AZ64" s="189"/>
      <c r="BA64" s="189"/>
      <c r="BB64" s="189"/>
      <c r="BC64" s="189"/>
      <c r="BD64" s="189"/>
      <c r="BE64" s="189"/>
      <c r="BF64" s="189"/>
      <c r="BG64" s="189"/>
      <c r="BH64" s="189"/>
      <c r="BI64" s="189"/>
      <c r="BJ64" s="189"/>
      <c r="BK64" s="189"/>
      <c r="BL64" s="189"/>
      <c r="BM64" s="189"/>
      <c r="BN64" s="189"/>
      <c r="BO64" s="189"/>
      <c r="BP64" s="189"/>
      <c r="BQ64" s="189"/>
      <c r="BR64" s="189"/>
      <c r="BS64" s="189"/>
      <c r="BT64" s="189"/>
      <c r="BU64" s="189"/>
      <c r="BV64" s="189"/>
      <c r="BW64" s="189"/>
      <c r="BX64" s="189"/>
      <c r="BY64" s="189"/>
      <c r="BZ64" s="189"/>
      <c r="CA64" s="189"/>
      <c r="CB64" s="189"/>
      <c r="CC64" s="189"/>
      <c r="CD64" s="189"/>
      <c r="CE64" s="189"/>
      <c r="CF64" s="189"/>
      <c r="CG64" s="189"/>
      <c r="CH64" s="189"/>
      <c r="CI64" s="189"/>
      <c r="CJ64" s="189"/>
      <c r="CK64" s="189"/>
      <c r="CL64" s="189"/>
    </row>
    <row r="65" spans="1:90" ht="14.45" hidden="1">
      <c r="B65" s="26"/>
      <c r="C65" s="26"/>
      <c r="D65" s="26"/>
      <c r="E65" s="26"/>
      <c r="F65" s="26"/>
      <c r="G65" s="26"/>
      <c r="H65" s="26"/>
      <c r="I65" s="26"/>
      <c r="J65" s="26"/>
      <c r="K65" s="26"/>
      <c r="L65" s="23"/>
    </row>
    <row r="66" spans="1:90" ht="14.45" hidden="1">
      <c r="B66" s="26"/>
      <c r="C66" s="26"/>
      <c r="D66" s="26"/>
      <c r="E66" s="26"/>
      <c r="F66" s="26"/>
      <c r="G66" s="26"/>
      <c r="H66" s="26"/>
      <c r="I66" s="26"/>
      <c r="J66" s="26"/>
      <c r="K66" s="26"/>
      <c r="L66" s="23"/>
    </row>
    <row r="67" spans="1:90" ht="14.45" hidden="1">
      <c r="B67" s="26"/>
      <c r="C67" s="26"/>
      <c r="D67" s="26"/>
      <c r="E67" s="26"/>
      <c r="F67" s="26"/>
      <c r="G67" s="26"/>
      <c r="H67" s="26"/>
      <c r="I67" s="26"/>
      <c r="J67" s="26"/>
      <c r="K67" s="26"/>
      <c r="L67" s="23"/>
    </row>
    <row r="68" spans="1:90" s="12" customFormat="1">
      <c r="A68" s="125" t="s">
        <v>47</v>
      </c>
      <c r="B68" s="36">
        <f>SUM(B52:B64)-2*B63</f>
        <v>7181248176.0999985</v>
      </c>
      <c r="C68" s="36">
        <f t="shared" ref="C68:BN68" si="8">SUM(C52:C64)-2*C63</f>
        <v>5433192528.1999998</v>
      </c>
      <c r="D68" s="36">
        <f t="shared" si="8"/>
        <v>4711637928.8800001</v>
      </c>
      <c r="E68" s="36">
        <f t="shared" si="8"/>
        <v>4597208002.8199997</v>
      </c>
      <c r="F68" s="36">
        <f t="shared" si="8"/>
        <v>4491364057.3200006</v>
      </c>
      <c r="G68" s="36">
        <f t="shared" si="8"/>
        <v>4457990275.6000004</v>
      </c>
      <c r="H68" s="36">
        <f t="shared" si="8"/>
        <v>4329244900.4700003</v>
      </c>
      <c r="I68" s="36">
        <f t="shared" si="8"/>
        <v>4245634666.5200005</v>
      </c>
      <c r="J68" s="36">
        <f t="shared" si="8"/>
        <v>4278964157.3299994</v>
      </c>
      <c r="K68" s="36">
        <f t="shared" si="8"/>
        <v>4104495846.8400002</v>
      </c>
      <c r="L68" s="36">
        <f t="shared" si="8"/>
        <v>4318291788.04</v>
      </c>
      <c r="M68" s="36">
        <f t="shared" si="8"/>
        <v>4201037356.6100001</v>
      </c>
      <c r="N68" s="36">
        <f t="shared" si="8"/>
        <v>4211333176.9099998</v>
      </c>
      <c r="O68" s="36">
        <f t="shared" si="8"/>
        <v>4198154118.3299994</v>
      </c>
      <c r="P68" s="36">
        <f t="shared" si="8"/>
        <v>4046986029.48</v>
      </c>
      <c r="Q68" s="36">
        <f t="shared" si="8"/>
        <v>4022429409.4000006</v>
      </c>
      <c r="R68" s="36">
        <f t="shared" si="8"/>
        <v>4443739357.4099998</v>
      </c>
      <c r="S68" s="36">
        <f t="shared" si="8"/>
        <v>4679757438.9399996</v>
      </c>
      <c r="T68" s="36">
        <f t="shared" si="8"/>
        <v>4098957324.6399994</v>
      </c>
      <c r="U68" s="36">
        <f t="shared" si="8"/>
        <v>3994892916.8199997</v>
      </c>
      <c r="V68" s="36">
        <f t="shared" si="8"/>
        <v>3497793546.8400002</v>
      </c>
      <c r="W68" s="36">
        <f t="shared" si="8"/>
        <v>2856914074.4200001</v>
      </c>
      <c r="X68" s="36">
        <f t="shared" si="8"/>
        <v>1707150327.1799998</v>
      </c>
      <c r="Y68" s="36">
        <f t="shared" si="8"/>
        <v>1657348348.98</v>
      </c>
      <c r="Z68" s="36">
        <f t="shared" si="8"/>
        <v>965964763.53999996</v>
      </c>
      <c r="AA68" s="36">
        <f t="shared" si="8"/>
        <v>934383454.78000009</v>
      </c>
      <c r="AB68" s="36">
        <f t="shared" si="8"/>
        <v>888578765.95000029</v>
      </c>
      <c r="AC68" s="36">
        <f t="shared" si="8"/>
        <v>728109739.0200001</v>
      </c>
      <c r="AD68" s="36">
        <f t="shared" si="8"/>
        <v>362314038.84000003</v>
      </c>
      <c r="AE68" s="36">
        <f t="shared" si="8"/>
        <v>335766939.25999999</v>
      </c>
      <c r="AF68" s="36">
        <f t="shared" si="8"/>
        <v>331186656.53999996</v>
      </c>
      <c r="AG68" s="36">
        <f t="shared" si="8"/>
        <v>314111815.44999999</v>
      </c>
      <c r="AH68" s="36">
        <f t="shared" si="8"/>
        <v>270729297.80999994</v>
      </c>
      <c r="AI68" s="36">
        <f t="shared" si="8"/>
        <v>264637372.17000002</v>
      </c>
      <c r="AJ68" s="36">
        <f t="shared" si="8"/>
        <v>265578266.37</v>
      </c>
      <c r="AK68" s="36">
        <f t="shared" si="8"/>
        <v>217377805.19999999</v>
      </c>
      <c r="AL68" s="36">
        <f t="shared" si="8"/>
        <v>129113281.06999998</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26" t="s">
        <v>48</v>
      </c>
      <c r="B69" s="33">
        <f>B50+B68</f>
        <v>15316053799.52</v>
      </c>
      <c r="C69" s="33">
        <f t="shared" ref="C69:BN69" si="10">C50+C68</f>
        <v>10486563154.030001</v>
      </c>
      <c r="D69" s="33">
        <f t="shared" si="10"/>
        <v>7106265948.2799997</v>
      </c>
      <c r="E69" s="33">
        <f t="shared" si="10"/>
        <v>6773997320.4399986</v>
      </c>
      <c r="F69" s="33">
        <f t="shared" si="10"/>
        <v>8861128973.1700001</v>
      </c>
      <c r="G69" s="33">
        <f t="shared" si="10"/>
        <v>9678797028.9099998</v>
      </c>
      <c r="H69" s="33">
        <f t="shared" si="10"/>
        <v>10017854929.33</v>
      </c>
      <c r="I69" s="33">
        <f t="shared" si="10"/>
        <v>6518345272.0700006</v>
      </c>
      <c r="J69" s="33">
        <f t="shared" si="10"/>
        <v>5510822192.9799995</v>
      </c>
      <c r="K69" s="33">
        <f t="shared" si="10"/>
        <v>6160995811.1199999</v>
      </c>
      <c r="L69" s="33">
        <f t="shared" si="10"/>
        <v>5603529097.8299999</v>
      </c>
      <c r="M69" s="33">
        <f t="shared" si="10"/>
        <v>5718369981.4099998</v>
      </c>
      <c r="N69" s="33">
        <f t="shared" si="10"/>
        <v>5761845797.8099995</v>
      </c>
      <c r="O69" s="33">
        <f t="shared" si="10"/>
        <v>5207995321.9699993</v>
      </c>
      <c r="P69" s="33">
        <f t="shared" si="10"/>
        <v>5919206672.6300001</v>
      </c>
      <c r="Q69" s="33">
        <f t="shared" si="10"/>
        <v>5696634785.3700008</v>
      </c>
      <c r="R69" s="33">
        <f t="shared" si="10"/>
        <v>5688975584.6999998</v>
      </c>
      <c r="S69" s="33">
        <f t="shared" si="10"/>
        <v>5533147221.8199997</v>
      </c>
      <c r="T69" s="33">
        <f t="shared" si="10"/>
        <v>5308671324.1599998</v>
      </c>
      <c r="U69" s="33">
        <f t="shared" si="10"/>
        <v>4568955410.6700001</v>
      </c>
      <c r="V69" s="33">
        <f t="shared" si="10"/>
        <v>4185002274.0799999</v>
      </c>
      <c r="W69" s="33">
        <f t="shared" si="10"/>
        <v>3248888626.8499999</v>
      </c>
      <c r="X69" s="33">
        <f t="shared" si="10"/>
        <v>2810908644.8399997</v>
      </c>
      <c r="Y69" s="33">
        <f t="shared" si="10"/>
        <v>2065276783.95</v>
      </c>
      <c r="Z69" s="33">
        <f t="shared" si="10"/>
        <v>1669704190.8099999</v>
      </c>
      <c r="AA69" s="33">
        <f t="shared" si="10"/>
        <v>1387437800.8</v>
      </c>
      <c r="AB69" s="33">
        <f t="shared" si="10"/>
        <v>1088305052.1100001</v>
      </c>
      <c r="AC69" s="33">
        <f t="shared" si="10"/>
        <v>1034532128.6</v>
      </c>
      <c r="AD69" s="33">
        <f t="shared" si="10"/>
        <v>667944789.10000014</v>
      </c>
      <c r="AE69" s="33">
        <f t="shared" si="10"/>
        <v>531020893.81999993</v>
      </c>
      <c r="AF69" s="33">
        <f t="shared" si="10"/>
        <v>446207797.13999999</v>
      </c>
      <c r="AG69" s="33">
        <f t="shared" si="10"/>
        <v>390774485.50999999</v>
      </c>
      <c r="AH69" s="33">
        <f t="shared" si="10"/>
        <v>417058643.90999997</v>
      </c>
      <c r="AI69" s="33">
        <f t="shared" si="10"/>
        <v>396864323.10000002</v>
      </c>
      <c r="AJ69" s="33">
        <f t="shared" si="10"/>
        <v>343115508.31999999</v>
      </c>
      <c r="AK69" s="33">
        <f t="shared" si="10"/>
        <v>338184684.82999998</v>
      </c>
      <c r="AL69" s="33">
        <f t="shared" si="10"/>
        <v>184148142.54999998</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27" t="s">
        <v>49</v>
      </c>
      <c r="B70" s="37">
        <f>B17+B19+B69</f>
        <v>34541268466.410004</v>
      </c>
      <c r="C70" s="37">
        <f t="shared" ref="C70:BN70" si="12">C17+C19+C69</f>
        <v>31553056997.420006</v>
      </c>
      <c r="D70" s="37">
        <f t="shared" si="12"/>
        <v>31368845237.619995</v>
      </c>
      <c r="E70" s="37">
        <f t="shared" si="12"/>
        <v>29845049850.429996</v>
      </c>
      <c r="F70" s="37">
        <f t="shared" si="12"/>
        <v>30229934981.860001</v>
      </c>
      <c r="G70" s="37">
        <f t="shared" si="12"/>
        <v>27641630769.799999</v>
      </c>
      <c r="H70" s="37">
        <f t="shared" si="12"/>
        <v>25574771033.029999</v>
      </c>
      <c r="I70" s="37">
        <f t="shared" si="12"/>
        <v>22306009111.369999</v>
      </c>
      <c r="J70" s="37">
        <f t="shared" si="12"/>
        <v>21252916900.57</v>
      </c>
      <c r="K70" s="37">
        <f t="shared" si="12"/>
        <v>16838459000.93</v>
      </c>
      <c r="L70" s="37">
        <f t="shared" si="12"/>
        <v>16336838310.190001</v>
      </c>
      <c r="M70" s="37">
        <f t="shared" si="12"/>
        <v>15884650065.85</v>
      </c>
      <c r="N70" s="37">
        <f t="shared" si="12"/>
        <v>12386180737.849998</v>
      </c>
      <c r="O70" s="37">
        <f t="shared" si="12"/>
        <v>10652207861.879999</v>
      </c>
      <c r="P70" s="37">
        <f t="shared" si="12"/>
        <v>9991725373.7900009</v>
      </c>
      <c r="Q70" s="37">
        <f t="shared" si="12"/>
        <v>9891635565.4700012</v>
      </c>
      <c r="R70" s="37">
        <f t="shared" si="12"/>
        <v>9510583019.3199997</v>
      </c>
      <c r="S70" s="37">
        <f t="shared" si="12"/>
        <v>8329538373.6700001</v>
      </c>
      <c r="T70" s="37">
        <f t="shared" si="12"/>
        <v>7632621218.8199997</v>
      </c>
      <c r="U70" s="37">
        <f t="shared" si="12"/>
        <v>7244341437.7399998</v>
      </c>
      <c r="V70" s="37">
        <f t="shared" si="12"/>
        <v>6769701059.8999996</v>
      </c>
      <c r="W70" s="37">
        <f t="shared" si="12"/>
        <v>5893466216.5299997</v>
      </c>
      <c r="X70" s="37">
        <f t="shared" si="12"/>
        <v>5562431904.2199993</v>
      </c>
      <c r="Y70" s="37">
        <f t="shared" si="12"/>
        <v>5510906381.9399996</v>
      </c>
      <c r="Z70" s="37">
        <f t="shared" si="12"/>
        <v>4238933138.0799999</v>
      </c>
      <c r="AA70" s="37">
        <f t="shared" si="12"/>
        <v>3632188189.9300003</v>
      </c>
      <c r="AB70" s="37">
        <f t="shared" si="12"/>
        <v>1768819767.8500001</v>
      </c>
      <c r="AC70" s="37">
        <f t="shared" si="12"/>
        <v>1718489536.3800001</v>
      </c>
      <c r="AD70" s="37">
        <f t="shared" si="12"/>
        <v>1410824158.3600001</v>
      </c>
      <c r="AE70" s="37">
        <f t="shared" si="12"/>
        <v>1313386445.9099998</v>
      </c>
      <c r="AF70" s="37">
        <f t="shared" si="12"/>
        <v>1151058663.3099999</v>
      </c>
      <c r="AG70" s="37">
        <f t="shared" si="12"/>
        <v>1072103638.51</v>
      </c>
      <c r="AH70" s="37">
        <f t="shared" si="12"/>
        <v>990035411.08000004</v>
      </c>
      <c r="AI70" s="37">
        <f t="shared" si="12"/>
        <v>573133523.07000005</v>
      </c>
      <c r="AJ70" s="37">
        <f t="shared" si="12"/>
        <v>521832547.88</v>
      </c>
      <c r="AK70" s="37">
        <f t="shared" si="12"/>
        <v>384482259.09999996</v>
      </c>
      <c r="AL70" s="37">
        <f t="shared" si="12"/>
        <v>237664609.14999998</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7376456023.9000006</v>
      </c>
      <c r="F72" s="28">
        <f t="shared" ref="F72:BQ72" si="14">SUM(F73:F77)</f>
        <v>7739623273.2199993</v>
      </c>
      <c r="G72" s="28">
        <f t="shared" si="14"/>
        <v>6845687906.9499998</v>
      </c>
      <c r="H72" s="28">
        <f t="shared" si="14"/>
        <v>5274641779.9700003</v>
      </c>
      <c r="I72" s="28">
        <f t="shared" si="14"/>
        <v>5816447067.9700003</v>
      </c>
      <c r="J72" s="28">
        <f t="shared" si="14"/>
        <v>4443331200.3000002</v>
      </c>
      <c r="K72" s="28">
        <f t="shared" si="14"/>
        <v>5279988104.8800001</v>
      </c>
      <c r="L72" s="28">
        <f t="shared" si="14"/>
        <v>4898674353.8599997</v>
      </c>
      <c r="M72" s="28">
        <f t="shared" si="14"/>
        <v>4866855045.7300005</v>
      </c>
      <c r="N72" s="28">
        <f t="shared" si="14"/>
        <v>4624732017.9899998</v>
      </c>
      <c r="O72" s="28">
        <f t="shared" si="14"/>
        <v>2846193002.0300002</v>
      </c>
      <c r="P72" s="28">
        <f t="shared" si="14"/>
        <v>2334219657.4099998</v>
      </c>
      <c r="Q72" s="28">
        <f t="shared" si="14"/>
        <v>2531726596.5500002</v>
      </c>
      <c r="R72" s="28">
        <f t="shared" si="14"/>
        <v>2106105390.9600003</v>
      </c>
      <c r="S72" s="28">
        <f t="shared" si="14"/>
        <v>2035722314.8799999</v>
      </c>
      <c r="T72" s="28">
        <f t="shared" si="14"/>
        <v>1937803764.5500002</v>
      </c>
      <c r="U72" s="28">
        <f t="shared" si="14"/>
        <v>1959829272.9599998</v>
      </c>
      <c r="V72" s="28">
        <f t="shared" si="14"/>
        <v>1724142833.98</v>
      </c>
      <c r="W72" s="28">
        <f t="shared" si="14"/>
        <v>1291549101.6600001</v>
      </c>
      <c r="X72" s="28">
        <f t="shared" si="14"/>
        <v>1188590654.25</v>
      </c>
      <c r="Y72" s="28">
        <f t="shared" si="14"/>
        <v>1338737803.4000001</v>
      </c>
      <c r="Z72" s="28">
        <f t="shared" si="14"/>
        <v>1085744745.3699999</v>
      </c>
      <c r="AA72" s="28">
        <f t="shared" si="14"/>
        <v>700999128.42000008</v>
      </c>
      <c r="AB72" s="28">
        <f t="shared" si="14"/>
        <v>668179061.47000003</v>
      </c>
      <c r="AC72" s="28">
        <f t="shared" si="14"/>
        <v>659194984.28999996</v>
      </c>
      <c r="AD72" s="28">
        <f t="shared" si="14"/>
        <v>393760036.50999999</v>
      </c>
      <c r="AE72" s="28">
        <f t="shared" si="14"/>
        <v>363535836.44999999</v>
      </c>
      <c r="AF72" s="28">
        <f t="shared" si="14"/>
        <v>143463861.97999999</v>
      </c>
      <c r="AG72" s="28">
        <f t="shared" si="14"/>
        <v>80376929.319999993</v>
      </c>
      <c r="AH72" s="28">
        <f t="shared" si="14"/>
        <v>120278287.08</v>
      </c>
      <c r="AI72" s="28">
        <f t="shared" si="14"/>
        <v>217400907.08000001</v>
      </c>
      <c r="AJ72" s="28">
        <f t="shared" si="14"/>
        <v>197446376.58000001</v>
      </c>
      <c r="AK72" s="28">
        <f t="shared" si="14"/>
        <v>156271430.5</v>
      </c>
      <c r="AL72" s="28">
        <f t="shared" si="14"/>
        <v>89308946.709999993</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28" t="s">
        <v>52</v>
      </c>
      <c r="B73" s="189">
        <v>6180813826.6199999</v>
      </c>
      <c r="C73" s="189">
        <v>6383218790.8599997</v>
      </c>
      <c r="D73" s="189">
        <v>7277878781.9899998</v>
      </c>
      <c r="E73" s="189">
        <v>6565490467.1000004</v>
      </c>
      <c r="F73" s="189">
        <v>6681305925.4399996</v>
      </c>
      <c r="G73" s="189">
        <v>5759251461.0699997</v>
      </c>
      <c r="H73" s="189">
        <v>4269177043.71</v>
      </c>
      <c r="I73" s="189">
        <v>4817944740.3699999</v>
      </c>
      <c r="J73" s="189">
        <v>4361694547.2799997</v>
      </c>
      <c r="K73" s="189">
        <v>4050380921.2800002</v>
      </c>
      <c r="L73" s="189">
        <v>3448055036.6900001</v>
      </c>
      <c r="M73" s="189">
        <v>3356301280</v>
      </c>
      <c r="N73" s="189">
        <v>2918667882.4499998</v>
      </c>
      <c r="O73" s="189">
        <v>2206174304.96</v>
      </c>
      <c r="P73" s="189">
        <v>1871196637.04</v>
      </c>
      <c r="Q73" s="189">
        <v>1799176765.55</v>
      </c>
      <c r="R73" s="189">
        <v>1681741019.6400001</v>
      </c>
      <c r="S73" s="189">
        <v>1888541565.7</v>
      </c>
      <c r="T73" s="189">
        <v>1875100254.4000001</v>
      </c>
      <c r="U73" s="189">
        <v>1910764627.26</v>
      </c>
      <c r="V73" s="189">
        <v>1679497252.73</v>
      </c>
      <c r="W73" s="189">
        <v>1260791809.2</v>
      </c>
      <c r="X73" s="189">
        <v>1184349327.25</v>
      </c>
      <c r="Y73" s="189">
        <v>1334349327.25</v>
      </c>
      <c r="Z73" s="189">
        <v>1084349327.25</v>
      </c>
      <c r="AA73" s="189">
        <v>700195212.94000006</v>
      </c>
      <c r="AB73" s="189">
        <v>667406112.83000004</v>
      </c>
      <c r="AC73" s="189">
        <v>658355648.17999995</v>
      </c>
      <c r="AD73" s="189">
        <v>393424574.14999998</v>
      </c>
      <c r="AE73" s="189">
        <v>363073863.52999997</v>
      </c>
      <c r="AF73" s="189">
        <v>143000000</v>
      </c>
      <c r="AG73" s="189">
        <v>80000000</v>
      </c>
      <c r="AH73" s="189">
        <v>120000000</v>
      </c>
      <c r="AI73" s="189">
        <v>217000000</v>
      </c>
      <c r="AJ73" s="189">
        <v>197000000</v>
      </c>
      <c r="AK73" s="189">
        <v>156000000</v>
      </c>
      <c r="AL73" s="189">
        <v>89100000</v>
      </c>
      <c r="AM73" s="189">
        <v>0</v>
      </c>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9"/>
      <c r="BJ73" s="189"/>
      <c r="BK73" s="189"/>
      <c r="BL73" s="189"/>
      <c r="BM73" s="189"/>
      <c r="BN73" s="189"/>
      <c r="BO73" s="189"/>
      <c r="BP73" s="189"/>
      <c r="BQ73" s="189"/>
      <c r="BR73" s="189"/>
      <c r="BS73" s="189"/>
      <c r="BT73" s="189"/>
      <c r="BU73" s="189"/>
      <c r="BV73" s="189"/>
      <c r="BW73" s="189"/>
      <c r="BX73" s="189"/>
      <c r="BY73" s="189"/>
      <c r="BZ73" s="189"/>
      <c r="CA73" s="189"/>
      <c r="CB73" s="189"/>
      <c r="CC73" s="189"/>
      <c r="CD73" s="189"/>
      <c r="CE73" s="189"/>
      <c r="CF73" s="189"/>
      <c r="CG73" s="189"/>
      <c r="CH73" s="189"/>
      <c r="CI73" s="189"/>
      <c r="CJ73" s="189"/>
      <c r="CK73" s="189"/>
      <c r="CL73" s="189"/>
    </row>
    <row r="74" spans="1:90">
      <c r="A74" s="128" t="s">
        <v>77</v>
      </c>
      <c r="B74" s="189">
        <v>0</v>
      </c>
      <c r="C74" s="189">
        <v>205518432.99000001</v>
      </c>
      <c r="D74" s="189">
        <v>167410544.78999999</v>
      </c>
      <c r="E74" s="189">
        <v>180013410.13</v>
      </c>
      <c r="F74" s="189">
        <v>127288810.81999999</v>
      </c>
      <c r="G74" s="189">
        <v>156479372</v>
      </c>
      <c r="H74" s="189">
        <v>75979125.459999993</v>
      </c>
      <c r="I74" s="189">
        <v>70488179.879999995</v>
      </c>
      <c r="J74" s="189">
        <v>81636653.019999996</v>
      </c>
      <c r="K74" s="189">
        <v>130032183.59999999</v>
      </c>
      <c r="L74" s="189">
        <v>119705228.31</v>
      </c>
      <c r="M74" s="189">
        <v>73279545.799999997</v>
      </c>
      <c r="N74" s="189">
        <v>64288198.579999998</v>
      </c>
      <c r="O74" s="189">
        <v>93479070.530000001</v>
      </c>
      <c r="P74" s="189">
        <v>59217219.68</v>
      </c>
      <c r="Q74" s="189">
        <v>27286654.719999999</v>
      </c>
      <c r="R74" s="189">
        <v>48662204.909999996</v>
      </c>
      <c r="S74" s="189">
        <v>35668082.579999998</v>
      </c>
      <c r="T74" s="189">
        <v>22154473.73</v>
      </c>
      <c r="U74" s="189">
        <v>6051979.0999999996</v>
      </c>
      <c r="V74" s="189">
        <v>44645581.25</v>
      </c>
      <c r="W74" s="189">
        <v>30757292.460000001</v>
      </c>
      <c r="X74" s="189">
        <v>4241327</v>
      </c>
      <c r="Y74" s="189">
        <v>4388476.1500000004</v>
      </c>
      <c r="Z74" s="189">
        <v>1395418.12</v>
      </c>
      <c r="AA74" s="189">
        <v>803915.48</v>
      </c>
      <c r="AB74" s="189">
        <v>772948.64</v>
      </c>
      <c r="AC74" s="189">
        <v>839336.11</v>
      </c>
      <c r="AD74" s="189">
        <v>335462.36</v>
      </c>
      <c r="AE74" s="189">
        <v>461972.92</v>
      </c>
      <c r="AF74" s="189">
        <v>463861.98</v>
      </c>
      <c r="AG74" s="189">
        <v>376929.32</v>
      </c>
      <c r="AH74" s="189">
        <v>278287.08</v>
      </c>
      <c r="AI74" s="189">
        <v>400907.08</v>
      </c>
      <c r="AJ74" s="189">
        <v>446376.58</v>
      </c>
      <c r="AK74" s="189">
        <v>271430.5</v>
      </c>
      <c r="AL74" s="189">
        <v>208946.71</v>
      </c>
      <c r="AM74" s="189">
        <v>0</v>
      </c>
      <c r="AN74" s="189"/>
      <c r="AO74" s="189"/>
      <c r="AP74" s="189"/>
      <c r="AQ74" s="189"/>
      <c r="AR74" s="189"/>
      <c r="AS74" s="189"/>
      <c r="AT74" s="189"/>
      <c r="AU74" s="189"/>
      <c r="AV74" s="189"/>
      <c r="AW74" s="189"/>
      <c r="AX74" s="189"/>
      <c r="AY74" s="189"/>
      <c r="AZ74" s="189"/>
      <c r="BA74" s="189"/>
      <c r="BB74" s="189"/>
      <c r="BC74" s="189"/>
      <c r="BD74" s="189"/>
      <c r="BE74" s="189"/>
      <c r="BF74" s="189"/>
      <c r="BG74" s="189"/>
      <c r="BH74" s="189"/>
      <c r="BI74" s="189"/>
      <c r="BJ74" s="189"/>
      <c r="BK74" s="189"/>
      <c r="BL74" s="189"/>
      <c r="BM74" s="189"/>
      <c r="BN74" s="189"/>
      <c r="BO74" s="189"/>
      <c r="BP74" s="189"/>
      <c r="BQ74" s="189"/>
      <c r="BR74" s="189"/>
      <c r="BS74" s="189"/>
      <c r="BT74" s="189"/>
      <c r="BU74" s="189"/>
      <c r="BV74" s="189"/>
      <c r="BW74" s="189"/>
      <c r="BX74" s="189"/>
      <c r="BY74" s="189"/>
      <c r="BZ74" s="189"/>
      <c r="CA74" s="189"/>
      <c r="CB74" s="189"/>
      <c r="CC74" s="189"/>
      <c r="CD74" s="189"/>
      <c r="CE74" s="189"/>
      <c r="CF74" s="189"/>
      <c r="CG74" s="189"/>
      <c r="CH74" s="189"/>
      <c r="CI74" s="189"/>
      <c r="CJ74" s="189"/>
      <c r="CK74" s="189"/>
      <c r="CL74" s="189"/>
    </row>
    <row r="75" spans="1:90">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c r="AO75" s="189"/>
      <c r="AP75" s="189"/>
      <c r="AQ75" s="189"/>
      <c r="AR75" s="189"/>
      <c r="AS75" s="189"/>
      <c r="AT75" s="189"/>
      <c r="AU75" s="189"/>
      <c r="AV75" s="189"/>
      <c r="AW75" s="189"/>
      <c r="AX75" s="189"/>
      <c r="AY75" s="189"/>
      <c r="AZ75" s="189"/>
      <c r="BA75" s="189"/>
      <c r="BB75" s="189"/>
      <c r="BC75" s="189"/>
      <c r="BD75" s="189"/>
      <c r="BE75" s="189"/>
      <c r="BF75" s="189"/>
      <c r="BG75" s="189"/>
      <c r="BH75" s="189"/>
      <c r="BI75" s="189"/>
      <c r="BJ75" s="189"/>
      <c r="BK75" s="189"/>
      <c r="BL75" s="189"/>
      <c r="BM75" s="189"/>
      <c r="BN75" s="189"/>
      <c r="BO75" s="189"/>
      <c r="BP75" s="189"/>
      <c r="BQ75" s="189"/>
      <c r="BR75" s="189"/>
      <c r="BS75" s="189"/>
      <c r="BT75" s="189"/>
      <c r="BU75" s="189"/>
      <c r="BV75" s="189"/>
      <c r="BW75" s="189"/>
      <c r="BX75" s="189"/>
      <c r="BY75" s="189"/>
      <c r="BZ75" s="189"/>
      <c r="CA75" s="189"/>
      <c r="CB75" s="189"/>
      <c r="CC75" s="189"/>
      <c r="CD75" s="189"/>
      <c r="CE75" s="189"/>
      <c r="CF75" s="189"/>
      <c r="CG75" s="189"/>
      <c r="CH75" s="189"/>
      <c r="CI75" s="189"/>
      <c r="CJ75" s="189"/>
      <c r="CK75" s="189"/>
      <c r="CL75" s="189"/>
    </row>
    <row r="76" spans="1:90">
      <c r="A76" s="128" t="s">
        <v>54</v>
      </c>
      <c r="B76" s="189">
        <v>299500000</v>
      </c>
      <c r="C76" s="189">
        <v>691867746.66999996</v>
      </c>
      <c r="D76" s="189">
        <v>691409946.66999996</v>
      </c>
      <c r="E76" s="189">
        <v>630952146.66999996</v>
      </c>
      <c r="F76" s="189">
        <v>931028536.96000004</v>
      </c>
      <c r="G76" s="189">
        <v>929957073.88</v>
      </c>
      <c r="H76" s="189">
        <v>929485610.79999995</v>
      </c>
      <c r="I76" s="189">
        <v>928014147.72000003</v>
      </c>
      <c r="J76" s="189">
        <v>0</v>
      </c>
      <c r="K76" s="189">
        <v>1099575000</v>
      </c>
      <c r="L76" s="189">
        <v>1330914088.8599999</v>
      </c>
      <c r="M76" s="189">
        <v>1437274219.9300001</v>
      </c>
      <c r="N76" s="189">
        <v>1641775936.96</v>
      </c>
      <c r="O76" s="189">
        <v>546539626.53999996</v>
      </c>
      <c r="P76" s="189">
        <v>403805800.69</v>
      </c>
      <c r="Q76" s="189">
        <v>705263176.27999997</v>
      </c>
      <c r="R76" s="189">
        <v>375702166.41000003</v>
      </c>
      <c r="S76" s="189">
        <v>111512666.59999999</v>
      </c>
      <c r="T76" s="189">
        <v>40549036.420000002</v>
      </c>
      <c r="U76" s="189">
        <v>43012666.600000001</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c r="AO76" s="189"/>
      <c r="AP76" s="189"/>
      <c r="AQ76" s="189"/>
      <c r="AR76" s="189"/>
      <c r="AS76" s="189"/>
      <c r="AT76" s="189"/>
      <c r="AU76" s="189"/>
      <c r="AV76" s="189"/>
      <c r="AW76" s="189"/>
      <c r="AX76" s="189"/>
      <c r="AY76" s="189"/>
      <c r="AZ76" s="189"/>
      <c r="BA76" s="189"/>
      <c r="BB76" s="189"/>
      <c r="BC76" s="189"/>
      <c r="BD76" s="189"/>
      <c r="BE76" s="189"/>
      <c r="BF76" s="189"/>
      <c r="BG76" s="189"/>
      <c r="BH76" s="189"/>
      <c r="BI76" s="189"/>
      <c r="BJ76" s="189"/>
      <c r="BK76" s="189"/>
      <c r="BL76" s="189"/>
      <c r="BM76" s="189"/>
      <c r="BN76" s="189"/>
      <c r="BO76" s="189"/>
      <c r="BP76" s="189"/>
      <c r="BQ76" s="189"/>
      <c r="BR76" s="189"/>
      <c r="BS76" s="189"/>
      <c r="BT76" s="189"/>
      <c r="BU76" s="189"/>
      <c r="BV76" s="189"/>
      <c r="BW76" s="189"/>
      <c r="BX76" s="189"/>
      <c r="BY76" s="189"/>
      <c r="BZ76" s="189"/>
      <c r="CA76" s="189"/>
      <c r="CB76" s="189"/>
      <c r="CC76" s="189"/>
      <c r="CD76" s="189"/>
      <c r="CE76" s="189"/>
      <c r="CF76" s="189"/>
      <c r="CG76" s="189"/>
      <c r="CH76" s="189"/>
      <c r="CI76" s="189"/>
      <c r="CJ76" s="189"/>
      <c r="CK76" s="189"/>
      <c r="CL76" s="189"/>
    </row>
    <row r="77" spans="1:90">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c r="AO77" s="189"/>
      <c r="AP77" s="189"/>
      <c r="AQ77" s="189"/>
      <c r="AR77" s="189"/>
      <c r="AS77" s="189"/>
      <c r="AT77" s="189"/>
      <c r="AU77" s="189"/>
      <c r="AV77" s="189"/>
      <c r="AW77" s="189"/>
      <c r="AX77" s="189"/>
      <c r="AY77" s="189"/>
      <c r="AZ77" s="189"/>
      <c r="BA77" s="189"/>
      <c r="BB77" s="189"/>
      <c r="BC77" s="189"/>
      <c r="BD77" s="189"/>
      <c r="BE77" s="189"/>
      <c r="BF77" s="189"/>
      <c r="BG77" s="189"/>
      <c r="BH77" s="189"/>
      <c r="BI77" s="189"/>
      <c r="BJ77" s="189"/>
      <c r="BK77" s="189"/>
      <c r="BL77" s="189"/>
      <c r="BM77" s="189"/>
      <c r="BN77" s="189"/>
      <c r="BO77" s="189"/>
      <c r="BP77" s="189"/>
      <c r="BQ77" s="189"/>
      <c r="BR77" s="189"/>
      <c r="BS77" s="189"/>
      <c r="BT77" s="189"/>
      <c r="BU77" s="189"/>
      <c r="BV77" s="189"/>
      <c r="BW77" s="189"/>
      <c r="BX77" s="189"/>
      <c r="BY77" s="189"/>
      <c r="BZ77" s="189"/>
      <c r="CA77" s="189"/>
      <c r="CB77" s="189"/>
      <c r="CC77" s="189"/>
      <c r="CD77" s="189"/>
      <c r="CE77" s="189"/>
      <c r="CF77" s="189"/>
      <c r="CG77" s="189"/>
      <c r="CH77" s="189"/>
      <c r="CI77" s="189"/>
      <c r="CJ77" s="189"/>
      <c r="CK77" s="189"/>
      <c r="CL77" s="189"/>
    </row>
    <row r="78" spans="1:90" ht="14.45" hidden="1">
      <c r="A78" s="128"/>
      <c r="B78" s="26"/>
      <c r="C78" s="26"/>
      <c r="D78" s="26"/>
      <c r="E78" s="26"/>
      <c r="F78" s="26"/>
      <c r="G78" s="26"/>
      <c r="H78" s="26"/>
      <c r="I78" s="26"/>
      <c r="J78" s="26"/>
      <c r="K78" s="26"/>
      <c r="L78" s="23"/>
    </row>
    <row r="79" spans="1:90" ht="14.45" hidden="1">
      <c r="A79" s="128"/>
      <c r="B79" s="26"/>
      <c r="C79" s="26"/>
      <c r="D79" s="26"/>
      <c r="E79" s="26"/>
      <c r="F79" s="26"/>
      <c r="G79" s="26"/>
      <c r="H79" s="26"/>
      <c r="I79" s="26"/>
      <c r="J79" s="26"/>
      <c r="K79" s="26"/>
      <c r="L79" s="23"/>
    </row>
    <row r="80" spans="1:90" ht="14.45" hidden="1">
      <c r="A80" s="128"/>
      <c r="B80" s="26"/>
      <c r="C80" s="26"/>
      <c r="D80" s="26"/>
      <c r="E80" s="26"/>
      <c r="F80" s="26"/>
      <c r="G80" s="26"/>
      <c r="H80" s="26"/>
      <c r="I80" s="26"/>
      <c r="J80" s="26"/>
      <c r="K80" s="26"/>
      <c r="L80" s="23"/>
    </row>
    <row r="81" spans="1:90" s="2" customFormat="1">
      <c r="A81" s="20" t="s">
        <v>56</v>
      </c>
      <c r="B81" s="28"/>
      <c r="C81" s="28"/>
      <c r="D81" s="28"/>
      <c r="E81" s="28">
        <f>SUM(E82:E85)</f>
        <v>4439232822.8199997</v>
      </c>
      <c r="F81" s="28">
        <f t="shared" ref="F81:BQ81" si="16">SUM(F82:F85)</f>
        <v>5046371370.3800001</v>
      </c>
      <c r="G81" s="28">
        <f t="shared" si="16"/>
        <v>4073929058.52</v>
      </c>
      <c r="H81" s="28">
        <f t="shared" si="16"/>
        <v>4146368746.6700001</v>
      </c>
      <c r="I81" s="28">
        <f t="shared" si="16"/>
        <v>887120946.66999996</v>
      </c>
      <c r="J81" s="28">
        <f t="shared" si="16"/>
        <v>1764205831.3099999</v>
      </c>
      <c r="K81" s="28">
        <f t="shared" si="16"/>
        <v>1493276568.23</v>
      </c>
      <c r="L81" s="28">
        <f t="shared" si="16"/>
        <v>1786939835.7</v>
      </c>
      <c r="M81" s="28">
        <f t="shared" si="16"/>
        <v>1803120349.23</v>
      </c>
      <c r="N81" s="28">
        <f t="shared" si="16"/>
        <v>1830810200.97</v>
      </c>
      <c r="O81" s="28">
        <f t="shared" si="16"/>
        <v>2379341707.9200001</v>
      </c>
      <c r="P81" s="28">
        <f t="shared" si="16"/>
        <v>2520036275.1499996</v>
      </c>
      <c r="Q81" s="28">
        <f t="shared" si="16"/>
        <v>2495350414.1700001</v>
      </c>
      <c r="R81" s="28">
        <f t="shared" si="16"/>
        <v>2859051044.27</v>
      </c>
      <c r="S81" s="28">
        <f t="shared" si="16"/>
        <v>2031404230.0899999</v>
      </c>
      <c r="T81" s="28">
        <f t="shared" si="16"/>
        <v>1563220523.3799999</v>
      </c>
      <c r="U81" s="28">
        <f t="shared" si="16"/>
        <v>1473100323.25</v>
      </c>
      <c r="V81" s="28">
        <f t="shared" si="16"/>
        <v>1458441569.29</v>
      </c>
      <c r="W81" s="28">
        <f t="shared" si="16"/>
        <v>1208323795.3499999</v>
      </c>
      <c r="X81" s="28">
        <f t="shared" si="16"/>
        <v>1097668793.75</v>
      </c>
      <c r="Y81" s="28">
        <f t="shared" si="16"/>
        <v>1098012789.0599999</v>
      </c>
      <c r="Z81" s="28">
        <f t="shared" si="16"/>
        <v>206584496.62</v>
      </c>
      <c r="AA81" s="28">
        <f t="shared" si="16"/>
        <v>106706494.29000001</v>
      </c>
      <c r="AB81" s="28">
        <f t="shared" si="16"/>
        <v>6873491.96</v>
      </c>
      <c r="AC81" s="28">
        <f t="shared" si="16"/>
        <v>6927989.6299999999</v>
      </c>
      <c r="AD81" s="28">
        <f t="shared" si="16"/>
        <v>6982487.2999999998</v>
      </c>
      <c r="AE81" s="28">
        <f t="shared" si="16"/>
        <v>7036984.9699999997</v>
      </c>
      <c r="AF81" s="28">
        <f t="shared" si="16"/>
        <v>101691482.64</v>
      </c>
      <c r="AG81" s="28">
        <f t="shared" si="16"/>
        <v>101745980.3</v>
      </c>
      <c r="AH81" s="28">
        <f t="shared" si="16"/>
        <v>1800477.97</v>
      </c>
      <c r="AI81" s="28">
        <f t="shared" si="16"/>
        <v>51854975.640000001</v>
      </c>
      <c r="AJ81" s="28">
        <f t="shared" si="16"/>
        <v>51660291.670000002</v>
      </c>
      <c r="AK81" s="28">
        <f t="shared" si="16"/>
        <v>51747500</v>
      </c>
      <c r="AL81" s="28">
        <f t="shared" si="16"/>
        <v>187500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28" t="s">
        <v>57</v>
      </c>
      <c r="B82" s="189">
        <v>478000000</v>
      </c>
      <c r="C82" s="189">
        <v>736000000</v>
      </c>
      <c r="D82" s="189">
        <v>586500000</v>
      </c>
      <c r="E82" s="189">
        <v>507000000</v>
      </c>
      <c r="F82" s="189">
        <v>487900000</v>
      </c>
      <c r="G82" s="189">
        <v>478500000</v>
      </c>
      <c r="H82" s="189">
        <v>479000000</v>
      </c>
      <c r="I82" s="189">
        <v>290000000</v>
      </c>
      <c r="J82" s="189">
        <v>270000000</v>
      </c>
      <c r="K82" s="189">
        <v>0</v>
      </c>
      <c r="L82" s="189">
        <v>211111111.03999999</v>
      </c>
      <c r="M82" s="189">
        <v>211111111.03999999</v>
      </c>
      <c r="N82" s="189">
        <v>232222222.16</v>
      </c>
      <c r="O82" s="189">
        <v>353333331.75</v>
      </c>
      <c r="P82" s="189">
        <v>567184372.49000001</v>
      </c>
      <c r="Q82" s="189">
        <v>544428954.25999999</v>
      </c>
      <c r="R82" s="189">
        <v>870466161.99000001</v>
      </c>
      <c r="S82" s="189">
        <v>1039069874.66</v>
      </c>
      <c r="T82" s="189">
        <v>664502805.75999999</v>
      </c>
      <c r="U82" s="189">
        <v>569569220.09000003</v>
      </c>
      <c r="V82" s="189">
        <v>560601006.71000004</v>
      </c>
      <c r="W82" s="189">
        <v>310621239.04000002</v>
      </c>
      <c r="X82" s="189">
        <v>200000000</v>
      </c>
      <c r="Y82" s="189">
        <v>200000000</v>
      </c>
      <c r="Z82" s="189">
        <v>200000000</v>
      </c>
      <c r="AA82" s="189">
        <v>100000000</v>
      </c>
      <c r="AB82" s="189">
        <v>0</v>
      </c>
      <c r="AC82" s="189">
        <v>0</v>
      </c>
      <c r="AD82" s="189">
        <v>0</v>
      </c>
      <c r="AE82" s="189">
        <v>0</v>
      </c>
      <c r="AF82" s="189">
        <v>100000000</v>
      </c>
      <c r="AG82" s="189">
        <v>100000000</v>
      </c>
      <c r="AH82" s="189">
        <v>0</v>
      </c>
      <c r="AI82" s="189">
        <v>50000000</v>
      </c>
      <c r="AJ82" s="189">
        <v>50000000</v>
      </c>
      <c r="AK82" s="189">
        <v>50000000</v>
      </c>
      <c r="AL82" s="189">
        <v>0</v>
      </c>
      <c r="AM82" s="189">
        <v>0</v>
      </c>
      <c r="AN82" s="189"/>
      <c r="AO82" s="189"/>
      <c r="AP82" s="189"/>
      <c r="AQ82" s="189"/>
      <c r="AR82" s="189"/>
      <c r="AS82" s="189"/>
      <c r="AT82" s="189"/>
      <c r="AU82" s="189"/>
      <c r="AV82" s="189"/>
      <c r="AW82" s="189"/>
      <c r="AX82" s="189"/>
      <c r="AY82" s="189"/>
      <c r="AZ82" s="189"/>
      <c r="BA82" s="189"/>
      <c r="BB82" s="189"/>
      <c r="BC82" s="189"/>
      <c r="BD82" s="189"/>
      <c r="BE82" s="189"/>
      <c r="BF82" s="189"/>
      <c r="BG82" s="189"/>
      <c r="BH82" s="189"/>
      <c r="BI82" s="189"/>
      <c r="BJ82" s="189"/>
      <c r="BK82" s="189"/>
      <c r="BL82" s="189"/>
      <c r="BM82" s="189"/>
      <c r="BN82" s="189"/>
      <c r="BO82" s="189"/>
      <c r="BP82" s="189"/>
      <c r="BQ82" s="189"/>
      <c r="BR82" s="189"/>
      <c r="BS82" s="189"/>
      <c r="BT82" s="189"/>
      <c r="BU82" s="189"/>
      <c r="BV82" s="189"/>
      <c r="BW82" s="189"/>
      <c r="BX82" s="189"/>
      <c r="BY82" s="189"/>
      <c r="BZ82" s="189"/>
      <c r="CA82" s="189"/>
      <c r="CB82" s="189"/>
      <c r="CC82" s="189"/>
      <c r="CD82" s="189"/>
      <c r="CE82" s="189"/>
      <c r="CF82" s="189"/>
      <c r="CG82" s="189"/>
      <c r="CH82" s="189"/>
      <c r="CI82" s="189"/>
      <c r="CJ82" s="189"/>
      <c r="CK82" s="189"/>
      <c r="CL82" s="189"/>
    </row>
    <row r="83" spans="1:90">
      <c r="A83" s="128" t="s">
        <v>58</v>
      </c>
      <c r="B83" s="189">
        <v>4046536144.6999998</v>
      </c>
      <c r="C83" s="189">
        <v>3964988372.96</v>
      </c>
      <c r="D83" s="189">
        <v>3861828553.1500001</v>
      </c>
      <c r="E83" s="189">
        <v>3932232822.8200002</v>
      </c>
      <c r="F83" s="189">
        <v>4558351386.0500002</v>
      </c>
      <c r="G83" s="189">
        <v>3595429058.52</v>
      </c>
      <c r="H83" s="189">
        <v>3667368746.6700001</v>
      </c>
      <c r="I83" s="189">
        <v>597120946.66999996</v>
      </c>
      <c r="J83" s="189">
        <v>1494205831.3099999</v>
      </c>
      <c r="K83" s="189">
        <v>1493276568.23</v>
      </c>
      <c r="L83" s="189">
        <v>1492347305.1500001</v>
      </c>
      <c r="M83" s="189">
        <v>1491431814.2</v>
      </c>
      <c r="N83" s="189">
        <v>1490440579.3499999</v>
      </c>
      <c r="O83" s="189">
        <v>1893505965.6199999</v>
      </c>
      <c r="P83" s="189">
        <v>1892707864.04</v>
      </c>
      <c r="Q83" s="189">
        <v>1892031224.72</v>
      </c>
      <c r="R83" s="189">
        <v>1891200811.8299999</v>
      </c>
      <c r="S83" s="189">
        <v>893795398.94000006</v>
      </c>
      <c r="T83" s="189">
        <v>893389986.04999995</v>
      </c>
      <c r="U83" s="189">
        <v>892984573.15999997</v>
      </c>
      <c r="V83" s="189">
        <v>892598040.33000004</v>
      </c>
      <c r="W83" s="189">
        <v>892216038.72000003</v>
      </c>
      <c r="X83" s="189">
        <v>891338280.78999996</v>
      </c>
      <c r="Y83" s="189">
        <v>891438280.78999996</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c r="AO83" s="189"/>
      <c r="AP83" s="189"/>
      <c r="AQ83" s="189"/>
      <c r="AR83" s="189"/>
      <c r="AS83" s="189"/>
      <c r="AT83" s="189"/>
      <c r="AU83" s="189"/>
      <c r="AV83" s="189"/>
      <c r="AW83" s="189"/>
      <c r="AX83" s="189"/>
      <c r="AY83" s="189"/>
      <c r="AZ83" s="189"/>
      <c r="BA83" s="189"/>
      <c r="BB83" s="189"/>
      <c r="BC83" s="189"/>
      <c r="BD83" s="189"/>
      <c r="BE83" s="189"/>
      <c r="BF83" s="189"/>
      <c r="BG83" s="189"/>
      <c r="BH83" s="189"/>
      <c r="BI83" s="189"/>
      <c r="BJ83" s="189"/>
      <c r="BK83" s="189"/>
      <c r="BL83" s="189"/>
      <c r="BM83" s="189"/>
      <c r="BN83" s="189"/>
      <c r="BO83" s="189"/>
      <c r="BP83" s="189"/>
      <c r="BQ83" s="189"/>
      <c r="BR83" s="189"/>
      <c r="BS83" s="189"/>
      <c r="BT83" s="189"/>
      <c r="BU83" s="189"/>
      <c r="BV83" s="189"/>
      <c r="BW83" s="189"/>
      <c r="BX83" s="189"/>
      <c r="BY83" s="189"/>
      <c r="BZ83" s="189"/>
      <c r="CA83" s="189"/>
      <c r="CB83" s="189"/>
      <c r="CC83" s="189"/>
      <c r="CD83" s="189"/>
      <c r="CE83" s="189"/>
      <c r="CF83" s="189"/>
      <c r="CG83" s="189"/>
      <c r="CH83" s="189"/>
      <c r="CI83" s="189"/>
      <c r="CJ83" s="189"/>
      <c r="CK83" s="189"/>
      <c r="CL83" s="189"/>
    </row>
    <row r="84" spans="1:90">
      <c r="A84" s="128" t="s">
        <v>59</v>
      </c>
      <c r="B84" s="189">
        <v>0</v>
      </c>
      <c r="C84" s="189">
        <v>0</v>
      </c>
      <c r="D84" s="189">
        <v>0</v>
      </c>
      <c r="E84" s="189">
        <v>0</v>
      </c>
      <c r="F84" s="189">
        <v>119984.33</v>
      </c>
      <c r="G84" s="189">
        <v>0</v>
      </c>
      <c r="H84" s="189">
        <v>0</v>
      </c>
      <c r="I84" s="189">
        <v>0</v>
      </c>
      <c r="J84" s="189">
        <v>0</v>
      </c>
      <c r="K84" s="189">
        <v>0</v>
      </c>
      <c r="L84" s="189">
        <v>83481419.510000005</v>
      </c>
      <c r="M84" s="189">
        <v>100577423.98999999</v>
      </c>
      <c r="N84" s="189">
        <v>108147399.45999999</v>
      </c>
      <c r="O84" s="189">
        <v>132502410.55</v>
      </c>
      <c r="P84" s="189">
        <v>60144038.619999997</v>
      </c>
      <c r="Q84" s="189">
        <v>58890235.189999998</v>
      </c>
      <c r="R84" s="189">
        <v>113194626.53</v>
      </c>
      <c r="S84" s="189">
        <v>122076000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c r="AO84" s="189"/>
      <c r="AP84" s="189"/>
      <c r="AQ84" s="189"/>
      <c r="AR84" s="189"/>
      <c r="AS84" s="189"/>
      <c r="AT84" s="189"/>
      <c r="AU84" s="189"/>
      <c r="AV84" s="189"/>
      <c r="AW84" s="189"/>
      <c r="AX84" s="189"/>
      <c r="AY84" s="189"/>
      <c r="AZ84" s="189"/>
      <c r="BA84" s="189"/>
      <c r="BB84" s="189"/>
      <c r="BC84" s="189"/>
      <c r="BD84" s="189"/>
      <c r="BE84" s="189"/>
      <c r="BF84" s="189"/>
      <c r="BG84" s="189"/>
      <c r="BH84" s="189"/>
      <c r="BI84" s="189"/>
      <c r="BJ84" s="189"/>
      <c r="BK84" s="189"/>
      <c r="BL84" s="189"/>
      <c r="BM84" s="189"/>
      <c r="BN84" s="189"/>
      <c r="BO84" s="189"/>
      <c r="BP84" s="189"/>
      <c r="BQ84" s="189"/>
      <c r="BR84" s="189"/>
      <c r="BS84" s="189"/>
      <c r="BT84" s="189"/>
      <c r="BU84" s="189"/>
      <c r="BV84" s="189"/>
      <c r="BW84" s="189"/>
      <c r="BX84" s="189"/>
      <c r="BY84" s="189"/>
      <c r="BZ84" s="189"/>
      <c r="CA84" s="189"/>
      <c r="CB84" s="189"/>
      <c r="CC84" s="189"/>
      <c r="CD84" s="189"/>
      <c r="CE84" s="189"/>
      <c r="CF84" s="189"/>
      <c r="CG84" s="189"/>
      <c r="CH84" s="189"/>
      <c r="CI84" s="189"/>
      <c r="CJ84" s="189"/>
      <c r="CK84" s="189"/>
      <c r="CL84" s="189"/>
    </row>
    <row r="85" spans="1:90">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-15810556.08</v>
      </c>
      <c r="S85" s="189">
        <v>-23537043.510000002</v>
      </c>
      <c r="T85" s="189">
        <v>5327731.57</v>
      </c>
      <c r="U85" s="189">
        <v>10546530</v>
      </c>
      <c r="V85" s="189">
        <v>5242522.25</v>
      </c>
      <c r="W85" s="189">
        <v>5486517.5899999999</v>
      </c>
      <c r="X85" s="189">
        <v>6330512.96</v>
      </c>
      <c r="Y85" s="189">
        <v>6574508.2699999996</v>
      </c>
      <c r="Z85" s="189">
        <v>6584496.6200000001</v>
      </c>
      <c r="AA85" s="189">
        <v>6706494.29</v>
      </c>
      <c r="AB85" s="189">
        <v>6873491.96</v>
      </c>
      <c r="AC85" s="189">
        <v>6927989.6299999999</v>
      </c>
      <c r="AD85" s="189">
        <v>6982487.2999999998</v>
      </c>
      <c r="AE85" s="189">
        <v>7036984.9699999997</v>
      </c>
      <c r="AF85" s="189">
        <v>1691482.64</v>
      </c>
      <c r="AG85" s="189">
        <v>1745980.3</v>
      </c>
      <c r="AH85" s="189">
        <v>1800477.97</v>
      </c>
      <c r="AI85" s="189">
        <v>1854975.64</v>
      </c>
      <c r="AJ85" s="189">
        <v>1660291.67</v>
      </c>
      <c r="AK85" s="189">
        <v>1747500</v>
      </c>
      <c r="AL85" s="189">
        <v>187500</v>
      </c>
      <c r="AM85" s="189">
        <v>0</v>
      </c>
      <c r="AN85" s="189"/>
      <c r="AO85" s="189"/>
      <c r="AP85" s="189"/>
      <c r="AQ85" s="189"/>
      <c r="AR85" s="189"/>
      <c r="AS85" s="189"/>
      <c r="AT85" s="189"/>
      <c r="AU85" s="189"/>
      <c r="AV85" s="189"/>
      <c r="AW85" s="189"/>
      <c r="AX85" s="189"/>
      <c r="AY85" s="189"/>
      <c r="AZ85" s="189"/>
      <c r="BA85" s="189"/>
      <c r="BB85" s="189"/>
      <c r="BC85" s="189"/>
      <c r="BD85" s="189"/>
      <c r="BE85" s="189"/>
      <c r="BF85" s="189"/>
      <c r="BG85" s="189"/>
      <c r="BH85" s="189"/>
      <c r="BI85" s="189"/>
      <c r="BJ85" s="189"/>
      <c r="BK85" s="189"/>
      <c r="BL85" s="189"/>
      <c r="BM85" s="189"/>
      <c r="BN85" s="189"/>
      <c r="BO85" s="189"/>
      <c r="BP85" s="189"/>
      <c r="BQ85" s="189"/>
      <c r="BR85" s="189"/>
      <c r="BS85" s="189"/>
      <c r="BT85" s="189"/>
      <c r="BU85" s="189"/>
      <c r="BV85" s="189"/>
      <c r="BW85" s="189"/>
      <c r="BX85" s="189"/>
      <c r="BY85" s="189"/>
      <c r="BZ85" s="189"/>
      <c r="CA85" s="189"/>
      <c r="CB85" s="189"/>
      <c r="CC85" s="189"/>
      <c r="CD85" s="189"/>
      <c r="CE85" s="189"/>
      <c r="CF85" s="189"/>
      <c r="CG85" s="189"/>
      <c r="CH85" s="189"/>
      <c r="CI85" s="189"/>
      <c r="CJ85" s="189"/>
      <c r="CK85" s="189"/>
      <c r="CL85" s="189"/>
    </row>
    <row r="86" spans="1:90" ht="14.45" hidden="1">
      <c r="A86" s="128"/>
      <c r="B86" s="26"/>
      <c r="C86" s="26"/>
      <c r="D86" s="26"/>
      <c r="E86" s="26"/>
      <c r="F86" s="26"/>
      <c r="G86" s="26"/>
      <c r="H86" s="26"/>
      <c r="I86" s="26"/>
      <c r="J86" s="26"/>
      <c r="K86" s="26"/>
      <c r="L86" s="23"/>
    </row>
    <row r="87" spans="1:90" ht="14.45" hidden="1">
      <c r="A87" s="128"/>
      <c r="B87" s="26"/>
      <c r="C87" s="26"/>
      <c r="D87" s="26"/>
      <c r="E87" s="26"/>
      <c r="F87" s="26"/>
      <c r="G87" s="26"/>
      <c r="H87" s="26"/>
      <c r="I87" s="26"/>
      <c r="J87" s="26"/>
      <c r="K87" s="26"/>
      <c r="L87" s="23"/>
    </row>
    <row r="88" spans="1:90" ht="14.45" hidden="1">
      <c r="A88" s="128"/>
      <c r="B88" s="26"/>
      <c r="C88" s="26"/>
      <c r="D88" s="26"/>
      <c r="E88" s="26"/>
      <c r="F88" s="26"/>
      <c r="G88" s="26"/>
      <c r="H88" s="26"/>
      <c r="I88" s="26"/>
      <c r="J88" s="26"/>
      <c r="K88" s="26"/>
      <c r="L88" s="23"/>
    </row>
    <row r="89" spans="1:90" s="5" customFormat="1">
      <c r="A89" s="129" t="s">
        <v>60</v>
      </c>
      <c r="B89" s="33">
        <f>SUM(B73:B85)</f>
        <v>11004849971.32</v>
      </c>
      <c r="C89" s="33">
        <f>SUM(C73:C85)</f>
        <v>11981593343.48</v>
      </c>
      <c r="D89" s="33">
        <f>SUM(D73:D85)</f>
        <v>12585027826.6</v>
      </c>
      <c r="E89" s="33">
        <f>E72+E81</f>
        <v>11815688846.720001</v>
      </c>
      <c r="F89" s="33">
        <f t="shared" ref="F89:BQ89" si="18">F72+F81</f>
        <v>12785994643.599998</v>
      </c>
      <c r="G89" s="33">
        <f t="shared" si="18"/>
        <v>10919616965.469999</v>
      </c>
      <c r="H89" s="33">
        <f t="shared" si="18"/>
        <v>9421010526.6399994</v>
      </c>
      <c r="I89" s="33">
        <f t="shared" si="18"/>
        <v>6703568014.6400003</v>
      </c>
      <c r="J89" s="33">
        <f t="shared" si="18"/>
        <v>6207537031.6100006</v>
      </c>
      <c r="K89" s="33">
        <f t="shared" si="18"/>
        <v>6773264673.1100006</v>
      </c>
      <c r="L89" s="33">
        <f t="shared" si="18"/>
        <v>6685614189.5599995</v>
      </c>
      <c r="M89" s="33">
        <f t="shared" si="18"/>
        <v>6669975394.960001</v>
      </c>
      <c r="N89" s="33">
        <f t="shared" si="18"/>
        <v>6455542218.96</v>
      </c>
      <c r="O89" s="33">
        <f t="shared" si="18"/>
        <v>5225534709.9500008</v>
      </c>
      <c r="P89" s="33">
        <f t="shared" si="18"/>
        <v>4854255932.5599995</v>
      </c>
      <c r="Q89" s="33">
        <f t="shared" si="18"/>
        <v>5027077010.7200003</v>
      </c>
      <c r="R89" s="33">
        <f t="shared" si="18"/>
        <v>4965156435.2300005</v>
      </c>
      <c r="S89" s="33">
        <f t="shared" si="18"/>
        <v>4067126544.9699998</v>
      </c>
      <c r="T89" s="33">
        <f t="shared" si="18"/>
        <v>3501024287.9300003</v>
      </c>
      <c r="U89" s="33">
        <f t="shared" si="18"/>
        <v>3432929596.21</v>
      </c>
      <c r="V89" s="33">
        <f t="shared" si="18"/>
        <v>3182584403.27</v>
      </c>
      <c r="W89" s="33">
        <f t="shared" si="18"/>
        <v>2499872897.0100002</v>
      </c>
      <c r="X89" s="33">
        <f t="shared" si="18"/>
        <v>2286259448</v>
      </c>
      <c r="Y89" s="33">
        <f t="shared" si="18"/>
        <v>2436750592.46</v>
      </c>
      <c r="Z89" s="33">
        <f t="shared" si="18"/>
        <v>1292329241.9899998</v>
      </c>
      <c r="AA89" s="33">
        <f t="shared" si="18"/>
        <v>807705622.71000004</v>
      </c>
      <c r="AB89" s="33">
        <f t="shared" si="18"/>
        <v>675052553.43000007</v>
      </c>
      <c r="AC89" s="33">
        <f t="shared" si="18"/>
        <v>666122973.91999996</v>
      </c>
      <c r="AD89" s="33">
        <f t="shared" si="18"/>
        <v>400742523.81</v>
      </c>
      <c r="AE89" s="33">
        <f t="shared" si="18"/>
        <v>370572821.42000002</v>
      </c>
      <c r="AF89" s="33">
        <f t="shared" si="18"/>
        <v>245155344.62</v>
      </c>
      <c r="AG89" s="33">
        <f t="shared" si="18"/>
        <v>182122909.62</v>
      </c>
      <c r="AH89" s="33">
        <f t="shared" si="18"/>
        <v>122078765.05</v>
      </c>
      <c r="AI89" s="33">
        <f t="shared" si="18"/>
        <v>269255882.72000003</v>
      </c>
      <c r="AJ89" s="33">
        <f t="shared" si="18"/>
        <v>249106668.25</v>
      </c>
      <c r="AK89" s="33">
        <f t="shared" si="18"/>
        <v>208018930.5</v>
      </c>
      <c r="AL89" s="33">
        <f t="shared" si="18"/>
        <v>89496446.709999993</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28" t="s">
        <v>62</v>
      </c>
      <c r="B91" s="189">
        <v>3540900282</v>
      </c>
      <c r="C91" s="189">
        <v>3540900282</v>
      </c>
      <c r="D91" s="189">
        <v>3540900282</v>
      </c>
      <c r="E91" s="189">
        <v>3538598582</v>
      </c>
      <c r="F91" s="189">
        <v>3537201317</v>
      </c>
      <c r="G91" s="189">
        <v>3534188332</v>
      </c>
      <c r="H91" s="189">
        <v>3529632477</v>
      </c>
      <c r="I91" s="189">
        <v>3528782028</v>
      </c>
      <c r="J91" s="189">
        <v>3524319595</v>
      </c>
      <c r="K91" s="189">
        <v>3223778110</v>
      </c>
      <c r="L91" s="189">
        <v>1611017536</v>
      </c>
      <c r="M91" s="189">
        <v>1608735458</v>
      </c>
      <c r="N91" s="189">
        <v>1436681035</v>
      </c>
      <c r="O91" s="189">
        <v>1435553422</v>
      </c>
      <c r="P91" s="189">
        <v>953835456</v>
      </c>
      <c r="Q91" s="189">
        <v>952389257</v>
      </c>
      <c r="R91" s="189">
        <v>951885976</v>
      </c>
      <c r="S91" s="189">
        <v>949696738</v>
      </c>
      <c r="T91" s="189">
        <v>939797637</v>
      </c>
      <c r="U91" s="189">
        <v>939797637</v>
      </c>
      <c r="V91" s="189">
        <v>935372380</v>
      </c>
      <c r="W91" s="189">
        <v>935372380</v>
      </c>
      <c r="X91" s="189">
        <v>623581587</v>
      </c>
      <c r="Y91" s="189">
        <v>619620000</v>
      </c>
      <c r="Z91" s="189">
        <v>619620000</v>
      </c>
      <c r="AA91" s="189">
        <v>619620000</v>
      </c>
      <c r="AB91" s="189">
        <v>517120000</v>
      </c>
      <c r="AC91" s="189">
        <v>323200000</v>
      </c>
      <c r="AD91" s="189">
        <v>323200000</v>
      </c>
      <c r="AE91" s="189">
        <v>323200000</v>
      </c>
      <c r="AF91" s="189">
        <v>161600000</v>
      </c>
      <c r="AG91" s="189">
        <v>161600000</v>
      </c>
      <c r="AH91" s="189">
        <v>161600000</v>
      </c>
      <c r="AI91" s="189">
        <v>121200000</v>
      </c>
      <c r="AJ91" s="189">
        <v>121200000</v>
      </c>
      <c r="AK91" s="189">
        <v>101000000</v>
      </c>
      <c r="AL91" s="189">
        <v>101000000</v>
      </c>
      <c r="AM91" s="189">
        <v>0</v>
      </c>
      <c r="AN91" s="189"/>
      <c r="AO91" s="189"/>
      <c r="AP91" s="189"/>
      <c r="AQ91" s="189"/>
      <c r="AR91" s="189"/>
      <c r="AS91" s="189"/>
      <c r="AT91" s="189"/>
      <c r="AU91" s="189"/>
      <c r="AV91" s="189"/>
      <c r="AW91" s="189"/>
      <c r="AX91" s="189"/>
      <c r="AY91" s="189"/>
      <c r="AZ91" s="189"/>
      <c r="BA91" s="189"/>
      <c r="BB91" s="189"/>
      <c r="BC91" s="189"/>
      <c r="BD91" s="189"/>
      <c r="BE91" s="189"/>
      <c r="BF91" s="189"/>
      <c r="BG91" s="189"/>
      <c r="BH91" s="189"/>
      <c r="BI91" s="189"/>
      <c r="BJ91" s="189"/>
      <c r="BK91" s="189"/>
      <c r="BL91" s="189"/>
      <c r="BM91" s="189"/>
      <c r="BN91" s="189"/>
      <c r="BO91" s="189"/>
      <c r="BP91" s="189"/>
      <c r="BQ91" s="189"/>
      <c r="BR91" s="189"/>
      <c r="BS91" s="189"/>
      <c r="BT91" s="189"/>
      <c r="BU91" s="189"/>
      <c r="BV91" s="189"/>
      <c r="BW91" s="189"/>
      <c r="BX91" s="189"/>
      <c r="BY91" s="189"/>
      <c r="BZ91" s="189"/>
      <c r="CA91" s="189"/>
      <c r="CB91" s="189"/>
      <c r="CC91" s="189"/>
      <c r="CD91" s="189"/>
      <c r="CE91" s="189"/>
      <c r="CF91" s="189"/>
      <c r="CG91" s="189"/>
      <c r="CH91" s="189"/>
      <c r="CI91" s="189"/>
      <c r="CJ91" s="189"/>
      <c r="CK91" s="189"/>
      <c r="CL91" s="189"/>
    </row>
    <row r="92" spans="1:90">
      <c r="A92" s="128" t="s">
        <v>63</v>
      </c>
      <c r="B92" s="189">
        <v>6819717511.9899998</v>
      </c>
      <c r="C92" s="189">
        <v>6819717511.9899998</v>
      </c>
      <c r="D92" s="189">
        <v>6830144987.1800003</v>
      </c>
      <c r="E92" s="189">
        <v>6806856066.0500002</v>
      </c>
      <c r="F92" s="189">
        <v>6781688973.3400002</v>
      </c>
      <c r="G92" s="189">
        <v>6701012727.25</v>
      </c>
      <c r="H92" s="189">
        <v>7046410325.4799995</v>
      </c>
      <c r="I92" s="189">
        <v>6705584415.0799999</v>
      </c>
      <c r="J92" s="189">
        <v>7013585579.0200005</v>
      </c>
      <c r="K92" s="189">
        <v>2529066566.46</v>
      </c>
      <c r="L92" s="189">
        <v>4090283131.27</v>
      </c>
      <c r="M92" s="189">
        <v>4055502639.9299998</v>
      </c>
      <c r="N92" s="189">
        <v>1317831911.8599999</v>
      </c>
      <c r="O92" s="189">
        <v>1160699607.4300001</v>
      </c>
      <c r="P92" s="189">
        <v>1641940347.6800001</v>
      </c>
      <c r="Q92" s="189">
        <v>1621830865.26</v>
      </c>
      <c r="R92" s="189">
        <v>1605871943.27</v>
      </c>
      <c r="S92" s="189">
        <v>1576801717.3900001</v>
      </c>
      <c r="T92" s="189">
        <v>1647669471.21</v>
      </c>
      <c r="U92" s="189">
        <v>1526957665.1900001</v>
      </c>
      <c r="V92" s="189">
        <v>1496688147.1800001</v>
      </c>
      <c r="W92" s="189">
        <v>1489309490.1600001</v>
      </c>
      <c r="X92" s="189">
        <v>1830602987.6800001</v>
      </c>
      <c r="Y92" s="189">
        <v>1736099334.3800001</v>
      </c>
      <c r="Z92" s="189">
        <v>1732358276.23</v>
      </c>
      <c r="AA92" s="189">
        <v>1730143326.6099999</v>
      </c>
      <c r="AB92" s="189">
        <v>237483432.52000001</v>
      </c>
      <c r="AC92" s="189">
        <v>425578704.91000003</v>
      </c>
      <c r="AD92" s="189">
        <v>411987673.82999998</v>
      </c>
      <c r="AE92" s="189">
        <v>411987673.82999998</v>
      </c>
      <c r="AF92" s="189">
        <v>573587673.83000004</v>
      </c>
      <c r="AG92" s="189">
        <v>573587673.83000004</v>
      </c>
      <c r="AH92" s="189">
        <v>564250515.87</v>
      </c>
      <c r="AI92" s="189">
        <v>66814142.020000003</v>
      </c>
      <c r="AJ92" s="189">
        <v>66814142.020000003</v>
      </c>
      <c r="AK92" s="189">
        <v>37014142.020000003</v>
      </c>
      <c r="AL92" s="189">
        <v>37614142.020000003</v>
      </c>
      <c r="AM92" s="189">
        <v>0</v>
      </c>
      <c r="AN92" s="189"/>
      <c r="AO92" s="189"/>
      <c r="AP92" s="189"/>
      <c r="AQ92" s="189"/>
      <c r="AR92" s="189"/>
      <c r="AS92" s="189"/>
      <c r="AT92" s="189"/>
      <c r="AU92" s="189"/>
      <c r="AV92" s="189"/>
      <c r="AW92" s="189"/>
      <c r="AX92" s="189"/>
      <c r="AY92" s="189"/>
      <c r="AZ92" s="189"/>
      <c r="BA92" s="189"/>
      <c r="BB92" s="189"/>
      <c r="BC92" s="189"/>
      <c r="BD92" s="189"/>
      <c r="BE92" s="189"/>
      <c r="BF92" s="189"/>
      <c r="BG92" s="189"/>
      <c r="BH92" s="189"/>
      <c r="BI92" s="189"/>
      <c r="BJ92" s="189"/>
      <c r="BK92" s="189"/>
      <c r="BL92" s="189"/>
      <c r="BM92" s="189"/>
      <c r="BN92" s="189"/>
      <c r="BO92" s="189"/>
      <c r="BP92" s="189"/>
      <c r="BQ92" s="189"/>
      <c r="BR92" s="189"/>
      <c r="BS92" s="189"/>
      <c r="BT92" s="189"/>
      <c r="BU92" s="189"/>
      <c r="BV92" s="189"/>
      <c r="BW92" s="189"/>
      <c r="BX92" s="189"/>
      <c r="BY92" s="189"/>
      <c r="BZ92" s="189"/>
      <c r="CA92" s="189"/>
      <c r="CB92" s="189"/>
      <c r="CC92" s="189"/>
      <c r="CD92" s="189"/>
      <c r="CE92" s="189"/>
      <c r="CF92" s="189"/>
      <c r="CG92" s="189"/>
      <c r="CH92" s="189"/>
      <c r="CI92" s="189"/>
      <c r="CJ92" s="189"/>
      <c r="CK92" s="189"/>
      <c r="CL92" s="189"/>
    </row>
    <row r="93" spans="1:90">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c r="A94" s="128" t="s">
        <v>65</v>
      </c>
      <c r="B94" s="189">
        <v>70573276.510000005</v>
      </c>
      <c r="C94" s="189">
        <v>57016907.18</v>
      </c>
      <c r="D94" s="189">
        <v>57704291.780000001</v>
      </c>
      <c r="E94" s="189">
        <v>45270069.149999999</v>
      </c>
      <c r="F94" s="189">
        <v>24209138.390000001</v>
      </c>
      <c r="G94" s="189">
        <v>16219613.199999999</v>
      </c>
      <c r="H94" s="189">
        <v>3502647.69</v>
      </c>
      <c r="I94" s="189">
        <v>-794253.99</v>
      </c>
      <c r="J94" s="189">
        <v>-1217402.04</v>
      </c>
      <c r="K94" s="189">
        <v>-1169219.53</v>
      </c>
      <c r="L94" s="189">
        <v>296059.40999999997</v>
      </c>
      <c r="M94" s="189">
        <v>-426371.31</v>
      </c>
      <c r="N94" s="189">
        <v>1280064.8400000001</v>
      </c>
      <c r="O94" s="189">
        <v>3395800.14</v>
      </c>
      <c r="P94" s="189">
        <v>3202833.39</v>
      </c>
      <c r="Q94" s="189">
        <v>3132341.31</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c r="A96" s="128" t="s">
        <v>67</v>
      </c>
      <c r="B96" s="189">
        <v>966591604.13</v>
      </c>
      <c r="C96" s="189">
        <v>793388820.05999994</v>
      </c>
      <c r="D96" s="189">
        <v>603742466.57000005</v>
      </c>
      <c r="E96" s="189">
        <v>603742466.57000005</v>
      </c>
      <c r="F96" s="189">
        <v>538827735.05999994</v>
      </c>
      <c r="G96" s="189">
        <v>542140140.15999997</v>
      </c>
      <c r="H96" s="189">
        <v>366191812.43000001</v>
      </c>
      <c r="I96" s="189">
        <v>366191812.43000001</v>
      </c>
      <c r="J96" s="189">
        <v>325289622.80000001</v>
      </c>
      <c r="K96" s="189">
        <v>325289622.80000001</v>
      </c>
      <c r="L96" s="189">
        <v>325289622.80000001</v>
      </c>
      <c r="M96" s="189">
        <v>325289622.80000001</v>
      </c>
      <c r="N96" s="189">
        <v>50804121.609999999</v>
      </c>
      <c r="O96" s="189">
        <v>50804121.609999999</v>
      </c>
      <c r="P96" s="189">
        <v>50804121.609999999</v>
      </c>
      <c r="Q96" s="189">
        <v>50804121.609999999</v>
      </c>
      <c r="R96" s="189">
        <v>129591130.34</v>
      </c>
      <c r="S96" s="189">
        <v>102420613.98999999</v>
      </c>
      <c r="T96" s="189">
        <v>50169340.18</v>
      </c>
      <c r="U96" s="189">
        <v>50804121.609999999</v>
      </c>
      <c r="V96" s="189">
        <v>49917918.030000001</v>
      </c>
      <c r="W96" s="189">
        <v>45058024.390000001</v>
      </c>
      <c r="X96" s="189">
        <v>41613586.859999999</v>
      </c>
      <c r="Y96" s="189">
        <v>41281634.859999999</v>
      </c>
      <c r="Z96" s="189">
        <v>63215804.549999997</v>
      </c>
      <c r="AA96" s="189">
        <v>50476474.460000001</v>
      </c>
      <c r="AB96" s="189">
        <v>36523384.770000003</v>
      </c>
      <c r="AC96" s="189">
        <v>30737432.140000001</v>
      </c>
      <c r="AD96" s="189">
        <v>27049168.800000001</v>
      </c>
      <c r="AE96" s="189">
        <v>22451626.050000001</v>
      </c>
      <c r="AF96" s="189">
        <v>17617949.710000001</v>
      </c>
      <c r="AG96" s="189">
        <v>15787869.77</v>
      </c>
      <c r="AH96" s="189">
        <v>14340641.060000001</v>
      </c>
      <c r="AI96" s="189">
        <v>11921778.220000001</v>
      </c>
      <c r="AJ96" s="189">
        <v>8610045.1099999994</v>
      </c>
      <c r="AK96" s="189">
        <v>4012811.67</v>
      </c>
      <c r="AL96" s="189">
        <v>1055060.08</v>
      </c>
      <c r="AM96" s="189">
        <v>0</v>
      </c>
      <c r="AN96" s="189">
        <v>2100990527.9000001</v>
      </c>
      <c r="AO96" s="189">
        <v>1985197516.3199999</v>
      </c>
      <c r="AP96" s="189">
        <v>1960895723.9000001</v>
      </c>
      <c r="AQ96" s="189">
        <v>1931960377.45</v>
      </c>
      <c r="AR96" s="189">
        <v>1904071967.1600001</v>
      </c>
      <c r="AS96" s="189">
        <v>1803743654.97</v>
      </c>
      <c r="AT96" s="189">
        <v>1784842154.0899999</v>
      </c>
      <c r="AU96" s="189">
        <v>1769499231.54</v>
      </c>
      <c r="AV96" s="189">
        <v>1728597077.04</v>
      </c>
      <c r="AW96" s="189">
        <v>1656111478.8599999</v>
      </c>
      <c r="AX96" s="189">
        <v>1605045274.6500001</v>
      </c>
      <c r="AY96" s="189">
        <v>1586050475.99</v>
      </c>
      <c r="AZ96" s="189">
        <v>1503840551.3499999</v>
      </c>
      <c r="BA96" s="189">
        <v>1421686339.5</v>
      </c>
      <c r="BB96" s="189">
        <v>1389360858.45</v>
      </c>
      <c r="BC96" s="189">
        <v>1382274938.1900001</v>
      </c>
      <c r="BD96" s="189">
        <v>1254574026.6800001</v>
      </c>
      <c r="BE96" s="189">
        <v>1187372649.6400001</v>
      </c>
      <c r="BF96" s="189">
        <v>1118260147.0599999</v>
      </c>
      <c r="BG96" s="189">
        <v>1098510367.5599999</v>
      </c>
      <c r="BH96" s="189">
        <v>994296939.84000003</v>
      </c>
      <c r="BI96" s="189">
        <v>939688251.88</v>
      </c>
      <c r="BJ96" s="189">
        <v>870801644.83000004</v>
      </c>
      <c r="BK96" s="189">
        <v>854086763.44000006</v>
      </c>
      <c r="BL96" s="189">
        <v>772450547.37</v>
      </c>
      <c r="BM96" s="189">
        <v>719760715.63</v>
      </c>
      <c r="BN96" s="189">
        <v>664546335.02999997</v>
      </c>
      <c r="BO96" s="189">
        <v>643227764.61000001</v>
      </c>
      <c r="BP96" s="189">
        <v>576048176.03999996</v>
      </c>
      <c r="BQ96" s="189">
        <v>532864074.19999999</v>
      </c>
      <c r="BR96" s="189">
        <v>0</v>
      </c>
      <c r="BS96" s="189">
        <v>381752149.10000002</v>
      </c>
      <c r="BT96" s="189">
        <v>352223969.88999999</v>
      </c>
      <c r="BU96" s="189">
        <v>309989497.47000003</v>
      </c>
      <c r="BV96" s="189">
        <v>259244599.52000001</v>
      </c>
      <c r="BW96" s="189">
        <v>194772679.46000001</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c r="A98" s="128" t="s">
        <v>69</v>
      </c>
      <c r="B98" s="189">
        <v>8608216032.9799995</v>
      </c>
      <c r="C98" s="189">
        <v>8340911856.5500002</v>
      </c>
      <c r="D98" s="189">
        <v>7732598382.4200001</v>
      </c>
      <c r="E98" s="189">
        <v>7017314917.7799997</v>
      </c>
      <c r="F98" s="189">
        <v>6487213296.4700003</v>
      </c>
      <c r="G98" s="189">
        <v>5859477061.2600002</v>
      </c>
      <c r="H98" s="189">
        <v>5186826294.6000004</v>
      </c>
      <c r="I98" s="189">
        <v>4981672758.8199997</v>
      </c>
      <c r="J98" s="189">
        <v>4140334005.5500002</v>
      </c>
      <c r="K98" s="189">
        <v>3942935083.8299999</v>
      </c>
      <c r="L98" s="189">
        <v>3588660210.4499998</v>
      </c>
      <c r="M98" s="189">
        <v>3189623945.02</v>
      </c>
      <c r="N98" s="189">
        <v>3081614209.1500001</v>
      </c>
      <c r="O98" s="189">
        <v>2713777228.98</v>
      </c>
      <c r="P98" s="189">
        <v>2457440576.73</v>
      </c>
      <c r="Q98" s="189">
        <v>2166135112.6500001</v>
      </c>
      <c r="R98" s="189">
        <v>1788626218.3399999</v>
      </c>
      <c r="S98" s="189">
        <v>1564872150.3900001</v>
      </c>
      <c r="T98" s="189">
        <v>1457610894.4000001</v>
      </c>
      <c r="U98" s="189">
        <v>1249431136.1600001</v>
      </c>
      <c r="V98" s="189">
        <v>1067167410.3</v>
      </c>
      <c r="W98" s="189">
        <v>885142961.66999996</v>
      </c>
      <c r="X98" s="189">
        <v>750276022.62</v>
      </c>
      <c r="Y98" s="189">
        <v>647101881.90999997</v>
      </c>
      <c r="Z98" s="189">
        <v>502249931.14999998</v>
      </c>
      <c r="AA98" s="189">
        <v>394961583.11000001</v>
      </c>
      <c r="AB98" s="189">
        <v>273378328.73000002</v>
      </c>
      <c r="AC98" s="189">
        <v>247561475.52000001</v>
      </c>
      <c r="AD98" s="189">
        <v>224139014.03</v>
      </c>
      <c r="AE98" s="189">
        <v>184259521.22999999</v>
      </c>
      <c r="AF98" s="189">
        <v>153129014.43000001</v>
      </c>
      <c r="AG98" s="189">
        <v>139016319.38999999</v>
      </c>
      <c r="AH98" s="189">
        <v>127765489.09999999</v>
      </c>
      <c r="AI98" s="189">
        <v>103941720.11</v>
      </c>
      <c r="AJ98" s="189">
        <v>76101692.5</v>
      </c>
      <c r="AK98" s="189">
        <v>34436374.909999996</v>
      </c>
      <c r="AL98" s="189">
        <v>8498960.3399999999</v>
      </c>
      <c r="AM98" s="189">
        <v>0</v>
      </c>
      <c r="AN98" s="189">
        <v>5790565954.8900003</v>
      </c>
      <c r="AO98" s="189">
        <v>4645699661.0799999</v>
      </c>
      <c r="AP98" s="189">
        <v>4448660799.4700003</v>
      </c>
      <c r="AQ98" s="189">
        <v>4184001582.1900001</v>
      </c>
      <c r="AR98" s="189">
        <v>3939446493.21</v>
      </c>
      <c r="AS98" s="189">
        <v>3016465972.27</v>
      </c>
      <c r="AT98" s="189">
        <v>2895687323</v>
      </c>
      <c r="AU98" s="189">
        <v>2731195492.8200002</v>
      </c>
      <c r="AV98" s="189">
        <v>3619192723.04</v>
      </c>
      <c r="AW98" s="189">
        <v>2936492710.1799998</v>
      </c>
      <c r="AX98" s="189">
        <v>2836202850</v>
      </c>
      <c r="AY98" s="189">
        <v>2655440755.9699998</v>
      </c>
      <c r="AZ98" s="189">
        <v>2735881568.3699999</v>
      </c>
      <c r="BA98" s="189">
        <v>2271940792.2399998</v>
      </c>
      <c r="BB98" s="189">
        <v>2281862701.6399999</v>
      </c>
      <c r="BC98" s="189">
        <v>2108410721.51</v>
      </c>
      <c r="BD98" s="189">
        <v>2060554311.6199999</v>
      </c>
      <c r="BE98" s="189">
        <v>1714905685.0599999</v>
      </c>
      <c r="BF98" s="189">
        <v>1634285513.4000001</v>
      </c>
      <c r="BG98" s="189">
        <v>1512716042.76</v>
      </c>
      <c r="BH98" s="189">
        <v>2819154405.8699999</v>
      </c>
      <c r="BI98" s="189">
        <v>2490295331.4000001</v>
      </c>
      <c r="BJ98" s="189">
        <v>2403776470.8899999</v>
      </c>
      <c r="BK98" s="189">
        <v>2262549503.6999998</v>
      </c>
      <c r="BL98" s="189">
        <v>2243103077.8499999</v>
      </c>
      <c r="BM98" s="189">
        <v>2007248389.73</v>
      </c>
      <c r="BN98" s="189">
        <v>1951462497.3</v>
      </c>
      <c r="BO98" s="189">
        <v>1830539949.02</v>
      </c>
      <c r="BP98" s="189">
        <v>1872926600.26</v>
      </c>
      <c r="BQ98" s="189">
        <v>1667814393.3199999</v>
      </c>
      <c r="BR98" s="189">
        <v>0</v>
      </c>
      <c r="BS98" s="189">
        <v>1712342274.8299999</v>
      </c>
      <c r="BT98" s="189">
        <v>1595935829.22</v>
      </c>
      <c r="BU98" s="189">
        <v>1356607152.1700001</v>
      </c>
      <c r="BV98" s="189">
        <v>1069052730.5</v>
      </c>
      <c r="BW98" s="189">
        <v>703711850.11000001</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c r="A99" s="128" t="s">
        <v>70</v>
      </c>
      <c r="B99" s="189">
        <v>0</v>
      </c>
      <c r="C99" s="189">
        <v>0</v>
      </c>
      <c r="D99" s="189">
        <v>0</v>
      </c>
      <c r="E99" s="189">
        <v>0</v>
      </c>
      <c r="F99" s="189">
        <v>47376011.57</v>
      </c>
      <c r="G99" s="189">
        <v>47376011.57</v>
      </c>
      <c r="H99" s="189">
        <v>0</v>
      </c>
      <c r="I99" s="189">
        <v>0</v>
      </c>
      <c r="J99" s="189">
        <v>22095738.91</v>
      </c>
      <c r="K99" s="189">
        <v>22095738.91</v>
      </c>
      <c r="L99" s="189">
        <v>0</v>
      </c>
      <c r="M99" s="189">
        <v>0</v>
      </c>
      <c r="N99" s="189">
        <v>0</v>
      </c>
      <c r="O99" s="189">
        <v>19150244.66</v>
      </c>
      <c r="P99" s="189">
        <v>0</v>
      </c>
      <c r="Q99" s="189">
        <v>37918400.469999999</v>
      </c>
      <c r="R99" s="189">
        <v>37918400.469999999</v>
      </c>
      <c r="S99" s="189">
        <v>37918400.469999999</v>
      </c>
      <c r="T99" s="189">
        <v>13347513.6</v>
      </c>
      <c r="U99" s="189">
        <v>13347513.6</v>
      </c>
      <c r="V99" s="189">
        <v>13347513.6</v>
      </c>
      <c r="W99" s="189">
        <v>13347513.6</v>
      </c>
      <c r="X99" s="189">
        <v>4449171.2</v>
      </c>
      <c r="Y99" s="189">
        <v>4449171.2</v>
      </c>
      <c r="Z99" s="189">
        <v>4449171.2</v>
      </c>
      <c r="AA99" s="189">
        <v>4449171.2</v>
      </c>
      <c r="AB99" s="189">
        <v>4637532.1600000001</v>
      </c>
      <c r="AC99" s="189">
        <v>0</v>
      </c>
      <c r="AD99" s="189">
        <v>735103.75</v>
      </c>
      <c r="AE99" s="189">
        <v>918889.91</v>
      </c>
      <c r="AF99" s="189">
        <v>0</v>
      </c>
      <c r="AG99" s="189">
        <v>0</v>
      </c>
      <c r="AH99" s="189">
        <v>0</v>
      </c>
      <c r="AI99" s="189">
        <v>0</v>
      </c>
      <c r="AJ99" s="189">
        <v>0</v>
      </c>
      <c r="AK99" s="189">
        <v>0</v>
      </c>
      <c r="AL99" s="189">
        <v>0</v>
      </c>
      <c r="AM99" s="189">
        <v>0</v>
      </c>
      <c r="AN99" s="189">
        <v>0</v>
      </c>
      <c r="AO99" s="189">
        <v>0</v>
      </c>
      <c r="AP99" s="189">
        <v>0</v>
      </c>
      <c r="AQ99" s="189">
        <v>0</v>
      </c>
      <c r="AR99" s="189">
        <v>0</v>
      </c>
      <c r="AS99" s="189">
        <v>0</v>
      </c>
      <c r="AT99" s="189">
        <v>100000000</v>
      </c>
      <c r="AU99" s="189">
        <v>100000000</v>
      </c>
      <c r="AV99" s="189">
        <v>0</v>
      </c>
      <c r="AW99" s="189">
        <v>0</v>
      </c>
      <c r="AX99" s="189">
        <v>0</v>
      </c>
      <c r="AY99" s="189">
        <v>41778688</v>
      </c>
      <c r="AZ99" s="189">
        <v>0</v>
      </c>
      <c r="BA99" s="189">
        <v>0</v>
      </c>
      <c r="BB99" s="189">
        <v>0</v>
      </c>
      <c r="BC99" s="189">
        <v>0</v>
      </c>
      <c r="BD99" s="189">
        <v>0</v>
      </c>
      <c r="BE99" s="189">
        <v>0</v>
      </c>
      <c r="BF99" s="189">
        <v>0</v>
      </c>
      <c r="BG99" s="189">
        <v>0</v>
      </c>
      <c r="BH99" s="189">
        <v>0</v>
      </c>
      <c r="BI99" s="189">
        <v>0</v>
      </c>
      <c r="BJ99" s="189">
        <v>15606000</v>
      </c>
      <c r="BK99" s="189">
        <v>15606000</v>
      </c>
      <c r="BL99" s="189">
        <v>15606000</v>
      </c>
      <c r="BM99" s="189">
        <v>15606000</v>
      </c>
      <c r="BN99" s="189">
        <v>15606000</v>
      </c>
      <c r="BO99" s="189">
        <v>15606000</v>
      </c>
      <c r="BP99" s="189">
        <v>21726000</v>
      </c>
      <c r="BQ99" s="189">
        <v>21726000</v>
      </c>
      <c r="BR99" s="189">
        <v>0</v>
      </c>
      <c r="BS99" s="189">
        <v>51120000</v>
      </c>
      <c r="BT99" s="189">
        <v>0</v>
      </c>
      <c r="BU99" s="189">
        <v>0</v>
      </c>
      <c r="BV99" s="189">
        <v>0</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c r="A102" s="128" t="s">
        <v>72</v>
      </c>
      <c r="B102" s="189">
        <v>20005998707.610001</v>
      </c>
      <c r="C102" s="189">
        <v>19551935377.779999</v>
      </c>
      <c r="D102" s="189">
        <v>18765090409.950001</v>
      </c>
      <c r="E102" s="189">
        <v>18011782101.549999</v>
      </c>
      <c r="F102" s="189">
        <v>17369140460.259998</v>
      </c>
      <c r="G102" s="189">
        <v>16653037873.870001</v>
      </c>
      <c r="H102" s="189">
        <v>16132563557.200001</v>
      </c>
      <c r="I102" s="189">
        <v>15581436760.34</v>
      </c>
      <c r="J102" s="189">
        <v>15002311400.33</v>
      </c>
      <c r="K102" s="189">
        <v>10019900163.559999</v>
      </c>
      <c r="L102" s="189">
        <v>9615546559.9300003</v>
      </c>
      <c r="M102" s="189">
        <v>9178725294.4400005</v>
      </c>
      <c r="N102" s="189">
        <v>5888211342.46</v>
      </c>
      <c r="O102" s="189">
        <v>5364230180.1599998</v>
      </c>
      <c r="P102" s="189">
        <v>5107223335.4099998</v>
      </c>
      <c r="Q102" s="189">
        <v>4794291697.8299999</v>
      </c>
      <c r="R102" s="189">
        <v>4478453001.8000002</v>
      </c>
      <c r="S102" s="189">
        <v>4195034272.8000002</v>
      </c>
      <c r="T102" s="189">
        <v>4098383146.3699999</v>
      </c>
      <c r="U102" s="189">
        <v>3766466374.0700002</v>
      </c>
      <c r="V102" s="189">
        <v>3549435694.2800002</v>
      </c>
      <c r="W102" s="189">
        <v>3355054490.5300002</v>
      </c>
      <c r="X102" s="189">
        <v>3246245382.0599999</v>
      </c>
      <c r="Y102" s="189">
        <v>3044271192.77</v>
      </c>
      <c r="Z102" s="189">
        <v>2917689491.0100002</v>
      </c>
      <c r="AA102" s="189">
        <v>2795514398.5599999</v>
      </c>
      <c r="AB102" s="189">
        <v>1064839406.62</v>
      </c>
      <c r="AC102" s="189">
        <v>1027416635.55</v>
      </c>
      <c r="AD102" s="189">
        <v>986376944.08000004</v>
      </c>
      <c r="AE102" s="189">
        <v>941894734.58000004</v>
      </c>
      <c r="AF102" s="189">
        <v>905903318.69000006</v>
      </c>
      <c r="AG102" s="189">
        <v>889980728.88999999</v>
      </c>
      <c r="AH102" s="189">
        <v>867956646.02999997</v>
      </c>
      <c r="AI102" s="189">
        <v>303877640.35000002</v>
      </c>
      <c r="AJ102" s="189">
        <v>272725879.63</v>
      </c>
      <c r="AK102" s="189">
        <v>176463328.59999999</v>
      </c>
      <c r="AL102" s="189">
        <v>148168162.44</v>
      </c>
      <c r="AM102" s="189">
        <v>0</v>
      </c>
      <c r="AN102" s="189">
        <v>12640726671.110001</v>
      </c>
      <c r="AO102" s="189">
        <v>11380067365.719999</v>
      </c>
      <c r="AP102" s="189">
        <v>11158726711.690001</v>
      </c>
      <c r="AQ102" s="189">
        <v>10865132147.959999</v>
      </c>
      <c r="AR102" s="189">
        <v>10592688648.690001</v>
      </c>
      <c r="AS102" s="189">
        <v>9569379815.5599995</v>
      </c>
      <c r="AT102" s="189">
        <v>9444699665.4099998</v>
      </c>
      <c r="AU102" s="189">
        <v>9264864912.6800003</v>
      </c>
      <c r="AV102" s="189">
        <v>9012398068.3999996</v>
      </c>
      <c r="AW102" s="189">
        <v>8257212457.3599997</v>
      </c>
      <c r="AX102" s="189">
        <v>8106355261.6899996</v>
      </c>
      <c r="AY102" s="189">
        <v>7906099500.2799997</v>
      </c>
      <c r="AZ102" s="189">
        <v>7904330388.04</v>
      </c>
      <c r="BA102" s="189">
        <v>7358235400.0600004</v>
      </c>
      <c r="BB102" s="189">
        <v>7335831828.4099998</v>
      </c>
      <c r="BC102" s="189">
        <v>7155293928.0200005</v>
      </c>
      <c r="BD102" s="189">
        <v>6979736606.6199999</v>
      </c>
      <c r="BE102" s="189">
        <v>6566886603.0200005</v>
      </c>
      <c r="BF102" s="189">
        <v>6417153928.7799997</v>
      </c>
      <c r="BG102" s="189">
        <v>6275834678.6400003</v>
      </c>
      <c r="BH102" s="189">
        <v>6393497694.0299997</v>
      </c>
      <c r="BI102" s="189">
        <v>6010029931.6000004</v>
      </c>
      <c r="BJ102" s="189">
        <v>5854624464.04</v>
      </c>
      <c r="BK102" s="189">
        <v>5696682615.46</v>
      </c>
      <c r="BL102" s="189">
        <v>5595599973.54</v>
      </c>
      <c r="BM102" s="189">
        <v>5307055453.6800003</v>
      </c>
      <c r="BN102" s="189">
        <v>5196040467.4899998</v>
      </c>
      <c r="BO102" s="189">
        <v>5053742967.6300001</v>
      </c>
      <c r="BP102" s="189">
        <v>4942046030.3000002</v>
      </c>
      <c r="BQ102" s="189">
        <v>4693749721.5200005</v>
      </c>
      <c r="BR102" s="189">
        <v>4554380000</v>
      </c>
      <c r="BS102" s="189">
        <v>4382685677.9300003</v>
      </c>
      <c r="BT102" s="189">
        <v>4235751053.1100001</v>
      </c>
      <c r="BU102" s="189">
        <v>3188611486.52</v>
      </c>
      <c r="BV102" s="189">
        <v>2850312166.9000001</v>
      </c>
      <c r="BW102" s="189">
        <v>2420499366.4499998</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c r="A103" s="128" t="s">
        <v>73</v>
      </c>
      <c r="B103" s="189">
        <v>20602676.859999999</v>
      </c>
      <c r="C103" s="189">
        <v>19528276.16</v>
      </c>
      <c r="D103" s="189">
        <v>18727001.07</v>
      </c>
      <c r="E103" s="189">
        <v>17578902.16</v>
      </c>
      <c r="F103" s="189">
        <v>22491024.789999999</v>
      </c>
      <c r="G103" s="189">
        <v>21599918.890000001</v>
      </c>
      <c r="H103" s="189">
        <v>21196949.190000001</v>
      </c>
      <c r="I103" s="189">
        <v>21004336.390000001</v>
      </c>
      <c r="J103" s="189">
        <v>20731942.859999999</v>
      </c>
      <c r="K103" s="189">
        <v>23198425.350000001</v>
      </c>
      <c r="L103" s="189">
        <v>35677560.700000003</v>
      </c>
      <c r="M103" s="189">
        <v>35949376.450000003</v>
      </c>
      <c r="N103" s="189">
        <v>42427176.43</v>
      </c>
      <c r="O103" s="189">
        <v>43292727.109999999</v>
      </c>
      <c r="P103" s="189">
        <v>30246105.82</v>
      </c>
      <c r="Q103" s="189">
        <v>32348456.449999999</v>
      </c>
      <c r="R103" s="189">
        <v>29055181.82</v>
      </c>
      <c r="S103" s="189">
        <v>29459155.43</v>
      </c>
      <c r="T103" s="189">
        <v>19866270.920000002</v>
      </c>
      <c r="U103" s="189">
        <v>31597953.859999999</v>
      </c>
      <c r="V103" s="189">
        <v>24333448.75</v>
      </c>
      <c r="W103" s="189">
        <v>25191315.390000001</v>
      </c>
      <c r="X103" s="189">
        <v>25477902.960000001</v>
      </c>
      <c r="Y103" s="189">
        <v>25435425.510000002</v>
      </c>
      <c r="Z103" s="189">
        <v>24465233.879999999</v>
      </c>
      <c r="AA103" s="189">
        <v>24518997.460000001</v>
      </c>
      <c r="AB103" s="189">
        <v>24290275.640000001</v>
      </c>
      <c r="AC103" s="189">
        <v>24949926.91</v>
      </c>
      <c r="AD103" s="189">
        <v>22969586.719999999</v>
      </c>
      <c r="AE103" s="189">
        <v>0</v>
      </c>
      <c r="AF103" s="189">
        <v>0</v>
      </c>
      <c r="AG103" s="189">
        <v>0</v>
      </c>
      <c r="AH103" s="189">
        <v>0</v>
      </c>
      <c r="AI103" s="189">
        <v>0</v>
      </c>
      <c r="AJ103" s="189">
        <v>0</v>
      </c>
      <c r="AK103" s="189">
        <v>0</v>
      </c>
      <c r="AL103" s="189">
        <v>0</v>
      </c>
      <c r="AM103" s="189">
        <v>0</v>
      </c>
      <c r="AN103" s="189">
        <v>84490434.319999993</v>
      </c>
      <c r="AO103" s="189">
        <v>75869511</v>
      </c>
      <c r="AP103" s="189">
        <v>71596625.420000002</v>
      </c>
      <c r="AQ103" s="189">
        <v>69251602.510000005</v>
      </c>
      <c r="AR103" s="189">
        <v>49256028.789999999</v>
      </c>
      <c r="AS103" s="189">
        <v>56857168.609999999</v>
      </c>
      <c r="AT103" s="189">
        <v>40888487.079999998</v>
      </c>
      <c r="AU103" s="189">
        <v>39150237.640000001</v>
      </c>
      <c r="AV103" s="189">
        <v>39251320.369999997</v>
      </c>
      <c r="AW103" s="189">
        <v>37956057.280000001</v>
      </c>
      <c r="AX103" s="189">
        <v>33329921.27</v>
      </c>
      <c r="AY103" s="189">
        <v>32650863.870000001</v>
      </c>
      <c r="AZ103" s="189">
        <v>30454120.460000001</v>
      </c>
      <c r="BA103" s="189">
        <v>27733578.48</v>
      </c>
      <c r="BB103" s="189">
        <v>24884323.18</v>
      </c>
      <c r="BC103" s="189">
        <v>24132037.629999999</v>
      </c>
      <c r="BD103" s="189">
        <v>23728982.75</v>
      </c>
      <c r="BE103" s="189">
        <v>20075298.75</v>
      </c>
      <c r="BF103" s="189">
        <v>16762352.4</v>
      </c>
      <c r="BG103" s="189">
        <v>16880188.02</v>
      </c>
      <c r="BH103" s="189">
        <v>15789115.83</v>
      </c>
      <c r="BI103" s="189">
        <v>15862755.060000001</v>
      </c>
      <c r="BJ103" s="189">
        <v>15780686.800000001</v>
      </c>
      <c r="BK103" s="189">
        <v>15072018.689999999</v>
      </c>
      <c r="BL103" s="189">
        <v>16011767.529999999</v>
      </c>
      <c r="BM103" s="189">
        <v>15044502.029999999</v>
      </c>
      <c r="BN103" s="189">
        <v>18252665.030000001</v>
      </c>
      <c r="BO103" s="189">
        <v>21619133.460000001</v>
      </c>
      <c r="BP103" s="189">
        <v>12934639.26</v>
      </c>
      <c r="BQ103" s="189">
        <v>8493411.2799999993</v>
      </c>
      <c r="BR103" s="189">
        <v>7400000</v>
      </c>
      <c r="BS103" s="189">
        <v>2970143.71</v>
      </c>
      <c r="BT103" s="189">
        <v>2872138.39</v>
      </c>
      <c r="BU103" s="189">
        <v>2604712.4300000002</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t="14.45" hidden="1">
      <c r="A104" s="128"/>
      <c r="B104" s="26"/>
      <c r="C104" s="26"/>
      <c r="D104" s="26"/>
      <c r="E104" s="26"/>
      <c r="F104" s="26"/>
      <c r="G104" s="26"/>
      <c r="H104" s="26"/>
      <c r="I104" s="26"/>
      <c r="J104" s="26"/>
      <c r="K104" s="26"/>
      <c r="L104" s="23"/>
    </row>
    <row r="105" spans="1:90" ht="14.45" hidden="1">
      <c r="A105" s="128"/>
      <c r="B105" s="26"/>
      <c r="C105" s="26"/>
      <c r="D105" s="26"/>
      <c r="E105" s="26"/>
      <c r="F105" s="26"/>
      <c r="G105" s="26"/>
      <c r="H105" s="26"/>
      <c r="I105" s="26"/>
      <c r="J105" s="26"/>
      <c r="K105" s="26"/>
      <c r="L105" s="23"/>
    </row>
    <row r="106" spans="1:90" ht="14.45" hidden="1">
      <c r="A106" s="128"/>
      <c r="B106" s="26"/>
      <c r="C106" s="26"/>
      <c r="D106" s="26"/>
      <c r="E106" s="26"/>
      <c r="F106" s="26"/>
      <c r="G106" s="26"/>
      <c r="H106" s="26"/>
      <c r="I106" s="26"/>
      <c r="J106" s="26"/>
      <c r="K106" s="26"/>
      <c r="L106" s="23"/>
    </row>
    <row r="107" spans="1:90" s="5" customFormat="1">
      <c r="A107" s="129" t="s">
        <v>74</v>
      </c>
      <c r="B107" s="33">
        <f>B102+B103</f>
        <v>20026601384.470001</v>
      </c>
      <c r="C107" s="33">
        <f>C102+C103</f>
        <v>19571463653.939999</v>
      </c>
      <c r="D107" s="33">
        <f>D102+D103</f>
        <v>18783817411.02</v>
      </c>
      <c r="E107" s="33">
        <f>E102+E103</f>
        <v>18029361003.709999</v>
      </c>
      <c r="F107" s="33">
        <f t="shared" ref="F107:BQ107" si="20">F102+F103</f>
        <v>17391631485.049999</v>
      </c>
      <c r="G107" s="33">
        <f t="shared" si="20"/>
        <v>16674637792.76</v>
      </c>
      <c r="H107" s="33">
        <f t="shared" si="20"/>
        <v>16153760506.390001</v>
      </c>
      <c r="I107" s="33">
        <f t="shared" si="20"/>
        <v>15602441096.73</v>
      </c>
      <c r="J107" s="33">
        <f t="shared" si="20"/>
        <v>15023043343.190001</v>
      </c>
      <c r="K107" s="33">
        <f t="shared" si="20"/>
        <v>10043098588.91</v>
      </c>
      <c r="L107" s="33">
        <f t="shared" si="20"/>
        <v>9651224120.6300011</v>
      </c>
      <c r="M107" s="33">
        <f t="shared" si="20"/>
        <v>9214674670.8900013</v>
      </c>
      <c r="N107" s="33">
        <f t="shared" si="20"/>
        <v>5930638518.8900003</v>
      </c>
      <c r="O107" s="33">
        <f t="shared" si="20"/>
        <v>5407522907.2699995</v>
      </c>
      <c r="P107" s="33">
        <f t="shared" si="20"/>
        <v>5137469441.2299995</v>
      </c>
      <c r="Q107" s="33">
        <f t="shared" si="20"/>
        <v>4826640154.2799997</v>
      </c>
      <c r="R107" s="33">
        <f t="shared" si="20"/>
        <v>4507508183.6199999</v>
      </c>
      <c r="S107" s="33">
        <f t="shared" si="20"/>
        <v>4224493428.23</v>
      </c>
      <c r="T107" s="33">
        <f t="shared" si="20"/>
        <v>4118249417.29</v>
      </c>
      <c r="U107" s="33">
        <f t="shared" si="20"/>
        <v>3798064327.9300003</v>
      </c>
      <c r="V107" s="33">
        <f t="shared" si="20"/>
        <v>3573769143.0300002</v>
      </c>
      <c r="W107" s="33">
        <f t="shared" si="20"/>
        <v>3380245805.9200001</v>
      </c>
      <c r="X107" s="33">
        <f t="shared" si="20"/>
        <v>3271723285.02</v>
      </c>
      <c r="Y107" s="33">
        <f t="shared" si="20"/>
        <v>3069706618.2800002</v>
      </c>
      <c r="Z107" s="33">
        <f t="shared" si="20"/>
        <v>2942154724.8900003</v>
      </c>
      <c r="AA107" s="33">
        <f t="shared" si="20"/>
        <v>2820033396.02</v>
      </c>
      <c r="AB107" s="33">
        <f t="shared" si="20"/>
        <v>1089129682.26</v>
      </c>
      <c r="AC107" s="33">
        <f t="shared" si="20"/>
        <v>1052366562.4599999</v>
      </c>
      <c r="AD107" s="33">
        <f t="shared" si="20"/>
        <v>1009346530.8000001</v>
      </c>
      <c r="AE107" s="33">
        <f t="shared" si="20"/>
        <v>941894734.58000004</v>
      </c>
      <c r="AF107" s="33">
        <f t="shared" si="20"/>
        <v>905903318.69000006</v>
      </c>
      <c r="AG107" s="33">
        <f t="shared" si="20"/>
        <v>889980728.88999999</v>
      </c>
      <c r="AH107" s="33">
        <f t="shared" si="20"/>
        <v>867956646.02999997</v>
      </c>
      <c r="AI107" s="33">
        <f t="shared" si="20"/>
        <v>303877640.35000002</v>
      </c>
      <c r="AJ107" s="33">
        <f t="shared" si="20"/>
        <v>272725879.63</v>
      </c>
      <c r="AK107" s="33">
        <f t="shared" si="20"/>
        <v>176463328.59999999</v>
      </c>
      <c r="AL107" s="33">
        <f t="shared" si="20"/>
        <v>148168162.44</v>
      </c>
      <c r="AM107" s="33">
        <f t="shared" si="20"/>
        <v>0</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30" t="s">
        <v>75</v>
      </c>
      <c r="B108" s="38">
        <f>SUM(B89+B107)</f>
        <v>31031451355.790001</v>
      </c>
      <c r="C108" s="38">
        <f t="shared" ref="C108:BN108" si="22">SUM(C89+C107)</f>
        <v>31553056997.419998</v>
      </c>
      <c r="D108" s="38">
        <f t="shared" si="22"/>
        <v>31368845237.620003</v>
      </c>
      <c r="E108" s="38">
        <f>SUM(E107+E89)</f>
        <v>29845049850.43</v>
      </c>
      <c r="F108" s="38">
        <f t="shared" si="22"/>
        <v>30177626128.649998</v>
      </c>
      <c r="G108" s="38">
        <f t="shared" si="22"/>
        <v>27594254758.23</v>
      </c>
      <c r="H108" s="38">
        <f t="shared" si="22"/>
        <v>25574771033.029999</v>
      </c>
      <c r="I108" s="38">
        <f t="shared" si="22"/>
        <v>22306009111.369999</v>
      </c>
      <c r="J108" s="38">
        <f t="shared" si="22"/>
        <v>21230580374.800003</v>
      </c>
      <c r="K108" s="38">
        <f t="shared" si="22"/>
        <v>16816363262.02</v>
      </c>
      <c r="L108" s="38">
        <f t="shared" si="22"/>
        <v>16336838310.190001</v>
      </c>
      <c r="M108" s="38">
        <f t="shared" si="22"/>
        <v>15884650065.850002</v>
      </c>
      <c r="N108" s="38">
        <f t="shared" si="22"/>
        <v>12386180737.85</v>
      </c>
      <c r="O108" s="38">
        <f t="shared" si="22"/>
        <v>10633057617.220001</v>
      </c>
      <c r="P108" s="38">
        <f t="shared" si="22"/>
        <v>9991725373.789999</v>
      </c>
      <c r="Q108" s="38">
        <f t="shared" si="22"/>
        <v>9853717165</v>
      </c>
      <c r="R108" s="38">
        <f t="shared" si="22"/>
        <v>9472664618.8500004</v>
      </c>
      <c r="S108" s="38">
        <f t="shared" si="22"/>
        <v>8291619973.1999998</v>
      </c>
      <c r="T108" s="38">
        <f t="shared" si="22"/>
        <v>7619273705.2200003</v>
      </c>
      <c r="U108" s="38">
        <f t="shared" si="22"/>
        <v>7230993924.1400003</v>
      </c>
      <c r="V108" s="38">
        <f t="shared" si="22"/>
        <v>6756353546.3000002</v>
      </c>
      <c r="W108" s="38">
        <f t="shared" si="22"/>
        <v>5880118702.9300003</v>
      </c>
      <c r="X108" s="38">
        <f t="shared" si="22"/>
        <v>5557982733.0200005</v>
      </c>
      <c r="Y108" s="38">
        <f t="shared" si="22"/>
        <v>5506457210.7399998</v>
      </c>
      <c r="Z108" s="38">
        <f t="shared" si="22"/>
        <v>4234483966.8800001</v>
      </c>
      <c r="AA108" s="38">
        <f t="shared" si="22"/>
        <v>3627739018.73</v>
      </c>
      <c r="AB108" s="38">
        <f t="shared" si="22"/>
        <v>1764182235.6900001</v>
      </c>
      <c r="AC108" s="38">
        <f t="shared" si="22"/>
        <v>1718489536.3799999</v>
      </c>
      <c r="AD108" s="38">
        <f t="shared" si="22"/>
        <v>1410089054.6100001</v>
      </c>
      <c r="AE108" s="38">
        <f t="shared" si="22"/>
        <v>1312467556</v>
      </c>
      <c r="AF108" s="38">
        <f t="shared" si="22"/>
        <v>1151058663.3099999</v>
      </c>
      <c r="AG108" s="38">
        <f t="shared" si="22"/>
        <v>1072103638.51</v>
      </c>
      <c r="AH108" s="38">
        <f t="shared" si="22"/>
        <v>990035411.07999992</v>
      </c>
      <c r="AI108" s="38">
        <f t="shared" si="22"/>
        <v>573133523.07000005</v>
      </c>
      <c r="AJ108" s="38">
        <f t="shared" si="22"/>
        <v>521832547.88</v>
      </c>
      <c r="AK108" s="38">
        <f t="shared" si="22"/>
        <v>384482259.10000002</v>
      </c>
      <c r="AL108" s="38">
        <f t="shared" si="22"/>
        <v>237664609.14999998</v>
      </c>
      <c r="AM108" s="38">
        <f t="shared" si="22"/>
        <v>0</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AG55" sqref="AG55"/>
    </sheetView>
  </sheetViews>
  <sheetFormatPr defaultRowHeight="13.5"/>
  <cols>
    <col min="1" max="1" width="56" style="17" bestFit="1" customWidth="1"/>
    <col min="2" max="4" width="22" hidden="1" customWidth="1"/>
    <col min="5" max="5" width="22" bestFit="1" customWidth="1"/>
    <col min="6" max="7" width="22" hidden="1" customWidth="1"/>
    <col min="8" max="8" width="20.75" hidden="1" customWidth="1"/>
    <col min="9" max="9" width="22" bestFit="1" customWidth="1"/>
    <col min="10" max="11" width="22" hidden="1" customWidth="1"/>
    <col min="12" max="12" width="20.75" hidden="1" customWidth="1"/>
    <col min="13" max="13" width="22" bestFit="1" customWidth="1"/>
    <col min="14" max="14" width="22" hidden="1" customWidth="1"/>
    <col min="15" max="15" width="19.5" hidden="1" customWidth="1"/>
    <col min="16" max="16" width="20.75" hidden="1" customWidth="1"/>
    <col min="17" max="17" width="22" bestFit="1" customWidth="1"/>
    <col min="18" max="19" width="19.5" hidden="1" customWidth="1"/>
    <col min="20" max="20" width="20.75" hidden="1" customWidth="1"/>
    <col min="21" max="21" width="19.5" bestFit="1" customWidth="1"/>
    <col min="22" max="23" width="19.5" hidden="1" customWidth="1"/>
    <col min="24" max="24" width="20.75" hidden="1" customWidth="1"/>
    <col min="25" max="25" width="19.5" bestFit="1" customWidth="1"/>
    <col min="26" max="28" width="19.5" hidden="1" customWidth="1"/>
    <col min="29" max="29" width="19.5" bestFit="1" customWidth="1"/>
    <col min="30" max="32" width="19.5" hidden="1" customWidth="1"/>
    <col min="33" max="33" width="19.5" bestFit="1" customWidth="1"/>
    <col min="34" max="34" width="19.5" hidden="1" customWidth="1"/>
    <col min="35" max="35" width="18.25" hidden="1" customWidth="1"/>
    <col min="36" max="36" width="19.5" hidden="1" customWidth="1"/>
    <col min="37" max="37" width="18.25" bestFit="1" customWidth="1"/>
    <col min="38" max="39" width="18.25" hidden="1" customWidth="1"/>
    <col min="40" max="41" width="18.25" bestFit="1" customWidth="1"/>
    <col min="42" max="42" width="9.625" hidden="1" customWidth="1"/>
    <col min="43" max="51" width="23.25" bestFit="1" customWidth="1"/>
    <col min="52" max="81" width="20.75" bestFit="1" customWidth="1"/>
    <col min="82" max="82" width="9.625" bestFit="1" customWidth="1"/>
    <col min="83"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ht="14.45">
      <c r="A1" s="17">
        <v>2450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384</v>
      </c>
      <c r="B4" s="189">
        <v>10834749631.77</v>
      </c>
      <c r="C4" s="189">
        <v>7240583096.5200005</v>
      </c>
      <c r="D4" s="189">
        <v>3550359888.6900001</v>
      </c>
      <c r="E4" s="189">
        <v>11789073516.690001</v>
      </c>
      <c r="F4" s="189">
        <v>9450631221.3799992</v>
      </c>
      <c r="G4" s="189">
        <v>6050755584.71</v>
      </c>
      <c r="H4" s="189">
        <v>2700241153</v>
      </c>
      <c r="I4" s="189">
        <v>9232749388.8799992</v>
      </c>
      <c r="J4" s="189">
        <v>7156918837.8000002</v>
      </c>
      <c r="K4" s="189">
        <v>4499173734.3900003</v>
      </c>
      <c r="L4" s="189">
        <v>2007598833.6500001</v>
      </c>
      <c r="M4" s="189">
        <v>7459376626.1199999</v>
      </c>
      <c r="N4" s="189">
        <v>5214917067.6099997</v>
      </c>
      <c r="O4" s="189">
        <v>3301126126.96</v>
      </c>
      <c r="P4" s="189">
        <v>1500354327.0899999</v>
      </c>
      <c r="Q4" s="189">
        <v>5208091770.6199999</v>
      </c>
      <c r="R4" s="189">
        <v>3652588157.7399998</v>
      </c>
      <c r="S4" s="189">
        <v>2424211203.8699999</v>
      </c>
      <c r="T4" s="189">
        <v>1221227187.02</v>
      </c>
      <c r="U4" s="189">
        <v>3192701967.0799999</v>
      </c>
      <c r="V4" s="189">
        <v>2279929133.7600002</v>
      </c>
      <c r="W4" s="189">
        <v>1509892379.6400001</v>
      </c>
      <c r="X4" s="189">
        <v>655682698.38</v>
      </c>
      <c r="Y4" s="189">
        <v>2234623152.98</v>
      </c>
      <c r="Z4" s="189">
        <v>1459303292.4400001</v>
      </c>
      <c r="AA4" s="189">
        <v>961642839.58000004</v>
      </c>
      <c r="AB4" s="189">
        <v>407522741.93000001</v>
      </c>
      <c r="AC4" s="189">
        <v>1526021238.48</v>
      </c>
      <c r="AD4" s="189">
        <v>1098832203.2</v>
      </c>
      <c r="AE4" s="189">
        <v>647395840.48000002</v>
      </c>
      <c r="AF4" s="189">
        <v>237639702.31</v>
      </c>
      <c r="AG4" s="189">
        <v>524201146.48000002</v>
      </c>
      <c r="AH4" s="189">
        <v>380020138.85000002</v>
      </c>
      <c r="AI4" s="189">
        <v>223459375.99000001</v>
      </c>
      <c r="AJ4" s="189">
        <v>89061445.689999998</v>
      </c>
      <c r="AK4" s="189">
        <v>364399272.83999997</v>
      </c>
      <c r="AL4" s="189">
        <v>232406318.21000001</v>
      </c>
      <c r="AM4" s="189">
        <v>134187532.15000001</v>
      </c>
      <c r="AN4" s="189">
        <v>259676963.58000001</v>
      </c>
      <c r="AO4" s="189">
        <v>163933411.49000001</v>
      </c>
      <c r="AP4" s="189">
        <v>0</v>
      </c>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189"/>
      <c r="BP4" s="189"/>
      <c r="BQ4" s="189"/>
      <c r="BR4" s="189"/>
      <c r="BS4" s="189"/>
      <c r="BT4" s="189"/>
      <c r="BU4" s="189"/>
      <c r="BV4" s="189"/>
      <c r="BW4" s="189"/>
      <c r="BX4" s="189"/>
      <c r="BY4" s="189"/>
      <c r="BZ4" s="189"/>
      <c r="CA4" s="189"/>
      <c r="CB4" s="189"/>
      <c r="CC4" s="189"/>
      <c r="CD4" s="189"/>
      <c r="CE4" s="189"/>
      <c r="CF4" s="189"/>
      <c r="CG4" s="189"/>
      <c r="CH4" s="189"/>
      <c r="CI4" s="189"/>
      <c r="CJ4" s="189"/>
      <c r="CK4" s="189"/>
    </row>
    <row r="5" spans="1:89">
      <c r="A5" s="19" t="s">
        <v>385</v>
      </c>
      <c r="B5" s="189">
        <v>6788805195.1899996</v>
      </c>
      <c r="C5" s="189">
        <v>4481291237.6999998</v>
      </c>
      <c r="D5" s="189">
        <v>2173617313.7600002</v>
      </c>
      <c r="E5" s="189">
        <v>7082433228.9700003</v>
      </c>
      <c r="F5" s="189">
        <v>5867004503.1800003</v>
      </c>
      <c r="G5" s="189">
        <v>3760335260.7600002</v>
      </c>
      <c r="H5" s="189">
        <v>1685339422.6600001</v>
      </c>
      <c r="I5" s="189">
        <v>5498091650.5600004</v>
      </c>
      <c r="J5" s="189">
        <v>4486393024.54</v>
      </c>
      <c r="K5" s="189">
        <v>2820743132.8600001</v>
      </c>
      <c r="L5" s="189">
        <v>1228341627.6400001</v>
      </c>
      <c r="M5" s="189">
        <v>4674042318.3100004</v>
      </c>
      <c r="N5" s="189">
        <v>3206565234.98</v>
      </c>
      <c r="O5" s="189">
        <v>2046150402.3299999</v>
      </c>
      <c r="P5" s="189">
        <v>932009375.05999994</v>
      </c>
      <c r="Q5" s="189">
        <v>3171705053.96</v>
      </c>
      <c r="R5" s="189">
        <v>2262121253.6999998</v>
      </c>
      <c r="S5" s="189">
        <v>1508397409.0699999</v>
      </c>
      <c r="T5" s="189">
        <v>773688343.23000002</v>
      </c>
      <c r="U5" s="189">
        <v>2032945307.53</v>
      </c>
      <c r="V5" s="189">
        <v>1431678641.1400001</v>
      </c>
      <c r="W5" s="189">
        <v>986327119.15999997</v>
      </c>
      <c r="X5" s="189">
        <v>433342685.77999997</v>
      </c>
      <c r="Y5" s="189">
        <v>1515737569.8</v>
      </c>
      <c r="Z5" s="189">
        <v>968960651.47000003</v>
      </c>
      <c r="AA5" s="189">
        <v>653401720.63</v>
      </c>
      <c r="AB5" s="189">
        <v>295686297.69</v>
      </c>
      <c r="AC5" s="189">
        <v>1229967250.8199999</v>
      </c>
      <c r="AD5" s="189">
        <v>891749062.62</v>
      </c>
      <c r="AE5" s="189">
        <v>530225147.60000002</v>
      </c>
      <c r="AF5" s="189">
        <v>200625460.34999999</v>
      </c>
      <c r="AG5" s="189">
        <v>386934282.25</v>
      </c>
      <c r="AH5" s="189">
        <v>275652349.01999998</v>
      </c>
      <c r="AI5" s="189">
        <v>161860298.44</v>
      </c>
      <c r="AJ5" s="189">
        <v>66705448.380000003</v>
      </c>
      <c r="AK5" s="189">
        <v>274436681.06999999</v>
      </c>
      <c r="AL5" s="189">
        <v>180786912.02000001</v>
      </c>
      <c r="AM5" s="189">
        <v>105400729.06</v>
      </c>
      <c r="AN5" s="189">
        <v>199359707.38</v>
      </c>
      <c r="AO5" s="189">
        <v>128316202.27</v>
      </c>
      <c r="AP5" s="189">
        <v>0</v>
      </c>
      <c r="AQ5" s="189"/>
      <c r="AR5" s="189"/>
      <c r="AS5" s="189"/>
      <c r="AT5" s="189"/>
      <c r="AU5" s="189"/>
      <c r="AV5" s="189"/>
      <c r="AW5" s="189"/>
      <c r="AX5" s="189"/>
      <c r="AY5" s="189"/>
      <c r="AZ5" s="189"/>
      <c r="BA5" s="189"/>
      <c r="BB5" s="189"/>
      <c r="BC5" s="189"/>
      <c r="BD5" s="189"/>
      <c r="BE5" s="189"/>
      <c r="BF5" s="189"/>
      <c r="BG5" s="189"/>
      <c r="BH5" s="189"/>
      <c r="BI5" s="189"/>
      <c r="BJ5" s="189"/>
      <c r="BK5" s="189"/>
      <c r="BL5" s="189"/>
      <c r="BM5" s="189"/>
      <c r="BN5" s="189"/>
      <c r="BO5" s="189"/>
      <c r="BP5" s="189"/>
      <c r="BQ5" s="189"/>
      <c r="BR5" s="189"/>
      <c r="BS5" s="189"/>
      <c r="BT5" s="189"/>
      <c r="BU5" s="189"/>
      <c r="BV5" s="189"/>
      <c r="BW5" s="189"/>
      <c r="BX5" s="189"/>
      <c r="BY5" s="189"/>
      <c r="BZ5" s="189"/>
      <c r="CA5" s="189"/>
      <c r="CB5" s="189"/>
      <c r="CC5" s="189"/>
      <c r="CD5" s="189"/>
      <c r="CE5" s="189"/>
      <c r="CF5" s="189"/>
      <c r="CG5" s="189"/>
      <c r="CH5" s="189"/>
      <c r="CI5" s="189"/>
      <c r="CJ5" s="189"/>
      <c r="CK5" s="189"/>
    </row>
    <row r="6" spans="1:89" s="3" customFormat="1">
      <c r="A6" s="20" t="s">
        <v>386</v>
      </c>
      <c r="B6" s="27">
        <f>B4-B5</f>
        <v>4045944436.5800009</v>
      </c>
      <c r="C6" s="27">
        <f t="shared" ref="C6:BN6" si="0">C4-C5</f>
        <v>2759291858.8200006</v>
      </c>
      <c r="D6" s="27">
        <f t="shared" si="0"/>
        <v>1376742574.9299998</v>
      </c>
      <c r="E6" s="27">
        <f t="shared" si="0"/>
        <v>4706640287.7200003</v>
      </c>
      <c r="F6" s="27">
        <f t="shared" si="0"/>
        <v>3583626718.1999989</v>
      </c>
      <c r="G6" s="27">
        <f t="shared" si="0"/>
        <v>2290420323.9499998</v>
      </c>
      <c r="H6" s="27">
        <f t="shared" si="0"/>
        <v>1014901730.3399999</v>
      </c>
      <c r="I6" s="27">
        <f t="shared" si="0"/>
        <v>3734657738.3199987</v>
      </c>
      <c r="J6" s="27">
        <f t="shared" si="0"/>
        <v>2670525813.2600002</v>
      </c>
      <c r="K6" s="27">
        <f t="shared" si="0"/>
        <v>1678430601.5300002</v>
      </c>
      <c r="L6" s="27">
        <f t="shared" si="0"/>
        <v>779257206.00999999</v>
      </c>
      <c r="M6" s="27">
        <f t="shared" si="0"/>
        <v>2785334307.8099995</v>
      </c>
      <c r="N6" s="27">
        <f t="shared" si="0"/>
        <v>2008351832.6299996</v>
      </c>
      <c r="O6" s="27">
        <f t="shared" si="0"/>
        <v>1254975724.6300001</v>
      </c>
      <c r="P6" s="27">
        <f t="shared" si="0"/>
        <v>568344952.02999997</v>
      </c>
      <c r="Q6" s="27">
        <f t="shared" si="0"/>
        <v>2036386716.6599998</v>
      </c>
      <c r="R6" s="27">
        <f t="shared" si="0"/>
        <v>1390466904.04</v>
      </c>
      <c r="S6" s="27">
        <f t="shared" si="0"/>
        <v>915813794.79999995</v>
      </c>
      <c r="T6" s="27">
        <f t="shared" si="0"/>
        <v>447538843.78999996</v>
      </c>
      <c r="U6" s="27">
        <f t="shared" si="0"/>
        <v>1159756659.55</v>
      </c>
      <c r="V6" s="27">
        <f t="shared" si="0"/>
        <v>848250492.62000012</v>
      </c>
      <c r="W6" s="27">
        <f t="shared" si="0"/>
        <v>523565260.48000014</v>
      </c>
      <c r="X6" s="27">
        <f t="shared" si="0"/>
        <v>222340012.60000002</v>
      </c>
      <c r="Y6" s="27">
        <f t="shared" si="0"/>
        <v>718885583.18000007</v>
      </c>
      <c r="Z6" s="27">
        <f t="shared" si="0"/>
        <v>490342640.97000003</v>
      </c>
      <c r="AA6" s="27">
        <f t="shared" si="0"/>
        <v>308241118.95000005</v>
      </c>
      <c r="AB6" s="27">
        <f t="shared" si="0"/>
        <v>111836444.24000001</v>
      </c>
      <c r="AC6" s="27">
        <f t="shared" si="0"/>
        <v>296053987.66000009</v>
      </c>
      <c r="AD6" s="27">
        <f t="shared" si="0"/>
        <v>207083140.58000004</v>
      </c>
      <c r="AE6" s="27">
        <f t="shared" si="0"/>
        <v>117170692.88</v>
      </c>
      <c r="AF6" s="27">
        <f t="shared" si="0"/>
        <v>37014241.960000008</v>
      </c>
      <c r="AG6" s="27">
        <f t="shared" si="0"/>
        <v>137266864.23000002</v>
      </c>
      <c r="AH6" s="27">
        <f t="shared" si="0"/>
        <v>104367789.83000004</v>
      </c>
      <c r="AI6" s="27">
        <f t="shared" si="0"/>
        <v>61599077.550000012</v>
      </c>
      <c r="AJ6" s="27">
        <f t="shared" si="0"/>
        <v>22355997.309999995</v>
      </c>
      <c r="AK6" s="27">
        <f t="shared" si="0"/>
        <v>89962591.769999981</v>
      </c>
      <c r="AL6" s="27">
        <f t="shared" si="0"/>
        <v>51619406.189999998</v>
      </c>
      <c r="AM6" s="27">
        <f t="shared" si="0"/>
        <v>28786803.090000004</v>
      </c>
      <c r="AN6" s="27">
        <f t="shared" si="0"/>
        <v>60317256.200000018</v>
      </c>
      <c r="AO6" s="27">
        <f t="shared" si="0"/>
        <v>35617209.220000014</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387</v>
      </c>
      <c r="B7" s="57">
        <f>B6/B4*100</f>
        <v>37.342297460352505</v>
      </c>
      <c r="C7" s="57">
        <f t="shared" ref="C7:D7" si="2">C6/C4*100</f>
        <v>38.108696800209131</v>
      </c>
      <c r="D7" s="57">
        <f t="shared" si="2"/>
        <v>38.77754982856078</v>
      </c>
      <c r="E7" s="57">
        <f>E6/E4</f>
        <v>0.39923750420732607</v>
      </c>
      <c r="F7" s="57">
        <f t="shared" ref="F7:BQ7" si="3">F6/F4</f>
        <v>0.37919442990144642</v>
      </c>
      <c r="G7" s="57">
        <f t="shared" si="3"/>
        <v>0.37853459652837307</v>
      </c>
      <c r="H7" s="57">
        <f t="shared" si="3"/>
        <v>0.37585595983248832</v>
      </c>
      <c r="I7" s="57">
        <f t="shared" si="3"/>
        <v>0.40450114922625885</v>
      </c>
      <c r="J7" s="57">
        <f t="shared" si="3"/>
        <v>0.37313903843024521</v>
      </c>
      <c r="K7" s="57">
        <f t="shared" si="3"/>
        <v>0.37305307610166394</v>
      </c>
      <c r="L7" s="57">
        <f t="shared" si="3"/>
        <v>0.38815384475654352</v>
      </c>
      <c r="M7" s="57">
        <f t="shared" si="3"/>
        <v>0.37340041231552523</v>
      </c>
      <c r="N7" s="57">
        <f t="shared" si="3"/>
        <v>0.38511673466562502</v>
      </c>
      <c r="O7" s="57">
        <f t="shared" si="3"/>
        <v>0.38016594227670558</v>
      </c>
      <c r="P7" s="57">
        <f t="shared" si="3"/>
        <v>0.37880715359573014</v>
      </c>
      <c r="Q7" s="57">
        <f t="shared" si="3"/>
        <v>0.39100438439808388</v>
      </c>
      <c r="R7" s="57">
        <f t="shared" si="3"/>
        <v>0.38067990257635193</v>
      </c>
      <c r="S7" s="57">
        <f t="shared" si="3"/>
        <v>0.37777805553327981</v>
      </c>
      <c r="T7" s="57">
        <f t="shared" si="3"/>
        <v>0.36646649251403429</v>
      </c>
      <c r="U7" s="57">
        <f t="shared" si="3"/>
        <v>0.36325240235645828</v>
      </c>
      <c r="V7" s="57">
        <f t="shared" si="3"/>
        <v>0.37205125372519249</v>
      </c>
      <c r="W7" s="57">
        <f t="shared" si="3"/>
        <v>0.34675667454181902</v>
      </c>
      <c r="X7" s="57">
        <f t="shared" si="3"/>
        <v>0.3390969643538515</v>
      </c>
      <c r="Y7" s="57">
        <f t="shared" si="3"/>
        <v>0.32170327342278016</v>
      </c>
      <c r="Z7" s="57">
        <f t="shared" si="3"/>
        <v>0.33601146760255163</v>
      </c>
      <c r="AA7" s="57">
        <f t="shared" si="3"/>
        <v>0.3205359685146984</v>
      </c>
      <c r="AB7" s="57">
        <f t="shared" si="3"/>
        <v>0.2744299464377134</v>
      </c>
      <c r="AC7" s="57">
        <f t="shared" si="3"/>
        <v>0.19400384489726102</v>
      </c>
      <c r="AD7" s="57">
        <f t="shared" si="3"/>
        <v>0.18845747328567194</v>
      </c>
      <c r="AE7" s="57">
        <f t="shared" si="3"/>
        <v>0.18098771347237247</v>
      </c>
      <c r="AF7" s="57">
        <f t="shared" si="3"/>
        <v>0.15575781992739193</v>
      </c>
      <c r="AG7" s="57">
        <f t="shared" si="3"/>
        <v>0.26185914539055133</v>
      </c>
      <c r="AH7" s="57">
        <f t="shared" si="3"/>
        <v>0.27463752354239224</v>
      </c>
      <c r="AI7" s="57">
        <f t="shared" si="3"/>
        <v>0.27566119021453195</v>
      </c>
      <c r="AJ7" s="57">
        <f t="shared" si="3"/>
        <v>0.25101767815240139</v>
      </c>
      <c r="AK7" s="57">
        <f t="shared" si="3"/>
        <v>0.2468791747822742</v>
      </c>
      <c r="AL7" s="57">
        <f t="shared" si="3"/>
        <v>0.22210844605075333</v>
      </c>
      <c r="AM7" s="57">
        <f t="shared" si="3"/>
        <v>0.21452666003143275</v>
      </c>
      <c r="AN7" s="57">
        <f t="shared" si="3"/>
        <v>0.23227804025603438</v>
      </c>
      <c r="AO7" s="57">
        <f t="shared" si="3"/>
        <v>0.21726632110119098</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388</v>
      </c>
      <c r="B8" s="189">
        <v>64533771.479999997</v>
      </c>
      <c r="C8" s="189">
        <v>43080148.43</v>
      </c>
      <c r="D8" s="189">
        <v>22247984.079999998</v>
      </c>
      <c r="E8" s="189">
        <v>100268329.19</v>
      </c>
      <c r="F8" s="189">
        <v>71892695.629999995</v>
      </c>
      <c r="G8" s="189">
        <v>43900756.210000001</v>
      </c>
      <c r="H8" s="189">
        <v>19412909.550000001</v>
      </c>
      <c r="I8" s="189">
        <v>82211800.379999995</v>
      </c>
      <c r="J8" s="189">
        <v>31009864.260000002</v>
      </c>
      <c r="K8" s="189">
        <v>19761763.640000001</v>
      </c>
      <c r="L8" s="189">
        <v>10225822.73</v>
      </c>
      <c r="M8" s="189">
        <v>36895751.240000002</v>
      </c>
      <c r="N8" s="189">
        <v>24014504.899999999</v>
      </c>
      <c r="O8" s="189">
        <v>12676136.92</v>
      </c>
      <c r="P8" s="189">
        <v>6493513.25</v>
      </c>
      <c r="Q8" s="189">
        <v>21959269.190000001</v>
      </c>
      <c r="R8" s="189">
        <v>18739175.539999999</v>
      </c>
      <c r="S8" s="189">
        <v>13935854.970000001</v>
      </c>
      <c r="T8" s="189">
        <v>6826486.5099999998</v>
      </c>
      <c r="U8" s="189">
        <v>17120043.030000001</v>
      </c>
      <c r="V8" s="189">
        <v>12594479.880000001</v>
      </c>
      <c r="W8" s="189">
        <v>8678637.1699999999</v>
      </c>
      <c r="X8" s="189">
        <v>3769022.05</v>
      </c>
      <c r="Y8" s="189">
        <v>13336172.279999999</v>
      </c>
      <c r="Z8" s="189">
        <v>9665778.0899999999</v>
      </c>
      <c r="AA8" s="189">
        <v>6410557.4199999999</v>
      </c>
      <c r="AB8" s="189">
        <v>2911324.51</v>
      </c>
      <c r="AC8" s="189">
        <v>3353912.79</v>
      </c>
      <c r="AD8" s="189">
        <v>2210431.5</v>
      </c>
      <c r="AE8" s="189">
        <v>1193724.8799999999</v>
      </c>
      <c r="AF8" s="189">
        <v>126479.66</v>
      </c>
      <c r="AG8" s="189">
        <v>383156.72</v>
      </c>
      <c r="AH8" s="189">
        <v>163679.24</v>
      </c>
      <c r="AI8" s="189">
        <v>38125</v>
      </c>
      <c r="AJ8" s="189">
        <v>20624.990000000002</v>
      </c>
      <c r="AK8" s="189">
        <v>70000</v>
      </c>
      <c r="AL8" s="189">
        <v>52499.99</v>
      </c>
      <c r="AM8" s="189">
        <v>39583.33</v>
      </c>
      <c r="AN8" s="189">
        <v>70000</v>
      </c>
      <c r="AO8" s="189">
        <v>70000</v>
      </c>
      <c r="AP8" s="189">
        <v>0</v>
      </c>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189"/>
      <c r="BP8" s="189"/>
      <c r="BQ8" s="189"/>
      <c r="BR8" s="189"/>
      <c r="BS8" s="189"/>
      <c r="BT8" s="189"/>
      <c r="BU8" s="189"/>
      <c r="BV8" s="189"/>
      <c r="BW8" s="189"/>
      <c r="BX8" s="189"/>
      <c r="BY8" s="189"/>
      <c r="BZ8" s="189"/>
      <c r="CA8" s="189"/>
      <c r="CB8" s="189"/>
      <c r="CC8" s="189"/>
      <c r="CD8" s="189"/>
      <c r="CE8" s="189"/>
      <c r="CF8" s="189"/>
      <c r="CG8" s="189"/>
      <c r="CH8" s="189"/>
      <c r="CI8" s="189"/>
      <c r="CJ8" s="189"/>
      <c r="CK8" s="189"/>
    </row>
    <row r="9" spans="1:89">
      <c r="A9" s="17" t="s">
        <v>389</v>
      </c>
      <c r="B9" s="189">
        <v>292605855.30000001</v>
      </c>
      <c r="C9" s="189">
        <v>181082640.61000001</v>
      </c>
      <c r="D9" s="189">
        <v>96370680.810000002</v>
      </c>
      <c r="E9" s="189">
        <v>336178911.95999998</v>
      </c>
      <c r="F9" s="189">
        <v>216761710.46000001</v>
      </c>
      <c r="G9" s="189">
        <v>136774629.74000001</v>
      </c>
      <c r="H9" s="189">
        <v>62716184.32</v>
      </c>
      <c r="I9" s="189">
        <v>240027139.16999999</v>
      </c>
      <c r="J9" s="189">
        <v>165889017.03</v>
      </c>
      <c r="K9" s="189">
        <v>103318327.73999999</v>
      </c>
      <c r="L9" s="189">
        <v>49076483.280000001</v>
      </c>
      <c r="M9" s="189">
        <v>163772435.83000001</v>
      </c>
      <c r="N9" s="189">
        <v>106216784.86</v>
      </c>
      <c r="O9" s="189">
        <v>59753480.030000001</v>
      </c>
      <c r="P9" s="189">
        <v>26202237.870000001</v>
      </c>
      <c r="Q9" s="189">
        <v>98523376.540000007</v>
      </c>
      <c r="R9" s="189">
        <v>55933899.460000001</v>
      </c>
      <c r="S9" s="189">
        <v>33359104.34</v>
      </c>
      <c r="T9" s="189">
        <v>20531440.43</v>
      </c>
      <c r="U9" s="189">
        <v>54142695.109999999</v>
      </c>
      <c r="V9" s="189">
        <v>43221231.140000001</v>
      </c>
      <c r="W9" s="189">
        <v>20653168.32</v>
      </c>
      <c r="X9" s="189">
        <v>9120554.3800000008</v>
      </c>
      <c r="Y9" s="189">
        <v>41348603.899999999</v>
      </c>
      <c r="Z9" s="189">
        <v>23995136.379999999</v>
      </c>
      <c r="AA9" s="189">
        <v>15763913.140000001</v>
      </c>
      <c r="AB9" s="189">
        <v>9093100.9399999995</v>
      </c>
      <c r="AC9" s="189">
        <v>24868725.66</v>
      </c>
      <c r="AD9" s="189">
        <v>17757420.539999999</v>
      </c>
      <c r="AE9" s="189">
        <v>10865803.09</v>
      </c>
      <c r="AF9" s="189">
        <v>4694530.93</v>
      </c>
      <c r="AG9" s="189">
        <v>16105280.189999999</v>
      </c>
      <c r="AH9" s="189">
        <v>12087930.18</v>
      </c>
      <c r="AI9" s="189">
        <v>7820526.9199999999</v>
      </c>
      <c r="AJ9" s="189">
        <v>2867851.13</v>
      </c>
      <c r="AK9" s="189">
        <v>10127758.24</v>
      </c>
      <c r="AL9" s="189">
        <v>5490233.4199999999</v>
      </c>
      <c r="AM9" s="189">
        <v>3153390.14</v>
      </c>
      <c r="AN9" s="189">
        <v>9445406.2799999993</v>
      </c>
      <c r="AO9" s="189">
        <v>5025537.62</v>
      </c>
      <c r="AP9" s="189">
        <v>0</v>
      </c>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189"/>
      <c r="BP9" s="189"/>
      <c r="BQ9" s="189"/>
      <c r="BR9" s="189"/>
      <c r="BS9" s="189"/>
      <c r="BT9" s="189"/>
      <c r="BU9" s="189"/>
      <c r="BV9" s="189"/>
      <c r="BW9" s="189"/>
      <c r="BX9" s="189"/>
      <c r="BY9" s="189"/>
      <c r="BZ9" s="189"/>
      <c r="CA9" s="189"/>
      <c r="CB9" s="189"/>
      <c r="CC9" s="189"/>
      <c r="CD9" s="189"/>
      <c r="CE9" s="189"/>
      <c r="CF9" s="189"/>
      <c r="CG9" s="189"/>
      <c r="CH9" s="189"/>
      <c r="CI9" s="189"/>
      <c r="CJ9" s="189"/>
      <c r="CK9" s="189"/>
    </row>
    <row r="10" spans="1:89">
      <c r="A10" s="17" t="s">
        <v>390</v>
      </c>
      <c r="B10" s="189">
        <v>398531855.00999999</v>
      </c>
      <c r="C10" s="189">
        <v>417380626.13</v>
      </c>
      <c r="D10" s="189">
        <v>198274463.37</v>
      </c>
      <c r="E10" s="189">
        <v>864322891.36000001</v>
      </c>
      <c r="F10" s="189">
        <v>647843606.34000003</v>
      </c>
      <c r="G10" s="189">
        <v>395468876.64999998</v>
      </c>
      <c r="H10" s="189">
        <v>210178031.81999999</v>
      </c>
      <c r="I10" s="189">
        <v>775920767.91999996</v>
      </c>
      <c r="J10" s="189">
        <v>545472048.75</v>
      </c>
      <c r="K10" s="189">
        <v>323161162.76999998</v>
      </c>
      <c r="L10" s="189">
        <v>149319545.38999999</v>
      </c>
      <c r="M10" s="189">
        <v>570279932.17999995</v>
      </c>
      <c r="N10" s="189">
        <v>401645141.57999998</v>
      </c>
      <c r="O10" s="189">
        <v>240493510.53</v>
      </c>
      <c r="P10" s="189">
        <v>111896340.84</v>
      </c>
      <c r="Q10" s="189">
        <v>399825261.04000002</v>
      </c>
      <c r="R10" s="189">
        <v>296797842.14999998</v>
      </c>
      <c r="S10" s="189">
        <v>215498347.09</v>
      </c>
      <c r="T10" s="189">
        <v>101043686.04000001</v>
      </c>
      <c r="U10" s="189">
        <v>216663155.28999999</v>
      </c>
      <c r="V10" s="189">
        <v>147046704.65000001</v>
      </c>
      <c r="W10" s="189">
        <v>88810181.090000004</v>
      </c>
      <c r="X10" s="189">
        <v>38629243.079999998</v>
      </c>
      <c r="Y10" s="189">
        <v>111782174.23999999</v>
      </c>
      <c r="Z10" s="189">
        <v>64909456.659999996</v>
      </c>
      <c r="AA10" s="189">
        <v>43108593.020000003</v>
      </c>
      <c r="AB10" s="189">
        <v>22326863.969999999</v>
      </c>
      <c r="AC10" s="189">
        <v>64800429.969999999</v>
      </c>
      <c r="AD10" s="189">
        <v>33300997.690000001</v>
      </c>
      <c r="AE10" s="189">
        <v>21493699.539999999</v>
      </c>
      <c r="AF10" s="189">
        <v>9027430.5999999996</v>
      </c>
      <c r="AG10" s="189">
        <v>28842589.41</v>
      </c>
      <c r="AH10" s="189">
        <v>13215030.960000001</v>
      </c>
      <c r="AI10" s="189">
        <v>8595455.2100000009</v>
      </c>
      <c r="AJ10" s="189">
        <v>4419985.05</v>
      </c>
      <c r="AK10" s="189">
        <v>15234670.18</v>
      </c>
      <c r="AL10" s="189">
        <v>9367403.0800000001</v>
      </c>
      <c r="AM10" s="189">
        <v>5300378.41</v>
      </c>
      <c r="AN10" s="189">
        <v>7973823.1600000001</v>
      </c>
      <c r="AO10" s="189">
        <v>5128016.9400000004</v>
      </c>
      <c r="AP10" s="189">
        <v>0</v>
      </c>
      <c r="AQ10" s="189"/>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row>
    <row r="11" spans="1:89">
      <c r="A11" s="17" t="s">
        <v>391</v>
      </c>
      <c r="B11" s="189">
        <v>179401749.36000001</v>
      </c>
      <c r="C11" s="189">
        <v>135041694.75</v>
      </c>
      <c r="D11" s="189">
        <v>15705715.609999999</v>
      </c>
      <c r="E11" s="189">
        <v>29956438.440000001</v>
      </c>
      <c r="F11" s="189">
        <v>6312006.3799999999</v>
      </c>
      <c r="G11" s="189">
        <v>-25400189.350000001</v>
      </c>
      <c r="H11" s="189">
        <v>-21615838.510000002</v>
      </c>
      <c r="I11" s="189">
        <v>164488091.91</v>
      </c>
      <c r="J11" s="189">
        <v>76984314.400000006</v>
      </c>
      <c r="K11" s="189">
        <v>48314025.810000002</v>
      </c>
      <c r="L11" s="189">
        <v>6454043.5800000001</v>
      </c>
      <c r="M11" s="189">
        <v>71429859.040000007</v>
      </c>
      <c r="N11" s="189">
        <v>54920771.630000003</v>
      </c>
      <c r="O11" s="189">
        <v>9965352.8900000006</v>
      </c>
      <c r="P11" s="189">
        <v>12076604.41</v>
      </c>
      <c r="Q11" s="189">
        <v>78913357.269999996</v>
      </c>
      <c r="R11" s="189">
        <v>54490741.600000001</v>
      </c>
      <c r="S11" s="189">
        <v>28900364</v>
      </c>
      <c r="T11" s="189">
        <v>29422083.18</v>
      </c>
      <c r="U11" s="189">
        <v>8659917.5299999993</v>
      </c>
      <c r="V11" s="189">
        <v>7328970.8700000001</v>
      </c>
      <c r="W11" s="189">
        <v>1006110.68</v>
      </c>
      <c r="X11" s="189">
        <v>-592788.94999999995</v>
      </c>
      <c r="Y11" s="189">
        <v>10385228.449999999</v>
      </c>
      <c r="Z11" s="189">
        <v>7139853.0599999996</v>
      </c>
      <c r="AA11" s="189">
        <v>6491154.3899999997</v>
      </c>
      <c r="AB11" s="189">
        <v>3048868.9</v>
      </c>
      <c r="AC11" s="189">
        <v>4212918.57</v>
      </c>
      <c r="AD11" s="189">
        <v>2871057.36</v>
      </c>
      <c r="AE11" s="189">
        <v>2062712.44</v>
      </c>
      <c r="AF11" s="189">
        <v>986267</v>
      </c>
      <c r="AG11" s="189">
        <v>715772.4</v>
      </c>
      <c r="AH11" s="189">
        <v>1531750.61</v>
      </c>
      <c r="AI11" s="189">
        <v>814137.39</v>
      </c>
      <c r="AJ11" s="189">
        <v>355736.02</v>
      </c>
      <c r="AK11" s="189">
        <v>994588.04</v>
      </c>
      <c r="AL11" s="189">
        <v>1834306.35</v>
      </c>
      <c r="AM11" s="189">
        <v>880368.15</v>
      </c>
      <c r="AN11" s="189">
        <v>372501.82</v>
      </c>
      <c r="AO11" s="189">
        <v>-699916.22</v>
      </c>
      <c r="AP11" s="189">
        <v>0</v>
      </c>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row>
    <row r="12" spans="1:89" s="7" customFormat="1">
      <c r="A12" s="21" t="s">
        <v>392</v>
      </c>
      <c r="B12" s="29">
        <f>B55</f>
        <v>463</v>
      </c>
      <c r="C12" s="29">
        <f t="shared" ref="C12:BN12" si="5">C55</f>
        <v>603</v>
      </c>
      <c r="D12" s="29">
        <f t="shared" si="5"/>
        <v>653</v>
      </c>
      <c r="E12" s="29">
        <f t="shared" si="5"/>
        <v>-4241705.5999999996</v>
      </c>
      <c r="F12" s="29">
        <f t="shared" si="5"/>
        <v>1204</v>
      </c>
      <c r="G12" s="29">
        <f t="shared" si="5"/>
        <v>868</v>
      </c>
      <c r="H12" s="29">
        <f t="shared" si="5"/>
        <v>644</v>
      </c>
      <c r="I12" s="29">
        <f t="shared" si="5"/>
        <v>-30497795.780000001</v>
      </c>
      <c r="J12" s="29">
        <f t="shared" si="5"/>
        <v>0</v>
      </c>
      <c r="K12" s="29">
        <f t="shared" si="5"/>
        <v>0</v>
      </c>
      <c r="L12" s="29">
        <f t="shared" si="5"/>
        <v>0</v>
      </c>
      <c r="M12" s="29">
        <f t="shared" si="5"/>
        <v>-750050.89</v>
      </c>
      <c r="N12" s="29">
        <f t="shared" si="5"/>
        <v>0</v>
      </c>
      <c r="O12" s="29">
        <f t="shared" si="5"/>
        <v>0</v>
      </c>
      <c r="P12" s="29">
        <f t="shared" si="5"/>
        <v>0</v>
      </c>
      <c r="Q12" s="29">
        <f t="shared" si="5"/>
        <v>-6615005.9699999997</v>
      </c>
      <c r="R12" s="29">
        <f t="shared" si="5"/>
        <v>0</v>
      </c>
      <c r="S12" s="29">
        <f t="shared" si="5"/>
        <v>0</v>
      </c>
      <c r="T12" s="29">
        <f t="shared" si="5"/>
        <v>0</v>
      </c>
      <c r="U12" s="29">
        <f t="shared" si="5"/>
        <v>-5869478</v>
      </c>
      <c r="V12" s="29">
        <f t="shared" si="5"/>
        <v>0</v>
      </c>
      <c r="W12" s="29">
        <f t="shared" si="5"/>
        <v>0</v>
      </c>
      <c r="X12" s="29">
        <f t="shared" si="5"/>
        <v>0</v>
      </c>
      <c r="Y12" s="29">
        <f t="shared" si="5"/>
        <v>-12046824.75</v>
      </c>
      <c r="Z12" s="29">
        <f t="shared" si="5"/>
        <v>0</v>
      </c>
      <c r="AA12" s="29">
        <f t="shared" si="5"/>
        <v>0</v>
      </c>
      <c r="AB12" s="29">
        <f t="shared" si="5"/>
        <v>0</v>
      </c>
      <c r="AC12" s="29">
        <f t="shared" si="5"/>
        <v>-8254042.6900000004</v>
      </c>
      <c r="AD12" s="29">
        <f t="shared" si="5"/>
        <v>0</v>
      </c>
      <c r="AE12" s="29">
        <f t="shared" si="5"/>
        <v>0</v>
      </c>
      <c r="AF12" s="29">
        <f t="shared" si="5"/>
        <v>0</v>
      </c>
      <c r="AG12" s="29">
        <f t="shared" si="5"/>
        <v>-2922096.12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393</v>
      </c>
      <c r="B13" s="189">
        <v>9518568.6699999999</v>
      </c>
      <c r="C13" s="189">
        <v>6382057.3200000003</v>
      </c>
      <c r="D13" s="189">
        <v>354137.61</v>
      </c>
      <c r="E13" s="189">
        <v>21510185.379999999</v>
      </c>
      <c r="F13" s="189">
        <v>19825786.989999998</v>
      </c>
      <c r="G13" s="189">
        <v>4774580.49</v>
      </c>
      <c r="H13" s="189">
        <v>5813969.1799999997</v>
      </c>
      <c r="I13" s="189">
        <v>37095809.289999999</v>
      </c>
      <c r="J13" s="189">
        <v>25344097.960000001</v>
      </c>
      <c r="K13" s="189">
        <v>2919367.04</v>
      </c>
      <c r="L13" s="189">
        <v>815712.73</v>
      </c>
      <c r="M13" s="189">
        <v>12528656.32</v>
      </c>
      <c r="N13" s="189">
        <v>6910580.9400000004</v>
      </c>
      <c r="O13" s="189">
        <v>3972604.43</v>
      </c>
      <c r="P13" s="189">
        <v>818631.97</v>
      </c>
      <c r="Q13" s="189">
        <v>15735626.609999999</v>
      </c>
      <c r="R13" s="189">
        <v>10189115.41</v>
      </c>
      <c r="S13" s="189">
        <v>9649964.7300000004</v>
      </c>
      <c r="T13" s="189">
        <v>3038872.15</v>
      </c>
      <c r="U13" s="189">
        <v>10072419.789999999</v>
      </c>
      <c r="V13" s="189">
        <v>7719595.21</v>
      </c>
      <c r="W13" s="189">
        <v>1108570.54</v>
      </c>
      <c r="X13" s="189">
        <v>373872.67</v>
      </c>
      <c r="Y13" s="189">
        <v>13764390.75</v>
      </c>
      <c r="Z13" s="189">
        <v>9558163.1899999995</v>
      </c>
      <c r="AA13" s="189">
        <v>327985.52</v>
      </c>
      <c r="AB13" s="189">
        <v>143497.67000000001</v>
      </c>
      <c r="AC13" s="189">
        <v>3364117.87</v>
      </c>
      <c r="AD13" s="189">
        <v>829812.38</v>
      </c>
      <c r="AE13" s="189">
        <v>774325.87</v>
      </c>
      <c r="AF13" s="189">
        <v>486158.66</v>
      </c>
      <c r="AG13" s="189">
        <v>4308996.8899999997</v>
      </c>
      <c r="AH13" s="189">
        <v>980568.92</v>
      </c>
      <c r="AI13" s="189">
        <v>224071.25</v>
      </c>
      <c r="AJ13" s="189">
        <v>120346.69</v>
      </c>
      <c r="AK13" s="189">
        <v>2830033.33</v>
      </c>
      <c r="AL13" s="189">
        <v>232355</v>
      </c>
      <c r="AM13" s="189">
        <v>0</v>
      </c>
      <c r="AN13" s="189">
        <v>1337819.57</v>
      </c>
      <c r="AO13" s="189">
        <v>156115</v>
      </c>
      <c r="AP13" s="189">
        <v>0</v>
      </c>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row>
    <row r="14" spans="1:89">
      <c r="A14" s="17" t="s">
        <v>394</v>
      </c>
      <c r="B14" s="189">
        <v>1932709.28</v>
      </c>
      <c r="C14" s="189">
        <v>386333.75</v>
      </c>
      <c r="D14" s="189">
        <v>252190.55</v>
      </c>
      <c r="E14" s="189">
        <v>2063740.74</v>
      </c>
      <c r="F14" s="189">
        <v>701457.82</v>
      </c>
      <c r="G14" s="189">
        <v>517880.12</v>
      </c>
      <c r="H14" s="189">
        <v>18443.05</v>
      </c>
      <c r="I14" s="189">
        <v>2272851.84</v>
      </c>
      <c r="J14" s="189">
        <v>3601431.81</v>
      </c>
      <c r="K14" s="189">
        <v>102547.84</v>
      </c>
      <c r="L14" s="189">
        <v>48649.61</v>
      </c>
      <c r="M14" s="189">
        <v>1963680.85</v>
      </c>
      <c r="N14" s="189">
        <v>97398.8</v>
      </c>
      <c r="O14" s="189">
        <v>62739.82</v>
      </c>
      <c r="P14" s="189">
        <v>28603.79</v>
      </c>
      <c r="Q14" s="189">
        <v>2855510.94</v>
      </c>
      <c r="R14" s="189">
        <v>267679.88</v>
      </c>
      <c r="S14" s="189">
        <v>62176.18</v>
      </c>
      <c r="T14" s="189">
        <v>28979.95</v>
      </c>
      <c r="U14" s="189">
        <v>175498.31</v>
      </c>
      <c r="V14" s="189">
        <v>171815.9</v>
      </c>
      <c r="W14" s="189">
        <v>130000</v>
      </c>
      <c r="X14" s="189">
        <v>170000</v>
      </c>
      <c r="Y14" s="189">
        <v>1715346.58</v>
      </c>
      <c r="Z14" s="189">
        <v>459615.39</v>
      </c>
      <c r="AA14" s="189">
        <v>330000</v>
      </c>
      <c r="AB14" s="189">
        <v>0</v>
      </c>
      <c r="AC14" s="189">
        <v>284725.5</v>
      </c>
      <c r="AD14" s="189">
        <v>233927.98</v>
      </c>
      <c r="AE14" s="189">
        <v>180000</v>
      </c>
      <c r="AF14" s="189">
        <v>0</v>
      </c>
      <c r="AG14" s="189">
        <v>0</v>
      </c>
      <c r="AH14" s="189">
        <v>0</v>
      </c>
      <c r="AI14" s="189">
        <v>0</v>
      </c>
      <c r="AJ14" s="189">
        <v>0</v>
      </c>
      <c r="AK14" s="189">
        <v>19503.86</v>
      </c>
      <c r="AL14" s="189">
        <v>17000.86</v>
      </c>
      <c r="AM14" s="189">
        <v>17000.86</v>
      </c>
      <c r="AN14" s="189">
        <v>22579.8</v>
      </c>
      <c r="AO14" s="189">
        <v>11272.84</v>
      </c>
      <c r="AP14" s="189">
        <v>0</v>
      </c>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c r="BO14" s="189"/>
      <c r="BP14" s="189"/>
      <c r="BQ14" s="189"/>
      <c r="BR14" s="189"/>
      <c r="BS14" s="189"/>
      <c r="BT14" s="189"/>
      <c r="BU14" s="189"/>
      <c r="BV14" s="189"/>
      <c r="BW14" s="189"/>
      <c r="BX14" s="189"/>
      <c r="BY14" s="189"/>
      <c r="BZ14" s="189"/>
      <c r="CA14" s="189"/>
      <c r="CB14" s="189"/>
      <c r="CC14" s="189"/>
      <c r="CD14" s="189"/>
      <c r="CE14" s="189"/>
      <c r="CF14" s="189"/>
      <c r="CG14" s="189"/>
      <c r="CH14" s="189"/>
      <c r="CI14" s="189"/>
      <c r="CJ14" s="189"/>
      <c r="CK14" s="189"/>
    </row>
    <row r="15" spans="1:89" s="2" customFormat="1">
      <c r="A15" s="20" t="s">
        <v>397</v>
      </c>
      <c r="B15" s="28">
        <f>B6-(B8+B9+B10+B11+B12)+B13-B14</f>
        <v>3118456601.8200006</v>
      </c>
      <c r="C15" s="28">
        <f t="shared" ref="C15:BN15" si="7">C6-(C8+C9+C10+C11+C12)+C13-C14</f>
        <v>1988701869.4700005</v>
      </c>
      <c r="D15" s="28">
        <f t="shared" si="7"/>
        <v>1044245025.1199999</v>
      </c>
      <c r="E15" s="28">
        <f t="shared" si="7"/>
        <v>3399601867.0100002</v>
      </c>
      <c r="F15" s="28">
        <f t="shared" si="7"/>
        <v>2659939824.5599985</v>
      </c>
      <c r="G15" s="28">
        <f t="shared" si="7"/>
        <v>1743932083.0699999</v>
      </c>
      <c r="H15" s="28">
        <f t="shared" si="7"/>
        <v>750005325.28999984</v>
      </c>
      <c r="I15" s="28">
        <f t="shared" si="7"/>
        <v>2537330692.1699986</v>
      </c>
      <c r="J15" s="28">
        <f t="shared" si="7"/>
        <v>1872913234.9700003</v>
      </c>
      <c r="K15" s="28">
        <f t="shared" si="7"/>
        <v>1186692140.7700002</v>
      </c>
      <c r="L15" s="28">
        <f t="shared" si="7"/>
        <v>564948374.14999998</v>
      </c>
      <c r="M15" s="28">
        <f t="shared" si="7"/>
        <v>1954271355.8799994</v>
      </c>
      <c r="N15" s="28">
        <f t="shared" si="7"/>
        <v>1428367811.7999997</v>
      </c>
      <c r="O15" s="28">
        <f t="shared" si="7"/>
        <v>935997108.87</v>
      </c>
      <c r="P15" s="28">
        <f t="shared" si="7"/>
        <v>412466283.83999997</v>
      </c>
      <c r="Q15" s="28">
        <f t="shared" si="7"/>
        <v>1456660574.2599995</v>
      </c>
      <c r="R15" s="28">
        <f t="shared" si="7"/>
        <v>974426680.81999993</v>
      </c>
      <c r="S15" s="28">
        <f t="shared" si="7"/>
        <v>633707912.95000005</v>
      </c>
      <c r="T15" s="28">
        <f t="shared" si="7"/>
        <v>292725039.82999998</v>
      </c>
      <c r="U15" s="28">
        <f t="shared" si="7"/>
        <v>878937248.06999993</v>
      </c>
      <c r="V15" s="28">
        <f t="shared" si="7"/>
        <v>645606885.39000022</v>
      </c>
      <c r="W15" s="28">
        <f t="shared" si="7"/>
        <v>405395733.76000017</v>
      </c>
      <c r="X15" s="28">
        <f t="shared" si="7"/>
        <v>171617854.71000001</v>
      </c>
      <c r="Y15" s="28">
        <f t="shared" si="7"/>
        <v>566129273.23000002</v>
      </c>
      <c r="Z15" s="28">
        <f t="shared" si="7"/>
        <v>393730964.58000004</v>
      </c>
      <c r="AA15" s="28">
        <f t="shared" si="7"/>
        <v>236464886.50000006</v>
      </c>
      <c r="AB15" s="28">
        <f t="shared" si="7"/>
        <v>74599783.590000018</v>
      </c>
      <c r="AC15" s="28">
        <f t="shared" si="7"/>
        <v>210151435.73000008</v>
      </c>
      <c r="AD15" s="28">
        <f t="shared" si="7"/>
        <v>151539117.89000005</v>
      </c>
      <c r="AE15" s="28">
        <f t="shared" si="7"/>
        <v>82149078.800000012</v>
      </c>
      <c r="AF15" s="28">
        <f t="shared" si="7"/>
        <v>22665692.430000011</v>
      </c>
      <c r="AG15" s="28">
        <f t="shared" si="7"/>
        <v>98451158.520000026</v>
      </c>
      <c r="AH15" s="28">
        <f t="shared" si="7"/>
        <v>78349967.760000035</v>
      </c>
      <c r="AI15" s="28">
        <f t="shared" si="7"/>
        <v>44554904.280000016</v>
      </c>
      <c r="AJ15" s="28">
        <f t="shared" si="7"/>
        <v>14812146.809999995</v>
      </c>
      <c r="AK15" s="28">
        <f t="shared" si="7"/>
        <v>66346104.779999979</v>
      </c>
      <c r="AL15" s="28">
        <f t="shared" si="7"/>
        <v>35090317.489999995</v>
      </c>
      <c r="AM15" s="28">
        <f t="shared" si="7"/>
        <v>19396082.200000003</v>
      </c>
      <c r="AN15" s="28">
        <f t="shared" si="7"/>
        <v>43770764.710000023</v>
      </c>
      <c r="AO15" s="28">
        <f t="shared" si="7"/>
        <v>26238413.040000014</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395</v>
      </c>
      <c r="B16" s="26">
        <f>B15*B41</f>
        <v>421726334.70474404</v>
      </c>
      <c r="C16" s="26">
        <f t="shared" ref="C16:BN16" si="9">C15*C41</f>
        <v>297569269.50128883</v>
      </c>
      <c r="D16" s="26">
        <f t="shared" si="9"/>
        <v>169621830.68876407</v>
      </c>
      <c r="E16" s="26">
        <f t="shared" si="9"/>
        <v>503961126.26968676</v>
      </c>
      <c r="F16" s="26">
        <f t="shared" si="9"/>
        <v>460781866.39283919</v>
      </c>
      <c r="G16" s="26">
        <f t="shared" si="9"/>
        <v>303412132.5095607</v>
      </c>
      <c r="H16" s="26">
        <f t="shared" si="9"/>
        <v>146136393.61977574</v>
      </c>
      <c r="I16" s="26">
        <f t="shared" si="9"/>
        <v>366910249.45005041</v>
      </c>
      <c r="J16" s="26">
        <f t="shared" si="9"/>
        <v>284390148.96537197</v>
      </c>
      <c r="K16" s="26">
        <f t="shared" si="9"/>
        <v>189492352.94044492</v>
      </c>
      <c r="L16" s="26">
        <f t="shared" si="9"/>
        <v>92870353.166977212</v>
      </c>
      <c r="M16" s="26">
        <f t="shared" si="9"/>
        <v>287096828.03054595</v>
      </c>
      <c r="N16" s="26">
        <f t="shared" si="9"/>
        <v>230427718.14087063</v>
      </c>
      <c r="O16" s="26">
        <f t="shared" si="9"/>
        <v>151942376.88114673</v>
      </c>
      <c r="P16" s="26">
        <f t="shared" si="9"/>
        <v>63186713.591518573</v>
      </c>
      <c r="Q16" s="26">
        <f t="shared" si="9"/>
        <v>227683061.55329102</v>
      </c>
      <c r="R16" s="26">
        <f t="shared" si="9"/>
        <v>150804973.82575133</v>
      </c>
      <c r="S16" s="26">
        <f t="shared" si="9"/>
        <v>103193011.1193583</v>
      </c>
      <c r="T16" s="26">
        <f t="shared" si="9"/>
        <v>59811427.992941581</v>
      </c>
      <c r="U16" s="26">
        <f t="shared" si="9"/>
        <v>94138590.418066308</v>
      </c>
      <c r="V16" s="26">
        <f t="shared" si="9"/>
        <v>94882572.017305106</v>
      </c>
      <c r="W16" s="26">
        <f t="shared" si="9"/>
        <v>63858374.247885853</v>
      </c>
      <c r="X16" s="26">
        <f t="shared" si="9"/>
        <v>28022931.878025398</v>
      </c>
      <c r="Y16" s="26">
        <f t="shared" si="9"/>
        <v>85667663.646961853</v>
      </c>
      <c r="Z16" s="26">
        <f t="shared" si="9"/>
        <v>62120148.235745281</v>
      </c>
      <c r="AA16" s="26">
        <f t="shared" si="9"/>
        <v>37132523.487530448</v>
      </c>
      <c r="AB16" s="26">
        <f t="shared" si="9"/>
        <v>21705844.199849077</v>
      </c>
      <c r="AC16" s="26">
        <f t="shared" si="9"/>
        <v>43874851.116707422</v>
      </c>
      <c r="AD16" s="26">
        <f t="shared" si="9"/>
        <v>29352253.121132061</v>
      </c>
      <c r="AE16" s="26">
        <f t="shared" si="9"/>
        <v>15750271.718445899</v>
      </c>
      <c r="AF16" s="26">
        <f t="shared" si="9"/>
        <v>4429348.2775927121</v>
      </c>
      <c r="AG16" s="26">
        <f t="shared" si="9"/>
        <v>14626904.667465117</v>
      </c>
      <c r="AH16" s="26">
        <f t="shared" si="9"/>
        <v>11504377.185266476</v>
      </c>
      <c r="AI16" s="26">
        <f t="shared" si="9"/>
        <v>6898514.6071408223</v>
      </c>
      <c r="AJ16" s="26">
        <f t="shared" si="9"/>
        <v>2274152.1447515101</v>
      </c>
      <c r="AK16" s="26">
        <f t="shared" si="9"/>
        <v>9983526.7976938672</v>
      </c>
      <c r="AL16" s="26">
        <f t="shared" si="9"/>
        <v>5272002.9455808736</v>
      </c>
      <c r="AM16" s="26">
        <f t="shared" si="9"/>
        <v>2962580.9086605692</v>
      </c>
      <c r="AN16" s="26">
        <f t="shared" si="9"/>
        <v>6472788.4316506758</v>
      </c>
      <c r="AO16" s="26">
        <f t="shared" si="9"/>
        <v>2118729.3623828157</v>
      </c>
      <c r="AP16" s="26" t="e">
        <f t="shared" si="9"/>
        <v>#DIV/0!</v>
      </c>
      <c r="AQ16" s="26">
        <f t="shared" si="9"/>
        <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396</v>
      </c>
      <c r="B17" s="27">
        <f>B15-B16</f>
        <v>2696730267.1152568</v>
      </c>
      <c r="C17" s="27">
        <f t="shared" ref="C17:BN17" si="11">C15-C16</f>
        <v>1691132599.9687116</v>
      </c>
      <c r="D17" s="27">
        <f t="shared" si="11"/>
        <v>874623194.43123579</v>
      </c>
      <c r="E17" s="27">
        <f t="shared" si="11"/>
        <v>2895640740.7403135</v>
      </c>
      <c r="F17" s="27">
        <f t="shared" si="11"/>
        <v>2199157958.1671591</v>
      </c>
      <c r="G17" s="27">
        <f t="shared" si="11"/>
        <v>1440519950.5604391</v>
      </c>
      <c r="H17" s="27">
        <f t="shared" si="11"/>
        <v>603868931.67022407</v>
      </c>
      <c r="I17" s="27">
        <f t="shared" si="11"/>
        <v>2170420442.7199483</v>
      </c>
      <c r="J17" s="27">
        <f t="shared" si="11"/>
        <v>1588523086.0046282</v>
      </c>
      <c r="K17" s="27">
        <f t="shared" si="11"/>
        <v>997199787.82955527</v>
      </c>
      <c r="L17" s="27">
        <f t="shared" si="11"/>
        <v>472078020.98302275</v>
      </c>
      <c r="M17" s="27">
        <f t="shared" si="11"/>
        <v>1667174527.8494534</v>
      </c>
      <c r="N17" s="27">
        <f t="shared" si="11"/>
        <v>1197940093.6591291</v>
      </c>
      <c r="O17" s="27">
        <f t="shared" si="11"/>
        <v>784054731.98885322</v>
      </c>
      <c r="P17" s="27">
        <f t="shared" si="11"/>
        <v>349279570.24848139</v>
      </c>
      <c r="Q17" s="27">
        <f t="shared" si="11"/>
        <v>1228977512.7067084</v>
      </c>
      <c r="R17" s="27">
        <f t="shared" si="11"/>
        <v>823621706.99424863</v>
      </c>
      <c r="S17" s="27">
        <f t="shared" si="11"/>
        <v>530514901.83064175</v>
      </c>
      <c r="T17" s="27">
        <f t="shared" si="11"/>
        <v>232913611.8370584</v>
      </c>
      <c r="U17" s="27">
        <f t="shared" si="11"/>
        <v>784798657.65193367</v>
      </c>
      <c r="V17" s="27">
        <f t="shared" si="11"/>
        <v>550724313.37269509</v>
      </c>
      <c r="W17" s="27">
        <f t="shared" si="11"/>
        <v>341537359.51211429</v>
      </c>
      <c r="X17" s="27">
        <f t="shared" si="11"/>
        <v>143594922.83197463</v>
      </c>
      <c r="Y17" s="27">
        <f t="shared" si="11"/>
        <v>480461609.58303815</v>
      </c>
      <c r="Z17" s="27">
        <f t="shared" si="11"/>
        <v>331610816.34425473</v>
      </c>
      <c r="AA17" s="27">
        <f t="shared" si="11"/>
        <v>199332363.01246962</v>
      </c>
      <c r="AB17" s="27">
        <f t="shared" si="11"/>
        <v>52893939.390150942</v>
      </c>
      <c r="AC17" s="27">
        <f t="shared" si="11"/>
        <v>166276584.61329266</v>
      </c>
      <c r="AD17" s="27">
        <f t="shared" si="11"/>
        <v>122186864.76886798</v>
      </c>
      <c r="AE17" s="27">
        <f t="shared" si="11"/>
        <v>66398807.081554115</v>
      </c>
      <c r="AF17" s="27">
        <f t="shared" si="11"/>
        <v>18236344.1524073</v>
      </c>
      <c r="AG17" s="27">
        <f t="shared" si="11"/>
        <v>83824253.852534905</v>
      </c>
      <c r="AH17" s="27">
        <f t="shared" si="11"/>
        <v>66845590.574733555</v>
      </c>
      <c r="AI17" s="27">
        <f t="shared" si="11"/>
        <v>37656389.672859192</v>
      </c>
      <c r="AJ17" s="27">
        <f t="shared" si="11"/>
        <v>12537994.665248485</v>
      </c>
      <c r="AK17" s="27">
        <f t="shared" si="11"/>
        <v>56362577.982306108</v>
      </c>
      <c r="AL17" s="27">
        <f t="shared" si="11"/>
        <v>29818314.544419121</v>
      </c>
      <c r="AM17" s="27">
        <f t="shared" si="11"/>
        <v>16433501.291339435</v>
      </c>
      <c r="AN17" s="27">
        <f t="shared" si="11"/>
        <v>37297976.278349347</v>
      </c>
      <c r="AO17" s="27">
        <f t="shared" si="11"/>
        <v>24119683.6776172</v>
      </c>
      <c r="AP17" s="27" t="e">
        <f t="shared" si="11"/>
        <v>#DIV/0!</v>
      </c>
      <c r="AQ17" s="27">
        <f t="shared" si="11"/>
        <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398</v>
      </c>
      <c r="B18" s="57">
        <f>B17/B4*100</f>
        <v>24.889640820197801</v>
      </c>
      <c r="C18" s="57">
        <f t="shared" ref="C18:D18" si="13">C17/C4*100</f>
        <v>23.356304007912165</v>
      </c>
      <c r="D18" s="57">
        <f t="shared" si="13"/>
        <v>24.634775680556466</v>
      </c>
      <c r="E18" s="57">
        <f>E17/E4</f>
        <v>0.24562072130951626</v>
      </c>
      <c r="F18" s="57">
        <f t="shared" ref="F18:BQ18" si="14">F17/F4</f>
        <v>0.23269958446712449</v>
      </c>
      <c r="G18" s="57">
        <f t="shared" si="14"/>
        <v>0.23807273825447045</v>
      </c>
      <c r="H18" s="57">
        <f t="shared" si="14"/>
        <v>0.22363518569418087</v>
      </c>
      <c r="I18" s="57">
        <f t="shared" si="14"/>
        <v>0.23507845293992502</v>
      </c>
      <c r="J18" s="57">
        <f t="shared" si="14"/>
        <v>0.22195628062940728</v>
      </c>
      <c r="K18" s="57">
        <f t="shared" si="14"/>
        <v>0.22164064930574548</v>
      </c>
      <c r="L18" s="57">
        <f t="shared" si="14"/>
        <v>0.23514559436396032</v>
      </c>
      <c r="M18" s="57">
        <f t="shared" si="14"/>
        <v>0.2235005163851923</v>
      </c>
      <c r="N18" s="57">
        <f t="shared" si="14"/>
        <v>0.22971412164913793</v>
      </c>
      <c r="O18" s="57">
        <f t="shared" si="14"/>
        <v>0.23751129215740918</v>
      </c>
      <c r="P18" s="57">
        <f t="shared" si="14"/>
        <v>0.23279805572722528</v>
      </c>
      <c r="Q18" s="57">
        <f t="shared" si="14"/>
        <v>0.23597462695255161</v>
      </c>
      <c r="R18" s="57">
        <f t="shared" si="14"/>
        <v>0.22548989139357442</v>
      </c>
      <c r="S18" s="57">
        <f t="shared" si="14"/>
        <v>0.21884021531776199</v>
      </c>
      <c r="T18" s="57">
        <f t="shared" si="14"/>
        <v>0.19072095209852544</v>
      </c>
      <c r="U18" s="57">
        <f t="shared" si="14"/>
        <v>0.24581018389564857</v>
      </c>
      <c r="V18" s="57">
        <f t="shared" si="14"/>
        <v>0.2415532593613797</v>
      </c>
      <c r="W18" s="57">
        <f t="shared" si="14"/>
        <v>0.22619980345456556</v>
      </c>
      <c r="X18" s="57">
        <f t="shared" si="14"/>
        <v>0.21900062817999566</v>
      </c>
      <c r="Y18" s="57">
        <f t="shared" si="14"/>
        <v>0.21500789023075978</v>
      </c>
      <c r="Z18" s="57">
        <f t="shared" si="14"/>
        <v>0.22723913394986675</v>
      </c>
      <c r="AA18" s="57">
        <f t="shared" si="14"/>
        <v>0.20728315629067495</v>
      </c>
      <c r="AB18" s="57">
        <f t="shared" si="14"/>
        <v>0.12979383466956676</v>
      </c>
      <c r="AC18" s="57">
        <f t="shared" si="14"/>
        <v>0.10896085874854086</v>
      </c>
      <c r="AD18" s="57">
        <f t="shared" si="14"/>
        <v>0.1111970184465267</v>
      </c>
      <c r="AE18" s="57">
        <f t="shared" si="14"/>
        <v>0.10256291889722972</v>
      </c>
      <c r="AF18" s="57">
        <f t="shared" si="14"/>
        <v>7.6739467248692586E-2</v>
      </c>
      <c r="AG18" s="57">
        <f t="shared" si="14"/>
        <v>0.15990856642610007</v>
      </c>
      <c r="AH18" s="57">
        <f t="shared" si="14"/>
        <v>0.17590012670649166</v>
      </c>
      <c r="AI18" s="57">
        <f t="shared" si="14"/>
        <v>0.16851559486384829</v>
      </c>
      <c r="AJ18" s="57">
        <f t="shared" si="14"/>
        <v>0.14077915048549763</v>
      </c>
      <c r="AK18" s="57">
        <f t="shared" si="14"/>
        <v>0.1546725863172996</v>
      </c>
      <c r="AL18" s="57">
        <f t="shared" si="14"/>
        <v>0.1283025124879591</v>
      </c>
      <c r="AM18" s="57">
        <f t="shared" si="14"/>
        <v>0.12246667799933478</v>
      </c>
      <c r="AN18" s="57">
        <f t="shared" si="14"/>
        <v>0.14363221043617436</v>
      </c>
      <c r="AO18" s="57">
        <f t="shared" si="14"/>
        <v>0.14713098116114365</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399</v>
      </c>
      <c r="B20" s="189">
        <v>-2413623.19</v>
      </c>
      <c r="C20" s="189">
        <v>-693464.34</v>
      </c>
      <c r="D20" s="189">
        <v>0</v>
      </c>
      <c r="E20" s="189">
        <v>-5944394.0599999996</v>
      </c>
      <c r="F20" s="189">
        <v>-10877235.699999999</v>
      </c>
      <c r="G20" s="189">
        <v>-5944394.0599999996</v>
      </c>
      <c r="H20" s="189">
        <v>0</v>
      </c>
      <c r="I20" s="189">
        <v>-10652412.439999999</v>
      </c>
      <c r="J20" s="189">
        <v>-7120831.5199999996</v>
      </c>
      <c r="K20" s="189">
        <v>-3786805.91</v>
      </c>
      <c r="L20" s="189">
        <v>0</v>
      </c>
      <c r="M20" s="189">
        <v>-1871822.56</v>
      </c>
      <c r="N20" s="189">
        <v>0</v>
      </c>
      <c r="O20" s="189">
        <v>0</v>
      </c>
      <c r="P20" s="189">
        <v>0</v>
      </c>
      <c r="Q20" s="189">
        <v>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c r="AR20" s="189"/>
      <c r="AS20" s="189"/>
      <c r="AT20" s="189"/>
      <c r="AU20" s="189"/>
      <c r="AV20" s="189"/>
      <c r="AW20" s="189"/>
      <c r="AX20" s="189"/>
      <c r="AY20" s="189"/>
      <c r="AZ20" s="189"/>
      <c r="BA20" s="189"/>
      <c r="BB20" s="189"/>
      <c r="BC20" s="189"/>
      <c r="BD20" s="189"/>
      <c r="BE20" s="189"/>
      <c r="BF20" s="189"/>
      <c r="BG20" s="189"/>
      <c r="BH20" s="189"/>
      <c r="BI20" s="189"/>
      <c r="BJ20" s="189"/>
      <c r="BK20" s="189"/>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row>
    <row r="21" spans="1:89" s="16" customFormat="1">
      <c r="A21" s="18" t="s">
        <v>87</v>
      </c>
      <c r="B21" s="30"/>
      <c r="C21" s="30"/>
      <c r="D21" s="30"/>
      <c r="E21" s="30"/>
      <c r="F21" s="30"/>
      <c r="G21" s="30"/>
      <c r="H21" s="30"/>
      <c r="I21" s="30"/>
      <c r="J21" s="30"/>
      <c r="K21" s="30"/>
    </row>
    <row r="22" spans="1:89">
      <c r="A22" s="17" t="s">
        <v>400</v>
      </c>
      <c r="B22" s="189">
        <v>0</v>
      </c>
      <c r="C22" s="189">
        <v>0</v>
      </c>
      <c r="D22" s="189">
        <v>0</v>
      </c>
      <c r="E22" s="189">
        <v>850000</v>
      </c>
      <c r="F22" s="189">
        <v>0</v>
      </c>
      <c r="G22" s="189">
        <v>-1929010.4</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row>
    <row r="23" spans="1:89" s="7" customFormat="1">
      <c r="A23" s="21" t="s">
        <v>401</v>
      </c>
      <c r="B23" s="29">
        <f>-B52</f>
        <v>25636</v>
      </c>
      <c r="C23" s="29">
        <f t="shared" ref="C23:BN23" si="16">-C52</f>
        <v>27718</v>
      </c>
      <c r="D23" s="29">
        <f t="shared" si="16"/>
        <v>35317</v>
      </c>
      <c r="E23" s="29">
        <f t="shared" si="16"/>
        <v>902963929.29999995</v>
      </c>
      <c r="F23" s="29">
        <f t="shared" si="16"/>
        <v>34414</v>
      </c>
      <c r="G23" s="29">
        <f t="shared" si="16"/>
        <v>23309</v>
      </c>
      <c r="H23" s="29">
        <f t="shared" si="16"/>
        <v>16814</v>
      </c>
      <c r="I23" s="29">
        <f t="shared" si="16"/>
        <v>765195557.32000005</v>
      </c>
      <c r="J23" s="29">
        <f t="shared" si="16"/>
        <v>0</v>
      </c>
      <c r="K23" s="29">
        <f t="shared" si="16"/>
        <v>0</v>
      </c>
      <c r="L23" s="29">
        <f t="shared" si="16"/>
        <v>0</v>
      </c>
      <c r="M23" s="29">
        <f t="shared" si="16"/>
        <v>746367317.88</v>
      </c>
      <c r="N23" s="29">
        <f t="shared" si="16"/>
        <v>0</v>
      </c>
      <c r="O23" s="29">
        <f t="shared" si="16"/>
        <v>0</v>
      </c>
      <c r="P23" s="29">
        <f t="shared" si="16"/>
        <v>0</v>
      </c>
      <c r="Q23" s="29">
        <f t="shared" si="16"/>
        <v>660406330.34000003</v>
      </c>
      <c r="R23" s="29">
        <f t="shared" si="16"/>
        <v>0</v>
      </c>
      <c r="S23" s="29">
        <f t="shared" si="16"/>
        <v>0</v>
      </c>
      <c r="T23" s="29">
        <f t="shared" si="16"/>
        <v>0</v>
      </c>
      <c r="U23" s="29">
        <f t="shared" si="16"/>
        <v>821239268.10000002</v>
      </c>
      <c r="V23" s="29">
        <f t="shared" si="16"/>
        <v>0</v>
      </c>
      <c r="W23" s="29">
        <f t="shared" si="16"/>
        <v>0</v>
      </c>
      <c r="X23" s="29">
        <f t="shared" si="16"/>
        <v>0</v>
      </c>
      <c r="Y23" s="29">
        <f t="shared" si="16"/>
        <v>777445872.55999994</v>
      </c>
      <c r="Z23" s="29">
        <f t="shared" si="16"/>
        <v>0</v>
      </c>
      <c r="AA23" s="29">
        <f t="shared" si="16"/>
        <v>0</v>
      </c>
      <c r="AB23" s="29">
        <f t="shared" si="16"/>
        <v>0</v>
      </c>
      <c r="AC23" s="29">
        <f t="shared" si="16"/>
        <v>468723365.81</v>
      </c>
      <c r="AD23" s="29">
        <f t="shared" si="16"/>
        <v>0</v>
      </c>
      <c r="AE23" s="29">
        <f t="shared" si="16"/>
        <v>0</v>
      </c>
      <c r="AF23" s="29">
        <f t="shared" si="16"/>
        <v>0</v>
      </c>
      <c r="AG23" s="29">
        <f t="shared" si="16"/>
        <v>189919617.83000001</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402</v>
      </c>
      <c r="B24" s="26">
        <f>B67</f>
        <v>40455154.579999998</v>
      </c>
      <c r="C24" s="26">
        <f t="shared" ref="C24:BN24" si="18">C67</f>
        <v>19772841.620000001</v>
      </c>
      <c r="D24" s="26">
        <f t="shared" si="18"/>
        <v>10965644.359999999</v>
      </c>
      <c r="E24" s="26">
        <f>E67</f>
        <v>57790477.280000001</v>
      </c>
      <c r="F24" s="26">
        <f t="shared" si="18"/>
        <v>35807302.920000002</v>
      </c>
      <c r="G24" s="26">
        <f t="shared" si="18"/>
        <v>10797808.219999999</v>
      </c>
      <c r="H24" s="26">
        <f t="shared" si="18"/>
        <v>0</v>
      </c>
      <c r="I24" s="26">
        <f t="shared" si="18"/>
        <v>35935269.619999997</v>
      </c>
      <c r="J24" s="26">
        <f t="shared" si="18"/>
        <v>38972281.439999998</v>
      </c>
      <c r="K24" s="26">
        <f t="shared" si="18"/>
        <v>38942266.650000006</v>
      </c>
      <c r="L24" s="26">
        <f t="shared" si="18"/>
        <v>0</v>
      </c>
      <c r="M24" s="26">
        <f t="shared" si="18"/>
        <v>34498.870000000112</v>
      </c>
      <c r="N24" s="26">
        <f t="shared" si="18"/>
        <v>0</v>
      </c>
      <c r="O24" s="26">
        <f t="shared" si="18"/>
        <v>0</v>
      </c>
      <c r="P24" s="26">
        <f t="shared" si="18"/>
        <v>0</v>
      </c>
      <c r="Q24" s="26">
        <f t="shared" si="18"/>
        <v>0</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0</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c r="A25" s="21" t="s">
        <v>403</v>
      </c>
      <c r="B25" s="29">
        <f>-B54</f>
        <v>-3104</v>
      </c>
      <c r="C25" s="29">
        <f t="shared" ref="C25:BN25" si="20">-C54</f>
        <v>1424</v>
      </c>
      <c r="D25" s="29">
        <f t="shared" si="20"/>
        <v>340</v>
      </c>
      <c r="E25" s="29">
        <f t="shared" si="20"/>
        <v>-176195.66</v>
      </c>
      <c r="F25" s="29">
        <f t="shared" si="20"/>
        <v>-2684</v>
      </c>
      <c r="G25" s="29">
        <f t="shared" si="20"/>
        <v>377</v>
      </c>
      <c r="H25" s="29">
        <f t="shared" si="20"/>
        <v>-1008</v>
      </c>
      <c r="I25" s="29">
        <f t="shared" si="20"/>
        <v>-153983.15</v>
      </c>
      <c r="J25" s="29">
        <f t="shared" si="20"/>
        <v>0</v>
      </c>
      <c r="K25" s="29">
        <f t="shared" si="20"/>
        <v>0</v>
      </c>
      <c r="L25" s="29">
        <f t="shared" si="20"/>
        <v>0</v>
      </c>
      <c r="M25" s="29">
        <f t="shared" si="20"/>
        <v>102450.21</v>
      </c>
      <c r="N25" s="29">
        <f t="shared" si="20"/>
        <v>0</v>
      </c>
      <c r="O25" s="29">
        <f t="shared" si="20"/>
        <v>0</v>
      </c>
      <c r="P25" s="29">
        <f t="shared" si="20"/>
        <v>0</v>
      </c>
      <c r="Q25" s="29">
        <f t="shared" si="20"/>
        <v>-140253.82</v>
      </c>
      <c r="R25" s="29">
        <f t="shared" si="20"/>
        <v>0</v>
      </c>
      <c r="S25" s="29">
        <f t="shared" si="20"/>
        <v>0</v>
      </c>
      <c r="T25" s="29">
        <f t="shared" si="20"/>
        <v>0</v>
      </c>
      <c r="U25" s="29">
        <f t="shared" si="20"/>
        <v>-10846.94</v>
      </c>
      <c r="V25" s="29">
        <f t="shared" si="20"/>
        <v>0</v>
      </c>
      <c r="W25" s="29">
        <f t="shared" si="20"/>
        <v>0</v>
      </c>
      <c r="X25" s="29">
        <f t="shared" si="20"/>
        <v>0</v>
      </c>
      <c r="Y25" s="29">
        <f t="shared" si="20"/>
        <v>205399.9</v>
      </c>
      <c r="Z25" s="29">
        <f t="shared" si="20"/>
        <v>0</v>
      </c>
      <c r="AA25" s="29">
        <f t="shared" si="20"/>
        <v>0</v>
      </c>
      <c r="AB25" s="29">
        <f t="shared" si="20"/>
        <v>0</v>
      </c>
      <c r="AC25" s="29">
        <f t="shared" si="20"/>
        <v>-11178.14</v>
      </c>
      <c r="AD25" s="29">
        <f t="shared" si="20"/>
        <v>0</v>
      </c>
      <c r="AE25" s="29">
        <f t="shared" si="20"/>
        <v>0</v>
      </c>
      <c r="AF25" s="29">
        <f t="shared" si="20"/>
        <v>0</v>
      </c>
      <c r="AG25" s="29">
        <f t="shared" si="20"/>
        <v>-370867.58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404</v>
      </c>
      <c r="B26" s="189">
        <v>25303207.359999999</v>
      </c>
      <c r="C26" s="189">
        <v>11746838.029999999</v>
      </c>
      <c r="D26" s="189">
        <v>12434222.630000001</v>
      </c>
      <c r="E26" s="189">
        <v>46064323.140000001</v>
      </c>
      <c r="F26" s="189">
        <v>25003392.379999999</v>
      </c>
      <c r="G26" s="189">
        <v>17013867.190000001</v>
      </c>
      <c r="H26" s="189">
        <v>4296901.68</v>
      </c>
      <c r="I26" s="189">
        <v>-367882.68</v>
      </c>
      <c r="J26" s="189">
        <v>-791030.73</v>
      </c>
      <c r="K26" s="189">
        <v>-742848.22</v>
      </c>
      <c r="L26" s="189">
        <v>722430.72</v>
      </c>
      <c r="M26" s="189">
        <v>-3558712.62</v>
      </c>
      <c r="N26" s="189">
        <v>-1852276.47</v>
      </c>
      <c r="O26" s="189">
        <v>263458.83</v>
      </c>
      <c r="P26" s="189">
        <v>70492.08</v>
      </c>
      <c r="Q26" s="189">
        <v>3656527.2</v>
      </c>
      <c r="R26" s="189">
        <v>3001919.74</v>
      </c>
      <c r="S26" s="189">
        <v>1767238.92</v>
      </c>
      <c r="T26" s="189">
        <v>3659989.47</v>
      </c>
      <c r="U26" s="189">
        <v>-524185.89</v>
      </c>
      <c r="V26" s="189">
        <v>121497.15</v>
      </c>
      <c r="W26" s="189">
        <v>3292.7</v>
      </c>
      <c r="X26" s="189">
        <v>2856.28</v>
      </c>
      <c r="Y26" s="189">
        <v>-170681.36</v>
      </c>
      <c r="Z26" s="189">
        <v>-93543.9</v>
      </c>
      <c r="AA26" s="189">
        <v>-26008.6</v>
      </c>
      <c r="AB26" s="189">
        <v>-4762.38</v>
      </c>
      <c r="AC26" s="189">
        <v>350157.08</v>
      </c>
      <c r="AD26" s="189">
        <v>12221.52</v>
      </c>
      <c r="AE26" s="189">
        <v>7047.57</v>
      </c>
      <c r="AF26" s="189">
        <v>0</v>
      </c>
      <c r="AG26" s="189">
        <v>-11134.1</v>
      </c>
      <c r="AH26" s="189">
        <v>0</v>
      </c>
      <c r="AI26" s="189">
        <v>0</v>
      </c>
      <c r="AJ26" s="189">
        <v>0</v>
      </c>
      <c r="AK26" s="189">
        <v>-87208.33</v>
      </c>
      <c r="AL26" s="189">
        <v>0</v>
      </c>
      <c r="AM26" s="189">
        <v>0</v>
      </c>
      <c r="AN26" s="189">
        <v>1326000</v>
      </c>
      <c r="AO26" s="189">
        <v>173437.5</v>
      </c>
      <c r="AP26" s="189">
        <v>0</v>
      </c>
      <c r="AQ26" s="189"/>
      <c r="AR26" s="189"/>
      <c r="AS26" s="189"/>
      <c r="AT26" s="189"/>
      <c r="AU26" s="189"/>
      <c r="AV26" s="189"/>
      <c r="AW26" s="189"/>
      <c r="AX26" s="189"/>
      <c r="AY26" s="189"/>
      <c r="AZ26" s="189"/>
      <c r="BA26" s="189"/>
      <c r="BB26" s="189"/>
      <c r="BC26" s="189"/>
      <c r="BD26" s="189"/>
      <c r="BE26" s="189"/>
      <c r="BF26" s="189"/>
      <c r="BG26" s="189"/>
      <c r="BH26" s="189"/>
      <c r="BI26" s="189"/>
      <c r="BJ26" s="189"/>
      <c r="BK26" s="189"/>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row>
    <row r="27" spans="1:89">
      <c r="A27" s="17" t="s">
        <v>405</v>
      </c>
      <c r="B27" s="26">
        <f>SUM(B22:B26)</f>
        <v>65780893.939999998</v>
      </c>
      <c r="C27" s="26">
        <f t="shared" ref="C27:BN27" si="22">SUM(C22:C26)</f>
        <v>31548821.649999999</v>
      </c>
      <c r="D27" s="26">
        <f t="shared" si="22"/>
        <v>23435523.990000002</v>
      </c>
      <c r="E27" s="26">
        <f t="shared" si="22"/>
        <v>1007492534.0599999</v>
      </c>
      <c r="F27" s="26">
        <f t="shared" si="22"/>
        <v>60842425.299999997</v>
      </c>
      <c r="G27" s="26">
        <f t="shared" si="22"/>
        <v>25906351.009999998</v>
      </c>
      <c r="H27" s="26">
        <f t="shared" si="22"/>
        <v>4312707.68</v>
      </c>
      <c r="I27" s="26">
        <f t="shared" si="22"/>
        <v>800608961.11000013</v>
      </c>
      <c r="J27" s="26">
        <f t="shared" si="22"/>
        <v>38181250.710000001</v>
      </c>
      <c r="K27" s="26">
        <f t="shared" si="22"/>
        <v>38199418.430000007</v>
      </c>
      <c r="L27" s="26">
        <f t="shared" si="22"/>
        <v>722430.72</v>
      </c>
      <c r="M27" s="26">
        <f t="shared" si="22"/>
        <v>742945554.34000003</v>
      </c>
      <c r="N27" s="26">
        <f t="shared" si="22"/>
        <v>-1852276.47</v>
      </c>
      <c r="O27" s="26">
        <f t="shared" si="22"/>
        <v>263458.83</v>
      </c>
      <c r="P27" s="26">
        <f t="shared" si="22"/>
        <v>70492.08</v>
      </c>
      <c r="Q27" s="26">
        <f t="shared" si="22"/>
        <v>663922603.72000003</v>
      </c>
      <c r="R27" s="26">
        <f t="shared" si="22"/>
        <v>3001919.74</v>
      </c>
      <c r="S27" s="26">
        <f t="shared" si="22"/>
        <v>1767238.92</v>
      </c>
      <c r="T27" s="26">
        <f t="shared" si="22"/>
        <v>3659989.47</v>
      </c>
      <c r="U27" s="26">
        <f t="shared" si="22"/>
        <v>820704235.26999998</v>
      </c>
      <c r="V27" s="26">
        <f t="shared" si="22"/>
        <v>121497.15</v>
      </c>
      <c r="W27" s="26">
        <f t="shared" si="22"/>
        <v>3292.7</v>
      </c>
      <c r="X27" s="26">
        <f t="shared" si="22"/>
        <v>2856.28</v>
      </c>
      <c r="Y27" s="26">
        <f t="shared" si="22"/>
        <v>777480591.0999999</v>
      </c>
      <c r="Z27" s="26">
        <f t="shared" si="22"/>
        <v>-93543.9</v>
      </c>
      <c r="AA27" s="26">
        <f t="shared" si="22"/>
        <v>-26008.6</v>
      </c>
      <c r="AB27" s="26">
        <f t="shared" si="22"/>
        <v>-4762.38</v>
      </c>
      <c r="AC27" s="26">
        <f t="shared" si="22"/>
        <v>469062344.75</v>
      </c>
      <c r="AD27" s="26">
        <f t="shared" si="22"/>
        <v>12221.52</v>
      </c>
      <c r="AE27" s="26">
        <f t="shared" si="22"/>
        <v>7047.57</v>
      </c>
      <c r="AF27" s="26">
        <f t="shared" si="22"/>
        <v>0</v>
      </c>
      <c r="AG27" s="26">
        <f t="shared" si="22"/>
        <v>189537616.15000001</v>
      </c>
      <c r="AH27" s="26">
        <f t="shared" si="22"/>
        <v>0</v>
      </c>
      <c r="AI27" s="26">
        <f t="shared" si="22"/>
        <v>0</v>
      </c>
      <c r="AJ27" s="26">
        <f t="shared" si="22"/>
        <v>0</v>
      </c>
      <c r="AK27" s="26">
        <f t="shared" si="22"/>
        <v>-87208.33</v>
      </c>
      <c r="AL27" s="26">
        <f t="shared" si="22"/>
        <v>0</v>
      </c>
      <c r="AM27" s="26">
        <f t="shared" si="22"/>
        <v>0</v>
      </c>
      <c r="AN27" s="26">
        <f t="shared" si="22"/>
        <v>1326000</v>
      </c>
      <c r="AO27" s="26">
        <f t="shared" si="22"/>
        <v>173437.5</v>
      </c>
      <c r="AP27" s="26">
        <f t="shared" si="22"/>
        <v>0</v>
      </c>
      <c r="AQ27" s="26">
        <f t="shared" si="22"/>
        <v>-929569.49</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c r="A28" s="17" t="s">
        <v>406</v>
      </c>
      <c r="B28" s="26">
        <f>SUM(B22:B25)*B41</f>
        <v>5474024.0376435183</v>
      </c>
      <c r="C28" s="26">
        <f t="shared" ref="C28:BN28" si="24">SUM(C22:C25)*C41</f>
        <v>2962968.9049622403</v>
      </c>
      <c r="D28" s="26">
        <f t="shared" si="24"/>
        <v>1786995.2278944787</v>
      </c>
      <c r="E28" s="26">
        <f t="shared" si="24"/>
        <v>142523290.36071441</v>
      </c>
      <c r="F28" s="26">
        <f t="shared" si="24"/>
        <v>6208402.2826808542</v>
      </c>
      <c r="G28" s="26">
        <f t="shared" si="24"/>
        <v>1547128.7588122578</v>
      </c>
      <c r="H28" s="26">
        <f t="shared" si="24"/>
        <v>3079.7539159619259</v>
      </c>
      <c r="I28" s="26">
        <f t="shared" si="24"/>
        <v>115825112.77131268</v>
      </c>
      <c r="J28" s="26">
        <f t="shared" si="24"/>
        <v>5917696.942549252</v>
      </c>
      <c r="K28" s="26">
        <f t="shared" si="24"/>
        <v>6218345.5024439543</v>
      </c>
      <c r="L28" s="26">
        <f t="shared" si="24"/>
        <v>0</v>
      </c>
      <c r="M28" s="26">
        <f t="shared" si="24"/>
        <v>109666964.3704505</v>
      </c>
      <c r="N28" s="26">
        <f t="shared" si="24"/>
        <v>0</v>
      </c>
      <c r="O28" s="26">
        <f t="shared" si="24"/>
        <v>0</v>
      </c>
      <c r="P28" s="26">
        <f t="shared" si="24"/>
        <v>0</v>
      </c>
      <c r="Q28" s="26">
        <f t="shared" si="24"/>
        <v>103202766.93025979</v>
      </c>
      <c r="R28" s="26">
        <f t="shared" si="24"/>
        <v>0</v>
      </c>
      <c r="S28" s="26">
        <f t="shared" si="24"/>
        <v>0</v>
      </c>
      <c r="T28" s="26">
        <f t="shared" si="24"/>
        <v>0</v>
      </c>
      <c r="U28" s="26">
        <f t="shared" si="24"/>
        <v>87957685.430916518</v>
      </c>
      <c r="V28" s="26">
        <f t="shared" si="24"/>
        <v>0</v>
      </c>
      <c r="W28" s="26">
        <f t="shared" si="24"/>
        <v>0</v>
      </c>
      <c r="X28" s="26">
        <f t="shared" si="24"/>
        <v>0</v>
      </c>
      <c r="Y28" s="26">
        <f t="shared" si="24"/>
        <v>117675539.48172149</v>
      </c>
      <c r="Z28" s="26">
        <f t="shared" si="24"/>
        <v>0</v>
      </c>
      <c r="AA28" s="26">
        <f t="shared" si="24"/>
        <v>0</v>
      </c>
      <c r="AB28" s="26">
        <f t="shared" si="24"/>
        <v>0</v>
      </c>
      <c r="AC28" s="26">
        <f t="shared" si="24"/>
        <v>97856468.975204706</v>
      </c>
      <c r="AD28" s="26">
        <f t="shared" si="24"/>
        <v>0</v>
      </c>
      <c r="AE28" s="26">
        <f t="shared" si="24"/>
        <v>0</v>
      </c>
      <c r="AF28" s="26">
        <f t="shared" si="24"/>
        <v>0</v>
      </c>
      <c r="AG28" s="26">
        <f t="shared" si="24"/>
        <v>28161288.718412373</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t="e">
        <f t="shared" si="24"/>
        <v>#DIV/0!</v>
      </c>
      <c r="AQ28" s="26">
        <f t="shared" si="24"/>
        <v>-5077628.757440364</v>
      </c>
      <c r="AR28" s="26">
        <f t="shared" si="24"/>
        <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407</v>
      </c>
      <c r="B29" s="28">
        <f>B27-B28</f>
        <v>60306869.902356476</v>
      </c>
      <c r="C29" s="28">
        <f t="shared" ref="C29:BN29" si="26">C27-C28</f>
        <v>28585852.745037757</v>
      </c>
      <c r="D29" s="28">
        <f t="shared" si="26"/>
        <v>21648528.762105525</v>
      </c>
      <c r="E29" s="28">
        <f t="shared" si="26"/>
        <v>864969243.69928551</v>
      </c>
      <c r="F29" s="28">
        <f t="shared" si="26"/>
        <v>54634023.017319143</v>
      </c>
      <c r="G29" s="28">
        <f t="shared" si="26"/>
        <v>24359222.251187742</v>
      </c>
      <c r="H29" s="28">
        <f t="shared" si="26"/>
        <v>4309627.9260840379</v>
      </c>
      <c r="I29" s="28">
        <f t="shared" si="26"/>
        <v>684783848.33868742</v>
      </c>
      <c r="J29" s="28">
        <f t="shared" si="26"/>
        <v>32263553.76745075</v>
      </c>
      <c r="K29" s="28">
        <f t="shared" si="26"/>
        <v>31981072.927556053</v>
      </c>
      <c r="L29" s="28">
        <f t="shared" si="26"/>
        <v>722430.72</v>
      </c>
      <c r="M29" s="28">
        <f t="shared" si="26"/>
        <v>633278589.96954954</v>
      </c>
      <c r="N29" s="28">
        <f t="shared" si="26"/>
        <v>-1852276.47</v>
      </c>
      <c r="O29" s="28">
        <f t="shared" si="26"/>
        <v>263458.83</v>
      </c>
      <c r="P29" s="28">
        <f t="shared" si="26"/>
        <v>70492.08</v>
      </c>
      <c r="Q29" s="28">
        <f t="shared" si="26"/>
        <v>560719836.7897402</v>
      </c>
      <c r="R29" s="28">
        <f t="shared" si="26"/>
        <v>3001919.74</v>
      </c>
      <c r="S29" s="28">
        <f t="shared" si="26"/>
        <v>1767238.92</v>
      </c>
      <c r="T29" s="28">
        <f t="shared" si="26"/>
        <v>3659989.47</v>
      </c>
      <c r="U29" s="28">
        <f t="shared" si="26"/>
        <v>732746549.83908343</v>
      </c>
      <c r="V29" s="28">
        <f t="shared" si="26"/>
        <v>121497.15</v>
      </c>
      <c r="W29" s="28">
        <f t="shared" si="26"/>
        <v>3292.7</v>
      </c>
      <c r="X29" s="28">
        <f t="shared" si="26"/>
        <v>2856.28</v>
      </c>
      <c r="Y29" s="28">
        <f t="shared" si="26"/>
        <v>659805051.61827838</v>
      </c>
      <c r="Z29" s="28">
        <f t="shared" si="26"/>
        <v>-93543.9</v>
      </c>
      <c r="AA29" s="28">
        <f t="shared" si="26"/>
        <v>-26008.6</v>
      </c>
      <c r="AB29" s="28">
        <f t="shared" si="26"/>
        <v>-4762.38</v>
      </c>
      <c r="AC29" s="28">
        <f t="shared" si="26"/>
        <v>371205875.77479529</v>
      </c>
      <c r="AD29" s="28">
        <f t="shared" si="26"/>
        <v>12221.52</v>
      </c>
      <c r="AE29" s="28">
        <f t="shared" si="26"/>
        <v>7047.57</v>
      </c>
      <c r="AF29" s="28">
        <f t="shared" si="26"/>
        <v>0</v>
      </c>
      <c r="AG29" s="28">
        <f t="shared" si="26"/>
        <v>161376327.43158764</v>
      </c>
      <c r="AH29" s="28">
        <f t="shared" si="26"/>
        <v>0</v>
      </c>
      <c r="AI29" s="28">
        <f t="shared" si="26"/>
        <v>0</v>
      </c>
      <c r="AJ29" s="28">
        <f t="shared" si="26"/>
        <v>0</v>
      </c>
      <c r="AK29" s="28">
        <f t="shared" si="26"/>
        <v>-87208.33</v>
      </c>
      <c r="AL29" s="28">
        <f t="shared" si="26"/>
        <v>0</v>
      </c>
      <c r="AM29" s="28">
        <f t="shared" si="26"/>
        <v>0</v>
      </c>
      <c r="AN29" s="28">
        <f t="shared" si="26"/>
        <v>1326000</v>
      </c>
      <c r="AO29" s="28">
        <f t="shared" si="26"/>
        <v>173437.5</v>
      </c>
      <c r="AP29" s="28" t="e">
        <f t="shared" si="26"/>
        <v>#DIV/0!</v>
      </c>
      <c r="AQ29" s="28">
        <f t="shared" si="26"/>
        <v>4148059.2674403638</v>
      </c>
      <c r="AR29" s="28">
        <f t="shared" si="26"/>
        <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408</v>
      </c>
      <c r="B31" s="26">
        <f>B15+B20+B27</f>
        <v>3181823872.5700006</v>
      </c>
      <c r="C31" s="26">
        <f t="shared" ref="C31:BN31" si="28">C15+C20+C27</f>
        <v>2019557226.7800007</v>
      </c>
      <c r="D31" s="26">
        <f t="shared" si="28"/>
        <v>1067680549.1099999</v>
      </c>
      <c r="E31" s="26">
        <f t="shared" si="28"/>
        <v>4401150007.0100002</v>
      </c>
      <c r="F31" s="26">
        <f t="shared" si="28"/>
        <v>2709905014.1599989</v>
      </c>
      <c r="G31" s="26">
        <f t="shared" si="28"/>
        <v>1763894040.02</v>
      </c>
      <c r="H31" s="26">
        <f t="shared" si="28"/>
        <v>754318032.96999979</v>
      </c>
      <c r="I31" s="26">
        <f t="shared" si="28"/>
        <v>3327287240.8399987</v>
      </c>
      <c r="J31" s="26">
        <f t="shared" si="28"/>
        <v>1903973654.1600003</v>
      </c>
      <c r="K31" s="26">
        <f t="shared" si="28"/>
        <v>1221104753.2900002</v>
      </c>
      <c r="L31" s="26">
        <f t="shared" si="28"/>
        <v>565670804.87</v>
      </c>
      <c r="M31" s="26">
        <f t="shared" si="28"/>
        <v>2695345087.6599994</v>
      </c>
      <c r="N31" s="26">
        <f t="shared" si="28"/>
        <v>1426515535.3299997</v>
      </c>
      <c r="O31" s="26">
        <f t="shared" si="28"/>
        <v>936260567.70000005</v>
      </c>
      <c r="P31" s="26">
        <f t="shared" si="28"/>
        <v>412536775.91999996</v>
      </c>
      <c r="Q31" s="26">
        <f t="shared" si="28"/>
        <v>2120583177.9799995</v>
      </c>
      <c r="R31" s="26">
        <f t="shared" si="28"/>
        <v>977428600.55999994</v>
      </c>
      <c r="S31" s="26">
        <f t="shared" si="28"/>
        <v>635475151.87</v>
      </c>
      <c r="T31" s="26">
        <f t="shared" si="28"/>
        <v>296385029.30000001</v>
      </c>
      <c r="U31" s="26">
        <f t="shared" si="28"/>
        <v>1699641483.3399999</v>
      </c>
      <c r="V31" s="26">
        <f t="shared" si="28"/>
        <v>645728382.5400002</v>
      </c>
      <c r="W31" s="26">
        <f t="shared" si="28"/>
        <v>405399026.46000016</v>
      </c>
      <c r="X31" s="26">
        <f t="shared" si="28"/>
        <v>171620710.99000001</v>
      </c>
      <c r="Y31" s="26">
        <f t="shared" si="28"/>
        <v>1343609864.3299999</v>
      </c>
      <c r="Z31" s="26">
        <f t="shared" si="28"/>
        <v>393637420.68000007</v>
      </c>
      <c r="AA31" s="26">
        <f t="shared" si="28"/>
        <v>236438877.90000007</v>
      </c>
      <c r="AB31" s="26">
        <f t="shared" si="28"/>
        <v>74595021.210000023</v>
      </c>
      <c r="AC31" s="26">
        <f t="shared" si="28"/>
        <v>679213780.48000002</v>
      </c>
      <c r="AD31" s="26">
        <f t="shared" si="28"/>
        <v>151551339.41000006</v>
      </c>
      <c r="AE31" s="26">
        <f t="shared" si="28"/>
        <v>82156126.370000005</v>
      </c>
      <c r="AF31" s="26">
        <f t="shared" si="28"/>
        <v>22665692.430000011</v>
      </c>
      <c r="AG31" s="26">
        <f t="shared" si="28"/>
        <v>287988774.67000002</v>
      </c>
      <c r="AH31" s="26">
        <f t="shared" si="28"/>
        <v>78349967.760000035</v>
      </c>
      <c r="AI31" s="26">
        <f t="shared" si="28"/>
        <v>44554904.280000016</v>
      </c>
      <c r="AJ31" s="26">
        <f t="shared" si="28"/>
        <v>14812146.809999995</v>
      </c>
      <c r="AK31" s="26">
        <f t="shared" si="28"/>
        <v>66258896.449999981</v>
      </c>
      <c r="AL31" s="26">
        <f t="shared" si="28"/>
        <v>35090317.489999995</v>
      </c>
      <c r="AM31" s="26">
        <f t="shared" si="28"/>
        <v>19396082.200000003</v>
      </c>
      <c r="AN31" s="26">
        <f t="shared" si="28"/>
        <v>45096764.710000023</v>
      </c>
      <c r="AO31" s="26">
        <f t="shared" si="28"/>
        <v>26411850.540000014</v>
      </c>
      <c r="AP31" s="26">
        <f t="shared" si="28"/>
        <v>0</v>
      </c>
      <c r="AQ31" s="26">
        <f t="shared" si="28"/>
        <v>-929569.49</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c r="A32" s="57" t="s">
        <v>409</v>
      </c>
      <c r="B32" s="57">
        <f>B31/B4*100</f>
        <v>29.366842619419231</v>
      </c>
      <c r="C32" s="57">
        <f t="shared" ref="C32:D32" si="30">C31/C4*100</f>
        <v>27.892190447350139</v>
      </c>
      <c r="D32" s="57">
        <f t="shared" si="30"/>
        <v>30.07245976699982</v>
      </c>
      <c r="E32" s="57">
        <f>E31/E4</f>
        <v>0.37332450262348554</v>
      </c>
      <c r="F32" s="57">
        <f t="shared" ref="F32:BQ32" si="31">F31/F4</f>
        <v>0.286743282081458</v>
      </c>
      <c r="G32" s="57">
        <f t="shared" si="31"/>
        <v>0.29151632640348002</v>
      </c>
      <c r="H32" s="57">
        <f t="shared" si="31"/>
        <v>0.27935209865679717</v>
      </c>
      <c r="I32" s="57">
        <f t="shared" si="31"/>
        <v>0.36037881033004227</v>
      </c>
      <c r="J32" s="57">
        <f t="shared" si="31"/>
        <v>0.26603258990502565</v>
      </c>
      <c r="K32" s="57">
        <f t="shared" si="31"/>
        <v>0.27140644602281799</v>
      </c>
      <c r="L32" s="57">
        <f t="shared" si="31"/>
        <v>0.28176486028414266</v>
      </c>
      <c r="M32" s="57">
        <f t="shared" si="31"/>
        <v>0.3613365060857619</v>
      </c>
      <c r="N32" s="57">
        <f t="shared" si="31"/>
        <v>0.27354520059199577</v>
      </c>
      <c r="O32" s="57">
        <f t="shared" si="31"/>
        <v>0.28361853855072189</v>
      </c>
      <c r="P32" s="57">
        <f t="shared" si="31"/>
        <v>0.27495956686453682</v>
      </c>
      <c r="Q32" s="57">
        <f t="shared" si="31"/>
        <v>0.40717085477308201</v>
      </c>
      <c r="R32" s="57">
        <f t="shared" si="31"/>
        <v>0.26759890750036641</v>
      </c>
      <c r="S32" s="57">
        <f t="shared" si="31"/>
        <v>0.26213687605086977</v>
      </c>
      <c r="T32" s="57">
        <f t="shared" si="31"/>
        <v>0.24269442446923362</v>
      </c>
      <c r="U32" s="57">
        <f t="shared" si="31"/>
        <v>0.53235206444730199</v>
      </c>
      <c r="V32" s="57">
        <f t="shared" si="31"/>
        <v>0.28322300591645216</v>
      </c>
      <c r="W32" s="57">
        <f t="shared" si="31"/>
        <v>0.26849531259748355</v>
      </c>
      <c r="X32" s="57">
        <f t="shared" si="31"/>
        <v>0.26174354060893257</v>
      </c>
      <c r="Y32" s="57">
        <f t="shared" si="31"/>
        <v>0.60126910550363621</v>
      </c>
      <c r="Z32" s="57">
        <f t="shared" si="31"/>
        <v>0.26974339242517997</v>
      </c>
      <c r="AA32" s="57">
        <f t="shared" si="31"/>
        <v>0.2458697430776538</v>
      </c>
      <c r="AB32" s="57">
        <f t="shared" si="31"/>
        <v>0.18304505131841986</v>
      </c>
      <c r="AC32" s="57">
        <f t="shared" si="31"/>
        <v>0.44508802587605778</v>
      </c>
      <c r="AD32" s="57">
        <f t="shared" si="31"/>
        <v>0.13792036579257042</v>
      </c>
      <c r="AE32" s="57">
        <f t="shared" si="31"/>
        <v>0.12690246250128331</v>
      </c>
      <c r="AF32" s="57">
        <f t="shared" si="31"/>
        <v>9.537839094089047E-2</v>
      </c>
      <c r="AG32" s="57">
        <f t="shared" si="31"/>
        <v>0.54938600688655248</v>
      </c>
      <c r="AH32" s="57">
        <f t="shared" si="31"/>
        <v>0.20617319912860199</v>
      </c>
      <c r="AI32" s="57">
        <f t="shared" si="31"/>
        <v>0.1993870433165171</v>
      </c>
      <c r="AJ32" s="57">
        <f t="shared" si="31"/>
        <v>0.1663137926320809</v>
      </c>
      <c r="AK32" s="57">
        <f t="shared" si="31"/>
        <v>0.18183048482397182</v>
      </c>
      <c r="AL32" s="57">
        <f t="shared" si="31"/>
        <v>0.15098693426352006</v>
      </c>
      <c r="AM32" s="57">
        <f t="shared" si="31"/>
        <v>0.14454459284874777</v>
      </c>
      <c r="AN32" s="57">
        <f t="shared" si="31"/>
        <v>0.17366486456203048</v>
      </c>
      <c r="AO32" s="57">
        <f t="shared" si="31"/>
        <v>0.16111328557089868</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410</v>
      </c>
      <c r="B33" s="26">
        <f>B17+B20+B29</f>
        <v>2754623513.8276134</v>
      </c>
      <c r="C33" s="26">
        <f t="shared" ref="C33:BN33" si="33">C17+C20+C29</f>
        <v>1719024988.3737495</v>
      </c>
      <c r="D33" s="26">
        <f t="shared" si="33"/>
        <v>896271723.19334126</v>
      </c>
      <c r="E33" s="26">
        <f t="shared" si="33"/>
        <v>3754665590.3795991</v>
      </c>
      <c r="F33" s="26">
        <f t="shared" si="33"/>
        <v>2242914745.4844785</v>
      </c>
      <c r="G33" s="26">
        <f t="shared" si="33"/>
        <v>1458934778.751627</v>
      </c>
      <c r="H33" s="26">
        <f t="shared" si="33"/>
        <v>608178559.59630811</v>
      </c>
      <c r="I33" s="26">
        <f t="shared" si="33"/>
        <v>2844551878.6186357</v>
      </c>
      <c r="J33" s="26">
        <f t="shared" si="33"/>
        <v>1613665808.252079</v>
      </c>
      <c r="K33" s="26">
        <f t="shared" si="33"/>
        <v>1025394054.8471113</v>
      </c>
      <c r="L33" s="26">
        <f t="shared" si="33"/>
        <v>472800451.70302278</v>
      </c>
      <c r="M33" s="26">
        <f t="shared" si="33"/>
        <v>2298581295.2590032</v>
      </c>
      <c r="N33" s="26">
        <f t="shared" si="33"/>
        <v>1196087817.1891291</v>
      </c>
      <c r="O33" s="26">
        <f t="shared" si="33"/>
        <v>784318190.81885326</v>
      </c>
      <c r="P33" s="26">
        <f t="shared" si="33"/>
        <v>349350062.32848138</v>
      </c>
      <c r="Q33" s="26">
        <f t="shared" si="33"/>
        <v>1789697349.4964485</v>
      </c>
      <c r="R33" s="26">
        <f t="shared" si="33"/>
        <v>826623626.73424864</v>
      </c>
      <c r="S33" s="26">
        <f t="shared" si="33"/>
        <v>532282140.75064176</v>
      </c>
      <c r="T33" s="26">
        <f t="shared" si="33"/>
        <v>236573601.30705839</v>
      </c>
      <c r="U33" s="26">
        <f t="shared" si="33"/>
        <v>1517545207.4910171</v>
      </c>
      <c r="V33" s="26">
        <f t="shared" si="33"/>
        <v>550845810.52269506</v>
      </c>
      <c r="W33" s="26">
        <f t="shared" si="33"/>
        <v>341540652.21211427</v>
      </c>
      <c r="X33" s="26">
        <f t="shared" si="33"/>
        <v>143597779.11197463</v>
      </c>
      <c r="Y33" s="26">
        <f t="shared" si="33"/>
        <v>1140266661.2013166</v>
      </c>
      <c r="Z33" s="26">
        <f t="shared" si="33"/>
        <v>331517272.44425476</v>
      </c>
      <c r="AA33" s="26">
        <f t="shared" si="33"/>
        <v>199306354.41246963</v>
      </c>
      <c r="AB33" s="26">
        <f t="shared" si="33"/>
        <v>52889177.010150939</v>
      </c>
      <c r="AC33" s="26">
        <f t="shared" si="33"/>
        <v>537482460.38808799</v>
      </c>
      <c r="AD33" s="26">
        <f t="shared" si="33"/>
        <v>122199086.28886798</v>
      </c>
      <c r="AE33" s="26">
        <f t="shared" si="33"/>
        <v>66405854.651554115</v>
      </c>
      <c r="AF33" s="26">
        <f t="shared" si="33"/>
        <v>18236344.1524073</v>
      </c>
      <c r="AG33" s="26">
        <f t="shared" si="33"/>
        <v>245200581.28412253</v>
      </c>
      <c r="AH33" s="26">
        <f t="shared" si="33"/>
        <v>66845590.574733555</v>
      </c>
      <c r="AI33" s="26">
        <f t="shared" si="33"/>
        <v>37656389.672859192</v>
      </c>
      <c r="AJ33" s="26">
        <f t="shared" si="33"/>
        <v>12537994.665248485</v>
      </c>
      <c r="AK33" s="26">
        <f t="shared" si="33"/>
        <v>56275369.65230611</v>
      </c>
      <c r="AL33" s="26">
        <f t="shared" si="33"/>
        <v>29818314.544419121</v>
      </c>
      <c r="AM33" s="26">
        <f t="shared" si="33"/>
        <v>16433501.291339435</v>
      </c>
      <c r="AN33" s="26">
        <f t="shared" si="33"/>
        <v>38623976.278349347</v>
      </c>
      <c r="AO33" s="26">
        <f t="shared" si="33"/>
        <v>24293121.1776172</v>
      </c>
      <c r="AP33" s="26" t="e">
        <f t="shared" si="33"/>
        <v>#DIV/0!</v>
      </c>
      <c r="AQ33" s="26">
        <f t="shared" si="33"/>
        <v>4148059.2674403638</v>
      </c>
      <c r="AR33" s="26">
        <f t="shared" si="33"/>
        <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411</v>
      </c>
      <c r="B34" s="57">
        <f>B33/B4*100</f>
        <v>25.423970164944265</v>
      </c>
      <c r="C34" s="57">
        <f t="shared" ref="C34:D34" si="35">C33/C4*100</f>
        <v>23.741526966246056</v>
      </c>
      <c r="D34" s="57">
        <f t="shared" si="35"/>
        <v>25.244531576883173</v>
      </c>
      <c r="E34" s="57">
        <f>E33/E4</f>
        <v>0.3184869095153281</v>
      </c>
      <c r="F34" s="57">
        <f t="shared" ref="F34:BQ34" si="36">F33/F4</f>
        <v>0.23732962306373476</v>
      </c>
      <c r="G34" s="57">
        <f t="shared" si="36"/>
        <v>0.2411161314197342</v>
      </c>
      <c r="H34" s="57">
        <f t="shared" si="36"/>
        <v>0.2252312016356815</v>
      </c>
      <c r="I34" s="57">
        <f t="shared" si="36"/>
        <v>0.30809369547543852</v>
      </c>
      <c r="J34" s="57">
        <f t="shared" si="36"/>
        <v>0.22546934579296019</v>
      </c>
      <c r="K34" s="57">
        <f t="shared" si="36"/>
        <v>0.22790719260502942</v>
      </c>
      <c r="L34" s="57">
        <f t="shared" si="36"/>
        <v>0.23550544251085656</v>
      </c>
      <c r="M34" s="57">
        <f t="shared" si="36"/>
        <v>0.30814656645841088</v>
      </c>
      <c r="N34" s="57">
        <f t="shared" si="36"/>
        <v>0.22935893355199549</v>
      </c>
      <c r="O34" s="57">
        <f t="shared" si="36"/>
        <v>0.23759110093170849</v>
      </c>
      <c r="P34" s="57">
        <f t="shared" si="36"/>
        <v>0.23284503934884532</v>
      </c>
      <c r="Q34" s="57">
        <f t="shared" si="36"/>
        <v>0.34363782903990442</v>
      </c>
      <c r="R34" s="57">
        <f t="shared" si="36"/>
        <v>0.22631175238921905</v>
      </c>
      <c r="S34" s="57">
        <f t="shared" si="36"/>
        <v>0.21956921076055955</v>
      </c>
      <c r="T34" s="57">
        <f t="shared" si="36"/>
        <v>0.19371792883545103</v>
      </c>
      <c r="U34" s="57">
        <f t="shared" si="36"/>
        <v>0.4753169018400244</v>
      </c>
      <c r="V34" s="57">
        <f t="shared" si="36"/>
        <v>0.24160654924140312</v>
      </c>
      <c r="W34" s="57">
        <f t="shared" si="36"/>
        <v>0.22620198420601803</v>
      </c>
      <c r="X34" s="57">
        <f t="shared" si="36"/>
        <v>0.21900498437241475</v>
      </c>
      <c r="Y34" s="57">
        <f t="shared" si="36"/>
        <v>0.51027246347139321</v>
      </c>
      <c r="Z34" s="57">
        <f t="shared" si="36"/>
        <v>0.22717503219632135</v>
      </c>
      <c r="AA34" s="57">
        <f t="shared" si="36"/>
        <v>0.20725611028260468</v>
      </c>
      <c r="AB34" s="57">
        <f t="shared" si="36"/>
        <v>0.12978214849966752</v>
      </c>
      <c r="AC34" s="57">
        <f t="shared" si="36"/>
        <v>0.35221165134205451</v>
      </c>
      <c r="AD34" s="57">
        <f t="shared" si="36"/>
        <v>0.11120814072703905</v>
      </c>
      <c r="AE34" s="57">
        <f t="shared" si="36"/>
        <v>0.10257380492639355</v>
      </c>
      <c r="AF34" s="57">
        <f t="shared" si="36"/>
        <v>7.6739467248692586E-2</v>
      </c>
      <c r="AG34" s="57">
        <f t="shared" si="36"/>
        <v>0.46776048265182063</v>
      </c>
      <c r="AH34" s="57">
        <f t="shared" si="36"/>
        <v>0.17590012670649166</v>
      </c>
      <c r="AI34" s="57">
        <f t="shared" si="36"/>
        <v>0.16851559486384829</v>
      </c>
      <c r="AJ34" s="57">
        <f t="shared" si="36"/>
        <v>0.14077915048549763</v>
      </c>
      <c r="AK34" s="57">
        <f t="shared" si="36"/>
        <v>0.15443326550493813</v>
      </c>
      <c r="AL34" s="57">
        <f t="shared" si="36"/>
        <v>0.1283025124879591</v>
      </c>
      <c r="AM34" s="57">
        <f t="shared" si="36"/>
        <v>0.12246667799933478</v>
      </c>
      <c r="AN34" s="57">
        <f t="shared" si="36"/>
        <v>0.14873855480234102</v>
      </c>
      <c r="AO34" s="57">
        <f t="shared" si="36"/>
        <v>0.14818895645991659</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412</v>
      </c>
      <c r="B35" s="26">
        <f>B23+B68</f>
        <v>305569842.73000002</v>
      </c>
      <c r="C35" s="26">
        <f t="shared" ref="C35:BN35" si="38">C23+C68</f>
        <v>229901941.09</v>
      </c>
      <c r="D35" s="26">
        <f t="shared" si="38"/>
        <v>199926150.72999999</v>
      </c>
      <c r="E35" s="26">
        <f t="shared" si="38"/>
        <v>1456234913.48</v>
      </c>
      <c r="F35" s="26">
        <f t="shared" si="38"/>
        <v>416373857.12</v>
      </c>
      <c r="G35" s="26">
        <f t="shared" si="38"/>
        <v>231079939.59999999</v>
      </c>
      <c r="H35" s="26">
        <f t="shared" si="38"/>
        <v>76341075.319999993</v>
      </c>
      <c r="I35" s="26">
        <f t="shared" si="38"/>
        <v>995009153.38000011</v>
      </c>
      <c r="J35" s="26">
        <f t="shared" si="38"/>
        <v>236500789.87</v>
      </c>
      <c r="K35" s="26">
        <f t="shared" si="38"/>
        <v>153580479.58000001</v>
      </c>
      <c r="L35" s="26">
        <f t="shared" si="38"/>
        <v>87594187.140000001</v>
      </c>
      <c r="M35" s="26">
        <f t="shared" si="38"/>
        <v>1051657094.76</v>
      </c>
      <c r="N35" s="26">
        <f t="shared" si="38"/>
        <v>208898114.16999999</v>
      </c>
      <c r="O35" s="26">
        <f t="shared" si="38"/>
        <v>152736730.43000001</v>
      </c>
      <c r="P35" s="26">
        <f t="shared" si="38"/>
        <v>68825855.439999998</v>
      </c>
      <c r="Q35" s="26">
        <f t="shared" si="38"/>
        <v>923056424.95000005</v>
      </c>
      <c r="R35" s="26">
        <f t="shared" si="38"/>
        <v>143912964.58000001</v>
      </c>
      <c r="S35" s="26">
        <f t="shared" si="38"/>
        <v>94642853.469999999</v>
      </c>
      <c r="T35" s="26">
        <f t="shared" si="38"/>
        <v>30145550.649999999</v>
      </c>
      <c r="U35" s="26">
        <f t="shared" si="38"/>
        <v>954961328.06000006</v>
      </c>
      <c r="V35" s="26">
        <f t="shared" si="38"/>
        <v>97773104.069999993</v>
      </c>
      <c r="W35" s="26">
        <f t="shared" si="38"/>
        <v>63140882.789999999</v>
      </c>
      <c r="X35" s="26">
        <f t="shared" si="38"/>
        <v>17104108.02</v>
      </c>
      <c r="Y35" s="26">
        <f t="shared" si="38"/>
        <v>830365129.83999991</v>
      </c>
      <c r="Z35" s="26">
        <f t="shared" si="38"/>
        <v>38012843.600000001</v>
      </c>
      <c r="AA35" s="26">
        <f t="shared" si="38"/>
        <v>23370073.039999999</v>
      </c>
      <c r="AB35" s="26">
        <f t="shared" si="38"/>
        <v>12727378.140000001</v>
      </c>
      <c r="AC35" s="26">
        <f t="shared" si="38"/>
        <v>503319153.74000001</v>
      </c>
      <c r="AD35" s="26">
        <f t="shared" si="38"/>
        <v>21776995.609999999</v>
      </c>
      <c r="AE35" s="26">
        <f t="shared" si="38"/>
        <v>8930777.0399999991</v>
      </c>
      <c r="AF35" s="26">
        <f t="shared" si="38"/>
        <v>2850644.46</v>
      </c>
      <c r="AG35" s="26">
        <f t="shared" si="38"/>
        <v>202682219.94</v>
      </c>
      <c r="AH35" s="26">
        <f t="shared" si="38"/>
        <v>11077784.699999999</v>
      </c>
      <c r="AI35" s="26">
        <f t="shared" si="38"/>
        <v>7696253.5</v>
      </c>
      <c r="AJ35" s="26">
        <f t="shared" si="38"/>
        <v>3670717.24</v>
      </c>
      <c r="AK35" s="26">
        <f t="shared" si="38"/>
        <v>11904496.16</v>
      </c>
      <c r="AL35" s="26">
        <f t="shared" si="38"/>
        <v>6969018.46</v>
      </c>
      <c r="AM35" s="26">
        <f t="shared" si="38"/>
        <v>4712470.96</v>
      </c>
      <c r="AN35" s="26">
        <f t="shared" si="38"/>
        <v>9630938.2699999996</v>
      </c>
      <c r="AO35" s="26">
        <f t="shared" si="38"/>
        <v>7605214.8700000001</v>
      </c>
      <c r="AP35" s="26">
        <f t="shared" si="38"/>
        <v>0</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413</v>
      </c>
      <c r="B36" s="26">
        <f>B35*B41</f>
        <v>41323919.561881483</v>
      </c>
      <c r="C36" s="26">
        <f t="shared" ref="C36:BN36" si="40">C35*C41</f>
        <v>34400205.338627115</v>
      </c>
      <c r="D36" s="26">
        <f t="shared" si="40"/>
        <v>32474983.24014844</v>
      </c>
      <c r="E36" s="26">
        <f t="shared" si="40"/>
        <v>215874039.31981128</v>
      </c>
      <c r="F36" s="26">
        <f t="shared" si="40"/>
        <v>72128520.062545255</v>
      </c>
      <c r="G36" s="26">
        <f t="shared" si="40"/>
        <v>40203662.708464682</v>
      </c>
      <c r="H36" s="26">
        <f t="shared" si="40"/>
        <v>14874840.292642942</v>
      </c>
      <c r="I36" s="26">
        <f t="shared" si="40"/>
        <v>143883120.08298498</v>
      </c>
      <c r="J36" s="26">
        <f t="shared" si="40"/>
        <v>35911164.279126234</v>
      </c>
      <c r="K36" s="26">
        <f t="shared" si="40"/>
        <v>24523905.94114219</v>
      </c>
      <c r="L36" s="26">
        <f t="shared" si="40"/>
        <v>14399374.292041395</v>
      </c>
      <c r="M36" s="26">
        <f t="shared" si="40"/>
        <v>154496157.95318186</v>
      </c>
      <c r="N36" s="26">
        <f t="shared" si="40"/>
        <v>33699944.352193348</v>
      </c>
      <c r="O36" s="26">
        <f t="shared" si="40"/>
        <v>24794074.296454266</v>
      </c>
      <c r="P36" s="26">
        <f t="shared" si="40"/>
        <v>10543600.254767774</v>
      </c>
      <c r="Q36" s="26">
        <f t="shared" si="40"/>
        <v>144278163.72102851</v>
      </c>
      <c r="R36" s="26">
        <f t="shared" si="40"/>
        <v>22272369.264776126</v>
      </c>
      <c r="S36" s="26">
        <f t="shared" si="40"/>
        <v>15411644.43573563</v>
      </c>
      <c r="T36" s="26">
        <f t="shared" si="40"/>
        <v>6159529.2054863777</v>
      </c>
      <c r="U36" s="26">
        <f t="shared" si="40"/>
        <v>102281150.92941575</v>
      </c>
      <c r="V36" s="26">
        <f t="shared" si="40"/>
        <v>14369369.035885027</v>
      </c>
      <c r="W36" s="26">
        <f t="shared" si="40"/>
        <v>9946020.1175495312</v>
      </c>
      <c r="X36" s="26">
        <f t="shared" si="40"/>
        <v>2792875.2208724529</v>
      </c>
      <c r="Y36" s="26">
        <f t="shared" si="40"/>
        <v>125652291.81922005</v>
      </c>
      <c r="Z36" s="26">
        <f t="shared" si="40"/>
        <v>5997403.5362271052</v>
      </c>
      <c r="AA36" s="26">
        <f t="shared" si="40"/>
        <v>3669846.2884175484</v>
      </c>
      <c r="AB36" s="26">
        <f t="shared" si="40"/>
        <v>3703207.6191764842</v>
      </c>
      <c r="AC36" s="26">
        <f t="shared" si="40"/>
        <v>105081618.20460604</v>
      </c>
      <c r="AD36" s="26">
        <f t="shared" si="40"/>
        <v>4218078.4490674557</v>
      </c>
      <c r="AE36" s="26">
        <f t="shared" si="40"/>
        <v>1712279.274358192</v>
      </c>
      <c r="AF36" s="26">
        <f t="shared" si="40"/>
        <v>557075.28759271174</v>
      </c>
      <c r="AG36" s="26">
        <f t="shared" si="40"/>
        <v>30112530.450825788</v>
      </c>
      <c r="AH36" s="26">
        <f t="shared" si="40"/>
        <v>1626586.6752664759</v>
      </c>
      <c r="AI36" s="26">
        <f t="shared" si="40"/>
        <v>1191624.5371408227</v>
      </c>
      <c r="AJ36" s="26">
        <f t="shared" si="40"/>
        <v>563575.93475150992</v>
      </c>
      <c r="AK36" s="26">
        <f t="shared" si="40"/>
        <v>1791346.4071553256</v>
      </c>
      <c r="AL36" s="26">
        <f t="shared" si="40"/>
        <v>1047032.0155808738</v>
      </c>
      <c r="AM36" s="26">
        <f t="shared" si="40"/>
        <v>719788.47866056906</v>
      </c>
      <c r="AN36" s="26">
        <f t="shared" si="40"/>
        <v>1424216.0545519455</v>
      </c>
      <c r="AO36" s="26">
        <f t="shared" si="40"/>
        <v>614114.58184360527</v>
      </c>
      <c r="AP36" s="26" t="e">
        <f t="shared" si="40"/>
        <v>#DIV/0!</v>
      </c>
      <c r="AQ36" s="26">
        <f t="shared" si="40"/>
        <v>-408638346.35744035</v>
      </c>
      <c r="AR36" s="26">
        <f t="shared" si="40"/>
        <v>-335817684.24000001</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414</v>
      </c>
      <c r="B37" s="26">
        <f>B35-B36</f>
        <v>264245923.16811854</v>
      </c>
      <c r="C37" s="26">
        <f t="shared" ref="C37:BN37" si="42">C35-C36</f>
        <v>195501735.75137287</v>
      </c>
      <c r="D37" s="26">
        <f t="shared" si="42"/>
        <v>167451167.48985153</v>
      </c>
      <c r="E37" s="26">
        <f t="shared" si="42"/>
        <v>1240360874.1601887</v>
      </c>
      <c r="F37" s="26">
        <f t="shared" si="42"/>
        <v>344245337.05745476</v>
      </c>
      <c r="G37" s="26">
        <f t="shared" si="42"/>
        <v>190876276.89153531</v>
      </c>
      <c r="H37" s="26">
        <f t="shared" si="42"/>
        <v>61466235.027357049</v>
      </c>
      <c r="I37" s="26">
        <f t="shared" si="42"/>
        <v>851126033.29701519</v>
      </c>
      <c r="J37" s="26">
        <f t="shared" si="42"/>
        <v>200589625.59087378</v>
      </c>
      <c r="K37" s="26">
        <f t="shared" si="42"/>
        <v>129056573.63885783</v>
      </c>
      <c r="L37" s="26">
        <f t="shared" si="42"/>
        <v>73194812.847958609</v>
      </c>
      <c r="M37" s="26">
        <f t="shared" si="42"/>
        <v>897160936.80681813</v>
      </c>
      <c r="N37" s="26">
        <f t="shared" si="42"/>
        <v>175198169.81780663</v>
      </c>
      <c r="O37" s="26">
        <f t="shared" si="42"/>
        <v>127942656.13354574</v>
      </c>
      <c r="P37" s="26">
        <f t="shared" si="42"/>
        <v>58282255.185232222</v>
      </c>
      <c r="Q37" s="26">
        <f t="shared" si="42"/>
        <v>778778261.22897148</v>
      </c>
      <c r="R37" s="26">
        <f t="shared" si="42"/>
        <v>121640595.31522389</v>
      </c>
      <c r="S37" s="26">
        <f t="shared" si="42"/>
        <v>79231209.034264371</v>
      </c>
      <c r="T37" s="26">
        <f t="shared" si="42"/>
        <v>23986021.444513619</v>
      </c>
      <c r="U37" s="26">
        <f t="shared" si="42"/>
        <v>852680177.13058436</v>
      </c>
      <c r="V37" s="26">
        <f t="shared" si="42"/>
        <v>83403735.034114972</v>
      </c>
      <c r="W37" s="26">
        <f t="shared" si="42"/>
        <v>53194862.672450468</v>
      </c>
      <c r="X37" s="26">
        <f t="shared" si="42"/>
        <v>14311232.799127547</v>
      </c>
      <c r="Y37" s="26">
        <f t="shared" si="42"/>
        <v>704712838.02077985</v>
      </c>
      <c r="Z37" s="26">
        <f t="shared" si="42"/>
        <v>32015440.063772894</v>
      </c>
      <c r="AA37" s="26">
        <f t="shared" si="42"/>
        <v>19700226.751582451</v>
      </c>
      <c r="AB37" s="26">
        <f t="shared" si="42"/>
        <v>9024170.520823516</v>
      </c>
      <c r="AC37" s="26">
        <f t="shared" si="42"/>
        <v>398237535.53539395</v>
      </c>
      <c r="AD37" s="26">
        <f t="shared" si="42"/>
        <v>17558917.160932545</v>
      </c>
      <c r="AE37" s="26">
        <f t="shared" si="42"/>
        <v>7218497.7656418066</v>
      </c>
      <c r="AF37" s="26">
        <f t="shared" si="42"/>
        <v>2293569.1724072881</v>
      </c>
      <c r="AG37" s="26">
        <f t="shared" si="42"/>
        <v>172569689.48917422</v>
      </c>
      <c r="AH37" s="26">
        <f t="shared" si="42"/>
        <v>9451198.0247335229</v>
      </c>
      <c r="AI37" s="26">
        <f t="shared" si="42"/>
        <v>6504628.962859177</v>
      </c>
      <c r="AJ37" s="26">
        <f t="shared" si="42"/>
        <v>3107141.3052484905</v>
      </c>
      <c r="AK37" s="26">
        <f t="shared" si="42"/>
        <v>10113149.752844675</v>
      </c>
      <c r="AL37" s="26">
        <f t="shared" si="42"/>
        <v>5921986.444419126</v>
      </c>
      <c r="AM37" s="26">
        <f t="shared" si="42"/>
        <v>3992682.4813394309</v>
      </c>
      <c r="AN37" s="26">
        <f t="shared" si="42"/>
        <v>8206722.2154480536</v>
      </c>
      <c r="AO37" s="26">
        <f t="shared" si="42"/>
        <v>6991100.2881563948</v>
      </c>
      <c r="AP37" s="26" t="e">
        <f t="shared" si="42"/>
        <v>#DIV/0!</v>
      </c>
      <c r="AQ37" s="26">
        <f t="shared" si="42"/>
        <v>333828280.99744034</v>
      </c>
      <c r="AR37" s="26">
        <f t="shared" si="42"/>
        <v>320202934.91000003</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415</v>
      </c>
      <c r="B38" s="28">
        <f>B31-B35</f>
        <v>2876254029.8400006</v>
      </c>
      <c r="C38" s="28">
        <f t="shared" ref="C38:BN38" si="44">C31-C35</f>
        <v>1789655285.6900008</v>
      </c>
      <c r="D38" s="28">
        <f t="shared" si="44"/>
        <v>867754398.37999988</v>
      </c>
      <c r="E38" s="28">
        <f t="shared" si="44"/>
        <v>2944915093.5300002</v>
      </c>
      <c r="F38" s="28">
        <f t="shared" si="44"/>
        <v>2293531157.039999</v>
      </c>
      <c r="G38" s="28">
        <f t="shared" si="44"/>
        <v>1532814100.4200001</v>
      </c>
      <c r="H38" s="28">
        <f t="shared" si="44"/>
        <v>677976957.64999986</v>
      </c>
      <c r="I38" s="28">
        <f t="shared" si="44"/>
        <v>2332278087.4599986</v>
      </c>
      <c r="J38" s="28">
        <f t="shared" si="44"/>
        <v>1667472864.2900004</v>
      </c>
      <c r="K38" s="28">
        <f t="shared" si="44"/>
        <v>1067524273.7100002</v>
      </c>
      <c r="L38" s="28">
        <f t="shared" si="44"/>
        <v>478076617.73000002</v>
      </c>
      <c r="M38" s="28">
        <f t="shared" si="44"/>
        <v>1643687992.8999994</v>
      </c>
      <c r="N38" s="28">
        <f t="shared" si="44"/>
        <v>1217617421.1599996</v>
      </c>
      <c r="O38" s="28">
        <f t="shared" si="44"/>
        <v>783523837.26999998</v>
      </c>
      <c r="P38" s="28">
        <f t="shared" si="44"/>
        <v>343710920.47999996</v>
      </c>
      <c r="Q38" s="28">
        <f t="shared" si="44"/>
        <v>1197526753.0299995</v>
      </c>
      <c r="R38" s="28">
        <f t="shared" si="44"/>
        <v>833515635.9799999</v>
      </c>
      <c r="S38" s="28">
        <f t="shared" si="44"/>
        <v>540832298.39999998</v>
      </c>
      <c r="T38" s="28">
        <f t="shared" si="44"/>
        <v>266239478.65000001</v>
      </c>
      <c r="U38" s="28">
        <f t="shared" si="44"/>
        <v>744680155.27999985</v>
      </c>
      <c r="V38" s="28">
        <f t="shared" si="44"/>
        <v>547955278.47000027</v>
      </c>
      <c r="W38" s="28">
        <f t="shared" si="44"/>
        <v>342258143.67000014</v>
      </c>
      <c r="X38" s="28">
        <f t="shared" si="44"/>
        <v>154516602.97</v>
      </c>
      <c r="Y38" s="28">
        <f t="shared" si="44"/>
        <v>513244734.49000001</v>
      </c>
      <c r="Z38" s="28">
        <f t="shared" si="44"/>
        <v>355624577.08000004</v>
      </c>
      <c r="AA38" s="28">
        <f t="shared" si="44"/>
        <v>213068804.86000007</v>
      </c>
      <c r="AB38" s="28">
        <f t="shared" si="44"/>
        <v>61867643.070000023</v>
      </c>
      <c r="AC38" s="28">
        <f t="shared" si="44"/>
        <v>175894626.74000001</v>
      </c>
      <c r="AD38" s="28">
        <f t="shared" si="44"/>
        <v>129774343.80000006</v>
      </c>
      <c r="AE38" s="28">
        <f t="shared" si="44"/>
        <v>73225349.330000013</v>
      </c>
      <c r="AF38" s="28">
        <f t="shared" si="44"/>
        <v>19815047.97000001</v>
      </c>
      <c r="AG38" s="28">
        <f t="shared" si="44"/>
        <v>85306554.730000019</v>
      </c>
      <c r="AH38" s="28">
        <f t="shared" si="44"/>
        <v>67272183.060000032</v>
      </c>
      <c r="AI38" s="28">
        <f t="shared" si="44"/>
        <v>36858650.780000016</v>
      </c>
      <c r="AJ38" s="28">
        <f t="shared" si="44"/>
        <v>11141429.569999995</v>
      </c>
      <c r="AK38" s="28">
        <f t="shared" si="44"/>
        <v>54354400.289999977</v>
      </c>
      <c r="AL38" s="28">
        <f t="shared" si="44"/>
        <v>28121299.029999994</v>
      </c>
      <c r="AM38" s="28">
        <f t="shared" si="44"/>
        <v>14683611.240000002</v>
      </c>
      <c r="AN38" s="28">
        <f t="shared" si="44"/>
        <v>35465826.440000027</v>
      </c>
      <c r="AO38" s="28">
        <f t="shared" si="44"/>
        <v>18806635.670000013</v>
      </c>
      <c r="AP38" s="28">
        <f t="shared" si="44"/>
        <v>0</v>
      </c>
      <c r="AQ38" s="28">
        <f t="shared" si="44"/>
        <v>73880495.870000005</v>
      </c>
      <c r="AR38" s="28">
        <f t="shared" si="44"/>
        <v>15614749.33</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c r="A39" s="57" t="s">
        <v>416</v>
      </c>
      <c r="B39" s="57">
        <f>B38/B4*100</f>
        <v>26.546566626755791</v>
      </c>
      <c r="C39" s="57">
        <f t="shared" ref="C39:D39" si="46">C38/C4*100</f>
        <v>24.717004995773788</v>
      </c>
      <c r="D39" s="57">
        <f t="shared" si="46"/>
        <v>24.441308081028961</v>
      </c>
      <c r="E39" s="57">
        <f>E38/E4</f>
        <v>0.24980038417445033</v>
      </c>
      <c r="F39" s="57">
        <f t="shared" ref="F39:BQ39" si="47">F38/F4</f>
        <v>0.24268549934012695</v>
      </c>
      <c r="G39" s="57">
        <f t="shared" si="47"/>
        <v>0.25332606464775337</v>
      </c>
      <c r="H39" s="57">
        <f t="shared" si="47"/>
        <v>0.25108015145119889</v>
      </c>
      <c r="I39" s="57">
        <f t="shared" si="47"/>
        <v>0.25260927045945963</v>
      </c>
      <c r="J39" s="57">
        <f t="shared" si="47"/>
        <v>0.23298753305445796</v>
      </c>
      <c r="K39" s="57">
        <f t="shared" si="47"/>
        <v>0.2372711828285812</v>
      </c>
      <c r="L39" s="57">
        <f t="shared" si="47"/>
        <v>0.23813354028544267</v>
      </c>
      <c r="M39" s="57">
        <f t="shared" si="47"/>
        <v>0.22035192420026187</v>
      </c>
      <c r="N39" s="57">
        <f t="shared" si="47"/>
        <v>0.23348739881649441</v>
      </c>
      <c r="O39" s="57">
        <f t="shared" si="47"/>
        <v>0.23735046985058564</v>
      </c>
      <c r="P39" s="57">
        <f t="shared" si="47"/>
        <v>0.22908649928490005</v>
      </c>
      <c r="Q39" s="57">
        <f t="shared" si="47"/>
        <v>0.22993580101362909</v>
      </c>
      <c r="R39" s="57">
        <f t="shared" si="47"/>
        <v>0.22819863614071642</v>
      </c>
      <c r="S39" s="57">
        <f t="shared" si="47"/>
        <v>0.22309619621286203</v>
      </c>
      <c r="T39" s="57">
        <f t="shared" si="47"/>
        <v>0.21800978677822361</v>
      </c>
      <c r="U39" s="57">
        <f t="shared" si="47"/>
        <v>0.23324449414897119</v>
      </c>
      <c r="V39" s="57">
        <f t="shared" si="47"/>
        <v>0.24033873261943303</v>
      </c>
      <c r="W39" s="57">
        <f t="shared" si="47"/>
        <v>0.22667717797980005</v>
      </c>
      <c r="X39" s="57">
        <f t="shared" si="47"/>
        <v>0.23565758765903888</v>
      </c>
      <c r="Y39" s="57">
        <f t="shared" si="47"/>
        <v>0.2296784286896689</v>
      </c>
      <c r="Z39" s="57">
        <f t="shared" si="47"/>
        <v>0.24369476785417568</v>
      </c>
      <c r="AA39" s="57">
        <f t="shared" si="47"/>
        <v>0.22156750520084817</v>
      </c>
      <c r="AB39" s="57">
        <f t="shared" si="47"/>
        <v>0.15181396448453177</v>
      </c>
      <c r="AC39" s="57">
        <f t="shared" si="47"/>
        <v>0.11526355092881971</v>
      </c>
      <c r="AD39" s="57">
        <f t="shared" si="47"/>
        <v>0.11810205727687401</v>
      </c>
      <c r="AE39" s="57">
        <f t="shared" si="47"/>
        <v>0.11310753753948805</v>
      </c>
      <c r="AF39" s="57">
        <f t="shared" si="47"/>
        <v>8.3382733513743271E-2</v>
      </c>
      <c r="AG39" s="57">
        <f t="shared" si="47"/>
        <v>0.16273629942023551</v>
      </c>
      <c r="AH39" s="57">
        <f t="shared" si="47"/>
        <v>0.17702267901794919</v>
      </c>
      <c r="AI39" s="57">
        <f t="shared" si="47"/>
        <v>0.16494564444523227</v>
      </c>
      <c r="AJ39" s="57">
        <f t="shared" si="47"/>
        <v>0.1250982339628805</v>
      </c>
      <c r="AK39" s="57">
        <f t="shared" si="47"/>
        <v>0.14916165958944119</v>
      </c>
      <c r="AL39" s="57">
        <f t="shared" si="47"/>
        <v>0.12100057884222352</v>
      </c>
      <c r="AM39" s="57">
        <f t="shared" si="47"/>
        <v>0.10942604729913427</v>
      </c>
      <c r="AN39" s="57">
        <f t="shared" si="47"/>
        <v>0.1365767142031214</v>
      </c>
      <c r="AO39" s="57">
        <f t="shared" si="47"/>
        <v>0.11472118770094175</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417</v>
      </c>
      <c r="B40" s="26">
        <f>B60</f>
        <v>388971925.72000003</v>
      </c>
      <c r="C40" s="26">
        <f t="shared" ref="C40:BN40" si="49">C60</f>
        <v>267785948.31</v>
      </c>
      <c r="D40" s="26">
        <f t="shared" si="49"/>
        <v>140953594.31999999</v>
      </c>
      <c r="E40" s="26">
        <f t="shared" si="49"/>
        <v>436557804.51999998</v>
      </c>
      <c r="F40" s="26">
        <f t="shared" si="49"/>
        <v>397308825.33999997</v>
      </c>
      <c r="G40" s="26">
        <f t="shared" si="49"/>
        <v>266681483.44999999</v>
      </c>
      <c r="H40" s="26">
        <f t="shared" si="49"/>
        <v>132101872.09</v>
      </c>
      <c r="I40" s="26">
        <f t="shared" si="49"/>
        <v>337258654.33999997</v>
      </c>
      <c r="J40" s="26">
        <f t="shared" si="49"/>
        <v>253195314.88</v>
      </c>
      <c r="K40" s="26">
        <f t="shared" si="49"/>
        <v>170463492.16999999</v>
      </c>
      <c r="L40" s="26">
        <f t="shared" si="49"/>
        <v>78589737.329999998</v>
      </c>
      <c r="M40" s="26">
        <f t="shared" si="49"/>
        <v>241469848.91</v>
      </c>
      <c r="N40" s="26">
        <f t="shared" si="49"/>
        <v>196428960.11000001</v>
      </c>
      <c r="O40" s="26">
        <f t="shared" si="49"/>
        <v>127191070.41</v>
      </c>
      <c r="P40" s="26">
        <f t="shared" si="49"/>
        <v>52653912.189999998</v>
      </c>
      <c r="Q40" s="26">
        <f t="shared" si="49"/>
        <v>187179197.56999999</v>
      </c>
      <c r="R40" s="26">
        <f t="shared" si="49"/>
        <v>128997189.98</v>
      </c>
      <c r="S40" s="26">
        <f t="shared" si="49"/>
        <v>88069143.909999996</v>
      </c>
      <c r="T40" s="26">
        <f t="shared" si="49"/>
        <v>54399730.939999998</v>
      </c>
      <c r="U40" s="26">
        <f t="shared" si="49"/>
        <v>79758981.980000004</v>
      </c>
      <c r="V40" s="26">
        <f t="shared" si="49"/>
        <v>80531058.989999995</v>
      </c>
      <c r="W40" s="26">
        <f t="shared" si="49"/>
        <v>53912872.799999997</v>
      </c>
      <c r="X40" s="26">
        <f t="shared" si="49"/>
        <v>25230523.050000001</v>
      </c>
      <c r="Y40" s="26">
        <f t="shared" si="49"/>
        <v>77665083.510000005</v>
      </c>
      <c r="Z40" s="26">
        <f t="shared" si="49"/>
        <v>56107985.990000002</v>
      </c>
      <c r="AA40" s="26">
        <f t="shared" si="49"/>
        <v>33458593.02</v>
      </c>
      <c r="AB40" s="26">
        <f t="shared" si="49"/>
        <v>18001250.899999999</v>
      </c>
      <c r="AC40" s="26">
        <f t="shared" si="49"/>
        <v>36722806.740000002</v>
      </c>
      <c r="AD40" s="26">
        <f t="shared" si="49"/>
        <v>25136541.91</v>
      </c>
      <c r="AE40" s="26">
        <f t="shared" si="49"/>
        <v>14039343.66</v>
      </c>
      <c r="AF40" s="26">
        <f t="shared" si="49"/>
        <v>3872272.99</v>
      </c>
      <c r="AG40" s="26">
        <f t="shared" si="49"/>
        <v>12674008.74</v>
      </c>
      <c r="AH40" s="26">
        <f t="shared" si="49"/>
        <v>9877790.5099999998</v>
      </c>
      <c r="AI40" s="26">
        <f t="shared" si="49"/>
        <v>5706890.0700000003</v>
      </c>
      <c r="AJ40" s="26">
        <f t="shared" si="49"/>
        <v>1710576.21</v>
      </c>
      <c r="AK40" s="26">
        <f t="shared" si="49"/>
        <v>8179057.5899999999</v>
      </c>
      <c r="AL40" s="26">
        <f t="shared" si="49"/>
        <v>4224970.93</v>
      </c>
      <c r="AM40" s="26">
        <f t="shared" si="49"/>
        <v>2242792.4300000002</v>
      </c>
      <c r="AN40" s="26">
        <f t="shared" si="49"/>
        <v>5244660.28</v>
      </c>
      <c r="AO40" s="26">
        <f t="shared" si="49"/>
        <v>1518619.71</v>
      </c>
      <c r="AP40" s="26">
        <f t="shared" si="49"/>
        <v>0</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608</v>
      </c>
      <c r="B41" s="57">
        <f>B40/B38</f>
        <v>0.13523559521675407</v>
      </c>
      <c r="C41" s="57">
        <f t="shared" ref="C41:BN41" si="51">C40/C38</f>
        <v>0.14962990384304944</v>
      </c>
      <c r="D41" s="57">
        <f t="shared" si="51"/>
        <v>0.16243489469272013</v>
      </c>
      <c r="E41" s="57">
        <f t="shared" si="51"/>
        <v>0.14824121940870916</v>
      </c>
      <c r="F41" s="57">
        <f t="shared" si="51"/>
        <v>0.1732301844343643</v>
      </c>
      <c r="G41" s="57">
        <f t="shared" si="51"/>
        <v>0.17398162202247988</v>
      </c>
      <c r="H41" s="57">
        <f t="shared" si="51"/>
        <v>0.1948471413363233</v>
      </c>
      <c r="I41" s="57">
        <f t="shared" si="51"/>
        <v>0.14460482056292714</v>
      </c>
      <c r="J41" s="57">
        <f t="shared" si="51"/>
        <v>0.15184373929095932</v>
      </c>
      <c r="K41" s="57">
        <f t="shared" si="51"/>
        <v>0.15968113921904833</v>
      </c>
      <c r="L41" s="57">
        <f t="shared" si="51"/>
        <v>0.16438732708401266</v>
      </c>
      <c r="M41" s="57">
        <f t="shared" si="51"/>
        <v>0.146907351001554</v>
      </c>
      <c r="N41" s="57">
        <f t="shared" si="51"/>
        <v>0.16132239626044945</v>
      </c>
      <c r="O41" s="57">
        <f t="shared" si="51"/>
        <v>0.16233210064567613</v>
      </c>
      <c r="P41" s="57">
        <f t="shared" si="51"/>
        <v>0.1531924330960088</v>
      </c>
      <c r="Q41" s="57">
        <f t="shared" si="51"/>
        <v>0.15630481498337845</v>
      </c>
      <c r="R41" s="57">
        <f t="shared" si="51"/>
        <v>0.15476277158056251</v>
      </c>
      <c r="S41" s="57">
        <f t="shared" si="51"/>
        <v>0.16284002299889269</v>
      </c>
      <c r="T41" s="57">
        <f t="shared" si="51"/>
        <v>0.2043263125958649</v>
      </c>
      <c r="U41" s="57">
        <f t="shared" si="51"/>
        <v>0.10710501873117677</v>
      </c>
      <c r="V41" s="57">
        <f t="shared" si="51"/>
        <v>0.1469664809413985</v>
      </c>
      <c r="W41" s="57">
        <f t="shared" si="51"/>
        <v>0.15752108108195062</v>
      </c>
      <c r="X41" s="57">
        <f t="shared" si="51"/>
        <v>0.16328680908742607</v>
      </c>
      <c r="Y41" s="57">
        <f t="shared" si="51"/>
        <v>0.15132173462466028</v>
      </c>
      <c r="Z41" s="57">
        <f t="shared" si="51"/>
        <v>0.15777308320672714</v>
      </c>
      <c r="AA41" s="57">
        <f t="shared" si="51"/>
        <v>0.15703187072356486</v>
      </c>
      <c r="AB41" s="57">
        <f t="shared" si="51"/>
        <v>0.29096390304755132</v>
      </c>
      <c r="AC41" s="57">
        <f t="shared" si="51"/>
        <v>0.20877730844093437</v>
      </c>
      <c r="AD41" s="57">
        <f t="shared" si="51"/>
        <v>0.19369423241884262</v>
      </c>
      <c r="AE41" s="57">
        <f t="shared" si="51"/>
        <v>0.19172791647233781</v>
      </c>
      <c r="AF41" s="57">
        <f t="shared" si="51"/>
        <v>0.19542082339960129</v>
      </c>
      <c r="AG41" s="57">
        <f t="shared" si="51"/>
        <v>0.14857016298588005</v>
      </c>
      <c r="AH41" s="57">
        <f t="shared" si="51"/>
        <v>0.14683320892366467</v>
      </c>
      <c r="AI41" s="57">
        <f t="shared" si="51"/>
        <v>0.15483176809870189</v>
      </c>
      <c r="AJ41" s="57">
        <f t="shared" si="51"/>
        <v>0.15353291956410947</v>
      </c>
      <c r="AK41" s="57">
        <f t="shared" si="51"/>
        <v>0.15047645722079225</v>
      </c>
      <c r="AL41" s="57">
        <f t="shared" si="51"/>
        <v>0.15024095883667293</v>
      </c>
      <c r="AM41" s="57">
        <f t="shared" si="51"/>
        <v>0.15274120196606347</v>
      </c>
      <c r="AN41" s="57">
        <f t="shared" si="51"/>
        <v>0.1478792631231293</v>
      </c>
      <c r="AO41" s="57">
        <f t="shared" si="51"/>
        <v>8.0749142836986698E-2</v>
      </c>
      <c r="AP41" s="57" t="e">
        <f t="shared" si="51"/>
        <v>#DIV/0!</v>
      </c>
      <c r="AQ41" s="57">
        <f t="shared" si="51"/>
        <v>5.4623444638231016</v>
      </c>
      <c r="AR41" s="57">
        <f t="shared" si="51"/>
        <v>21.506440938812048</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419</v>
      </c>
      <c r="B42" s="28">
        <f>B38-B40</f>
        <v>2487282104.1200008</v>
      </c>
      <c r="C42" s="28">
        <f t="shared" ref="C42:BN42" si="53">C38-C40</f>
        <v>1521869337.3800008</v>
      </c>
      <c r="D42" s="28">
        <f t="shared" si="53"/>
        <v>726800804.05999994</v>
      </c>
      <c r="E42" s="28">
        <f t="shared" si="53"/>
        <v>2508357289.0100002</v>
      </c>
      <c r="F42" s="28">
        <f t="shared" si="53"/>
        <v>1896222331.6999991</v>
      </c>
      <c r="G42" s="28">
        <f t="shared" si="53"/>
        <v>1266132616.97</v>
      </c>
      <c r="H42" s="28">
        <f t="shared" si="53"/>
        <v>545875085.55999982</v>
      </c>
      <c r="I42" s="28">
        <f t="shared" si="53"/>
        <v>1995019433.1199987</v>
      </c>
      <c r="J42" s="28">
        <f t="shared" si="53"/>
        <v>1414277549.4100003</v>
      </c>
      <c r="K42" s="28">
        <f t="shared" si="53"/>
        <v>897060781.5400002</v>
      </c>
      <c r="L42" s="28">
        <f t="shared" si="53"/>
        <v>399486880.40000004</v>
      </c>
      <c r="M42" s="28">
        <f t="shared" si="53"/>
        <v>1402218143.9899993</v>
      </c>
      <c r="N42" s="28">
        <f t="shared" si="53"/>
        <v>1021188461.0499996</v>
      </c>
      <c r="O42" s="28">
        <f t="shared" si="53"/>
        <v>656332766.86000001</v>
      </c>
      <c r="P42" s="28">
        <f t="shared" si="53"/>
        <v>291057008.28999996</v>
      </c>
      <c r="Q42" s="28">
        <f t="shared" si="53"/>
        <v>1010347555.4599996</v>
      </c>
      <c r="R42" s="28">
        <f t="shared" si="53"/>
        <v>704518445.99999988</v>
      </c>
      <c r="S42" s="28">
        <f t="shared" si="53"/>
        <v>452763154.49000001</v>
      </c>
      <c r="T42" s="28">
        <f t="shared" si="53"/>
        <v>211839747.71000001</v>
      </c>
      <c r="U42" s="28">
        <f t="shared" si="53"/>
        <v>664921173.29999983</v>
      </c>
      <c r="V42" s="28">
        <f t="shared" si="53"/>
        <v>467424219.48000026</v>
      </c>
      <c r="W42" s="28">
        <f t="shared" si="53"/>
        <v>288345270.87000012</v>
      </c>
      <c r="X42" s="28">
        <f t="shared" si="53"/>
        <v>129286079.92</v>
      </c>
      <c r="Y42" s="28">
        <f t="shared" si="53"/>
        <v>435579650.98000002</v>
      </c>
      <c r="Z42" s="28">
        <f t="shared" si="53"/>
        <v>299516591.09000003</v>
      </c>
      <c r="AA42" s="28">
        <f t="shared" si="53"/>
        <v>179610211.84000006</v>
      </c>
      <c r="AB42" s="28">
        <f t="shared" si="53"/>
        <v>43866392.170000024</v>
      </c>
      <c r="AC42" s="28">
        <f t="shared" si="53"/>
        <v>139171820</v>
      </c>
      <c r="AD42" s="28">
        <f t="shared" si="53"/>
        <v>104637801.89000006</v>
      </c>
      <c r="AE42" s="28">
        <f t="shared" si="53"/>
        <v>59186005.670000017</v>
      </c>
      <c r="AF42" s="28">
        <f t="shared" si="53"/>
        <v>15942774.98000001</v>
      </c>
      <c r="AG42" s="28">
        <f t="shared" si="53"/>
        <v>72632545.990000024</v>
      </c>
      <c r="AH42" s="28">
        <f t="shared" si="53"/>
        <v>57394392.550000034</v>
      </c>
      <c r="AI42" s="28">
        <f t="shared" si="53"/>
        <v>31151760.710000016</v>
      </c>
      <c r="AJ42" s="28">
        <f t="shared" si="53"/>
        <v>9430853.3599999957</v>
      </c>
      <c r="AK42" s="28">
        <f t="shared" si="53"/>
        <v>46175342.699999973</v>
      </c>
      <c r="AL42" s="28">
        <f t="shared" si="53"/>
        <v>23896328.099999994</v>
      </c>
      <c r="AM42" s="28">
        <f t="shared" si="53"/>
        <v>12440818.810000002</v>
      </c>
      <c r="AN42" s="28">
        <f t="shared" si="53"/>
        <v>30221166.160000026</v>
      </c>
      <c r="AO42" s="28">
        <f t="shared" si="53"/>
        <v>17288015.960000012</v>
      </c>
      <c r="AP42" s="28">
        <f t="shared" si="53"/>
        <v>0</v>
      </c>
      <c r="AQ42" s="28">
        <f t="shared" si="53"/>
        <v>-329680221.73000002</v>
      </c>
      <c r="AR42" s="28">
        <f t="shared" si="53"/>
        <v>-320202934.91000003</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418</v>
      </c>
      <c r="B43" s="57">
        <f>B42/B4*100</f>
        <v>22.956525888025254</v>
      </c>
      <c r="C43" s="57">
        <f t="shared" ref="C43:D43" si="55">C42/C4*100</f>
        <v>21.018601914967981</v>
      </c>
      <c r="D43" s="57">
        <f t="shared" si="55"/>
        <v>20.471186776734697</v>
      </c>
      <c r="E43" s="57">
        <f>E42/E4</f>
        <v>0.21276967061566579</v>
      </c>
      <c r="F43" s="57">
        <f t="shared" ref="F43:BQ43" si="56">F42/F4</f>
        <v>0.20064504552989099</v>
      </c>
      <c r="G43" s="57">
        <f t="shared" si="56"/>
        <v>0.20925198501976561</v>
      </c>
      <c r="H43" s="57">
        <f t="shared" si="56"/>
        <v>0.20215790169464165</v>
      </c>
      <c r="I43" s="57">
        <f t="shared" si="56"/>
        <v>0.21608075223213757</v>
      </c>
      <c r="J43" s="57">
        <f t="shared" si="56"/>
        <v>0.19760983482729308</v>
      </c>
      <c r="K43" s="57">
        <f t="shared" si="56"/>
        <v>0.19938345005066224</v>
      </c>
      <c r="L43" s="57">
        <f t="shared" si="56"/>
        <v>0.1989874041088657</v>
      </c>
      <c r="M43" s="57">
        <f t="shared" si="56"/>
        <v>0.18798060672790617</v>
      </c>
      <c r="N43" s="57">
        <f t="shared" si="56"/>
        <v>0.19582065214279831</v>
      </c>
      <c r="O43" s="57">
        <f t="shared" si="56"/>
        <v>0.19882086949050184</v>
      </c>
      <c r="P43" s="57">
        <f t="shared" si="56"/>
        <v>0.19399218106999913</v>
      </c>
      <c r="Q43" s="57">
        <f t="shared" si="56"/>
        <v>0.1939957281781389</v>
      </c>
      <c r="R43" s="57">
        <f t="shared" si="56"/>
        <v>0.19288198274067483</v>
      </c>
      <c r="S43" s="57">
        <f t="shared" si="56"/>
        <v>0.18676720649059411</v>
      </c>
      <c r="T43" s="57">
        <f t="shared" si="56"/>
        <v>0.17346465093601846</v>
      </c>
      <c r="U43" s="57">
        <f t="shared" si="56"/>
        <v>0.20826283823420177</v>
      </c>
      <c r="V43" s="57">
        <f t="shared" si="56"/>
        <v>0.20501699485243927</v>
      </c>
      <c r="W43" s="57">
        <f t="shared" si="56"/>
        <v>0.1909707438478162</v>
      </c>
      <c r="X43" s="57">
        <f t="shared" si="56"/>
        <v>0.19717781213295404</v>
      </c>
      <c r="Y43" s="57">
        <f t="shared" si="56"/>
        <v>0.19492309045448186</v>
      </c>
      <c r="Z43" s="57">
        <f t="shared" si="56"/>
        <v>0.20524629296847474</v>
      </c>
      <c r="AA43" s="57">
        <f t="shared" si="56"/>
        <v>0.18677434536760579</v>
      </c>
      <c r="AB43" s="57">
        <f t="shared" si="56"/>
        <v>0.10764158084099006</v>
      </c>
      <c r="AC43" s="57">
        <f t="shared" si="56"/>
        <v>9.1199137004556161E-2</v>
      </c>
      <c r="AD43" s="57">
        <f t="shared" si="56"/>
        <v>9.5226369945543704E-2</v>
      </c>
      <c r="AE43" s="57">
        <f t="shared" si="56"/>
        <v>9.1421665029725263E-2</v>
      </c>
      <c r="AF43" s="57">
        <f t="shared" si="56"/>
        <v>6.7088011073178022E-2</v>
      </c>
      <c r="AG43" s="57">
        <f t="shared" si="56"/>
        <v>0.13855854089165215</v>
      </c>
      <c r="AH43" s="57">
        <f t="shared" si="56"/>
        <v>0.15102987100547982</v>
      </c>
      <c r="AI43" s="57">
        <f t="shared" si="56"/>
        <v>0.13940681867559715</v>
      </c>
      <c r="AJ43" s="57">
        <f t="shared" si="56"/>
        <v>0.10589153687024543</v>
      </c>
      <c r="AK43" s="57">
        <f t="shared" si="56"/>
        <v>0.12671634150124825</v>
      </c>
      <c r="AL43" s="57">
        <f t="shared" si="56"/>
        <v>0.10282133585717541</v>
      </c>
      <c r="AM43" s="57">
        <f t="shared" si="56"/>
        <v>9.2712181308269193E-2</v>
      </c>
      <c r="AN43" s="57">
        <f t="shared" si="56"/>
        <v>0.11637985034698559</v>
      </c>
      <c r="AO43" s="57">
        <f t="shared" si="56"/>
        <v>0.10545755012884964</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420</v>
      </c>
      <c r="B45" s="26">
        <f>B70*B69</f>
        <v>1602128110.7576001</v>
      </c>
      <c r="C45" s="26">
        <f t="shared" ref="C45:BN45" si="58">C70*C69</f>
        <v>1565717092.3151999</v>
      </c>
      <c r="D45" s="26">
        <f t="shared" si="58"/>
        <v>1502705392.8816001</v>
      </c>
      <c r="E45" s="26">
        <f t="shared" si="58"/>
        <v>1442348880.2967999</v>
      </c>
      <c r="F45" s="26">
        <f t="shared" si="58"/>
        <v>1391330518.8039999</v>
      </c>
      <c r="G45" s="26">
        <f t="shared" si="58"/>
        <v>1333971023.4208</v>
      </c>
      <c r="H45" s="26">
        <f t="shared" si="58"/>
        <v>1292300840.5112</v>
      </c>
      <c r="I45" s="26">
        <f t="shared" si="58"/>
        <v>1248195287.7384</v>
      </c>
      <c r="J45" s="26">
        <f t="shared" si="58"/>
        <v>1201843467.4552</v>
      </c>
      <c r="K45" s="26">
        <f t="shared" si="58"/>
        <v>803447887.1128</v>
      </c>
      <c r="L45" s="26">
        <f t="shared" si="58"/>
        <v>772097929.65039992</v>
      </c>
      <c r="M45" s="26">
        <f t="shared" si="58"/>
        <v>737173973.67119992</v>
      </c>
      <c r="N45" s="26">
        <f t="shared" si="58"/>
        <v>474451081.51120001</v>
      </c>
      <c r="O45" s="26">
        <f t="shared" si="58"/>
        <v>432601832.58160007</v>
      </c>
      <c r="P45" s="26">
        <f t="shared" si="58"/>
        <v>410997555.29839998</v>
      </c>
      <c r="Q45" s="26">
        <f t="shared" si="58"/>
        <v>386131212.34240001</v>
      </c>
      <c r="R45" s="26">
        <f t="shared" si="58"/>
        <v>360600654.68959999</v>
      </c>
      <c r="S45" s="26">
        <f t="shared" si="58"/>
        <v>337959474.25840002</v>
      </c>
      <c r="T45" s="26">
        <f t="shared" si="58"/>
        <v>329459953.38319999</v>
      </c>
      <c r="U45" s="26">
        <f t="shared" si="58"/>
        <v>303845146.23439997</v>
      </c>
      <c r="V45" s="26">
        <f t="shared" si="58"/>
        <v>285901531.44240004</v>
      </c>
      <c r="W45" s="26">
        <f t="shared" si="58"/>
        <v>270419664.47360003</v>
      </c>
      <c r="X45" s="26">
        <f t="shared" si="58"/>
        <v>261737862.80160001</v>
      </c>
      <c r="Y45" s="26">
        <f t="shared" si="58"/>
        <v>245576529.46240002</v>
      </c>
      <c r="Z45" s="26">
        <f t="shared" si="58"/>
        <v>235372377.9912</v>
      </c>
      <c r="AA45" s="26">
        <f t="shared" si="58"/>
        <v>225602671.6816</v>
      </c>
      <c r="AB45" s="26">
        <f t="shared" si="58"/>
        <v>87130374.580799997</v>
      </c>
      <c r="AC45" s="26">
        <f t="shared" si="58"/>
        <v>84189324.996800005</v>
      </c>
      <c r="AD45" s="26">
        <f t="shared" si="58"/>
        <v>80747722.464000002</v>
      </c>
      <c r="AE45" s="26">
        <f t="shared" si="58"/>
        <v>75351578.766400009</v>
      </c>
      <c r="AF45" s="26">
        <f t="shared" si="58"/>
        <v>72472265.495200008</v>
      </c>
      <c r="AG45" s="26">
        <f t="shared" si="58"/>
        <v>71198458.311199993</v>
      </c>
      <c r="AH45" s="26">
        <f t="shared" si="58"/>
        <v>69436531.682400003</v>
      </c>
      <c r="AI45" s="26">
        <f t="shared" si="58"/>
        <v>24310211.228000004</v>
      </c>
      <c r="AJ45" s="26">
        <f t="shared" si="58"/>
        <v>21818070.3704</v>
      </c>
      <c r="AK45" s="26">
        <f t="shared" si="58"/>
        <v>14117066.288000001</v>
      </c>
      <c r="AL45" s="26">
        <f t="shared" si="58"/>
        <v>11853452.995200001</v>
      </c>
      <c r="AM45" s="26">
        <f t="shared" si="58"/>
        <v>0</v>
      </c>
      <c r="AN45" s="26">
        <f t="shared" si="58"/>
        <v>0</v>
      </c>
      <c r="AO45" s="26">
        <f t="shared" si="58"/>
        <v>0</v>
      </c>
      <c r="AP45" s="26">
        <f t="shared" si="58"/>
        <v>0</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422</v>
      </c>
      <c r="B47" s="28">
        <f>B42-B45</f>
        <v>885153993.36240077</v>
      </c>
      <c r="C47" s="28">
        <f t="shared" ref="C47:BN47" si="62">C42-C45</f>
        <v>-43847754.935199022</v>
      </c>
      <c r="D47" s="28">
        <f t="shared" si="62"/>
        <v>-775904588.8216002</v>
      </c>
      <c r="E47" s="28">
        <f t="shared" si="62"/>
        <v>1066008408.7132003</v>
      </c>
      <c r="F47" s="28">
        <f t="shared" si="62"/>
        <v>504891812.89599919</v>
      </c>
      <c r="G47" s="28">
        <f t="shared" si="62"/>
        <v>-67838406.450799942</v>
      </c>
      <c r="H47" s="28">
        <f t="shared" si="62"/>
        <v>-746425754.95120013</v>
      </c>
      <c r="I47" s="28">
        <f t="shared" si="62"/>
        <v>746824145.38159871</v>
      </c>
      <c r="J47" s="28">
        <f t="shared" si="62"/>
        <v>212434081.95480037</v>
      </c>
      <c r="K47" s="28">
        <f t="shared" si="62"/>
        <v>93612894.427200198</v>
      </c>
      <c r="L47" s="28">
        <f t="shared" si="62"/>
        <v>-372611049.25039989</v>
      </c>
      <c r="M47" s="28">
        <f t="shared" si="62"/>
        <v>665044170.31879938</v>
      </c>
      <c r="N47" s="28">
        <f t="shared" si="62"/>
        <v>546737379.53879952</v>
      </c>
      <c r="O47" s="28">
        <f t="shared" si="62"/>
        <v>223730934.27839994</v>
      </c>
      <c r="P47" s="28">
        <f t="shared" si="62"/>
        <v>-119940547.00840002</v>
      </c>
      <c r="Q47" s="28">
        <f t="shared" si="62"/>
        <v>624216343.11759949</v>
      </c>
      <c r="R47" s="28">
        <f t="shared" si="62"/>
        <v>343917791.31039989</v>
      </c>
      <c r="S47" s="28">
        <f t="shared" si="62"/>
        <v>114803680.23159999</v>
      </c>
      <c r="T47" s="28">
        <f t="shared" si="62"/>
        <v>-117620205.67319998</v>
      </c>
      <c r="U47" s="28">
        <f t="shared" si="62"/>
        <v>361076027.06559986</v>
      </c>
      <c r="V47" s="28">
        <f t="shared" si="62"/>
        <v>181522688.03760022</v>
      </c>
      <c r="W47" s="28">
        <f t="shared" si="62"/>
        <v>17925606.396400094</v>
      </c>
      <c r="X47" s="28">
        <f t="shared" si="62"/>
        <v>-132451782.88160001</v>
      </c>
      <c r="Y47" s="28">
        <f t="shared" si="62"/>
        <v>190003121.5176</v>
      </c>
      <c r="Z47" s="28">
        <f t="shared" si="62"/>
        <v>64144213.098800033</v>
      </c>
      <c r="AA47" s="28">
        <f t="shared" si="62"/>
        <v>-45992459.841599941</v>
      </c>
      <c r="AB47" s="28">
        <f t="shared" si="62"/>
        <v>-43263982.410799973</v>
      </c>
      <c r="AC47" s="28">
        <f t="shared" si="62"/>
        <v>54982495.003199995</v>
      </c>
      <c r="AD47" s="28">
        <f t="shared" si="62"/>
        <v>23890079.426000059</v>
      </c>
      <c r="AE47" s="28">
        <f t="shared" si="62"/>
        <v>-16165573.096399993</v>
      </c>
      <c r="AF47" s="28">
        <f t="shared" si="62"/>
        <v>-56529490.515199997</v>
      </c>
      <c r="AG47" s="28">
        <f t="shared" si="62"/>
        <v>1434087.6788000315</v>
      </c>
      <c r="AH47" s="28">
        <f t="shared" si="62"/>
        <v>-12042139.132399969</v>
      </c>
      <c r="AI47" s="28">
        <f t="shared" si="62"/>
        <v>6841549.482000012</v>
      </c>
      <c r="AJ47" s="28">
        <f t="shared" si="62"/>
        <v>-12387217.010400005</v>
      </c>
      <c r="AK47" s="28">
        <f t="shared" si="62"/>
        <v>32058276.411999971</v>
      </c>
      <c r="AL47" s="28">
        <f t="shared" si="62"/>
        <v>12042875.104799993</v>
      </c>
      <c r="AM47" s="28">
        <f t="shared" si="62"/>
        <v>12440818.810000002</v>
      </c>
      <c r="AN47" s="28">
        <f t="shared" si="62"/>
        <v>30221166.160000026</v>
      </c>
      <c r="AO47" s="28">
        <f t="shared" si="62"/>
        <v>17288015.960000012</v>
      </c>
      <c r="AP47" s="28">
        <f t="shared" si="62"/>
        <v>0</v>
      </c>
      <c r="AQ47" s="28">
        <f t="shared" si="62"/>
        <v>-1204430921.7676001</v>
      </c>
      <c r="AR47" s="28">
        <f t="shared" si="62"/>
        <v>-1171558509.1084001</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20081231</v>
      </c>
      <c r="AO51" s="189">
        <v>20071231</v>
      </c>
      <c r="AP51" s="189">
        <v>19700101</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20010930</v>
      </c>
      <c r="BS51" s="189">
        <v>20010630</v>
      </c>
      <c r="BT51" s="189">
        <v>20010331</v>
      </c>
      <c r="BU51" s="189">
        <v>20001231</v>
      </c>
      <c r="BV51" s="189">
        <v>20000630</v>
      </c>
      <c r="BW51" s="189">
        <v>19991231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c r="A52" s="131" t="s">
        <v>570</v>
      </c>
      <c r="B52" s="42">
        <v>-25636</v>
      </c>
      <c r="C52" s="42">
        <v>-27718</v>
      </c>
      <c r="D52" s="42">
        <v>-35317</v>
      </c>
      <c r="E52" s="42">
        <v>-902963929.29999995</v>
      </c>
      <c r="F52" s="42">
        <v>-34414</v>
      </c>
      <c r="G52" s="42">
        <v>-23309</v>
      </c>
      <c r="H52" s="42">
        <v>-16814</v>
      </c>
      <c r="I52" s="42">
        <v>-765195557.32000005</v>
      </c>
      <c r="J52" s="42"/>
      <c r="K52" s="42"/>
      <c r="M52" s="43">
        <v>-746367317.88</v>
      </c>
      <c r="Q52" s="43">
        <v>-660406330.34000003</v>
      </c>
      <c r="U52" s="43">
        <v>-821239268.10000002</v>
      </c>
      <c r="Y52" s="43">
        <v>-777445872.55999994</v>
      </c>
      <c r="AC52" s="43">
        <v>-468723365.81</v>
      </c>
      <c r="AG52" s="43">
        <v>-189919617.83000001</v>
      </c>
    </row>
    <row r="53" spans="1:89" s="43" customFormat="1">
      <c r="A53" s="132" t="s">
        <v>90</v>
      </c>
      <c r="B53" s="42">
        <v>217</v>
      </c>
      <c r="C53" s="42">
        <v>189</v>
      </c>
      <c r="D53" s="42"/>
      <c r="E53" s="42">
        <v>15660240.74</v>
      </c>
      <c r="F53" s="42"/>
      <c r="G53" s="42"/>
      <c r="H53" s="42"/>
      <c r="I53" s="42">
        <v>29047315.350000001</v>
      </c>
      <c r="J53" s="42"/>
      <c r="K53" s="42"/>
      <c r="M53" s="43">
        <v>14522441.789999999</v>
      </c>
      <c r="Q53" s="43">
        <v>8563830.6600000001</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2" t="s">
        <v>91</v>
      </c>
      <c r="B54" s="42">
        <v>3104</v>
      </c>
      <c r="C54" s="42">
        <v>-1424</v>
      </c>
      <c r="D54" s="42">
        <v>-340</v>
      </c>
      <c r="E54" s="42">
        <v>176195.66</v>
      </c>
      <c r="F54" s="42">
        <v>2684</v>
      </c>
      <c r="G54" s="42">
        <v>-377</v>
      </c>
      <c r="H54" s="42">
        <v>1008</v>
      </c>
      <c r="I54" s="42">
        <v>153983.15</v>
      </c>
      <c r="J54" s="42"/>
      <c r="K54" s="42"/>
      <c r="M54" s="43">
        <f>-102450.21</f>
        <v>-102450.21</v>
      </c>
      <c r="Q54" s="43">
        <v>140253.82</v>
      </c>
      <c r="U54" s="43">
        <v>10846.94</v>
      </c>
      <c r="Y54" s="43">
        <v>-205399.9</v>
      </c>
      <c r="AC54" s="43">
        <v>11178.14</v>
      </c>
      <c r="AG54" s="43">
        <v>370867.58</v>
      </c>
    </row>
    <row r="55" spans="1:89" s="43" customFormat="1">
      <c r="A55" s="132" t="s">
        <v>92</v>
      </c>
      <c r="B55" s="42">
        <v>463</v>
      </c>
      <c r="C55" s="42">
        <v>603</v>
      </c>
      <c r="D55" s="42">
        <v>653</v>
      </c>
      <c r="E55" s="42">
        <v>-4241705.5999999996</v>
      </c>
      <c r="F55" s="42">
        <v>1204</v>
      </c>
      <c r="G55" s="42">
        <v>868</v>
      </c>
      <c r="H55" s="42">
        <v>644</v>
      </c>
      <c r="I55" s="42">
        <v>-30497795.780000001</v>
      </c>
      <c r="J55" s="42"/>
      <c r="K55" s="42"/>
      <c r="M55" s="43">
        <v>-750050.89</v>
      </c>
      <c r="Q55" s="43">
        <v>-6615005.9699999997</v>
      </c>
      <c r="U55" s="43">
        <v>-5869478</v>
      </c>
      <c r="Y55" s="43">
        <v>-12046824.75</v>
      </c>
      <c r="AC55" s="43">
        <v>-8254042.6900000004</v>
      </c>
      <c r="AG55" s="43">
        <v>-2922096.12</v>
      </c>
    </row>
    <row r="56" spans="1:89" s="26" customFormat="1">
      <c r="A56" s="133" t="s">
        <v>93</v>
      </c>
      <c r="B56" s="44">
        <f>SUM(B52:B55)</f>
        <v>-21852</v>
      </c>
      <c r="C56" s="44">
        <f t="shared" ref="C56:D56" si="64">SUM(C52:C55)</f>
        <v>-28350</v>
      </c>
      <c r="D56" s="44">
        <f t="shared" si="64"/>
        <v>-35004</v>
      </c>
      <c r="E56" s="44">
        <f>SUM(E52:E55)</f>
        <v>-891369198.5</v>
      </c>
      <c r="F56" s="44">
        <f t="shared" ref="F56:BQ56" si="65">SUM(F52:F55)</f>
        <v>-30526</v>
      </c>
      <c r="G56" s="44">
        <f t="shared" si="65"/>
        <v>-22818</v>
      </c>
      <c r="H56" s="44">
        <f t="shared" si="65"/>
        <v>-15162</v>
      </c>
      <c r="I56" s="44">
        <f t="shared" si="65"/>
        <v>-766492054.60000002</v>
      </c>
      <c r="J56" s="44">
        <f t="shared" si="65"/>
        <v>0</v>
      </c>
      <c r="K56" s="44">
        <f t="shared" si="65"/>
        <v>0</v>
      </c>
      <c r="L56" s="44">
        <f t="shared" si="65"/>
        <v>0</v>
      </c>
      <c r="M56" s="44">
        <f t="shared" si="65"/>
        <v>-732697377.19000006</v>
      </c>
      <c r="N56" s="44">
        <f t="shared" si="65"/>
        <v>0</v>
      </c>
      <c r="O56" s="44">
        <f t="shared" si="65"/>
        <v>0</v>
      </c>
      <c r="P56" s="44">
        <f t="shared" si="65"/>
        <v>0</v>
      </c>
      <c r="Q56" s="44">
        <f t="shared" si="65"/>
        <v>-658317251.83000004</v>
      </c>
      <c r="R56" s="44">
        <f t="shared" si="65"/>
        <v>0</v>
      </c>
      <c r="S56" s="44">
        <f t="shared" si="65"/>
        <v>0</v>
      </c>
      <c r="T56" s="44">
        <f t="shared" si="65"/>
        <v>0</v>
      </c>
      <c r="U56" s="44">
        <f t="shared" si="65"/>
        <v>-827097899.15999997</v>
      </c>
      <c r="V56" s="44">
        <f t="shared" si="65"/>
        <v>0</v>
      </c>
      <c r="W56" s="44">
        <f t="shared" si="65"/>
        <v>0</v>
      </c>
      <c r="X56" s="44">
        <f t="shared" si="65"/>
        <v>0</v>
      </c>
      <c r="Y56" s="44">
        <f t="shared" si="65"/>
        <v>-789698097.20999992</v>
      </c>
      <c r="Z56" s="44">
        <f t="shared" si="65"/>
        <v>0</v>
      </c>
      <c r="AA56" s="44">
        <f t="shared" si="65"/>
        <v>0</v>
      </c>
      <c r="AB56" s="44">
        <f t="shared" si="65"/>
        <v>0</v>
      </c>
      <c r="AC56" s="44">
        <f t="shared" si="65"/>
        <v>-476966230.36000001</v>
      </c>
      <c r="AD56" s="44">
        <f t="shared" si="65"/>
        <v>0</v>
      </c>
      <c r="AE56" s="44">
        <f t="shared" si="65"/>
        <v>0</v>
      </c>
      <c r="AF56" s="44">
        <f t="shared" si="65"/>
        <v>0</v>
      </c>
      <c r="AG56" s="44">
        <f t="shared" si="65"/>
        <v>-192470846.37</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4" t="s">
        <v>97</v>
      </c>
    </row>
    <row r="59" spans="1:89">
      <c r="A59" s="22" t="s">
        <v>96</v>
      </c>
      <c r="B59" s="189">
        <v>2204459744.1100001</v>
      </c>
      <c r="C59" s="189">
        <v>1515192666.26</v>
      </c>
      <c r="D59" s="189">
        <v>716431794.19000006</v>
      </c>
      <c r="E59" s="189">
        <v>2475839648</v>
      </c>
      <c r="F59" s="189">
        <v>1880852127.72</v>
      </c>
      <c r="G59" s="189">
        <v>1255537191.71</v>
      </c>
      <c r="H59" s="189">
        <v>541579835.88</v>
      </c>
      <c r="I59" s="189">
        <v>1965043503.1700001</v>
      </c>
      <c r="J59" s="189">
        <v>1415068580.1400001</v>
      </c>
      <c r="K59" s="189">
        <v>897803629.75999999</v>
      </c>
      <c r="L59" s="189">
        <v>398764449.68000001</v>
      </c>
      <c r="M59" s="189">
        <v>1404924355.51</v>
      </c>
      <c r="N59" s="189">
        <v>1023040737.52</v>
      </c>
      <c r="O59" s="189">
        <v>656069308.02999997</v>
      </c>
      <c r="P59" s="189">
        <v>290986516.20999998</v>
      </c>
      <c r="Q59" s="189">
        <v>1000216276.11</v>
      </c>
      <c r="R59" s="189">
        <v>701516526.25999999</v>
      </c>
      <c r="S59" s="189">
        <v>450995915.56999999</v>
      </c>
      <c r="T59" s="189">
        <v>208179758.24000001</v>
      </c>
      <c r="U59" s="189">
        <v>659586728.13</v>
      </c>
      <c r="V59" s="189">
        <v>467302722.32999998</v>
      </c>
      <c r="W59" s="189">
        <v>288341978.17000002</v>
      </c>
      <c r="X59" s="189">
        <v>129283223.64</v>
      </c>
      <c r="Y59" s="189">
        <v>423498107.69</v>
      </c>
      <c r="Z59" s="189">
        <v>299610134.99000001</v>
      </c>
      <c r="AA59" s="189">
        <v>179636220.44</v>
      </c>
      <c r="AB59" s="189">
        <v>43871154.549999997</v>
      </c>
      <c r="AC59" s="189">
        <v>130578798.37</v>
      </c>
      <c r="AD59" s="189">
        <v>104625580.37</v>
      </c>
      <c r="AE59" s="189">
        <v>59178958.100000001</v>
      </c>
      <c r="AF59" s="189">
        <v>15942774.98</v>
      </c>
      <c r="AG59" s="189">
        <v>70092451.549999997</v>
      </c>
      <c r="AH59" s="189">
        <v>57394392.549999997</v>
      </c>
      <c r="AI59" s="189">
        <v>31151760.719999999</v>
      </c>
      <c r="AJ59" s="189">
        <v>9430853.3599999994</v>
      </c>
      <c r="AK59" s="189">
        <v>46262551.030000001</v>
      </c>
      <c r="AL59" s="189">
        <v>23896328.100000001</v>
      </c>
      <c r="AM59" s="189">
        <v>12440818.810000001</v>
      </c>
      <c r="AN59" s="189">
        <v>28895166.16</v>
      </c>
      <c r="AO59" s="189">
        <v>17114578.460000001</v>
      </c>
      <c r="AP59" s="189">
        <v>0</v>
      </c>
      <c r="AQ59" s="189">
        <v>1308146766.3</v>
      </c>
      <c r="AR59" s="189">
        <v>1015707693.3099999</v>
      </c>
      <c r="AS59" s="189">
        <v>1472784098.4200001</v>
      </c>
      <c r="AT59" s="189">
        <v>1326845730.0799999</v>
      </c>
      <c r="AU59" s="189">
        <v>1145272727.9100001</v>
      </c>
      <c r="AV59" s="189">
        <v>745206726.03999996</v>
      </c>
      <c r="AW59" s="189">
        <v>1179340016.0999999</v>
      </c>
      <c r="AX59" s="189">
        <v>1023357815.7</v>
      </c>
      <c r="AY59" s="189">
        <v>822921865.61000001</v>
      </c>
      <c r="AZ59" s="189">
        <v>548815529.96000004</v>
      </c>
      <c r="BA59" s="189">
        <v>799007076.76999998</v>
      </c>
      <c r="BB59" s="189">
        <v>773754249.82000005</v>
      </c>
      <c r="BC59" s="189">
        <v>592464063.88</v>
      </c>
      <c r="BD59" s="189">
        <v>416503687.60000002</v>
      </c>
      <c r="BE59" s="189">
        <v>829759695.11000001</v>
      </c>
      <c r="BF59" s="189">
        <v>679164074.51999998</v>
      </c>
      <c r="BG59" s="189">
        <v>537962660</v>
      </c>
      <c r="BH59" s="189">
        <v>383394123.19999999</v>
      </c>
      <c r="BI59" s="189">
        <v>703792730.94000006</v>
      </c>
      <c r="BJ59" s="189">
        <v>548305195.13</v>
      </c>
      <c r="BK59" s="189">
        <v>389654678.44</v>
      </c>
      <c r="BL59" s="189">
        <v>289511785.36000001</v>
      </c>
      <c r="BM59" s="189">
        <v>618984667.90999997</v>
      </c>
      <c r="BN59" s="189">
        <v>511693618.56</v>
      </c>
      <c r="BO59" s="189">
        <v>373562587.13</v>
      </c>
      <c r="BP59" s="189">
        <v>253237536.75999999</v>
      </c>
      <c r="BQ59" s="189">
        <v>816316516.73000002</v>
      </c>
      <c r="BR59" s="189">
        <v>650310000</v>
      </c>
      <c r="BS59" s="189">
        <v>478983205.56999999</v>
      </c>
      <c r="BT59" s="189">
        <v>281830575.43000001</v>
      </c>
      <c r="BU59" s="189">
        <v>768216832.5</v>
      </c>
      <c r="BV59" s="189">
        <v>429812800.44999999</v>
      </c>
      <c r="BW59" s="189">
        <v>649021962.89999998</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c r="A60" s="22" t="s">
        <v>95</v>
      </c>
      <c r="B60" s="189">
        <v>388971925.72000003</v>
      </c>
      <c r="C60" s="189">
        <v>267785948.31</v>
      </c>
      <c r="D60" s="189">
        <v>140953594.31999999</v>
      </c>
      <c r="E60" s="189">
        <v>436557804.51999998</v>
      </c>
      <c r="F60" s="189">
        <v>397308825.33999997</v>
      </c>
      <c r="G60" s="189">
        <v>266681483.44999999</v>
      </c>
      <c r="H60" s="189">
        <v>132101872.09</v>
      </c>
      <c r="I60" s="189">
        <v>337258654.33999997</v>
      </c>
      <c r="J60" s="189">
        <v>253195314.88</v>
      </c>
      <c r="K60" s="189">
        <v>170463492.16999999</v>
      </c>
      <c r="L60" s="189">
        <v>78589737.329999998</v>
      </c>
      <c r="M60" s="189">
        <v>241469848.91</v>
      </c>
      <c r="N60" s="189">
        <v>196428960.11000001</v>
      </c>
      <c r="O60" s="189">
        <v>127191070.41</v>
      </c>
      <c r="P60" s="189">
        <v>52653912.189999998</v>
      </c>
      <c r="Q60" s="189">
        <v>187179197.56999999</v>
      </c>
      <c r="R60" s="189">
        <v>128997189.98</v>
      </c>
      <c r="S60" s="189">
        <v>88069143.909999996</v>
      </c>
      <c r="T60" s="189">
        <v>54399730.939999998</v>
      </c>
      <c r="U60" s="189">
        <v>79758981.980000004</v>
      </c>
      <c r="V60" s="189">
        <v>80531058.989999995</v>
      </c>
      <c r="W60" s="189">
        <v>53912872.799999997</v>
      </c>
      <c r="X60" s="189">
        <v>25230523.050000001</v>
      </c>
      <c r="Y60" s="189">
        <v>77665083.510000005</v>
      </c>
      <c r="Z60" s="189">
        <v>56107985.990000002</v>
      </c>
      <c r="AA60" s="189">
        <v>33458593.02</v>
      </c>
      <c r="AB60" s="189">
        <v>18001250.899999999</v>
      </c>
      <c r="AC60" s="189">
        <v>36722806.740000002</v>
      </c>
      <c r="AD60" s="189">
        <v>25136541.91</v>
      </c>
      <c r="AE60" s="189">
        <v>14039343.66</v>
      </c>
      <c r="AF60" s="189">
        <v>3872272.99</v>
      </c>
      <c r="AG60" s="189">
        <v>12674008.74</v>
      </c>
      <c r="AH60" s="189">
        <v>9877790.5099999998</v>
      </c>
      <c r="AI60" s="189">
        <v>5706890.0700000003</v>
      </c>
      <c r="AJ60" s="189">
        <v>1710576.21</v>
      </c>
      <c r="AK60" s="189">
        <v>8179057.5899999999</v>
      </c>
      <c r="AL60" s="189">
        <v>4224970.93</v>
      </c>
      <c r="AM60" s="189">
        <v>2242792.4300000002</v>
      </c>
      <c r="AN60" s="189">
        <v>5244660.28</v>
      </c>
      <c r="AO60" s="189">
        <v>1518619.71</v>
      </c>
      <c r="AP60" s="189">
        <v>0</v>
      </c>
      <c r="AQ60" s="189">
        <v>403560717.60000002</v>
      </c>
      <c r="AR60" s="189">
        <v>335817684.24000001</v>
      </c>
      <c r="AS60" s="189">
        <v>705562448.80999994</v>
      </c>
      <c r="AT60" s="189">
        <v>648250833.24000001</v>
      </c>
      <c r="AU60" s="189">
        <v>561779303.77999997</v>
      </c>
      <c r="AV60" s="189">
        <v>374547042.32999998</v>
      </c>
      <c r="AW60" s="189">
        <v>606385627.26999998</v>
      </c>
      <c r="AX60" s="189">
        <v>526228001.63</v>
      </c>
      <c r="AY60" s="189">
        <v>420222252.99000001</v>
      </c>
      <c r="AZ60" s="189">
        <v>280943626.88999999</v>
      </c>
      <c r="BA60" s="189">
        <v>396902090.45999998</v>
      </c>
      <c r="BB60" s="189">
        <v>383849839.51999998</v>
      </c>
      <c r="BC60" s="189">
        <v>336122195.32999998</v>
      </c>
      <c r="BD60" s="189">
        <v>238518321.50999999</v>
      </c>
      <c r="BE60" s="189">
        <v>441401360.93000001</v>
      </c>
      <c r="BF60" s="189">
        <v>355010263.50999999</v>
      </c>
      <c r="BG60" s="189">
        <v>278320628.12</v>
      </c>
      <c r="BH60" s="189">
        <v>193355065.81999999</v>
      </c>
      <c r="BI60" s="189">
        <v>383447938.93000001</v>
      </c>
      <c r="BJ60" s="189">
        <v>311366323.06999999</v>
      </c>
      <c r="BK60" s="189">
        <v>250049516.34999999</v>
      </c>
      <c r="BL60" s="189">
        <v>207396289.06999999</v>
      </c>
      <c r="BM60" s="189">
        <v>250085682.47999999</v>
      </c>
      <c r="BN60" s="189">
        <v>190785252.78999999</v>
      </c>
      <c r="BO60" s="189">
        <v>126708958.8</v>
      </c>
      <c r="BP60" s="189">
        <v>121401855.98999999</v>
      </c>
      <c r="BQ60" s="189">
        <v>116775657.84999999</v>
      </c>
      <c r="BR60" s="189">
        <v>160590000</v>
      </c>
      <c r="BS60" s="189">
        <v>179226656.44999999</v>
      </c>
      <c r="BT60" s="189">
        <v>138812074.46000001</v>
      </c>
      <c r="BU60" s="189">
        <v>238879360.28</v>
      </c>
      <c r="BV60" s="189">
        <v>295349924.56</v>
      </c>
      <c r="BW60" s="189">
        <v>303429006.82999998</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c r="A61" s="22" t="s">
        <v>94</v>
      </c>
      <c r="B61" s="189">
        <v>2593431669.8299999</v>
      </c>
      <c r="C61" s="189">
        <v>1782978614.5699999</v>
      </c>
      <c r="D61" s="189">
        <v>857385388.50999999</v>
      </c>
      <c r="E61" s="189">
        <v>2912397452.52</v>
      </c>
      <c r="F61" s="189">
        <v>2278160953.0599999</v>
      </c>
      <c r="G61" s="189">
        <v>1522218675.1600001</v>
      </c>
      <c r="H61" s="189">
        <v>673681707.97000003</v>
      </c>
      <c r="I61" s="189">
        <v>2302302157.5100002</v>
      </c>
      <c r="J61" s="189">
        <v>1668263895.02</v>
      </c>
      <c r="K61" s="189">
        <v>1068267121.9299999</v>
      </c>
      <c r="L61" s="189">
        <v>477354187.00999999</v>
      </c>
      <c r="M61" s="189">
        <v>1646394204.4200001</v>
      </c>
      <c r="N61" s="189">
        <v>1219469697.6300001</v>
      </c>
      <c r="O61" s="189">
        <v>783260378.44000006</v>
      </c>
      <c r="P61" s="189">
        <v>343640428.39999998</v>
      </c>
      <c r="Q61" s="189">
        <v>1187395473.6800001</v>
      </c>
      <c r="R61" s="189">
        <v>830513716.24000001</v>
      </c>
      <c r="S61" s="189">
        <v>539065059.48000002</v>
      </c>
      <c r="T61" s="189">
        <v>262579489.18000001</v>
      </c>
      <c r="U61" s="189">
        <v>739345710.11000001</v>
      </c>
      <c r="V61" s="189">
        <v>547833781.32000005</v>
      </c>
      <c r="W61" s="189">
        <v>342254850.97000003</v>
      </c>
      <c r="X61" s="189">
        <v>154513746.69</v>
      </c>
      <c r="Y61" s="189">
        <v>501163191.19999999</v>
      </c>
      <c r="Z61" s="189">
        <v>355718120.98000002</v>
      </c>
      <c r="AA61" s="189">
        <v>213094813.46000001</v>
      </c>
      <c r="AB61" s="189">
        <v>61872405.450000003</v>
      </c>
      <c r="AC61" s="189">
        <v>167301605.11000001</v>
      </c>
      <c r="AD61" s="189">
        <v>129762122.28</v>
      </c>
      <c r="AE61" s="189">
        <v>73218301.760000005</v>
      </c>
      <c r="AF61" s="189">
        <v>19815047.969999999</v>
      </c>
      <c r="AG61" s="189">
        <v>82766460.290000007</v>
      </c>
      <c r="AH61" s="189">
        <v>67272183.060000002</v>
      </c>
      <c r="AI61" s="189">
        <v>36858650.789999999</v>
      </c>
      <c r="AJ61" s="189">
        <v>11141429.57</v>
      </c>
      <c r="AK61" s="189">
        <v>54441608.619999997</v>
      </c>
      <c r="AL61" s="189">
        <v>28121299.030000001</v>
      </c>
      <c r="AM61" s="189">
        <v>14683611.24</v>
      </c>
      <c r="AN61" s="189">
        <v>34139826.439999998</v>
      </c>
      <c r="AO61" s="189">
        <v>18633198.170000002</v>
      </c>
      <c r="AP61" s="189">
        <v>0</v>
      </c>
      <c r="AQ61" s="189">
        <v>1711707483.9000001</v>
      </c>
      <c r="AR61" s="189">
        <v>1351525377.55</v>
      </c>
      <c r="AS61" s="189">
        <v>2178346547.23</v>
      </c>
      <c r="AT61" s="189">
        <v>1975096563.3199999</v>
      </c>
      <c r="AU61" s="189">
        <v>1707052031.6900001</v>
      </c>
      <c r="AV61" s="189">
        <v>1119753768.3699999</v>
      </c>
      <c r="AW61" s="189">
        <v>1785725643.3699999</v>
      </c>
      <c r="AX61" s="189">
        <v>1549585817.3299999</v>
      </c>
      <c r="AY61" s="189">
        <v>1243144118.5999999</v>
      </c>
      <c r="AZ61" s="189">
        <v>829759156.85000002</v>
      </c>
      <c r="BA61" s="189">
        <v>1195909167.23</v>
      </c>
      <c r="BB61" s="189">
        <v>1157604089.3399999</v>
      </c>
      <c r="BC61" s="189">
        <v>928586259.21000004</v>
      </c>
      <c r="BD61" s="189">
        <v>655022009.11000001</v>
      </c>
      <c r="BE61" s="189">
        <v>1271161056.04</v>
      </c>
      <c r="BF61" s="189">
        <v>1034174338.03</v>
      </c>
      <c r="BG61" s="189">
        <v>816283288.12</v>
      </c>
      <c r="BH61" s="189">
        <v>576749189.01999998</v>
      </c>
      <c r="BI61" s="189">
        <v>1087240669.8699999</v>
      </c>
      <c r="BJ61" s="189">
        <v>859671518.20000005</v>
      </c>
      <c r="BK61" s="189">
        <v>639704194.78999996</v>
      </c>
      <c r="BL61" s="189">
        <v>496908074.43000001</v>
      </c>
      <c r="BM61" s="189">
        <v>869070350.38999999</v>
      </c>
      <c r="BN61" s="189">
        <v>702478871.35000002</v>
      </c>
      <c r="BO61" s="189">
        <v>500271545.93000001</v>
      </c>
      <c r="BP61" s="189">
        <v>374639392.75</v>
      </c>
      <c r="BQ61" s="189">
        <v>933092174.58000004</v>
      </c>
      <c r="BR61" s="189">
        <v>814730000</v>
      </c>
      <c r="BS61" s="189">
        <v>658209862.01999998</v>
      </c>
      <c r="BT61" s="189">
        <v>420642649.88999999</v>
      </c>
      <c r="BU61" s="189">
        <v>1007096192.78</v>
      </c>
      <c r="BV61" s="189">
        <v>725162725.00999999</v>
      </c>
      <c r="BW61" s="189">
        <v>786944238.74000001</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c r="A65" s="22" t="s">
        <v>98</v>
      </c>
      <c r="B65" s="189">
        <v>38041531.390000001</v>
      </c>
      <c r="C65" s="189">
        <v>19079377.280000001</v>
      </c>
      <c r="D65" s="189">
        <v>10965644.359999999</v>
      </c>
      <c r="E65" s="189">
        <v>51846083.219999999</v>
      </c>
      <c r="F65" s="189">
        <v>24930067.219999999</v>
      </c>
      <c r="G65" s="189">
        <v>4853414.16</v>
      </c>
      <c r="H65" s="189">
        <v>0</v>
      </c>
      <c r="I65" s="189">
        <v>25282857.18</v>
      </c>
      <c r="J65" s="189">
        <v>31851449.920000002</v>
      </c>
      <c r="K65" s="189">
        <v>35155460.740000002</v>
      </c>
      <c r="L65" s="189">
        <v>0</v>
      </c>
      <c r="M65" s="189">
        <v>-1837323.69</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-929569.49</v>
      </c>
      <c r="AR65" s="189">
        <v>0</v>
      </c>
      <c r="AS65" s="189">
        <v>3199582.46</v>
      </c>
      <c r="AT65" s="189">
        <v>556604.28</v>
      </c>
      <c r="AU65" s="189">
        <v>47918.79</v>
      </c>
      <c r="AV65" s="189">
        <v>665864.48</v>
      </c>
      <c r="AW65" s="189">
        <v>5051692.58</v>
      </c>
      <c r="AX65" s="189">
        <v>2496157.7200000002</v>
      </c>
      <c r="AY65" s="189">
        <v>1832311.81</v>
      </c>
      <c r="AZ65" s="189">
        <v>100000</v>
      </c>
      <c r="BA65" s="189">
        <v>-3923017.4</v>
      </c>
      <c r="BB65" s="189">
        <v>-497364.9</v>
      </c>
      <c r="BC65" s="189">
        <v>-499893.8</v>
      </c>
      <c r="BD65" s="189">
        <v>0</v>
      </c>
      <c r="BE65" s="189">
        <v>-126753.75</v>
      </c>
      <c r="BF65" s="189">
        <v>344265.81</v>
      </c>
      <c r="BG65" s="189">
        <v>344265.81</v>
      </c>
      <c r="BH65" s="189">
        <v>1026367.48</v>
      </c>
      <c r="BI65" s="189">
        <v>-554425.18000000005</v>
      </c>
      <c r="BJ65" s="189">
        <v>287254.11</v>
      </c>
      <c r="BK65" s="189">
        <v>52424.27</v>
      </c>
      <c r="BL65" s="189">
        <v>265460.88</v>
      </c>
      <c r="BM65" s="189">
        <v>178932.4</v>
      </c>
      <c r="BN65" s="189">
        <v>1871129.6000000001</v>
      </c>
      <c r="BO65" s="189">
        <v>1511721.55</v>
      </c>
      <c r="BP65" s="189">
        <v>-174029.22</v>
      </c>
      <c r="BQ65" s="189">
        <v>12349967.949999999</v>
      </c>
      <c r="BR65" s="189">
        <v>12720000</v>
      </c>
      <c r="BS65" s="189">
        <v>9766309.1799999997</v>
      </c>
      <c r="BT65" s="189">
        <v>5348519.25</v>
      </c>
      <c r="BU65" s="189">
        <v>2373601.7000000002</v>
      </c>
      <c r="BV65" s="189">
        <v>0</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c r="A66" s="22" t="s">
        <v>99</v>
      </c>
      <c r="B66" s="189">
        <v>-2413623.19</v>
      </c>
      <c r="C66" s="189">
        <v>-693464.34</v>
      </c>
      <c r="D66" s="189">
        <v>0</v>
      </c>
      <c r="E66" s="189">
        <v>-5944394.0599999996</v>
      </c>
      <c r="F66" s="189">
        <v>-10877235.699999999</v>
      </c>
      <c r="G66" s="189">
        <v>-5944394.0599999996</v>
      </c>
      <c r="H66" s="189">
        <v>0</v>
      </c>
      <c r="I66" s="189">
        <v>-10652412.439999999</v>
      </c>
      <c r="J66" s="189">
        <v>-7120831.5199999996</v>
      </c>
      <c r="K66" s="189">
        <v>-3786805.91</v>
      </c>
      <c r="L66" s="189">
        <v>0</v>
      </c>
      <c r="M66" s="189">
        <v>-1871822.56</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c r="A67" s="22" t="s">
        <v>100</v>
      </c>
      <c r="B67" s="4">
        <f>B65-B66</f>
        <v>40455154.579999998</v>
      </c>
      <c r="C67" s="4">
        <f t="shared" ref="C67:BN67" si="67">C65-C66</f>
        <v>19772841.620000001</v>
      </c>
      <c r="D67" s="4">
        <f t="shared" si="67"/>
        <v>10965644.359999999</v>
      </c>
      <c r="E67" s="4">
        <f t="shared" si="67"/>
        <v>57790477.280000001</v>
      </c>
      <c r="F67" s="4">
        <f t="shared" si="67"/>
        <v>35807302.920000002</v>
      </c>
      <c r="G67" s="4">
        <f t="shared" si="67"/>
        <v>10797808.219999999</v>
      </c>
      <c r="H67" s="4">
        <f t="shared" si="67"/>
        <v>0</v>
      </c>
      <c r="I67" s="4">
        <f t="shared" si="67"/>
        <v>35935269.619999997</v>
      </c>
      <c r="J67" s="4">
        <f t="shared" si="67"/>
        <v>38972281.439999998</v>
      </c>
      <c r="K67" s="4">
        <f t="shared" si="67"/>
        <v>38942266.650000006</v>
      </c>
      <c r="L67" s="4">
        <f t="shared" si="67"/>
        <v>0</v>
      </c>
      <c r="M67" s="4">
        <f t="shared" si="67"/>
        <v>34498.870000000112</v>
      </c>
      <c r="N67" s="4">
        <f t="shared" si="67"/>
        <v>0</v>
      </c>
      <c r="O67" s="4">
        <f t="shared" si="67"/>
        <v>0</v>
      </c>
      <c r="P67" s="4">
        <f t="shared" si="67"/>
        <v>0</v>
      </c>
      <c r="Q67" s="4">
        <f t="shared" si="67"/>
        <v>0</v>
      </c>
      <c r="R67" s="4">
        <f t="shared" si="67"/>
        <v>0</v>
      </c>
      <c r="S67" s="4">
        <f t="shared" si="67"/>
        <v>0</v>
      </c>
      <c r="T67" s="4">
        <f t="shared" si="67"/>
        <v>0</v>
      </c>
      <c r="U67" s="4">
        <f t="shared" si="67"/>
        <v>0</v>
      </c>
      <c r="V67" s="4">
        <f t="shared" si="67"/>
        <v>0</v>
      </c>
      <c r="W67" s="4">
        <f t="shared" si="67"/>
        <v>0</v>
      </c>
      <c r="X67" s="4">
        <f t="shared" si="67"/>
        <v>0</v>
      </c>
      <c r="Y67" s="4">
        <f t="shared" si="67"/>
        <v>0</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0</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c r="A68" s="22" t="s">
        <v>101</v>
      </c>
      <c r="B68" s="189">
        <v>305544206.73000002</v>
      </c>
      <c r="C68" s="189">
        <v>229874223.09</v>
      </c>
      <c r="D68" s="189">
        <v>199890833.72999999</v>
      </c>
      <c r="E68" s="189">
        <v>553270984.17999995</v>
      </c>
      <c r="F68" s="189">
        <v>416339443.12</v>
      </c>
      <c r="G68" s="189">
        <v>231056630.59999999</v>
      </c>
      <c r="H68" s="189">
        <v>76324261.319999993</v>
      </c>
      <c r="I68" s="189">
        <v>229813596.06</v>
      </c>
      <c r="J68" s="189">
        <v>236500789.87</v>
      </c>
      <c r="K68" s="189">
        <v>153580479.58000001</v>
      </c>
      <c r="L68" s="189">
        <v>87594187.140000001</v>
      </c>
      <c r="M68" s="189">
        <v>305289776.88</v>
      </c>
      <c r="N68" s="189">
        <v>208898114.16999999</v>
      </c>
      <c r="O68" s="189">
        <v>152736730.43000001</v>
      </c>
      <c r="P68" s="189">
        <v>68825855.439999998</v>
      </c>
      <c r="Q68" s="189">
        <v>262650094.61000001</v>
      </c>
      <c r="R68" s="189">
        <v>143912964.58000001</v>
      </c>
      <c r="S68" s="189">
        <v>94642853.469999999</v>
      </c>
      <c r="T68" s="189">
        <v>30145550.649999999</v>
      </c>
      <c r="U68" s="189">
        <v>133722059.95999999</v>
      </c>
      <c r="V68" s="189">
        <v>97773104.069999993</v>
      </c>
      <c r="W68" s="189">
        <v>63140882.789999999</v>
      </c>
      <c r="X68" s="189">
        <v>17104108.02</v>
      </c>
      <c r="Y68" s="189">
        <v>52919257.280000001</v>
      </c>
      <c r="Z68" s="189">
        <v>38012843.600000001</v>
      </c>
      <c r="AA68" s="189">
        <v>23370073.039999999</v>
      </c>
      <c r="AB68" s="189">
        <v>12727378.140000001</v>
      </c>
      <c r="AC68" s="189">
        <v>34595787.93</v>
      </c>
      <c r="AD68" s="189">
        <v>21776995.609999999</v>
      </c>
      <c r="AE68" s="189">
        <v>8930777.0399999991</v>
      </c>
      <c r="AF68" s="189">
        <v>2850644.46</v>
      </c>
      <c r="AG68" s="189">
        <v>12762602.109999999</v>
      </c>
      <c r="AH68" s="189">
        <v>11077784.699999999</v>
      </c>
      <c r="AI68" s="189">
        <v>7696253.5</v>
      </c>
      <c r="AJ68" s="189">
        <v>3670717.24</v>
      </c>
      <c r="AK68" s="189">
        <v>11904496.16</v>
      </c>
      <c r="AL68" s="189">
        <v>6969018.46</v>
      </c>
      <c r="AM68" s="189">
        <v>4712470.96</v>
      </c>
      <c r="AN68" s="189">
        <v>9630938.2699999996</v>
      </c>
      <c r="AO68" s="189">
        <v>7605214.8700000001</v>
      </c>
      <c r="AP68" s="189">
        <v>0</v>
      </c>
      <c r="AQ68" s="189">
        <v>-74810065.359999999</v>
      </c>
      <c r="AR68" s="189">
        <v>-15614749.33</v>
      </c>
      <c r="AS68" s="189">
        <v>-92227613.010000005</v>
      </c>
      <c r="AT68" s="189">
        <v>-41018279.990000002</v>
      </c>
      <c r="AU68" s="189">
        <v>-36487207.520000003</v>
      </c>
      <c r="AV68" s="189">
        <v>-3376979.14</v>
      </c>
      <c r="AW68" s="189">
        <v>-50497352.530000001</v>
      </c>
      <c r="AX68" s="189">
        <v>-26367719.059999999</v>
      </c>
      <c r="AY68" s="189">
        <v>-24396518</v>
      </c>
      <c r="AZ68" s="189">
        <v>-2917708.8</v>
      </c>
      <c r="BA68" s="189">
        <v>-25225980.809999999</v>
      </c>
      <c r="BB68" s="189">
        <v>-7438048.8600000003</v>
      </c>
      <c r="BC68" s="189">
        <v>-5495968.9100000001</v>
      </c>
      <c r="BD68" s="189">
        <v>-6057952.7199999997</v>
      </c>
      <c r="BE68" s="189">
        <v>-26456599.109999999</v>
      </c>
      <c r="BF68" s="189">
        <v>-12780406.130000001</v>
      </c>
      <c r="BG68" s="189">
        <v>-11107770.039999999</v>
      </c>
      <c r="BH68" s="189">
        <v>-1735818.19</v>
      </c>
      <c r="BI68" s="189">
        <v>-28358707.260000002</v>
      </c>
      <c r="BJ68" s="189">
        <v>-19582453.850000001</v>
      </c>
      <c r="BK68" s="189">
        <v>-12127010.279999999</v>
      </c>
      <c r="BL68" s="189">
        <v>-2445731.69</v>
      </c>
      <c r="BM68" s="189">
        <v>-26693808.859999999</v>
      </c>
      <c r="BN68" s="189">
        <v>-21740886.899999999</v>
      </c>
      <c r="BO68" s="189">
        <v>-11645839.699999999</v>
      </c>
      <c r="BP68" s="189">
        <v>-7526726.1299999999</v>
      </c>
      <c r="BQ68" s="189">
        <v>-25420934.84</v>
      </c>
      <c r="BR68" s="189">
        <v>0</v>
      </c>
      <c r="BS68" s="189">
        <v>-16481097.720000001</v>
      </c>
      <c r="BT68" s="189">
        <v>-5451391.75</v>
      </c>
      <c r="BU68" s="189">
        <v>-14348624.140000001</v>
      </c>
      <c r="BV68" s="189">
        <v>-7438579.8600000003</v>
      </c>
      <c r="BW68" s="189">
        <v>-15086567.960000001</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189">
        <v>20026601384.470001</v>
      </c>
      <c r="C70" s="189">
        <v>19571463653.939999</v>
      </c>
      <c r="D70" s="189">
        <v>18783817411.02</v>
      </c>
      <c r="E70" s="189">
        <v>18029361003.709999</v>
      </c>
      <c r="F70" s="189">
        <v>17391631485.049999</v>
      </c>
      <c r="G70" s="189">
        <v>16674637792.76</v>
      </c>
      <c r="H70" s="189">
        <v>16153760506.389999</v>
      </c>
      <c r="I70" s="189">
        <v>15602441096.73</v>
      </c>
      <c r="J70" s="189">
        <v>15023043343.190001</v>
      </c>
      <c r="K70" s="189">
        <v>10043098588.91</v>
      </c>
      <c r="L70" s="189">
        <v>9651224120.6299992</v>
      </c>
      <c r="M70" s="189">
        <v>9214674670.8899994</v>
      </c>
      <c r="N70" s="189">
        <v>5930638518.8900003</v>
      </c>
      <c r="O70" s="189">
        <v>5407522907.2700005</v>
      </c>
      <c r="P70" s="189">
        <v>5137469441.2299995</v>
      </c>
      <c r="Q70" s="189">
        <v>4826640154.2799997</v>
      </c>
      <c r="R70" s="189">
        <v>4507508183.6199999</v>
      </c>
      <c r="S70" s="189">
        <v>4224493428.23</v>
      </c>
      <c r="T70" s="189">
        <v>4118249417.29</v>
      </c>
      <c r="U70" s="189">
        <v>3798064327.9299998</v>
      </c>
      <c r="V70" s="189">
        <v>3573769143.0300002</v>
      </c>
      <c r="W70" s="189">
        <v>3380245805.9200001</v>
      </c>
      <c r="X70" s="189">
        <v>3271723285.02</v>
      </c>
      <c r="Y70" s="189">
        <v>3069706618.2800002</v>
      </c>
      <c r="Z70" s="189">
        <v>2942154724.8899999</v>
      </c>
      <c r="AA70" s="189">
        <v>2820033396.02</v>
      </c>
      <c r="AB70" s="189">
        <v>1089129682.26</v>
      </c>
      <c r="AC70" s="189">
        <v>1052366562.46</v>
      </c>
      <c r="AD70" s="189">
        <v>1009346530.8</v>
      </c>
      <c r="AE70" s="189">
        <v>941894734.58000004</v>
      </c>
      <c r="AF70" s="189">
        <v>905903318.69000006</v>
      </c>
      <c r="AG70" s="189">
        <v>889980728.88999999</v>
      </c>
      <c r="AH70" s="189">
        <v>867956646.02999997</v>
      </c>
      <c r="AI70" s="189">
        <v>303877640.35000002</v>
      </c>
      <c r="AJ70" s="189">
        <v>272725879.63</v>
      </c>
      <c r="AK70" s="189">
        <v>176463328.59999999</v>
      </c>
      <c r="AL70" s="189">
        <v>148168162.44</v>
      </c>
      <c r="AM70" s="189">
        <v>0</v>
      </c>
      <c r="AN70" s="189"/>
      <c r="AO70" s="189"/>
      <c r="AP70" s="189"/>
      <c r="AQ70" s="189">
        <v>10934383750.469999</v>
      </c>
      <c r="AR70" s="189">
        <v>10641944677.48</v>
      </c>
      <c r="AS70" s="189">
        <v>9626236984.1700001</v>
      </c>
      <c r="AT70" s="189">
        <v>9485588152.4899998</v>
      </c>
      <c r="AU70" s="189">
        <v>9304015150.3199997</v>
      </c>
      <c r="AV70" s="189">
        <v>9051649388.7700005</v>
      </c>
      <c r="AW70" s="189">
        <v>8295168514.6400003</v>
      </c>
      <c r="AX70" s="189">
        <v>8139685182.96</v>
      </c>
      <c r="AY70" s="189">
        <v>7938750364.1499996</v>
      </c>
      <c r="AZ70" s="189">
        <v>7934784508.5</v>
      </c>
      <c r="BA70" s="189">
        <v>7385968978.54</v>
      </c>
      <c r="BB70" s="189">
        <v>7360716151.5900002</v>
      </c>
      <c r="BC70" s="189">
        <v>7179425965.6499996</v>
      </c>
      <c r="BD70" s="189">
        <v>7003465589.3699999</v>
      </c>
      <c r="BE70" s="189">
        <v>6586961901.7700005</v>
      </c>
      <c r="BF70" s="189">
        <v>6433916281.1800003</v>
      </c>
      <c r="BG70" s="189">
        <v>6292714866.6599998</v>
      </c>
      <c r="BH70" s="189">
        <v>6409286809.8599997</v>
      </c>
      <c r="BI70" s="189">
        <v>6025892686.6599998</v>
      </c>
      <c r="BJ70" s="189">
        <v>5870405150.8400002</v>
      </c>
      <c r="BK70" s="189">
        <v>5711754634.1499996</v>
      </c>
      <c r="BL70" s="189">
        <v>5611611741.0699997</v>
      </c>
      <c r="BM70" s="189">
        <v>5322099955.71</v>
      </c>
      <c r="BN70" s="189">
        <v>5214293132.5200005</v>
      </c>
      <c r="BO70" s="189">
        <v>5075362101.0900002</v>
      </c>
      <c r="BP70" s="189">
        <v>4954980669.5600004</v>
      </c>
      <c r="BQ70" s="189">
        <v>4702243132.8000002</v>
      </c>
      <c r="BR70" s="189">
        <v>0</v>
      </c>
      <c r="BS70" s="189">
        <v>4385655821.6400003</v>
      </c>
      <c r="BT70" s="189">
        <v>4238623191.5</v>
      </c>
      <c r="BU70" s="189">
        <v>3191216198.9499998</v>
      </c>
      <c r="BV70" s="189">
        <v>2850312166.9000001</v>
      </c>
      <c r="BW70" s="189">
        <v>2420499366.4499998</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abSelected="1" zoomScale="95" zoomScaleNormal="95" workbookViewId="0">
      <selection activeCell="A3" sqref="A3:XFD9"/>
    </sheetView>
  </sheetViews>
  <sheetFormatPr defaultRowHeight="13.5"/>
  <cols>
    <col min="1" max="1" width="74.625" style="17" bestFit="1" customWidth="1"/>
    <col min="2" max="2" width="22" hidden="1" customWidth="1"/>
    <col min="3" max="3" width="19.5" hidden="1" customWidth="1"/>
    <col min="4" max="4" width="20.5" hidden="1" customWidth="1"/>
    <col min="5" max="5" width="22" bestFit="1" customWidth="1"/>
    <col min="6" max="8" width="20.5" hidden="1" customWidth="1"/>
    <col min="9" max="9" width="22" bestFit="1" customWidth="1"/>
    <col min="10" max="12" width="20.5" hidden="1" customWidth="1"/>
    <col min="13" max="13" width="22" bestFit="1" customWidth="1"/>
    <col min="14" max="16" width="19.375" hidden="1" customWidth="1"/>
    <col min="17" max="17" width="22" bestFit="1" customWidth="1"/>
    <col min="18" max="20" width="19.375" hidden="1" customWidth="1"/>
    <col min="21" max="21" width="22" bestFit="1" customWidth="1"/>
    <col min="22" max="24" width="19.375" hidden="1" customWidth="1"/>
    <col min="25" max="25" width="22" bestFit="1" customWidth="1"/>
    <col min="26" max="27" width="19.375" hidden="1" customWidth="1"/>
    <col min="28" max="28" width="17.25" hidden="1" customWidth="1"/>
    <col min="29" max="29" width="17.25" bestFit="1" customWidth="1"/>
    <col min="30" max="32" width="17.25" hidden="1" customWidth="1"/>
    <col min="33" max="33" width="17.25" bestFit="1" customWidth="1"/>
    <col min="34" max="34" width="18.375" hidden="1" customWidth="1"/>
    <col min="35" max="36" width="17.25" hidden="1" customWidth="1"/>
    <col min="37" max="37" width="17.25" bestFit="1" customWidth="1"/>
    <col min="38" max="38" width="17.25" hidden="1" customWidth="1"/>
    <col min="39" max="39" width="19.375" hidden="1" customWidth="1"/>
    <col min="40" max="41" width="19.375" bestFit="1" customWidth="1"/>
    <col min="42" max="44" width="19.37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8.375" hidden="1" customWidth="1"/>
    <col min="73" max="73" width="19.375" bestFit="1" customWidth="1"/>
    <col min="74" max="74" width="11.625" hidden="1" customWidth="1"/>
  </cols>
  <sheetData>
    <row r="1" spans="1:74" s="6" customFormat="1" ht="14.45">
      <c r="A1" s="104">
        <v>2450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c r="A2" s="46" t="s">
        <v>292</v>
      </c>
    </row>
    <row r="3" spans="1:74" s="192" customFormat="1">
      <c r="A3" s="192" t="s">
        <v>320</v>
      </c>
      <c r="B3" s="192">
        <v>1500</v>
      </c>
      <c r="C3" s="192">
        <v>0</v>
      </c>
      <c r="D3" s="192">
        <v>0</v>
      </c>
      <c r="E3" s="192">
        <v>400745.2</v>
      </c>
      <c r="F3" s="192">
        <v>369045.2</v>
      </c>
      <c r="G3" s="192">
        <v>476896.2</v>
      </c>
      <c r="H3" s="192">
        <v>640</v>
      </c>
      <c r="I3" s="192">
        <v>1740759.3</v>
      </c>
      <c r="J3" s="192">
        <v>770209.3</v>
      </c>
      <c r="K3" s="192">
        <v>94089.76</v>
      </c>
      <c r="L3" s="192">
        <v>0</v>
      </c>
      <c r="M3" s="192">
        <v>19700</v>
      </c>
      <c r="N3" s="192">
        <v>17500</v>
      </c>
      <c r="O3" s="192">
        <v>0</v>
      </c>
      <c r="P3" s="192">
        <v>0</v>
      </c>
      <c r="Q3" s="192">
        <v>60175.21</v>
      </c>
      <c r="R3" s="192">
        <v>16000</v>
      </c>
      <c r="S3" s="192">
        <v>-3100</v>
      </c>
      <c r="T3" s="192">
        <v>0</v>
      </c>
      <c r="U3" s="192">
        <v>50400</v>
      </c>
      <c r="V3" s="192">
        <v>50400</v>
      </c>
      <c r="W3" s="192">
        <v>0</v>
      </c>
      <c r="X3" s="192">
        <v>0</v>
      </c>
      <c r="Y3" s="192">
        <v>3760000</v>
      </c>
      <c r="Z3" s="192">
        <v>0</v>
      </c>
      <c r="AA3" s="192">
        <v>0</v>
      </c>
      <c r="AB3" s="192">
        <v>0</v>
      </c>
      <c r="AC3" s="192">
        <v>0</v>
      </c>
      <c r="AD3" s="192">
        <v>0</v>
      </c>
      <c r="AE3" s="192">
        <v>0</v>
      </c>
      <c r="AF3" s="192">
        <v>0</v>
      </c>
      <c r="AG3" s="192">
        <v>0</v>
      </c>
      <c r="AH3" s="192">
        <v>0</v>
      </c>
      <c r="AI3" s="192">
        <v>0</v>
      </c>
      <c r="AJ3" s="192">
        <v>0</v>
      </c>
      <c r="AK3" s="192">
        <v>0</v>
      </c>
      <c r="AL3" s="192">
        <v>0</v>
      </c>
      <c r="AM3" s="192">
        <v>0</v>
      </c>
      <c r="AN3" s="192">
        <v>0</v>
      </c>
      <c r="AO3" s="192">
        <v>0</v>
      </c>
      <c r="AP3" s="192">
        <v>0</v>
      </c>
      <c r="AQ3" s="192">
        <v>710417.99</v>
      </c>
      <c r="AR3" s="192">
        <v>5100</v>
      </c>
      <c r="AS3" s="192">
        <v>1461877.56</v>
      </c>
      <c r="AT3" s="192">
        <v>915725.99</v>
      </c>
      <c r="AU3" s="192">
        <v>888021.74</v>
      </c>
      <c r="AV3" s="192">
        <v>464588.74</v>
      </c>
      <c r="AW3" s="192">
        <v>573336.46</v>
      </c>
      <c r="AX3" s="192">
        <v>488804.96</v>
      </c>
      <c r="AY3" s="192">
        <v>270000</v>
      </c>
      <c r="AZ3" s="192">
        <v>0</v>
      </c>
      <c r="BA3" s="192">
        <v>863329.02</v>
      </c>
      <c r="BB3" s="192">
        <v>813805.81</v>
      </c>
      <c r="BC3" s="192">
        <v>727743.76</v>
      </c>
      <c r="BD3" s="192">
        <v>17650.599999999999</v>
      </c>
      <c r="BE3" s="192">
        <v>8589013.4800000004</v>
      </c>
      <c r="BF3" s="192">
        <v>7499124.0300000003</v>
      </c>
      <c r="BG3" s="192">
        <v>7168613.4299999997</v>
      </c>
      <c r="BH3" s="192">
        <v>21398</v>
      </c>
      <c r="BI3" s="192">
        <v>6970503.7599999998</v>
      </c>
      <c r="BJ3" s="192">
        <v>0</v>
      </c>
      <c r="BK3" s="192">
        <v>211614.42</v>
      </c>
      <c r="BL3" s="192">
        <v>50000</v>
      </c>
      <c r="BM3" s="192">
        <v>27193335.649999999</v>
      </c>
      <c r="BN3" s="192">
        <v>40285.5</v>
      </c>
      <c r="BO3" s="192">
        <v>371490.58</v>
      </c>
      <c r="BP3" s="192">
        <v>0</v>
      </c>
      <c r="BQ3" s="192">
        <v>3580</v>
      </c>
      <c r="BR3" s="192">
        <v>1500</v>
      </c>
      <c r="BS3" s="192">
        <v>52101.23</v>
      </c>
      <c r="BT3" s="192">
        <v>1680</v>
      </c>
      <c r="BU3" s="192">
        <v>25980.76</v>
      </c>
      <c r="BV3" s="192">
        <v>0</v>
      </c>
    </row>
    <row r="4" spans="1:74" s="192" customFormat="1">
      <c r="A4" s="192" t="s">
        <v>304</v>
      </c>
      <c r="B4" s="192">
        <v>2588605919.04</v>
      </c>
      <c r="C4" s="192">
        <v>703160265.44000006</v>
      </c>
      <c r="D4" s="192">
        <v>116290222.8</v>
      </c>
      <c r="E4" s="192">
        <v>334964325.45999998</v>
      </c>
      <c r="F4" s="192">
        <v>250772065.63</v>
      </c>
      <c r="G4" s="192">
        <v>195291985.59999999</v>
      </c>
      <c r="H4" s="192">
        <v>115783595.95</v>
      </c>
      <c r="I4" s="192">
        <v>379229538.38999999</v>
      </c>
      <c r="J4" s="192">
        <v>396511315.38999999</v>
      </c>
      <c r="K4" s="192">
        <v>247773507.84999999</v>
      </c>
      <c r="L4" s="192">
        <v>101954067.90000001</v>
      </c>
      <c r="M4" s="192">
        <v>214623447.36000001</v>
      </c>
      <c r="N4" s="192">
        <v>268835491.49000001</v>
      </c>
      <c r="O4" s="192">
        <v>225814948.5</v>
      </c>
      <c r="P4" s="192">
        <v>74957107.560000002</v>
      </c>
      <c r="Q4" s="192">
        <v>267991735.08000001</v>
      </c>
      <c r="R4" s="192">
        <v>523400154.39999998</v>
      </c>
      <c r="S4" s="192">
        <v>666500635.16999996</v>
      </c>
      <c r="T4" s="192">
        <v>239749428.38999999</v>
      </c>
      <c r="U4" s="192">
        <v>1882932316.51</v>
      </c>
      <c r="V4" s="192">
        <v>1717909739.8499999</v>
      </c>
      <c r="W4" s="192">
        <v>1049592024.14</v>
      </c>
      <c r="X4" s="192">
        <v>638731831.25999999</v>
      </c>
      <c r="Y4" s="192">
        <v>809903207.72000003</v>
      </c>
      <c r="Z4" s="192">
        <v>394091071.70999998</v>
      </c>
      <c r="AA4" s="192">
        <v>207442239.81</v>
      </c>
      <c r="AB4" s="192">
        <v>81673224.659999996</v>
      </c>
      <c r="AC4" s="192">
        <v>520348782.18000001</v>
      </c>
      <c r="AD4" s="192">
        <v>181550134.81</v>
      </c>
      <c r="AE4" s="192">
        <v>99012902.340000004</v>
      </c>
      <c r="AF4" s="192">
        <v>31454681.09</v>
      </c>
      <c r="AG4" s="192">
        <v>69823201.879999995</v>
      </c>
      <c r="AH4" s="192">
        <v>57045578.780000001</v>
      </c>
      <c r="AI4" s="192">
        <v>19909760.879999999</v>
      </c>
      <c r="AJ4" s="192">
        <v>6374936.8700000001</v>
      </c>
      <c r="AK4" s="192">
        <v>15681648.710000001</v>
      </c>
      <c r="AL4" s="192">
        <v>8588864.2400000002</v>
      </c>
      <c r="AM4" s="192">
        <v>13712869.66</v>
      </c>
      <c r="AN4" s="192">
        <v>150388382.75999999</v>
      </c>
      <c r="AO4" s="192">
        <v>27849507.280000001</v>
      </c>
      <c r="AP4" s="192">
        <v>0</v>
      </c>
      <c r="AQ4" s="192">
        <v>74523182.519999996</v>
      </c>
      <c r="AR4" s="192">
        <v>4086163.05</v>
      </c>
      <c r="AS4" s="192">
        <v>248805213.50999999</v>
      </c>
      <c r="AT4" s="192">
        <v>180806493.18000001</v>
      </c>
      <c r="AU4" s="192">
        <v>102706016.8</v>
      </c>
      <c r="AV4" s="192">
        <v>39566827.240000002</v>
      </c>
      <c r="AW4" s="192">
        <v>251397575.99000001</v>
      </c>
      <c r="AX4" s="192">
        <v>231787598.30000001</v>
      </c>
      <c r="AY4" s="192">
        <v>193913936.41999999</v>
      </c>
      <c r="AZ4" s="192">
        <v>732516.47</v>
      </c>
      <c r="BA4" s="192">
        <v>117069771.09999999</v>
      </c>
      <c r="BB4" s="192">
        <v>72571280.939999998</v>
      </c>
      <c r="BC4" s="192">
        <v>69853888.430000007</v>
      </c>
      <c r="BD4" s="192">
        <v>48611645.549999997</v>
      </c>
      <c r="BE4" s="192">
        <v>683013865.38</v>
      </c>
      <c r="BF4" s="192">
        <v>111516381.05</v>
      </c>
      <c r="BG4" s="192">
        <v>99482044.859999999</v>
      </c>
      <c r="BH4" s="192">
        <v>66469318.329999998</v>
      </c>
      <c r="BI4" s="192">
        <v>1370837016.3299999</v>
      </c>
      <c r="BJ4" s="192">
        <v>869403485.79999995</v>
      </c>
      <c r="BK4" s="192">
        <v>102523951.22</v>
      </c>
      <c r="BL4" s="192">
        <v>18067034.449999999</v>
      </c>
      <c r="BM4" s="192">
        <v>1276551302.9200001</v>
      </c>
      <c r="BN4" s="192">
        <v>227870170.09</v>
      </c>
      <c r="BO4" s="192">
        <v>1825260201.4100001</v>
      </c>
      <c r="BP4" s="192">
        <v>1033022955.65</v>
      </c>
      <c r="BQ4" s="192">
        <v>508204018.88</v>
      </c>
      <c r="BR4" s="192">
        <v>378968057.27999997</v>
      </c>
      <c r="BS4" s="192">
        <v>94153230.329999998</v>
      </c>
      <c r="BT4" s="192">
        <v>6757461.4400000004</v>
      </c>
      <c r="BU4" s="192">
        <v>585117171</v>
      </c>
      <c r="BV4" s="192">
        <v>0</v>
      </c>
    </row>
    <row r="5" spans="1:74" s="47" customFormat="1">
      <c r="A5" s="47" t="s">
        <v>295</v>
      </c>
      <c r="E5" s="47">
        <f>E4-E3</f>
        <v>334563580.25999999</v>
      </c>
      <c r="F5" s="47">
        <f t="shared" ref="F5:AR5" si="0">F4-F3</f>
        <v>250403020.43000001</v>
      </c>
      <c r="G5" s="47">
        <f t="shared" si="0"/>
        <v>194815089.40000001</v>
      </c>
      <c r="H5" s="47">
        <f t="shared" si="0"/>
        <v>115782955.95</v>
      </c>
      <c r="I5" s="47">
        <f t="shared" si="0"/>
        <v>377488779.08999997</v>
      </c>
      <c r="J5" s="47">
        <f t="shared" si="0"/>
        <v>395741106.08999997</v>
      </c>
      <c r="K5" s="47">
        <f t="shared" si="0"/>
        <v>247679418.09</v>
      </c>
      <c r="L5" s="47">
        <f t="shared" si="0"/>
        <v>101954067.90000001</v>
      </c>
      <c r="M5" s="47">
        <f t="shared" si="0"/>
        <v>214603747.36000001</v>
      </c>
      <c r="N5" s="47">
        <f t="shared" si="0"/>
        <v>268817991.49000001</v>
      </c>
      <c r="O5" s="47">
        <f t="shared" si="0"/>
        <v>225814948.5</v>
      </c>
      <c r="P5" s="47">
        <f t="shared" si="0"/>
        <v>74957107.560000002</v>
      </c>
      <c r="Q5" s="47">
        <f t="shared" si="0"/>
        <v>267931559.87</v>
      </c>
      <c r="R5" s="47">
        <f t="shared" si="0"/>
        <v>523384154.39999998</v>
      </c>
      <c r="S5" s="47">
        <f t="shared" si="0"/>
        <v>666503735.16999996</v>
      </c>
      <c r="T5" s="47">
        <f t="shared" si="0"/>
        <v>239749428.38999999</v>
      </c>
      <c r="U5" s="47">
        <f t="shared" si="0"/>
        <v>1882881916.51</v>
      </c>
      <c r="V5" s="47">
        <f t="shared" si="0"/>
        <v>1717859339.8499999</v>
      </c>
      <c r="W5" s="47">
        <f t="shared" si="0"/>
        <v>1049592024.14</v>
      </c>
      <c r="X5" s="47">
        <f t="shared" si="0"/>
        <v>638731831.25999999</v>
      </c>
      <c r="Y5" s="47">
        <f t="shared" si="0"/>
        <v>806143207.72000003</v>
      </c>
      <c r="Z5" s="47">
        <f t="shared" si="0"/>
        <v>394091071.70999998</v>
      </c>
      <c r="AA5" s="47">
        <f t="shared" si="0"/>
        <v>207442239.81</v>
      </c>
      <c r="AB5" s="47">
        <f t="shared" si="0"/>
        <v>81673224.659999996</v>
      </c>
      <c r="AC5" s="47">
        <f t="shared" si="0"/>
        <v>520348782.18000001</v>
      </c>
      <c r="AD5" s="47">
        <f t="shared" si="0"/>
        <v>181550134.81</v>
      </c>
      <c r="AE5" s="47">
        <f t="shared" si="0"/>
        <v>99012902.340000004</v>
      </c>
      <c r="AF5" s="47">
        <f t="shared" si="0"/>
        <v>31454681.09</v>
      </c>
      <c r="AG5" s="47">
        <f t="shared" si="0"/>
        <v>69823201.879999995</v>
      </c>
      <c r="AH5" s="47">
        <f t="shared" si="0"/>
        <v>57045578.780000001</v>
      </c>
      <c r="AI5" s="47">
        <f t="shared" si="0"/>
        <v>19909760.879999999</v>
      </c>
      <c r="AJ5" s="47">
        <f t="shared" si="0"/>
        <v>6374936.8700000001</v>
      </c>
      <c r="AK5" s="47">
        <f t="shared" si="0"/>
        <v>15681648.710000001</v>
      </c>
      <c r="AL5" s="47">
        <f t="shared" si="0"/>
        <v>8588864.2400000002</v>
      </c>
      <c r="AM5" s="47">
        <f t="shared" si="0"/>
        <v>13712869.66</v>
      </c>
      <c r="AN5" s="47">
        <f t="shared" si="0"/>
        <v>150388382.75999999</v>
      </c>
      <c r="AO5" s="47">
        <f t="shared" si="0"/>
        <v>27849507.280000001</v>
      </c>
      <c r="AP5" s="47">
        <f t="shared" si="0"/>
        <v>0</v>
      </c>
      <c r="AQ5" s="47">
        <f t="shared" si="0"/>
        <v>73812764.530000001</v>
      </c>
      <c r="AR5" s="47">
        <f t="shared" si="0"/>
        <v>4081063.05</v>
      </c>
    </row>
    <row r="6" spans="1:74" s="105" customFormat="1">
      <c r="A6" s="105" t="s">
        <v>305</v>
      </c>
      <c r="B6" s="192">
        <v>0</v>
      </c>
      <c r="C6" s="192">
        <v>106932218.75</v>
      </c>
      <c r="D6" s="192">
        <v>0</v>
      </c>
      <c r="E6" s="192">
        <v>197938163.75</v>
      </c>
      <c r="F6" s="192">
        <v>0</v>
      </c>
      <c r="G6" s="192">
        <v>88331943.969999999</v>
      </c>
      <c r="H6" s="192">
        <v>0</v>
      </c>
      <c r="I6" s="192">
        <v>181260911.65000001</v>
      </c>
      <c r="J6" s="192">
        <v>0</v>
      </c>
      <c r="K6" s="192">
        <v>96444524.900000006</v>
      </c>
      <c r="L6" s="192">
        <v>0</v>
      </c>
      <c r="M6" s="192">
        <v>190974754.86000001</v>
      </c>
      <c r="N6" s="192">
        <v>0</v>
      </c>
      <c r="O6" s="192">
        <v>91998614.040000007</v>
      </c>
      <c r="P6" s="192">
        <v>0</v>
      </c>
      <c r="Q6" s="192">
        <v>162964970.91999999</v>
      </c>
      <c r="R6" s="192">
        <v>0</v>
      </c>
      <c r="S6" s="192">
        <v>50661736.740000002</v>
      </c>
      <c r="T6" s="192">
        <v>0</v>
      </c>
      <c r="U6" s="192">
        <v>60803402.539999999</v>
      </c>
      <c r="V6" s="192">
        <v>0</v>
      </c>
      <c r="W6" s="192">
        <v>26121474.539999999</v>
      </c>
      <c r="X6" s="192">
        <v>0</v>
      </c>
      <c r="Y6" s="192">
        <v>33542649.300000001</v>
      </c>
      <c r="Z6" s="192">
        <v>0</v>
      </c>
      <c r="AA6" s="192">
        <v>16224920.08</v>
      </c>
      <c r="AB6" s="192">
        <v>0</v>
      </c>
      <c r="AC6" s="192">
        <v>15220897.67</v>
      </c>
      <c r="AD6" s="192">
        <v>0</v>
      </c>
      <c r="AE6" s="192">
        <v>1854938.16</v>
      </c>
      <c r="AF6" s="192">
        <v>0</v>
      </c>
      <c r="AG6" s="192">
        <v>13779522.529999999</v>
      </c>
      <c r="AH6" s="192">
        <v>0</v>
      </c>
      <c r="AI6" s="192">
        <v>0</v>
      </c>
      <c r="AJ6" s="192">
        <v>0</v>
      </c>
      <c r="AK6" s="192">
        <v>8875139.8699999992</v>
      </c>
      <c r="AL6" s="192">
        <v>0</v>
      </c>
      <c r="AM6" s="192">
        <v>0</v>
      </c>
      <c r="AN6" s="192">
        <v>5492133.54</v>
      </c>
      <c r="AO6" s="192">
        <v>5290785.6500000004</v>
      </c>
      <c r="AP6" s="192">
        <v>0</v>
      </c>
      <c r="AQ6" s="192">
        <v>220055249.78</v>
      </c>
      <c r="AR6" s="192">
        <v>0</v>
      </c>
      <c r="AS6" s="192">
        <v>466252820.24000001</v>
      </c>
      <c r="AT6" s="192">
        <v>0</v>
      </c>
      <c r="AU6" s="192">
        <v>0</v>
      </c>
      <c r="AV6" s="192">
        <v>0</v>
      </c>
      <c r="AW6" s="192">
        <v>467047308.91000003</v>
      </c>
      <c r="AX6" s="192">
        <v>322210774.50999999</v>
      </c>
      <c r="AY6" s="192">
        <v>214415246.97</v>
      </c>
      <c r="AZ6" s="192">
        <v>106891762.23999999</v>
      </c>
      <c r="BA6" s="192">
        <v>478234075.06999999</v>
      </c>
      <c r="BB6" s="192">
        <v>357766299.13</v>
      </c>
      <c r="BC6" s="192">
        <v>237335309.81999999</v>
      </c>
      <c r="BD6" s="192">
        <v>118623693.14</v>
      </c>
      <c r="BE6" s="192">
        <v>404552322.94</v>
      </c>
      <c r="BF6" s="192">
        <v>305788725.56</v>
      </c>
      <c r="BG6" s="192">
        <v>208996928.00999999</v>
      </c>
      <c r="BH6" s="192">
        <v>112312929.75</v>
      </c>
      <c r="BI6" s="192">
        <v>275750634.47000003</v>
      </c>
      <c r="BJ6" s="192">
        <v>202256946.52000001</v>
      </c>
      <c r="BK6" s="192">
        <v>113461866.70999999</v>
      </c>
      <c r="BL6" s="192">
        <v>56664861.82</v>
      </c>
      <c r="BM6" s="192">
        <v>233663769.53999999</v>
      </c>
      <c r="BN6" s="192">
        <v>102939387.53</v>
      </c>
      <c r="BO6" s="192">
        <v>165653982.56</v>
      </c>
      <c r="BP6" s="192">
        <v>49234570.869999997</v>
      </c>
      <c r="BQ6" s="192">
        <v>130519869.31</v>
      </c>
      <c r="BR6" s="192">
        <v>62414344.259999998</v>
      </c>
      <c r="BS6" s="192">
        <v>56928281.189999998</v>
      </c>
      <c r="BT6" s="192">
        <v>29633190.559999999</v>
      </c>
      <c r="BU6" s="192">
        <v>42460875.850000001</v>
      </c>
      <c r="BV6" s="192">
        <v>0</v>
      </c>
    </row>
    <row r="7" spans="1:74" s="192" customFormat="1">
      <c r="A7" s="192" t="s">
        <v>306</v>
      </c>
      <c r="B7" s="192">
        <v>0</v>
      </c>
      <c r="C7" s="192">
        <v>42926243.229999997</v>
      </c>
      <c r="D7" s="192">
        <v>0</v>
      </c>
      <c r="E7" s="192">
        <v>59049996.5</v>
      </c>
      <c r="F7" s="192">
        <v>0</v>
      </c>
      <c r="G7" s="192">
        <v>30094985.82</v>
      </c>
      <c r="H7" s="192">
        <v>0</v>
      </c>
      <c r="I7" s="192">
        <v>56205820.43</v>
      </c>
      <c r="J7" s="192">
        <v>0</v>
      </c>
      <c r="K7" s="192">
        <v>9930708.2200000007</v>
      </c>
      <c r="L7" s="192">
        <v>0</v>
      </c>
      <c r="M7" s="192">
        <v>15750922.17</v>
      </c>
      <c r="N7" s="192">
        <v>0</v>
      </c>
      <c r="O7" s="192">
        <v>6815400.8200000003</v>
      </c>
      <c r="P7" s="192">
        <v>0</v>
      </c>
      <c r="Q7" s="192">
        <v>11364414.529999999</v>
      </c>
      <c r="R7" s="192">
        <v>0</v>
      </c>
      <c r="S7" s="192">
        <v>5100200.6500000004</v>
      </c>
      <c r="T7" s="192">
        <v>0</v>
      </c>
      <c r="U7" s="192">
        <v>7524731.7300000004</v>
      </c>
      <c r="V7" s="192">
        <v>0</v>
      </c>
      <c r="W7" s="192">
        <v>3517080.52</v>
      </c>
      <c r="X7" s="192">
        <v>0</v>
      </c>
      <c r="Y7" s="192">
        <v>6826474.54</v>
      </c>
      <c r="Z7" s="192">
        <v>0</v>
      </c>
      <c r="AA7" s="192">
        <v>3410654.98</v>
      </c>
      <c r="AB7" s="192">
        <v>0</v>
      </c>
      <c r="AC7" s="192">
        <v>4153937.85</v>
      </c>
      <c r="AD7" s="192">
        <v>0</v>
      </c>
      <c r="AE7" s="192">
        <v>9417740.0199999996</v>
      </c>
      <c r="AF7" s="192">
        <v>0</v>
      </c>
      <c r="AG7" s="192">
        <v>1918598.32</v>
      </c>
      <c r="AH7" s="192">
        <v>0</v>
      </c>
      <c r="AI7" s="192">
        <v>0</v>
      </c>
      <c r="AJ7" s="192">
        <v>0</v>
      </c>
      <c r="AK7" s="192">
        <v>2044910.42</v>
      </c>
      <c r="AL7" s="192">
        <v>0</v>
      </c>
      <c r="AM7" s="192">
        <v>0</v>
      </c>
      <c r="AN7" s="192">
        <v>1058837.27</v>
      </c>
      <c r="AO7" s="192">
        <v>1053089.81</v>
      </c>
      <c r="AP7" s="192">
        <v>0</v>
      </c>
      <c r="AQ7" s="192">
        <v>845090.25</v>
      </c>
      <c r="AR7" s="192">
        <v>0</v>
      </c>
      <c r="AS7" s="192">
        <v>1586144.88</v>
      </c>
      <c r="AT7" s="192">
        <v>0</v>
      </c>
      <c r="AU7" s="192">
        <v>0</v>
      </c>
      <c r="AV7" s="192">
        <v>0</v>
      </c>
      <c r="AW7" s="192">
        <v>3799631.08</v>
      </c>
      <c r="AX7" s="192">
        <v>3384594.86</v>
      </c>
      <c r="AY7" s="192">
        <v>1952934.44</v>
      </c>
      <c r="AZ7" s="192">
        <v>567536.22</v>
      </c>
      <c r="BA7" s="192">
        <v>1586144.88</v>
      </c>
      <c r="BB7" s="192">
        <v>1189608.6599999999</v>
      </c>
      <c r="BC7" s="192">
        <v>793072.44</v>
      </c>
      <c r="BD7" s="192">
        <v>396536.22</v>
      </c>
      <c r="BE7" s="192">
        <v>2026799.88</v>
      </c>
      <c r="BF7" s="192">
        <v>1513263.66</v>
      </c>
      <c r="BG7" s="192">
        <v>968842.44</v>
      </c>
      <c r="BH7" s="192">
        <v>572304.69999999995</v>
      </c>
      <c r="BI7" s="192">
        <v>2294148.85</v>
      </c>
      <c r="BJ7" s="192">
        <v>1897612.63</v>
      </c>
      <c r="BK7" s="192">
        <v>1501076.41</v>
      </c>
      <c r="BL7" s="192">
        <v>397126.17</v>
      </c>
      <c r="BM7" s="192">
        <v>3779059.29</v>
      </c>
      <c r="BN7" s="192">
        <v>943096.31999999995</v>
      </c>
      <c r="BO7" s="192">
        <v>1696119.74</v>
      </c>
      <c r="BP7" s="192">
        <v>808679.94</v>
      </c>
      <c r="BQ7" s="192">
        <v>2290393.21</v>
      </c>
      <c r="BR7" s="192">
        <v>677235.94</v>
      </c>
      <c r="BS7" s="192">
        <v>16746446.949999999</v>
      </c>
      <c r="BT7" s="192">
        <v>1394056.95</v>
      </c>
      <c r="BU7" s="192">
        <v>2442875.52</v>
      </c>
      <c r="BV7" s="192">
        <v>0</v>
      </c>
    </row>
    <row r="8" spans="1:74" s="192" customFormat="1">
      <c r="A8" s="192" t="s">
        <v>307</v>
      </c>
      <c r="B8" s="192">
        <v>0</v>
      </c>
      <c r="C8" s="192">
        <v>4551046.3099999996</v>
      </c>
      <c r="D8" s="192">
        <v>0</v>
      </c>
      <c r="E8" s="192">
        <v>11177737.220000001</v>
      </c>
      <c r="F8" s="192">
        <v>0</v>
      </c>
      <c r="G8" s="192">
        <v>4729237.12</v>
      </c>
      <c r="H8" s="192">
        <v>0</v>
      </c>
      <c r="I8" s="192">
        <v>646321.86</v>
      </c>
      <c r="J8" s="192">
        <v>0</v>
      </c>
      <c r="K8" s="192">
        <v>729938.45</v>
      </c>
      <c r="L8" s="192">
        <v>0</v>
      </c>
      <c r="M8" s="192">
        <v>81615.12</v>
      </c>
      <c r="N8" s="192">
        <v>0</v>
      </c>
      <c r="O8" s="192">
        <v>40807.56</v>
      </c>
      <c r="P8" s="192">
        <v>0</v>
      </c>
      <c r="Q8" s="192">
        <v>596315.56000000006</v>
      </c>
      <c r="R8" s="192">
        <v>0</v>
      </c>
      <c r="S8" s="192">
        <v>0</v>
      </c>
      <c r="T8" s="192">
        <v>0</v>
      </c>
      <c r="U8" s="192">
        <v>0</v>
      </c>
      <c r="V8" s="192">
        <v>0</v>
      </c>
      <c r="W8" s="192">
        <v>0</v>
      </c>
      <c r="X8" s="192">
        <v>0</v>
      </c>
      <c r="Y8" s="192">
        <v>0</v>
      </c>
      <c r="Z8" s="192">
        <v>0</v>
      </c>
      <c r="AA8" s="192">
        <v>0</v>
      </c>
      <c r="AB8" s="192">
        <v>0</v>
      </c>
      <c r="AC8" s="192">
        <v>0</v>
      </c>
      <c r="AD8" s="192">
        <v>0</v>
      </c>
      <c r="AE8" s="192">
        <v>1388319.22</v>
      </c>
      <c r="AF8" s="192">
        <v>0</v>
      </c>
      <c r="AG8" s="192">
        <v>0</v>
      </c>
      <c r="AH8" s="192">
        <v>0</v>
      </c>
      <c r="AI8" s="192">
        <v>0</v>
      </c>
      <c r="AJ8" s="192">
        <v>0</v>
      </c>
      <c r="AK8" s="192">
        <v>0</v>
      </c>
      <c r="AL8" s="192">
        <v>0</v>
      </c>
      <c r="AM8" s="192">
        <v>0</v>
      </c>
      <c r="AN8" s="192">
        <v>0</v>
      </c>
      <c r="AO8" s="192">
        <v>0</v>
      </c>
      <c r="AP8" s="192">
        <v>0</v>
      </c>
      <c r="AQ8" s="192">
        <v>-3272209.09</v>
      </c>
      <c r="AR8" s="192">
        <v>0</v>
      </c>
      <c r="AS8" s="192">
        <v>820470.57</v>
      </c>
      <c r="AT8" s="192">
        <v>0</v>
      </c>
      <c r="AU8" s="192">
        <v>0</v>
      </c>
      <c r="AV8" s="192">
        <v>0</v>
      </c>
      <c r="AW8" s="192">
        <v>0</v>
      </c>
      <c r="AX8" s="192">
        <v>0</v>
      </c>
      <c r="AY8" s="192">
        <v>0</v>
      </c>
      <c r="AZ8" s="192">
        <v>0</v>
      </c>
      <c r="BA8" s="192">
        <v>0</v>
      </c>
      <c r="BB8" s="192">
        <v>0</v>
      </c>
      <c r="BC8" s="192">
        <v>0</v>
      </c>
      <c r="BD8" s="192">
        <v>0</v>
      </c>
      <c r="BE8" s="192">
        <v>0</v>
      </c>
      <c r="BF8" s="192">
        <v>0</v>
      </c>
      <c r="BG8" s="192">
        <v>0</v>
      </c>
      <c r="BH8" s="192">
        <v>0</v>
      </c>
      <c r="BI8" s="192">
        <v>0</v>
      </c>
      <c r="BJ8" s="192">
        <v>0</v>
      </c>
      <c r="BK8" s="192">
        <v>0</v>
      </c>
      <c r="BL8" s="192">
        <v>0</v>
      </c>
      <c r="BM8" s="192">
        <v>0</v>
      </c>
      <c r="BN8" s="192">
        <v>0</v>
      </c>
      <c r="BO8" s="192">
        <v>0</v>
      </c>
      <c r="BP8" s="192">
        <v>0</v>
      </c>
      <c r="BQ8" s="192">
        <v>0</v>
      </c>
      <c r="BR8" s="192">
        <v>0</v>
      </c>
      <c r="BS8" s="192">
        <v>0</v>
      </c>
      <c r="BT8" s="192">
        <v>0</v>
      </c>
      <c r="BU8" s="192">
        <v>0</v>
      </c>
      <c r="BV8" s="192">
        <v>0</v>
      </c>
    </row>
    <row r="9" spans="1:74" s="192" customFormat="1">
      <c r="A9" s="192" t="s">
        <v>308</v>
      </c>
      <c r="B9" s="192">
        <v>0</v>
      </c>
      <c r="C9" s="192">
        <v>195652.88</v>
      </c>
      <c r="D9" s="192">
        <v>0</v>
      </c>
      <c r="E9" s="192">
        <v>238205.34</v>
      </c>
      <c r="F9" s="192">
        <v>0</v>
      </c>
      <c r="G9" s="192">
        <v>199013.61</v>
      </c>
      <c r="H9" s="192">
        <v>0</v>
      </c>
      <c r="I9" s="192">
        <v>627516.66</v>
      </c>
      <c r="J9" s="192">
        <v>0</v>
      </c>
      <c r="K9" s="192">
        <v>3534.29</v>
      </c>
      <c r="L9" s="192">
        <v>0</v>
      </c>
      <c r="M9" s="192">
        <v>97280.54</v>
      </c>
      <c r="N9" s="192">
        <v>0</v>
      </c>
      <c r="O9" s="192">
        <v>37302.720000000001</v>
      </c>
      <c r="P9" s="192">
        <v>0</v>
      </c>
      <c r="Q9" s="192">
        <v>2699692.81</v>
      </c>
      <c r="R9" s="192">
        <v>0</v>
      </c>
      <c r="S9" s="192">
        <v>0</v>
      </c>
      <c r="T9" s="192">
        <v>0</v>
      </c>
      <c r="U9" s="192">
        <v>33325.85</v>
      </c>
      <c r="V9" s="192">
        <v>0</v>
      </c>
      <c r="W9" s="192">
        <v>0</v>
      </c>
      <c r="X9" s="192">
        <v>0</v>
      </c>
      <c r="Y9" s="192">
        <v>1065346.58</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-661025</v>
      </c>
      <c r="AR9" s="192">
        <v>0</v>
      </c>
      <c r="AS9" s="192">
        <v>-598305.26</v>
      </c>
      <c r="AT9" s="192">
        <v>0</v>
      </c>
      <c r="AU9" s="192">
        <v>0</v>
      </c>
      <c r="AV9" s="192">
        <v>0</v>
      </c>
      <c r="AW9" s="192">
        <v>269102.78999999998</v>
      </c>
      <c r="AX9" s="192">
        <v>146154.56</v>
      </c>
      <c r="AY9" s="192">
        <v>-125360.21</v>
      </c>
      <c r="AZ9" s="192">
        <v>0</v>
      </c>
      <c r="BA9" s="192">
        <v>-191319.73</v>
      </c>
      <c r="BB9" s="192">
        <v>-54708.43</v>
      </c>
      <c r="BC9" s="192">
        <v>-7534.17</v>
      </c>
      <c r="BD9" s="192">
        <v>-12970.6</v>
      </c>
      <c r="BE9" s="192">
        <v>2450780.61</v>
      </c>
      <c r="BF9" s="192">
        <v>461041.96</v>
      </c>
      <c r="BG9" s="192">
        <v>260575.46</v>
      </c>
      <c r="BH9" s="192">
        <v>-14558</v>
      </c>
      <c r="BI9" s="192">
        <v>3395525.08</v>
      </c>
      <c r="BJ9" s="192">
        <v>-15527.85</v>
      </c>
      <c r="BK9" s="192">
        <v>13728.15</v>
      </c>
      <c r="BL9" s="192">
        <v>-38776.370000000003</v>
      </c>
      <c r="BM9" s="192">
        <v>925739.38</v>
      </c>
      <c r="BN9" s="192">
        <v>510508.23</v>
      </c>
      <c r="BO9" s="192">
        <v>-49398.94</v>
      </c>
      <c r="BP9" s="192">
        <v>1595890.7</v>
      </c>
      <c r="BQ9" s="192">
        <v>-3580</v>
      </c>
      <c r="BR9" s="192">
        <v>-1500</v>
      </c>
      <c r="BS9" s="192">
        <v>169771.53</v>
      </c>
      <c r="BT9" s="192">
        <v>-1680</v>
      </c>
      <c r="BU9" s="192">
        <v>0</v>
      </c>
      <c r="BV9" s="192">
        <v>0</v>
      </c>
    </row>
    <row r="10" spans="1:74" s="192" customFormat="1">
      <c r="A10" s="192" t="s">
        <v>309</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92">
        <v>0</v>
      </c>
      <c r="AR10" s="192">
        <v>0</v>
      </c>
      <c r="AS10" s="192">
        <v>577470.38</v>
      </c>
      <c r="AT10" s="192">
        <v>0</v>
      </c>
      <c r="AU10" s="192">
        <v>0</v>
      </c>
      <c r="AV10" s="192">
        <v>0</v>
      </c>
      <c r="AW10" s="192">
        <v>0</v>
      </c>
      <c r="AX10" s="192">
        <v>0</v>
      </c>
      <c r="AY10" s="192">
        <v>1108956.43</v>
      </c>
      <c r="AZ10" s="192">
        <v>0</v>
      </c>
      <c r="BA10" s="192">
        <v>0</v>
      </c>
      <c r="BB10" s="192">
        <v>0</v>
      </c>
      <c r="BC10" s="192">
        <v>0</v>
      </c>
      <c r="BD10" s="192">
        <v>0</v>
      </c>
      <c r="BE10" s="192">
        <v>10234174.27</v>
      </c>
      <c r="BF10" s="192">
        <v>6735200.1100000003</v>
      </c>
      <c r="BG10" s="192">
        <v>2122271.27</v>
      </c>
      <c r="BH10" s="192">
        <v>0</v>
      </c>
      <c r="BI10" s="192">
        <v>5443986.7300000004</v>
      </c>
      <c r="BJ10" s="192">
        <v>2732944.24</v>
      </c>
      <c r="BK10" s="192">
        <v>1676945.26</v>
      </c>
      <c r="BL10" s="192">
        <v>15909.78</v>
      </c>
      <c r="BM10" s="192">
        <v>4369433.5199999996</v>
      </c>
      <c r="BN10" s="192">
        <v>256577.04</v>
      </c>
      <c r="BO10" s="192">
        <v>2074884.19</v>
      </c>
      <c r="BP10" s="192">
        <v>0</v>
      </c>
      <c r="BQ10" s="192">
        <v>1025342.66</v>
      </c>
      <c r="BR10" s="192">
        <v>43944</v>
      </c>
      <c r="BS10" s="192">
        <v>0</v>
      </c>
      <c r="BT10" s="192">
        <v>7101</v>
      </c>
      <c r="BU10" s="192">
        <v>0</v>
      </c>
      <c r="BV10" s="192">
        <v>0</v>
      </c>
    </row>
    <row r="11" spans="1:74" s="47" customFormat="1">
      <c r="A11" s="135" t="s">
        <v>296</v>
      </c>
      <c r="E11" s="47">
        <f>E5-E6-E7-E8-E9-E10</f>
        <v>66159477.449999988</v>
      </c>
      <c r="F11" s="47">
        <f t="shared" ref="F11:BQ11" si="1">F5-F6-F7-F8-F9-F10</f>
        <v>250403020.43000001</v>
      </c>
      <c r="G11" s="47">
        <f t="shared" si="1"/>
        <v>71459908.88000001</v>
      </c>
      <c r="H11" s="47">
        <f t="shared" si="1"/>
        <v>115782955.95</v>
      </c>
      <c r="I11" s="47">
        <f t="shared" si="1"/>
        <v>138748208.48999995</v>
      </c>
      <c r="J11" s="47">
        <f t="shared" si="1"/>
        <v>395741106.08999997</v>
      </c>
      <c r="K11" s="47">
        <f t="shared" si="1"/>
        <v>140570712.23000002</v>
      </c>
      <c r="L11" s="47">
        <f t="shared" si="1"/>
        <v>101954067.90000001</v>
      </c>
      <c r="M11" s="47">
        <f t="shared" si="1"/>
        <v>7699174.6699999999</v>
      </c>
      <c r="N11" s="47">
        <f t="shared" si="1"/>
        <v>268817991.49000001</v>
      </c>
      <c r="O11" s="47">
        <f t="shared" si="1"/>
        <v>126922823.35999998</v>
      </c>
      <c r="P11" s="47">
        <f t="shared" si="1"/>
        <v>74957107.560000002</v>
      </c>
      <c r="Q11" s="47">
        <f t="shared" si="1"/>
        <v>90306166.050000012</v>
      </c>
      <c r="R11" s="47">
        <f t="shared" si="1"/>
        <v>523384154.39999998</v>
      </c>
      <c r="S11" s="47">
        <f t="shared" si="1"/>
        <v>610741797.77999997</v>
      </c>
      <c r="T11" s="47">
        <f t="shared" si="1"/>
        <v>239749428.38999999</v>
      </c>
      <c r="U11" s="47">
        <f t="shared" si="1"/>
        <v>1814520456.3900001</v>
      </c>
      <c r="V11" s="47">
        <f t="shared" si="1"/>
        <v>1717859339.8499999</v>
      </c>
      <c r="W11" s="47">
        <f t="shared" si="1"/>
        <v>1019953469.08</v>
      </c>
      <c r="X11" s="47">
        <f t="shared" si="1"/>
        <v>638731831.25999999</v>
      </c>
      <c r="Y11" s="47">
        <f t="shared" si="1"/>
        <v>764708737.30000007</v>
      </c>
      <c r="Z11" s="47">
        <f t="shared" si="1"/>
        <v>394091071.70999998</v>
      </c>
      <c r="AA11" s="47">
        <f t="shared" si="1"/>
        <v>187806664.75</v>
      </c>
      <c r="AB11" s="47">
        <f t="shared" si="1"/>
        <v>81673224.659999996</v>
      </c>
      <c r="AC11" s="47">
        <f t="shared" si="1"/>
        <v>500973946.65999997</v>
      </c>
      <c r="AD11" s="47">
        <f t="shared" si="1"/>
        <v>181550134.81</v>
      </c>
      <c r="AE11" s="47">
        <f t="shared" si="1"/>
        <v>86351904.940000013</v>
      </c>
      <c r="AF11" s="47">
        <f t="shared" si="1"/>
        <v>31454681.09</v>
      </c>
      <c r="AG11" s="47">
        <f t="shared" si="1"/>
        <v>54125081.029999994</v>
      </c>
      <c r="AH11" s="47">
        <f t="shared" si="1"/>
        <v>57045578.780000001</v>
      </c>
      <c r="AI11" s="47">
        <f t="shared" si="1"/>
        <v>19909760.879999999</v>
      </c>
      <c r="AJ11" s="47">
        <f t="shared" si="1"/>
        <v>6374936.8700000001</v>
      </c>
      <c r="AK11" s="47">
        <f t="shared" si="1"/>
        <v>4761598.4200000018</v>
      </c>
      <c r="AL11" s="47">
        <f t="shared" si="1"/>
        <v>8588864.2400000002</v>
      </c>
      <c r="AM11" s="47">
        <f t="shared" si="1"/>
        <v>13712869.66</v>
      </c>
      <c r="AN11" s="47">
        <f t="shared" si="1"/>
        <v>143837411.94999999</v>
      </c>
      <c r="AO11" s="47">
        <f t="shared" si="1"/>
        <v>21505631.820000004</v>
      </c>
      <c r="AP11" s="47">
        <f t="shared" si="1"/>
        <v>0</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c r="A12" s="17" t="s">
        <v>297</v>
      </c>
      <c r="E12" s="26">
        <f t="shared" ref="E12:Q12" si="3">I34</f>
        <v>4214261607.6300001</v>
      </c>
      <c r="F12" s="26">
        <f t="shared" si="3"/>
        <v>4247256911.4200001</v>
      </c>
      <c r="G12" s="26">
        <f t="shared" si="3"/>
        <v>4081251676.0799999</v>
      </c>
      <c r="H12" s="26">
        <f t="shared" si="3"/>
        <v>4344387336.3799992</v>
      </c>
      <c r="I12" s="26">
        <f t="shared" si="3"/>
        <v>4227132904.9500003</v>
      </c>
      <c r="J12" s="26">
        <f t="shared" si="3"/>
        <v>4216800547.8099999</v>
      </c>
      <c r="K12" s="26">
        <f t="shared" si="3"/>
        <v>4191121489.23</v>
      </c>
      <c r="L12" s="26">
        <f t="shared" si="3"/>
        <v>4042953400.3800001</v>
      </c>
      <c r="M12" s="26">
        <f t="shared" si="3"/>
        <v>4015396780.3000002</v>
      </c>
      <c r="N12" s="26">
        <f t="shared" si="3"/>
        <v>4436706728.3099995</v>
      </c>
      <c r="O12" s="26">
        <f t="shared" si="3"/>
        <v>4672724809.8399992</v>
      </c>
      <c r="P12" s="26">
        <f t="shared" si="3"/>
        <v>4092132496</v>
      </c>
      <c r="Q12" s="26">
        <f t="shared" si="3"/>
        <v>3987860287.7200003</v>
      </c>
      <c r="R12" s="192">
        <f t="shared" ref="R12" si="4">V34</f>
        <v>3496088274.3600001</v>
      </c>
      <c r="S12" s="192">
        <f t="shared" ref="S12" si="5">W34</f>
        <v>2855208801.9400001</v>
      </c>
      <c r="T12" s="192">
        <f t="shared" ref="T12" si="6">X34</f>
        <v>1705445054.7</v>
      </c>
      <c r="U12" s="192">
        <f t="shared" ref="U12" si="7">Y34</f>
        <v>1655643076.5</v>
      </c>
      <c r="V12" s="192">
        <f t="shared" ref="V12" si="8">Z34</f>
        <v>964259491.05999994</v>
      </c>
      <c r="W12" s="192">
        <f t="shared" ref="W12" si="9">AA34</f>
        <v>932678182.29999995</v>
      </c>
      <c r="X12" s="192">
        <f t="shared" ref="X12" si="10">AB34</f>
        <v>887107731.65999997</v>
      </c>
      <c r="Y12" s="192">
        <f t="shared" ref="Y12" si="11">AC34</f>
        <v>726612267</v>
      </c>
      <c r="Z12" s="192">
        <f t="shared" ref="Z12" si="12">AD34</f>
        <v>362495205</v>
      </c>
      <c r="AA12" s="192">
        <f t="shared" ref="AA12" si="13">AE34</f>
        <v>335921632.41000003</v>
      </c>
      <c r="AB12" s="192">
        <f t="shared" ref="AB12" si="14">AF34</f>
        <v>331314886.39999998</v>
      </c>
      <c r="AC12" s="192">
        <f t="shared" ref="AC12" si="15">AG34</f>
        <v>331263757.91000003</v>
      </c>
      <c r="AD12" s="192">
        <f t="shared" ref="AD12" si="16">AH34</f>
        <v>287998776.58999997</v>
      </c>
      <c r="AE12" s="192">
        <f t="shared" ref="AE12" si="17">AI34</f>
        <v>282032524.70999998</v>
      </c>
      <c r="AF12" s="192">
        <f t="shared" ref="AF12" si="18">AJ34</f>
        <v>283215086.86000001</v>
      </c>
      <c r="AG12" s="192">
        <f t="shared" ref="AG12" si="19">AK34</f>
        <v>235565728.24000001</v>
      </c>
      <c r="AH12" s="192">
        <f t="shared" ref="AH12" si="20">AL34</f>
        <v>147869213.62</v>
      </c>
      <c r="AI12" s="192">
        <f t="shared" ref="AI12" si="21">AM34</f>
        <v>0</v>
      </c>
      <c r="AJ12" s="192">
        <f t="shared" ref="AJ12" si="22">AN34</f>
        <v>0</v>
      </c>
      <c r="AK12" s="192">
        <f t="shared" ref="AK12" si="23">AO34</f>
        <v>0</v>
      </c>
      <c r="AL12" s="192">
        <f t="shared" ref="AL12" si="24">AP34</f>
        <v>0</v>
      </c>
      <c r="AM12" s="192">
        <f t="shared" ref="AM12" si="25">AQ34</f>
        <v>4945499008.7600002</v>
      </c>
      <c r="AN12" s="192">
        <f t="shared" ref="AN12" si="26">AR34</f>
        <v>4983590367.6400003</v>
      </c>
      <c r="AO12" s="192">
        <f t="shared" ref="AO12" si="27">AS34</f>
        <v>5087759145.3900003</v>
      </c>
      <c r="AP12" s="192">
        <f t="shared" ref="AP12" si="28">AT34</f>
        <v>5119825755.0799999</v>
      </c>
      <c r="AQ12" s="192">
        <f t="shared" ref="AQ12" si="29">AU34</f>
        <v>5166324238.8199997</v>
      </c>
      <c r="AR12" s="192">
        <f t="shared" ref="AR12" si="30">AV34</f>
        <v>5229742144.5900002</v>
      </c>
      <c r="AS12" s="192">
        <f t="shared" ref="AS12" si="31">AW34</f>
        <v>5303368604.3599997</v>
      </c>
      <c r="AT12" s="192">
        <f t="shared" ref="AT12" si="32">AX34</f>
        <v>5412891640.3100004</v>
      </c>
      <c r="AU12" s="192">
        <f t="shared" ref="AU12" si="33">AY34</f>
        <v>5477269087.8599997</v>
      </c>
      <c r="AV12" s="192">
        <f t="shared" ref="AV12" si="34">AZ34</f>
        <v>5394582476.9899998</v>
      </c>
      <c r="AW12" s="192">
        <f t="shared" ref="AW12" si="35">BA34</f>
        <v>5501322858.9799995</v>
      </c>
      <c r="AX12" s="192">
        <f t="shared" ref="AX12" si="36">BB34</f>
        <v>5577867470.3299999</v>
      </c>
      <c r="AY12" s="192">
        <f t="shared" ref="AY12" si="37">BC34</f>
        <v>5696283898.6499996</v>
      </c>
      <c r="AZ12" s="192">
        <f t="shared" ref="AZ12" si="38">BD34</f>
        <v>5779603253.5100002</v>
      </c>
      <c r="BA12" s="192">
        <f t="shared" ref="BA12" si="39">BE34</f>
        <v>5840992847.29</v>
      </c>
      <c r="BB12" s="192">
        <f t="shared" ref="BB12" si="40">BF34</f>
        <v>5434316703.3800001</v>
      </c>
      <c r="BC12" s="192">
        <f t="shared" ref="BC12" si="41">BG34</f>
        <v>5519652065.3800001</v>
      </c>
      <c r="BD12" s="192">
        <f t="shared" ref="BD12" si="42">BH34</f>
        <v>5587811046.9799995</v>
      </c>
      <c r="BE12" s="192">
        <f t="shared" ref="BE12" si="43">BI34</f>
        <v>5587556850.7200003</v>
      </c>
      <c r="BF12" s="192">
        <f t="shared" ref="BF12" si="44">BJ34</f>
        <v>5175235607.8500004</v>
      </c>
      <c r="BG12" s="192">
        <f t="shared" ref="BG12" si="45">BK34</f>
        <v>4543535291.6599998</v>
      </c>
      <c r="BH12" s="192">
        <f t="shared" ref="BH12" si="46">BL34</f>
        <v>4478639735.0500002</v>
      </c>
      <c r="BI12" s="192">
        <f t="shared" ref="BI12" si="47">BM34</f>
        <v>4520776529.7700005</v>
      </c>
      <c r="BJ12" s="192">
        <f t="shared" ref="BJ12" si="48">BN34</f>
        <v>3620875395.5999999</v>
      </c>
      <c r="BK12" s="192">
        <f t="shared" ref="BK12" si="49">BO34</f>
        <v>3684993020.0500002</v>
      </c>
      <c r="BL12" s="192">
        <f t="shared" ref="BL12" si="50">BP34</f>
        <v>3523637936.8200002</v>
      </c>
      <c r="BM12" s="192">
        <f t="shared" ref="BM12" si="51">BQ34</f>
        <v>0</v>
      </c>
      <c r="BN12" s="192">
        <f t="shared" ref="BN12" si="52">BR34</f>
        <v>4945499008.7600002</v>
      </c>
    </row>
    <row r="13" spans="1:74" s="219" customFormat="1">
      <c r="A13" s="219" t="s">
        <v>350</v>
      </c>
      <c r="E13" s="219">
        <f>E11/E12</f>
        <v>1.5698948857426651E-2</v>
      </c>
      <c r="F13" s="219">
        <f t="shared" ref="F13:AR13" si="53">F11/F12</f>
        <v>5.8956410137733319E-2</v>
      </c>
      <c r="G13" s="219">
        <f t="shared" si="53"/>
        <v>1.7509311983581594E-2</v>
      </c>
      <c r="H13" s="219">
        <f t="shared" si="53"/>
        <v>2.6651158606515325E-2</v>
      </c>
      <c r="I13" s="219">
        <f t="shared" si="53"/>
        <v>3.2823242516819118E-2</v>
      </c>
      <c r="J13" s="219">
        <f t="shared" si="53"/>
        <v>9.3848665973904927E-2</v>
      </c>
      <c r="K13" s="219">
        <f t="shared" si="53"/>
        <v>3.3540118698832069E-2</v>
      </c>
      <c r="L13" s="219">
        <f t="shared" si="53"/>
        <v>2.5217720266183942E-2</v>
      </c>
      <c r="M13" s="219">
        <f t="shared" si="53"/>
        <v>1.9174131701686465E-3</v>
      </c>
      <c r="N13" s="219">
        <f t="shared" si="53"/>
        <v>6.0589533622925837E-2</v>
      </c>
      <c r="O13" s="219">
        <f t="shared" si="53"/>
        <v>2.7162486242014755E-2</v>
      </c>
      <c r="P13" s="219">
        <f t="shared" si="53"/>
        <v>1.8317370621129567E-2</v>
      </c>
      <c r="Q13" s="219">
        <f t="shared" si="53"/>
        <v>2.2645268272833904E-2</v>
      </c>
      <c r="R13" s="219">
        <f t="shared" si="53"/>
        <v>0.14970564623280616</v>
      </c>
      <c r="S13" s="219">
        <f t="shared" si="53"/>
        <v>0.21390442526130676</v>
      </c>
      <c r="T13" s="219">
        <f t="shared" si="53"/>
        <v>0.14057880535598588</v>
      </c>
      <c r="U13" s="219">
        <f t="shared" si="53"/>
        <v>1.0959611296330027</v>
      </c>
      <c r="V13" s="219">
        <f t="shared" si="53"/>
        <v>1.7815322076442057</v>
      </c>
      <c r="W13" s="219">
        <f t="shared" si="53"/>
        <v>1.0935749205205785</v>
      </c>
      <c r="X13" s="219">
        <f t="shared" si="53"/>
        <v>0.72001607974352033</v>
      </c>
      <c r="Y13" s="219">
        <f t="shared" si="53"/>
        <v>1.0524302603055284</v>
      </c>
      <c r="Z13" s="219">
        <f t="shared" si="53"/>
        <v>1.0871621645588387</v>
      </c>
      <c r="AA13" s="219">
        <f t="shared" si="53"/>
        <v>0.55907880478735494</v>
      </c>
      <c r="AB13" s="219">
        <f t="shared" si="53"/>
        <v>0.24651239051599705</v>
      </c>
      <c r="AC13" s="219">
        <f t="shared" si="53"/>
        <v>1.512311367294541</v>
      </c>
      <c r="AD13" s="219">
        <f t="shared" si="53"/>
        <v>0.6303850903799425</v>
      </c>
      <c r="AE13" s="219">
        <f t="shared" si="53"/>
        <v>0.30617711566703659</v>
      </c>
      <c r="AF13" s="219">
        <f t="shared" si="53"/>
        <v>0.11106287252821669</v>
      </c>
      <c r="AG13" s="219">
        <f t="shared" si="53"/>
        <v>0.22976636471862352</v>
      </c>
      <c r="AH13" s="219">
        <f t="shared" si="53"/>
        <v>0.38578401401794105</v>
      </c>
      <c r="AI13" s="219" t="e">
        <f t="shared" si="53"/>
        <v>#DIV/0!</v>
      </c>
      <c r="AJ13" s="219" t="e">
        <f t="shared" si="53"/>
        <v>#DIV/0!</v>
      </c>
      <c r="AK13" s="219" t="e">
        <f t="shared" si="53"/>
        <v>#DIV/0!</v>
      </c>
      <c r="AL13" s="219" t="e">
        <f t="shared" si="53"/>
        <v>#DIV/0!</v>
      </c>
      <c r="AM13" s="219">
        <f t="shared" si="53"/>
        <v>2.7727979796801677E-3</v>
      </c>
      <c r="AN13" s="219">
        <f t="shared" si="53"/>
        <v>2.8862206028003618E-2</v>
      </c>
      <c r="AO13" s="219">
        <f t="shared" si="53"/>
        <v>4.2269359074291434E-3</v>
      </c>
      <c r="AP13" s="219">
        <f t="shared" si="53"/>
        <v>0</v>
      </c>
      <c r="AQ13" s="219">
        <f t="shared" si="53"/>
        <v>-2.7709128345900485E-2</v>
      </c>
      <c r="AR13" s="219">
        <f t="shared" si="53"/>
        <v>7.8035645681340682E-4</v>
      </c>
    </row>
    <row r="14" spans="1:74" s="48" customFormat="1">
      <c r="A14" s="46" t="s">
        <v>293</v>
      </c>
    </row>
    <row r="15" spans="1:74" s="26" customFormat="1">
      <c r="A15" s="17" t="s">
        <v>313</v>
      </c>
      <c r="B15" s="189">
        <v>0</v>
      </c>
      <c r="C15" s="189">
        <v>0</v>
      </c>
      <c r="D15" s="189">
        <v>0</v>
      </c>
      <c r="E15" s="189">
        <v>13650022.09</v>
      </c>
      <c r="F15" s="189">
        <v>0</v>
      </c>
      <c r="G15" s="189">
        <v>0</v>
      </c>
      <c r="H15" s="189">
        <v>0</v>
      </c>
      <c r="I15" s="189">
        <v>132038041.7</v>
      </c>
      <c r="J15" s="189">
        <v>131059545.87</v>
      </c>
      <c r="K15" s="189">
        <v>-358177654.13</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c r="A16" s="17" t="s">
        <v>314</v>
      </c>
      <c r="B16" s="189">
        <v>0</v>
      </c>
      <c r="C16" s="189">
        <v>0</v>
      </c>
      <c r="D16" s="189">
        <v>0</v>
      </c>
      <c r="E16" s="189">
        <v>0</v>
      </c>
      <c r="F16" s="189">
        <v>0</v>
      </c>
      <c r="G16" s="189">
        <v>0</v>
      </c>
      <c r="H16" s="189">
        <v>0</v>
      </c>
      <c r="I16" s="189">
        <v>0</v>
      </c>
      <c r="J16" s="189">
        <v>443221991.94999999</v>
      </c>
      <c r="K16" s="189">
        <v>-4719881.26</v>
      </c>
      <c r="L16" s="189">
        <v>0</v>
      </c>
      <c r="M16" s="189">
        <v>0</v>
      </c>
      <c r="N16" s="189">
        <v>0</v>
      </c>
      <c r="O16" s="189">
        <v>0</v>
      </c>
      <c r="P16" s="189">
        <v>0</v>
      </c>
      <c r="Q16" s="189">
        <v>10200000</v>
      </c>
      <c r="R16" s="189">
        <v>0</v>
      </c>
      <c r="S16" s="189">
        <v>0</v>
      </c>
      <c r="T16" s="189">
        <v>0</v>
      </c>
      <c r="U16" s="189">
        <v>-10108672.210000001</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860000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c r="A17" s="135" t="s">
        <v>298</v>
      </c>
      <c r="E17" s="47">
        <f>E16-E15</f>
        <v>-13650022.09</v>
      </c>
      <c r="F17" s="47">
        <f t="shared" ref="F17:AV17" si="54">F16-F15</f>
        <v>0</v>
      </c>
      <c r="G17" s="47">
        <f t="shared" si="54"/>
        <v>0</v>
      </c>
      <c r="H17" s="47">
        <f t="shared" si="54"/>
        <v>0</v>
      </c>
      <c r="I17" s="47">
        <f t="shared" si="54"/>
        <v>-132038041.7</v>
      </c>
      <c r="J17" s="47">
        <f t="shared" si="54"/>
        <v>312162446.07999998</v>
      </c>
      <c r="K17" s="47">
        <f t="shared" si="54"/>
        <v>353457772.87</v>
      </c>
      <c r="L17" s="47">
        <f t="shared" si="54"/>
        <v>0</v>
      </c>
      <c r="M17" s="47">
        <f t="shared" si="54"/>
        <v>0</v>
      </c>
      <c r="N17" s="47">
        <f t="shared" si="54"/>
        <v>0</v>
      </c>
      <c r="O17" s="47">
        <f t="shared" si="54"/>
        <v>0</v>
      </c>
      <c r="P17" s="47">
        <f t="shared" si="54"/>
        <v>0</v>
      </c>
      <c r="Q17" s="47">
        <f t="shared" si="54"/>
        <v>10200000</v>
      </c>
      <c r="R17" s="47">
        <f t="shared" si="54"/>
        <v>0</v>
      </c>
      <c r="S17" s="47">
        <f t="shared" si="54"/>
        <v>0</v>
      </c>
      <c r="T17" s="47">
        <f t="shared" si="54"/>
        <v>0</v>
      </c>
      <c r="U17" s="47">
        <f t="shared" si="54"/>
        <v>-10108672.210000001</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860000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c r="A18" s="46" t="s">
        <v>294</v>
      </c>
    </row>
    <row r="19" spans="1:74" s="192" customFormat="1">
      <c r="A19" s="192" t="s">
        <v>299</v>
      </c>
      <c r="E19" s="192">
        <f>E5+E17</f>
        <v>320913558.17000002</v>
      </c>
      <c r="F19" s="192">
        <f t="shared" ref="F19:AS19" si="55">F5+F17</f>
        <v>250403020.43000001</v>
      </c>
      <c r="G19" s="192">
        <f t="shared" si="55"/>
        <v>194815089.40000001</v>
      </c>
      <c r="H19" s="192">
        <f t="shared" si="55"/>
        <v>115782955.95</v>
      </c>
      <c r="I19" s="192">
        <f t="shared" si="55"/>
        <v>245450737.38999999</v>
      </c>
      <c r="J19" s="192">
        <f t="shared" si="55"/>
        <v>707903552.16999996</v>
      </c>
      <c r="K19" s="192">
        <f t="shared" si="55"/>
        <v>601137190.96000004</v>
      </c>
      <c r="L19" s="192">
        <f t="shared" si="55"/>
        <v>101954067.90000001</v>
      </c>
      <c r="M19" s="192">
        <f t="shared" si="55"/>
        <v>214603747.36000001</v>
      </c>
      <c r="N19" s="192">
        <f t="shared" si="55"/>
        <v>268817991.49000001</v>
      </c>
      <c r="O19" s="192">
        <f t="shared" si="55"/>
        <v>225814948.5</v>
      </c>
      <c r="P19" s="192">
        <f t="shared" si="55"/>
        <v>74957107.560000002</v>
      </c>
      <c r="Q19" s="192">
        <f t="shared" si="55"/>
        <v>278131559.87</v>
      </c>
      <c r="R19" s="192">
        <f t="shared" si="55"/>
        <v>523384154.39999998</v>
      </c>
      <c r="S19" s="192">
        <f t="shared" si="55"/>
        <v>666503735.16999996</v>
      </c>
      <c r="T19" s="192">
        <f t="shared" si="55"/>
        <v>239749428.38999999</v>
      </c>
      <c r="U19" s="192">
        <f t="shared" si="55"/>
        <v>1872773244.3</v>
      </c>
      <c r="V19" s="192">
        <f t="shared" si="55"/>
        <v>1717859339.8499999</v>
      </c>
      <c r="W19" s="192">
        <f t="shared" si="55"/>
        <v>1049592024.14</v>
      </c>
      <c r="X19" s="192">
        <f t="shared" si="55"/>
        <v>638731831.25999999</v>
      </c>
      <c r="Y19" s="192">
        <f t="shared" si="55"/>
        <v>806143207.72000003</v>
      </c>
      <c r="Z19" s="192">
        <f t="shared" si="55"/>
        <v>394091071.70999998</v>
      </c>
      <c r="AA19" s="192">
        <f t="shared" si="55"/>
        <v>207442239.81</v>
      </c>
      <c r="AB19" s="192">
        <f t="shared" si="55"/>
        <v>81673224.659999996</v>
      </c>
      <c r="AC19" s="192">
        <f t="shared" si="55"/>
        <v>520348782.18000001</v>
      </c>
      <c r="AD19" s="192">
        <f t="shared" si="55"/>
        <v>181550134.81</v>
      </c>
      <c r="AE19" s="192">
        <f t="shared" si="55"/>
        <v>99012902.340000004</v>
      </c>
      <c r="AF19" s="192">
        <f t="shared" si="55"/>
        <v>31454681.09</v>
      </c>
      <c r="AG19" s="192">
        <f t="shared" si="55"/>
        <v>69823201.879999995</v>
      </c>
      <c r="AH19" s="192">
        <f t="shared" si="55"/>
        <v>57045578.780000001</v>
      </c>
      <c r="AI19" s="192">
        <f t="shared" si="55"/>
        <v>19909760.879999999</v>
      </c>
      <c r="AJ19" s="192">
        <f t="shared" si="55"/>
        <v>6374936.8700000001</v>
      </c>
      <c r="AK19" s="192">
        <f t="shared" si="55"/>
        <v>15681648.710000001</v>
      </c>
      <c r="AL19" s="192">
        <f t="shared" si="55"/>
        <v>8588864.2400000002</v>
      </c>
      <c r="AM19" s="192">
        <f t="shared" si="55"/>
        <v>13712869.66</v>
      </c>
      <c r="AN19" s="192">
        <f t="shared" si="55"/>
        <v>151248382.75999999</v>
      </c>
      <c r="AO19" s="192">
        <f t="shared" si="55"/>
        <v>27849507.280000001</v>
      </c>
      <c r="AP19" s="192">
        <f t="shared" si="55"/>
        <v>0</v>
      </c>
      <c r="AQ19" s="192">
        <f t="shared" si="55"/>
        <v>73812764.530000001</v>
      </c>
      <c r="AR19" s="192">
        <f t="shared" si="55"/>
        <v>4081063.05</v>
      </c>
      <c r="AS19" s="192">
        <f t="shared" si="55"/>
        <v>0</v>
      </c>
    </row>
    <row r="20" spans="1:74" s="192" customFormat="1">
      <c r="A20" s="192" t="s">
        <v>300</v>
      </c>
      <c r="B20" s="192">
        <v>2073670430.54</v>
      </c>
      <c r="C20" s="192">
        <v>635898689.58000004</v>
      </c>
      <c r="D20" s="192">
        <v>300428948.22000003</v>
      </c>
      <c r="E20" s="192">
        <v>3661761690.5700002</v>
      </c>
      <c r="F20" s="192">
        <v>2250366666.8200002</v>
      </c>
      <c r="G20" s="192">
        <v>1759679972.95</v>
      </c>
      <c r="H20" s="192">
        <v>1141384861.8800001</v>
      </c>
      <c r="I20" s="192">
        <v>-47582840.780000001</v>
      </c>
      <c r="J20" s="192">
        <v>336188130.79000002</v>
      </c>
      <c r="K20" s="192">
        <v>262117929.06999999</v>
      </c>
      <c r="L20" s="192">
        <v>222761060.78</v>
      </c>
      <c r="M20" s="192">
        <v>906538876.46000004</v>
      </c>
      <c r="N20" s="192">
        <v>388686363.80000001</v>
      </c>
      <c r="O20" s="192">
        <v>354172187.81</v>
      </c>
      <c r="P20" s="192">
        <v>139161454.44</v>
      </c>
      <c r="Q20" s="192">
        <v>429685348.39999998</v>
      </c>
      <c r="R20" s="192">
        <v>296848457.61000001</v>
      </c>
      <c r="S20" s="192">
        <v>256607295.25999999</v>
      </c>
      <c r="T20" s="192">
        <v>103475604.77</v>
      </c>
      <c r="U20" s="192">
        <v>225523563</v>
      </c>
      <c r="V20" s="192">
        <v>230773972.19999999</v>
      </c>
      <c r="W20" s="192">
        <v>201487576.16999999</v>
      </c>
      <c r="X20" s="192">
        <v>69957359.090000004</v>
      </c>
      <c r="Y20" s="192">
        <v>272807541.54000002</v>
      </c>
      <c r="Z20" s="192">
        <v>114090966.87</v>
      </c>
      <c r="AA20" s="192">
        <v>76014690.170000002</v>
      </c>
      <c r="AB20" s="192">
        <v>53866496.350000001</v>
      </c>
      <c r="AC20" s="192">
        <v>160817596.75999999</v>
      </c>
      <c r="AD20" s="192">
        <v>60339410.619999997</v>
      </c>
      <c r="AE20" s="192">
        <v>75277360.269999996</v>
      </c>
      <c r="AF20" s="192">
        <v>11934666.84</v>
      </c>
      <c r="AG20" s="192">
        <v>109095509.63</v>
      </c>
      <c r="AH20" s="192">
        <v>46980978.009999998</v>
      </c>
      <c r="AI20" s="192">
        <v>8100884.7000000002</v>
      </c>
      <c r="AJ20" s="192">
        <v>10930452.949999999</v>
      </c>
      <c r="AK20" s="192">
        <v>46079900.420000002</v>
      </c>
      <c r="AL20" s="192">
        <v>22746886.75</v>
      </c>
      <c r="AM20" s="192">
        <v>26587597.43</v>
      </c>
      <c r="AN20" s="192">
        <v>34791336.369999997</v>
      </c>
      <c r="AO20" s="192">
        <v>3978633.08</v>
      </c>
      <c r="AP20" s="192">
        <v>0</v>
      </c>
      <c r="AQ20" s="192">
        <v>1196792212.5999999</v>
      </c>
      <c r="AR20" s="192">
        <v>1171946368.1099999</v>
      </c>
      <c r="AS20" s="192">
        <v>1665545943.71</v>
      </c>
      <c r="AT20" s="192">
        <v>2089846017.8800001</v>
      </c>
      <c r="AU20" s="192">
        <v>1599888081.8099999</v>
      </c>
      <c r="AV20" s="192">
        <v>1055798280.0700001</v>
      </c>
      <c r="AW20" s="192">
        <v>1336270367.45</v>
      </c>
      <c r="AX20" s="192">
        <v>1192408273.4000001</v>
      </c>
      <c r="AY20" s="192">
        <v>889923241.13999999</v>
      </c>
      <c r="AZ20" s="192">
        <v>788427165.83000004</v>
      </c>
      <c r="BA20" s="192">
        <v>1252717668.0899999</v>
      </c>
      <c r="BB20" s="192">
        <v>807940999.38999999</v>
      </c>
      <c r="BC20" s="192">
        <v>713289532.66999996</v>
      </c>
      <c r="BD20" s="192">
        <v>410809880.20999998</v>
      </c>
      <c r="BE20" s="192">
        <v>821693394.29999995</v>
      </c>
      <c r="BF20" s="192">
        <v>845972023.45000005</v>
      </c>
      <c r="BG20" s="192">
        <v>673455379.76999998</v>
      </c>
      <c r="BH20" s="192">
        <v>959479476.41999996</v>
      </c>
      <c r="BI20" s="192">
        <v>1044659243.4</v>
      </c>
      <c r="BJ20" s="192">
        <v>796479775.66999996</v>
      </c>
      <c r="BK20" s="192">
        <v>324143510.37</v>
      </c>
      <c r="BL20" s="192">
        <v>233531826.72</v>
      </c>
      <c r="BM20" s="192">
        <v>1053290717.92</v>
      </c>
      <c r="BN20" s="192">
        <v>513631576.39999998</v>
      </c>
      <c r="BO20" s="192">
        <v>1073187941.83</v>
      </c>
      <c r="BP20" s="192">
        <v>259841859.31999999</v>
      </c>
      <c r="BQ20" s="192">
        <v>1294995783.27</v>
      </c>
      <c r="BR20" s="192">
        <v>527169463.72000003</v>
      </c>
      <c r="BS20" s="192">
        <v>898446895.69000006</v>
      </c>
      <c r="BT20" s="192">
        <v>436278873.26999998</v>
      </c>
      <c r="BU20" s="192">
        <v>359005459.04000002</v>
      </c>
      <c r="BV20" s="192">
        <v>0</v>
      </c>
    </row>
    <row r="21" spans="1:74" s="220" customFormat="1">
      <c r="A21" s="220" t="s">
        <v>665</v>
      </c>
      <c r="E21" s="220">
        <f>E20/E19</f>
        <v>11.410429996947112</v>
      </c>
      <c r="F21" s="220">
        <f t="shared" ref="F21:AS21" si="56">F20/F19</f>
        <v>8.9869789228404642</v>
      </c>
      <c r="G21" s="220">
        <f t="shared" si="56"/>
        <v>9.0325650768097017</v>
      </c>
      <c r="H21" s="220">
        <f t="shared" si="56"/>
        <v>9.8579696166411459</v>
      </c>
      <c r="I21" s="220">
        <f t="shared" si="56"/>
        <v>-0.19385902558685322</v>
      </c>
      <c r="J21" s="220">
        <f t="shared" si="56"/>
        <v>0.47490668716021062</v>
      </c>
      <c r="K21" s="220">
        <f t="shared" si="56"/>
        <v>0.43603678663002809</v>
      </c>
      <c r="L21" s="220">
        <f t="shared" si="56"/>
        <v>2.1849158681779288</v>
      </c>
      <c r="M21" s="220">
        <f t="shared" si="56"/>
        <v>4.2242453247532143</v>
      </c>
      <c r="N21" s="220">
        <f t="shared" si="56"/>
        <v>1.4459090392186755</v>
      </c>
      <c r="O21" s="220">
        <f t="shared" si="56"/>
        <v>1.5684178136240614</v>
      </c>
      <c r="P21" s="220">
        <f t="shared" si="56"/>
        <v>1.8565478174115393</v>
      </c>
      <c r="Q21" s="220">
        <f t="shared" si="56"/>
        <v>1.5448996460554025</v>
      </c>
      <c r="R21" s="220">
        <f t="shared" si="56"/>
        <v>0.56717127393797928</v>
      </c>
      <c r="S21" s="220">
        <f t="shared" si="56"/>
        <v>0.3850050370603687</v>
      </c>
      <c r="T21" s="220">
        <f t="shared" si="56"/>
        <v>0.43159896340472775</v>
      </c>
      <c r="U21" s="220">
        <f t="shared" si="56"/>
        <v>0.12042224742712809</v>
      </c>
      <c r="V21" s="220">
        <f t="shared" si="56"/>
        <v>0.13433810722835474</v>
      </c>
      <c r="W21" s="220">
        <f t="shared" si="56"/>
        <v>0.19196751836514006</v>
      </c>
      <c r="X21" s="220">
        <f t="shared" si="56"/>
        <v>0.10952539965324415</v>
      </c>
      <c r="Y21" s="220">
        <f t="shared" si="56"/>
        <v>0.33841076737665082</v>
      </c>
      <c r="Z21" s="220">
        <f t="shared" si="56"/>
        <v>0.28950406406049256</v>
      </c>
      <c r="AA21" s="220">
        <f t="shared" si="56"/>
        <v>0.36643785874864826</v>
      </c>
      <c r="AB21" s="220">
        <f t="shared" si="56"/>
        <v>0.65953678912816915</v>
      </c>
      <c r="AC21" s="220">
        <f t="shared" si="56"/>
        <v>0.30905731360848976</v>
      </c>
      <c r="AD21" s="220">
        <f t="shared" si="56"/>
        <v>0.33235673817123723</v>
      </c>
      <c r="AE21" s="220">
        <f t="shared" si="56"/>
        <v>0.76027829192912022</v>
      </c>
      <c r="AF21" s="220">
        <f t="shared" si="56"/>
        <v>0.37942418827429286</v>
      </c>
      <c r="AG21" s="220">
        <f t="shared" si="56"/>
        <v>1.5624535497168179</v>
      </c>
      <c r="AH21" s="220">
        <f t="shared" si="56"/>
        <v>0.82356913567631962</v>
      </c>
      <c r="AI21" s="220">
        <f t="shared" si="56"/>
        <v>0.40688005992767107</v>
      </c>
      <c r="AJ21" s="220">
        <f t="shared" si="56"/>
        <v>1.7145978341272576</v>
      </c>
      <c r="AK21" s="220">
        <f t="shared" si="56"/>
        <v>2.9384601882208594</v>
      </c>
      <c r="AL21" s="220">
        <f t="shared" si="56"/>
        <v>2.6484161484429283</v>
      </c>
      <c r="AM21" s="220">
        <f t="shared" si="56"/>
        <v>1.9388791762205082</v>
      </c>
      <c r="AN21" s="220">
        <f t="shared" si="56"/>
        <v>0.23002782400130967</v>
      </c>
      <c r="AO21" s="220">
        <f t="shared" si="56"/>
        <v>0.14286188405412967</v>
      </c>
      <c r="AP21" s="220" t="e">
        <f t="shared" si="56"/>
        <v>#DIV/0!</v>
      </c>
      <c r="AQ21" s="220">
        <f t="shared" si="56"/>
        <v>16.213892274873178</v>
      </c>
      <c r="AR21" s="220">
        <f t="shared" si="56"/>
        <v>287.16693512245541</v>
      </c>
      <c r="AS21" s="220" t="e">
        <f t="shared" si="56"/>
        <v>#DIV/0!</v>
      </c>
    </row>
    <row r="22" spans="1:74" s="192" customFormat="1">
      <c r="A22" s="192" t="s">
        <v>301</v>
      </c>
      <c r="E22" s="192">
        <f>I35</f>
        <v>15765188074.299999</v>
      </c>
      <c r="F22" s="192">
        <f t="shared" ref="F22:Y22" si="57">J35</f>
        <v>15716087361.67</v>
      </c>
      <c r="G22" s="192">
        <f t="shared" si="57"/>
        <v>10648121818.280001</v>
      </c>
      <c r="H22" s="192">
        <f t="shared" si="57"/>
        <v>10700181034.92</v>
      </c>
      <c r="I22" s="192">
        <f t="shared" si="57"/>
        <v>10133151907</v>
      </c>
      <c r="J22" s="192">
        <f t="shared" si="57"/>
        <v>6611834940.04</v>
      </c>
      <c r="K22" s="192">
        <f t="shared" si="57"/>
        <v>5444212539.9099998</v>
      </c>
      <c r="L22" s="192">
        <f t="shared" si="57"/>
        <v>4069518701.1599998</v>
      </c>
      <c r="M22" s="192">
        <f t="shared" si="57"/>
        <v>4195000780.1000004</v>
      </c>
      <c r="N22" s="192">
        <f t="shared" si="57"/>
        <v>3821607434.6199999</v>
      </c>
      <c r="O22" s="192">
        <f t="shared" si="57"/>
        <v>2796391151.8499999</v>
      </c>
      <c r="P22" s="192">
        <f t="shared" si="57"/>
        <v>2323949894.6599998</v>
      </c>
      <c r="Q22" s="192">
        <f t="shared" si="57"/>
        <v>2675386027.0700002</v>
      </c>
      <c r="R22" s="192">
        <f t="shared" si="57"/>
        <v>2584698785.8200002</v>
      </c>
      <c r="S22" s="192">
        <f t="shared" si="57"/>
        <v>2644577589.6799998</v>
      </c>
      <c r="T22" s="192">
        <f t="shared" si="57"/>
        <v>2751523259.3800001</v>
      </c>
      <c r="U22" s="192">
        <f t="shared" si="57"/>
        <v>3445629597.9899998</v>
      </c>
      <c r="V22" s="192">
        <f t="shared" si="57"/>
        <v>2569228947.27</v>
      </c>
      <c r="W22" s="192">
        <f t="shared" si="57"/>
        <v>2244750389.1300001</v>
      </c>
      <c r="X22" s="192">
        <f t="shared" si="57"/>
        <v>680514715.74000001</v>
      </c>
      <c r="Y22" s="192">
        <f t="shared" si="57"/>
        <v>683957407.77999997</v>
      </c>
      <c r="Z22" s="192">
        <f t="shared" ref="Z22" si="58">AD35</f>
        <v>742879369.25999999</v>
      </c>
      <c r="AA22" s="192">
        <f t="shared" ref="AA22" si="59">AE35</f>
        <v>782365552.09000003</v>
      </c>
      <c r="AB22" s="192">
        <f t="shared" ref="AB22" si="60">AF35</f>
        <v>704850866.16999996</v>
      </c>
      <c r="AC22" s="192">
        <f t="shared" ref="AC22" si="61">AG35</f>
        <v>681329153</v>
      </c>
      <c r="AD22" s="192">
        <f t="shared" ref="AD22" si="62">AH35</f>
        <v>572976767.17000008</v>
      </c>
      <c r="AE22" s="192">
        <f t="shared" ref="AE22" si="63">AI35</f>
        <v>176269199.97</v>
      </c>
      <c r="AF22" s="192">
        <f t="shared" ref="AF22" si="64">AJ35</f>
        <v>178717039.56</v>
      </c>
      <c r="AG22" s="192">
        <f t="shared" ref="AG22" si="65">AK35</f>
        <v>46297574.269999996</v>
      </c>
      <c r="AH22" s="192">
        <f t="shared" ref="AH22" si="66">AL35</f>
        <v>53516466.599999994</v>
      </c>
      <c r="AI22" s="192">
        <f t="shared" ref="AI22" si="67">AM35</f>
        <v>0</v>
      </c>
      <c r="AJ22" s="192">
        <f t="shared" ref="AJ22" si="68">AN35</f>
        <v>0</v>
      </c>
      <c r="AK22" s="192">
        <f t="shared" ref="AK22" si="69">AO35</f>
        <v>0</v>
      </c>
      <c r="AL22" s="192">
        <f t="shared" ref="AL22" si="70">AP35</f>
        <v>0</v>
      </c>
      <c r="AM22" s="192">
        <f t="shared" ref="AM22" si="71">AQ35</f>
        <v>0</v>
      </c>
      <c r="AN22" s="192">
        <f t="shared" ref="AN22" si="72">AR35</f>
        <v>0</v>
      </c>
      <c r="AO22" s="192">
        <f t="shared" ref="AO22" si="73">AS35</f>
        <v>0</v>
      </c>
      <c r="AP22" s="192">
        <f t="shared" ref="AP22" si="74">AT35</f>
        <v>0</v>
      </c>
      <c r="AQ22" s="192">
        <f t="shared" ref="AQ22" si="75">AU35</f>
        <v>0</v>
      </c>
      <c r="AR22" s="192">
        <f t="shared" ref="AR22" si="76">AV35</f>
        <v>0</v>
      </c>
      <c r="AS22" s="192">
        <f t="shared" ref="AS22" si="77">AW35</f>
        <v>0</v>
      </c>
    </row>
    <row r="23" spans="1:74" s="192" customFormat="1">
      <c r="A23" s="192" t="s">
        <v>302</v>
      </c>
      <c r="E23" s="192">
        <f>E20+E22-E19</f>
        <v>19106036206.700001</v>
      </c>
      <c r="F23" s="192">
        <f t="shared" ref="F23:AS23" si="78">F20+F22-F19</f>
        <v>17716051008.060001</v>
      </c>
      <c r="G23" s="192">
        <f t="shared" si="78"/>
        <v>12212986701.830002</v>
      </c>
      <c r="H23" s="192">
        <f t="shared" si="78"/>
        <v>11725782940.849998</v>
      </c>
      <c r="I23" s="192">
        <f t="shared" si="78"/>
        <v>9840118328.8299999</v>
      </c>
      <c r="J23" s="192">
        <f t="shared" si="78"/>
        <v>6240119518.6599998</v>
      </c>
      <c r="K23" s="192">
        <f t="shared" si="78"/>
        <v>5105193278.0199995</v>
      </c>
      <c r="L23" s="192">
        <f t="shared" si="78"/>
        <v>4190325694.04</v>
      </c>
      <c r="M23" s="192">
        <f t="shared" si="78"/>
        <v>4886935909.2000008</v>
      </c>
      <c r="N23" s="192">
        <f t="shared" si="78"/>
        <v>3941475806.9300003</v>
      </c>
      <c r="O23" s="192">
        <f t="shared" si="78"/>
        <v>2924748391.1599998</v>
      </c>
      <c r="P23" s="192">
        <f t="shared" si="78"/>
        <v>2388154241.54</v>
      </c>
      <c r="Q23" s="192">
        <f t="shared" si="78"/>
        <v>2826939815.6000004</v>
      </c>
      <c r="R23" s="192">
        <f t="shared" si="78"/>
        <v>2358163089.0300002</v>
      </c>
      <c r="S23" s="192">
        <f t="shared" si="78"/>
        <v>2234681149.7699995</v>
      </c>
      <c r="T23" s="192">
        <f t="shared" si="78"/>
        <v>2615249435.7600002</v>
      </c>
      <c r="U23" s="192">
        <f t="shared" si="78"/>
        <v>1798379916.6899998</v>
      </c>
      <c r="V23" s="192">
        <f t="shared" si="78"/>
        <v>1082143579.6199999</v>
      </c>
      <c r="W23" s="192">
        <f t="shared" si="78"/>
        <v>1396645941.1600003</v>
      </c>
      <c r="X23" s="192">
        <f t="shared" si="78"/>
        <v>111740243.57000005</v>
      </c>
      <c r="Y23" s="192">
        <f t="shared" si="78"/>
        <v>150621741.5999999</v>
      </c>
      <c r="Z23" s="192">
        <f t="shared" si="78"/>
        <v>462879264.42000002</v>
      </c>
      <c r="AA23" s="192">
        <f t="shared" si="78"/>
        <v>650938002.45000005</v>
      </c>
      <c r="AB23" s="192">
        <f t="shared" si="78"/>
        <v>677044137.86000001</v>
      </c>
      <c r="AC23" s="192">
        <f t="shared" si="78"/>
        <v>321797967.57999998</v>
      </c>
      <c r="AD23" s="192">
        <f t="shared" si="78"/>
        <v>451766042.98000008</v>
      </c>
      <c r="AE23" s="192">
        <f t="shared" si="78"/>
        <v>152533657.90000001</v>
      </c>
      <c r="AF23" s="192">
        <f t="shared" si="78"/>
        <v>159197025.31</v>
      </c>
      <c r="AG23" s="192">
        <f t="shared" si="78"/>
        <v>85569882.019999981</v>
      </c>
      <c r="AH23" s="192">
        <f t="shared" si="78"/>
        <v>43451865.829999983</v>
      </c>
      <c r="AI23" s="192">
        <f t="shared" si="78"/>
        <v>-11808876.18</v>
      </c>
      <c r="AJ23" s="192">
        <f t="shared" si="78"/>
        <v>4555516.0799999991</v>
      </c>
      <c r="AK23" s="192">
        <f t="shared" si="78"/>
        <v>30398251.710000001</v>
      </c>
      <c r="AL23" s="192">
        <f t="shared" si="78"/>
        <v>14158022.51</v>
      </c>
      <c r="AM23" s="192">
        <f t="shared" si="78"/>
        <v>12874727.77</v>
      </c>
      <c r="AN23" s="192">
        <f t="shared" si="78"/>
        <v>-116457046.38999999</v>
      </c>
      <c r="AO23" s="192">
        <f t="shared" si="78"/>
        <v>-23870874.200000003</v>
      </c>
      <c r="AP23" s="192">
        <f t="shared" si="78"/>
        <v>0</v>
      </c>
      <c r="AQ23" s="192">
        <f t="shared" si="78"/>
        <v>1122979448.0699999</v>
      </c>
      <c r="AR23" s="192">
        <f t="shared" si="78"/>
        <v>1167865305.0599999</v>
      </c>
      <c r="AS23" s="192">
        <f t="shared" si="78"/>
        <v>1665545943.71</v>
      </c>
    </row>
    <row r="24" spans="1:74" s="220" customFormat="1">
      <c r="A24" s="220" t="s">
        <v>303</v>
      </c>
      <c r="B24" s="192">
        <v>-2556673966.6799998</v>
      </c>
      <c r="C24" s="192">
        <v>-231378689.34999999</v>
      </c>
      <c r="D24" s="192">
        <v>1335656098.77</v>
      </c>
      <c r="E24" s="192">
        <v>4813786270.5699997</v>
      </c>
      <c r="F24" s="192">
        <v>4982660481.9200001</v>
      </c>
      <c r="G24" s="192">
        <v>3165623144.8200002</v>
      </c>
      <c r="H24" s="192">
        <v>1382690866.96</v>
      </c>
      <c r="I24" s="192">
        <v>5707642333.1899996</v>
      </c>
      <c r="J24" s="192">
        <v>6041930540.4399996</v>
      </c>
      <c r="K24" s="192">
        <v>795121908.09000003</v>
      </c>
      <c r="L24" s="192">
        <v>481665717.58999997</v>
      </c>
      <c r="M24" s="192">
        <v>5089201791.3699999</v>
      </c>
      <c r="N24" s="192">
        <v>2103974185.1700001</v>
      </c>
      <c r="O24" s="192">
        <v>1021730313.51</v>
      </c>
      <c r="P24" s="192">
        <v>-185640450.52000001</v>
      </c>
      <c r="Q24" s="192">
        <v>1071418061.0599999</v>
      </c>
      <c r="R24" s="192">
        <v>1373057474.3900001</v>
      </c>
      <c r="S24" s="192">
        <v>530137739.38999999</v>
      </c>
      <c r="T24" s="192">
        <v>-214193898.97999999</v>
      </c>
      <c r="U24" s="192">
        <v>875902096.01999998</v>
      </c>
      <c r="V24" s="192">
        <v>627064919.97000003</v>
      </c>
      <c r="W24" s="192">
        <v>47512766.490000002</v>
      </c>
      <c r="X24" s="192">
        <v>-116789886.40000001</v>
      </c>
      <c r="Y24" s="192">
        <v>3296004410.8099999</v>
      </c>
      <c r="Z24" s="192">
        <v>2166213073.3400002</v>
      </c>
      <c r="AA24" s="192">
        <v>1692914574</v>
      </c>
      <c r="AB24" s="192">
        <v>24541867.050000001</v>
      </c>
      <c r="AC24" s="192">
        <v>385123053.72000003</v>
      </c>
      <c r="AD24" s="192">
        <v>204936359.08000001</v>
      </c>
      <c r="AE24" s="192">
        <v>167891029.46000001</v>
      </c>
      <c r="AF24" s="192">
        <v>60116783.049999997</v>
      </c>
      <c r="AG24" s="192">
        <v>464064222.18000001</v>
      </c>
      <c r="AH24" s="192">
        <v>404576680.25999999</v>
      </c>
      <c r="AI24" s="192">
        <v>9779008.9199999999</v>
      </c>
      <c r="AJ24" s="192">
        <v>36773330.18</v>
      </c>
      <c r="AK24" s="192">
        <v>74868178.849999994</v>
      </c>
      <c r="AL24" s="192">
        <v>76827424.629999995</v>
      </c>
      <c r="AM24" s="192">
        <v>41712355.780000001</v>
      </c>
      <c r="AN24" s="192">
        <v>110081498.03</v>
      </c>
      <c r="AO24" s="192">
        <v>63480210.68</v>
      </c>
      <c r="AP24" s="192">
        <v>0</v>
      </c>
      <c r="AQ24" s="192">
        <v>0</v>
      </c>
      <c r="AR24" s="192">
        <v>0</v>
      </c>
      <c r="AS24" s="192">
        <v>-147684288</v>
      </c>
      <c r="AT24" s="192">
        <v>-11287580.49</v>
      </c>
      <c r="AU24" s="192">
        <v>-11287580.49</v>
      </c>
      <c r="AV24" s="192">
        <v>0</v>
      </c>
      <c r="AW24" s="192">
        <v>-271140480</v>
      </c>
      <c r="AX24" s="192">
        <v>-265331306.06</v>
      </c>
      <c r="AY24" s="192">
        <v>-220552618.06</v>
      </c>
      <c r="AZ24" s="192">
        <v>0</v>
      </c>
      <c r="BA24" s="192">
        <v>0</v>
      </c>
      <c r="BB24" s="192">
        <v>0</v>
      </c>
      <c r="BC24" s="192">
        <v>0</v>
      </c>
      <c r="BD24" s="192">
        <v>0</v>
      </c>
      <c r="BE24" s="192">
        <v>-268690480</v>
      </c>
      <c r="BF24" s="192">
        <v>-271140480</v>
      </c>
      <c r="BG24" s="192">
        <v>-271140480</v>
      </c>
      <c r="BH24" s="192">
        <v>0</v>
      </c>
      <c r="BI24" s="192">
        <v>-15606000</v>
      </c>
      <c r="BJ24" s="192">
        <v>0</v>
      </c>
      <c r="BK24" s="192">
        <v>0</v>
      </c>
      <c r="BL24" s="192">
        <v>0</v>
      </c>
      <c r="BM24" s="192">
        <v>-5320000</v>
      </c>
      <c r="BN24" s="192">
        <v>-6120000</v>
      </c>
      <c r="BO24" s="192">
        <v>562994338.32000005</v>
      </c>
      <c r="BP24" s="192">
        <v>613134338.32000005</v>
      </c>
      <c r="BQ24" s="192">
        <v>0</v>
      </c>
      <c r="BR24" s="192">
        <v>4623692.53</v>
      </c>
      <c r="BS24" s="192">
        <v>-400000000</v>
      </c>
      <c r="BT24" s="192">
        <v>-237866348.78</v>
      </c>
      <c r="BU24" s="192">
        <v>1108113819.7</v>
      </c>
      <c r="BV24" s="192">
        <v>0</v>
      </c>
    </row>
    <row r="25" spans="1:74" s="241" customFormat="1" ht="138.6" customHeight="1">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c r="A26" s="17" t="s">
        <v>629</v>
      </c>
      <c r="E26" s="26">
        <f>现金流量表!E15</f>
        <v>407944358.54000002</v>
      </c>
      <c r="F26" s="26">
        <f>现金流量表!F15</f>
        <v>360050000</v>
      </c>
      <c r="G26" s="26">
        <f>现金流量表!G15</f>
        <v>30000000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630</v>
      </c>
      <c r="E27" s="26">
        <f>现金流量表!E22</f>
        <v>8112057563.1400003</v>
      </c>
      <c r="F27" s="26">
        <f>现金流量表!F22</f>
        <v>2410171064.79</v>
      </c>
      <c r="G27" s="26">
        <f>现金流量表!G22</f>
        <v>748720000</v>
      </c>
      <c r="H27" s="26">
        <f>现金流量表!H22</f>
        <v>18000000</v>
      </c>
      <c r="I27" s="26">
        <f>现金流量表!I22</f>
        <v>332694980.45999998</v>
      </c>
      <c r="J27" s="26">
        <f>现金流量表!J22</f>
        <v>342962585.80000001</v>
      </c>
      <c r="K27" s="26">
        <f>现金流量表!K22</f>
        <v>329582000</v>
      </c>
      <c r="L27" s="26">
        <f>现金流量表!L22</f>
        <v>319082000</v>
      </c>
      <c r="M27" s="26">
        <f>现金流量表!M22</f>
        <v>153853913.52000001</v>
      </c>
      <c r="N27" s="26">
        <f>现金流量表!N22</f>
        <v>42140000</v>
      </c>
      <c r="O27" s="26">
        <f>现金流量表!O22</f>
        <v>3000000</v>
      </c>
      <c r="P27" s="26">
        <f>现金流量表!P22</f>
        <v>3000000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5000000</v>
      </c>
      <c r="AD27" s="26">
        <f>现金流量表!AD22</f>
        <v>5000000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29400000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631</v>
      </c>
      <c r="E28" s="26">
        <f>E27-E26</f>
        <v>7704113204.6000004</v>
      </c>
      <c r="F28" s="26">
        <f t="shared" ref="F28:BQ28" si="79">F27-F26</f>
        <v>2050121064.79</v>
      </c>
      <c r="G28" s="26">
        <f t="shared" si="79"/>
        <v>718720000</v>
      </c>
      <c r="H28" s="26">
        <f t="shared" si="79"/>
        <v>18000000</v>
      </c>
      <c r="I28" s="26">
        <f t="shared" si="79"/>
        <v>332694980.45999998</v>
      </c>
      <c r="J28" s="26">
        <f t="shared" si="79"/>
        <v>342962585.80000001</v>
      </c>
      <c r="K28" s="26">
        <f t="shared" si="79"/>
        <v>329582000</v>
      </c>
      <c r="L28" s="26">
        <f t="shared" si="79"/>
        <v>319082000</v>
      </c>
      <c r="M28" s="26">
        <f t="shared" si="79"/>
        <v>153853913.52000001</v>
      </c>
      <c r="N28" s="26">
        <f t="shared" si="79"/>
        <v>42140000</v>
      </c>
      <c r="O28" s="26">
        <f t="shared" si="79"/>
        <v>3000000</v>
      </c>
      <c r="P28" s="26">
        <f t="shared" si="79"/>
        <v>3000000</v>
      </c>
      <c r="Q28" s="26">
        <f t="shared" si="79"/>
        <v>0</v>
      </c>
      <c r="R28" s="26">
        <f t="shared" si="79"/>
        <v>0</v>
      </c>
      <c r="S28" s="26">
        <f t="shared" si="79"/>
        <v>0</v>
      </c>
      <c r="T28" s="26">
        <f t="shared" si="79"/>
        <v>0</v>
      </c>
      <c r="U28" s="26">
        <f t="shared" si="79"/>
        <v>0</v>
      </c>
      <c r="V28" s="26">
        <f t="shared" si="79"/>
        <v>0</v>
      </c>
      <c r="W28" s="26">
        <f t="shared" si="79"/>
        <v>0</v>
      </c>
      <c r="X28" s="26">
        <f t="shared" si="79"/>
        <v>0</v>
      </c>
      <c r="Y28" s="26">
        <f t="shared" si="79"/>
        <v>0</v>
      </c>
      <c r="Z28" s="26">
        <f t="shared" si="79"/>
        <v>0</v>
      </c>
      <c r="AA28" s="26">
        <f t="shared" si="79"/>
        <v>0</v>
      </c>
      <c r="AB28" s="26">
        <f t="shared" si="79"/>
        <v>0</v>
      </c>
      <c r="AC28" s="26">
        <f t="shared" si="79"/>
        <v>5000000</v>
      </c>
      <c r="AD28" s="26">
        <f t="shared" si="79"/>
        <v>5000000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29400000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149999999999999" customHeight="1">
      <c r="A29" s="180" t="s">
        <v>632</v>
      </c>
      <c r="E29" s="181" t="e">
        <f>POWER(E28/U28,1/5)-1</f>
        <v>#DIV/0!</v>
      </c>
    </row>
    <row r="30" spans="1:74" s="30" customFormat="1" ht="15" customHeight="1" thickBot="1">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39813</v>
      </c>
      <c r="AO30" s="1">
        <v>39447</v>
      </c>
      <c r="AP30" s="1">
        <v>25569</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45" customHeight="1">
      <c r="A31" s="111" t="s">
        <v>310</v>
      </c>
      <c r="B31" s="189">
        <v>11407196421.639999</v>
      </c>
      <c r="C31" s="189">
        <v>9674316719.4200001</v>
      </c>
      <c r="D31" s="189">
        <v>9198543991.0599995</v>
      </c>
      <c r="E31" s="189">
        <v>9128169921.8899994</v>
      </c>
      <c r="F31" s="189">
        <v>6948507970.1700001</v>
      </c>
      <c r="G31" s="189">
        <v>5245482479.9200001</v>
      </c>
      <c r="H31" s="189">
        <v>4750981697.8999996</v>
      </c>
      <c r="I31" s="189">
        <v>4649671662.8800001</v>
      </c>
      <c r="J31" s="189">
        <v>4684306491.0799999</v>
      </c>
      <c r="K31" s="189">
        <v>4510059225.7399998</v>
      </c>
      <c r="L31" s="189">
        <v>4717141965.4799995</v>
      </c>
      <c r="M31" s="189">
        <v>4280805534.0500002</v>
      </c>
      <c r="N31" s="189">
        <v>4250473176.9099998</v>
      </c>
      <c r="O31" s="189">
        <v>4198154118.3299999</v>
      </c>
      <c r="P31" s="189">
        <v>4049986029.48</v>
      </c>
      <c r="Q31" s="189">
        <v>4022429409.4000001</v>
      </c>
      <c r="R31" s="189">
        <v>4443739357.4099998</v>
      </c>
      <c r="S31" s="189">
        <v>4679757438.9399996</v>
      </c>
      <c r="T31" s="189">
        <v>4099165125.0999999</v>
      </c>
      <c r="U31" s="189">
        <v>3994892916.8200002</v>
      </c>
      <c r="V31" s="189">
        <v>3497793546.8400002</v>
      </c>
      <c r="W31" s="189">
        <v>2856914074.4200001</v>
      </c>
      <c r="X31" s="189">
        <v>1707150327.1800001</v>
      </c>
      <c r="Y31" s="189">
        <v>1657348348.98</v>
      </c>
      <c r="Z31" s="189">
        <v>965964763.53999996</v>
      </c>
      <c r="AA31" s="189">
        <v>934383454.77999997</v>
      </c>
      <c r="AB31" s="189">
        <v>888813004.13999999</v>
      </c>
      <c r="AC31" s="189">
        <v>728317539.48000002</v>
      </c>
      <c r="AD31" s="189">
        <v>362495205</v>
      </c>
      <c r="AE31" s="189">
        <v>335921632.41000003</v>
      </c>
      <c r="AF31" s="189">
        <v>331314886.39999998</v>
      </c>
      <c r="AG31" s="189">
        <v>331263757.91000003</v>
      </c>
      <c r="AH31" s="189">
        <v>287998776.58999997</v>
      </c>
      <c r="AI31" s="189">
        <v>282032524.70999998</v>
      </c>
      <c r="AJ31" s="189">
        <v>283215086.86000001</v>
      </c>
      <c r="AK31" s="189">
        <v>235565728.24000001</v>
      </c>
      <c r="AL31" s="189">
        <v>147869213.62</v>
      </c>
      <c r="AM31" s="189">
        <v>0</v>
      </c>
      <c r="AN31" s="189"/>
      <c r="AO31" s="189"/>
      <c r="AP31" s="189"/>
      <c r="AQ31" s="189">
        <v>4945499008.7600002</v>
      </c>
      <c r="AR31" s="189">
        <v>4983590367.6400003</v>
      </c>
      <c r="AS31" s="189">
        <v>5087759145.3900003</v>
      </c>
      <c r="AT31" s="189">
        <v>5119825755.0799999</v>
      </c>
      <c r="AU31" s="189">
        <v>5166324238.8199997</v>
      </c>
      <c r="AV31" s="189">
        <v>5229742144.5900002</v>
      </c>
      <c r="AW31" s="189">
        <v>5303368604.3599997</v>
      </c>
      <c r="AX31" s="189">
        <v>5412891640.3100004</v>
      </c>
      <c r="AY31" s="189">
        <v>5477269087.8599997</v>
      </c>
      <c r="AZ31" s="189">
        <v>5394582476.9899998</v>
      </c>
      <c r="BA31" s="189">
        <v>5501322858.9799995</v>
      </c>
      <c r="BB31" s="189">
        <v>5577867470.3299999</v>
      </c>
      <c r="BC31" s="189">
        <v>5696283898.6499996</v>
      </c>
      <c r="BD31" s="189">
        <v>5779603253.5100002</v>
      </c>
      <c r="BE31" s="189">
        <v>5840992847.29</v>
      </c>
      <c r="BF31" s="189">
        <v>5434316703.3800001</v>
      </c>
      <c r="BG31" s="189">
        <v>5519652065.3800001</v>
      </c>
      <c r="BH31" s="189">
        <v>5587811046.9799995</v>
      </c>
      <c r="BI31" s="189">
        <v>5587556850.7200003</v>
      </c>
      <c r="BJ31" s="189">
        <v>5175235607.8500004</v>
      </c>
      <c r="BK31" s="189">
        <v>4543535291.6599998</v>
      </c>
      <c r="BL31" s="189">
        <v>4478639735.0500002</v>
      </c>
      <c r="BM31" s="189">
        <v>4520776529.7700005</v>
      </c>
      <c r="BN31" s="189">
        <v>3620875395.5999999</v>
      </c>
      <c r="BO31" s="189">
        <v>3684993020.0500002</v>
      </c>
      <c r="BP31" s="189">
        <v>3523637936.8200002</v>
      </c>
      <c r="BQ31" s="189">
        <v>3558533656.5999999</v>
      </c>
      <c r="BR31" s="189">
        <v>0</v>
      </c>
      <c r="BS31" s="189">
        <v>3540915525.1199999</v>
      </c>
      <c r="BT31" s="189">
        <v>1786934979.5599999</v>
      </c>
      <c r="BU31" s="189">
        <v>1665815375.1099999</v>
      </c>
      <c r="BV31" s="189">
        <v>1686369507.6900001</v>
      </c>
    </row>
    <row r="32" spans="1:74" s="54" customFormat="1" ht="15" customHeight="1">
      <c r="A32" s="137" t="s">
        <v>311</v>
      </c>
      <c r="B32" s="189">
        <v>46883206.530000001</v>
      </c>
      <c r="C32" s="189">
        <v>46883206.530000001</v>
      </c>
      <c r="D32" s="189">
        <v>46883206.530000001</v>
      </c>
      <c r="E32" s="189">
        <v>46883206.530000001</v>
      </c>
      <c r="F32" s="189">
        <v>59160468.420000002</v>
      </c>
      <c r="G32" s="189">
        <v>59160468.420000002</v>
      </c>
      <c r="H32" s="189">
        <v>59160468.420000002</v>
      </c>
      <c r="I32" s="189">
        <v>59160468.420000002</v>
      </c>
      <c r="J32" s="189">
        <v>57714591.829999998</v>
      </c>
      <c r="K32" s="189">
        <v>52585542.289999999</v>
      </c>
      <c r="L32" s="189">
        <v>7032629.0999999996</v>
      </c>
      <c r="M32" s="189">
        <v>7032629.0999999996</v>
      </c>
      <c r="N32" s="189">
        <v>7032629.0999999996</v>
      </c>
      <c r="O32" s="189">
        <v>7032629.0999999996</v>
      </c>
      <c r="P32" s="189">
        <v>7032629.0999999996</v>
      </c>
      <c r="Q32" s="189">
        <v>7032629.0999999996</v>
      </c>
      <c r="R32" s="189">
        <v>7032629.0999999996</v>
      </c>
      <c r="S32" s="189">
        <v>7032629.0999999996</v>
      </c>
      <c r="T32" s="189">
        <v>7032629.0999999996</v>
      </c>
      <c r="U32" s="189">
        <v>7032629.0999999996</v>
      </c>
      <c r="V32" s="189">
        <v>1705272.48</v>
      </c>
      <c r="W32" s="189">
        <v>1705272.48</v>
      </c>
      <c r="X32" s="189">
        <v>1705272.48</v>
      </c>
      <c r="Y32" s="189">
        <v>1705272.48</v>
      </c>
      <c r="Z32" s="189">
        <v>1705272.48</v>
      </c>
      <c r="AA32" s="189">
        <v>1705272.48</v>
      </c>
      <c r="AB32" s="189">
        <v>1705272.48</v>
      </c>
      <c r="AC32" s="189">
        <v>1705272.48</v>
      </c>
      <c r="AD32" s="189">
        <v>0</v>
      </c>
      <c r="AE32" s="189">
        <v>0</v>
      </c>
      <c r="AF32" s="189">
        <v>0</v>
      </c>
      <c r="AG32" s="189">
        <v>0</v>
      </c>
      <c r="AH32" s="189">
        <v>0</v>
      </c>
      <c r="AI32" s="189">
        <v>0</v>
      </c>
      <c r="AJ32" s="189">
        <v>0</v>
      </c>
      <c r="AK32" s="189">
        <v>0</v>
      </c>
      <c r="AL32" s="189">
        <v>0</v>
      </c>
      <c r="AM32" s="189">
        <v>0</v>
      </c>
      <c r="AN32" s="189"/>
      <c r="AO32" s="189"/>
      <c r="AP32" s="189"/>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149999999999999" customHeight="1">
      <c r="A33" s="137" t="s">
        <v>312</v>
      </c>
      <c r="B33" s="189">
        <v>4206115444.2399998</v>
      </c>
      <c r="C33" s="189">
        <v>4227132583.77</v>
      </c>
      <c r="D33" s="189">
        <v>4471569361.1700001</v>
      </c>
      <c r="E33" s="189">
        <v>4520878100.4799995</v>
      </c>
      <c r="F33" s="189">
        <v>2436201494.3499999</v>
      </c>
      <c r="G33" s="189">
        <v>766249586.83000004</v>
      </c>
      <c r="H33" s="189">
        <v>394249586.88999999</v>
      </c>
      <c r="I33" s="189">
        <v>376249586.82999998</v>
      </c>
      <c r="J33" s="189">
        <v>379334987.82999998</v>
      </c>
      <c r="K33" s="189">
        <v>376222007.37</v>
      </c>
      <c r="L33" s="189">
        <v>365722000</v>
      </c>
      <c r="M33" s="189">
        <v>46640000</v>
      </c>
      <c r="N33" s="189">
        <v>26640000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c r="AO33" s="189"/>
      <c r="AP33" s="189"/>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4.25" thickBot="1">
      <c r="A34" s="138" t="s">
        <v>315</v>
      </c>
      <c r="B34" s="49"/>
      <c r="C34" s="49"/>
      <c r="D34" s="49"/>
      <c r="E34" s="49">
        <f>E31-E32-E33</f>
        <v>4560408614.8799992</v>
      </c>
      <c r="F34" s="49">
        <f t="shared" ref="F34:BP34" si="81">F31-F32-F33</f>
        <v>4453146007.3999996</v>
      </c>
      <c r="G34" s="49">
        <f t="shared" si="81"/>
        <v>4420072424.6700001</v>
      </c>
      <c r="H34" s="49">
        <f t="shared" si="81"/>
        <v>4297571642.5899992</v>
      </c>
      <c r="I34" s="49">
        <f t="shared" si="81"/>
        <v>4214261607.6300001</v>
      </c>
      <c r="J34" s="49">
        <f t="shared" si="81"/>
        <v>4247256911.4200001</v>
      </c>
      <c r="K34" s="49">
        <f t="shared" si="81"/>
        <v>4081251676.0799999</v>
      </c>
      <c r="L34" s="49">
        <f t="shared" si="81"/>
        <v>4344387336.3799992</v>
      </c>
      <c r="M34" s="49">
        <f t="shared" si="81"/>
        <v>4227132904.9500003</v>
      </c>
      <c r="N34" s="49">
        <f t="shared" si="81"/>
        <v>4216800547.8099999</v>
      </c>
      <c r="O34" s="49">
        <f t="shared" si="81"/>
        <v>4191121489.23</v>
      </c>
      <c r="P34" s="49">
        <f t="shared" si="81"/>
        <v>4042953400.3800001</v>
      </c>
      <c r="Q34" s="49">
        <f t="shared" si="81"/>
        <v>4015396780.3000002</v>
      </c>
      <c r="R34" s="49">
        <f t="shared" si="81"/>
        <v>4436706728.3099995</v>
      </c>
      <c r="S34" s="49">
        <f t="shared" si="81"/>
        <v>4672724809.8399992</v>
      </c>
      <c r="T34" s="49">
        <f t="shared" si="81"/>
        <v>4092132496</v>
      </c>
      <c r="U34" s="49">
        <f t="shared" si="81"/>
        <v>3987860287.7200003</v>
      </c>
      <c r="V34" s="49">
        <f t="shared" si="81"/>
        <v>3496088274.3600001</v>
      </c>
      <c r="W34" s="49">
        <f t="shared" si="81"/>
        <v>2855208801.9400001</v>
      </c>
      <c r="X34" s="49">
        <f t="shared" si="81"/>
        <v>1705445054.7</v>
      </c>
      <c r="Y34" s="49">
        <f t="shared" si="81"/>
        <v>1655643076.5</v>
      </c>
      <c r="Z34" s="49">
        <f t="shared" si="81"/>
        <v>964259491.05999994</v>
      </c>
      <c r="AA34" s="49">
        <f t="shared" si="81"/>
        <v>932678182.29999995</v>
      </c>
      <c r="AB34" s="49">
        <f t="shared" si="81"/>
        <v>887107731.65999997</v>
      </c>
      <c r="AC34" s="49">
        <f t="shared" si="81"/>
        <v>726612267</v>
      </c>
      <c r="AD34" s="49">
        <f t="shared" si="81"/>
        <v>362495205</v>
      </c>
      <c r="AE34" s="49">
        <f t="shared" si="81"/>
        <v>335921632.41000003</v>
      </c>
      <c r="AF34" s="49">
        <f t="shared" si="81"/>
        <v>331314886.39999998</v>
      </c>
      <c r="AG34" s="49">
        <f t="shared" si="81"/>
        <v>331263757.91000003</v>
      </c>
      <c r="AH34" s="49">
        <f t="shared" si="81"/>
        <v>287998776.58999997</v>
      </c>
      <c r="AI34" s="49">
        <f t="shared" si="81"/>
        <v>282032524.70999998</v>
      </c>
      <c r="AJ34" s="49">
        <f t="shared" si="81"/>
        <v>283215086.86000001</v>
      </c>
      <c r="AK34" s="49">
        <f t="shared" si="81"/>
        <v>235565728.24000001</v>
      </c>
      <c r="AL34" s="49">
        <f t="shared" si="81"/>
        <v>147869213.62</v>
      </c>
      <c r="AM34" s="49">
        <f t="shared" si="81"/>
        <v>0</v>
      </c>
      <c r="AN34" s="49">
        <f t="shared" si="81"/>
        <v>0</v>
      </c>
      <c r="AO34" s="49">
        <f t="shared" si="81"/>
        <v>0</v>
      </c>
      <c r="AP34" s="49">
        <f t="shared" si="81"/>
        <v>0</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4945499008.7600002</v>
      </c>
      <c r="BS34" s="49">
        <f>AR31-AR32-AR33</f>
        <v>4983590367.6400003</v>
      </c>
      <c r="BT34" s="49"/>
      <c r="BU34" s="50"/>
    </row>
    <row r="35" spans="1:74" s="106" customFormat="1" ht="14.25" thickBot="1">
      <c r="A35" s="139" t="s">
        <v>317</v>
      </c>
      <c r="B35" s="33">
        <f>SUM(B22:B31)</f>
        <v>8850565827.9599991</v>
      </c>
      <c r="C35" s="33">
        <f>SUM(C22:C31)</f>
        <v>9442981311.0699997</v>
      </c>
      <c r="D35" s="33">
        <f>SUM(D22:D31)</f>
        <v>10534243279.83</v>
      </c>
      <c r="E35" s="33">
        <f>资产资本表!E17</f>
        <v>23071052529.989998</v>
      </c>
      <c r="F35" s="33">
        <f>资产资本表!F17</f>
        <v>21352274637.75</v>
      </c>
      <c r="G35" s="33">
        <f>资产资本表!G17</f>
        <v>17946302369.950001</v>
      </c>
      <c r="H35" s="33">
        <f>资产资本表!H17</f>
        <v>15534440338.699999</v>
      </c>
      <c r="I35" s="33">
        <f>资产资本表!I17</f>
        <v>15765188074.299999</v>
      </c>
      <c r="J35" s="33">
        <f>资产资本表!J17</f>
        <v>15716087361.67</v>
      </c>
      <c r="K35" s="33">
        <f>资产资本表!K17</f>
        <v>10648121818.280001</v>
      </c>
      <c r="L35" s="33">
        <f>资产资本表!L17</f>
        <v>10700181034.92</v>
      </c>
      <c r="M35" s="33">
        <f>资产资本表!M17</f>
        <v>10133151907</v>
      </c>
      <c r="N35" s="33">
        <f>资产资本表!N17</f>
        <v>6611834940.04</v>
      </c>
      <c r="O35" s="33">
        <f>资产资本表!O17</f>
        <v>5444212539.9099998</v>
      </c>
      <c r="P35" s="33">
        <f>资产资本表!P17</f>
        <v>4069518701.1599998</v>
      </c>
      <c r="Q35" s="33">
        <f>资产资本表!Q17</f>
        <v>4195000780.1000004</v>
      </c>
      <c r="R35" s="33">
        <f>资产资本表!R17</f>
        <v>3821607434.6199999</v>
      </c>
      <c r="S35" s="33">
        <f>资产资本表!S17</f>
        <v>2796391151.8499999</v>
      </c>
      <c r="T35" s="33">
        <f>资产资本表!T17</f>
        <v>2323949894.6599998</v>
      </c>
      <c r="U35" s="33">
        <f>资产资本表!U17</f>
        <v>2675386027.0700002</v>
      </c>
      <c r="V35" s="33">
        <f>资产资本表!V17</f>
        <v>2584698785.8200002</v>
      </c>
      <c r="W35" s="33">
        <f>资产资本表!W17</f>
        <v>2644577589.6799998</v>
      </c>
      <c r="X35" s="33">
        <f>资产资本表!X17</f>
        <v>2751523259.3800001</v>
      </c>
      <c r="Y35" s="33">
        <f>资产资本表!Y17</f>
        <v>3445629597.9899998</v>
      </c>
      <c r="Z35" s="33">
        <f>资产资本表!Z17</f>
        <v>2569228947.27</v>
      </c>
      <c r="AA35" s="33">
        <f>资产资本表!AA17</f>
        <v>2244750389.1300001</v>
      </c>
      <c r="AB35" s="33">
        <f>资产资本表!AB17</f>
        <v>680514715.74000001</v>
      </c>
      <c r="AC35" s="33">
        <f>资产资本表!AC17</f>
        <v>683957407.77999997</v>
      </c>
      <c r="AD35" s="33">
        <f>资产资本表!AD17</f>
        <v>742879369.25999999</v>
      </c>
      <c r="AE35" s="33">
        <f>资产资本表!AE17</f>
        <v>782365552.09000003</v>
      </c>
      <c r="AF35" s="33">
        <f>资产资本表!AF17</f>
        <v>704850866.16999996</v>
      </c>
      <c r="AG35" s="33">
        <f>资产资本表!AG17</f>
        <v>681329153</v>
      </c>
      <c r="AH35" s="33">
        <f>资产资本表!AH17</f>
        <v>572976767.17000008</v>
      </c>
      <c r="AI35" s="33">
        <f>资产资本表!AI17</f>
        <v>176269199.97</v>
      </c>
      <c r="AJ35" s="33">
        <f>资产资本表!AJ17</f>
        <v>178717039.56</v>
      </c>
      <c r="AK35" s="33">
        <f>资产资本表!AK17</f>
        <v>46297574.269999996</v>
      </c>
      <c r="AL35" s="33">
        <f>资产资本表!AL17</f>
        <v>53516466.599999994</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ht="14.45">
      <c r="A36" s="17"/>
    </row>
    <row r="37" spans="1:74" s="26" customFormat="1" ht="14.45">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39813</v>
      </c>
      <c r="AO38" s="1">
        <v>39447</v>
      </c>
      <c r="AP38" s="1">
        <v>25569</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c r="A39" s="46" t="s">
        <v>319</v>
      </c>
    </row>
    <row r="40" spans="1:74" s="192" customFormat="1">
      <c r="A40" s="192" t="s">
        <v>742</v>
      </c>
      <c r="B40" s="192">
        <v>41569946.840000004</v>
      </c>
      <c r="C40" s="192">
        <v>15163145.939999999</v>
      </c>
      <c r="D40" s="192">
        <v>0</v>
      </c>
      <c r="E40" s="192">
        <v>116670381.19</v>
      </c>
      <c r="F40" s="192">
        <v>77631264.109999999</v>
      </c>
      <c r="G40" s="192">
        <v>0</v>
      </c>
      <c r="H40" s="192">
        <v>0</v>
      </c>
      <c r="I40" s="192">
        <v>4937559236.79</v>
      </c>
      <c r="J40" s="192">
        <v>4867159308.21</v>
      </c>
      <c r="K40" s="192">
        <v>67159309.170000002</v>
      </c>
      <c r="L40" s="192">
        <v>16449916.15</v>
      </c>
      <c r="M40" s="192">
        <v>3102575455.3699999</v>
      </c>
      <c r="N40" s="192">
        <v>185082327.69999999</v>
      </c>
      <c r="O40" s="192">
        <v>29460617.649999999</v>
      </c>
      <c r="P40" s="192">
        <v>24460617.649999999</v>
      </c>
      <c r="Q40" s="192">
        <v>125086184.31</v>
      </c>
      <c r="R40" s="192">
        <v>1105199949.6099999</v>
      </c>
      <c r="S40" s="192">
        <v>58331319.810000002</v>
      </c>
      <c r="T40" s="192">
        <v>43637819.719999999</v>
      </c>
      <c r="U40" s="192">
        <v>163958749.77000001</v>
      </c>
      <c r="V40" s="192">
        <v>91543061.760000005</v>
      </c>
      <c r="W40" s="192">
        <v>91378282.069999993</v>
      </c>
      <c r="X40" s="192">
        <v>65837323.229999997</v>
      </c>
      <c r="Y40" s="192">
        <v>1591625000</v>
      </c>
      <c r="Z40" s="192">
        <v>1591625000</v>
      </c>
      <c r="AA40" s="192">
        <v>1591625000</v>
      </c>
      <c r="AB40" s="192">
        <v>0</v>
      </c>
      <c r="AC40" s="192">
        <v>2000000</v>
      </c>
      <c r="AD40" s="192">
        <v>17000000</v>
      </c>
      <c r="AE40" s="192">
        <v>0</v>
      </c>
      <c r="AF40" s="192">
        <v>0</v>
      </c>
      <c r="AG40" s="192">
        <v>554469600</v>
      </c>
      <c r="AH40" s="192">
        <v>554469600</v>
      </c>
      <c r="AI40" s="192">
        <v>0</v>
      </c>
      <c r="AJ40" s="192">
        <v>0</v>
      </c>
      <c r="AK40" s="192">
        <v>50000000</v>
      </c>
      <c r="AL40" s="192">
        <v>50000000</v>
      </c>
      <c r="AM40" s="192">
        <v>50000000</v>
      </c>
      <c r="AN40" s="192">
        <v>260000</v>
      </c>
      <c r="AO40" s="192">
        <v>61391405.979999997</v>
      </c>
      <c r="AP40" s="192">
        <v>0</v>
      </c>
      <c r="AQ40" s="192">
        <v>0</v>
      </c>
      <c r="AR40" s="192">
        <v>0</v>
      </c>
      <c r="AS40" s="192">
        <v>15000000</v>
      </c>
      <c r="AT40" s="192">
        <v>15000000</v>
      </c>
      <c r="AU40" s="192">
        <v>15000000</v>
      </c>
      <c r="AV40" s="192">
        <v>0</v>
      </c>
      <c r="AW40" s="192">
        <v>0</v>
      </c>
      <c r="AX40" s="192">
        <v>1000000</v>
      </c>
      <c r="AY40" s="192">
        <v>1000000</v>
      </c>
      <c r="AZ40" s="192">
        <v>0</v>
      </c>
      <c r="BA40" s="192">
        <v>0</v>
      </c>
      <c r="BB40" s="192">
        <v>0</v>
      </c>
      <c r="BC40" s="192">
        <v>0</v>
      </c>
      <c r="BD40" s="192">
        <v>0</v>
      </c>
      <c r="BE40" s="192">
        <v>2450000</v>
      </c>
      <c r="BF40" s="192">
        <v>0</v>
      </c>
      <c r="BG40" s="192">
        <v>0</v>
      </c>
      <c r="BH40" s="192">
        <v>0</v>
      </c>
      <c r="BI40" s="192">
        <v>0</v>
      </c>
      <c r="BJ40" s="192">
        <v>0</v>
      </c>
      <c r="BK40" s="192">
        <v>0</v>
      </c>
      <c r="BL40" s="192">
        <v>0</v>
      </c>
      <c r="BM40" s="192">
        <v>800000</v>
      </c>
      <c r="BN40" s="192">
        <v>0</v>
      </c>
      <c r="BO40" s="192">
        <v>615571049.24000001</v>
      </c>
      <c r="BP40" s="192">
        <v>614591049.24000001</v>
      </c>
      <c r="BQ40" s="192">
        <v>0</v>
      </c>
      <c r="BR40" s="192">
        <v>0</v>
      </c>
      <c r="BS40" s="192">
        <v>0</v>
      </c>
      <c r="BT40" s="192">
        <v>0</v>
      </c>
      <c r="BU40" s="192">
        <v>1165397962.47</v>
      </c>
      <c r="BV40" s="192">
        <v>0</v>
      </c>
    </row>
    <row r="41" spans="1:74" s="53" customFormat="1" ht="21.75" customHeight="1">
      <c r="A41" s="140" t="s">
        <v>633</v>
      </c>
      <c r="B41" s="53">
        <v>1419647033.29</v>
      </c>
      <c r="C41" s="53">
        <v>682396282.87</v>
      </c>
      <c r="D41" s="53">
        <v>73246783.790000007</v>
      </c>
      <c r="E41" s="53">
        <v>3416370048</v>
      </c>
      <c r="I41" s="53">
        <v>3036773376</v>
      </c>
      <c r="M41" s="53">
        <v>2277580032</v>
      </c>
      <c r="Q41" s="53">
        <v>2657176704</v>
      </c>
      <c r="U41" s="53">
        <v>3036773376</v>
      </c>
      <c r="Y41" s="53">
        <v>1897983360</v>
      </c>
      <c r="AC41" s="53">
        <v>113879</v>
      </c>
      <c r="AG41" s="53">
        <v>56939.5</v>
      </c>
      <c r="AK41" s="53">
        <v>18979.830000000002</v>
      </c>
    </row>
    <row r="42" spans="1:74" s="26" customFormat="1">
      <c r="A42" s="17" t="s">
        <v>322</v>
      </c>
      <c r="E42" s="26">
        <f>E40-E41</f>
        <v>-3299699666.8099999</v>
      </c>
      <c r="F42" s="26">
        <f t="shared" ref="F42:Y42" si="82">F40-F41</f>
        <v>77631264.109999999</v>
      </c>
      <c r="G42" s="26">
        <f t="shared" si="82"/>
        <v>0</v>
      </c>
      <c r="H42" s="26">
        <f t="shared" si="82"/>
        <v>0</v>
      </c>
      <c r="I42" s="26">
        <f>I40-I41</f>
        <v>1900785860.79</v>
      </c>
      <c r="J42" s="26">
        <f t="shared" si="82"/>
        <v>4867159308.21</v>
      </c>
      <c r="K42" s="26">
        <f t="shared" si="82"/>
        <v>67159309.170000002</v>
      </c>
      <c r="L42" s="26">
        <f t="shared" si="82"/>
        <v>16449916.15</v>
      </c>
      <c r="M42" s="26">
        <f t="shared" si="82"/>
        <v>824995423.36999989</v>
      </c>
      <c r="N42" s="26">
        <f t="shared" si="82"/>
        <v>185082327.69999999</v>
      </c>
      <c r="O42" s="26">
        <f t="shared" si="82"/>
        <v>29460617.649999999</v>
      </c>
      <c r="P42" s="26">
        <f t="shared" si="82"/>
        <v>24460617.649999999</v>
      </c>
      <c r="Q42" s="26">
        <f t="shared" si="82"/>
        <v>-2532090519.6900001</v>
      </c>
      <c r="R42" s="26">
        <f t="shared" si="82"/>
        <v>1105199949.6099999</v>
      </c>
      <c r="S42" s="26">
        <f t="shared" si="82"/>
        <v>58331319.810000002</v>
      </c>
      <c r="T42" s="26">
        <f t="shared" si="82"/>
        <v>43637819.719999999</v>
      </c>
      <c r="U42" s="26">
        <f t="shared" si="82"/>
        <v>-2872814626.23</v>
      </c>
      <c r="V42" s="26">
        <f t="shared" si="82"/>
        <v>91543061.760000005</v>
      </c>
      <c r="W42" s="26">
        <f t="shared" si="82"/>
        <v>91378282.069999993</v>
      </c>
      <c r="X42" s="26">
        <f t="shared" si="82"/>
        <v>65837323.229999997</v>
      </c>
      <c r="Y42" s="26">
        <f t="shared" si="82"/>
        <v>-306358360</v>
      </c>
      <c r="Z42" s="26">
        <f t="shared" ref="Z42:BQ42" si="83">Z40-Z41</f>
        <v>1591625000</v>
      </c>
      <c r="AA42" s="26">
        <f t="shared" si="83"/>
        <v>1591625000</v>
      </c>
      <c r="AB42" s="26">
        <f t="shared" si="83"/>
        <v>0</v>
      </c>
      <c r="AC42" s="26">
        <f t="shared" si="83"/>
        <v>1886121</v>
      </c>
      <c r="AD42" s="26">
        <f t="shared" si="83"/>
        <v>17000000</v>
      </c>
      <c r="AE42" s="26">
        <f t="shared" si="83"/>
        <v>0</v>
      </c>
      <c r="AF42" s="26">
        <f t="shared" si="83"/>
        <v>0</v>
      </c>
      <c r="AG42" s="26">
        <f t="shared" si="83"/>
        <v>554412660.5</v>
      </c>
      <c r="AH42" s="26">
        <f t="shared" si="83"/>
        <v>554469600</v>
      </c>
      <c r="AI42" s="26">
        <f t="shared" si="83"/>
        <v>0</v>
      </c>
      <c r="AJ42" s="26">
        <f t="shared" si="83"/>
        <v>0</v>
      </c>
      <c r="AK42" s="26">
        <f t="shared" si="83"/>
        <v>49981020.170000002</v>
      </c>
      <c r="AL42" s="192">
        <f t="shared" si="83"/>
        <v>50000000</v>
      </c>
      <c r="AM42" s="192">
        <f t="shared" si="83"/>
        <v>50000000</v>
      </c>
      <c r="AN42" s="192">
        <f t="shared" si="83"/>
        <v>260000</v>
      </c>
      <c r="AO42" s="192">
        <f t="shared" si="83"/>
        <v>61391405.979999997</v>
      </c>
      <c r="AP42" s="192">
        <f t="shared" si="83"/>
        <v>0</v>
      </c>
      <c r="AQ42" s="192">
        <f t="shared" si="83"/>
        <v>0</v>
      </c>
      <c r="AR42" s="192">
        <f t="shared" si="83"/>
        <v>0</v>
      </c>
      <c r="AS42" s="192">
        <f t="shared" si="83"/>
        <v>15000000</v>
      </c>
      <c r="AT42" s="192">
        <f t="shared" si="83"/>
        <v>15000000</v>
      </c>
      <c r="AU42" s="192">
        <f t="shared" si="83"/>
        <v>15000000</v>
      </c>
      <c r="AV42" s="192">
        <f t="shared" si="83"/>
        <v>0</v>
      </c>
      <c r="AW42" s="192">
        <f t="shared" si="83"/>
        <v>0</v>
      </c>
      <c r="AX42" s="192">
        <f t="shared" si="83"/>
        <v>1000000</v>
      </c>
      <c r="AY42" s="192">
        <f t="shared" si="83"/>
        <v>1000000</v>
      </c>
      <c r="AZ42" s="192">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c r="A43" s="141" t="s">
        <v>321</v>
      </c>
    </row>
    <row r="44" spans="1:74" s="192" customFormat="1">
      <c r="A44" s="192" t="s">
        <v>324</v>
      </c>
      <c r="B44" s="192">
        <v>6741130758.6999998</v>
      </c>
      <c r="C44" s="192">
        <v>4320439778.6999998</v>
      </c>
      <c r="D44" s="192">
        <v>2141827064.6700001</v>
      </c>
      <c r="E44" s="192">
        <v>8038557634.1899996</v>
      </c>
      <c r="F44" s="192">
        <v>6058875067.0699997</v>
      </c>
      <c r="G44" s="192">
        <v>3842019678.0799999</v>
      </c>
      <c r="H44" s="192">
        <v>1140099721.21</v>
      </c>
      <c r="I44" s="192">
        <v>7300767745.4700003</v>
      </c>
      <c r="J44" s="192">
        <v>5313359451.4700003</v>
      </c>
      <c r="K44" s="192">
        <v>3302918616.4499998</v>
      </c>
      <c r="L44" s="192">
        <v>1301407627.0999999</v>
      </c>
      <c r="M44" s="192">
        <v>3641192234.0500002</v>
      </c>
      <c r="N44" s="192">
        <v>2406627200.2800002</v>
      </c>
      <c r="O44" s="192">
        <v>1306435940.73</v>
      </c>
      <c r="P44" s="192">
        <v>329950745.13999999</v>
      </c>
      <c r="Q44" s="192">
        <v>3010231074.1599998</v>
      </c>
      <c r="R44" s="192">
        <v>1912575974.54</v>
      </c>
      <c r="S44" s="192">
        <v>1379180482.3</v>
      </c>
      <c r="T44" s="192">
        <v>313949065.31</v>
      </c>
      <c r="U44" s="192">
        <v>2480564409.3099999</v>
      </c>
      <c r="V44" s="192">
        <v>1540212756.1300001</v>
      </c>
      <c r="W44" s="192">
        <v>531415967.47000003</v>
      </c>
      <c r="X44" s="192">
        <v>0</v>
      </c>
      <c r="Y44" s="192">
        <v>1639698701.77</v>
      </c>
      <c r="Z44" s="192">
        <v>1139742889.8800001</v>
      </c>
      <c r="AA44" s="192">
        <v>619698701.76999998</v>
      </c>
      <c r="AB44" s="192">
        <v>213148260.41999999</v>
      </c>
      <c r="AC44" s="192">
        <v>665854495.5</v>
      </c>
      <c r="AD44" s="192">
        <v>323000000</v>
      </c>
      <c r="AE44" s="192">
        <v>283000000</v>
      </c>
      <c r="AF44" s="192">
        <v>83000000</v>
      </c>
      <c r="AG44" s="192">
        <v>282000000</v>
      </c>
      <c r="AH44" s="192">
        <v>102000000</v>
      </c>
      <c r="AI44" s="192">
        <v>82000000</v>
      </c>
      <c r="AJ44" s="192">
        <v>82000000</v>
      </c>
      <c r="AK44" s="192">
        <v>312000000</v>
      </c>
      <c r="AL44" s="192">
        <v>112000000</v>
      </c>
      <c r="AM44" s="192">
        <v>58000000</v>
      </c>
      <c r="AN44" s="192">
        <v>258347071.44999999</v>
      </c>
      <c r="AO44" s="192">
        <v>139100000</v>
      </c>
      <c r="AP44" s="192">
        <v>0</v>
      </c>
      <c r="AQ44" s="192">
        <v>0</v>
      </c>
      <c r="AR44" s="192">
        <v>0</v>
      </c>
      <c r="AS44" s="192">
        <v>0</v>
      </c>
      <c r="AT44" s="192">
        <v>0</v>
      </c>
      <c r="AU44" s="192">
        <v>0</v>
      </c>
      <c r="AV44" s="192">
        <v>0</v>
      </c>
      <c r="AW44" s="192">
        <v>0</v>
      </c>
      <c r="AX44" s="192">
        <v>0</v>
      </c>
      <c r="AY44" s="192">
        <v>0</v>
      </c>
      <c r="AZ44" s="192">
        <v>0</v>
      </c>
      <c r="BA44" s="192">
        <v>0</v>
      </c>
      <c r="BB44" s="192">
        <v>0</v>
      </c>
      <c r="BC44" s="192">
        <v>0</v>
      </c>
      <c r="BD44" s="192">
        <v>0</v>
      </c>
      <c r="BE44" s="192">
        <v>0</v>
      </c>
      <c r="BF44" s="192">
        <v>0</v>
      </c>
      <c r="BG44" s="192">
        <v>0</v>
      </c>
      <c r="BH44" s="192">
        <v>0</v>
      </c>
      <c r="BI44" s="192">
        <v>0</v>
      </c>
      <c r="BJ44" s="192">
        <v>0</v>
      </c>
      <c r="BK44" s="192">
        <v>0</v>
      </c>
      <c r="BL44" s="192">
        <v>0</v>
      </c>
      <c r="BM44" s="192">
        <v>0</v>
      </c>
      <c r="BN44" s="192">
        <v>0</v>
      </c>
      <c r="BO44" s="192">
        <v>0</v>
      </c>
      <c r="BP44" s="192">
        <v>0</v>
      </c>
      <c r="BQ44" s="192">
        <v>0</v>
      </c>
      <c r="BR44" s="192">
        <v>0</v>
      </c>
      <c r="BS44" s="192">
        <v>0</v>
      </c>
      <c r="BT44" s="192">
        <v>0</v>
      </c>
      <c r="BU44" s="192">
        <v>0</v>
      </c>
      <c r="BV44" s="192">
        <v>0</v>
      </c>
    </row>
    <row r="45" spans="1:74" s="192" customFormat="1">
      <c r="A45" s="192" t="s">
        <v>323</v>
      </c>
      <c r="E45" s="192">
        <f>股权价值增加表!E53</f>
        <v>15660240.74</v>
      </c>
      <c r="F45" s="192">
        <f>股权价值增加表!F53</f>
        <v>0</v>
      </c>
      <c r="G45" s="192">
        <f>股权价值增加表!G53</f>
        <v>0</v>
      </c>
      <c r="H45" s="192">
        <f>股权价值增加表!H53</f>
        <v>0</v>
      </c>
      <c r="I45" s="192">
        <f>股权价值增加表!I53</f>
        <v>29047315.350000001</v>
      </c>
      <c r="J45" s="192">
        <f>股权价值增加表!J53</f>
        <v>0</v>
      </c>
      <c r="K45" s="192">
        <f>股权价值增加表!K53</f>
        <v>0</v>
      </c>
      <c r="L45" s="192">
        <f>股权价值增加表!L53</f>
        <v>0</v>
      </c>
      <c r="M45" s="192">
        <f>股权价值增加表!M53</f>
        <v>14522441.789999999</v>
      </c>
      <c r="N45" s="192">
        <f>股权价值增加表!N53</f>
        <v>0</v>
      </c>
      <c r="O45" s="192">
        <f>股权价值增加表!O53</f>
        <v>0</v>
      </c>
      <c r="P45" s="192">
        <f>股权价值增加表!P53</f>
        <v>0</v>
      </c>
      <c r="Q45" s="192">
        <f>股权价值增加表!Q53</f>
        <v>8563830.6600000001</v>
      </c>
      <c r="R45" s="192">
        <f>股权价值增加表!R53</f>
        <v>0</v>
      </c>
      <c r="S45" s="192">
        <f>股权价值增加表!S53</f>
        <v>0</v>
      </c>
      <c r="T45" s="192">
        <f>股权价值增加表!T53</f>
        <v>0</v>
      </c>
      <c r="U45" s="192">
        <f>股权价值增加表!U53</f>
        <v>0</v>
      </c>
      <c r="V45" s="192">
        <f>股权价值增加表!V53</f>
        <v>0</v>
      </c>
      <c r="W45" s="192">
        <f>股权价值增加表!W53</f>
        <v>0</v>
      </c>
      <c r="X45" s="192">
        <f>股权价值增加表!X53</f>
        <v>0</v>
      </c>
      <c r="Y45" s="192">
        <f>股权价值增加表!Y53</f>
        <v>0</v>
      </c>
      <c r="Z45" s="192">
        <f>股权价值增加表!Z53</f>
        <v>0</v>
      </c>
      <c r="AA45" s="192">
        <f>股权价值增加表!AA53</f>
        <v>0</v>
      </c>
      <c r="AB45" s="192">
        <f>股权价值增加表!AB53</f>
        <v>0</v>
      </c>
      <c r="AC45" s="192">
        <f>股权价值增加表!AC53</f>
        <v>0</v>
      </c>
      <c r="AD45" s="192">
        <f>股权价值增加表!AD53</f>
        <v>0</v>
      </c>
      <c r="AE45" s="192">
        <f>股权价值增加表!AE53</f>
        <v>0</v>
      </c>
      <c r="AF45" s="192">
        <f>股权价值增加表!AF53</f>
        <v>0</v>
      </c>
      <c r="AG45" s="192">
        <f>股权价值增加表!AG53</f>
        <v>0</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c r="A46" s="192" t="s">
        <v>325</v>
      </c>
      <c r="B46" s="192">
        <v>0</v>
      </c>
      <c r="C46" s="192">
        <v>205518432.99000001</v>
      </c>
      <c r="D46" s="192">
        <v>167410544.78999999</v>
      </c>
      <c r="E46" s="192">
        <v>180013410.13</v>
      </c>
      <c r="F46" s="192">
        <v>127288810.81999999</v>
      </c>
      <c r="G46" s="192">
        <v>156479372</v>
      </c>
      <c r="H46" s="192">
        <v>75979125.459999993</v>
      </c>
      <c r="I46" s="192">
        <v>70488179.879999995</v>
      </c>
      <c r="J46" s="192">
        <v>81636653.019999996</v>
      </c>
      <c r="K46" s="192">
        <v>130032183.59999999</v>
      </c>
      <c r="L46" s="192">
        <v>119705228.31</v>
      </c>
      <c r="M46" s="192">
        <v>73279545.799999997</v>
      </c>
      <c r="N46" s="192">
        <v>64288198.579999998</v>
      </c>
      <c r="O46" s="192">
        <v>93479070.530000001</v>
      </c>
      <c r="P46" s="192">
        <v>59217219.68</v>
      </c>
      <c r="Q46" s="192">
        <v>27286654.719999999</v>
      </c>
      <c r="R46" s="192">
        <v>48662204.909999996</v>
      </c>
      <c r="S46" s="192">
        <v>35668082.579999998</v>
      </c>
      <c r="T46" s="192">
        <v>22154473.73</v>
      </c>
      <c r="U46" s="192">
        <v>6051979.0999999996</v>
      </c>
      <c r="V46" s="192">
        <v>44645581.25</v>
      </c>
      <c r="W46" s="192">
        <v>30757292.460000001</v>
      </c>
      <c r="X46" s="192">
        <v>4241327</v>
      </c>
      <c r="Y46" s="192">
        <v>4388476.1500000004</v>
      </c>
      <c r="Z46" s="192">
        <v>1395418.12</v>
      </c>
      <c r="AA46" s="192">
        <v>803915.48</v>
      </c>
      <c r="AB46" s="192">
        <v>772948.64</v>
      </c>
      <c r="AC46" s="192">
        <v>839336.11</v>
      </c>
      <c r="AD46" s="192">
        <v>335462.36</v>
      </c>
      <c r="AE46" s="192">
        <v>461972.92</v>
      </c>
      <c r="AF46" s="192">
        <v>463861.98</v>
      </c>
      <c r="AG46" s="192">
        <v>376929.32</v>
      </c>
      <c r="AH46" s="192">
        <v>278287.08</v>
      </c>
      <c r="AI46" s="192">
        <v>400907.08</v>
      </c>
      <c r="AJ46" s="192">
        <v>446376.58</v>
      </c>
      <c r="AK46" s="192">
        <v>271430.5</v>
      </c>
      <c r="AL46" s="192">
        <v>208946.71</v>
      </c>
      <c r="AM46" s="192">
        <v>0</v>
      </c>
      <c r="AQ46" s="192">
        <v>0</v>
      </c>
      <c r="AR46" s="192">
        <v>0</v>
      </c>
      <c r="AS46" s="192">
        <v>0</v>
      </c>
      <c r="AT46" s="192">
        <v>0</v>
      </c>
      <c r="AU46" s="192">
        <v>0</v>
      </c>
      <c r="AV46" s="192">
        <v>0</v>
      </c>
      <c r="AW46" s="192">
        <v>0</v>
      </c>
      <c r="AX46" s="192">
        <v>0</v>
      </c>
      <c r="AY46" s="192">
        <v>0</v>
      </c>
      <c r="AZ46" s="192">
        <v>0</v>
      </c>
      <c r="BA46" s="192">
        <v>0</v>
      </c>
      <c r="BB46" s="192">
        <v>0</v>
      </c>
      <c r="BC46" s="192">
        <v>0</v>
      </c>
      <c r="BD46" s="192">
        <v>0</v>
      </c>
      <c r="BE46" s="192">
        <v>0</v>
      </c>
      <c r="BF46" s="192">
        <v>0</v>
      </c>
      <c r="BG46" s="192">
        <v>0</v>
      </c>
      <c r="BH46" s="192">
        <v>0</v>
      </c>
      <c r="BI46" s="192">
        <v>0</v>
      </c>
      <c r="BJ46" s="192">
        <v>0</v>
      </c>
      <c r="BK46" s="192">
        <v>0</v>
      </c>
      <c r="BL46" s="192">
        <v>0</v>
      </c>
      <c r="BM46" s="192">
        <v>0</v>
      </c>
      <c r="BN46" s="192">
        <v>0</v>
      </c>
      <c r="BO46" s="192">
        <v>0</v>
      </c>
      <c r="BP46" s="192">
        <v>0</v>
      </c>
      <c r="BQ46" s="192">
        <v>0</v>
      </c>
      <c r="BR46" s="192">
        <v>0</v>
      </c>
      <c r="BS46" s="192">
        <v>0</v>
      </c>
      <c r="BT46" s="192">
        <v>0</v>
      </c>
      <c r="BU46" s="192">
        <v>0</v>
      </c>
      <c r="BV46" s="192">
        <v>0</v>
      </c>
    </row>
    <row r="47" spans="1:74" s="192" customFormat="1">
      <c r="A47" s="192" t="s">
        <v>326</v>
      </c>
      <c r="B47" s="192">
        <v>10100299093.73</v>
      </c>
      <c r="C47" s="192">
        <v>5747457901.3699999</v>
      </c>
      <c r="D47" s="192">
        <v>1209355281</v>
      </c>
      <c r="E47" s="192">
        <v>9236744583.8400002</v>
      </c>
      <c r="F47" s="192">
        <v>6302440506.96</v>
      </c>
      <c r="G47" s="192">
        <v>4028545450.9099998</v>
      </c>
      <c r="H47" s="192">
        <v>2828400718.3200002</v>
      </c>
      <c r="I47" s="192">
        <v>7857260376.8699999</v>
      </c>
      <c r="J47" s="192">
        <v>6284460692.6999998</v>
      </c>
      <c r="K47" s="192">
        <v>3744018008.21</v>
      </c>
      <c r="L47" s="192">
        <v>1321274959.76</v>
      </c>
      <c r="M47" s="192">
        <v>2720987102.8800001</v>
      </c>
      <c r="N47" s="192">
        <v>1675292507.6700001</v>
      </c>
      <c r="O47" s="192">
        <v>1146218098.6199999</v>
      </c>
      <c r="P47" s="192">
        <v>467882561.31</v>
      </c>
      <c r="Q47" s="192">
        <v>2434671626.3400002</v>
      </c>
      <c r="R47" s="192">
        <v>1429190829.1400001</v>
      </c>
      <c r="S47" s="192">
        <v>762870671.76999998</v>
      </c>
      <c r="T47" s="192">
        <v>537639038.21000004</v>
      </c>
      <c r="U47" s="192">
        <v>1564638578.6900001</v>
      </c>
      <c r="V47" s="192">
        <v>922219335.78999996</v>
      </c>
      <c r="W47" s="192">
        <v>512091763.36000001</v>
      </c>
      <c r="X47" s="192">
        <v>169363383.68000001</v>
      </c>
      <c r="Y47" s="192">
        <v>763852444.65999997</v>
      </c>
      <c r="Z47" s="192">
        <v>532138535.57999998</v>
      </c>
      <c r="AA47" s="192">
        <v>492264019.92000002</v>
      </c>
      <c r="AB47" s="192">
        <v>170097795.77000001</v>
      </c>
      <c r="AC47" s="192">
        <v>253090000</v>
      </c>
      <c r="AD47" s="192">
        <v>140000000</v>
      </c>
      <c r="AE47" s="192">
        <v>120000000</v>
      </c>
      <c r="AF47" s="192">
        <v>20000000</v>
      </c>
      <c r="AG47" s="192">
        <v>349000000</v>
      </c>
      <c r="AH47" s="192">
        <v>229000000</v>
      </c>
      <c r="AI47" s="192">
        <v>62000000</v>
      </c>
      <c r="AJ47" s="192">
        <v>42000000</v>
      </c>
      <c r="AK47" s="192">
        <v>271000000</v>
      </c>
      <c r="AL47" s="192">
        <v>76000000</v>
      </c>
      <c r="AM47" s="192">
        <v>62000000</v>
      </c>
      <c r="AN47" s="192">
        <v>141447071.44999999</v>
      </c>
      <c r="AO47" s="192">
        <v>115900000</v>
      </c>
      <c r="AP47" s="192">
        <v>0</v>
      </c>
      <c r="AQ47" s="192">
        <v>0</v>
      </c>
      <c r="AR47" s="192">
        <v>0</v>
      </c>
      <c r="AS47" s="192">
        <v>0</v>
      </c>
      <c r="AT47" s="192">
        <v>0</v>
      </c>
      <c r="AU47" s="192">
        <v>0</v>
      </c>
      <c r="AV47" s="192">
        <v>0</v>
      </c>
      <c r="AW47" s="192">
        <v>0</v>
      </c>
      <c r="AX47" s="192">
        <v>0</v>
      </c>
      <c r="AY47" s="192">
        <v>0</v>
      </c>
      <c r="AZ47" s="192">
        <v>0</v>
      </c>
      <c r="BA47" s="192">
        <v>0</v>
      </c>
      <c r="BB47" s="192">
        <v>0</v>
      </c>
      <c r="BC47" s="192">
        <v>0</v>
      </c>
      <c r="BD47" s="192">
        <v>0</v>
      </c>
      <c r="BE47" s="192">
        <v>0</v>
      </c>
      <c r="BF47" s="192">
        <v>0</v>
      </c>
      <c r="BG47" s="192">
        <v>0</v>
      </c>
      <c r="BH47" s="192">
        <v>0</v>
      </c>
      <c r="BI47" s="192">
        <v>0</v>
      </c>
      <c r="BJ47" s="192">
        <v>0</v>
      </c>
      <c r="BK47" s="192">
        <v>0</v>
      </c>
      <c r="BL47" s="192">
        <v>0</v>
      </c>
      <c r="BM47" s="192">
        <v>0</v>
      </c>
      <c r="BN47" s="192">
        <v>0</v>
      </c>
      <c r="BO47" s="192">
        <v>0</v>
      </c>
      <c r="BP47" s="192">
        <v>0</v>
      </c>
      <c r="BQ47" s="192">
        <v>0</v>
      </c>
      <c r="BR47" s="192">
        <v>2814887.33</v>
      </c>
      <c r="BS47" s="192">
        <v>0</v>
      </c>
      <c r="BT47" s="192">
        <v>0</v>
      </c>
      <c r="BU47" s="192">
        <v>70000000</v>
      </c>
      <c r="BV47" s="192">
        <v>0</v>
      </c>
    </row>
    <row r="48" spans="1:74" s="192" customFormat="1">
      <c r="A48" s="192" t="s">
        <v>597</v>
      </c>
      <c r="B48" s="192">
        <v>1496625000</v>
      </c>
      <c r="C48" s="192">
        <v>1496625000</v>
      </c>
      <c r="D48" s="192">
        <v>0</v>
      </c>
      <c r="E48" s="192">
        <v>6569490000</v>
      </c>
      <c r="F48" s="192">
        <v>5569790000</v>
      </c>
      <c r="G48" s="192">
        <v>3569790000</v>
      </c>
      <c r="H48" s="192">
        <v>3062500000</v>
      </c>
      <c r="I48" s="192">
        <v>2500000000</v>
      </c>
      <c r="J48" s="192">
        <v>2500000000</v>
      </c>
      <c r="K48" s="192">
        <v>1500000000</v>
      </c>
      <c r="L48" s="192">
        <v>500000000</v>
      </c>
      <c r="M48" s="192">
        <v>1590530000</v>
      </c>
      <c r="N48" s="192">
        <v>1600000000</v>
      </c>
      <c r="O48" s="192">
        <v>1000000000</v>
      </c>
      <c r="P48" s="192">
        <v>0</v>
      </c>
      <c r="Q48" s="192">
        <v>997000000</v>
      </c>
      <c r="R48" s="192">
        <v>0</v>
      </c>
      <c r="S48" s="192">
        <v>0</v>
      </c>
      <c r="T48" s="192">
        <v>0</v>
      </c>
      <c r="U48" s="192">
        <v>0</v>
      </c>
      <c r="V48" s="192">
        <v>0</v>
      </c>
      <c r="W48" s="192">
        <v>0</v>
      </c>
      <c r="X48" s="192">
        <v>0</v>
      </c>
      <c r="Y48" s="192">
        <v>892600000</v>
      </c>
      <c r="Z48" s="192">
        <v>0</v>
      </c>
      <c r="AA48" s="192">
        <v>0</v>
      </c>
      <c r="AB48" s="192">
        <v>0</v>
      </c>
      <c r="AC48" s="192">
        <v>0</v>
      </c>
      <c r="AD48" s="192">
        <v>0</v>
      </c>
      <c r="AE48" s="192">
        <v>0</v>
      </c>
      <c r="AF48" s="192">
        <v>0</v>
      </c>
      <c r="AG48" s="192">
        <v>0</v>
      </c>
      <c r="AH48" s="192">
        <v>0</v>
      </c>
      <c r="AI48" s="192">
        <v>0</v>
      </c>
      <c r="AJ48" s="192">
        <v>0</v>
      </c>
      <c r="AK48" s="192">
        <v>0</v>
      </c>
      <c r="AL48" s="192">
        <v>0</v>
      </c>
      <c r="AM48" s="192">
        <v>0</v>
      </c>
      <c r="AN48" s="192">
        <v>0</v>
      </c>
      <c r="AO48" s="192">
        <v>0</v>
      </c>
      <c r="AP48" s="192">
        <v>0</v>
      </c>
      <c r="AQ48" s="192">
        <v>0</v>
      </c>
      <c r="AR48" s="192">
        <v>0</v>
      </c>
      <c r="AS48" s="192">
        <v>0</v>
      </c>
      <c r="AT48" s="192">
        <v>0</v>
      </c>
      <c r="AU48" s="192">
        <v>0</v>
      </c>
      <c r="AV48" s="192">
        <v>0</v>
      </c>
      <c r="AW48" s="192">
        <v>0</v>
      </c>
      <c r="AX48" s="192">
        <v>0</v>
      </c>
      <c r="AY48" s="192">
        <v>0</v>
      </c>
      <c r="AZ48" s="192">
        <v>0</v>
      </c>
      <c r="BA48" s="192">
        <v>0</v>
      </c>
      <c r="BB48" s="192">
        <v>0</v>
      </c>
      <c r="BC48" s="192">
        <v>0</v>
      </c>
      <c r="BD48" s="192">
        <v>0</v>
      </c>
      <c r="BE48" s="192">
        <v>0</v>
      </c>
      <c r="BF48" s="192">
        <v>0</v>
      </c>
      <c r="BG48" s="192">
        <v>0</v>
      </c>
      <c r="BH48" s="192">
        <v>0</v>
      </c>
      <c r="BI48" s="192">
        <v>0</v>
      </c>
      <c r="BJ48" s="192">
        <v>0</v>
      </c>
      <c r="BK48" s="192">
        <v>0</v>
      </c>
      <c r="BL48" s="192">
        <v>0</v>
      </c>
      <c r="BM48" s="192">
        <v>0</v>
      </c>
      <c r="BN48" s="192">
        <v>0</v>
      </c>
      <c r="BO48" s="192">
        <v>0</v>
      </c>
      <c r="BP48" s="192">
        <v>0</v>
      </c>
      <c r="BQ48" s="192">
        <v>0</v>
      </c>
      <c r="BR48" s="192">
        <v>0</v>
      </c>
      <c r="BS48" s="192">
        <v>0</v>
      </c>
      <c r="BT48" s="192">
        <v>0</v>
      </c>
      <c r="BU48" s="192">
        <v>0</v>
      </c>
      <c r="BV48" s="192">
        <v>0</v>
      </c>
    </row>
    <row r="49" spans="1:74" s="192" customFormat="1">
      <c r="A49" s="192" t="s">
        <v>598</v>
      </c>
      <c r="E49" s="192">
        <f>E44+E48-E45-E46-E47</f>
        <v>5175629399.4799995</v>
      </c>
      <c r="F49" s="192">
        <f t="shared" ref="F49:BQ49" si="85">F44+F48-F45-F46-F47</f>
        <v>5198935749.29</v>
      </c>
      <c r="G49" s="192">
        <f t="shared" si="85"/>
        <v>3226784855.1700001</v>
      </c>
      <c r="H49" s="192">
        <f t="shared" si="85"/>
        <v>1298219877.4299998</v>
      </c>
      <c r="I49" s="192">
        <f t="shared" si="85"/>
        <v>1843971873.3700018</v>
      </c>
      <c r="J49" s="192">
        <f t="shared" si="85"/>
        <v>1447262105.75</v>
      </c>
      <c r="K49" s="192">
        <f t="shared" si="85"/>
        <v>928868424.63999939</v>
      </c>
      <c r="L49" s="192">
        <f t="shared" si="85"/>
        <v>360427439.02999997</v>
      </c>
      <c r="M49" s="192">
        <f t="shared" si="85"/>
        <v>2422933143.5799999</v>
      </c>
      <c r="N49" s="192">
        <f t="shared" si="85"/>
        <v>2267046494.0300002</v>
      </c>
      <c r="O49" s="192">
        <f t="shared" si="85"/>
        <v>1066738771.5799999</v>
      </c>
      <c r="P49" s="192">
        <f t="shared" si="85"/>
        <v>-197149035.85000002</v>
      </c>
      <c r="Q49" s="192">
        <f t="shared" si="85"/>
        <v>1536708962.4400001</v>
      </c>
      <c r="R49" s="192">
        <f t="shared" si="85"/>
        <v>434722940.48999977</v>
      </c>
      <c r="S49" s="192">
        <f t="shared" si="85"/>
        <v>580641727.95000005</v>
      </c>
      <c r="T49" s="192">
        <f t="shared" si="85"/>
        <v>-245844446.63000005</v>
      </c>
      <c r="U49" s="192">
        <f t="shared" si="85"/>
        <v>909873851.51999998</v>
      </c>
      <c r="V49" s="192">
        <f t="shared" si="85"/>
        <v>573347839.09000015</v>
      </c>
      <c r="W49" s="192">
        <f t="shared" si="85"/>
        <v>-11433088.349999964</v>
      </c>
      <c r="X49" s="192">
        <f t="shared" si="85"/>
        <v>-173604710.68000001</v>
      </c>
      <c r="Y49" s="192">
        <f t="shared" si="85"/>
        <v>1764057780.96</v>
      </c>
      <c r="Z49" s="192">
        <f t="shared" si="85"/>
        <v>606208936.18000031</v>
      </c>
      <c r="AA49" s="192">
        <f t="shared" si="85"/>
        <v>126630766.36999995</v>
      </c>
      <c r="AB49" s="192">
        <f t="shared" si="85"/>
        <v>42277516.00999999</v>
      </c>
      <c r="AC49" s="192">
        <f t="shared" si="85"/>
        <v>411925159.38999999</v>
      </c>
      <c r="AD49" s="192">
        <f t="shared" si="85"/>
        <v>182664537.63999999</v>
      </c>
      <c r="AE49" s="192">
        <f t="shared" si="85"/>
        <v>162538027.07999998</v>
      </c>
      <c r="AF49" s="192">
        <f t="shared" si="85"/>
        <v>62536138.019999996</v>
      </c>
      <c r="AG49" s="192">
        <f t="shared" si="85"/>
        <v>-67376929.319999993</v>
      </c>
      <c r="AH49" s="192">
        <f t="shared" si="85"/>
        <v>-127278287.08</v>
      </c>
      <c r="AI49" s="192">
        <f t="shared" si="85"/>
        <v>19599092.920000002</v>
      </c>
      <c r="AJ49" s="192">
        <f t="shared" si="85"/>
        <v>39553623.420000002</v>
      </c>
      <c r="AK49" s="192">
        <f t="shared" si="85"/>
        <v>40728569.5</v>
      </c>
      <c r="AL49" s="192">
        <f t="shared" si="85"/>
        <v>35791053.290000007</v>
      </c>
      <c r="AM49" s="192">
        <f t="shared" si="85"/>
        <v>-4000000</v>
      </c>
      <c r="AN49" s="192">
        <f t="shared" si="85"/>
        <v>116900000</v>
      </c>
      <c r="AO49" s="192">
        <f t="shared" si="85"/>
        <v>23200000</v>
      </c>
      <c r="AP49" s="192">
        <f t="shared" si="85"/>
        <v>0</v>
      </c>
      <c r="AQ49" s="192">
        <f t="shared" si="85"/>
        <v>0</v>
      </c>
      <c r="AR49" s="192">
        <f t="shared" si="85"/>
        <v>0</v>
      </c>
      <c r="AS49" s="192">
        <f t="shared" si="85"/>
        <v>0</v>
      </c>
      <c r="AT49" s="192">
        <f t="shared" si="85"/>
        <v>0</v>
      </c>
      <c r="AU49" s="192">
        <f t="shared" si="85"/>
        <v>0</v>
      </c>
      <c r="AV49" s="192">
        <f t="shared" si="85"/>
        <v>0</v>
      </c>
      <c r="AW49" s="192">
        <f t="shared" si="85"/>
        <v>0</v>
      </c>
      <c r="AX49" s="192">
        <f t="shared" si="85"/>
        <v>0</v>
      </c>
      <c r="AY49" s="192">
        <f t="shared" si="85"/>
        <v>0</v>
      </c>
      <c r="AZ49" s="192">
        <f t="shared" si="85"/>
        <v>0</v>
      </c>
      <c r="BA49" s="192">
        <f t="shared" si="85"/>
        <v>0</v>
      </c>
      <c r="BB49" s="192">
        <f t="shared" si="85"/>
        <v>0</v>
      </c>
      <c r="BC49" s="192">
        <f t="shared" si="85"/>
        <v>0</v>
      </c>
      <c r="BD49" s="192">
        <f t="shared" si="85"/>
        <v>0</v>
      </c>
      <c r="BE49" s="192">
        <f t="shared" si="85"/>
        <v>0</v>
      </c>
      <c r="BF49" s="192">
        <f t="shared" si="85"/>
        <v>0</v>
      </c>
      <c r="BG49" s="192">
        <f t="shared" si="85"/>
        <v>0</v>
      </c>
      <c r="BH49" s="192">
        <f t="shared" si="85"/>
        <v>0</v>
      </c>
      <c r="BI49" s="192">
        <f t="shared" si="85"/>
        <v>0</v>
      </c>
      <c r="BJ49" s="192">
        <f t="shared" si="85"/>
        <v>0</v>
      </c>
      <c r="BK49" s="192">
        <f t="shared" si="85"/>
        <v>0</v>
      </c>
      <c r="BL49" s="192">
        <f t="shared" si="85"/>
        <v>0</v>
      </c>
      <c r="BM49" s="192">
        <f t="shared" si="85"/>
        <v>0</v>
      </c>
      <c r="BN49" s="192">
        <f t="shared" si="85"/>
        <v>0</v>
      </c>
      <c r="BO49" s="192">
        <f t="shared" si="85"/>
        <v>0</v>
      </c>
      <c r="BP49" s="192">
        <f t="shared" si="85"/>
        <v>0</v>
      </c>
      <c r="BQ49" s="192">
        <f t="shared" si="85"/>
        <v>0</v>
      </c>
      <c r="BR49" s="192">
        <f t="shared" ref="BR49:BV49" si="86">BR44+BR48-BR45-BR46-BR47</f>
        <v>-2814887.33</v>
      </c>
      <c r="BS49" s="192">
        <f t="shared" si="86"/>
        <v>0</v>
      </c>
      <c r="BT49" s="192">
        <f t="shared" si="86"/>
        <v>0</v>
      </c>
      <c r="BU49" s="192">
        <f t="shared" si="86"/>
        <v>-70000000</v>
      </c>
      <c r="BV49" s="192">
        <f t="shared" si="86"/>
        <v>0</v>
      </c>
    </row>
    <row r="50" spans="1:74" s="26" customFormat="1" ht="14.45"/>
    <row r="51" spans="1:74" s="16" customFormat="1" ht="120" customHeight="1">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E12" sqref="E12"/>
    </sheetView>
  </sheetViews>
  <sheetFormatPr defaultRowHeight="13.5"/>
  <cols>
    <col min="1" max="1" width="61.25" style="17" bestFit="1" customWidth="1"/>
    <col min="2" max="4" width="9.5" hidden="1" customWidth="1"/>
    <col min="5" max="5" width="20.5" bestFit="1" customWidth="1"/>
    <col min="6" max="8" width="20.5" hidden="1" customWidth="1"/>
    <col min="9" max="9" width="20.5" bestFit="1" customWidth="1"/>
    <col min="10" max="12" width="20.5" hidden="1" customWidth="1"/>
    <col min="13" max="13" width="20.5" bestFit="1" customWidth="1"/>
    <col min="14" max="15" width="20.5" hidden="1" customWidth="1"/>
    <col min="16"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7.25" hidden="1" customWidth="1"/>
    <col min="37" max="37" width="17.25" bestFit="1" customWidth="1"/>
    <col min="38" max="38" width="17.25" hidden="1" customWidth="1"/>
    <col min="39" max="39" width="9.5" hidden="1" customWidth="1"/>
    <col min="40" max="41" width="20.5" bestFit="1" customWidth="1"/>
    <col min="42" max="44" width="20.5" hidden="1" customWidth="1"/>
    <col min="45" max="45" width="19.375" bestFit="1" customWidth="1"/>
    <col min="46" max="48" width="19.375" hidden="1" customWidth="1"/>
    <col min="49" max="49" width="19.375" bestFit="1" customWidth="1"/>
    <col min="50" max="52" width="19.375" hidden="1" customWidth="1"/>
    <col min="53" max="53" width="19.375" bestFit="1" customWidth="1"/>
    <col min="54" max="56" width="19.375" hidden="1" customWidth="1"/>
    <col min="57" max="57" width="19.375" bestFit="1" customWidth="1"/>
    <col min="58" max="60" width="19.375" hidden="1" customWidth="1"/>
    <col min="61" max="61" width="19.375" bestFit="1" customWidth="1"/>
    <col min="62" max="64" width="19.375" hidden="1" customWidth="1"/>
    <col min="65" max="65" width="19.375" bestFit="1" customWidth="1"/>
    <col min="66" max="66" width="19.375" hidden="1" customWidth="1"/>
    <col min="67" max="67" width="19.375" bestFit="1" customWidth="1"/>
    <col min="68" max="68" width="19.375" hidden="1" customWidth="1"/>
    <col min="69" max="69" width="19.375" bestFit="1" customWidth="1"/>
    <col min="70" max="70" width="19.375" hidden="1" customWidth="1"/>
    <col min="71" max="71" width="19.375" bestFit="1" customWidth="1"/>
    <col min="72" max="72" width="19.375" hidden="1" customWidth="1"/>
    <col min="73" max="73" width="19.375" bestFit="1" customWidth="1"/>
    <col min="74" max="74" width="9.5" hidden="1" customWidth="1"/>
  </cols>
  <sheetData>
    <row r="1" spans="1:74" ht="14.45">
      <c r="A1" s="17">
        <v>2450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c r="A2" s="46" t="s">
        <v>327</v>
      </c>
    </row>
    <row r="3" spans="1:74" s="26" customFormat="1">
      <c r="A3" s="17" t="s">
        <v>328</v>
      </c>
      <c r="B3" s="26">
        <f>平均资本成本表!E53</f>
        <v>0</v>
      </c>
      <c r="E3" s="26">
        <f>股权价值增加表!E53</f>
        <v>15660240.74</v>
      </c>
      <c r="F3" s="26">
        <f>股权价值增加表!F53</f>
        <v>0</v>
      </c>
      <c r="G3" s="26">
        <f>股权价值增加表!G53</f>
        <v>0</v>
      </c>
      <c r="H3" s="26">
        <f>股权价值增加表!H53</f>
        <v>0</v>
      </c>
      <c r="I3" s="26">
        <f>股权价值增加表!I53</f>
        <v>29047315.350000001</v>
      </c>
      <c r="J3" s="26">
        <f>股权价值增加表!J53</f>
        <v>0</v>
      </c>
      <c r="K3" s="26">
        <f>股权价值增加表!K53</f>
        <v>0</v>
      </c>
      <c r="L3" s="26">
        <f>股权价值增加表!L53</f>
        <v>0</v>
      </c>
      <c r="M3" s="26">
        <f>股权价值增加表!M53</f>
        <v>14522441.789999999</v>
      </c>
      <c r="N3" s="26">
        <f>股权价值增加表!N53</f>
        <v>0</v>
      </c>
      <c r="O3" s="26">
        <f>股权价值增加表!O53</f>
        <v>0</v>
      </c>
      <c r="P3" s="26">
        <f>股权价值增加表!P53</f>
        <v>0</v>
      </c>
      <c r="Q3" s="26">
        <f>股权价值增加表!Q53</f>
        <v>8563830.6600000001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329</v>
      </c>
      <c r="E4" s="26">
        <f>资产资本表!E89</f>
        <v>11815688846.720001</v>
      </c>
      <c r="F4" s="26">
        <f>资产资本表!F89</f>
        <v>12785994643.599998</v>
      </c>
      <c r="G4" s="26">
        <f>资产资本表!G89</f>
        <v>10919616965.469999</v>
      </c>
      <c r="H4" s="26">
        <f>资产资本表!H89</f>
        <v>9421010526.6399994</v>
      </c>
      <c r="I4" s="26">
        <f>资产资本表!I89</f>
        <v>6703568014.6400003</v>
      </c>
      <c r="J4" s="26">
        <f>资产资本表!J89</f>
        <v>6207537031.6100006</v>
      </c>
      <c r="K4" s="26">
        <f>资产资本表!K89</f>
        <v>6773264673.1100006</v>
      </c>
      <c r="L4" s="26">
        <f>资产资本表!L89</f>
        <v>6685614189.5599995</v>
      </c>
      <c r="M4" s="26">
        <f>资产资本表!M89</f>
        <v>6669975394.960001</v>
      </c>
      <c r="N4" s="26">
        <f>资产资本表!N89</f>
        <v>6455542218.96</v>
      </c>
      <c r="O4" s="26">
        <f>资产资本表!O89</f>
        <v>5225534709.9500008</v>
      </c>
      <c r="P4" s="26">
        <f>资产资本表!P89</f>
        <v>4854255932.5599995</v>
      </c>
      <c r="Q4" s="26">
        <f>资产资本表!Q89</f>
        <v>5027077010.7200003</v>
      </c>
      <c r="R4" s="26">
        <f>资产资本表!R89</f>
        <v>4965156435.2300005</v>
      </c>
      <c r="S4" s="26">
        <f>资产资本表!S89</f>
        <v>4067126544.9699998</v>
      </c>
      <c r="T4" s="26">
        <f>资产资本表!T89</f>
        <v>3501024287.9300003</v>
      </c>
      <c r="U4" s="26">
        <f>资产资本表!U89</f>
        <v>3432929596.21</v>
      </c>
      <c r="V4" s="26">
        <f>资产资本表!V89</f>
        <v>3182584403.27</v>
      </c>
      <c r="W4" s="26">
        <f>资产资本表!W89</f>
        <v>2499872897.0100002</v>
      </c>
      <c r="X4" s="26">
        <f>资产资本表!X89</f>
        <v>2286259448</v>
      </c>
      <c r="Y4" s="26">
        <f>资产资本表!Y89</f>
        <v>2436750592.46</v>
      </c>
      <c r="Z4" s="26">
        <f>资产资本表!Z89</f>
        <v>1292329241.9899998</v>
      </c>
      <c r="AA4" s="26">
        <f>资产资本表!AA89</f>
        <v>807705622.71000004</v>
      </c>
      <c r="AB4" s="26">
        <f>资产资本表!AB89</f>
        <v>675052553.43000007</v>
      </c>
      <c r="AC4" s="26">
        <f>资产资本表!AC89</f>
        <v>666122973.91999996</v>
      </c>
      <c r="AD4" s="26">
        <f>资产资本表!AD89</f>
        <v>400742523.81</v>
      </c>
      <c r="AE4" s="26">
        <f>资产资本表!AE89</f>
        <v>370572821.42000002</v>
      </c>
      <c r="AF4" s="26">
        <f>资产资本表!AF89</f>
        <v>245155344.62</v>
      </c>
      <c r="AG4" s="26">
        <f>资产资本表!AG89</f>
        <v>182122909.62</v>
      </c>
      <c r="AH4" s="26">
        <f>资产资本表!AH89</f>
        <v>122078765.05</v>
      </c>
      <c r="AI4" s="26">
        <f>资产资本表!AI89</f>
        <v>269255882.72000003</v>
      </c>
      <c r="AJ4" s="26">
        <f>资产资本表!AJ89</f>
        <v>249106668.25</v>
      </c>
      <c r="AK4" s="26">
        <f>资产资本表!AK89</f>
        <v>208018930.5</v>
      </c>
      <c r="AL4" s="26">
        <f>资产资本表!AL89</f>
        <v>89496446.709999993</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333</v>
      </c>
      <c r="E5" s="63">
        <f>IF(E4+I4=0,0,E3/((E4+I4)/2))</f>
        <v>1.6912385693698896E-3</v>
      </c>
      <c r="F5" s="63">
        <f t="shared" ref="F5:BQ5" si="0">IF(F4+J4=0,0,F3/((F4+J4)/2))</f>
        <v>0</v>
      </c>
      <c r="G5" s="63">
        <f t="shared" si="0"/>
        <v>0</v>
      </c>
      <c r="H5" s="63">
        <f t="shared" si="0"/>
        <v>0</v>
      </c>
      <c r="I5" s="63">
        <f t="shared" si="0"/>
        <v>4.3439968690943661E-3</v>
      </c>
      <c r="J5" s="63">
        <f t="shared" si="0"/>
        <v>0</v>
      </c>
      <c r="K5" s="63">
        <f t="shared" si="0"/>
        <v>0</v>
      </c>
      <c r="L5" s="63">
        <f t="shared" si="0"/>
        <v>0</v>
      </c>
      <c r="M5" s="63">
        <f t="shared" si="0"/>
        <v>2.4830942508127962E-3</v>
      </c>
      <c r="N5" s="63">
        <f t="shared" si="0"/>
        <v>0</v>
      </c>
      <c r="O5" s="63">
        <f t="shared" si="0"/>
        <v>0</v>
      </c>
      <c r="P5" s="63">
        <f t="shared" si="0"/>
        <v>0</v>
      </c>
      <c r="Q5" s="63">
        <f t="shared" si="0"/>
        <v>2.0245446742287298E-3</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346</v>
      </c>
      <c r="E6" s="63">
        <f>股权价值增加表!E41</f>
        <v>0.14824121940870916</v>
      </c>
      <c r="F6" s="63">
        <f>股权价值增加表!F41</f>
        <v>0.1732301844343643</v>
      </c>
      <c r="G6" s="63">
        <f>股权价值增加表!G41</f>
        <v>0.17398162202247988</v>
      </c>
      <c r="H6" s="63">
        <f>股权价值增加表!H41</f>
        <v>0.1948471413363233</v>
      </c>
      <c r="I6" s="63">
        <f>股权价值增加表!I41</f>
        <v>0.14460482056292714</v>
      </c>
      <c r="J6" s="63">
        <f>股权价值增加表!J41</f>
        <v>0.15184373929095932</v>
      </c>
      <c r="K6" s="63">
        <f>股权价值增加表!K41</f>
        <v>0.15968113921904833</v>
      </c>
      <c r="L6" s="63">
        <f>股权价值增加表!L41</f>
        <v>0.16438732708401266</v>
      </c>
      <c r="M6" s="63">
        <f>股权价值增加表!M41</f>
        <v>0.146907351001554</v>
      </c>
      <c r="N6" s="63">
        <f>股权价值增加表!N41</f>
        <v>0.16132239626044945</v>
      </c>
      <c r="O6" s="63">
        <f>股权价值增加表!O41</f>
        <v>0.16233210064567613</v>
      </c>
      <c r="P6" s="63">
        <f>股权价值增加表!P41</f>
        <v>0.1531924330960088</v>
      </c>
      <c r="Q6" s="63">
        <f>股权价值增加表!Q41</f>
        <v>0.15630481498337845</v>
      </c>
      <c r="R6" s="63">
        <f>股权价值增加表!R41</f>
        <v>0.15476277158056251</v>
      </c>
      <c r="S6" s="63">
        <f>股权价值增加表!S41</f>
        <v>0.16284002299889269</v>
      </c>
      <c r="T6" s="63">
        <f>股权价值增加表!T41</f>
        <v>0.2043263125958649</v>
      </c>
      <c r="U6" s="63">
        <f>股权价值增加表!U41</f>
        <v>0.10710501873117677</v>
      </c>
      <c r="V6" s="63">
        <f>股权价值增加表!V41</f>
        <v>0.1469664809413985</v>
      </c>
      <c r="W6" s="63">
        <f>股权价值增加表!W41</f>
        <v>0.15752108108195062</v>
      </c>
      <c r="X6" s="63">
        <f>股权价值增加表!X41</f>
        <v>0.16328680908742607</v>
      </c>
      <c r="Y6" s="63">
        <f>股权价值增加表!Y41</f>
        <v>0.15132173462466028</v>
      </c>
      <c r="Z6" s="63">
        <f>股权价值增加表!Z41</f>
        <v>0.15777308320672714</v>
      </c>
      <c r="AA6" s="63">
        <f>股权价值增加表!AA41</f>
        <v>0.15703187072356486</v>
      </c>
      <c r="AB6" s="63">
        <f>股权价值增加表!AB41</f>
        <v>0.29096390304755132</v>
      </c>
      <c r="AC6" s="63">
        <f>股权价值增加表!AC41</f>
        <v>0.20877730844093437</v>
      </c>
      <c r="AD6" s="63">
        <f>股权价值增加表!AD41</f>
        <v>0.19369423241884262</v>
      </c>
      <c r="AE6" s="63">
        <f>股权价值增加表!AE41</f>
        <v>0.19172791647233781</v>
      </c>
      <c r="AF6" s="63">
        <f>股权价值增加表!AF41</f>
        <v>0.19542082339960129</v>
      </c>
      <c r="AG6" s="63">
        <f>股权价值增加表!AG41</f>
        <v>0.14857016298588005</v>
      </c>
      <c r="AH6" s="63">
        <f>股权价值增加表!AH41</f>
        <v>0.14683320892366467</v>
      </c>
      <c r="AI6" s="63">
        <f>股权价值增加表!AI41</f>
        <v>0.15483176809870189</v>
      </c>
      <c r="AJ6" s="63">
        <f>股权价值增加表!AJ41</f>
        <v>0.15353291956410947</v>
      </c>
      <c r="AK6" s="63">
        <f>股权价值增加表!AK41</f>
        <v>0.15047645722079225</v>
      </c>
      <c r="AL6" s="63">
        <f>股权价值增加表!AL41</f>
        <v>0.15024095883667293</v>
      </c>
      <c r="AM6" s="63">
        <f>股权价值增加表!AM41</f>
        <v>0.15274120196606347</v>
      </c>
      <c r="AN6" s="63">
        <f>股权价值增加表!AN41</f>
        <v>0.1478792631231293</v>
      </c>
      <c r="AO6" s="63">
        <f>股权价值增加表!AO41</f>
        <v>8.0749142836986698E-2</v>
      </c>
      <c r="AP6" s="63" t="e">
        <f>股权价值增加表!AP41</f>
        <v>#DIV/0!</v>
      </c>
      <c r="AQ6" s="63">
        <f>股权价值增加表!AQ41</f>
        <v>5.4623444638231016</v>
      </c>
      <c r="AR6" s="63">
        <f>股权价值增加表!AR41</f>
        <v>21.506440938812048</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c r="A7" s="63" t="s">
        <v>330</v>
      </c>
      <c r="E7" s="63">
        <f>E5*(1-E6)</f>
        <v>1.4405273015354564E-3</v>
      </c>
      <c r="F7" s="63">
        <f t="shared" ref="F7:BQ7" si="2">F5*(1-F6)</f>
        <v>0</v>
      </c>
      <c r="G7" s="63">
        <f t="shared" si="2"/>
        <v>0</v>
      </c>
      <c r="H7" s="63">
        <f t="shared" si="2"/>
        <v>0</v>
      </c>
      <c r="I7" s="63">
        <f t="shared" si="2"/>
        <v>3.7158339813130581E-3</v>
      </c>
      <c r="J7" s="63">
        <f t="shared" si="2"/>
        <v>0</v>
      </c>
      <c r="K7" s="63">
        <f t="shared" si="2"/>
        <v>0</v>
      </c>
      <c r="L7" s="63">
        <f t="shared" si="2"/>
        <v>0</v>
      </c>
      <c r="M7" s="63">
        <f t="shared" si="2"/>
        <v>2.1183094521387003E-3</v>
      </c>
      <c r="N7" s="63">
        <f t="shared" si="2"/>
        <v>0</v>
      </c>
      <c r="O7" s="63">
        <f t="shared" si="2"/>
        <v>0</v>
      </c>
      <c r="P7" s="63">
        <f t="shared" si="2"/>
        <v>0</v>
      </c>
      <c r="Q7" s="63">
        <f t="shared" si="2"/>
        <v>1.7080985934978239E-3</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t="e">
        <f t="shared" si="2"/>
        <v>#DIV/0!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c r="A8" s="17" t="s">
        <v>331</v>
      </c>
      <c r="E8" s="26">
        <f>资产资本表!E107</f>
        <v>18029361003.709999</v>
      </c>
      <c r="F8" s="26">
        <f>资产资本表!F107</f>
        <v>17391631485.049999</v>
      </c>
      <c r="G8" s="26">
        <f>资产资本表!G107</f>
        <v>16674637792.76</v>
      </c>
      <c r="H8" s="26">
        <f>资产资本表!H107</f>
        <v>16153760506.390001</v>
      </c>
      <c r="I8" s="26">
        <f>资产资本表!I107</f>
        <v>15602441096.73</v>
      </c>
      <c r="J8" s="26">
        <f>资产资本表!J107</f>
        <v>15023043343.190001</v>
      </c>
      <c r="K8" s="26">
        <f>资产资本表!K107</f>
        <v>10043098588.91</v>
      </c>
      <c r="L8" s="26">
        <f>资产资本表!L107</f>
        <v>9651224120.6300011</v>
      </c>
      <c r="M8" s="26">
        <f>资产资本表!M107</f>
        <v>9214674670.8900013</v>
      </c>
      <c r="N8" s="26">
        <f>资产资本表!N107</f>
        <v>5930638518.8900003</v>
      </c>
      <c r="O8" s="26">
        <f>资产资本表!O107</f>
        <v>5407522907.2699995</v>
      </c>
      <c r="P8" s="26">
        <f>资产资本表!P107</f>
        <v>5137469441.2299995</v>
      </c>
      <c r="Q8" s="26">
        <f>资产资本表!Q107</f>
        <v>4826640154.2799997</v>
      </c>
      <c r="R8" s="26">
        <f>资产资本表!R107</f>
        <v>4507508183.6199999</v>
      </c>
      <c r="S8" s="26">
        <f>资产资本表!S107</f>
        <v>4224493428.23</v>
      </c>
      <c r="T8" s="26">
        <f>资产资本表!T107</f>
        <v>4118249417.29</v>
      </c>
      <c r="U8" s="26">
        <f>资产资本表!U107</f>
        <v>3798064327.9300003</v>
      </c>
      <c r="V8" s="26">
        <f>资产资本表!V107</f>
        <v>3573769143.0300002</v>
      </c>
      <c r="W8" s="26">
        <f>资产资本表!W107</f>
        <v>3380245805.9200001</v>
      </c>
      <c r="X8" s="26">
        <f>资产资本表!X107</f>
        <v>3271723285.02</v>
      </c>
      <c r="Y8" s="26">
        <f>资产资本表!Y107</f>
        <v>3069706618.2800002</v>
      </c>
      <c r="Z8" s="26">
        <f>资产资本表!Z107</f>
        <v>2942154724.8900003</v>
      </c>
      <c r="AA8" s="26">
        <f>资产资本表!AA107</f>
        <v>2820033396.02</v>
      </c>
      <c r="AB8" s="26">
        <f>资产资本表!AB107</f>
        <v>1089129682.26</v>
      </c>
      <c r="AC8" s="26">
        <f>资产资本表!AC107</f>
        <v>1052366562.4599999</v>
      </c>
      <c r="AD8" s="26">
        <f>资产资本表!AD107</f>
        <v>1009346530.8000001</v>
      </c>
      <c r="AE8" s="26">
        <f>资产资本表!AE107</f>
        <v>941894734.58000004</v>
      </c>
      <c r="AF8" s="26">
        <f>资产资本表!AF107</f>
        <v>905903318.69000006</v>
      </c>
      <c r="AG8" s="26">
        <f>资产资本表!AG107</f>
        <v>889980728.88999999</v>
      </c>
      <c r="AH8" s="26">
        <f>资产资本表!AH107</f>
        <v>867956646.02999997</v>
      </c>
      <c r="AI8" s="26">
        <f>资产资本表!AI107</f>
        <v>303877640.35000002</v>
      </c>
      <c r="AJ8" s="26">
        <f>资产资本表!AJ107</f>
        <v>272725879.63</v>
      </c>
      <c r="AK8" s="26">
        <f>资产资本表!AK107</f>
        <v>176463328.59999999</v>
      </c>
      <c r="AL8" s="26">
        <f>资产资本表!AL107</f>
        <v>148168162.44</v>
      </c>
      <c r="AM8" s="26">
        <f>资产资本表!AM107</f>
        <v>0</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c r="A10" s="17" t="s">
        <v>332</v>
      </c>
      <c r="E10" s="26">
        <f>资产资本表!E70</f>
        <v>29845049850.429996</v>
      </c>
      <c r="F10" s="26">
        <f>资产资本表!F70</f>
        <v>30229934981.860001</v>
      </c>
      <c r="G10" s="26">
        <f>资产资本表!G70</f>
        <v>27641630769.799999</v>
      </c>
      <c r="H10" s="26">
        <f>资产资本表!H70</f>
        <v>25574771033.029999</v>
      </c>
      <c r="I10" s="26">
        <f>资产资本表!I70</f>
        <v>22306009111.369999</v>
      </c>
      <c r="J10" s="26">
        <f>资产资本表!J70</f>
        <v>21252916900.57</v>
      </c>
      <c r="K10" s="26">
        <f>资产资本表!K70</f>
        <v>16838459000.93</v>
      </c>
      <c r="L10" s="26">
        <f>资产资本表!L70</f>
        <v>16336838310.190001</v>
      </c>
      <c r="M10" s="26">
        <f>资产资本表!M70</f>
        <v>15884650065.85</v>
      </c>
      <c r="N10" s="26">
        <f>资产资本表!N70</f>
        <v>12386180737.849998</v>
      </c>
      <c r="O10" s="26">
        <f>资产资本表!O70</f>
        <v>10652207861.879999</v>
      </c>
      <c r="P10" s="26">
        <f>资产资本表!P70</f>
        <v>9991725373.7900009</v>
      </c>
      <c r="Q10" s="26">
        <f>资产资本表!Q70</f>
        <v>9891635565.4700012</v>
      </c>
      <c r="R10" s="26">
        <f>资产资本表!R70</f>
        <v>9510583019.3199997</v>
      </c>
      <c r="S10" s="26">
        <f>资产资本表!S70</f>
        <v>8329538373.6700001</v>
      </c>
      <c r="T10" s="26">
        <f>资产资本表!T70</f>
        <v>7632621218.8199997</v>
      </c>
      <c r="U10" s="26">
        <f>资产资本表!U70</f>
        <v>7244341437.7399998</v>
      </c>
      <c r="V10" s="26">
        <f>资产资本表!V70</f>
        <v>6769701059.8999996</v>
      </c>
      <c r="W10" s="26">
        <f>资产资本表!W70</f>
        <v>5893466216.5299997</v>
      </c>
      <c r="X10" s="26">
        <f>资产资本表!X70</f>
        <v>5562431904.2199993</v>
      </c>
      <c r="Y10" s="26">
        <f>资产资本表!Y70</f>
        <v>5510906381.9399996</v>
      </c>
      <c r="Z10" s="26">
        <f>资产资本表!Z70</f>
        <v>4238933138.0799999</v>
      </c>
      <c r="AA10" s="26">
        <f>资产资本表!AA70</f>
        <v>3632188189.9300003</v>
      </c>
      <c r="AB10" s="26">
        <f>资产资本表!AB70</f>
        <v>1768819767.8500001</v>
      </c>
      <c r="AC10" s="26">
        <f>资产资本表!AC70</f>
        <v>1718489536.3800001</v>
      </c>
      <c r="AD10" s="26">
        <f>资产资本表!AD70</f>
        <v>1410824158.3600001</v>
      </c>
      <c r="AE10" s="26">
        <f>资产资本表!AE70</f>
        <v>1313386445.9099998</v>
      </c>
      <c r="AF10" s="26">
        <f>资产资本表!AF70</f>
        <v>1151058663.3099999</v>
      </c>
      <c r="AG10" s="26">
        <f>资产资本表!AG70</f>
        <v>1072103638.51</v>
      </c>
      <c r="AH10" s="26">
        <f>资产资本表!AH70</f>
        <v>990035411.08000004</v>
      </c>
      <c r="AI10" s="26">
        <f>资产资本表!AI70</f>
        <v>573133523.07000005</v>
      </c>
      <c r="AJ10" s="26">
        <f>资产资本表!AJ70</f>
        <v>521832547.88</v>
      </c>
      <c r="AK10" s="26">
        <f>资产资本表!AK70</f>
        <v>384482259.09999996</v>
      </c>
      <c r="AL10" s="26">
        <f>资产资本表!AL70</f>
        <v>237664609.14999998</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347</v>
      </c>
      <c r="E11" s="63">
        <f>E4/E10</f>
        <v>0.39590112618122381</v>
      </c>
      <c r="F11" s="63">
        <f t="shared" ref="F11:BQ11" si="3">F4/F10</f>
        <v>0.42295805966081162</v>
      </c>
      <c r="G11" s="63">
        <f t="shared" si="3"/>
        <v>0.39504242916811844</v>
      </c>
      <c r="H11" s="63">
        <f t="shared" si="3"/>
        <v>0.36837125597225084</v>
      </c>
      <c r="I11" s="63">
        <f t="shared" si="3"/>
        <v>0.30052744895647887</v>
      </c>
      <c r="J11" s="63">
        <f t="shared" si="3"/>
        <v>0.29207929719254283</v>
      </c>
      <c r="K11" s="63">
        <f t="shared" si="3"/>
        <v>0.40224967574146236</v>
      </c>
      <c r="L11" s="63">
        <f t="shared" si="3"/>
        <v>0.40923549971048495</v>
      </c>
      <c r="M11" s="63">
        <f t="shared" si="3"/>
        <v>0.41990068193567631</v>
      </c>
      <c r="N11" s="63">
        <f t="shared" si="3"/>
        <v>0.52118908609439174</v>
      </c>
      <c r="O11" s="63">
        <f t="shared" si="3"/>
        <v>0.49055883791472976</v>
      </c>
      <c r="P11" s="63">
        <f t="shared" si="3"/>
        <v>0.48582759743312603</v>
      </c>
      <c r="Q11" s="63">
        <f t="shared" si="3"/>
        <v>0.50821494356996544</v>
      </c>
      <c r="R11" s="63">
        <f t="shared" si="3"/>
        <v>0.52206646271250423</v>
      </c>
      <c r="S11" s="63">
        <f t="shared" si="3"/>
        <v>0.48827754462676437</v>
      </c>
      <c r="T11" s="63">
        <f t="shared" si="3"/>
        <v>0.4586922614864487</v>
      </c>
      <c r="U11" s="63">
        <f t="shared" si="3"/>
        <v>0.4738773877119965</v>
      </c>
      <c r="V11" s="63">
        <f t="shared" si="3"/>
        <v>0.47012185251751903</v>
      </c>
      <c r="W11" s="63">
        <f t="shared" si="3"/>
        <v>0.42417701318086026</v>
      </c>
      <c r="X11" s="63">
        <f t="shared" si="3"/>
        <v>0.41101796612835917</v>
      </c>
      <c r="Y11" s="63">
        <f t="shared" si="3"/>
        <v>0.44216875112333026</v>
      </c>
      <c r="Z11" s="63">
        <f t="shared" si="3"/>
        <v>0.30487134377763569</v>
      </c>
      <c r="AA11" s="63">
        <f t="shared" si="3"/>
        <v>0.22237438713922095</v>
      </c>
      <c r="AB11" s="63">
        <f t="shared" si="3"/>
        <v>0.3816401001954689</v>
      </c>
      <c r="AC11" s="63">
        <f t="shared" si="3"/>
        <v>0.38762119862724836</v>
      </c>
      <c r="AD11" s="63">
        <f t="shared" si="3"/>
        <v>0.28404852683826987</v>
      </c>
      <c r="AE11" s="63">
        <f t="shared" si="3"/>
        <v>0.28215063629900872</v>
      </c>
      <c r="AF11" s="63">
        <f t="shared" si="3"/>
        <v>0.21298249379838555</v>
      </c>
      <c r="AG11" s="63">
        <f t="shared" si="3"/>
        <v>0.16987435083525393</v>
      </c>
      <c r="AH11" s="63">
        <f t="shared" si="3"/>
        <v>0.12330747333252244</v>
      </c>
      <c r="AI11" s="63">
        <f t="shared" si="3"/>
        <v>0.46979608046258758</v>
      </c>
      <c r="AJ11" s="63">
        <f t="shared" si="3"/>
        <v>0.47736897451495164</v>
      </c>
      <c r="AK11" s="63">
        <f t="shared" si="3"/>
        <v>0.54103648627880219</v>
      </c>
      <c r="AL11" s="63">
        <f t="shared" si="3"/>
        <v>0.37656614937361194</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c r="A12" s="17" t="s">
        <v>348</v>
      </c>
      <c r="E12" s="63">
        <f>E8/E10</f>
        <v>0.60409887381877625</v>
      </c>
      <c r="F12" s="63">
        <f t="shared" ref="F12:BQ12" si="4">F8/F10</f>
        <v>0.57531157428840485</v>
      </c>
      <c r="G12" s="63">
        <f t="shared" si="4"/>
        <v>0.60324363390954339</v>
      </c>
      <c r="H12" s="63">
        <f t="shared" si="4"/>
        <v>0.63162874402774927</v>
      </c>
      <c r="I12" s="63">
        <f t="shared" si="4"/>
        <v>0.69947255104352113</v>
      </c>
      <c r="J12" s="63">
        <f t="shared" si="4"/>
        <v>0.70686971644758489</v>
      </c>
      <c r="K12" s="63">
        <f t="shared" si="4"/>
        <v>0.59643810566960509</v>
      </c>
      <c r="L12" s="63">
        <f t="shared" si="4"/>
        <v>0.59076450028951499</v>
      </c>
      <c r="M12" s="63">
        <f t="shared" si="4"/>
        <v>0.5800993180643238</v>
      </c>
      <c r="N12" s="63">
        <f t="shared" si="4"/>
        <v>0.47881091390560837</v>
      </c>
      <c r="O12" s="63">
        <f t="shared" si="4"/>
        <v>0.5076433897447088</v>
      </c>
      <c r="P12" s="63">
        <f t="shared" si="4"/>
        <v>0.5141724025668738</v>
      </c>
      <c r="Q12" s="63">
        <f t="shared" si="4"/>
        <v>0.48795167617466323</v>
      </c>
      <c r="R12" s="63">
        <f t="shared" si="4"/>
        <v>0.47394656820337433</v>
      </c>
      <c r="S12" s="63">
        <f t="shared" si="4"/>
        <v>0.50717017423003785</v>
      </c>
      <c r="T12" s="63">
        <f t="shared" si="4"/>
        <v>0.53955899280518471</v>
      </c>
      <c r="U12" s="63">
        <f t="shared" si="4"/>
        <v>0.5242801378940628</v>
      </c>
      <c r="V12" s="63">
        <f t="shared" si="4"/>
        <v>0.52790649268090295</v>
      </c>
      <c r="W12" s="63">
        <f t="shared" si="4"/>
        <v>0.57355818829317851</v>
      </c>
      <c r="X12" s="63">
        <f t="shared" si="4"/>
        <v>0.5881821730775475</v>
      </c>
      <c r="Y12" s="63">
        <f t="shared" si="4"/>
        <v>0.55702390959495374</v>
      </c>
      <c r="Z12" s="63">
        <f t="shared" si="4"/>
        <v>0.69407905929429969</v>
      </c>
      <c r="AA12" s="63">
        <f t="shared" si="4"/>
        <v>0.7764006842592448</v>
      </c>
      <c r="AB12" s="63">
        <f t="shared" si="4"/>
        <v>0.6157380769120625</v>
      </c>
      <c r="AC12" s="63">
        <f t="shared" si="4"/>
        <v>0.61237880137275147</v>
      </c>
      <c r="AD12" s="63">
        <f t="shared" si="4"/>
        <v>0.71543042754052766</v>
      </c>
      <c r="AE12" s="63">
        <f t="shared" si="4"/>
        <v>0.71714972962690648</v>
      </c>
      <c r="AF12" s="63">
        <f t="shared" si="4"/>
        <v>0.78701750620161459</v>
      </c>
      <c r="AG12" s="63">
        <f t="shared" si="4"/>
        <v>0.83012564916474607</v>
      </c>
      <c r="AH12" s="63">
        <f t="shared" si="4"/>
        <v>0.87669252666747743</v>
      </c>
      <c r="AI12" s="63">
        <f t="shared" si="4"/>
        <v>0.53020391953741242</v>
      </c>
      <c r="AJ12" s="63">
        <f t="shared" si="4"/>
        <v>0.52263102548504836</v>
      </c>
      <c r="AK12" s="63">
        <f t="shared" si="4"/>
        <v>0.45896351372119787</v>
      </c>
      <c r="AL12" s="63">
        <f t="shared" si="4"/>
        <v>0.62343385062638812</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c r="A13" s="63" t="s">
        <v>349</v>
      </c>
      <c r="E13" s="63">
        <f>E5*E11*(1-E6)+E9*E12</f>
        <v>4.8898216286474783E-2</v>
      </c>
      <c r="F13" s="63">
        <f t="shared" ref="F13:J13" si="5">F5*F11*(1-F6)+F9*F12</f>
        <v>4.6024925943072385E-2</v>
      </c>
      <c r="G13" s="63">
        <f t="shared" si="5"/>
        <v>4.8259490712763475E-2</v>
      </c>
      <c r="H13" s="63">
        <f t="shared" si="5"/>
        <v>5.0530299522219942E-2</v>
      </c>
      <c r="I13" s="63">
        <f t="shared" si="5"/>
        <v>5.7074514190631503E-2</v>
      </c>
      <c r="J13" s="63">
        <f t="shared" si="5"/>
        <v>5.6549577315806794E-2</v>
      </c>
      <c r="K13" s="63">
        <f t="shared" ref="K13" si="6">K5*K11*(1-K6)+K9*K12</f>
        <v>4.7715048453568408E-2</v>
      </c>
      <c r="L13" s="63">
        <f t="shared" ref="L13" si="7">L5*L11*(1-L6)+L9*L12</f>
        <v>4.7261160023161199E-2</v>
      </c>
      <c r="M13" s="63">
        <f t="shared" ref="M13" si="8">M5*M11*(1-M6)+M9*M12</f>
        <v>4.7297425028649732E-2</v>
      </c>
      <c r="N13" s="63">
        <f t="shared" ref="N13:O13" si="9">N5*N11*(1-N6)+N9*N12</f>
        <v>3.8304873112448672E-2</v>
      </c>
      <c r="O13" s="63">
        <f t="shared" si="9"/>
        <v>4.0611471179576704E-2</v>
      </c>
      <c r="P13" s="63">
        <f t="shared" ref="P13" si="10">P5*P11*(1-P6)+P9*P12</f>
        <v>4.1133792205349906E-2</v>
      </c>
      <c r="Q13" s="63">
        <f t="shared" ref="Q13" si="11">Q5*Q11*(1-Q6)+Q9*Q12</f>
        <v>3.9904215324279492E-2</v>
      </c>
      <c r="R13" s="63">
        <f t="shared" ref="R13" si="12">R5*R11*(1-R6)+R9*R12</f>
        <v>3.791572545626995E-2</v>
      </c>
      <c r="S13" s="63">
        <f t="shared" ref="S13:T13" si="13">S5*S11*(1-S6)+S9*S12</f>
        <v>4.057361393840303E-2</v>
      </c>
      <c r="T13" s="63">
        <f t="shared" si="13"/>
        <v>4.3164719424414778E-2</v>
      </c>
      <c r="U13" s="63">
        <f t="shared" ref="U13" si="14">U5*U11*(1-U6)+U9*U12</f>
        <v>4.1942411031525025E-2</v>
      </c>
      <c r="V13" s="63">
        <f t="shared" ref="V13" si="15">V5*V11*(1-V6)+V9*V12</f>
        <v>4.2232519414472237E-2</v>
      </c>
      <c r="W13" s="63">
        <f t="shared" ref="W13" si="16">W5*W11*(1-W6)+W9*W12</f>
        <v>4.588465506345428E-2</v>
      </c>
      <c r="X13" s="63">
        <f t="shared" ref="X13:Y13" si="17">X5*X11*(1-X6)+X9*X12</f>
        <v>4.7054573846203804E-2</v>
      </c>
      <c r="Y13" s="63">
        <f t="shared" si="17"/>
        <v>4.4561912767596301E-2</v>
      </c>
      <c r="Z13" s="63">
        <f t="shared" ref="Z13" si="18">Z5*Z11*(1-Z6)+Z9*Z12</f>
        <v>5.5526324743543978E-2</v>
      </c>
      <c r="AA13" s="63">
        <f t="shared" ref="AA13" si="19">AA5*AA11*(1-AA6)+AA9*AA12</f>
        <v>6.2112054740739588E-2</v>
      </c>
      <c r="AB13" s="63">
        <f t="shared" ref="AB13" si="20">AB5*AB11*(1-AB6)+AB9*AB12</f>
        <v>4.9259046152965003E-2</v>
      </c>
      <c r="AC13" s="63">
        <f t="shared" ref="AC13:AD13" si="21">AC5*AC11*(1-AC6)+AC9*AC12</f>
        <v>4.8990304109820117E-2</v>
      </c>
      <c r="AD13" s="63">
        <f t="shared" si="21"/>
        <v>5.7234434203242215E-2</v>
      </c>
      <c r="AE13" s="63">
        <f t="shared" ref="AE13" si="22">AE5*AE11*(1-AE6)+AE9*AE12</f>
        <v>5.7371978370152517E-2</v>
      </c>
      <c r="AF13" s="63">
        <f t="shared" ref="AF13" si="23">AF5*AF11*(1-AF6)+AF9*AF12</f>
        <v>6.2961400496129166E-2</v>
      </c>
      <c r="AG13" s="63">
        <f t="shared" ref="AG13" si="24">AG5*AG11*(1-AG6)+AG9*AG12</f>
        <v>6.6410051933179684E-2</v>
      </c>
      <c r="AH13" s="63">
        <f t="shared" ref="AH13:AI13" si="25">AH5*AH11*(1-AH6)+AH9*AH12</f>
        <v>7.0135402133398195E-2</v>
      </c>
      <c r="AI13" s="63">
        <f t="shared" si="25"/>
        <v>4.2416313562992997E-2</v>
      </c>
      <c r="AJ13" s="63">
        <f t="shared" ref="AJ13" si="26">AJ5*AJ11*(1-AJ6)+AJ9*AJ12</f>
        <v>4.1810482038803873E-2</v>
      </c>
      <c r="AK13" s="63">
        <f t="shared" ref="AK13" si="27">AK5*AK11*(1-AK6)+AK9*AK12</f>
        <v>3.6717081097695829E-2</v>
      </c>
      <c r="AL13" s="63">
        <f t="shared" ref="AL13" si="28">AL5*AL11*(1-AL6)+AL9*AL12</f>
        <v>4.9874708050111051E-2</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5" customHeight="1">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ht="14.4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87"/>
  <sheetViews>
    <sheetView topLeftCell="A58" workbookViewId="0">
      <selection activeCell="E49" sqref="E49"/>
    </sheetView>
  </sheetViews>
  <sheetFormatPr defaultRowHeight="13.5"/>
  <cols>
    <col min="1" max="1" width="36.75" style="17" bestFit="1" customWidth="1"/>
    <col min="2" max="4" width="9.5" hidden="1" customWidth="1"/>
    <col min="5" max="5" width="23.25" bestFit="1" customWidth="1"/>
    <col min="6" max="8" width="23.25" hidden="1" customWidth="1"/>
    <col min="9" max="9" width="23.25" bestFit="1" customWidth="1"/>
    <col min="10" max="12" width="23.25" hidden="1" customWidth="1"/>
    <col min="13" max="13" width="23.25" bestFit="1" customWidth="1"/>
    <col min="14" max="15" width="23.25" hidden="1" customWidth="1"/>
    <col min="16"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2" width="22" hidden="1" customWidth="1"/>
    <col min="33" max="33" width="22" bestFit="1" customWidth="1"/>
    <col min="34" max="35" width="19.5" hidden="1" customWidth="1"/>
    <col min="36" max="38" width="19.5" bestFit="1" customWidth="1"/>
    <col min="39" max="39" width="9.5" hidden="1" customWidth="1"/>
    <col min="40" max="90" width="8.5" bestFit="1" customWidth="1"/>
  </cols>
  <sheetData>
    <row r="1" spans="1:90" s="26" customFormat="1" ht="14.45">
      <c r="A1" s="17">
        <v>2450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40178</v>
      </c>
      <c r="AK1" s="1">
        <v>39813</v>
      </c>
      <c r="AL1" s="1">
        <v>39447</v>
      </c>
      <c r="AM1" s="1">
        <v>25569</v>
      </c>
      <c r="AN1" s="189"/>
      <c r="AO1" s="189"/>
      <c r="AP1" s="189"/>
      <c r="AQ1" s="189"/>
      <c r="AR1" s="189"/>
      <c r="AS1" s="189"/>
      <c r="AT1" s="189"/>
      <c r="AU1" s="189"/>
      <c r="AV1" s="189"/>
      <c r="AW1" s="189"/>
      <c r="AX1" s="189"/>
      <c r="AY1" s="189"/>
      <c r="AZ1" s="189"/>
      <c r="BA1" s="189"/>
      <c r="BB1" s="189"/>
      <c r="BC1" s="189"/>
      <c r="BD1" s="189"/>
      <c r="BE1" s="189"/>
      <c r="BF1" s="189"/>
      <c r="BG1" s="189"/>
      <c r="BH1" s="189"/>
      <c r="BI1" s="189"/>
      <c r="BJ1" s="189"/>
      <c r="BK1" s="189"/>
      <c r="BL1" s="189"/>
      <c r="BM1" s="189"/>
      <c r="BN1" s="189"/>
      <c r="BO1" s="189"/>
      <c r="BP1" s="189"/>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s="26" customFormat="1">
      <c r="A2" s="41" t="s">
        <v>551</v>
      </c>
      <c r="E2" s="26">
        <f>资产资本表!E17</f>
        <v>23071052529.989998</v>
      </c>
      <c r="F2" s="26">
        <f>资产资本表!F17</f>
        <v>21352274637.75</v>
      </c>
      <c r="G2" s="26">
        <f>资产资本表!G17</f>
        <v>17946302369.950001</v>
      </c>
      <c r="H2" s="26">
        <f>资产资本表!H17</f>
        <v>15534440338.699999</v>
      </c>
      <c r="I2" s="26">
        <f>资产资本表!I17</f>
        <v>15765188074.299999</v>
      </c>
      <c r="J2" s="26">
        <f>资产资本表!J17</f>
        <v>15716087361.67</v>
      </c>
      <c r="K2" s="26">
        <f>资产资本表!K17</f>
        <v>10648121818.280001</v>
      </c>
      <c r="L2" s="26">
        <f>资产资本表!L17</f>
        <v>10700181034.92</v>
      </c>
      <c r="M2" s="26">
        <f>资产资本表!M17</f>
        <v>10133151907</v>
      </c>
      <c r="N2" s="26">
        <f>资产资本表!N17</f>
        <v>6611834940.04</v>
      </c>
      <c r="O2" s="26">
        <f>资产资本表!O17</f>
        <v>5444212539.9099998</v>
      </c>
      <c r="P2" s="26">
        <f>资产资本表!P17</f>
        <v>4069518701.1599998</v>
      </c>
      <c r="Q2" s="26">
        <f>资产资本表!Q17</f>
        <v>4195000780.1000004</v>
      </c>
      <c r="R2" s="26">
        <f>资产资本表!R17</f>
        <v>3821607434.6199999</v>
      </c>
      <c r="S2" s="26">
        <f>资产资本表!S17</f>
        <v>2796391151.8499999</v>
      </c>
      <c r="T2" s="26">
        <f>资产资本表!T17</f>
        <v>2323949894.6599998</v>
      </c>
      <c r="U2" s="26">
        <f>资产资本表!U17</f>
        <v>2675386027.0700002</v>
      </c>
      <c r="V2" s="26">
        <f>资产资本表!V17</f>
        <v>2584698785.8200002</v>
      </c>
      <c r="W2" s="26">
        <f>资产资本表!W17</f>
        <v>2644577589.6799998</v>
      </c>
      <c r="X2" s="26">
        <f>资产资本表!X17</f>
        <v>2751523259.3800001</v>
      </c>
      <c r="Y2" s="26">
        <f>资产资本表!Y17</f>
        <v>3445629597.9899998</v>
      </c>
      <c r="Z2" s="26">
        <f>资产资本表!Z17</f>
        <v>2569228947.27</v>
      </c>
      <c r="AA2" s="26">
        <f>资产资本表!AA17</f>
        <v>2244750389.1300001</v>
      </c>
      <c r="AB2" s="26">
        <f>资产资本表!AB17</f>
        <v>680514715.74000001</v>
      </c>
      <c r="AC2" s="26">
        <f>资产资本表!AC17</f>
        <v>683957407.77999997</v>
      </c>
      <c r="AD2" s="26">
        <f>资产资本表!AD17</f>
        <v>742879369.25999999</v>
      </c>
      <c r="AE2" s="26">
        <f>资产资本表!AE17</f>
        <v>782365552.09000003</v>
      </c>
      <c r="AF2" s="26">
        <f>资产资本表!AF17</f>
        <v>704850866.16999996</v>
      </c>
      <c r="AG2" s="26">
        <f>资产资本表!AG17</f>
        <v>681329153</v>
      </c>
      <c r="AH2" s="26">
        <f>资产资本表!AH17</f>
        <v>572976767.17000008</v>
      </c>
      <c r="AI2" s="26">
        <f>资产资本表!AI17</f>
        <v>176269199.97</v>
      </c>
      <c r="AJ2" s="26">
        <f>资产资本表!AJ17</f>
        <v>178717039.56</v>
      </c>
      <c r="AK2" s="26">
        <f>资产资本表!AK17</f>
        <v>46297574.269999996</v>
      </c>
      <c r="AL2" s="26">
        <f>资产资本表!AL17</f>
        <v>53516466.599999994</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41" t="s">
        <v>552</v>
      </c>
      <c r="E3" s="26">
        <f>资产资本表!E19</f>
        <v>0</v>
      </c>
      <c r="F3" s="26">
        <f>资产资本表!F19</f>
        <v>16531370.939999999</v>
      </c>
      <c r="G3" s="26">
        <f>资产资本表!G19</f>
        <v>16531370.939999999</v>
      </c>
      <c r="H3" s="26">
        <f>资产资本表!H19</f>
        <v>22475765</v>
      </c>
      <c r="I3" s="26">
        <f>资产资本表!I19</f>
        <v>22475765</v>
      </c>
      <c r="J3" s="26">
        <f>资产资本表!J19</f>
        <v>26007345.920000002</v>
      </c>
      <c r="K3" s="26">
        <f>资产资本表!K19</f>
        <v>29341371.530000001</v>
      </c>
      <c r="L3" s="26">
        <f>资产资本表!L19</f>
        <v>33128177.440000001</v>
      </c>
      <c r="M3" s="26">
        <f>资产资本表!M19</f>
        <v>33128177.440000001</v>
      </c>
      <c r="N3" s="26">
        <f>资产资本表!N19</f>
        <v>12500000</v>
      </c>
      <c r="O3" s="26">
        <f>资产资本表!O19</f>
        <v>0</v>
      </c>
      <c r="P3" s="26">
        <f>资产资本表!P19</f>
        <v>3000000</v>
      </c>
      <c r="Q3" s="26">
        <f>资产资本表!Q19</f>
        <v>0</v>
      </c>
      <c r="R3" s="26">
        <f>资产资本表!R19</f>
        <v>0</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557</v>
      </c>
      <c r="E4" s="26">
        <f>资产资本表!E50</f>
        <v>2176789317.6199989</v>
      </c>
      <c r="F4" s="26">
        <f>资产资本表!F50</f>
        <v>4369764915.8499994</v>
      </c>
      <c r="G4" s="26">
        <f>资产资本表!G50</f>
        <v>5220806753.3099995</v>
      </c>
      <c r="H4" s="26">
        <f>资产资本表!H50</f>
        <v>5688610028.8599997</v>
      </c>
      <c r="I4" s="26">
        <f>资产资本表!I50</f>
        <v>2272710605.5500002</v>
      </c>
      <c r="J4" s="26">
        <f>资产资本表!J50</f>
        <v>1231858035.6499996</v>
      </c>
      <c r="K4" s="26">
        <f>资产资本表!K50</f>
        <v>2056499964.2799997</v>
      </c>
      <c r="L4" s="26">
        <f>资产资本表!L50</f>
        <v>1285237309.7899995</v>
      </c>
      <c r="M4" s="26">
        <f>资产资本表!M50</f>
        <v>1517332624.7999992</v>
      </c>
      <c r="N4" s="26">
        <f>资产资本表!N50</f>
        <v>1550512620.9000001</v>
      </c>
      <c r="O4" s="26">
        <f>资产资本表!O50</f>
        <v>1009841203.6400003</v>
      </c>
      <c r="P4" s="26">
        <f>资产资本表!P50</f>
        <v>1872220643.1500001</v>
      </c>
      <c r="Q4" s="26">
        <f>资产资本表!Q50</f>
        <v>1674205375.9700003</v>
      </c>
      <c r="R4" s="26">
        <f>资产资本表!R50</f>
        <v>1245236227.2899997</v>
      </c>
      <c r="S4" s="26">
        <f>资产资本表!S50</f>
        <v>853389782.88</v>
      </c>
      <c r="T4" s="26">
        <f>资产资本表!T50</f>
        <v>1209713999.52</v>
      </c>
      <c r="U4" s="26">
        <f>资产资本表!U50</f>
        <v>574062493.85000014</v>
      </c>
      <c r="V4" s="26">
        <f>资产资本表!V50</f>
        <v>687208727.24000001</v>
      </c>
      <c r="W4" s="26">
        <f>资产资本表!W50</f>
        <v>391974552.43000001</v>
      </c>
      <c r="X4" s="26">
        <f>资产资本表!X50</f>
        <v>1103758317.6599998</v>
      </c>
      <c r="Y4" s="26">
        <f>资产资本表!Y50</f>
        <v>407928434.97000003</v>
      </c>
      <c r="Z4" s="26">
        <f>资产资本表!Z50</f>
        <v>703739427.26999998</v>
      </c>
      <c r="AA4" s="26">
        <f>资产资本表!AA50</f>
        <v>453054346.01999992</v>
      </c>
      <c r="AB4" s="26">
        <f>资产资本表!AB50</f>
        <v>199726286.15999997</v>
      </c>
      <c r="AC4" s="26">
        <f>资产资本表!AC50</f>
        <v>306422389.57999992</v>
      </c>
      <c r="AD4" s="26">
        <f>资产资本表!AD50</f>
        <v>305630750.26000005</v>
      </c>
      <c r="AE4" s="26">
        <f>资产资本表!AE50</f>
        <v>195253954.55999997</v>
      </c>
      <c r="AF4" s="26">
        <f>资产资本表!AF50</f>
        <v>115021140.60000002</v>
      </c>
      <c r="AG4" s="26">
        <f>资产资本表!AG50</f>
        <v>76662670.059999973</v>
      </c>
      <c r="AH4" s="26">
        <f>资产资本表!AH50</f>
        <v>146329346.09999999</v>
      </c>
      <c r="AI4" s="26">
        <f>资产资本表!AI50</f>
        <v>132226950.92999999</v>
      </c>
      <c r="AJ4" s="26">
        <f>资产资本表!AJ50</f>
        <v>77537241.949999988</v>
      </c>
      <c r="AK4" s="26">
        <f>资产资本表!AK50</f>
        <v>120806879.63000001</v>
      </c>
      <c r="AL4" s="26">
        <f>资产资本表!AL50</f>
        <v>55034861.480000012</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334</v>
      </c>
      <c r="E5" s="26">
        <f>资产资本表!E33</f>
        <v>6584012085.4799995</v>
      </c>
      <c r="F5" s="26">
        <f>资产资本表!F33</f>
        <v>7893921458.6699991</v>
      </c>
      <c r="G5" s="26">
        <f>资产资本表!G33</f>
        <v>8728053043.6700001</v>
      </c>
      <c r="H5" s="26">
        <f>资产资本表!H33</f>
        <v>8369347617.3899994</v>
      </c>
      <c r="I5" s="26">
        <f>资产资本表!I33</f>
        <v>6386526503.2799997</v>
      </c>
      <c r="J5" s="26">
        <f>资产资本表!J33</f>
        <v>5271904788.8499994</v>
      </c>
      <c r="K5" s="26">
        <f>资产资本表!K33</f>
        <v>4973889641.6300001</v>
      </c>
      <c r="L5" s="26">
        <f>资产资本表!L33</f>
        <v>4273755459.2599993</v>
      </c>
      <c r="M5" s="26">
        <f>资产资本表!M33</f>
        <v>4000686665.0999994</v>
      </c>
      <c r="N5" s="26">
        <f>资产资本表!N33</f>
        <v>3910328536.9299998</v>
      </c>
      <c r="O5" s="26">
        <f>资产资本表!O33</f>
        <v>3038415768.9300003</v>
      </c>
      <c r="P5" s="26">
        <f>资产资本表!P33</f>
        <v>2773963241.2600002</v>
      </c>
      <c r="Q5" s="26">
        <f>资产资本表!Q33</f>
        <v>2659073462.4700003</v>
      </c>
      <c r="R5" s="26">
        <f>资产资本表!R33</f>
        <v>2189718473.8599997</v>
      </c>
      <c r="S5" s="26">
        <f>资产资本表!S33</f>
        <v>1892926053.29</v>
      </c>
      <c r="T5" s="26">
        <f>资产资本表!T33</f>
        <v>1664615893.4300001</v>
      </c>
      <c r="U5" s="26">
        <f>资产资本表!U33</f>
        <v>1292473748.8900001</v>
      </c>
      <c r="V5" s="26">
        <f>资产资本表!V33</f>
        <v>1045936812.8399999</v>
      </c>
      <c r="W5" s="26">
        <f>资产资本表!W33</f>
        <v>720232464.05999994</v>
      </c>
      <c r="X5" s="26">
        <f>资产资本表!X33</f>
        <v>1324879966.0899999</v>
      </c>
      <c r="Y5" s="26">
        <f>资产资本表!Y33</f>
        <v>687963958.35000002</v>
      </c>
      <c r="Z5" s="26">
        <f>资产资本表!Z33</f>
        <v>922512911.25999999</v>
      </c>
      <c r="AA5" s="26">
        <f>资产资本表!AA33</f>
        <v>719264928.05999994</v>
      </c>
      <c r="AB5" s="26">
        <f>资产资本表!AB33</f>
        <v>489064173.39999998</v>
      </c>
      <c r="AC5" s="26">
        <f>资产资本表!AC33</f>
        <v>486887979.00999999</v>
      </c>
      <c r="AD5" s="26">
        <f>资产资本表!AD33</f>
        <v>534288049.01000005</v>
      </c>
      <c r="AE5" s="26">
        <f>资产资本表!AE33</f>
        <v>417369784.14999998</v>
      </c>
      <c r="AF5" s="26">
        <f>资产资本表!AF33</f>
        <v>247450328.94000003</v>
      </c>
      <c r="AG5" s="26">
        <f>资产资本表!AG33</f>
        <v>149590842.63999999</v>
      </c>
      <c r="AH5" s="26">
        <f>资产资本表!AH33</f>
        <v>178374601.75999999</v>
      </c>
      <c r="AI5" s="26">
        <f>资产资本表!AI33</f>
        <v>161816401.22999999</v>
      </c>
      <c r="AJ5" s="26">
        <f>资产资本表!AJ33</f>
        <v>114010485.79999998</v>
      </c>
      <c r="AK5" s="26">
        <f>资产资本表!AK33</f>
        <v>146180637.03</v>
      </c>
      <c r="AL5" s="26">
        <f>资产资本表!AL33</f>
        <v>68111962.020000011</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335</v>
      </c>
      <c r="E6" s="26">
        <f>资产资本表!E49</f>
        <v>4407222767.8600006</v>
      </c>
      <c r="F6" s="26">
        <f>资产资本表!F49</f>
        <v>3524156542.8199997</v>
      </c>
      <c r="G6" s="26">
        <f>资产资本表!G49</f>
        <v>3507246290.3600001</v>
      </c>
      <c r="H6" s="26">
        <f>资产资本表!H49</f>
        <v>2680737588.5299997</v>
      </c>
      <c r="I6" s="26">
        <f>资产资本表!I49</f>
        <v>4113815897.7299995</v>
      </c>
      <c r="J6" s="26">
        <f>资产资本表!J49</f>
        <v>4040046753.1999998</v>
      </c>
      <c r="K6" s="26">
        <f>资产资本表!K49</f>
        <v>2917389677.3500004</v>
      </c>
      <c r="L6" s="26">
        <f>资产资本表!L49</f>
        <v>2988518149.4699998</v>
      </c>
      <c r="M6" s="26">
        <f>资产资本表!M49</f>
        <v>2483354040.3000002</v>
      </c>
      <c r="N6" s="26">
        <f>资产资本表!N49</f>
        <v>2359815916.0299997</v>
      </c>
      <c r="O6" s="26">
        <f>资产资本表!O49</f>
        <v>2028574565.29</v>
      </c>
      <c r="P6" s="26">
        <f>资产资本表!P49</f>
        <v>901742598.11000001</v>
      </c>
      <c r="Q6" s="26">
        <f>资产资本表!Q49</f>
        <v>984868086.5</v>
      </c>
      <c r="R6" s="26">
        <f>资产资本表!R49</f>
        <v>944482246.56999993</v>
      </c>
      <c r="S6" s="26">
        <f>资产资本表!S49</f>
        <v>1039536270.41</v>
      </c>
      <c r="T6" s="26">
        <f>资产资本表!T49</f>
        <v>454901893.90999997</v>
      </c>
      <c r="U6" s="26">
        <f>资产资本表!U49</f>
        <v>718411255.03999996</v>
      </c>
      <c r="V6" s="26">
        <f>资产资本表!V49</f>
        <v>358728085.59999996</v>
      </c>
      <c r="W6" s="26">
        <f>资产资本表!W49</f>
        <v>328257911.62999994</v>
      </c>
      <c r="X6" s="26">
        <f>资产资本表!X49</f>
        <v>221121648.43000001</v>
      </c>
      <c r="Y6" s="26">
        <f>资产资本表!Y49</f>
        <v>280035523.38</v>
      </c>
      <c r="Z6" s="26">
        <f>资产资本表!Z49</f>
        <v>218773483.99000001</v>
      </c>
      <c r="AA6" s="26">
        <f>资产资本表!AA49</f>
        <v>266210582.04000002</v>
      </c>
      <c r="AB6" s="26">
        <f>资产资本表!AB49</f>
        <v>289337887.24000001</v>
      </c>
      <c r="AC6" s="26">
        <f>资产资本表!AC49</f>
        <v>180465589.43000004</v>
      </c>
      <c r="AD6" s="26">
        <f>资产资本表!AD49</f>
        <v>228657298.75</v>
      </c>
      <c r="AE6" s="26">
        <f>资产资本表!AE49</f>
        <v>222115829.59</v>
      </c>
      <c r="AF6" s="26">
        <f>资产资本表!AF49</f>
        <v>132429188.34</v>
      </c>
      <c r="AG6" s="26">
        <f>资产资本表!AG49</f>
        <v>72928172.580000013</v>
      </c>
      <c r="AH6" s="26">
        <f>资产资本表!AH49</f>
        <v>32045255.66</v>
      </c>
      <c r="AI6" s="26">
        <f>资产资本表!AI49</f>
        <v>29589450.300000001</v>
      </c>
      <c r="AJ6" s="26">
        <f>资产资本表!AJ49</f>
        <v>36473243.850000001</v>
      </c>
      <c r="AK6" s="26">
        <f>资产资本表!AK49</f>
        <v>25373757.399999995</v>
      </c>
      <c r="AL6" s="26">
        <f>资产资本表!AL49</f>
        <v>13077100.539999999</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336</v>
      </c>
      <c r="E7" s="26">
        <f>资产资本表!E68</f>
        <v>4597208002.8199997</v>
      </c>
      <c r="F7" s="26">
        <f>资产资本表!F68</f>
        <v>4491364057.3200006</v>
      </c>
      <c r="G7" s="26">
        <f>资产资本表!G68</f>
        <v>4457990275.6000004</v>
      </c>
      <c r="H7" s="26">
        <f>资产资本表!H68</f>
        <v>4329244900.4700003</v>
      </c>
      <c r="I7" s="26">
        <f>资产资本表!I68</f>
        <v>4245634666.5200005</v>
      </c>
      <c r="J7" s="26">
        <f>资产资本表!J68</f>
        <v>4278964157.3299994</v>
      </c>
      <c r="K7" s="26">
        <f>资产资本表!K68</f>
        <v>4104495846.8400002</v>
      </c>
      <c r="L7" s="26">
        <f>资产资本表!L68</f>
        <v>4318291788.04</v>
      </c>
      <c r="M7" s="26">
        <f>资产资本表!M68</f>
        <v>4201037356.6100001</v>
      </c>
      <c r="N7" s="26">
        <f>资产资本表!N68</f>
        <v>4211333176.9099998</v>
      </c>
      <c r="O7" s="26">
        <f>资产资本表!O68</f>
        <v>4198154118.3299994</v>
      </c>
      <c r="P7" s="26">
        <f>资产资本表!P68</f>
        <v>4046986029.48</v>
      </c>
      <c r="Q7" s="26">
        <f>资产资本表!Q68</f>
        <v>4022429409.4000006</v>
      </c>
      <c r="R7" s="26">
        <f>资产资本表!R68</f>
        <v>4443739357.4099998</v>
      </c>
      <c r="S7" s="26">
        <f>资产资本表!S68</f>
        <v>4679757438.9399996</v>
      </c>
      <c r="T7" s="26">
        <f>资产资本表!T68</f>
        <v>4098957324.6399994</v>
      </c>
      <c r="U7" s="26">
        <f>资产资本表!U68</f>
        <v>3994892916.8199997</v>
      </c>
      <c r="V7" s="26">
        <f>资产资本表!V68</f>
        <v>3497793546.8400002</v>
      </c>
      <c r="W7" s="26">
        <f>资产资本表!W68</f>
        <v>2856914074.4200001</v>
      </c>
      <c r="X7" s="26">
        <f>资产资本表!X68</f>
        <v>1707150327.1799998</v>
      </c>
      <c r="Y7" s="26">
        <f>资产资本表!Y68</f>
        <v>1657348348.98</v>
      </c>
      <c r="Z7" s="26">
        <f>资产资本表!Z68</f>
        <v>965964763.53999996</v>
      </c>
      <c r="AA7" s="26">
        <f>资产资本表!AA68</f>
        <v>934383454.78000009</v>
      </c>
      <c r="AB7" s="26">
        <f>资产资本表!AB68</f>
        <v>888578765.95000029</v>
      </c>
      <c r="AC7" s="26">
        <f>资产资本表!AC68</f>
        <v>728109739.0200001</v>
      </c>
      <c r="AD7" s="26">
        <f>资产资本表!AD68</f>
        <v>362314038.84000003</v>
      </c>
      <c r="AE7" s="26">
        <f>资产资本表!AE68</f>
        <v>335766939.25999999</v>
      </c>
      <c r="AF7" s="26">
        <f>资产资本表!AF68</f>
        <v>331186656.53999996</v>
      </c>
      <c r="AG7" s="26">
        <f>资产资本表!AG68</f>
        <v>314111815.44999999</v>
      </c>
      <c r="AH7" s="26">
        <f>资产资本表!AH68</f>
        <v>270729297.80999994</v>
      </c>
      <c r="AI7" s="26">
        <f>资产资本表!AI68</f>
        <v>264637372.17000002</v>
      </c>
      <c r="AJ7" s="26">
        <f>资产资本表!AJ68</f>
        <v>265578266.37</v>
      </c>
      <c r="AK7" s="26">
        <f>资产资本表!AK68</f>
        <v>217377805.19999999</v>
      </c>
      <c r="AL7" s="26">
        <f>资产资本表!AL68</f>
        <v>129113281.06999998</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41" t="s">
        <v>636</v>
      </c>
      <c r="E8" s="26">
        <f>资产资本表!E69</f>
        <v>6773997320.4399986</v>
      </c>
      <c r="F8" s="26">
        <f>资产资本表!F69</f>
        <v>8861128973.1700001</v>
      </c>
      <c r="G8" s="26">
        <f>资产资本表!G69</f>
        <v>9678797028.9099998</v>
      </c>
      <c r="H8" s="26">
        <f>资产资本表!H69</f>
        <v>10017854929.33</v>
      </c>
      <c r="I8" s="26">
        <f>资产资本表!I69</f>
        <v>6518345272.0700006</v>
      </c>
      <c r="J8" s="26">
        <f>资产资本表!J69</f>
        <v>5510822192.9799995</v>
      </c>
      <c r="K8" s="26">
        <f>资产资本表!K69</f>
        <v>6160995811.1199999</v>
      </c>
      <c r="L8" s="26">
        <f>资产资本表!L69</f>
        <v>5603529097.8299999</v>
      </c>
      <c r="M8" s="26">
        <f>资产资本表!M69</f>
        <v>5718369981.4099998</v>
      </c>
      <c r="N8" s="26">
        <f>资产资本表!N69</f>
        <v>5761845797.8099995</v>
      </c>
      <c r="O8" s="26">
        <f>资产资本表!O69</f>
        <v>5207995321.9699993</v>
      </c>
      <c r="P8" s="26">
        <f>资产资本表!P69</f>
        <v>5919206672.6300001</v>
      </c>
      <c r="Q8" s="26">
        <f>资产资本表!Q69</f>
        <v>5696634785.3700008</v>
      </c>
      <c r="R8" s="26">
        <f>资产资本表!R69</f>
        <v>5688975584.6999998</v>
      </c>
      <c r="S8" s="26">
        <f>资产资本表!S69</f>
        <v>5533147221.8199997</v>
      </c>
      <c r="T8" s="26">
        <f>资产资本表!T69</f>
        <v>5308671324.1599998</v>
      </c>
      <c r="U8" s="26">
        <f>资产资本表!U69</f>
        <v>4568955410.6700001</v>
      </c>
      <c r="V8" s="26">
        <f>资产资本表!V69</f>
        <v>4185002274.0799999</v>
      </c>
      <c r="W8" s="26">
        <f>资产资本表!W69</f>
        <v>3248888626.8499999</v>
      </c>
      <c r="X8" s="26">
        <f>资产资本表!X69</f>
        <v>2810908644.8399997</v>
      </c>
      <c r="Y8" s="26">
        <f>资产资本表!Y69</f>
        <v>2065276783.95</v>
      </c>
      <c r="Z8" s="26">
        <f>资产资本表!Z69</f>
        <v>1669704190.8099999</v>
      </c>
      <c r="AA8" s="26">
        <f>资产资本表!AA69</f>
        <v>1387437800.8</v>
      </c>
      <c r="AB8" s="26">
        <f>资产资本表!AB69</f>
        <v>1088305052.1100001</v>
      </c>
      <c r="AC8" s="26">
        <f>资产资本表!AC69</f>
        <v>1034532128.6</v>
      </c>
      <c r="AD8" s="26">
        <f>资产资本表!AD69</f>
        <v>667944789.10000014</v>
      </c>
      <c r="AE8" s="26">
        <f>资产资本表!AE69</f>
        <v>531020893.81999993</v>
      </c>
      <c r="AF8" s="26">
        <f>资产资本表!AF69</f>
        <v>446207797.13999999</v>
      </c>
      <c r="AG8" s="26">
        <f>资产资本表!AG69</f>
        <v>390774485.50999999</v>
      </c>
      <c r="AH8" s="26">
        <f>资产资本表!AH69</f>
        <v>417058643.90999997</v>
      </c>
      <c r="AI8" s="26">
        <f>资产资本表!AI69</f>
        <v>396864323.10000002</v>
      </c>
      <c r="AJ8" s="26">
        <f>资产资本表!AJ69</f>
        <v>343115508.31999999</v>
      </c>
      <c r="AK8" s="26">
        <f>资产资本表!AK69</f>
        <v>338184684.82999998</v>
      </c>
      <c r="AL8" s="26">
        <f>资产资本表!AL69</f>
        <v>184148142.54999998</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638</v>
      </c>
      <c r="E9" s="48">
        <f>资产资本表!E70</f>
        <v>29845049850.429996</v>
      </c>
      <c r="F9" s="48">
        <f>资产资本表!F70</f>
        <v>30229934981.860001</v>
      </c>
      <c r="G9" s="48">
        <f>资产资本表!G70</f>
        <v>27641630769.799999</v>
      </c>
      <c r="H9" s="48">
        <f>资产资本表!H70</f>
        <v>25574771033.029999</v>
      </c>
      <c r="I9" s="48">
        <f>资产资本表!I70</f>
        <v>22306009111.369999</v>
      </c>
      <c r="J9" s="48">
        <f>资产资本表!J70</f>
        <v>21252916900.57</v>
      </c>
      <c r="K9" s="48">
        <f>资产资本表!K70</f>
        <v>16838459000.93</v>
      </c>
      <c r="L9" s="48">
        <f>资产资本表!L70</f>
        <v>16336838310.190001</v>
      </c>
      <c r="M9" s="48">
        <f>资产资本表!M70</f>
        <v>15884650065.85</v>
      </c>
      <c r="N9" s="48">
        <f>资产资本表!N70</f>
        <v>12386180737.849998</v>
      </c>
      <c r="O9" s="48">
        <f>资产资本表!O70</f>
        <v>10652207861.879999</v>
      </c>
      <c r="P9" s="48">
        <f>资产资本表!P70</f>
        <v>9991725373.7900009</v>
      </c>
      <c r="Q9" s="48">
        <f>资产资本表!Q70</f>
        <v>9891635565.4700012</v>
      </c>
      <c r="R9" s="48">
        <f>资产资本表!R70</f>
        <v>9510583019.3199997</v>
      </c>
      <c r="S9" s="48">
        <f>资产资本表!S70</f>
        <v>8329538373.6700001</v>
      </c>
      <c r="T9" s="48">
        <f>资产资本表!T70</f>
        <v>7632621218.8199997</v>
      </c>
      <c r="U9" s="48">
        <f>资产资本表!U70</f>
        <v>7244341437.7399998</v>
      </c>
      <c r="V9" s="48">
        <f>资产资本表!V70</f>
        <v>6769701059.8999996</v>
      </c>
      <c r="W9" s="48">
        <f>资产资本表!W70</f>
        <v>5893466216.5299997</v>
      </c>
      <c r="X9" s="48">
        <f>资产资本表!X70</f>
        <v>5562431904.2199993</v>
      </c>
      <c r="Y9" s="48">
        <f>资产资本表!Y70</f>
        <v>5510906381.9399996</v>
      </c>
      <c r="Z9" s="48">
        <f>资产资本表!Z70</f>
        <v>4238933138.0799999</v>
      </c>
      <c r="AA9" s="48">
        <f>资产资本表!AA70</f>
        <v>3632188189.9300003</v>
      </c>
      <c r="AB9" s="48">
        <f>资产资本表!AB70</f>
        <v>1768819767.8500001</v>
      </c>
      <c r="AC9" s="48">
        <f>资产资本表!AC70</f>
        <v>1718489536.3800001</v>
      </c>
      <c r="AD9" s="48">
        <f>资产资本表!AD70</f>
        <v>1410824158.3600001</v>
      </c>
      <c r="AE9" s="48">
        <f>资产资本表!AE70</f>
        <v>1313386445.9099998</v>
      </c>
      <c r="AF9" s="48">
        <f>资产资本表!AF70</f>
        <v>1151058663.3099999</v>
      </c>
      <c r="AG9" s="48">
        <f>资产资本表!AG70</f>
        <v>1072103638.51</v>
      </c>
      <c r="AH9" s="48">
        <f>资产资本表!AH70</f>
        <v>990035411.08000004</v>
      </c>
      <c r="AI9" s="48">
        <f>资产资本表!AI70</f>
        <v>573133523.07000005</v>
      </c>
      <c r="AJ9" s="48">
        <f>资产资本表!AJ70</f>
        <v>521832547.88</v>
      </c>
      <c r="AK9" s="48">
        <f>资产资本表!AK70</f>
        <v>384482259.09999996</v>
      </c>
      <c r="AL9" s="48">
        <f>资产资本表!AL70</f>
        <v>237664609.14999998</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339</v>
      </c>
      <c r="E10" s="26">
        <f>资产资本表!E72</f>
        <v>7376456023.9000006</v>
      </c>
      <c r="F10" s="26">
        <f>资产资本表!F72</f>
        <v>7739623273.2199993</v>
      </c>
      <c r="G10" s="26">
        <f>资产资本表!G72</f>
        <v>6845687906.9499998</v>
      </c>
      <c r="H10" s="26">
        <f>资产资本表!H72</f>
        <v>5274641779.9700003</v>
      </c>
      <c r="I10" s="26">
        <f>资产资本表!I72</f>
        <v>5816447067.9700003</v>
      </c>
      <c r="J10" s="26">
        <f>资产资本表!J72</f>
        <v>4443331200.3000002</v>
      </c>
      <c r="K10" s="26">
        <f>资产资本表!K72</f>
        <v>5279988104.8800001</v>
      </c>
      <c r="L10" s="26">
        <f>资产资本表!L72</f>
        <v>4898674353.8599997</v>
      </c>
      <c r="M10" s="26">
        <f>资产资本表!M72</f>
        <v>4866855045.7300005</v>
      </c>
      <c r="N10" s="26">
        <f>资产资本表!N72</f>
        <v>4624732017.9899998</v>
      </c>
      <c r="O10" s="26">
        <f>资产资本表!O72</f>
        <v>2846193002.0300002</v>
      </c>
      <c r="P10" s="26">
        <f>资产资本表!P72</f>
        <v>2334219657.4099998</v>
      </c>
      <c r="Q10" s="26">
        <f>资产资本表!Q72</f>
        <v>2531726596.5500002</v>
      </c>
      <c r="R10" s="26">
        <f>资产资本表!R72</f>
        <v>2106105390.9600003</v>
      </c>
      <c r="S10" s="26">
        <f>资产资本表!S72</f>
        <v>2035722314.8799999</v>
      </c>
      <c r="T10" s="26">
        <f>资产资本表!T72</f>
        <v>1937803764.5500002</v>
      </c>
      <c r="U10" s="26">
        <f>资产资本表!U72</f>
        <v>1959829272.9599998</v>
      </c>
      <c r="V10" s="26">
        <f>资产资本表!V72</f>
        <v>1724142833.98</v>
      </c>
      <c r="W10" s="26">
        <f>资产资本表!W72</f>
        <v>1291549101.6600001</v>
      </c>
      <c r="X10" s="26">
        <f>资产资本表!X72</f>
        <v>1188590654.25</v>
      </c>
      <c r="Y10" s="26">
        <f>资产资本表!Y72</f>
        <v>1338737803.4000001</v>
      </c>
      <c r="Z10" s="26">
        <f>资产资本表!Z72</f>
        <v>1085744745.3699999</v>
      </c>
      <c r="AA10" s="26">
        <f>资产资本表!AA72</f>
        <v>700999128.42000008</v>
      </c>
      <c r="AB10" s="26">
        <f>资产资本表!AB72</f>
        <v>668179061.47000003</v>
      </c>
      <c r="AC10" s="26">
        <f>资产资本表!AC72</f>
        <v>659194984.28999996</v>
      </c>
      <c r="AD10" s="26">
        <f>资产资本表!AD72</f>
        <v>393760036.50999999</v>
      </c>
      <c r="AE10" s="26">
        <f>资产资本表!AE72</f>
        <v>363535836.44999999</v>
      </c>
      <c r="AF10" s="26">
        <f>资产资本表!AF72</f>
        <v>143463861.97999999</v>
      </c>
      <c r="AG10" s="26">
        <f>资产资本表!AG72</f>
        <v>80376929.319999993</v>
      </c>
      <c r="AH10" s="26">
        <f>资产资本表!AH72</f>
        <v>120278287.08</v>
      </c>
      <c r="AI10" s="26">
        <f>资产资本表!AI72</f>
        <v>217400907.08000001</v>
      </c>
      <c r="AJ10" s="26">
        <f>资产资本表!AJ72</f>
        <v>197446376.58000001</v>
      </c>
      <c r="AK10" s="26">
        <f>资产资本表!AK72</f>
        <v>156271430.5</v>
      </c>
      <c r="AL10" s="26">
        <f>资产资本表!AL72</f>
        <v>89308946.709999993</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340</v>
      </c>
      <c r="E11" s="26">
        <f>资产资本表!E81</f>
        <v>4439232822.8199997</v>
      </c>
      <c r="F11" s="26">
        <f>资产资本表!F81</f>
        <v>5046371370.3800001</v>
      </c>
      <c r="G11" s="26">
        <f>资产资本表!G81</f>
        <v>4073929058.52</v>
      </c>
      <c r="H11" s="26">
        <f>资产资本表!H81</f>
        <v>4146368746.6700001</v>
      </c>
      <c r="I11" s="26">
        <f>资产资本表!I81</f>
        <v>887120946.66999996</v>
      </c>
      <c r="J11" s="26">
        <f>资产资本表!J81</f>
        <v>1764205831.3099999</v>
      </c>
      <c r="K11" s="26">
        <f>资产资本表!K81</f>
        <v>1493276568.23</v>
      </c>
      <c r="L11" s="26">
        <f>资产资本表!L81</f>
        <v>1786939835.7</v>
      </c>
      <c r="M11" s="26">
        <f>资产资本表!M81</f>
        <v>1803120349.23</v>
      </c>
      <c r="N11" s="26">
        <f>资产资本表!N81</f>
        <v>1830810200.97</v>
      </c>
      <c r="O11" s="26">
        <f>资产资本表!O81</f>
        <v>2379341707.9200001</v>
      </c>
      <c r="P11" s="26">
        <f>资产资本表!P81</f>
        <v>2520036275.1499996</v>
      </c>
      <c r="Q11" s="26">
        <f>资产资本表!Q81</f>
        <v>2495350414.1700001</v>
      </c>
      <c r="R11" s="26">
        <f>资产资本表!R81</f>
        <v>2859051044.27</v>
      </c>
      <c r="S11" s="26">
        <f>资产资本表!S81</f>
        <v>2031404230.0899999</v>
      </c>
      <c r="T11" s="26">
        <f>资产资本表!T81</f>
        <v>1563220523.3799999</v>
      </c>
      <c r="U11" s="26">
        <f>资产资本表!U81</f>
        <v>1473100323.25</v>
      </c>
      <c r="V11" s="26">
        <f>资产资本表!V81</f>
        <v>1458441569.29</v>
      </c>
      <c r="W11" s="26">
        <f>资产资本表!W81</f>
        <v>1208323795.3499999</v>
      </c>
      <c r="X11" s="26">
        <f>资产资本表!X81</f>
        <v>1097668793.75</v>
      </c>
      <c r="Y11" s="26">
        <f>资产资本表!Y81</f>
        <v>1098012789.0599999</v>
      </c>
      <c r="Z11" s="26">
        <f>资产资本表!Z81</f>
        <v>206584496.62</v>
      </c>
      <c r="AA11" s="26">
        <f>资产资本表!AA81</f>
        <v>106706494.29000001</v>
      </c>
      <c r="AB11" s="26">
        <f>资产资本表!AB81</f>
        <v>6873491.96</v>
      </c>
      <c r="AC11" s="26">
        <f>资产资本表!AC81</f>
        <v>6927989.6299999999</v>
      </c>
      <c r="AD11" s="26">
        <f>资产资本表!AD81</f>
        <v>6982487.2999999998</v>
      </c>
      <c r="AE11" s="26">
        <f>资产资本表!AE81</f>
        <v>7036984.9699999997</v>
      </c>
      <c r="AF11" s="26">
        <f>资产资本表!AF81</f>
        <v>101691482.64</v>
      </c>
      <c r="AG11" s="26">
        <f>资产资本表!AG81</f>
        <v>101745980.3</v>
      </c>
      <c r="AH11" s="26">
        <f>资产资本表!AH81</f>
        <v>1800477.97</v>
      </c>
      <c r="AI11" s="26">
        <f>资产资本表!AI81</f>
        <v>51854975.640000001</v>
      </c>
      <c r="AJ11" s="26">
        <f>资产资本表!AJ81</f>
        <v>51660291.670000002</v>
      </c>
      <c r="AK11" s="26">
        <f>资产资本表!AK81</f>
        <v>51747500</v>
      </c>
      <c r="AL11" s="26">
        <f>资产资本表!AL81</f>
        <v>187500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41" t="s">
        <v>637</v>
      </c>
      <c r="E12" s="26">
        <f>资产资本表!E89</f>
        <v>11815688846.720001</v>
      </c>
      <c r="F12" s="26">
        <f>资产资本表!F89</f>
        <v>12785994643.599998</v>
      </c>
      <c r="G12" s="26">
        <f>资产资本表!G89</f>
        <v>10919616965.469999</v>
      </c>
      <c r="H12" s="26">
        <f>资产资本表!H89</f>
        <v>9421010526.6399994</v>
      </c>
      <c r="I12" s="26">
        <f>资产资本表!I89</f>
        <v>6703568014.6400003</v>
      </c>
      <c r="J12" s="26">
        <f>资产资本表!J89</f>
        <v>6207537031.6100006</v>
      </c>
      <c r="K12" s="26">
        <f>资产资本表!K89</f>
        <v>6773264673.1100006</v>
      </c>
      <c r="L12" s="26">
        <f>资产资本表!L89</f>
        <v>6685614189.5599995</v>
      </c>
      <c r="M12" s="26">
        <f>资产资本表!M89</f>
        <v>6669975394.960001</v>
      </c>
      <c r="N12" s="26">
        <f>资产资本表!N89</f>
        <v>6455542218.96</v>
      </c>
      <c r="O12" s="26">
        <f>资产资本表!O89</f>
        <v>5225534709.9500008</v>
      </c>
      <c r="P12" s="26">
        <f>资产资本表!P89</f>
        <v>4854255932.5599995</v>
      </c>
      <c r="Q12" s="26">
        <f>资产资本表!Q89</f>
        <v>5027077010.7200003</v>
      </c>
      <c r="R12" s="26">
        <f>资产资本表!R89</f>
        <v>4965156435.2300005</v>
      </c>
      <c r="S12" s="26">
        <f>资产资本表!S89</f>
        <v>4067126544.9699998</v>
      </c>
      <c r="T12" s="26">
        <f>资产资本表!T89</f>
        <v>3501024287.9300003</v>
      </c>
      <c r="U12" s="26">
        <f>资产资本表!U89</f>
        <v>3432929596.21</v>
      </c>
      <c r="V12" s="26">
        <f>资产资本表!V89</f>
        <v>3182584403.27</v>
      </c>
      <c r="W12" s="26">
        <f>资产资本表!W89</f>
        <v>2499872897.0100002</v>
      </c>
      <c r="X12" s="26">
        <f>资产资本表!X89</f>
        <v>2286259448</v>
      </c>
      <c r="Y12" s="26">
        <f>资产资本表!Y89</f>
        <v>2436750592.46</v>
      </c>
      <c r="Z12" s="26">
        <f>资产资本表!Z89</f>
        <v>1292329241.9899998</v>
      </c>
      <c r="AA12" s="26">
        <f>资产资本表!AA89</f>
        <v>807705622.71000004</v>
      </c>
      <c r="AB12" s="26">
        <f>资产资本表!AB89</f>
        <v>675052553.43000007</v>
      </c>
      <c r="AC12" s="26">
        <f>资产资本表!AC89</f>
        <v>666122973.91999996</v>
      </c>
      <c r="AD12" s="26">
        <f>资产资本表!AD89</f>
        <v>400742523.81</v>
      </c>
      <c r="AE12" s="26">
        <f>资产资本表!AE89</f>
        <v>370572821.42000002</v>
      </c>
      <c r="AF12" s="26">
        <f>资产资本表!AF89</f>
        <v>245155344.62</v>
      </c>
      <c r="AG12" s="26">
        <f>资产资本表!AG89</f>
        <v>182122909.62</v>
      </c>
      <c r="AH12" s="26">
        <f>资产资本表!AH89</f>
        <v>122078765.05</v>
      </c>
      <c r="AI12" s="26">
        <f>资产资本表!AI89</f>
        <v>269255882.72000003</v>
      </c>
      <c r="AJ12" s="26">
        <f>资产资本表!AJ89</f>
        <v>249106668.25</v>
      </c>
      <c r="AK12" s="26">
        <f>资产资本表!AK89</f>
        <v>208018930.5</v>
      </c>
      <c r="AL12" s="26">
        <f>资产资本表!AL89</f>
        <v>89496446.709999993</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41" t="s">
        <v>345</v>
      </c>
      <c r="E13" s="26">
        <f>E9-E12</f>
        <v>18029361003.709995</v>
      </c>
      <c r="F13" s="26">
        <f t="shared" ref="F13:BQ13" si="0">F9-F12</f>
        <v>17443940338.260002</v>
      </c>
      <c r="G13" s="26">
        <f t="shared" si="0"/>
        <v>16722013804.33</v>
      </c>
      <c r="H13" s="26">
        <f t="shared" si="0"/>
        <v>16153760506.389999</v>
      </c>
      <c r="I13" s="26">
        <f t="shared" si="0"/>
        <v>15602441096.73</v>
      </c>
      <c r="J13" s="26">
        <f t="shared" si="0"/>
        <v>15045379868.959999</v>
      </c>
      <c r="K13" s="26">
        <f t="shared" si="0"/>
        <v>10065194327.82</v>
      </c>
      <c r="L13" s="26">
        <f t="shared" si="0"/>
        <v>9651224120.6300011</v>
      </c>
      <c r="M13" s="26">
        <f t="shared" si="0"/>
        <v>9214674670.8899994</v>
      </c>
      <c r="N13" s="26">
        <f t="shared" si="0"/>
        <v>5930638518.8899984</v>
      </c>
      <c r="O13" s="26">
        <f t="shared" si="0"/>
        <v>5426673151.9299984</v>
      </c>
      <c r="P13" s="26">
        <f t="shared" si="0"/>
        <v>5137469441.2300014</v>
      </c>
      <c r="Q13" s="26">
        <f t="shared" si="0"/>
        <v>4864558554.750001</v>
      </c>
      <c r="R13" s="26">
        <f t="shared" si="0"/>
        <v>4545426584.0899992</v>
      </c>
      <c r="S13" s="26">
        <f t="shared" si="0"/>
        <v>4262411828.7000003</v>
      </c>
      <c r="T13" s="26">
        <f t="shared" si="0"/>
        <v>4131596930.8899994</v>
      </c>
      <c r="U13" s="26">
        <f t="shared" si="0"/>
        <v>3811411841.5299997</v>
      </c>
      <c r="V13" s="26">
        <f t="shared" si="0"/>
        <v>3587116656.6299996</v>
      </c>
      <c r="W13" s="26">
        <f t="shared" si="0"/>
        <v>3393593319.5199995</v>
      </c>
      <c r="X13" s="26">
        <f t="shared" si="0"/>
        <v>3276172456.2199993</v>
      </c>
      <c r="Y13" s="26">
        <f t="shared" si="0"/>
        <v>3074155789.4799995</v>
      </c>
      <c r="Z13" s="26">
        <f t="shared" si="0"/>
        <v>2946603896.0900002</v>
      </c>
      <c r="AA13" s="26">
        <f t="shared" si="0"/>
        <v>2824482567.2200003</v>
      </c>
      <c r="AB13" s="26">
        <f t="shared" si="0"/>
        <v>1093767214.4200001</v>
      </c>
      <c r="AC13" s="26">
        <f t="shared" si="0"/>
        <v>1052366562.4600002</v>
      </c>
      <c r="AD13" s="26">
        <f t="shared" si="0"/>
        <v>1010081634.5500002</v>
      </c>
      <c r="AE13" s="26">
        <f t="shared" si="0"/>
        <v>942813624.48999977</v>
      </c>
      <c r="AF13" s="26">
        <f t="shared" si="0"/>
        <v>905903318.68999994</v>
      </c>
      <c r="AG13" s="26">
        <f t="shared" si="0"/>
        <v>889980728.88999999</v>
      </c>
      <c r="AH13" s="26">
        <f t="shared" si="0"/>
        <v>867956646.03000009</v>
      </c>
      <c r="AI13" s="26">
        <f t="shared" si="0"/>
        <v>303877640.35000002</v>
      </c>
      <c r="AJ13" s="26">
        <f t="shared" si="0"/>
        <v>272725879.63</v>
      </c>
      <c r="AK13" s="26">
        <f t="shared" si="0"/>
        <v>176463328.59999996</v>
      </c>
      <c r="AL13" s="26">
        <f t="shared" si="0"/>
        <v>148168162.44</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639</v>
      </c>
      <c r="E14" s="48">
        <f>E9</f>
        <v>29845049850.429996</v>
      </c>
      <c r="F14" s="48">
        <f t="shared" ref="F14:BQ14" si="2">F9</f>
        <v>30229934981.860001</v>
      </c>
      <c r="G14" s="48">
        <f t="shared" si="2"/>
        <v>27641630769.799999</v>
      </c>
      <c r="H14" s="48">
        <f t="shared" si="2"/>
        <v>25574771033.029999</v>
      </c>
      <c r="I14" s="48">
        <f t="shared" si="2"/>
        <v>22306009111.369999</v>
      </c>
      <c r="J14" s="48">
        <f t="shared" si="2"/>
        <v>21252916900.57</v>
      </c>
      <c r="K14" s="48">
        <f t="shared" si="2"/>
        <v>16838459000.93</v>
      </c>
      <c r="L14" s="48">
        <f t="shared" si="2"/>
        <v>16336838310.190001</v>
      </c>
      <c r="M14" s="48">
        <f t="shared" si="2"/>
        <v>15884650065.85</v>
      </c>
      <c r="N14" s="48">
        <f t="shared" si="2"/>
        <v>12386180737.849998</v>
      </c>
      <c r="O14" s="48">
        <f t="shared" si="2"/>
        <v>10652207861.879999</v>
      </c>
      <c r="P14" s="48">
        <f t="shared" si="2"/>
        <v>9991725373.7900009</v>
      </c>
      <c r="Q14" s="48">
        <f t="shared" si="2"/>
        <v>9891635565.4700012</v>
      </c>
      <c r="R14" s="48">
        <f t="shared" si="2"/>
        <v>9510583019.3199997</v>
      </c>
      <c r="S14" s="48">
        <f t="shared" si="2"/>
        <v>8329538373.6700001</v>
      </c>
      <c r="T14" s="48">
        <f t="shared" si="2"/>
        <v>7632621218.8199997</v>
      </c>
      <c r="U14" s="48">
        <f t="shared" si="2"/>
        <v>7244341437.7399998</v>
      </c>
      <c r="V14" s="48">
        <f t="shared" si="2"/>
        <v>6769701059.8999996</v>
      </c>
      <c r="W14" s="48">
        <f t="shared" si="2"/>
        <v>5893466216.5299997</v>
      </c>
      <c r="X14" s="48">
        <f t="shared" si="2"/>
        <v>5562431904.2199993</v>
      </c>
      <c r="Y14" s="48">
        <f t="shared" si="2"/>
        <v>5510906381.9399996</v>
      </c>
      <c r="Z14" s="48">
        <f t="shared" si="2"/>
        <v>4238933138.0799999</v>
      </c>
      <c r="AA14" s="48">
        <f t="shared" si="2"/>
        <v>3632188189.9300003</v>
      </c>
      <c r="AB14" s="48">
        <f t="shared" si="2"/>
        <v>1768819767.8500001</v>
      </c>
      <c r="AC14" s="48">
        <f t="shared" si="2"/>
        <v>1718489536.3800001</v>
      </c>
      <c r="AD14" s="48">
        <f t="shared" si="2"/>
        <v>1410824158.3600001</v>
      </c>
      <c r="AE14" s="48">
        <f t="shared" si="2"/>
        <v>1313386445.9099998</v>
      </c>
      <c r="AF14" s="48">
        <f t="shared" si="2"/>
        <v>1151058663.3099999</v>
      </c>
      <c r="AG14" s="48">
        <f t="shared" si="2"/>
        <v>1072103638.51</v>
      </c>
      <c r="AH14" s="48">
        <f t="shared" si="2"/>
        <v>990035411.08000004</v>
      </c>
      <c r="AI14" s="48">
        <f t="shared" si="2"/>
        <v>573133523.07000005</v>
      </c>
      <c r="AJ14" s="48">
        <f t="shared" si="2"/>
        <v>521832547.88</v>
      </c>
      <c r="AK14" s="48">
        <f t="shared" si="2"/>
        <v>384482259.09999996</v>
      </c>
      <c r="AL14" s="48">
        <f t="shared" si="2"/>
        <v>237664609.14999998</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c r="A15" s="46" t="s">
        <v>343</v>
      </c>
      <c r="E15" s="58">
        <f>E11+E13-E3-E4-E7</f>
        <v>15694596506.089996</v>
      </c>
      <c r="F15" s="58">
        <f t="shared" ref="F15:BQ15" si="4">F11+F13-F3-F4-F7</f>
        <v>13612651364.530006</v>
      </c>
      <c r="G15" s="58">
        <f t="shared" si="4"/>
        <v>11100614463</v>
      </c>
      <c r="H15" s="58">
        <f t="shared" si="4"/>
        <v>10259798558.729996</v>
      </c>
      <c r="I15" s="58">
        <f t="shared" si="4"/>
        <v>9948741006.329998</v>
      </c>
      <c r="J15" s="58">
        <f t="shared" si="4"/>
        <v>11272756161.369999</v>
      </c>
      <c r="K15" s="58">
        <f t="shared" si="4"/>
        <v>5368133713.3999977</v>
      </c>
      <c r="L15" s="58">
        <f t="shared" si="4"/>
        <v>5801506681.0600023</v>
      </c>
      <c r="M15" s="58">
        <f t="shared" si="4"/>
        <v>5266296861.2699986</v>
      </c>
      <c r="N15" s="58">
        <f t="shared" si="4"/>
        <v>1987102922.0499992</v>
      </c>
      <c r="O15" s="58">
        <f t="shared" si="4"/>
        <v>2598019537.8799987</v>
      </c>
      <c r="P15" s="58">
        <f t="shared" si="4"/>
        <v>1735299043.7500014</v>
      </c>
      <c r="Q15" s="58">
        <f t="shared" si="4"/>
        <v>1663274183.5500002</v>
      </c>
      <c r="R15" s="58">
        <f t="shared" si="4"/>
        <v>1715502043.6599989</v>
      </c>
      <c r="S15" s="58">
        <f t="shared" si="4"/>
        <v>760668836.97000027</v>
      </c>
      <c r="T15" s="58">
        <f t="shared" si="4"/>
        <v>386146130.11000061</v>
      </c>
      <c r="U15" s="58">
        <f t="shared" si="4"/>
        <v>715556754.10999966</v>
      </c>
      <c r="V15" s="58">
        <f t="shared" si="4"/>
        <v>860555951.84000015</v>
      </c>
      <c r="W15" s="58">
        <f t="shared" si="4"/>
        <v>1353028488.019999</v>
      </c>
      <c r="X15" s="58">
        <f t="shared" si="4"/>
        <v>1562932605.1299996</v>
      </c>
      <c r="Y15" s="58">
        <f t="shared" si="4"/>
        <v>2106891794.5899997</v>
      </c>
      <c r="Z15" s="58">
        <f t="shared" si="4"/>
        <v>1483484201.9000001</v>
      </c>
      <c r="AA15" s="58">
        <f t="shared" si="4"/>
        <v>1543751260.71</v>
      </c>
      <c r="AB15" s="58">
        <f t="shared" si="4"/>
        <v>12335654.269999862</v>
      </c>
      <c r="AC15" s="58">
        <f t="shared" si="4"/>
        <v>24762423.490000129</v>
      </c>
      <c r="AD15" s="58">
        <f t="shared" si="4"/>
        <v>349119332.75000012</v>
      </c>
      <c r="AE15" s="58">
        <f t="shared" si="4"/>
        <v>418829715.63999987</v>
      </c>
      <c r="AF15" s="58">
        <f t="shared" si="4"/>
        <v>561387004.18999994</v>
      </c>
      <c r="AG15" s="58">
        <f t="shared" si="4"/>
        <v>600952223.68000007</v>
      </c>
      <c r="AH15" s="58">
        <f t="shared" si="4"/>
        <v>452698480.09000015</v>
      </c>
      <c r="AI15" s="58">
        <f t="shared" si="4"/>
        <v>-41131707.110000014</v>
      </c>
      <c r="AJ15" s="58">
        <f t="shared" si="4"/>
        <v>-18729337.019999981</v>
      </c>
      <c r="AK15" s="58">
        <f t="shared" si="4"/>
        <v>-109973856.23000003</v>
      </c>
      <c r="AL15" s="58">
        <f t="shared" si="4"/>
        <v>-35792480.109999999</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c r="A16" s="46" t="s">
        <v>344</v>
      </c>
      <c r="E16" s="58">
        <f>E10-E2</f>
        <v>-15694596506.089996</v>
      </c>
      <c r="F16" s="58">
        <f t="shared" ref="F16:BQ16" si="6">F10-F2</f>
        <v>-13612651364.530001</v>
      </c>
      <c r="G16" s="58">
        <f t="shared" si="6"/>
        <v>-11100614463</v>
      </c>
      <c r="H16" s="58">
        <f t="shared" si="6"/>
        <v>-10259798558.73</v>
      </c>
      <c r="I16" s="58">
        <f t="shared" si="6"/>
        <v>-9948741006.329998</v>
      </c>
      <c r="J16" s="58">
        <f t="shared" si="6"/>
        <v>-11272756161.369999</v>
      </c>
      <c r="K16" s="58">
        <f t="shared" si="6"/>
        <v>-5368133713.4000006</v>
      </c>
      <c r="L16" s="58">
        <f t="shared" si="6"/>
        <v>-5801506681.0600004</v>
      </c>
      <c r="M16" s="58">
        <f t="shared" si="6"/>
        <v>-5266296861.2699995</v>
      </c>
      <c r="N16" s="58">
        <f t="shared" si="6"/>
        <v>-1987102922.0500002</v>
      </c>
      <c r="O16" s="58">
        <f t="shared" si="6"/>
        <v>-2598019537.8799996</v>
      </c>
      <c r="P16" s="58">
        <f t="shared" si="6"/>
        <v>-1735299043.75</v>
      </c>
      <c r="Q16" s="58">
        <f t="shared" si="6"/>
        <v>-1663274183.5500002</v>
      </c>
      <c r="R16" s="58">
        <f t="shared" si="6"/>
        <v>-1715502043.6599996</v>
      </c>
      <c r="S16" s="58">
        <f t="shared" si="6"/>
        <v>-760668836.97000003</v>
      </c>
      <c r="T16" s="58">
        <f t="shared" si="6"/>
        <v>-386146130.10999966</v>
      </c>
      <c r="U16" s="58">
        <f t="shared" si="6"/>
        <v>-715556754.11000037</v>
      </c>
      <c r="V16" s="58">
        <f t="shared" si="6"/>
        <v>-860555951.84000015</v>
      </c>
      <c r="W16" s="58">
        <f t="shared" si="6"/>
        <v>-1353028488.0199997</v>
      </c>
      <c r="X16" s="58">
        <f t="shared" si="6"/>
        <v>-1562932605.1300001</v>
      </c>
      <c r="Y16" s="58">
        <f t="shared" si="6"/>
        <v>-2106891794.5899997</v>
      </c>
      <c r="Z16" s="58">
        <f t="shared" si="6"/>
        <v>-1483484201.9000001</v>
      </c>
      <c r="AA16" s="58">
        <f t="shared" si="6"/>
        <v>-1543751260.71</v>
      </c>
      <c r="AB16" s="58">
        <f t="shared" si="6"/>
        <v>-12335654.269999981</v>
      </c>
      <c r="AC16" s="58">
        <f t="shared" si="6"/>
        <v>-24762423.49000001</v>
      </c>
      <c r="AD16" s="58">
        <f t="shared" si="6"/>
        <v>-349119332.75</v>
      </c>
      <c r="AE16" s="58">
        <f t="shared" si="6"/>
        <v>-418829715.64000005</v>
      </c>
      <c r="AF16" s="58">
        <f t="shared" si="6"/>
        <v>-561387004.18999994</v>
      </c>
      <c r="AG16" s="58">
        <f t="shared" si="6"/>
        <v>-600952223.68000007</v>
      </c>
      <c r="AH16" s="58">
        <f t="shared" si="6"/>
        <v>-452698480.09000009</v>
      </c>
      <c r="AI16" s="58">
        <f t="shared" si="6"/>
        <v>41131707.110000014</v>
      </c>
      <c r="AJ16" s="58">
        <f t="shared" si="6"/>
        <v>18729337.020000011</v>
      </c>
      <c r="AK16" s="58">
        <f t="shared" si="6"/>
        <v>109973856.23</v>
      </c>
      <c r="AL16" s="58">
        <f t="shared" si="6"/>
        <v>35792480.109999999</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c r="A17" s="66" t="s">
        <v>664</v>
      </c>
      <c r="E17" s="59">
        <f>(E11+E13-E7-E3)/E4</f>
        <v>8.2099749750930169</v>
      </c>
      <c r="F17" s="59">
        <f t="shared" ref="F17:BQ17" si="8">(F11+F13-F7-F3)/F4</f>
        <v>4.1151907772324856</v>
      </c>
      <c r="G17" s="59">
        <f t="shared" si="8"/>
        <v>3.126225885676039</v>
      </c>
      <c r="H17" s="59">
        <f t="shared" si="8"/>
        <v>2.8035686233858548</v>
      </c>
      <c r="I17" s="59">
        <f t="shared" si="8"/>
        <v>5.3774781452750711</v>
      </c>
      <c r="J17" s="59">
        <f t="shared" si="8"/>
        <v>10.151018895957309</v>
      </c>
      <c r="K17" s="59">
        <f t="shared" si="8"/>
        <v>3.6103252159692762</v>
      </c>
      <c r="L17" s="59">
        <f t="shared" si="8"/>
        <v>5.5139575678891051</v>
      </c>
      <c r="M17" s="59">
        <f t="shared" si="8"/>
        <v>4.4707596575695812</v>
      </c>
      <c r="N17" s="59">
        <f t="shared" si="8"/>
        <v>2.2815780376534947</v>
      </c>
      <c r="O17" s="59">
        <f t="shared" si="8"/>
        <v>3.5727010628159812</v>
      </c>
      <c r="P17" s="59">
        <f t="shared" si="8"/>
        <v>1.9268667398252648</v>
      </c>
      <c r="Q17" s="59">
        <f t="shared" si="8"/>
        <v>1.9934708175132536</v>
      </c>
      <c r="R17" s="59">
        <f t="shared" si="8"/>
        <v>2.3776518913149807</v>
      </c>
      <c r="S17" s="59">
        <f t="shared" si="8"/>
        <v>1.8913498289174648</v>
      </c>
      <c r="T17" s="59">
        <f t="shared" si="8"/>
        <v>1.3192044816074033</v>
      </c>
      <c r="U17" s="59">
        <f t="shared" si="8"/>
        <v>2.2464788446830175</v>
      </c>
      <c r="V17" s="59">
        <f t="shared" si="8"/>
        <v>2.2522482874980434</v>
      </c>
      <c r="W17" s="59">
        <f t="shared" si="8"/>
        <v>4.4518273689760175</v>
      </c>
      <c r="X17" s="59">
        <f t="shared" si="8"/>
        <v>2.4160098095056379</v>
      </c>
      <c r="Y17" s="59">
        <f t="shared" si="8"/>
        <v>6.1648564159175248</v>
      </c>
      <c r="Z17" s="59">
        <f t="shared" si="8"/>
        <v>3.1080021161452414</v>
      </c>
      <c r="AA17" s="59">
        <f t="shared" si="8"/>
        <v>4.4074306410954325</v>
      </c>
      <c r="AB17" s="59">
        <f t="shared" si="8"/>
        <v>1.0617627980130657</v>
      </c>
      <c r="AC17" s="59">
        <f t="shared" si="8"/>
        <v>1.0808114039053769</v>
      </c>
      <c r="AD17" s="59">
        <f t="shared" si="8"/>
        <v>2.1422912532623246</v>
      </c>
      <c r="AE17" s="59">
        <f t="shared" si="8"/>
        <v>3.1450511288430616</v>
      </c>
      <c r="AF17" s="59">
        <f t="shared" si="8"/>
        <v>5.8807288926328019</v>
      </c>
      <c r="AG17" s="59">
        <f t="shared" si="8"/>
        <v>8.8389159053508735</v>
      </c>
      <c r="AH17" s="59">
        <f t="shared" si="8"/>
        <v>4.0936957770632736</v>
      </c>
      <c r="AI17" s="59">
        <f t="shared" si="8"/>
        <v>0.68893098705894817</v>
      </c>
      <c r="AJ17" s="59">
        <f t="shared" si="8"/>
        <v>0.75844721131456261</v>
      </c>
      <c r="AK17" s="59">
        <f t="shared" si="8"/>
        <v>8.9672239140508425E-2</v>
      </c>
      <c r="AL17" s="59">
        <f t="shared" si="8"/>
        <v>0.34963986194446611</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c r="A20" s="113" t="s">
        <v>574</v>
      </c>
      <c r="B20" s="115"/>
      <c r="C20" s="115"/>
      <c r="D20" s="115"/>
      <c r="E20" s="115">
        <f>POWER(E9/U9,1/5)-1</f>
        <v>0.32731706942710459</v>
      </c>
      <c r="F20" s="115"/>
      <c r="G20" s="115"/>
      <c r="H20" s="115"/>
      <c r="I20" s="115">
        <f>POWER(E9/Y9,1/6)-1</f>
        <v>0.32518001966897803</v>
      </c>
      <c r="M20" s="115">
        <f>POWER(E9/AC9,1/7)-1</f>
        <v>0.50350068716963947</v>
      </c>
    </row>
    <row r="21" spans="1:90" s="63" customFormat="1" ht="14.25" customHeight="1">
      <c r="A21" s="113" t="s">
        <v>572</v>
      </c>
      <c r="B21" s="115"/>
      <c r="C21" s="115"/>
      <c r="D21" s="115"/>
      <c r="E21" s="115">
        <f>POWER(E4/U4,1/5)-1</f>
        <v>0.30548367341403337</v>
      </c>
      <c r="F21" s="115"/>
      <c r="G21" s="115"/>
      <c r="H21" s="115"/>
      <c r="I21" s="115">
        <f>POWER(E4/Y4,1/6)-1</f>
        <v>0.3219206993372663</v>
      </c>
      <c r="M21" s="115">
        <f>POWER(E4/AC4,1/7)-1</f>
        <v>0.32325112467771655</v>
      </c>
    </row>
    <row r="22" spans="1:90" s="63" customFormat="1" ht="14.25" customHeight="1">
      <c r="A22" s="113" t="s">
        <v>575</v>
      </c>
      <c r="B22" s="115"/>
      <c r="C22" s="115"/>
      <c r="D22" s="115"/>
      <c r="E22" s="115">
        <f>POWER(E5/U5,1/5)-1</f>
        <v>0.38488521149798838</v>
      </c>
      <c r="F22" s="115"/>
      <c r="G22" s="115"/>
      <c r="H22" s="115"/>
      <c r="I22" s="115">
        <f>POWER(E5/Y5,1/6)-1</f>
        <v>0.45709372799223136</v>
      </c>
      <c r="M22" s="115">
        <f>POWER(E5/AC5,1/7)-1</f>
        <v>0.45070872784008809</v>
      </c>
    </row>
    <row r="23" spans="1:90" s="63" customFormat="1" ht="14.25" customHeight="1">
      <c r="A23" s="113" t="s">
        <v>576</v>
      </c>
      <c r="B23" s="115"/>
      <c r="C23" s="115"/>
      <c r="D23" s="115"/>
      <c r="E23" s="115">
        <f>POWER(E6/U6,1/5)-1</f>
        <v>0.43733623785114584</v>
      </c>
      <c r="F23" s="115"/>
      <c r="G23" s="115"/>
      <c r="H23" s="115"/>
      <c r="I23" s="115">
        <f>POWER(E6/Y6,1/6)-1</f>
        <v>0.5830403307302523</v>
      </c>
      <c r="M23" s="115">
        <f>POWER(E6/AC6,1/7)-1</f>
        <v>0.57853037283582021</v>
      </c>
    </row>
    <row r="24" spans="1:90" s="63" customFormat="1" ht="14.25" customHeight="1">
      <c r="A24" s="113" t="s">
        <v>577</v>
      </c>
      <c r="B24" s="115"/>
      <c r="C24" s="115"/>
      <c r="D24" s="115"/>
      <c r="E24" s="115">
        <f>POWER(E7/U7,1/5)-1</f>
        <v>2.848462161292864E-2</v>
      </c>
      <c r="F24" s="115"/>
      <c r="G24" s="115"/>
      <c r="H24" s="115"/>
      <c r="I24" s="115">
        <f>POWER(E7/Y7,1/6)-1</f>
        <v>0.18535033199433881</v>
      </c>
      <c r="M24" s="115">
        <f>POWER(E7/AC7,1/7)-1</f>
        <v>0.30115246166176957</v>
      </c>
    </row>
    <row r="25" spans="1:90" s="107" customFormat="1">
      <c r="A25" s="142" t="s">
        <v>553</v>
      </c>
      <c r="B25" s="108"/>
      <c r="C25" s="108"/>
      <c r="D25" s="108"/>
      <c r="E25" s="108">
        <f>(E2-I2)/I2</f>
        <v>0.46341752608710257</v>
      </c>
      <c r="F25" s="108">
        <f t="shared" ref="F25:BQ25" si="10">(F2-J2)/J2</f>
        <v>0.35862534652397704</v>
      </c>
      <c r="G25" s="108">
        <f t="shared" si="10"/>
        <v>0.68539604225234918</v>
      </c>
      <c r="H25" s="108">
        <f t="shared" si="10"/>
        <v>0.45179229099053669</v>
      </c>
      <c r="I25" s="108">
        <f t="shared" si="10"/>
        <v>0.55580299387492438</v>
      </c>
      <c r="J25" s="107">
        <f t="shared" si="10"/>
        <v>1.3769630524949135</v>
      </c>
      <c r="K25" s="107">
        <f t="shared" si="10"/>
        <v>0.95586078615072367</v>
      </c>
      <c r="L25" s="107">
        <f t="shared" si="10"/>
        <v>1.6293480435094099</v>
      </c>
      <c r="M25" s="108">
        <f t="shared" si="10"/>
        <v>1.4155303987234171</v>
      </c>
      <c r="N25" s="108">
        <f t="shared" si="10"/>
        <v>0.73011881862676076</v>
      </c>
      <c r="O25" s="108">
        <f t="shared" si="10"/>
        <v>0.94687089333274743</v>
      </c>
      <c r="P25" s="108">
        <f t="shared" si="10"/>
        <v>0.75112153257305125</v>
      </c>
      <c r="Q25" s="108">
        <f t="shared" si="10"/>
        <v>0.56799831413272173</v>
      </c>
      <c r="R25" s="108">
        <f t="shared" si="10"/>
        <v>0.47855040424278616</v>
      </c>
      <c r="S25" s="108">
        <f t="shared" si="10"/>
        <v>5.7405599579466254E-2</v>
      </c>
      <c r="T25" s="108">
        <f t="shared" si="10"/>
        <v>-0.15539514821922504</v>
      </c>
      <c r="U25" s="108">
        <f t="shared" si="10"/>
        <v>-0.22354218554696634</v>
      </c>
      <c r="V25" s="107">
        <f t="shared" si="10"/>
        <v>6.0211989151212324E-3</v>
      </c>
      <c r="W25" s="107">
        <f t="shared" si="10"/>
        <v>0.17811655250674044</v>
      </c>
      <c r="X25" s="107">
        <f t="shared" si="10"/>
        <v>3.0432972215567156</v>
      </c>
      <c r="Y25" s="107">
        <f t="shared" si="10"/>
        <v>4.0377838719137209</v>
      </c>
      <c r="Z25" s="107">
        <f t="shared" si="10"/>
        <v>2.4584739509313209</v>
      </c>
      <c r="AA25" s="107">
        <f t="shared" si="10"/>
        <v>1.8691835717119782</v>
      </c>
      <c r="AB25" s="107">
        <f t="shared" si="10"/>
        <v>-3.4526665991399114E-2</v>
      </c>
      <c r="AC25" s="107">
        <f t="shared" si="10"/>
        <v>3.8575404684026066E-3</v>
      </c>
      <c r="AD25" s="107">
        <f t="shared" si="10"/>
        <v>0.29652616270842697</v>
      </c>
      <c r="AE25" s="107">
        <f t="shared" si="10"/>
        <v>3.4384699778699517</v>
      </c>
      <c r="AF25" s="107">
        <f t="shared" si="10"/>
        <v>2.943948869706758</v>
      </c>
      <c r="AG25" s="107">
        <f t="shared" si="10"/>
        <v>13.716303472544762</v>
      </c>
      <c r="AH25" s="107">
        <f t="shared" si="10"/>
        <v>9.706550779083015</v>
      </c>
      <c r="AI25" s="107" t="e">
        <f t="shared" si="10"/>
        <v>#DIV/0!</v>
      </c>
      <c r="AJ25" s="107" t="e">
        <f t="shared" si="10"/>
        <v>#DIV/0!</v>
      </c>
      <c r="AK25" s="107" t="e">
        <f t="shared" si="10"/>
        <v>#DIV/0!</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c r="A26" s="142" t="s">
        <v>561</v>
      </c>
      <c r="E26" s="108">
        <f>E2/E9</f>
        <v>0.773027776653474</v>
      </c>
      <c r="F26" s="108">
        <f t="shared" ref="F26:BQ26" si="12">F2/F9</f>
        <v>0.70632883102668942</v>
      </c>
      <c r="G26" s="108">
        <f t="shared" si="12"/>
        <v>0.64924904465323086</v>
      </c>
      <c r="H26" s="108">
        <f t="shared" si="12"/>
        <v>0.60741268489313782</v>
      </c>
      <c r="I26" s="108">
        <f t="shared" si="12"/>
        <v>0.70676865572802261</v>
      </c>
      <c r="J26" s="108">
        <f t="shared" si="12"/>
        <v>0.73947907645790012</v>
      </c>
      <c r="K26" s="108">
        <f t="shared" si="12"/>
        <v>0.63236913886786772</v>
      </c>
      <c r="L26" s="108">
        <f t="shared" si="12"/>
        <v>0.65497257374738349</v>
      </c>
      <c r="M26" s="108">
        <f t="shared" si="12"/>
        <v>0.63792100329518764</v>
      </c>
      <c r="N26" s="108">
        <f t="shared" si="12"/>
        <v>0.53380740035831953</v>
      </c>
      <c r="O26" s="108">
        <f t="shared" si="12"/>
        <v>0.51108771162762079</v>
      </c>
      <c r="P26" s="108">
        <f t="shared" si="12"/>
        <v>0.40728888644548228</v>
      </c>
      <c r="Q26" s="108">
        <f t="shared" si="12"/>
        <v>0.42409576781660119</v>
      </c>
      <c r="R26" s="108">
        <f t="shared" si="12"/>
        <v>0.40182683089529903</v>
      </c>
      <c r="S26" s="108">
        <f t="shared" si="12"/>
        <v>0.33571982340456019</v>
      </c>
      <c r="T26" s="108">
        <f t="shared" si="12"/>
        <v>0.30447598905206535</v>
      </c>
      <c r="U26" s="108">
        <f t="shared" si="12"/>
        <v>0.36930700327463223</v>
      </c>
      <c r="V26" s="108">
        <f t="shared" si="12"/>
        <v>0.38180397671181371</v>
      </c>
      <c r="W26" s="108">
        <f t="shared" si="12"/>
        <v>0.44873042323759932</v>
      </c>
      <c r="X26" s="108">
        <f t="shared" si="12"/>
        <v>0.49466192247540636</v>
      </c>
      <c r="Y26" s="108">
        <f t="shared" si="12"/>
        <v>0.62523827464785164</v>
      </c>
      <c r="Z26" s="108">
        <f t="shared" si="12"/>
        <v>0.6061027299981705</v>
      </c>
      <c r="AA26" s="108">
        <f t="shared" si="12"/>
        <v>0.61801599249549377</v>
      </c>
      <c r="AB26" s="108">
        <f t="shared" si="12"/>
        <v>0.38472812669159923</v>
      </c>
      <c r="AC26" s="108">
        <f t="shared" si="12"/>
        <v>0.39799916921272438</v>
      </c>
      <c r="AD26" s="108">
        <f t="shared" si="12"/>
        <v>0.5265570233242628</v>
      </c>
      <c r="AE26" s="108">
        <f t="shared" si="12"/>
        <v>0.59568572108106854</v>
      </c>
      <c r="AF26" s="108">
        <f t="shared" si="12"/>
        <v>0.61235008139647829</v>
      </c>
      <c r="AG26" s="108">
        <f t="shared" si="12"/>
        <v>0.63550680039376151</v>
      </c>
      <c r="AH26" s="108">
        <f t="shared" si="12"/>
        <v>0.57874371033350902</v>
      </c>
      <c r="AI26" s="108">
        <f t="shared" si="12"/>
        <v>0.30755346332877348</v>
      </c>
      <c r="AJ26" s="108">
        <f t="shared" si="12"/>
        <v>0.34247967146943387</v>
      </c>
      <c r="AK26" s="108">
        <f t="shared" si="12"/>
        <v>0.12041537203400186</v>
      </c>
      <c r="AL26" s="108">
        <f t="shared" si="12"/>
        <v>0.2251764231595102</v>
      </c>
      <c r="AM26" s="108" t="e">
        <f t="shared" si="12"/>
        <v>#DIV/0!</v>
      </c>
      <c r="AN26" s="108" t="e">
        <f t="shared" si="12"/>
        <v>#DIV/0!</v>
      </c>
      <c r="AO26" s="108" t="e">
        <f t="shared" si="12"/>
        <v>#DIV/0!</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c r="A27" s="143" t="s">
        <v>554</v>
      </c>
      <c r="E27" s="109">
        <f>(E3-I3)/I3</f>
        <v>-1</v>
      </c>
      <c r="F27" s="109">
        <f t="shared" ref="F27:BQ27" si="14">(F3-J3)/J3</f>
        <v>-0.36435763223008655</v>
      </c>
      <c r="G27" s="109">
        <f t="shared" si="14"/>
        <v>-0.43658492844829877</v>
      </c>
      <c r="H27" s="109">
        <f t="shared" si="14"/>
        <v>-0.32155141825393463</v>
      </c>
      <c r="I27" s="109">
        <f t="shared" si="14"/>
        <v>-0.32155141825393463</v>
      </c>
      <c r="J27" s="109">
        <f t="shared" si="14"/>
        <v>1.0805876736000002</v>
      </c>
      <c r="K27" s="109" t="e">
        <f t="shared" si="14"/>
        <v>#DIV/0!</v>
      </c>
      <c r="L27" s="109">
        <f t="shared" si="14"/>
        <v>10.042725813333334</v>
      </c>
      <c r="M27" s="109" t="e">
        <f t="shared" si="14"/>
        <v>#DIV/0!</v>
      </c>
      <c r="N27" s="109" t="e">
        <f t="shared" si="14"/>
        <v>#DIV/0!</v>
      </c>
      <c r="O27" s="109" t="e">
        <f t="shared" si="14"/>
        <v>#DIV/0!</v>
      </c>
      <c r="P27" s="109" t="e">
        <f t="shared" si="14"/>
        <v>#DIV/0!</v>
      </c>
      <c r="Q27" s="109" t="e">
        <f t="shared" si="14"/>
        <v>#DIV/0!</v>
      </c>
      <c r="R27" s="109" t="e">
        <f t="shared" si="14"/>
        <v>#DIV/0!</v>
      </c>
      <c r="S27" s="109" t="e">
        <f t="shared" si="14"/>
        <v>#DIV/0!</v>
      </c>
      <c r="T27" s="109" t="e">
        <f t="shared" si="14"/>
        <v>#DIV/0!</v>
      </c>
      <c r="U27" s="109" t="e">
        <f t="shared" si="14"/>
        <v>#DIV/0!</v>
      </c>
      <c r="V27" s="109" t="e">
        <f t="shared" si="14"/>
        <v>#DIV/0!</v>
      </c>
      <c r="W27" s="109" t="e">
        <f t="shared" si="14"/>
        <v>#DIV/0!</v>
      </c>
      <c r="X27" s="109" t="e">
        <f t="shared" si="14"/>
        <v>#DIV/0!</v>
      </c>
      <c r="Y27" s="109" t="e">
        <f t="shared" si="14"/>
        <v>#DIV/0!</v>
      </c>
      <c r="Z27" s="109" t="e">
        <f t="shared" si="14"/>
        <v>#DIV/0!</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c r="A28" s="143" t="s">
        <v>562</v>
      </c>
      <c r="E28" s="109">
        <f>E3/E9</f>
        <v>0</v>
      </c>
      <c r="F28" s="109">
        <f t="shared" ref="F28:BQ28" si="16">F3/F9</f>
        <v>5.4685433329313934E-4</v>
      </c>
      <c r="G28" s="109">
        <f t="shared" si="16"/>
        <v>5.9806062376252533E-4</v>
      </c>
      <c r="H28" s="109">
        <f t="shared" si="16"/>
        <v>8.7882565873111389E-4</v>
      </c>
      <c r="I28" s="109">
        <f t="shared" si="16"/>
        <v>1.0076103209580181E-3</v>
      </c>
      <c r="J28" s="109">
        <f t="shared" si="16"/>
        <v>1.2237071288460405E-3</v>
      </c>
      <c r="K28" s="109">
        <f t="shared" si="16"/>
        <v>1.7425211848886798E-3</v>
      </c>
      <c r="L28" s="109">
        <f t="shared" si="16"/>
        <v>2.0278206107565201E-3</v>
      </c>
      <c r="M28" s="109">
        <f t="shared" si="16"/>
        <v>2.0855465687104695E-3</v>
      </c>
      <c r="N28" s="109">
        <f t="shared" si="16"/>
        <v>1.0091892137341569E-3</v>
      </c>
      <c r="O28" s="109">
        <f t="shared" si="16"/>
        <v>0</v>
      </c>
      <c r="P28" s="109">
        <f t="shared" si="16"/>
        <v>3.0024844436472517E-4</v>
      </c>
      <c r="Q28" s="109">
        <f t="shared" si="16"/>
        <v>0</v>
      </c>
      <c r="R28" s="109">
        <f t="shared" si="16"/>
        <v>0</v>
      </c>
      <c r="S28" s="109">
        <f t="shared" si="16"/>
        <v>0</v>
      </c>
      <c r="T28" s="109">
        <f t="shared" si="16"/>
        <v>0</v>
      </c>
      <c r="U28" s="109">
        <f t="shared" si="16"/>
        <v>0</v>
      </c>
      <c r="V28" s="109">
        <f t="shared" si="16"/>
        <v>0</v>
      </c>
      <c r="W28" s="109">
        <f t="shared" si="16"/>
        <v>0</v>
      </c>
      <c r="X28" s="109">
        <f t="shared" si="16"/>
        <v>0</v>
      </c>
      <c r="Y28" s="109">
        <f t="shared" si="16"/>
        <v>0</v>
      </c>
      <c r="Z28" s="109">
        <f t="shared" si="16"/>
        <v>0</v>
      </c>
      <c r="AA28" s="109">
        <f t="shared" si="16"/>
        <v>0</v>
      </c>
      <c r="AB28" s="109">
        <f t="shared" si="16"/>
        <v>0</v>
      </c>
      <c r="AC28" s="109">
        <f t="shared" si="16"/>
        <v>0</v>
      </c>
      <c r="AD28" s="109">
        <f t="shared" si="16"/>
        <v>0</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t="e">
        <f t="shared" si="16"/>
        <v>#DIV/0!</v>
      </c>
      <c r="AN28" s="109" t="e">
        <f t="shared" si="16"/>
        <v>#DIV/0!</v>
      </c>
      <c r="AO28" s="109" t="e">
        <f t="shared" si="16"/>
        <v>#DIV/0!</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c r="A29" s="142" t="s">
        <v>571</v>
      </c>
      <c r="E29" s="108">
        <f>(E4-I4)/I4</f>
        <v>-4.2205676206974942E-2</v>
      </c>
      <c r="F29" s="108">
        <f t="shared" ref="F29:BQ29" si="18">(F4-J4)/J4</f>
        <v>2.547295864774108</v>
      </c>
      <c r="G29" s="108">
        <f t="shared" si="18"/>
        <v>1.5386855550653284</v>
      </c>
      <c r="H29" s="108">
        <f t="shared" si="18"/>
        <v>3.4261164732211875</v>
      </c>
      <c r="I29" s="108">
        <f t="shared" si="18"/>
        <v>0.49783282083555536</v>
      </c>
      <c r="J29" s="108">
        <f t="shared" si="18"/>
        <v>-0.20551563460672534</v>
      </c>
      <c r="K29" s="108">
        <f t="shared" si="18"/>
        <v>1.0364587589289178</v>
      </c>
      <c r="L29" s="108">
        <f t="shared" si="18"/>
        <v>-0.31352251963871342</v>
      </c>
      <c r="M29" s="108">
        <f t="shared" si="18"/>
        <v>-9.3699825255376554E-2</v>
      </c>
      <c r="N29" s="108">
        <f t="shared" si="18"/>
        <v>0.24515540659652313</v>
      </c>
      <c r="O29" s="108">
        <f t="shared" si="18"/>
        <v>0.18332938113227901</v>
      </c>
      <c r="P29" s="108">
        <f t="shared" si="18"/>
        <v>0.54765559784616435</v>
      </c>
      <c r="Q29" s="108">
        <f t="shared" si="18"/>
        <v>1.9164165816543701</v>
      </c>
      <c r="R29" s="108">
        <f t="shared" si="18"/>
        <v>0.81202039195744213</v>
      </c>
      <c r="S29" s="108">
        <f t="shared" si="18"/>
        <v>1.1771560872753364</v>
      </c>
      <c r="T29" s="108">
        <f t="shared" si="18"/>
        <v>9.5995364351708176E-2</v>
      </c>
      <c r="U29" s="108">
        <f t="shared" si="18"/>
        <v>0.40726275649849708</v>
      </c>
      <c r="V29" s="108">
        <f t="shared" si="18"/>
        <v>-2.3489802318064135E-2</v>
      </c>
      <c r="W29" s="108">
        <f t="shared" si="18"/>
        <v>-0.13481780745858593</v>
      </c>
      <c r="X29" s="108">
        <f t="shared" si="18"/>
        <v>4.5263547872501029</v>
      </c>
      <c r="Y29" s="108">
        <f t="shared" si="18"/>
        <v>0.33126184261251307</v>
      </c>
      <c r="Z29" s="108">
        <f t="shared" si="18"/>
        <v>1.3025805704148843</v>
      </c>
      <c r="AA29" s="108">
        <f t="shared" si="18"/>
        <v>1.3203337778276851</v>
      </c>
      <c r="AB29" s="108">
        <f t="shared" si="18"/>
        <v>0.7364311040400161</v>
      </c>
      <c r="AC29" s="108">
        <f t="shared" si="18"/>
        <v>2.9970221405043511</v>
      </c>
      <c r="AD29" s="108">
        <f t="shared" si="18"/>
        <v>1.0886497370878367</v>
      </c>
      <c r="AE29" s="108">
        <f t="shared" si="18"/>
        <v>0.47665777049768038</v>
      </c>
      <c r="AF29" s="108">
        <f t="shared" si="18"/>
        <v>0.48343089987868781</v>
      </c>
      <c r="AG29" s="108">
        <f t="shared" si="18"/>
        <v>-0.36541138803685891</v>
      </c>
      <c r="AH29" s="108">
        <f t="shared" si="18"/>
        <v>1.658848267532697</v>
      </c>
      <c r="AI29" s="108" t="e">
        <f t="shared" si="18"/>
        <v>#DIV/0!</v>
      </c>
      <c r="AJ29" s="108" t="e">
        <f t="shared" si="18"/>
        <v>#DIV/0!</v>
      </c>
      <c r="AK29" s="108" t="e">
        <f t="shared" si="18"/>
        <v>#DIV/0!</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c r="A30" s="142" t="s">
        <v>555</v>
      </c>
      <c r="E30" s="108">
        <f>(E5-I5)/I5</f>
        <v>3.0922220724923781E-2</v>
      </c>
      <c r="F30" s="108">
        <f t="shared" ref="F30:BQ30" si="20">(F5-J5)/J5</f>
        <v>0.49735660540864207</v>
      </c>
      <c r="G30" s="108">
        <f t="shared" si="20"/>
        <v>0.75477416519633878</v>
      </c>
      <c r="H30" s="108">
        <f t="shared" si="20"/>
        <v>0.95831223783663833</v>
      </c>
      <c r="I30" s="108">
        <f t="shared" si="20"/>
        <v>0.59635758505980496</v>
      </c>
      <c r="J30" s="108">
        <f t="shared" si="20"/>
        <v>0.34819996301102962</v>
      </c>
      <c r="K30" s="108">
        <f t="shared" si="20"/>
        <v>0.63700099653629383</v>
      </c>
      <c r="L30" s="108">
        <f t="shared" si="20"/>
        <v>0.54066766123359211</v>
      </c>
      <c r="M30" s="108">
        <f t="shared" si="20"/>
        <v>0.50454160878420462</v>
      </c>
      <c r="N30" s="108">
        <f t="shared" si="20"/>
        <v>0.7857677064928521</v>
      </c>
      <c r="O30" s="108">
        <f t="shared" si="20"/>
        <v>0.60514234755714946</v>
      </c>
      <c r="P30" s="108">
        <f t="shared" si="20"/>
        <v>0.66642842484469533</v>
      </c>
      <c r="Q30" s="108">
        <f t="shared" si="20"/>
        <v>1.0573520079256238</v>
      </c>
      <c r="R30" s="108">
        <f t="shared" si="20"/>
        <v>1.093547570922879</v>
      </c>
      <c r="S30" s="108">
        <f t="shared" si="20"/>
        <v>1.628215399538429</v>
      </c>
      <c r="T30" s="108">
        <f t="shared" si="20"/>
        <v>0.25642770366785189</v>
      </c>
      <c r="U30" s="108">
        <f t="shared" si="20"/>
        <v>0.87869398273398669</v>
      </c>
      <c r="V30" s="108">
        <f t="shared" si="20"/>
        <v>0.13379097470996185</v>
      </c>
      <c r="W30" s="108">
        <f t="shared" si="20"/>
        <v>1.3451733321818379E-3</v>
      </c>
      <c r="X30" s="108">
        <f t="shared" si="20"/>
        <v>1.7090104696881891</v>
      </c>
      <c r="Y30" s="108">
        <f t="shared" si="20"/>
        <v>0.41298201641546428</v>
      </c>
      <c r="Z30" s="108">
        <f t="shared" si="20"/>
        <v>0.7266208985384468</v>
      </c>
      <c r="AA30" s="108">
        <f t="shared" si="20"/>
        <v>0.72332774286674484</v>
      </c>
      <c r="AB30" s="108">
        <f t="shared" si="20"/>
        <v>0.97641351092559969</v>
      </c>
      <c r="AC30" s="108">
        <f t="shared" si="20"/>
        <v>2.2547980238451317</v>
      </c>
      <c r="AD30" s="108">
        <f t="shared" si="20"/>
        <v>1.9953146004994342</v>
      </c>
      <c r="AE30" s="108">
        <f t="shared" si="20"/>
        <v>1.5792798565379391</v>
      </c>
      <c r="AF30" s="108">
        <f t="shared" si="20"/>
        <v>1.1704172840214322</v>
      </c>
      <c r="AG30" s="108">
        <f t="shared" si="20"/>
        <v>2.332870946033792E-2</v>
      </c>
      <c r="AH30" s="108">
        <f t="shared" si="20"/>
        <v>1.6188439808505748</v>
      </c>
      <c r="AI30" s="108" t="e">
        <f t="shared" si="20"/>
        <v>#DIV/0!</v>
      </c>
      <c r="AJ30" s="108" t="e">
        <f t="shared" si="20"/>
        <v>#DIV/0!</v>
      </c>
      <c r="AK30" s="108" t="e">
        <f t="shared" si="20"/>
        <v>#DIV/0!</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c r="A31" s="142" t="s">
        <v>556</v>
      </c>
      <c r="E31" s="108">
        <f>(E6-I6)/I6</f>
        <v>7.1322314227017972E-2</v>
      </c>
      <c r="F31" s="108">
        <f t="shared" ref="F31:BQ31" si="22">(F6-J6)/J6</f>
        <v>-0.12769411887903995</v>
      </c>
      <c r="G31" s="108">
        <f t="shared" si="22"/>
        <v>0.20218643316301638</v>
      </c>
      <c r="H31" s="108">
        <f t="shared" si="22"/>
        <v>-0.10298768337565009</v>
      </c>
      <c r="I31" s="108">
        <f t="shared" si="22"/>
        <v>0.65655634717031019</v>
      </c>
      <c r="J31" s="108">
        <f t="shared" si="22"/>
        <v>0.71201775772269171</v>
      </c>
      <c r="K31" s="108">
        <f t="shared" si="22"/>
        <v>0.43814761718307238</v>
      </c>
      <c r="L31" s="108">
        <f t="shared" si="22"/>
        <v>2.3141587807138753</v>
      </c>
      <c r="M31" s="108">
        <f t="shared" si="22"/>
        <v>1.5215093009311356</v>
      </c>
      <c r="N31" s="108">
        <f t="shared" si="22"/>
        <v>1.4985286114164169</v>
      </c>
      <c r="O31" s="108">
        <f t="shared" si="22"/>
        <v>0.95142259393211626</v>
      </c>
      <c r="P31" s="108">
        <f t="shared" si="22"/>
        <v>0.98227927863585729</v>
      </c>
      <c r="Q31" s="108">
        <f t="shared" si="22"/>
        <v>0.37089735105161203</v>
      </c>
      <c r="R31" s="108">
        <f t="shared" si="22"/>
        <v>1.6328639559689946</v>
      </c>
      <c r="S31" s="108">
        <f t="shared" si="22"/>
        <v>2.1668277704201273</v>
      </c>
      <c r="T31" s="108">
        <f t="shared" si="22"/>
        <v>1.0572472082217099</v>
      </c>
      <c r="U31" s="108">
        <f t="shared" si="22"/>
        <v>1.5654290083231224</v>
      </c>
      <c r="V31" s="108">
        <f t="shared" si="22"/>
        <v>0.63972378671081176</v>
      </c>
      <c r="W31" s="108">
        <f t="shared" si="22"/>
        <v>0.23307612009456807</v>
      </c>
      <c r="X31" s="108">
        <f t="shared" si="22"/>
        <v>-0.23576669982875761</v>
      </c>
      <c r="Y31" s="108">
        <f t="shared" si="22"/>
        <v>0.55173916681008972</v>
      </c>
      <c r="Z31" s="108">
        <f t="shared" si="22"/>
        <v>-4.3225450549935665E-2</v>
      </c>
      <c r="AA31" s="108">
        <f t="shared" si="22"/>
        <v>0.19852143150442633</v>
      </c>
      <c r="AB31" s="108">
        <f t="shared" si="22"/>
        <v>1.1848498119398805</v>
      </c>
      <c r="AC31" s="108">
        <f t="shared" si="22"/>
        <v>1.4745661799222338</v>
      </c>
      <c r="AD31" s="108">
        <f t="shared" si="22"/>
        <v>6.1354493525048692</v>
      </c>
      <c r="AE31" s="108">
        <f t="shared" si="22"/>
        <v>6.5065885759290358</v>
      </c>
      <c r="AF31" s="108">
        <f t="shared" si="22"/>
        <v>2.6308585242548972</v>
      </c>
      <c r="AG31" s="108">
        <f t="shared" si="22"/>
        <v>1.874157399329436</v>
      </c>
      <c r="AH31" s="108">
        <f t="shared" si="22"/>
        <v>1.4504862956418014</v>
      </c>
      <c r="AI31" s="108" t="e">
        <f t="shared" si="22"/>
        <v>#DIV/0!</v>
      </c>
      <c r="AJ31" s="108" t="e">
        <f t="shared" si="22"/>
        <v>#DIV/0!</v>
      </c>
      <c r="AK31" s="108" t="e">
        <f t="shared" si="22"/>
        <v>#DIV/0!</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c r="A32" s="143" t="s">
        <v>558</v>
      </c>
      <c r="E32" s="109">
        <f>(E7-I7)/I7</f>
        <v>8.2808193336185401E-2</v>
      </c>
      <c r="F32" s="109">
        <f t="shared" ref="F32:BQ32" si="24">(F7-J7)/J7</f>
        <v>4.963815825055546E-2</v>
      </c>
      <c r="G32" s="109">
        <f t="shared" si="24"/>
        <v>8.6123714568294943E-2</v>
      </c>
      <c r="H32" s="109">
        <f t="shared" si="24"/>
        <v>2.5364456520368065E-3</v>
      </c>
      <c r="I32" s="109">
        <f t="shared" si="24"/>
        <v>1.0615785132172172E-2</v>
      </c>
      <c r="J32" s="109">
        <f t="shared" si="24"/>
        <v>1.6059280417614161E-2</v>
      </c>
      <c r="K32" s="109">
        <f t="shared" si="24"/>
        <v>-2.2309393331004245E-2</v>
      </c>
      <c r="L32" s="109">
        <f t="shared" si="24"/>
        <v>6.7038965932595576E-2</v>
      </c>
      <c r="M32" s="109">
        <f t="shared" si="24"/>
        <v>4.4403003516385223E-2</v>
      </c>
      <c r="N32" s="109">
        <f t="shared" si="24"/>
        <v>-5.22996876746291E-2</v>
      </c>
      <c r="O32" s="109">
        <f t="shared" si="24"/>
        <v>-0.10291202629491134</v>
      </c>
      <c r="P32" s="109">
        <f t="shared" si="24"/>
        <v>-1.2679150096924678E-2</v>
      </c>
      <c r="Q32" s="109">
        <f t="shared" si="24"/>
        <v>6.8929238288370385E-3</v>
      </c>
      <c r="R32" s="109">
        <f t="shared" si="24"/>
        <v>0.27044072152988913</v>
      </c>
      <c r="S32" s="109">
        <f t="shared" si="24"/>
        <v>0.63804626846891299</v>
      </c>
      <c r="T32" s="109">
        <f t="shared" si="24"/>
        <v>1.401052361575543</v>
      </c>
      <c r="U32" s="109">
        <f t="shared" si="24"/>
        <v>1.4104123428720463</v>
      </c>
      <c r="V32" s="109">
        <f t="shared" si="24"/>
        <v>2.6210363761319115</v>
      </c>
      <c r="W32" s="109">
        <f t="shared" si="24"/>
        <v>2.0575392359581732</v>
      </c>
      <c r="X32" s="109">
        <f t="shared" si="24"/>
        <v>0.92121440731801152</v>
      </c>
      <c r="Y32" s="109">
        <f t="shared" si="24"/>
        <v>1.2762342819513848</v>
      </c>
      <c r="Z32" s="109">
        <f t="shared" si="24"/>
        <v>1.6660980806393084</v>
      </c>
      <c r="AA32" s="109">
        <f t="shared" si="24"/>
        <v>1.7828334047398973</v>
      </c>
      <c r="AB32" s="109">
        <f t="shared" si="24"/>
        <v>1.6830149959338105</v>
      </c>
      <c r="AC32" s="109">
        <f t="shared" si="24"/>
        <v>1.3179953863782621</v>
      </c>
      <c r="AD32" s="109">
        <f t="shared" si="24"/>
        <v>0.33828899114670263</v>
      </c>
      <c r="AE32" s="109">
        <f t="shared" si="24"/>
        <v>0.26878126285318144</v>
      </c>
      <c r="AF32" s="109">
        <f t="shared" si="24"/>
        <v>0.24703975617716867</v>
      </c>
      <c r="AG32" s="109">
        <f t="shared" si="24"/>
        <v>0.44500408015896192</v>
      </c>
      <c r="AH32" s="109">
        <f t="shared" si="24"/>
        <v>1.0968353957577881</v>
      </c>
      <c r="AI32" s="109" t="e">
        <f t="shared" si="24"/>
        <v>#DIV/0!</v>
      </c>
      <c r="AJ32" s="109" t="e">
        <f t="shared" si="24"/>
        <v>#DIV/0!</v>
      </c>
      <c r="AK32" s="109" t="e">
        <f t="shared" si="24"/>
        <v>#DIV/0!</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c r="A33" s="143" t="s">
        <v>565</v>
      </c>
      <c r="E33" s="109">
        <f>E7/E9</f>
        <v>0.15403586275979247</v>
      </c>
      <c r="F33" s="109">
        <f t="shared" ref="F33:BQ33" si="26">F7/F9</f>
        <v>0.14857339455129898</v>
      </c>
      <c r="G33" s="109">
        <f t="shared" si="26"/>
        <v>0.16127812113280232</v>
      </c>
      <c r="H33" s="109">
        <f t="shared" si="26"/>
        <v>0.16927795345181193</v>
      </c>
      <c r="I33" s="109">
        <f t="shared" si="26"/>
        <v>0.19033591555182686</v>
      </c>
      <c r="J33" s="109">
        <f t="shared" si="26"/>
        <v>0.20133538268411705</v>
      </c>
      <c r="K33" s="109">
        <f t="shared" si="26"/>
        <v>0.24375721356766114</v>
      </c>
      <c r="L33" s="109">
        <f t="shared" si="26"/>
        <v>0.26432848915120205</v>
      </c>
      <c r="M33" s="109">
        <f t="shared" si="26"/>
        <v>0.26447150797748464</v>
      </c>
      <c r="N33" s="109">
        <f t="shared" si="26"/>
        <v>0.34000256140626978</v>
      </c>
      <c r="O33" s="109">
        <f t="shared" si="26"/>
        <v>0.39411117138950297</v>
      </c>
      <c r="P33" s="109">
        <f t="shared" si="26"/>
        <v>0.40503375323904861</v>
      </c>
      <c r="Q33" s="109">
        <f t="shared" si="26"/>
        <v>0.40664957607633767</v>
      </c>
      <c r="R33" s="109">
        <f t="shared" si="26"/>
        <v>0.46724152960790033</v>
      </c>
      <c r="S33" s="109">
        <f t="shared" si="26"/>
        <v>0.56182674585339543</v>
      </c>
      <c r="T33" s="109">
        <f t="shared" si="26"/>
        <v>0.53703140862447996</v>
      </c>
      <c r="U33" s="109">
        <f t="shared" si="26"/>
        <v>0.55145011470722138</v>
      </c>
      <c r="V33" s="109">
        <f t="shared" si="26"/>
        <v>0.51668360476934694</v>
      </c>
      <c r="W33" s="109">
        <f t="shared" si="26"/>
        <v>0.48475955735640341</v>
      </c>
      <c r="X33" s="109">
        <f t="shared" si="26"/>
        <v>0.30690718674413825</v>
      </c>
      <c r="Y33" s="109">
        <f t="shared" si="26"/>
        <v>0.30073970307522535</v>
      </c>
      <c r="Z33" s="109">
        <f t="shared" si="26"/>
        <v>0.22787921679215919</v>
      </c>
      <c r="AA33" s="109">
        <f t="shared" si="26"/>
        <v>0.25725083776510149</v>
      </c>
      <c r="AB33" s="109">
        <f t="shared" si="26"/>
        <v>0.50235687213631008</v>
      </c>
      <c r="AC33" s="109">
        <f t="shared" si="26"/>
        <v>0.42369169180614508</v>
      </c>
      <c r="AD33" s="109">
        <f t="shared" si="26"/>
        <v>0.25681020323692838</v>
      </c>
      <c r="AE33" s="109">
        <f t="shared" si="26"/>
        <v>0.25564976729096572</v>
      </c>
      <c r="AF33" s="109">
        <f t="shared" si="26"/>
        <v>0.28772352539151663</v>
      </c>
      <c r="AG33" s="109">
        <f t="shared" si="26"/>
        <v>0.29298642796003355</v>
      </c>
      <c r="AH33" s="109">
        <f t="shared" si="26"/>
        <v>0.27345415606363965</v>
      </c>
      <c r="AI33" s="109">
        <f t="shared" si="26"/>
        <v>0.46173773042006888</v>
      </c>
      <c r="AJ33" s="109">
        <f t="shared" si="26"/>
        <v>0.50893388587764377</v>
      </c>
      <c r="AK33" s="109">
        <f t="shared" si="26"/>
        <v>0.56537798573291831</v>
      </c>
      <c r="AL33" s="109">
        <f t="shared" si="26"/>
        <v>0.54325834011117424</v>
      </c>
      <c r="AM33" s="109" t="e">
        <f t="shared" si="26"/>
        <v>#DIV/0!</v>
      </c>
      <c r="AN33" s="109" t="e">
        <f t="shared" si="26"/>
        <v>#DIV/0!</v>
      </c>
      <c r="AO33" s="109" t="e">
        <f t="shared" si="26"/>
        <v>#DIV/0!</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c r="A34" s="142" t="s">
        <v>559</v>
      </c>
      <c r="E34" s="108">
        <f>(E10-I10)/I10</f>
        <v>0.26820650780450744</v>
      </c>
      <c r="F34" s="108">
        <f t="shared" ref="F34:BQ34" si="28">(F10-J10)/J10</f>
        <v>0.74185153532949411</v>
      </c>
      <c r="G34" s="108">
        <f t="shared" si="28"/>
        <v>0.29653472147463933</v>
      </c>
      <c r="H34" s="108">
        <f t="shared" si="28"/>
        <v>7.6748809770086107E-2</v>
      </c>
      <c r="I34" s="108">
        <f t="shared" si="28"/>
        <v>0.19511409592384241</v>
      </c>
      <c r="J34" s="108">
        <f t="shared" si="28"/>
        <v>-3.9224071142794553E-2</v>
      </c>
      <c r="K34" s="108">
        <f t="shared" si="28"/>
        <v>0.85510543421129059</v>
      </c>
      <c r="L34" s="108">
        <f t="shared" si="28"/>
        <v>1.0986346928872426</v>
      </c>
      <c r="M34" s="108">
        <f t="shared" si="28"/>
        <v>0.92234621714765508</v>
      </c>
      <c r="N34" s="108">
        <f t="shared" si="28"/>
        <v>1.1958692275517917</v>
      </c>
      <c r="O34" s="108">
        <f t="shared" si="28"/>
        <v>0.39812438131954914</v>
      </c>
      <c r="P34" s="108">
        <f t="shared" si="28"/>
        <v>0.20456967837094484</v>
      </c>
      <c r="Q34" s="108">
        <f t="shared" si="28"/>
        <v>0.29180976704478118</v>
      </c>
      <c r="R34" s="108">
        <f t="shared" si="28"/>
        <v>0.22153765305991521</v>
      </c>
      <c r="S34" s="108">
        <f t="shared" si="28"/>
        <v>0.57618654394442304</v>
      </c>
      <c r="T34" s="108">
        <f t="shared" si="28"/>
        <v>0.6303373727709084</v>
      </c>
      <c r="U34" s="108">
        <f t="shared" si="28"/>
        <v>0.46393809749945819</v>
      </c>
      <c r="V34" s="108">
        <f t="shared" si="28"/>
        <v>0.58798174371311096</v>
      </c>
      <c r="W34" s="108">
        <f t="shared" si="28"/>
        <v>0.84244038158942613</v>
      </c>
      <c r="X34" s="108">
        <f t="shared" si="28"/>
        <v>0.77885049500816406</v>
      </c>
      <c r="Y34" s="108">
        <f t="shared" si="28"/>
        <v>1.0308677027358093</v>
      </c>
      <c r="Z34" s="108">
        <f t="shared" si="28"/>
        <v>1.7573766880794826</v>
      </c>
      <c r="AA34" s="108">
        <f t="shared" si="28"/>
        <v>0.92828067588988339</v>
      </c>
      <c r="AB34" s="108">
        <f t="shared" si="28"/>
        <v>3.6574729848214287</v>
      </c>
      <c r="AC34" s="108">
        <f t="shared" si="28"/>
        <v>7.2012959423416811</v>
      </c>
      <c r="AD34" s="108">
        <f t="shared" si="28"/>
        <v>2.2737416375750401</v>
      </c>
      <c r="AE34" s="108">
        <f t="shared" si="28"/>
        <v>0.67219098270010758</v>
      </c>
      <c r="AF34" s="108">
        <f t="shared" si="28"/>
        <v>-0.27340341988057576</v>
      </c>
      <c r="AG34" s="108">
        <f t="shared" si="28"/>
        <v>-0.48565819700485818</v>
      </c>
      <c r="AH34" s="108">
        <f t="shared" si="28"/>
        <v>0.34676638243828201</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c r="A35" s="142" t="s">
        <v>563</v>
      </c>
      <c r="E35" s="108">
        <f>E10/E12</f>
        <v>0.6242933543352136</v>
      </c>
      <c r="F35" s="108">
        <f t="shared" ref="F35:BQ35" si="30">F10/F12</f>
        <v>0.60532039070531374</v>
      </c>
      <c r="G35" s="108">
        <f t="shared" si="30"/>
        <v>0.62691648696079971</v>
      </c>
      <c r="H35" s="108">
        <f t="shared" si="30"/>
        <v>0.55988068000293378</v>
      </c>
      <c r="I35" s="108">
        <f t="shared" si="30"/>
        <v>0.86766436251073964</v>
      </c>
      <c r="J35" s="108">
        <f t="shared" si="30"/>
        <v>0.715796164835374</v>
      </c>
      <c r="K35" s="108">
        <f t="shared" si="30"/>
        <v>0.77953370489738294</v>
      </c>
      <c r="L35" s="108">
        <f t="shared" si="30"/>
        <v>0.73271867250574874</v>
      </c>
      <c r="M35" s="108">
        <f t="shared" si="30"/>
        <v>0.72966611682068827</v>
      </c>
      <c r="N35" s="108">
        <f t="shared" si="30"/>
        <v>0.71639714544924049</v>
      </c>
      <c r="O35" s="108">
        <f t="shared" si="30"/>
        <v>0.54467019358048308</v>
      </c>
      <c r="P35" s="108">
        <f t="shared" si="30"/>
        <v>0.48086044284422336</v>
      </c>
      <c r="Q35" s="108">
        <f t="shared" si="30"/>
        <v>0.50361802517670107</v>
      </c>
      <c r="R35" s="108">
        <f t="shared" si="30"/>
        <v>0.42417704626912511</v>
      </c>
      <c r="S35" s="108">
        <f t="shared" si="30"/>
        <v>0.50053085203303305</v>
      </c>
      <c r="T35" s="108">
        <f t="shared" si="30"/>
        <v>0.55349623572469908</v>
      </c>
      <c r="U35" s="108">
        <f t="shared" si="30"/>
        <v>0.57089119308583469</v>
      </c>
      <c r="V35" s="108">
        <f t="shared" si="30"/>
        <v>0.54174300364461669</v>
      </c>
      <c r="W35" s="108">
        <f t="shared" si="30"/>
        <v>0.51664590755984885</v>
      </c>
      <c r="X35" s="108">
        <f t="shared" si="30"/>
        <v>0.51988441438252719</v>
      </c>
      <c r="Y35" s="108">
        <f t="shared" si="30"/>
        <v>0.54939467647712326</v>
      </c>
      <c r="Z35" s="108">
        <f t="shared" si="30"/>
        <v>0.84014561467177695</v>
      </c>
      <c r="AA35" s="108">
        <f t="shared" si="30"/>
        <v>0.86788937542370925</v>
      </c>
      <c r="AB35" s="108">
        <f t="shared" si="30"/>
        <v>0.98981784169976805</v>
      </c>
      <c r="AC35" s="108">
        <f t="shared" si="30"/>
        <v>0.98959953356775832</v>
      </c>
      <c r="AD35" s="108">
        <f t="shared" si="30"/>
        <v>0.98257612585354048</v>
      </c>
      <c r="AE35" s="108">
        <f t="shared" si="30"/>
        <v>0.9810105205691152</v>
      </c>
      <c r="AF35" s="108">
        <f t="shared" si="30"/>
        <v>0.58519573457545604</v>
      </c>
      <c r="AG35" s="108">
        <f t="shared" si="30"/>
        <v>0.44133343513842765</v>
      </c>
      <c r="AH35" s="108">
        <f t="shared" si="30"/>
        <v>0.98525150570402176</v>
      </c>
      <c r="AI35" s="108">
        <f t="shared" si="30"/>
        <v>0.80741376895403194</v>
      </c>
      <c r="AJ35" s="108">
        <f t="shared" si="30"/>
        <v>0.79261778886563394</v>
      </c>
      <c r="AK35" s="108">
        <f t="shared" si="30"/>
        <v>0.75123658276860528</v>
      </c>
      <c r="AL35" s="108">
        <f t="shared" si="30"/>
        <v>0.99790494475599056</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c r="A36" s="142" t="s">
        <v>560</v>
      </c>
      <c r="E36" s="108">
        <f>(E11-I11)/I11</f>
        <v>4.0040897348705595</v>
      </c>
      <c r="F36" s="108">
        <f t="shared" ref="F36:BQ36" si="32">(F11-J11)/J11</f>
        <v>1.8604209785616959</v>
      </c>
      <c r="G36" s="108">
        <f t="shared" si="32"/>
        <v>1.7281811991122855</v>
      </c>
      <c r="H36" s="108">
        <f t="shared" si="32"/>
        <v>1.3203740069098289</v>
      </c>
      <c r="I36" s="108">
        <f t="shared" si="32"/>
        <v>-0.5080079113694026</v>
      </c>
      <c r="J36" s="108">
        <f t="shared" si="32"/>
        <v>-3.6379723919340058E-2</v>
      </c>
      <c r="K36" s="108">
        <f t="shared" si="32"/>
        <v>-0.37239928033060476</v>
      </c>
      <c r="L36" s="108">
        <f t="shared" si="32"/>
        <v>-0.29090709791721692</v>
      </c>
      <c r="M36" s="108">
        <f t="shared" si="32"/>
        <v>-0.27740795882178682</v>
      </c>
      <c r="N36" s="108">
        <f t="shared" si="32"/>
        <v>-0.35964410126946167</v>
      </c>
      <c r="O36" s="108">
        <f t="shared" si="32"/>
        <v>0.17127929177078904</v>
      </c>
      <c r="P36" s="108">
        <f t="shared" si="32"/>
        <v>0.61207982972304509</v>
      </c>
      <c r="Q36" s="108">
        <f t="shared" si="32"/>
        <v>0.6939446518243102</v>
      </c>
      <c r="R36" s="108">
        <f t="shared" si="32"/>
        <v>0.96034664978854534</v>
      </c>
      <c r="S36" s="108">
        <f t="shared" si="32"/>
        <v>0.68117539181754561</v>
      </c>
      <c r="T36" s="108">
        <f t="shared" si="32"/>
        <v>0.42412768977381698</v>
      </c>
      <c r="U36" s="108">
        <f t="shared" si="32"/>
        <v>0.3416057972431355</v>
      </c>
      <c r="V36" s="108">
        <f t="shared" si="32"/>
        <v>6.0597822835307786</v>
      </c>
      <c r="W36" s="108">
        <f t="shared" si="32"/>
        <v>10.323807453237999</v>
      </c>
      <c r="X36" s="108">
        <f t="shared" si="32"/>
        <v>158.69594496332255</v>
      </c>
      <c r="Y36" s="108">
        <f t="shared" si="32"/>
        <v>157.48938114822204</v>
      </c>
      <c r="Z36" s="108">
        <f t="shared" si="32"/>
        <v>28.586089847954323</v>
      </c>
      <c r="AA36" s="108">
        <f t="shared" si="32"/>
        <v>14.16366664770637</v>
      </c>
      <c r="AB36" s="108">
        <f t="shared" si="32"/>
        <v>-0.93240838090311873</v>
      </c>
      <c r="AC36" s="108">
        <f t="shared" si="32"/>
        <v>-0.93190895984713418</v>
      </c>
      <c r="AD36" s="108">
        <f t="shared" si="32"/>
        <v>2.8781298168285838</v>
      </c>
      <c r="AE36" s="108">
        <f t="shared" si="32"/>
        <v>-0.86429489392003889</v>
      </c>
      <c r="AF36" s="108">
        <f t="shared" si="32"/>
        <v>0.96846512771537352</v>
      </c>
      <c r="AG36" s="108">
        <f t="shared" si="32"/>
        <v>0.96620088506691137</v>
      </c>
      <c r="AH36" s="108">
        <f t="shared" si="32"/>
        <v>8.6025491733333332</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c r="A37" s="142" t="s">
        <v>564</v>
      </c>
      <c r="B37" s="108"/>
      <c r="C37" s="108"/>
      <c r="D37" s="108"/>
      <c r="E37" s="108">
        <f>E11/E12</f>
        <v>0.37570664566478634</v>
      </c>
      <c r="F37" s="108">
        <f t="shared" ref="F37:BQ37" si="34">F11/F12</f>
        <v>0.39467960929468637</v>
      </c>
      <c r="G37" s="108">
        <f t="shared" si="34"/>
        <v>0.37308351303920034</v>
      </c>
      <c r="H37" s="108">
        <f t="shared" si="34"/>
        <v>0.44011931999706633</v>
      </c>
      <c r="I37" s="108">
        <f t="shared" si="34"/>
        <v>0.13233563748926036</v>
      </c>
      <c r="J37" s="108">
        <f t="shared" si="34"/>
        <v>0.28420383516462594</v>
      </c>
      <c r="K37" s="108">
        <f t="shared" si="34"/>
        <v>0.220466295102617</v>
      </c>
      <c r="L37" s="108">
        <f t="shared" si="34"/>
        <v>0.26728132749425138</v>
      </c>
      <c r="M37" s="108">
        <f t="shared" si="34"/>
        <v>0.27033388317931167</v>
      </c>
      <c r="N37" s="108">
        <f t="shared" si="34"/>
        <v>0.28360285455075951</v>
      </c>
      <c r="O37" s="110">
        <f t="shared" si="34"/>
        <v>0.45532980641951687</v>
      </c>
      <c r="P37" s="110">
        <f t="shared" si="34"/>
        <v>0.51913955715577664</v>
      </c>
      <c r="Q37" s="110">
        <f t="shared" si="34"/>
        <v>0.49638197482329893</v>
      </c>
      <c r="R37" s="110">
        <f t="shared" si="34"/>
        <v>0.57582295373087478</v>
      </c>
      <c r="S37" s="110">
        <f t="shared" si="34"/>
        <v>0.49946914796696695</v>
      </c>
      <c r="T37" s="110">
        <f t="shared" si="34"/>
        <v>0.44650376427530086</v>
      </c>
      <c r="U37" s="110">
        <f t="shared" si="34"/>
        <v>0.4291088069141652</v>
      </c>
      <c r="V37" s="110">
        <f t="shared" si="34"/>
        <v>0.45825699635538325</v>
      </c>
      <c r="W37" s="110">
        <f t="shared" si="34"/>
        <v>0.4833540924401511</v>
      </c>
      <c r="X37" s="110">
        <f t="shared" si="34"/>
        <v>0.48011558561747275</v>
      </c>
      <c r="Y37" s="110">
        <f t="shared" si="34"/>
        <v>0.45060532352287674</v>
      </c>
      <c r="Z37" s="110">
        <f t="shared" si="34"/>
        <v>0.15985438532822319</v>
      </c>
      <c r="AA37" s="110">
        <f t="shared" si="34"/>
        <v>0.1321106245762908</v>
      </c>
      <c r="AB37" s="110">
        <f t="shared" si="34"/>
        <v>1.0182158300231879E-2</v>
      </c>
      <c r="AC37" s="110">
        <f t="shared" si="34"/>
        <v>1.0400466432241741E-2</v>
      </c>
      <c r="AD37" s="110">
        <f t="shared" si="34"/>
        <v>1.7423874146459524E-2</v>
      </c>
      <c r="AE37" s="110">
        <f t="shared" si="34"/>
        <v>1.89894794308847E-2</v>
      </c>
      <c r="AF37" s="110">
        <f t="shared" si="34"/>
        <v>0.41480426542454385</v>
      </c>
      <c r="AG37" s="110">
        <f t="shared" si="34"/>
        <v>0.55866656486157229</v>
      </c>
      <c r="AH37" s="110">
        <f t="shared" si="34"/>
        <v>1.47484942959783E-2</v>
      </c>
      <c r="AI37" s="110">
        <f t="shared" si="34"/>
        <v>0.19258623104596806</v>
      </c>
      <c r="AJ37" s="110">
        <f t="shared" si="34"/>
        <v>0.20738221113436614</v>
      </c>
      <c r="AK37" s="110">
        <f t="shared" si="34"/>
        <v>0.24876341723139472</v>
      </c>
      <c r="AL37" s="110">
        <f t="shared" si="34"/>
        <v>2.0950552440094747E-3</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c r="A38" s="185" t="s">
        <v>634</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c r="A39" s="221" t="s">
        <v>551</v>
      </c>
      <c r="B39" s="222"/>
      <c r="C39" s="222"/>
      <c r="D39" s="222"/>
      <c r="E39" s="223">
        <f>E2/E9</f>
        <v>0.773027776653474</v>
      </c>
      <c r="F39" s="223">
        <f t="shared" ref="F39:U39" si="37">F2/F9</f>
        <v>0.70632883102668942</v>
      </c>
      <c r="G39" s="223">
        <f t="shared" si="37"/>
        <v>0.64924904465323086</v>
      </c>
      <c r="H39" s="223">
        <f t="shared" si="37"/>
        <v>0.60741268489313782</v>
      </c>
      <c r="I39" s="223">
        <f t="shared" si="37"/>
        <v>0.70676865572802261</v>
      </c>
      <c r="J39" s="223">
        <f t="shared" si="37"/>
        <v>0.73947907645790012</v>
      </c>
      <c r="K39" s="223">
        <f t="shared" si="37"/>
        <v>0.63236913886786772</v>
      </c>
      <c r="L39" s="223">
        <f t="shared" si="37"/>
        <v>0.65497257374738349</v>
      </c>
      <c r="M39" s="223">
        <f t="shared" si="37"/>
        <v>0.63792100329518764</v>
      </c>
      <c r="N39" s="223">
        <f t="shared" si="37"/>
        <v>0.53380740035831953</v>
      </c>
      <c r="O39" s="223">
        <f t="shared" si="37"/>
        <v>0.51108771162762079</v>
      </c>
      <c r="P39" s="223">
        <f t="shared" si="37"/>
        <v>0.40728888644548228</v>
      </c>
      <c r="Q39" s="223">
        <f t="shared" si="37"/>
        <v>0.42409576781660119</v>
      </c>
      <c r="R39" s="223">
        <f t="shared" si="37"/>
        <v>0.40182683089529903</v>
      </c>
      <c r="S39" s="223">
        <f t="shared" si="37"/>
        <v>0.33571982340456019</v>
      </c>
      <c r="T39" s="223">
        <f t="shared" si="37"/>
        <v>0.30447598905206535</v>
      </c>
      <c r="U39" s="223">
        <f t="shared" si="37"/>
        <v>0.36930700327463223</v>
      </c>
    </row>
    <row r="40" spans="1:89" s="224" customFormat="1">
      <c r="A40" s="221" t="s">
        <v>552</v>
      </c>
      <c r="B40" s="222"/>
      <c r="C40" s="222"/>
      <c r="D40" s="222"/>
      <c r="E40" s="223">
        <f>E3/E9</f>
        <v>0</v>
      </c>
      <c r="F40" s="223">
        <f t="shared" ref="F40:U40" si="38">F3/F9</f>
        <v>5.4685433329313934E-4</v>
      </c>
      <c r="G40" s="223">
        <f t="shared" si="38"/>
        <v>5.9806062376252533E-4</v>
      </c>
      <c r="H40" s="223">
        <f t="shared" si="38"/>
        <v>8.7882565873111389E-4</v>
      </c>
      <c r="I40" s="223">
        <f t="shared" si="38"/>
        <v>1.0076103209580181E-3</v>
      </c>
      <c r="J40" s="223">
        <f t="shared" si="38"/>
        <v>1.2237071288460405E-3</v>
      </c>
      <c r="K40" s="223">
        <f t="shared" si="38"/>
        <v>1.7425211848886798E-3</v>
      </c>
      <c r="L40" s="223">
        <f t="shared" si="38"/>
        <v>2.0278206107565201E-3</v>
      </c>
      <c r="M40" s="223">
        <f t="shared" si="38"/>
        <v>2.0855465687104695E-3</v>
      </c>
      <c r="N40" s="223">
        <f t="shared" si="38"/>
        <v>1.0091892137341569E-3</v>
      </c>
      <c r="O40" s="223">
        <f t="shared" si="38"/>
        <v>0</v>
      </c>
      <c r="P40" s="223">
        <f t="shared" si="38"/>
        <v>3.0024844436472517E-4</v>
      </c>
      <c r="Q40" s="223">
        <f t="shared" si="38"/>
        <v>0</v>
      </c>
      <c r="R40" s="223">
        <f t="shared" si="38"/>
        <v>0</v>
      </c>
      <c r="S40" s="223">
        <f t="shared" si="38"/>
        <v>0</v>
      </c>
      <c r="T40" s="223">
        <f t="shared" si="38"/>
        <v>0</v>
      </c>
      <c r="U40" s="223">
        <f t="shared" si="38"/>
        <v>0</v>
      </c>
    </row>
    <row r="41" spans="1:89">
      <c r="A41" s="183" t="s">
        <v>557</v>
      </c>
      <c r="B41" s="64"/>
      <c r="C41" s="64"/>
      <c r="D41" s="64"/>
      <c r="E41" s="90">
        <f>E4/E9</f>
        <v>7.2936360586733501E-2</v>
      </c>
      <c r="F41" s="90">
        <f t="shared" ref="F41:U41" si="39">F4/F9</f>
        <v>0.14455092008871845</v>
      </c>
      <c r="G41" s="90">
        <f t="shared" si="39"/>
        <v>0.1888747735902043</v>
      </c>
      <c r="H41" s="90">
        <f t="shared" si="39"/>
        <v>0.22243053599631915</v>
      </c>
      <c r="I41" s="90">
        <f t="shared" si="39"/>
        <v>0.10188781839919252</v>
      </c>
      <c r="J41" s="90">
        <f t="shared" si="39"/>
        <v>5.7961833729136797E-2</v>
      </c>
      <c r="K41" s="90">
        <f t="shared" si="39"/>
        <v>0.12213112637958247</v>
      </c>
      <c r="L41" s="90">
        <f t="shared" si="39"/>
        <v>7.8671116490657847E-2</v>
      </c>
      <c r="M41" s="90">
        <f t="shared" si="39"/>
        <v>9.5521942158617243E-2</v>
      </c>
      <c r="N41" s="213">
        <f t="shared" si="39"/>
        <v>0.12518084902167664</v>
      </c>
      <c r="O41" s="213">
        <f t="shared" si="39"/>
        <v>9.4801116982876285E-2</v>
      </c>
      <c r="P41" s="213">
        <f t="shared" si="39"/>
        <v>0.18737711187110426</v>
      </c>
      <c r="Q41" s="213">
        <f t="shared" si="39"/>
        <v>0.16925465610706114</v>
      </c>
      <c r="R41" s="213">
        <f t="shared" si="39"/>
        <v>0.13093163949680062</v>
      </c>
      <c r="S41" s="213">
        <f t="shared" si="39"/>
        <v>0.10245343074204434</v>
      </c>
      <c r="T41" s="213">
        <f t="shared" si="39"/>
        <v>0.15849260232345466</v>
      </c>
      <c r="U41" s="213">
        <f t="shared" si="39"/>
        <v>7.9242882018146443E-2</v>
      </c>
    </row>
    <row r="42" spans="1:89">
      <c r="A42" s="183" t="s">
        <v>334</v>
      </c>
      <c r="B42" s="64"/>
      <c r="C42" s="64"/>
      <c r="D42" s="64"/>
      <c r="E42" s="90">
        <f>E5/E9</f>
        <v>0.22060650320492392</v>
      </c>
      <c r="F42" s="90">
        <f t="shared" ref="F42:U42" si="40">F5/F9</f>
        <v>0.26112929000366308</v>
      </c>
      <c r="G42" s="90">
        <f t="shared" si="40"/>
        <v>0.31575752951616293</v>
      </c>
      <c r="H42" s="90">
        <f t="shared" si="40"/>
        <v>0.3272501484600166</v>
      </c>
      <c r="I42" s="90">
        <f t="shared" si="40"/>
        <v>0.28631417083141997</v>
      </c>
      <c r="J42" s="90">
        <f t="shared" si="40"/>
        <v>0.24805558754660204</v>
      </c>
      <c r="K42" s="90">
        <f t="shared" si="40"/>
        <v>0.29538864817471056</v>
      </c>
      <c r="L42" s="90">
        <f t="shared" si="40"/>
        <v>0.26160236014543103</v>
      </c>
      <c r="M42" s="90">
        <f t="shared" si="40"/>
        <v>0.25185865905229932</v>
      </c>
      <c r="N42" s="213">
        <f t="shared" si="40"/>
        <v>0.31570091053012983</v>
      </c>
      <c r="O42" s="213">
        <f t="shared" si="40"/>
        <v>0.2852381223054497</v>
      </c>
      <c r="P42" s="213">
        <f t="shared" si="40"/>
        <v>0.27762604930441531</v>
      </c>
      <c r="Q42" s="213">
        <f t="shared" si="40"/>
        <v>0.26882040334688112</v>
      </c>
      <c r="R42" s="213">
        <f t="shared" si="40"/>
        <v>0.2302401934152469</v>
      </c>
      <c r="S42" s="213">
        <f t="shared" si="40"/>
        <v>0.22725461704740013</v>
      </c>
      <c r="T42" s="213">
        <f t="shared" si="40"/>
        <v>0.21809229695894028</v>
      </c>
      <c r="U42" s="213">
        <f t="shared" si="40"/>
        <v>0.1784114898500988</v>
      </c>
    </row>
    <row r="43" spans="1:89">
      <c r="A43" s="183" t="s">
        <v>335</v>
      </c>
      <c r="B43" s="64"/>
      <c r="C43" s="64"/>
      <c r="D43" s="64"/>
      <c r="E43" s="90">
        <f>E6/E9</f>
        <v>0.14767014261819042</v>
      </c>
      <c r="F43" s="90">
        <f t="shared" ref="F43:U43" si="41">F6/F9</f>
        <v>0.11657836991494462</v>
      </c>
      <c r="G43" s="90">
        <f t="shared" si="41"/>
        <v>0.1268827559259586</v>
      </c>
      <c r="H43" s="90">
        <f t="shared" si="41"/>
        <v>0.10481961246369745</v>
      </c>
      <c r="I43" s="90">
        <f t="shared" si="41"/>
        <v>0.18442635243222744</v>
      </c>
      <c r="J43" s="90">
        <f t="shared" si="41"/>
        <v>0.19009375381746524</v>
      </c>
      <c r="K43" s="90">
        <f t="shared" si="41"/>
        <v>0.1732575217951281</v>
      </c>
      <c r="L43" s="90">
        <f t="shared" si="41"/>
        <v>0.18293124365477317</v>
      </c>
      <c r="M43" s="90">
        <f t="shared" si="41"/>
        <v>0.15633671689368209</v>
      </c>
      <c r="N43" s="213">
        <f t="shared" si="41"/>
        <v>0.19052006150845319</v>
      </c>
      <c r="O43" s="213">
        <f t="shared" si="41"/>
        <v>0.19043700532257343</v>
      </c>
      <c r="P43" s="213">
        <f t="shared" si="41"/>
        <v>9.0248937433311027E-2</v>
      </c>
      <c r="Q43" s="213">
        <f t="shared" si="41"/>
        <v>9.9565747239819993E-2</v>
      </c>
      <c r="R43" s="213">
        <f t="shared" si="41"/>
        <v>9.9308553918446299E-2</v>
      </c>
      <c r="S43" s="213">
        <f t="shared" si="41"/>
        <v>0.12480118630535579</v>
      </c>
      <c r="T43" s="213">
        <f t="shared" si="41"/>
        <v>5.959969463548561E-2</v>
      </c>
      <c r="U43" s="213">
        <f t="shared" si="41"/>
        <v>9.916860783195236E-2</v>
      </c>
    </row>
    <row r="44" spans="1:89">
      <c r="A44" s="183" t="s">
        <v>336</v>
      </c>
      <c r="B44" s="64"/>
      <c r="C44" s="64"/>
      <c r="D44" s="64"/>
      <c r="E44" s="90">
        <f>E7/E9</f>
        <v>0.15403586275979247</v>
      </c>
      <c r="F44" s="90">
        <f t="shared" ref="F44:U44" si="42">F7/F9</f>
        <v>0.14857339455129898</v>
      </c>
      <c r="G44" s="90">
        <f t="shared" si="42"/>
        <v>0.16127812113280232</v>
      </c>
      <c r="H44" s="90">
        <f t="shared" si="42"/>
        <v>0.16927795345181193</v>
      </c>
      <c r="I44" s="90">
        <f t="shared" si="42"/>
        <v>0.19033591555182686</v>
      </c>
      <c r="J44" s="90">
        <f t="shared" si="42"/>
        <v>0.20133538268411705</v>
      </c>
      <c r="K44" s="90">
        <f t="shared" si="42"/>
        <v>0.24375721356766114</v>
      </c>
      <c r="L44" s="90">
        <f t="shared" si="42"/>
        <v>0.26432848915120205</v>
      </c>
      <c r="M44" s="90">
        <f t="shared" si="42"/>
        <v>0.26447150797748464</v>
      </c>
      <c r="N44" s="213">
        <f t="shared" si="42"/>
        <v>0.34000256140626978</v>
      </c>
      <c r="O44" s="213">
        <f t="shared" si="42"/>
        <v>0.39411117138950297</v>
      </c>
      <c r="P44" s="213">
        <f t="shared" si="42"/>
        <v>0.40503375323904861</v>
      </c>
      <c r="Q44" s="213">
        <f t="shared" si="42"/>
        <v>0.40664957607633767</v>
      </c>
      <c r="R44" s="213">
        <f t="shared" si="42"/>
        <v>0.46724152960790033</v>
      </c>
      <c r="S44" s="213">
        <f t="shared" si="42"/>
        <v>0.56182674585339543</v>
      </c>
      <c r="T44" s="213">
        <f t="shared" si="42"/>
        <v>0.53703140862447996</v>
      </c>
      <c r="U44" s="213">
        <f t="shared" si="42"/>
        <v>0.55145011470722138</v>
      </c>
    </row>
    <row r="45" spans="1:89" s="224" customFormat="1">
      <c r="A45" s="221" t="s">
        <v>337</v>
      </c>
      <c r="B45" s="222"/>
      <c r="C45" s="222"/>
      <c r="D45" s="222"/>
      <c r="E45" s="223">
        <f>E8/E9</f>
        <v>0.22697222334652598</v>
      </c>
      <c r="F45" s="223">
        <f t="shared" ref="F45:U45" si="43">F8/F9</f>
        <v>0.29312431464001742</v>
      </c>
      <c r="G45" s="223">
        <f t="shared" si="43"/>
        <v>0.35015289472300665</v>
      </c>
      <c r="H45" s="223">
        <f t="shared" si="43"/>
        <v>0.39170848944813108</v>
      </c>
      <c r="I45" s="223">
        <f t="shared" si="43"/>
        <v>0.29222373395101936</v>
      </c>
      <c r="J45" s="223">
        <f t="shared" si="43"/>
        <v>0.25929721641325387</v>
      </c>
      <c r="K45" s="223">
        <f t="shared" si="43"/>
        <v>0.36588833994724362</v>
      </c>
      <c r="L45" s="223">
        <f t="shared" si="43"/>
        <v>0.34299960564185994</v>
      </c>
      <c r="M45" s="223">
        <f t="shared" si="43"/>
        <v>0.3599934501361019</v>
      </c>
      <c r="N45" s="223">
        <f t="shared" si="43"/>
        <v>0.46518341042794636</v>
      </c>
      <c r="O45" s="223">
        <f t="shared" si="43"/>
        <v>0.48891228837237921</v>
      </c>
      <c r="P45" s="223">
        <f t="shared" si="43"/>
        <v>0.59241086511015284</v>
      </c>
      <c r="Q45" s="223">
        <f t="shared" si="43"/>
        <v>0.57590423218339881</v>
      </c>
      <c r="R45" s="223">
        <f t="shared" si="43"/>
        <v>0.59817316910470097</v>
      </c>
      <c r="S45" s="223">
        <f t="shared" si="43"/>
        <v>0.66428017659543981</v>
      </c>
      <c r="T45" s="223">
        <f t="shared" si="43"/>
        <v>0.6955240109479347</v>
      </c>
      <c r="U45" s="223">
        <f t="shared" si="43"/>
        <v>0.63069299672536783</v>
      </c>
    </row>
    <row r="46" spans="1:89">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c r="A47" s="183" t="s">
        <v>339</v>
      </c>
      <c r="B47" s="64"/>
      <c r="C47" s="64"/>
      <c r="D47" s="64"/>
      <c r="E47" s="90">
        <f>E10/E14</f>
        <v>0.24715844204876486</v>
      </c>
      <c r="F47" s="90">
        <f t="shared" ref="F47:U47" si="45">F10/F14</f>
        <v>0.25602513792584386</v>
      </c>
      <c r="G47" s="90">
        <f t="shared" si="45"/>
        <v>0.24765861189453736</v>
      </c>
      <c r="H47" s="90">
        <f t="shared" si="45"/>
        <v>0.20624394928727857</v>
      </c>
      <c r="I47" s="90">
        <f t="shared" si="45"/>
        <v>0.26075695741580207</v>
      </c>
      <c r="J47" s="90">
        <f t="shared" si="45"/>
        <v>0.20906924075823355</v>
      </c>
      <c r="K47" s="90">
        <f t="shared" si="45"/>
        <v>0.31356718002451306</v>
      </c>
      <c r="L47" s="90">
        <f t="shared" si="45"/>
        <v>0.29985449209009324</v>
      </c>
      <c r="M47" s="90">
        <f t="shared" si="45"/>
        <v>0.3063873000383639</v>
      </c>
      <c r="N47" s="213">
        <f t="shared" si="45"/>
        <v>0.37337837351732073</v>
      </c>
      <c r="O47" s="213">
        <f t="shared" si="45"/>
        <v>0.26719277720963269</v>
      </c>
      <c r="P47" s="213">
        <f t="shared" si="45"/>
        <v>0.23361527364763807</v>
      </c>
      <c r="Q47" s="213">
        <f t="shared" si="45"/>
        <v>0.25594620624599457</v>
      </c>
      <c r="R47" s="213">
        <f t="shared" si="45"/>
        <v>0.22144861010956038</v>
      </c>
      <c r="S47" s="213">
        <f t="shared" si="45"/>
        <v>0.24439797544063169</v>
      </c>
      <c r="T47" s="213">
        <f t="shared" si="45"/>
        <v>0.25388444008879874</v>
      </c>
      <c r="U47" s="213">
        <f t="shared" si="45"/>
        <v>0.27053242724730037</v>
      </c>
    </row>
    <row r="48" spans="1:89">
      <c r="A48" s="183" t="s">
        <v>340</v>
      </c>
      <c r="B48" s="64"/>
      <c r="C48" s="64"/>
      <c r="D48" s="64"/>
      <c r="E48" s="90">
        <f>E11/E14</f>
        <v>0.14874268413245895</v>
      </c>
      <c r="F48" s="90">
        <f t="shared" ref="F48:U48" si="46">F11/F14</f>
        <v>0.16693292173496779</v>
      </c>
      <c r="G48" s="90">
        <f t="shared" si="46"/>
        <v>0.1473838172735811</v>
      </c>
      <c r="H48" s="90">
        <f t="shared" si="46"/>
        <v>0.16212730668497227</v>
      </c>
      <c r="I48" s="90">
        <f t="shared" si="46"/>
        <v>3.9770491540676793E-2</v>
      </c>
      <c r="J48" s="90">
        <f t="shared" si="46"/>
        <v>8.3010056434309226E-2</v>
      </c>
      <c r="K48" s="90">
        <f t="shared" si="46"/>
        <v>8.8682495716949236E-2</v>
      </c>
      <c r="L48" s="90">
        <f t="shared" si="46"/>
        <v>0.10938100762039173</v>
      </c>
      <c r="M48" s="90">
        <f t="shared" si="46"/>
        <v>0.11351338189731243</v>
      </c>
      <c r="N48" s="213">
        <f t="shared" si="46"/>
        <v>0.14781071257707107</v>
      </c>
      <c r="O48" s="213">
        <f t="shared" si="46"/>
        <v>0.22336606070509707</v>
      </c>
      <c r="P48" s="213">
        <f t="shared" si="46"/>
        <v>0.25221232378548797</v>
      </c>
      <c r="Q48" s="213">
        <f t="shared" si="46"/>
        <v>0.25226873732397087</v>
      </c>
      <c r="R48" s="213">
        <f t="shared" si="46"/>
        <v>0.30061785260294382</v>
      </c>
      <c r="S48" s="213">
        <f t="shared" si="46"/>
        <v>0.24387956918613268</v>
      </c>
      <c r="T48" s="213">
        <f t="shared" si="46"/>
        <v>0.20480782139764997</v>
      </c>
      <c r="U48" s="213">
        <f t="shared" si="46"/>
        <v>0.20334496046469611</v>
      </c>
    </row>
    <row r="49" spans="1:21">
      <c r="A49" s="183" t="s">
        <v>341</v>
      </c>
      <c r="B49" s="64"/>
      <c r="C49" s="64"/>
      <c r="D49" s="64"/>
      <c r="E49" s="90">
        <f>E12/E14</f>
        <v>0.39590112618122381</v>
      </c>
      <c r="F49" s="90">
        <f t="shared" ref="F49:U49" si="47">F12/F14</f>
        <v>0.42295805966081162</v>
      </c>
      <c r="G49" s="90">
        <f t="shared" si="47"/>
        <v>0.39504242916811844</v>
      </c>
      <c r="H49" s="90">
        <f t="shared" si="47"/>
        <v>0.36837125597225084</v>
      </c>
      <c r="I49" s="90">
        <f t="shared" si="47"/>
        <v>0.30052744895647887</v>
      </c>
      <c r="J49" s="90">
        <f t="shared" si="47"/>
        <v>0.29207929719254283</v>
      </c>
      <c r="K49" s="90">
        <f t="shared" si="47"/>
        <v>0.40224967574146236</v>
      </c>
      <c r="L49" s="90">
        <f t="shared" si="47"/>
        <v>0.40923549971048495</v>
      </c>
      <c r="M49" s="90">
        <f t="shared" si="47"/>
        <v>0.41990068193567631</v>
      </c>
      <c r="N49" s="213">
        <f t="shared" si="47"/>
        <v>0.52118908609439174</v>
      </c>
      <c r="O49" s="213">
        <f t="shared" si="47"/>
        <v>0.49055883791472976</v>
      </c>
      <c r="P49" s="213">
        <f t="shared" si="47"/>
        <v>0.48582759743312603</v>
      </c>
      <c r="Q49" s="213">
        <f t="shared" si="47"/>
        <v>0.50821494356996544</v>
      </c>
      <c r="R49" s="213">
        <f t="shared" si="47"/>
        <v>0.52206646271250423</v>
      </c>
      <c r="S49" s="213">
        <f t="shared" si="47"/>
        <v>0.48827754462676437</v>
      </c>
      <c r="T49" s="213">
        <f t="shared" si="47"/>
        <v>0.4586922614864487</v>
      </c>
      <c r="U49" s="213">
        <f t="shared" si="47"/>
        <v>0.4738773877119965</v>
      </c>
    </row>
    <row r="50" spans="1:21">
      <c r="A50" s="183" t="s">
        <v>345</v>
      </c>
      <c r="B50" s="64"/>
      <c r="C50" s="64"/>
      <c r="D50" s="64"/>
      <c r="E50" s="90">
        <f>E13/E14</f>
        <v>0.60409887381877614</v>
      </c>
      <c r="F50" s="90">
        <f t="shared" ref="F50:U50" si="48">F13/F14</f>
        <v>0.57704194033918843</v>
      </c>
      <c r="G50" s="90">
        <f t="shared" si="48"/>
        <v>0.60495757083188151</v>
      </c>
      <c r="H50" s="90">
        <f t="shared" si="48"/>
        <v>0.63162874402774916</v>
      </c>
      <c r="I50" s="90">
        <f t="shared" si="48"/>
        <v>0.69947255104352113</v>
      </c>
      <c r="J50" s="90">
        <f t="shared" si="48"/>
        <v>0.70792070280745722</v>
      </c>
      <c r="K50" s="90">
        <f t="shared" si="48"/>
        <v>0.59775032425853769</v>
      </c>
      <c r="L50" s="90">
        <f t="shared" si="48"/>
        <v>0.59076450028951499</v>
      </c>
      <c r="M50" s="90">
        <f t="shared" si="48"/>
        <v>0.58009931806432369</v>
      </c>
      <c r="N50" s="213">
        <f t="shared" si="48"/>
        <v>0.4788109139056082</v>
      </c>
      <c r="O50" s="213">
        <f t="shared" si="48"/>
        <v>0.50944116208527024</v>
      </c>
      <c r="P50" s="213">
        <f t="shared" si="48"/>
        <v>0.51417240256687391</v>
      </c>
      <c r="Q50" s="213">
        <f t="shared" si="48"/>
        <v>0.49178505643003451</v>
      </c>
      <c r="R50" s="213">
        <f t="shared" si="48"/>
        <v>0.47793353728749577</v>
      </c>
      <c r="S50" s="213">
        <f t="shared" si="48"/>
        <v>0.51172245537323557</v>
      </c>
      <c r="T50" s="213">
        <f t="shared" si="48"/>
        <v>0.5413077385135513</v>
      </c>
      <c r="U50" s="213">
        <f t="shared" si="48"/>
        <v>0.5261226122880035</v>
      </c>
    </row>
    <row r="51" spans="1:21">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c r="A54" s="228" t="s">
        <v>640</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c r="A55" s="183" t="s">
        <v>644</v>
      </c>
      <c r="B55" s="64"/>
      <c r="C55" s="64"/>
      <c r="D55" s="64"/>
      <c r="E55" s="213">
        <f>E2/E9</f>
        <v>0.773027776653474</v>
      </c>
      <c r="F55" s="213">
        <f t="shared" ref="F55:U55" si="51">F2/F9</f>
        <v>0.70632883102668942</v>
      </c>
      <c r="G55" s="213">
        <f t="shared" si="51"/>
        <v>0.64924904465323086</v>
      </c>
      <c r="H55" s="213">
        <f t="shared" si="51"/>
        <v>0.60741268489313782</v>
      </c>
      <c r="I55" s="213">
        <f t="shared" si="51"/>
        <v>0.70676865572802261</v>
      </c>
      <c r="J55" s="213">
        <f t="shared" si="51"/>
        <v>0.73947907645790012</v>
      </c>
      <c r="K55" s="213">
        <f t="shared" si="51"/>
        <v>0.63236913886786772</v>
      </c>
      <c r="L55" s="213">
        <f t="shared" si="51"/>
        <v>0.65497257374738349</v>
      </c>
      <c r="M55" s="213">
        <f t="shared" si="51"/>
        <v>0.63792100329518764</v>
      </c>
      <c r="N55" s="213">
        <f t="shared" si="51"/>
        <v>0.53380740035831953</v>
      </c>
      <c r="O55" s="213">
        <f t="shared" si="51"/>
        <v>0.51108771162762079</v>
      </c>
      <c r="P55" s="213">
        <f t="shared" si="51"/>
        <v>0.40728888644548228</v>
      </c>
      <c r="Q55" s="213">
        <f t="shared" si="51"/>
        <v>0.42409576781660119</v>
      </c>
      <c r="R55" s="213">
        <f t="shared" si="51"/>
        <v>0.40182683089529903</v>
      </c>
      <c r="S55" s="213">
        <f t="shared" si="51"/>
        <v>0.33571982340456019</v>
      </c>
      <c r="T55" s="213">
        <f t="shared" si="51"/>
        <v>0.30447598905206535</v>
      </c>
      <c r="U55" s="213">
        <f t="shared" si="51"/>
        <v>0.36930700327463223</v>
      </c>
    </row>
    <row r="56" spans="1:21">
      <c r="A56" s="183" t="s">
        <v>645</v>
      </c>
      <c r="B56" s="64"/>
      <c r="C56" s="64"/>
      <c r="D56" s="64"/>
      <c r="E56" s="213">
        <f>E4/E9</f>
        <v>7.2936360586733501E-2</v>
      </c>
      <c r="F56" s="213">
        <f t="shared" ref="F56:U56" si="52">F4/F9</f>
        <v>0.14455092008871845</v>
      </c>
      <c r="G56" s="213">
        <f t="shared" si="52"/>
        <v>0.1888747735902043</v>
      </c>
      <c r="H56" s="213">
        <f t="shared" si="52"/>
        <v>0.22243053599631915</v>
      </c>
      <c r="I56" s="213">
        <f t="shared" si="52"/>
        <v>0.10188781839919252</v>
      </c>
      <c r="J56" s="213">
        <f t="shared" si="52"/>
        <v>5.7961833729136797E-2</v>
      </c>
      <c r="K56" s="213">
        <f t="shared" si="52"/>
        <v>0.12213112637958247</v>
      </c>
      <c r="L56" s="213">
        <f t="shared" si="52"/>
        <v>7.8671116490657847E-2</v>
      </c>
      <c r="M56" s="213">
        <f t="shared" si="52"/>
        <v>9.5521942158617243E-2</v>
      </c>
      <c r="N56" s="213">
        <f t="shared" si="52"/>
        <v>0.12518084902167664</v>
      </c>
      <c r="O56" s="213">
        <f t="shared" si="52"/>
        <v>9.4801116982876285E-2</v>
      </c>
      <c r="P56" s="213">
        <f t="shared" si="52"/>
        <v>0.18737711187110426</v>
      </c>
      <c r="Q56" s="213">
        <f t="shared" si="52"/>
        <v>0.16925465610706114</v>
      </c>
      <c r="R56" s="213">
        <f t="shared" si="52"/>
        <v>0.13093163949680062</v>
      </c>
      <c r="S56" s="213">
        <f t="shared" si="52"/>
        <v>0.10245343074204434</v>
      </c>
      <c r="T56" s="213">
        <f t="shared" si="52"/>
        <v>0.15849260232345466</v>
      </c>
      <c r="U56" s="213">
        <f t="shared" si="52"/>
        <v>7.9242882018146443E-2</v>
      </c>
    </row>
    <row r="57" spans="1:21">
      <c r="A57" s="183" t="s">
        <v>646</v>
      </c>
      <c r="B57" s="64"/>
      <c r="C57" s="64"/>
      <c r="D57" s="64"/>
      <c r="E57" s="213">
        <f>E5/E9</f>
        <v>0.22060650320492392</v>
      </c>
      <c r="F57" s="213">
        <f t="shared" ref="F57:U57" si="53">F5/F9</f>
        <v>0.26112929000366308</v>
      </c>
      <c r="G57" s="213">
        <f t="shared" si="53"/>
        <v>0.31575752951616293</v>
      </c>
      <c r="H57" s="213">
        <f t="shared" si="53"/>
        <v>0.3272501484600166</v>
      </c>
      <c r="I57" s="213">
        <f t="shared" si="53"/>
        <v>0.28631417083141997</v>
      </c>
      <c r="J57" s="213">
        <f t="shared" si="53"/>
        <v>0.24805558754660204</v>
      </c>
      <c r="K57" s="213">
        <f t="shared" si="53"/>
        <v>0.29538864817471056</v>
      </c>
      <c r="L57" s="213">
        <f t="shared" si="53"/>
        <v>0.26160236014543103</v>
      </c>
      <c r="M57" s="213">
        <f t="shared" si="53"/>
        <v>0.25185865905229932</v>
      </c>
      <c r="N57" s="213">
        <f t="shared" si="53"/>
        <v>0.31570091053012983</v>
      </c>
      <c r="O57" s="213">
        <f t="shared" si="53"/>
        <v>0.2852381223054497</v>
      </c>
      <c r="P57" s="213">
        <f t="shared" si="53"/>
        <v>0.27762604930441531</v>
      </c>
      <c r="Q57" s="213">
        <f t="shared" si="53"/>
        <v>0.26882040334688112</v>
      </c>
      <c r="R57" s="213">
        <f t="shared" si="53"/>
        <v>0.2302401934152469</v>
      </c>
      <c r="S57" s="213">
        <f t="shared" si="53"/>
        <v>0.22725461704740013</v>
      </c>
      <c r="T57" s="213">
        <f t="shared" si="53"/>
        <v>0.21809229695894028</v>
      </c>
      <c r="U57" s="213">
        <f t="shared" si="53"/>
        <v>0.1784114898500988</v>
      </c>
    </row>
    <row r="58" spans="1:21">
      <c r="A58" s="183" t="s">
        <v>647</v>
      </c>
      <c r="B58" s="64"/>
      <c r="C58" s="64"/>
      <c r="D58" s="64"/>
      <c r="E58" s="213">
        <f>E6/E9</f>
        <v>0.14767014261819042</v>
      </c>
      <c r="F58" s="213">
        <f t="shared" ref="F58:U58" si="54">F6/F9</f>
        <v>0.11657836991494462</v>
      </c>
      <c r="G58" s="213">
        <f t="shared" si="54"/>
        <v>0.1268827559259586</v>
      </c>
      <c r="H58" s="213">
        <f t="shared" si="54"/>
        <v>0.10481961246369745</v>
      </c>
      <c r="I58" s="213">
        <f t="shared" si="54"/>
        <v>0.18442635243222744</v>
      </c>
      <c r="J58" s="213">
        <f t="shared" si="54"/>
        <v>0.19009375381746524</v>
      </c>
      <c r="K58" s="213">
        <f t="shared" si="54"/>
        <v>0.1732575217951281</v>
      </c>
      <c r="L58" s="213">
        <f t="shared" si="54"/>
        <v>0.18293124365477317</v>
      </c>
      <c r="M58" s="213">
        <f t="shared" si="54"/>
        <v>0.15633671689368209</v>
      </c>
      <c r="N58" s="213">
        <f t="shared" si="54"/>
        <v>0.19052006150845319</v>
      </c>
      <c r="O58" s="213">
        <f t="shared" si="54"/>
        <v>0.19043700532257343</v>
      </c>
      <c r="P58" s="213">
        <f t="shared" si="54"/>
        <v>9.0248937433311027E-2</v>
      </c>
      <c r="Q58" s="213">
        <f t="shared" si="54"/>
        <v>9.9565747239819993E-2</v>
      </c>
      <c r="R58" s="213">
        <f t="shared" si="54"/>
        <v>9.9308553918446299E-2</v>
      </c>
      <c r="S58" s="213">
        <f t="shared" si="54"/>
        <v>0.12480118630535579</v>
      </c>
      <c r="T58" s="213">
        <f t="shared" si="54"/>
        <v>5.959969463548561E-2</v>
      </c>
      <c r="U58" s="213">
        <f t="shared" si="54"/>
        <v>9.916860783195236E-2</v>
      </c>
    </row>
    <row r="59" spans="1:21" s="224" customFormat="1">
      <c r="A59" s="226" t="s">
        <v>641</v>
      </c>
      <c r="B59" s="222"/>
      <c r="C59" s="222"/>
      <c r="D59" s="222"/>
      <c r="E59" s="223">
        <f>E55+E56</f>
        <v>0.84596413724020747</v>
      </c>
      <c r="F59" s="223">
        <f t="shared" ref="F59:U59" si="55">F55+F56</f>
        <v>0.85087975111540781</v>
      </c>
      <c r="G59" s="223">
        <f t="shared" si="55"/>
        <v>0.83812381824343518</v>
      </c>
      <c r="H59" s="223">
        <f t="shared" si="55"/>
        <v>0.82984322088945695</v>
      </c>
      <c r="I59" s="223">
        <f t="shared" si="55"/>
        <v>0.80865647412721509</v>
      </c>
      <c r="J59" s="223">
        <f t="shared" si="55"/>
        <v>0.79744091018703689</v>
      </c>
      <c r="K59" s="223">
        <f t="shared" si="55"/>
        <v>0.75450026524745017</v>
      </c>
      <c r="L59" s="223">
        <f t="shared" si="55"/>
        <v>0.73364369023804132</v>
      </c>
      <c r="M59" s="223">
        <f t="shared" si="55"/>
        <v>0.73344294545380484</v>
      </c>
      <c r="N59" s="223">
        <f t="shared" si="55"/>
        <v>0.65898824937999612</v>
      </c>
      <c r="O59" s="223">
        <f t="shared" si="55"/>
        <v>0.60588882861049709</v>
      </c>
      <c r="P59" s="223">
        <f t="shared" si="55"/>
        <v>0.59466599831658651</v>
      </c>
      <c r="Q59" s="223">
        <f t="shared" si="55"/>
        <v>0.59335042392366233</v>
      </c>
      <c r="R59" s="223">
        <f t="shared" si="55"/>
        <v>0.53275847039209967</v>
      </c>
      <c r="S59" s="223">
        <f t="shared" si="55"/>
        <v>0.43817325414660452</v>
      </c>
      <c r="T59" s="223">
        <f t="shared" si="55"/>
        <v>0.46296859137552004</v>
      </c>
      <c r="U59" s="223">
        <f t="shared" si="55"/>
        <v>0.44854988529277867</v>
      </c>
    </row>
    <row r="60" spans="1:21">
      <c r="A60" s="183" t="s">
        <v>648</v>
      </c>
      <c r="B60" s="64"/>
      <c r="C60" s="64"/>
      <c r="D60" s="64"/>
      <c r="E60" s="213">
        <f>E3/E9</f>
        <v>0</v>
      </c>
      <c r="F60" s="213">
        <f t="shared" ref="F60:U60" si="56">F3/F9</f>
        <v>5.4685433329313934E-4</v>
      </c>
      <c r="G60" s="213">
        <f t="shared" si="56"/>
        <v>5.9806062376252533E-4</v>
      </c>
      <c r="H60" s="213">
        <f t="shared" si="56"/>
        <v>8.7882565873111389E-4</v>
      </c>
      <c r="I60" s="213">
        <f t="shared" si="56"/>
        <v>1.0076103209580181E-3</v>
      </c>
      <c r="J60" s="213">
        <f t="shared" si="56"/>
        <v>1.2237071288460405E-3</v>
      </c>
      <c r="K60" s="213">
        <f t="shared" si="56"/>
        <v>1.7425211848886798E-3</v>
      </c>
      <c r="L60" s="213">
        <f t="shared" si="56"/>
        <v>2.0278206107565201E-3</v>
      </c>
      <c r="M60" s="213">
        <f t="shared" si="56"/>
        <v>2.0855465687104695E-3</v>
      </c>
      <c r="N60" s="213">
        <f t="shared" si="56"/>
        <v>1.0091892137341569E-3</v>
      </c>
      <c r="O60" s="213">
        <f t="shared" si="56"/>
        <v>0</v>
      </c>
      <c r="P60" s="213">
        <f t="shared" si="56"/>
        <v>3.0024844436472517E-4</v>
      </c>
      <c r="Q60" s="213">
        <f t="shared" si="56"/>
        <v>0</v>
      </c>
      <c r="R60" s="213">
        <f t="shared" si="56"/>
        <v>0</v>
      </c>
      <c r="S60" s="213">
        <f t="shared" si="56"/>
        <v>0</v>
      </c>
      <c r="T60" s="213">
        <f t="shared" si="56"/>
        <v>0</v>
      </c>
      <c r="U60" s="213">
        <f t="shared" si="56"/>
        <v>0</v>
      </c>
    </row>
    <row r="61" spans="1:21">
      <c r="A61" s="183" t="s">
        <v>649</v>
      </c>
      <c r="B61" s="64"/>
      <c r="C61" s="64"/>
      <c r="D61" s="64"/>
      <c r="E61" s="213">
        <f>E7/E9</f>
        <v>0.15403586275979247</v>
      </c>
      <c r="F61" s="213">
        <f t="shared" ref="F61:U61" si="57">F7/F9</f>
        <v>0.14857339455129898</v>
      </c>
      <c r="G61" s="213">
        <f t="shared" si="57"/>
        <v>0.16127812113280232</v>
      </c>
      <c r="H61" s="213">
        <f t="shared" si="57"/>
        <v>0.16927795345181193</v>
      </c>
      <c r="I61" s="213">
        <f t="shared" si="57"/>
        <v>0.19033591555182686</v>
      </c>
      <c r="J61" s="213">
        <f t="shared" si="57"/>
        <v>0.20133538268411705</v>
      </c>
      <c r="K61" s="213">
        <f t="shared" si="57"/>
        <v>0.24375721356766114</v>
      </c>
      <c r="L61" s="213">
        <f t="shared" si="57"/>
        <v>0.26432848915120205</v>
      </c>
      <c r="M61" s="213">
        <f t="shared" si="57"/>
        <v>0.26447150797748464</v>
      </c>
      <c r="N61" s="213">
        <f t="shared" si="57"/>
        <v>0.34000256140626978</v>
      </c>
      <c r="O61" s="213">
        <f t="shared" si="57"/>
        <v>0.39411117138950297</v>
      </c>
      <c r="P61" s="213">
        <f t="shared" si="57"/>
        <v>0.40503375323904861</v>
      </c>
      <c r="Q61" s="213">
        <f t="shared" si="57"/>
        <v>0.40664957607633767</v>
      </c>
      <c r="R61" s="213">
        <f t="shared" si="57"/>
        <v>0.46724152960790033</v>
      </c>
      <c r="S61" s="213">
        <f t="shared" si="57"/>
        <v>0.56182674585339543</v>
      </c>
      <c r="T61" s="213">
        <f t="shared" si="57"/>
        <v>0.53703140862447996</v>
      </c>
      <c r="U61" s="213">
        <f t="shared" si="57"/>
        <v>0.55145011470722138</v>
      </c>
    </row>
    <row r="62" spans="1:21" s="224" customFormat="1">
      <c r="A62" s="226" t="s">
        <v>642</v>
      </c>
      <c r="B62" s="222"/>
      <c r="C62" s="222"/>
      <c r="D62" s="222"/>
      <c r="E62" s="223">
        <f>E60+E61</f>
        <v>0.15403586275979247</v>
      </c>
      <c r="F62" s="223">
        <f t="shared" ref="F62:M62" si="58">F60+F61</f>
        <v>0.1491202488845921</v>
      </c>
      <c r="G62" s="223">
        <f t="shared" si="58"/>
        <v>0.16187618175656485</v>
      </c>
      <c r="H62" s="223">
        <f t="shared" si="58"/>
        <v>0.17015677911054305</v>
      </c>
      <c r="I62" s="223">
        <f t="shared" si="58"/>
        <v>0.19134352587278489</v>
      </c>
      <c r="J62" s="223">
        <f t="shared" si="58"/>
        <v>0.20255908981296308</v>
      </c>
      <c r="K62" s="223">
        <f t="shared" si="58"/>
        <v>0.24549973475254983</v>
      </c>
      <c r="L62" s="223">
        <f t="shared" si="58"/>
        <v>0.26635630976195857</v>
      </c>
      <c r="M62" s="223">
        <f t="shared" si="58"/>
        <v>0.2665570545461951</v>
      </c>
      <c r="N62" s="223">
        <f t="shared" ref="N62" si="59">N60+N61</f>
        <v>0.34101175062000394</v>
      </c>
      <c r="O62" s="223">
        <f t="shared" ref="O62" si="60">O60+O61</f>
        <v>0.39411117138950297</v>
      </c>
      <c r="P62" s="223">
        <f t="shared" ref="P62" si="61">P60+P61</f>
        <v>0.40533400168341333</v>
      </c>
      <c r="Q62" s="223">
        <f t="shared" ref="Q62" si="62">Q60+Q61</f>
        <v>0.40664957607633767</v>
      </c>
      <c r="R62" s="223">
        <f t="shared" ref="R62" si="63">R60+R61</f>
        <v>0.46724152960790033</v>
      </c>
      <c r="S62" s="223">
        <f t="shared" ref="S62" si="64">S60+S61</f>
        <v>0.56182674585339543</v>
      </c>
      <c r="T62" s="223">
        <f t="shared" ref="T62" si="65">T60+T61</f>
        <v>0.53703140862447996</v>
      </c>
      <c r="U62" s="223">
        <f t="shared" ref="U62" si="66">U60+U61</f>
        <v>0.55145011470722138</v>
      </c>
    </row>
    <row r="63" spans="1:21">
      <c r="A63" s="225" t="s">
        <v>643</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c r="A66" s="231" t="s">
        <v>650</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c r="A67" s="17" t="s">
        <v>651</v>
      </c>
      <c r="E67" s="192">
        <f>E10</f>
        <v>7376456023.9000006</v>
      </c>
      <c r="F67" s="192">
        <f t="shared" ref="F67:U67" si="68">F10</f>
        <v>7739623273.2199993</v>
      </c>
      <c r="G67" s="192">
        <f t="shared" si="68"/>
        <v>6845687906.9499998</v>
      </c>
      <c r="H67" s="192">
        <f t="shared" si="68"/>
        <v>5274641779.9700003</v>
      </c>
      <c r="I67" s="192">
        <f t="shared" si="68"/>
        <v>5816447067.9700003</v>
      </c>
      <c r="J67" s="192">
        <f t="shared" si="68"/>
        <v>4443331200.3000002</v>
      </c>
      <c r="K67" s="192">
        <f t="shared" si="68"/>
        <v>5279988104.8800001</v>
      </c>
      <c r="L67" s="192">
        <f t="shared" si="68"/>
        <v>4898674353.8599997</v>
      </c>
      <c r="M67" s="192">
        <f t="shared" si="68"/>
        <v>4866855045.7300005</v>
      </c>
      <c r="N67" s="192">
        <f t="shared" si="68"/>
        <v>4624732017.9899998</v>
      </c>
      <c r="O67" s="192">
        <f t="shared" si="68"/>
        <v>2846193002.0300002</v>
      </c>
      <c r="P67" s="192">
        <f t="shared" si="68"/>
        <v>2334219657.4099998</v>
      </c>
      <c r="Q67" s="192">
        <f t="shared" si="68"/>
        <v>2531726596.5500002</v>
      </c>
      <c r="R67" s="192">
        <f t="shared" si="68"/>
        <v>2106105390.9600003</v>
      </c>
      <c r="S67" s="192">
        <f t="shared" si="68"/>
        <v>2035722314.8799999</v>
      </c>
      <c r="T67" s="192">
        <f t="shared" si="68"/>
        <v>1937803764.5500002</v>
      </c>
      <c r="U67" s="192">
        <f t="shared" si="68"/>
        <v>1959829272.9599998</v>
      </c>
    </row>
    <row r="68" spans="1:21">
      <c r="A68" s="17" t="s">
        <v>652</v>
      </c>
      <c r="E68" s="192">
        <f>E11</f>
        <v>4439232822.8199997</v>
      </c>
      <c r="F68" s="192">
        <f t="shared" ref="F68:U68" si="69">F11</f>
        <v>5046371370.3800001</v>
      </c>
      <c r="G68" s="192">
        <f t="shared" si="69"/>
        <v>4073929058.52</v>
      </c>
      <c r="H68" s="192">
        <f t="shared" si="69"/>
        <v>4146368746.6700001</v>
      </c>
      <c r="I68" s="192">
        <f t="shared" si="69"/>
        <v>887120946.66999996</v>
      </c>
      <c r="J68" s="192">
        <f t="shared" si="69"/>
        <v>1764205831.3099999</v>
      </c>
      <c r="K68" s="192">
        <f t="shared" si="69"/>
        <v>1493276568.23</v>
      </c>
      <c r="L68" s="192">
        <f t="shared" si="69"/>
        <v>1786939835.7</v>
      </c>
      <c r="M68" s="192">
        <f t="shared" si="69"/>
        <v>1803120349.23</v>
      </c>
      <c r="N68" s="192">
        <f t="shared" si="69"/>
        <v>1830810200.97</v>
      </c>
      <c r="O68" s="192">
        <f t="shared" si="69"/>
        <v>2379341707.9200001</v>
      </c>
      <c r="P68" s="192">
        <f t="shared" si="69"/>
        <v>2520036275.1499996</v>
      </c>
      <c r="Q68" s="192">
        <f t="shared" si="69"/>
        <v>2495350414.1700001</v>
      </c>
      <c r="R68" s="192">
        <f t="shared" si="69"/>
        <v>2859051044.27</v>
      </c>
      <c r="S68" s="192">
        <f t="shared" si="69"/>
        <v>2031404230.0899999</v>
      </c>
      <c r="T68" s="192">
        <f t="shared" si="69"/>
        <v>1563220523.3799999</v>
      </c>
      <c r="U68" s="192">
        <f t="shared" si="69"/>
        <v>1473100323.25</v>
      </c>
    </row>
    <row r="69" spans="1:21">
      <c r="A69" s="17" t="s">
        <v>653</v>
      </c>
      <c r="E69" s="192">
        <f>E12</f>
        <v>11815688846.720001</v>
      </c>
      <c r="F69" s="192">
        <f t="shared" ref="F69:U69" si="70">F12</f>
        <v>12785994643.599998</v>
      </c>
      <c r="G69" s="192">
        <f t="shared" si="70"/>
        <v>10919616965.469999</v>
      </c>
      <c r="H69" s="192">
        <f t="shared" si="70"/>
        <v>9421010526.6399994</v>
      </c>
      <c r="I69" s="192">
        <f t="shared" si="70"/>
        <v>6703568014.6400003</v>
      </c>
      <c r="J69" s="192">
        <f t="shared" si="70"/>
        <v>6207537031.6100006</v>
      </c>
      <c r="K69" s="192">
        <f t="shared" si="70"/>
        <v>6773264673.1100006</v>
      </c>
      <c r="L69" s="192">
        <f t="shared" si="70"/>
        <v>6685614189.5599995</v>
      </c>
      <c r="M69" s="192">
        <f t="shared" si="70"/>
        <v>6669975394.960001</v>
      </c>
      <c r="N69" s="192">
        <f t="shared" si="70"/>
        <v>6455542218.96</v>
      </c>
      <c r="O69" s="192">
        <f t="shared" si="70"/>
        <v>5225534709.9500008</v>
      </c>
      <c r="P69" s="192">
        <f t="shared" si="70"/>
        <v>4854255932.5599995</v>
      </c>
      <c r="Q69" s="192">
        <f t="shared" si="70"/>
        <v>5027077010.7200003</v>
      </c>
      <c r="R69" s="192">
        <f t="shared" si="70"/>
        <v>4965156435.2300005</v>
      </c>
      <c r="S69" s="192">
        <f t="shared" si="70"/>
        <v>4067126544.9699998</v>
      </c>
      <c r="T69" s="192">
        <f t="shared" si="70"/>
        <v>3501024287.9300003</v>
      </c>
      <c r="U69" s="192">
        <f t="shared" si="70"/>
        <v>3432929596.21</v>
      </c>
    </row>
    <row r="70" spans="1:21" s="233" customFormat="1">
      <c r="A70" s="233" t="s">
        <v>656</v>
      </c>
      <c r="E70" s="233">
        <f>E69/E74</f>
        <v>0.39590112618122381</v>
      </c>
      <c r="F70" s="233">
        <f t="shared" ref="F70:U70" si="71">F69/F74</f>
        <v>0.42295805966081162</v>
      </c>
      <c r="G70" s="233">
        <f t="shared" si="71"/>
        <v>0.39504242916811844</v>
      </c>
      <c r="H70" s="233">
        <f t="shared" si="71"/>
        <v>0.36837125597225084</v>
      </c>
      <c r="I70" s="233">
        <f t="shared" si="71"/>
        <v>0.30052744895647887</v>
      </c>
      <c r="J70" s="233">
        <f t="shared" si="71"/>
        <v>0.29207929719254283</v>
      </c>
      <c r="K70" s="233">
        <f t="shared" si="71"/>
        <v>0.40224967574146236</v>
      </c>
      <c r="L70" s="233">
        <f t="shared" si="71"/>
        <v>0.40923549971048495</v>
      </c>
      <c r="M70" s="233">
        <f t="shared" si="71"/>
        <v>0.41990068193567631</v>
      </c>
      <c r="N70" s="233">
        <f t="shared" si="71"/>
        <v>0.52118908609439174</v>
      </c>
      <c r="O70" s="233">
        <f t="shared" si="71"/>
        <v>0.49055883791472976</v>
      </c>
      <c r="P70" s="233">
        <f t="shared" si="71"/>
        <v>0.48582759743312603</v>
      </c>
      <c r="Q70" s="233">
        <f t="shared" si="71"/>
        <v>0.50821494356996544</v>
      </c>
      <c r="R70" s="233">
        <f t="shared" si="71"/>
        <v>0.52206646271250423</v>
      </c>
      <c r="S70" s="233">
        <f t="shared" si="71"/>
        <v>0.48827754462676437</v>
      </c>
      <c r="T70" s="233">
        <f t="shared" si="71"/>
        <v>0.4586922614864487</v>
      </c>
      <c r="U70" s="233">
        <f t="shared" si="71"/>
        <v>0.4738773877119965</v>
      </c>
    </row>
    <row r="71" spans="1:21">
      <c r="A71" s="17" t="s">
        <v>654</v>
      </c>
      <c r="E71" s="192">
        <f>E13</f>
        <v>18029361003.709995</v>
      </c>
      <c r="F71" s="192">
        <f t="shared" ref="F71:U71" si="72">F13</f>
        <v>17443940338.260002</v>
      </c>
      <c r="G71" s="192">
        <f t="shared" si="72"/>
        <v>16722013804.33</v>
      </c>
      <c r="H71" s="192">
        <f t="shared" si="72"/>
        <v>16153760506.389999</v>
      </c>
      <c r="I71" s="192">
        <f t="shared" si="72"/>
        <v>15602441096.73</v>
      </c>
      <c r="J71" s="192">
        <f t="shared" si="72"/>
        <v>15045379868.959999</v>
      </c>
      <c r="K71" s="192">
        <f t="shared" si="72"/>
        <v>10065194327.82</v>
      </c>
      <c r="L71" s="192">
        <f t="shared" si="72"/>
        <v>9651224120.6300011</v>
      </c>
      <c r="M71" s="192">
        <f t="shared" si="72"/>
        <v>9214674670.8899994</v>
      </c>
      <c r="N71" s="192">
        <f t="shared" si="72"/>
        <v>5930638518.8899984</v>
      </c>
      <c r="O71" s="192">
        <f t="shared" si="72"/>
        <v>5426673151.9299984</v>
      </c>
      <c r="P71" s="192">
        <f t="shared" si="72"/>
        <v>5137469441.2300014</v>
      </c>
      <c r="Q71" s="192">
        <f t="shared" si="72"/>
        <v>4864558554.750001</v>
      </c>
      <c r="R71" s="192">
        <f t="shared" si="72"/>
        <v>4545426584.0899992</v>
      </c>
      <c r="S71" s="192">
        <f t="shared" si="72"/>
        <v>4262411828.7000003</v>
      </c>
      <c r="T71" s="192">
        <f t="shared" si="72"/>
        <v>4131596930.8899994</v>
      </c>
      <c r="U71" s="192">
        <f t="shared" si="72"/>
        <v>3811411841.5299997</v>
      </c>
    </row>
    <row r="72" spans="1:21" s="233" customFormat="1">
      <c r="A72" s="233" t="s">
        <v>657</v>
      </c>
      <c r="E72" s="233">
        <f>E71/E74</f>
        <v>0.60409887381877614</v>
      </c>
      <c r="F72" s="233">
        <f t="shared" ref="F72:U72" si="73">F71/F74</f>
        <v>0.57704194033918843</v>
      </c>
      <c r="G72" s="233">
        <f t="shared" si="73"/>
        <v>0.60495757083188151</v>
      </c>
      <c r="H72" s="233">
        <f t="shared" si="73"/>
        <v>0.63162874402774916</v>
      </c>
      <c r="I72" s="233">
        <f t="shared" si="73"/>
        <v>0.69947255104352113</v>
      </c>
      <c r="J72" s="233">
        <f t="shared" si="73"/>
        <v>0.70792070280745722</v>
      </c>
      <c r="K72" s="233">
        <f t="shared" si="73"/>
        <v>0.59775032425853769</v>
      </c>
      <c r="L72" s="233">
        <f t="shared" si="73"/>
        <v>0.59076450028951499</v>
      </c>
      <c r="M72" s="233">
        <f t="shared" si="73"/>
        <v>0.58009931806432369</v>
      </c>
      <c r="N72" s="233">
        <f t="shared" si="73"/>
        <v>0.4788109139056082</v>
      </c>
      <c r="O72" s="233">
        <f t="shared" si="73"/>
        <v>0.50944116208527024</v>
      </c>
      <c r="P72" s="233">
        <f t="shared" si="73"/>
        <v>0.51417240256687391</v>
      </c>
      <c r="Q72" s="233">
        <f t="shared" si="73"/>
        <v>0.49178505643003451</v>
      </c>
      <c r="R72" s="233">
        <f t="shared" si="73"/>
        <v>0.47793353728749577</v>
      </c>
      <c r="S72" s="233">
        <f t="shared" si="73"/>
        <v>0.51172245537323557</v>
      </c>
      <c r="T72" s="233">
        <f t="shared" si="73"/>
        <v>0.5413077385135513</v>
      </c>
      <c r="U72" s="233">
        <f t="shared" si="73"/>
        <v>0.5261226122880035</v>
      </c>
    </row>
    <row r="73" spans="1:21" s="235" customFormat="1">
      <c r="A73" s="234" t="s">
        <v>658</v>
      </c>
      <c r="E73" s="236">
        <f>E74/E71</f>
        <v>1.6553581596313161</v>
      </c>
      <c r="F73" s="236">
        <f t="shared" ref="F73:U73" si="74">F74/F71</f>
        <v>1.7329762883650963</v>
      </c>
      <c r="G73" s="236">
        <f t="shared" si="74"/>
        <v>1.6530084888844232</v>
      </c>
      <c r="H73" s="236">
        <f t="shared" si="74"/>
        <v>1.5832085057168761</v>
      </c>
      <c r="I73" s="236">
        <f t="shared" si="74"/>
        <v>1.4296486667105541</v>
      </c>
      <c r="J73" s="236">
        <f t="shared" si="74"/>
        <v>1.4125875907205721</v>
      </c>
      <c r="K73" s="236">
        <f t="shared" si="74"/>
        <v>1.672939284876878</v>
      </c>
      <c r="L73" s="236">
        <f t="shared" si="74"/>
        <v>1.6927218875032801</v>
      </c>
      <c r="M73" s="236">
        <f t="shared" si="74"/>
        <v>1.7238427435784645</v>
      </c>
      <c r="N73" s="236">
        <f t="shared" si="74"/>
        <v>2.0885071140987774</v>
      </c>
      <c r="O73" s="236">
        <f t="shared" si="74"/>
        <v>1.9629352208344328</v>
      </c>
      <c r="P73" s="236">
        <f t="shared" si="74"/>
        <v>1.9448729550784061</v>
      </c>
      <c r="Q73" s="236">
        <f t="shared" si="74"/>
        <v>2.0334086750402682</v>
      </c>
      <c r="R73" s="236">
        <f t="shared" si="74"/>
        <v>2.0923411352873127</v>
      </c>
      <c r="S73" s="236">
        <f t="shared" si="74"/>
        <v>1.9541843229659108</v>
      </c>
      <c r="T73" s="236">
        <f t="shared" si="74"/>
        <v>1.8473779864038757</v>
      </c>
      <c r="U73" s="236">
        <f t="shared" si="74"/>
        <v>1.9006976256945072</v>
      </c>
    </row>
    <row r="74" spans="1:21">
      <c r="A74" s="17" t="s">
        <v>655</v>
      </c>
      <c r="E74" s="192">
        <f>E14</f>
        <v>29845049850.429996</v>
      </c>
      <c r="F74" s="192">
        <f t="shared" ref="F74:U74" si="75">F14</f>
        <v>30229934981.860001</v>
      </c>
      <c r="G74" s="192">
        <f t="shared" si="75"/>
        <v>27641630769.799999</v>
      </c>
      <c r="H74" s="192">
        <f t="shared" si="75"/>
        <v>25574771033.029999</v>
      </c>
      <c r="I74" s="192">
        <f t="shared" si="75"/>
        <v>22306009111.369999</v>
      </c>
      <c r="J74" s="192">
        <f t="shared" si="75"/>
        <v>21252916900.57</v>
      </c>
      <c r="K74" s="192">
        <f t="shared" si="75"/>
        <v>16838459000.93</v>
      </c>
      <c r="L74" s="192">
        <f t="shared" si="75"/>
        <v>16336838310.190001</v>
      </c>
      <c r="M74" s="192">
        <f t="shared" si="75"/>
        <v>15884650065.85</v>
      </c>
      <c r="N74" s="192">
        <f t="shared" si="75"/>
        <v>12386180737.849998</v>
      </c>
      <c r="O74" s="192">
        <f t="shared" si="75"/>
        <v>10652207861.879999</v>
      </c>
      <c r="P74" s="192">
        <f t="shared" si="75"/>
        <v>9991725373.7900009</v>
      </c>
      <c r="Q74" s="192">
        <f t="shared" si="75"/>
        <v>9891635565.4700012</v>
      </c>
      <c r="R74" s="192">
        <f t="shared" si="75"/>
        <v>9510583019.3199997</v>
      </c>
      <c r="S74" s="192">
        <f t="shared" si="75"/>
        <v>8329538373.6700001</v>
      </c>
      <c r="T74" s="192">
        <f t="shared" si="75"/>
        <v>7632621218.8199997</v>
      </c>
      <c r="U74" s="192">
        <f t="shared" si="75"/>
        <v>7244341437.7399998</v>
      </c>
    </row>
    <row r="75" spans="1:21" ht="83.45" customHeight="1">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7" customFormat="1">
      <c r="A77" s="238" t="s">
        <v>659</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c r="A78" s="183" t="s">
        <v>651</v>
      </c>
      <c r="B78" s="64"/>
      <c r="C78" s="64"/>
      <c r="D78" s="64"/>
      <c r="E78" s="89">
        <f>E10</f>
        <v>7376456023.9000006</v>
      </c>
      <c r="F78" s="89">
        <f t="shared" ref="F78:U78" si="77">F10</f>
        <v>7739623273.2199993</v>
      </c>
      <c r="G78" s="89">
        <f t="shared" si="77"/>
        <v>6845687906.9499998</v>
      </c>
      <c r="H78" s="89">
        <f t="shared" si="77"/>
        <v>5274641779.9700003</v>
      </c>
      <c r="I78" s="89">
        <f t="shared" si="77"/>
        <v>5816447067.9700003</v>
      </c>
      <c r="J78" s="89">
        <f t="shared" si="77"/>
        <v>4443331200.3000002</v>
      </c>
      <c r="K78" s="89">
        <f t="shared" si="77"/>
        <v>5279988104.8800001</v>
      </c>
      <c r="L78" s="89">
        <f t="shared" si="77"/>
        <v>4898674353.8599997</v>
      </c>
      <c r="M78" s="89">
        <f t="shared" si="77"/>
        <v>4866855045.7300005</v>
      </c>
      <c r="N78" s="89">
        <f t="shared" si="77"/>
        <v>4624732017.9899998</v>
      </c>
      <c r="O78" s="89">
        <f t="shared" si="77"/>
        <v>2846193002.0300002</v>
      </c>
      <c r="P78" s="89">
        <f t="shared" si="77"/>
        <v>2334219657.4099998</v>
      </c>
      <c r="Q78" s="89">
        <f t="shared" si="77"/>
        <v>2531726596.5500002</v>
      </c>
      <c r="R78" s="89">
        <f t="shared" si="77"/>
        <v>2106105390.9600003</v>
      </c>
      <c r="S78" s="89">
        <f t="shared" si="77"/>
        <v>2035722314.8799999</v>
      </c>
      <c r="T78" s="89">
        <f t="shared" si="77"/>
        <v>1937803764.5500002</v>
      </c>
      <c r="U78" s="89">
        <f t="shared" si="77"/>
        <v>1959829272.9599998</v>
      </c>
    </row>
    <row r="79" spans="1:21">
      <c r="A79" s="183" t="s">
        <v>660</v>
      </c>
      <c r="B79" s="64"/>
      <c r="C79" s="64"/>
      <c r="D79" s="64"/>
      <c r="E79" s="89">
        <f>E78</f>
        <v>7376456023.9000006</v>
      </c>
      <c r="F79" s="89">
        <f t="shared" ref="F79:U79" si="78">F78</f>
        <v>7739623273.2199993</v>
      </c>
      <c r="G79" s="89">
        <f t="shared" si="78"/>
        <v>6845687906.9499998</v>
      </c>
      <c r="H79" s="89">
        <f t="shared" si="78"/>
        <v>5274641779.9700003</v>
      </c>
      <c r="I79" s="89">
        <f t="shared" si="78"/>
        <v>5816447067.9700003</v>
      </c>
      <c r="J79" s="89">
        <f t="shared" si="78"/>
        <v>4443331200.3000002</v>
      </c>
      <c r="K79" s="89">
        <f t="shared" si="78"/>
        <v>5279988104.8800001</v>
      </c>
      <c r="L79" s="89">
        <f t="shared" si="78"/>
        <v>4898674353.8599997</v>
      </c>
      <c r="M79" s="89">
        <f t="shared" si="78"/>
        <v>4866855045.7300005</v>
      </c>
      <c r="N79" s="89">
        <f t="shared" si="78"/>
        <v>4624732017.9899998</v>
      </c>
      <c r="O79" s="89">
        <f t="shared" si="78"/>
        <v>2846193002.0300002</v>
      </c>
      <c r="P79" s="89">
        <f t="shared" si="78"/>
        <v>2334219657.4099998</v>
      </c>
      <c r="Q79" s="89">
        <f t="shared" si="78"/>
        <v>2531726596.5500002</v>
      </c>
      <c r="R79" s="89">
        <f t="shared" si="78"/>
        <v>2106105390.9600003</v>
      </c>
      <c r="S79" s="89">
        <f t="shared" si="78"/>
        <v>2035722314.8799999</v>
      </c>
      <c r="T79" s="89">
        <f t="shared" si="78"/>
        <v>1937803764.5500002</v>
      </c>
      <c r="U79" s="89">
        <f t="shared" si="78"/>
        <v>1959829272.9599998</v>
      </c>
    </row>
    <row r="80" spans="1:21" s="219" customFormat="1">
      <c r="A80" s="223" t="s">
        <v>661</v>
      </c>
      <c r="B80" s="223"/>
      <c r="C80" s="223"/>
      <c r="D80" s="223"/>
      <c r="E80" s="223">
        <f>E79/E85</f>
        <v>0.24715844204876486</v>
      </c>
      <c r="F80" s="223">
        <f t="shared" ref="F80:U80" si="79">F79/F85</f>
        <v>0.25602513792584386</v>
      </c>
      <c r="G80" s="223">
        <f t="shared" si="79"/>
        <v>0.24765861189453736</v>
      </c>
      <c r="H80" s="223">
        <f t="shared" si="79"/>
        <v>0.20624394928727857</v>
      </c>
      <c r="I80" s="223">
        <f t="shared" si="79"/>
        <v>0.26075695741580207</v>
      </c>
      <c r="J80" s="223">
        <f t="shared" si="79"/>
        <v>0.20906924075823355</v>
      </c>
      <c r="K80" s="223">
        <f t="shared" si="79"/>
        <v>0.31356718002451306</v>
      </c>
      <c r="L80" s="223">
        <f t="shared" si="79"/>
        <v>0.29985449209009324</v>
      </c>
      <c r="M80" s="223">
        <f t="shared" si="79"/>
        <v>0.3063873000383639</v>
      </c>
      <c r="N80" s="223">
        <f t="shared" si="79"/>
        <v>0.37337837351732073</v>
      </c>
      <c r="O80" s="223">
        <f t="shared" si="79"/>
        <v>0.26719277720963269</v>
      </c>
      <c r="P80" s="223">
        <f t="shared" si="79"/>
        <v>0.23361527364763807</v>
      </c>
      <c r="Q80" s="223">
        <f t="shared" si="79"/>
        <v>0.25594620624599457</v>
      </c>
      <c r="R80" s="223">
        <f t="shared" si="79"/>
        <v>0.22144861010956038</v>
      </c>
      <c r="S80" s="223">
        <f t="shared" si="79"/>
        <v>0.24439797544063169</v>
      </c>
      <c r="T80" s="223">
        <f t="shared" si="79"/>
        <v>0.25388444008879874</v>
      </c>
      <c r="U80" s="223">
        <f t="shared" si="79"/>
        <v>0.27053242724730037</v>
      </c>
    </row>
    <row r="81" spans="1:21">
      <c r="A81" s="183" t="s">
        <v>652</v>
      </c>
      <c r="B81" s="64"/>
      <c r="C81" s="64"/>
      <c r="D81" s="64"/>
      <c r="E81" s="89">
        <f>E11</f>
        <v>4439232822.8199997</v>
      </c>
      <c r="F81" s="89">
        <f t="shared" ref="F81:U81" si="80">F11</f>
        <v>5046371370.3800001</v>
      </c>
      <c r="G81" s="89">
        <f t="shared" si="80"/>
        <v>4073929058.52</v>
      </c>
      <c r="H81" s="89">
        <f t="shared" si="80"/>
        <v>4146368746.6700001</v>
      </c>
      <c r="I81" s="89">
        <f t="shared" si="80"/>
        <v>887120946.66999996</v>
      </c>
      <c r="J81" s="89">
        <f t="shared" si="80"/>
        <v>1764205831.3099999</v>
      </c>
      <c r="K81" s="89">
        <f t="shared" si="80"/>
        <v>1493276568.23</v>
      </c>
      <c r="L81" s="89">
        <f t="shared" si="80"/>
        <v>1786939835.7</v>
      </c>
      <c r="M81" s="89">
        <f t="shared" si="80"/>
        <v>1803120349.23</v>
      </c>
      <c r="N81" s="89">
        <f t="shared" si="80"/>
        <v>1830810200.97</v>
      </c>
      <c r="O81" s="89">
        <f t="shared" si="80"/>
        <v>2379341707.9200001</v>
      </c>
      <c r="P81" s="89">
        <f t="shared" si="80"/>
        <v>2520036275.1499996</v>
      </c>
      <c r="Q81" s="89">
        <f t="shared" si="80"/>
        <v>2495350414.1700001</v>
      </c>
      <c r="R81" s="89">
        <f t="shared" si="80"/>
        <v>2859051044.27</v>
      </c>
      <c r="S81" s="89">
        <f t="shared" si="80"/>
        <v>2031404230.0899999</v>
      </c>
      <c r="T81" s="89">
        <f t="shared" si="80"/>
        <v>1563220523.3799999</v>
      </c>
      <c r="U81" s="89">
        <f t="shared" si="80"/>
        <v>1473100323.25</v>
      </c>
    </row>
    <row r="82" spans="1:21">
      <c r="A82" s="183" t="s">
        <v>654</v>
      </c>
      <c r="B82" s="64"/>
      <c r="C82" s="64"/>
      <c r="D82" s="64"/>
      <c r="E82" s="89">
        <f>E13</f>
        <v>18029361003.709995</v>
      </c>
      <c r="F82" s="89">
        <f t="shared" ref="F82:U82" si="81">F13</f>
        <v>17443940338.260002</v>
      </c>
      <c r="G82" s="89">
        <f t="shared" si="81"/>
        <v>16722013804.33</v>
      </c>
      <c r="H82" s="89">
        <f t="shared" si="81"/>
        <v>16153760506.389999</v>
      </c>
      <c r="I82" s="89">
        <f t="shared" si="81"/>
        <v>15602441096.73</v>
      </c>
      <c r="J82" s="89">
        <f t="shared" si="81"/>
        <v>15045379868.959999</v>
      </c>
      <c r="K82" s="89">
        <f t="shared" si="81"/>
        <v>10065194327.82</v>
      </c>
      <c r="L82" s="89">
        <f t="shared" si="81"/>
        <v>9651224120.6300011</v>
      </c>
      <c r="M82" s="89">
        <f t="shared" si="81"/>
        <v>9214674670.8899994</v>
      </c>
      <c r="N82" s="89">
        <f t="shared" si="81"/>
        <v>5930638518.8899984</v>
      </c>
      <c r="O82" s="89">
        <f t="shared" si="81"/>
        <v>5426673151.9299984</v>
      </c>
      <c r="P82" s="89">
        <f t="shared" si="81"/>
        <v>5137469441.2300014</v>
      </c>
      <c r="Q82" s="89">
        <f t="shared" si="81"/>
        <v>4864558554.750001</v>
      </c>
      <c r="R82" s="89">
        <f t="shared" si="81"/>
        <v>4545426584.0899992</v>
      </c>
      <c r="S82" s="89">
        <f t="shared" si="81"/>
        <v>4262411828.7000003</v>
      </c>
      <c r="T82" s="89">
        <f t="shared" si="81"/>
        <v>4131596930.8899994</v>
      </c>
      <c r="U82" s="89">
        <f t="shared" si="81"/>
        <v>3811411841.5299997</v>
      </c>
    </row>
    <row r="83" spans="1:21">
      <c r="A83" s="183" t="s">
        <v>662</v>
      </c>
      <c r="B83" s="64"/>
      <c r="C83" s="64"/>
      <c r="D83" s="64"/>
      <c r="E83" s="89">
        <f>E81+E82</f>
        <v>22468593826.529995</v>
      </c>
      <c r="F83" s="89">
        <f t="shared" ref="F83:U83" si="82">F81+F82</f>
        <v>22490311708.640003</v>
      </c>
      <c r="G83" s="89">
        <f t="shared" si="82"/>
        <v>20795942862.849998</v>
      </c>
      <c r="H83" s="89">
        <f t="shared" si="82"/>
        <v>20300129253.059998</v>
      </c>
      <c r="I83" s="89">
        <f t="shared" si="82"/>
        <v>16489562043.4</v>
      </c>
      <c r="J83" s="89">
        <f t="shared" si="82"/>
        <v>16809585700.269999</v>
      </c>
      <c r="K83" s="89">
        <f t="shared" si="82"/>
        <v>11558470896.049999</v>
      </c>
      <c r="L83" s="89">
        <f t="shared" si="82"/>
        <v>11438163956.330002</v>
      </c>
      <c r="M83" s="89">
        <f t="shared" si="82"/>
        <v>11017795020.119999</v>
      </c>
      <c r="N83" s="89">
        <f t="shared" si="82"/>
        <v>7761448719.8599987</v>
      </c>
      <c r="O83" s="89">
        <f t="shared" si="82"/>
        <v>7806014859.8499985</v>
      </c>
      <c r="P83" s="89">
        <f t="shared" si="82"/>
        <v>7657505716.3800011</v>
      </c>
      <c r="Q83" s="89">
        <f t="shared" si="82"/>
        <v>7359908968.920001</v>
      </c>
      <c r="R83" s="89">
        <f t="shared" si="82"/>
        <v>7404477628.3599987</v>
      </c>
      <c r="S83" s="89">
        <f t="shared" si="82"/>
        <v>6293816058.79</v>
      </c>
      <c r="T83" s="89">
        <f t="shared" si="82"/>
        <v>5694817454.2699995</v>
      </c>
      <c r="U83" s="89">
        <f t="shared" si="82"/>
        <v>5284512164.7799997</v>
      </c>
    </row>
    <row r="84" spans="1:21" s="219" customFormat="1">
      <c r="A84" s="223" t="s">
        <v>663</v>
      </c>
      <c r="B84" s="223"/>
      <c r="C84" s="223"/>
      <c r="D84" s="223"/>
      <c r="E84" s="223">
        <f>E83/E85</f>
        <v>0.75284155795123509</v>
      </c>
      <c r="F84" s="223">
        <f t="shared" ref="F84:U84" si="83">F83/F85</f>
        <v>0.7439748620741562</v>
      </c>
      <c r="G84" s="223">
        <f t="shared" si="83"/>
        <v>0.75234138810546258</v>
      </c>
      <c r="H84" s="223">
        <f t="shared" si="83"/>
        <v>0.79375605071272137</v>
      </c>
      <c r="I84" s="223">
        <f t="shared" si="83"/>
        <v>0.73924304258419793</v>
      </c>
      <c r="J84" s="223">
        <f t="shared" si="83"/>
        <v>0.79093075924176637</v>
      </c>
      <c r="K84" s="223">
        <f t="shared" si="83"/>
        <v>0.68643281997548689</v>
      </c>
      <c r="L84" s="223">
        <f t="shared" si="83"/>
        <v>0.70014550790990682</v>
      </c>
      <c r="M84" s="223">
        <f t="shared" si="83"/>
        <v>0.6936126999616361</v>
      </c>
      <c r="N84" s="223">
        <f t="shared" si="83"/>
        <v>0.62662162648267927</v>
      </c>
      <c r="O84" s="223">
        <f t="shared" si="83"/>
        <v>0.73280722279036725</v>
      </c>
      <c r="P84" s="223">
        <f t="shared" si="83"/>
        <v>0.76638472635236188</v>
      </c>
      <c r="Q84" s="223">
        <f t="shared" si="83"/>
        <v>0.74405379375400538</v>
      </c>
      <c r="R84" s="223">
        <f t="shared" si="83"/>
        <v>0.77855138989043948</v>
      </c>
      <c r="S84" s="223">
        <f t="shared" si="83"/>
        <v>0.75560202455936831</v>
      </c>
      <c r="T84" s="223">
        <f t="shared" si="83"/>
        <v>0.74611555991120126</v>
      </c>
      <c r="U84" s="223">
        <f t="shared" si="83"/>
        <v>0.72946757275269958</v>
      </c>
    </row>
    <row r="85" spans="1:21">
      <c r="A85" s="183" t="s">
        <v>655</v>
      </c>
      <c r="B85" s="64"/>
      <c r="C85" s="64"/>
      <c r="D85" s="64"/>
      <c r="E85" s="89">
        <f>E14</f>
        <v>29845049850.429996</v>
      </c>
      <c r="F85" s="89">
        <f t="shared" ref="F85:U85" si="84">F14</f>
        <v>30229934981.860001</v>
      </c>
      <c r="G85" s="89">
        <f t="shared" si="84"/>
        <v>27641630769.799999</v>
      </c>
      <c r="H85" s="89">
        <f t="shared" si="84"/>
        <v>25574771033.029999</v>
      </c>
      <c r="I85" s="89">
        <f t="shared" si="84"/>
        <v>22306009111.369999</v>
      </c>
      <c r="J85" s="89">
        <f t="shared" si="84"/>
        <v>21252916900.57</v>
      </c>
      <c r="K85" s="89">
        <f t="shared" si="84"/>
        <v>16838459000.93</v>
      </c>
      <c r="L85" s="89">
        <f t="shared" si="84"/>
        <v>16336838310.190001</v>
      </c>
      <c r="M85" s="89">
        <f t="shared" si="84"/>
        <v>15884650065.85</v>
      </c>
      <c r="N85" s="89">
        <f t="shared" si="84"/>
        <v>12386180737.849998</v>
      </c>
      <c r="O85" s="89">
        <f t="shared" si="84"/>
        <v>10652207861.879999</v>
      </c>
      <c r="P85" s="89">
        <f t="shared" si="84"/>
        <v>9991725373.7900009</v>
      </c>
      <c r="Q85" s="89">
        <f t="shared" si="84"/>
        <v>9891635565.4700012</v>
      </c>
      <c r="R85" s="89">
        <f t="shared" si="84"/>
        <v>9510583019.3199997</v>
      </c>
      <c r="S85" s="89">
        <f t="shared" si="84"/>
        <v>8329538373.6700001</v>
      </c>
      <c r="T85" s="89">
        <f t="shared" si="84"/>
        <v>7632621218.8199997</v>
      </c>
      <c r="U85" s="89">
        <f t="shared" si="84"/>
        <v>7244341437.7399998</v>
      </c>
    </row>
    <row r="87" spans="1:21" s="56" customFormat="1" ht="85.9" customHeight="1">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78"/>
  <sheetViews>
    <sheetView zoomScaleNormal="100" workbookViewId="0">
      <selection activeCell="A35" sqref="A35:AG35"/>
    </sheetView>
  </sheetViews>
  <sheetFormatPr defaultRowHeight="13.5"/>
  <cols>
    <col min="1" max="1" width="45.625" style="17" bestFit="1" customWidth="1"/>
    <col min="2" max="4" width="10.5" hidden="1" customWidth="1"/>
    <col min="5" max="5" width="20.5" bestFit="1" customWidth="1"/>
    <col min="6" max="8" width="19.375" hidden="1" customWidth="1"/>
    <col min="9" max="9" width="23" bestFit="1" customWidth="1"/>
    <col min="10" max="12" width="19.375" hidden="1" customWidth="1"/>
    <col min="13" max="13" width="23" bestFit="1" customWidth="1"/>
    <col min="14" max="16" width="19.375" hidden="1" customWidth="1"/>
    <col min="17" max="17" width="19.375" bestFit="1" customWidth="1"/>
    <col min="18" max="20" width="19.375" hidden="1" customWidth="1"/>
    <col min="21" max="21" width="19.375" bestFit="1" customWidth="1"/>
    <col min="22" max="23" width="19.375" hidden="1" customWidth="1"/>
    <col min="24" max="24" width="18.375" hidden="1" customWidth="1"/>
    <col min="25" max="25" width="19.375" bestFit="1" customWidth="1"/>
    <col min="26" max="26" width="19.375" hidden="1" customWidth="1"/>
    <col min="27" max="28" width="17.25" hidden="1" customWidth="1"/>
    <col min="29" max="29" width="19.375" bestFit="1" customWidth="1"/>
    <col min="30" max="30" width="19.375" hidden="1" customWidth="1"/>
    <col min="31" max="32" width="17.25" hidden="1" customWidth="1"/>
    <col min="33" max="33" width="17.25" bestFit="1" customWidth="1"/>
    <col min="34" max="36" width="17.25" hidden="1" customWidth="1"/>
    <col min="37" max="37" width="17.25" bestFit="1" customWidth="1"/>
    <col min="38" max="39" width="17.25" hidden="1" customWidth="1"/>
    <col min="40" max="41" width="17.25" bestFit="1" customWidth="1"/>
    <col min="42" max="42" width="9.625" hidden="1" customWidth="1"/>
    <col min="43" max="51" width="20.5" bestFit="1" customWidth="1"/>
    <col min="52" max="81" width="18.375" bestFit="1" customWidth="1"/>
    <col min="82" max="82" width="9.625" bestFit="1" customWidth="1"/>
    <col min="83"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ht="14.45">
      <c r="A1" s="17">
        <v>2450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351</v>
      </c>
      <c r="E2" s="26">
        <f>股权价值增加表!E4</f>
        <v>11789073516.690001</v>
      </c>
      <c r="F2" s="26">
        <f>股权价值增加表!F4</f>
        <v>9450631221.3799992</v>
      </c>
      <c r="G2" s="26">
        <f>股权价值增加表!G4</f>
        <v>6050755584.71</v>
      </c>
      <c r="H2" s="26">
        <f>股权价值增加表!H4</f>
        <v>2700241153</v>
      </c>
      <c r="I2" s="26">
        <f>股权价值增加表!I4</f>
        <v>9232749388.8799992</v>
      </c>
      <c r="J2" s="26">
        <f>股权价值增加表!J4</f>
        <v>7156918837.8000002</v>
      </c>
      <c r="K2" s="26">
        <f>股权价值增加表!K4</f>
        <v>4499173734.3900003</v>
      </c>
      <c r="L2" s="26">
        <f>股权价值增加表!L4</f>
        <v>2007598833.6500001</v>
      </c>
      <c r="M2" s="26">
        <f>股权价值增加表!M4</f>
        <v>7459376626.1199999</v>
      </c>
      <c r="N2" s="26">
        <f>股权价值增加表!N4</f>
        <v>5214917067.6099997</v>
      </c>
      <c r="O2" s="26">
        <f>股权价值增加表!O4</f>
        <v>3301126126.96</v>
      </c>
      <c r="P2" s="26">
        <f>股权价值增加表!P4</f>
        <v>1500354327.0899999</v>
      </c>
      <c r="Q2" s="26">
        <f>股权价值增加表!Q4</f>
        <v>5208091770.6199999</v>
      </c>
      <c r="R2" s="26">
        <f>股权价值增加表!R4</f>
        <v>3652588157.7399998</v>
      </c>
      <c r="S2" s="26">
        <f>股权价值增加表!S4</f>
        <v>2424211203.8699999</v>
      </c>
      <c r="T2" s="26">
        <f>股权价值增加表!T4</f>
        <v>1221227187.02</v>
      </c>
      <c r="U2" s="26">
        <f>股权价值增加表!U4</f>
        <v>3192701967.0799999</v>
      </c>
      <c r="V2" s="26">
        <f>股权价值增加表!V4</f>
        <v>2279929133.7600002</v>
      </c>
      <c r="W2" s="26">
        <f>股权价值增加表!W4</f>
        <v>1509892379.6400001</v>
      </c>
      <c r="X2" s="26">
        <f>股权价值增加表!X4</f>
        <v>655682698.38</v>
      </c>
      <c r="Y2" s="26">
        <f>股权价值增加表!Y4</f>
        <v>2234623152.98</v>
      </c>
      <c r="Z2" s="26">
        <f>股权价值增加表!Z4</f>
        <v>1459303292.4400001</v>
      </c>
      <c r="AA2" s="26">
        <f>股权价值增加表!AA4</f>
        <v>961642839.58000004</v>
      </c>
      <c r="AB2" s="26">
        <f>股权价值增加表!AB4</f>
        <v>407522741.93000001</v>
      </c>
      <c r="AC2" s="26">
        <f>股权价值增加表!AC4</f>
        <v>1526021238.48</v>
      </c>
      <c r="AD2" s="26">
        <f>股权价值增加表!AD4</f>
        <v>1098832203.2</v>
      </c>
      <c r="AE2" s="26">
        <f>股权价值增加表!AE4</f>
        <v>647395840.48000002</v>
      </c>
      <c r="AF2" s="26">
        <f>股权价值增加表!AF4</f>
        <v>237639702.31</v>
      </c>
      <c r="AG2" s="26">
        <f>股权价值增加表!AG4</f>
        <v>524201146.48000002</v>
      </c>
      <c r="AH2" s="26">
        <f>股权价值增加表!AH4</f>
        <v>380020138.85000002</v>
      </c>
      <c r="AI2" s="26">
        <f>股权价值增加表!AI4</f>
        <v>223459375.99000001</v>
      </c>
      <c r="AJ2" s="26">
        <f>股权价值增加表!AJ4</f>
        <v>89061445.689999998</v>
      </c>
      <c r="AK2" s="26">
        <f>股权价值增加表!AK4</f>
        <v>364399272.83999997</v>
      </c>
      <c r="AL2" s="26">
        <f>股权价值增加表!AL4</f>
        <v>232406318.21000001</v>
      </c>
      <c r="AM2" s="26">
        <f>股权价值增加表!AM4</f>
        <v>134187532.15000001</v>
      </c>
      <c r="AN2" s="26">
        <f>股权价值增加表!AN4</f>
        <v>259676963.58000001</v>
      </c>
      <c r="AO2" s="26">
        <f>股权价值增加表!AO4</f>
        <v>163933411.49000001</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c r="A3" s="46" t="s">
        <v>372</v>
      </c>
      <c r="E3" s="66">
        <f>(E2-I2)/I2</f>
        <v>0.27687571926178994</v>
      </c>
      <c r="F3" s="66">
        <f t="shared" ref="F3:BQ3" si="0">(F2-J2)/J2</f>
        <v>0.32048880748311998</v>
      </c>
      <c r="G3" s="66">
        <f t="shared" si="0"/>
        <v>0.34485928793109027</v>
      </c>
      <c r="H3" s="66">
        <f t="shared" si="0"/>
        <v>0.34501032165410866</v>
      </c>
      <c r="I3" s="66">
        <f t="shared" si="0"/>
        <v>0.23773739437559682</v>
      </c>
      <c r="J3" s="66">
        <f t="shared" si="0"/>
        <v>0.37239360569160906</v>
      </c>
      <c r="K3" s="66">
        <f t="shared" si="0"/>
        <v>0.36292088255751676</v>
      </c>
      <c r="L3" s="66">
        <f t="shared" si="0"/>
        <v>0.33808314302916842</v>
      </c>
      <c r="M3" s="66">
        <f t="shared" si="0"/>
        <v>0.43226674080514421</v>
      </c>
      <c r="N3" s="66">
        <f t="shared" si="0"/>
        <v>0.42773201970754743</v>
      </c>
      <c r="O3" s="66">
        <f t="shared" si="0"/>
        <v>0.36173206430615334</v>
      </c>
      <c r="P3" s="66">
        <f t="shared" si="0"/>
        <v>0.22856282847020232</v>
      </c>
      <c r="Q3" s="66">
        <f t="shared" si="0"/>
        <v>0.63124896226478888</v>
      </c>
      <c r="R3" s="66">
        <f t="shared" si="0"/>
        <v>0.60206214467563113</v>
      </c>
      <c r="S3" s="66">
        <f t="shared" si="0"/>
        <v>0.60555231389935127</v>
      </c>
      <c r="T3" s="66">
        <f t="shared" si="0"/>
        <v>0.8625276982865262</v>
      </c>
      <c r="U3" s="66">
        <f t="shared" si="0"/>
        <v>0.42874290138019294</v>
      </c>
      <c r="V3" s="66">
        <f t="shared" si="0"/>
        <v>0.56234084139417551</v>
      </c>
      <c r="W3" s="66">
        <f t="shared" si="0"/>
        <v>0.57011763358987777</v>
      </c>
      <c r="X3" s="66">
        <f t="shared" si="0"/>
        <v>0.608947503824526</v>
      </c>
      <c r="Y3" s="66">
        <f t="shared" si="0"/>
        <v>0.46434603702226712</v>
      </c>
      <c r="Z3" s="66">
        <f t="shared" si="0"/>
        <v>0.32804925828551657</v>
      </c>
      <c r="AA3" s="66">
        <f t="shared" si="0"/>
        <v>0.48540163444208606</v>
      </c>
      <c r="AB3" s="66">
        <f t="shared" si="0"/>
        <v>0.71487650408848047</v>
      </c>
      <c r="AC3" s="66">
        <f t="shared" si="0"/>
        <v>1.9111367816098868</v>
      </c>
      <c r="AD3" s="66">
        <f t="shared" si="0"/>
        <v>1.8915104513282823</v>
      </c>
      <c r="AE3" s="66">
        <f t="shared" si="0"/>
        <v>1.8971522792982807</v>
      </c>
      <c r="AF3" s="66">
        <f t="shared" si="0"/>
        <v>1.6682668405941077</v>
      </c>
      <c r="AG3" s="66">
        <f t="shared" si="0"/>
        <v>0.43853510572224902</v>
      </c>
      <c r="AH3" s="66">
        <f t="shared" si="0"/>
        <v>0.63515407746624886</v>
      </c>
      <c r="AI3" s="66">
        <f t="shared" si="0"/>
        <v>0.66527673927417108</v>
      </c>
      <c r="AJ3" s="66">
        <f t="shared" si="0"/>
        <v>-0.65702985562459271</v>
      </c>
      <c r="AK3" s="66">
        <f t="shared" si="0"/>
        <v>1.222849323563479</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c r="A4" s="17" t="s">
        <v>352</v>
      </c>
      <c r="E4" s="26">
        <f>股权价值增加表!E5</f>
        <v>7082433228.9700003</v>
      </c>
      <c r="F4" s="26">
        <f>股权价值增加表!F5</f>
        <v>5867004503.1800003</v>
      </c>
      <c r="G4" s="26">
        <f>股权价值增加表!G5</f>
        <v>3760335260.7600002</v>
      </c>
      <c r="H4" s="26">
        <f>股权价值增加表!H5</f>
        <v>1685339422.6600001</v>
      </c>
      <c r="I4" s="26">
        <f>股权价值增加表!I5</f>
        <v>5498091650.5600004</v>
      </c>
      <c r="J4" s="26">
        <f>股权价值增加表!J5</f>
        <v>4486393024.54</v>
      </c>
      <c r="K4" s="26">
        <f>股权价值增加表!K5</f>
        <v>2820743132.8600001</v>
      </c>
      <c r="L4" s="26">
        <f>股权价值增加表!L5</f>
        <v>1228341627.6400001</v>
      </c>
      <c r="M4" s="26">
        <f>股权价值增加表!M5</f>
        <v>4674042318.3100004</v>
      </c>
      <c r="N4" s="26">
        <f>股权价值增加表!N5</f>
        <v>3206565234.98</v>
      </c>
      <c r="O4" s="26">
        <f>股权价值增加表!O5</f>
        <v>2046150402.3299999</v>
      </c>
      <c r="P4" s="26">
        <f>股权价值增加表!P5</f>
        <v>932009375.05999994</v>
      </c>
      <c r="Q4" s="26">
        <f>股权价值增加表!Q5</f>
        <v>3171705053.96</v>
      </c>
      <c r="R4" s="26">
        <f>股权价值增加表!R5</f>
        <v>2262121253.6999998</v>
      </c>
      <c r="S4" s="26">
        <f>股权价值增加表!S5</f>
        <v>1508397409.0699999</v>
      </c>
      <c r="T4" s="26">
        <f>股权价值增加表!T5</f>
        <v>773688343.23000002</v>
      </c>
      <c r="U4" s="26">
        <f>股权价值增加表!U5</f>
        <v>2032945307.53</v>
      </c>
      <c r="V4" s="26">
        <f>股权价值增加表!V5</f>
        <v>1431678641.1400001</v>
      </c>
      <c r="W4" s="26">
        <f>股权价值增加表!W5</f>
        <v>986327119.15999997</v>
      </c>
      <c r="X4" s="26">
        <f>股权价值增加表!X5</f>
        <v>433342685.77999997</v>
      </c>
      <c r="Y4" s="26">
        <f>股权价值增加表!Y5</f>
        <v>1515737569.8</v>
      </c>
      <c r="Z4" s="26">
        <f>股权价值增加表!Z5</f>
        <v>968960651.47000003</v>
      </c>
      <c r="AA4" s="26">
        <f>股权价值增加表!AA5</f>
        <v>653401720.63</v>
      </c>
      <c r="AB4" s="26">
        <f>股权价值增加表!AB5</f>
        <v>295686297.69</v>
      </c>
      <c r="AC4" s="26">
        <f>股权价值增加表!AC5</f>
        <v>1229967250.8199999</v>
      </c>
      <c r="AD4" s="26">
        <f>股权价值增加表!AD5</f>
        <v>891749062.62</v>
      </c>
      <c r="AE4" s="26">
        <f>股权价值增加表!AE5</f>
        <v>530225147.60000002</v>
      </c>
      <c r="AF4" s="26">
        <f>股权价值增加表!AF5</f>
        <v>200625460.34999999</v>
      </c>
      <c r="AG4" s="26">
        <f>股权价值增加表!AG5</f>
        <v>386934282.25</v>
      </c>
      <c r="AH4" s="26">
        <f>股权价值增加表!AH5</f>
        <v>275652349.01999998</v>
      </c>
      <c r="AI4" s="26">
        <f>股权价值增加表!AI5</f>
        <v>161860298.44</v>
      </c>
      <c r="AJ4" s="26">
        <f>股权价值增加表!AJ5</f>
        <v>66705448.380000003</v>
      </c>
      <c r="AK4" s="26">
        <f>股权价值增加表!AK5</f>
        <v>274436681.06999999</v>
      </c>
      <c r="AL4" s="26">
        <f>股权价值增加表!AL5</f>
        <v>180786912.02000001</v>
      </c>
      <c r="AM4" s="26">
        <f>股权价值增加表!AM5</f>
        <v>105400729.06</v>
      </c>
      <c r="AN4" s="26">
        <f>股权价值增加表!AN5</f>
        <v>199359707.38</v>
      </c>
      <c r="AO4" s="26">
        <f>股权价值增加表!AO5</f>
        <v>128316202.27</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c r="A5" s="46" t="s">
        <v>353</v>
      </c>
      <c r="E5" s="66">
        <f t="shared" ref="E5:AJ5" si="2">E4/E2</f>
        <v>0.60076249579267393</v>
      </c>
      <c r="F5" s="66">
        <f t="shared" si="2"/>
        <v>0.62080557009855364</v>
      </c>
      <c r="G5" s="66">
        <f t="shared" si="2"/>
        <v>0.62146540347162693</v>
      </c>
      <c r="H5" s="66">
        <f t="shared" si="2"/>
        <v>0.62414404016751168</v>
      </c>
      <c r="I5" s="66">
        <f t="shared" si="2"/>
        <v>0.5954988507737411</v>
      </c>
      <c r="J5" s="66">
        <f t="shared" si="2"/>
        <v>0.62686096156975479</v>
      </c>
      <c r="K5" s="66">
        <f t="shared" si="2"/>
        <v>0.62694692389833606</v>
      </c>
      <c r="L5" s="66">
        <f t="shared" si="2"/>
        <v>0.61184615524345642</v>
      </c>
      <c r="M5" s="66">
        <f t="shared" si="2"/>
        <v>0.62659958768447477</v>
      </c>
      <c r="N5" s="66">
        <f t="shared" si="2"/>
        <v>0.61488326533437498</v>
      </c>
      <c r="O5" s="66">
        <f t="shared" si="2"/>
        <v>0.61983405772329436</v>
      </c>
      <c r="P5" s="66">
        <f t="shared" si="2"/>
        <v>0.62119284640426986</v>
      </c>
      <c r="Q5" s="66">
        <f t="shared" si="2"/>
        <v>0.60899561560191606</v>
      </c>
      <c r="R5" s="66">
        <f t="shared" si="2"/>
        <v>0.61932009742364802</v>
      </c>
      <c r="S5" s="66">
        <f t="shared" si="2"/>
        <v>0.62222194446672019</v>
      </c>
      <c r="T5" s="66">
        <f t="shared" si="2"/>
        <v>0.63353350748596571</v>
      </c>
      <c r="U5" s="66">
        <f t="shared" si="2"/>
        <v>0.63674759764354172</v>
      </c>
      <c r="V5" s="66">
        <f t="shared" si="2"/>
        <v>0.62794874627480757</v>
      </c>
      <c r="W5" s="66">
        <f t="shared" si="2"/>
        <v>0.65324332545818098</v>
      </c>
      <c r="X5" s="66">
        <f t="shared" si="2"/>
        <v>0.6609030356461485</v>
      </c>
      <c r="Y5" s="66">
        <f t="shared" si="2"/>
        <v>0.67829672657721984</v>
      </c>
      <c r="Z5" s="66">
        <f t="shared" si="2"/>
        <v>0.66398853239744837</v>
      </c>
      <c r="AA5" s="66">
        <f t="shared" si="2"/>
        <v>0.67946403148530166</v>
      </c>
      <c r="AB5" s="66">
        <f t="shared" si="2"/>
        <v>0.72557005356228654</v>
      </c>
      <c r="AC5" s="66">
        <f t="shared" si="2"/>
        <v>0.80599615510273903</v>
      </c>
      <c r="AD5" s="66">
        <f t="shared" si="2"/>
        <v>0.81154252671432803</v>
      </c>
      <c r="AE5" s="66">
        <f t="shared" si="2"/>
        <v>0.81901228652762759</v>
      </c>
      <c r="AF5" s="66">
        <f t="shared" si="2"/>
        <v>0.84424218007260809</v>
      </c>
      <c r="AG5" s="66">
        <f t="shared" si="2"/>
        <v>0.73814085460944867</v>
      </c>
      <c r="AH5" s="66">
        <f t="shared" si="2"/>
        <v>0.72536247645760776</v>
      </c>
      <c r="AI5" s="66">
        <f t="shared" si="2"/>
        <v>0.72433880978546805</v>
      </c>
      <c r="AJ5" s="66">
        <f t="shared" si="2"/>
        <v>0.74898232184759861</v>
      </c>
      <c r="AK5" s="66">
        <f t="shared" ref="AK5:BP5" si="3">AK4/AK2</f>
        <v>0.75312082521772583</v>
      </c>
      <c r="AL5" s="66">
        <f t="shared" si="3"/>
        <v>0.77789155394924669</v>
      </c>
      <c r="AM5" s="66">
        <f t="shared" si="3"/>
        <v>0.78547333996856727</v>
      </c>
      <c r="AN5" s="66">
        <f t="shared" si="3"/>
        <v>0.76772195974396562</v>
      </c>
      <c r="AO5" s="66">
        <f t="shared" si="3"/>
        <v>0.78273367889880896</v>
      </c>
      <c r="AP5" s="66" t="e">
        <f t="shared" si="3"/>
        <v>#DIV/0!</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c r="A6" s="46" t="s">
        <v>354</v>
      </c>
      <c r="E6" s="66">
        <f>(E4-I4)/I4</f>
        <v>0.28816208952221251</v>
      </c>
      <c r="F6" s="66">
        <f t="shared" ref="F6:BQ6" si="5">(F4-J4)/J4</f>
        <v>0.30773306553577251</v>
      </c>
      <c r="G6" s="66">
        <f t="shared" si="5"/>
        <v>0.33310091831982286</v>
      </c>
      <c r="H6" s="66">
        <f t="shared" si="5"/>
        <v>0.37204453935020099</v>
      </c>
      <c r="I6" s="66">
        <f t="shared" si="5"/>
        <v>0.17630335288619137</v>
      </c>
      <c r="J6" s="66">
        <f t="shared" si="5"/>
        <v>0.39912732028605757</v>
      </c>
      <c r="K6" s="66">
        <f t="shared" si="5"/>
        <v>0.37856099417127553</v>
      </c>
      <c r="L6" s="66">
        <f t="shared" si="5"/>
        <v>0.31794986242592593</v>
      </c>
      <c r="M6" s="66">
        <f t="shared" si="5"/>
        <v>0.47366865417522747</v>
      </c>
      <c r="N6" s="66">
        <f t="shared" si="5"/>
        <v>0.41750369470037763</v>
      </c>
      <c r="O6" s="66">
        <f t="shared" si="5"/>
        <v>0.35650617670548157</v>
      </c>
      <c r="P6" s="66">
        <f t="shared" si="5"/>
        <v>0.2046315331171206</v>
      </c>
      <c r="Q6" s="66">
        <f t="shared" si="5"/>
        <v>0.56015267219046694</v>
      </c>
      <c r="R6" s="66">
        <f t="shared" si="5"/>
        <v>0.58004819566124466</v>
      </c>
      <c r="S6" s="66">
        <f t="shared" si="5"/>
        <v>0.52930744756832626</v>
      </c>
      <c r="T6" s="66">
        <f t="shared" si="5"/>
        <v>0.78539610478804112</v>
      </c>
      <c r="U6" s="66">
        <f t="shared" si="5"/>
        <v>0.34122512236616598</v>
      </c>
      <c r="V6" s="66">
        <f t="shared" si="5"/>
        <v>0.47754053682986558</v>
      </c>
      <c r="W6" s="66">
        <f t="shared" si="5"/>
        <v>0.50952635724466466</v>
      </c>
      <c r="X6" s="66">
        <f t="shared" si="5"/>
        <v>0.46554875611557789</v>
      </c>
      <c r="Y6" s="66">
        <f t="shared" si="5"/>
        <v>0.23233977879450157</v>
      </c>
      <c r="Z6" s="66">
        <f t="shared" si="5"/>
        <v>8.6584435113560759E-2</v>
      </c>
      <c r="AA6" s="66">
        <f t="shared" si="5"/>
        <v>0.2323099415173796</v>
      </c>
      <c r="AB6" s="66">
        <f t="shared" si="5"/>
        <v>0.4738224010759261</v>
      </c>
      <c r="AC6" s="66">
        <f t="shared" si="5"/>
        <v>2.1787497444470749</v>
      </c>
      <c r="AD6" s="66">
        <f t="shared" si="5"/>
        <v>2.2350497494048165</v>
      </c>
      <c r="AE6" s="66">
        <f t="shared" si="5"/>
        <v>2.275819658744477</v>
      </c>
      <c r="AF6" s="66">
        <f t="shared" si="5"/>
        <v>2.0076322882517741</v>
      </c>
      <c r="AG6" s="66">
        <f t="shared" si="5"/>
        <v>0.409921883406342</v>
      </c>
      <c r="AH6" s="66">
        <f t="shared" si="5"/>
        <v>0.52473619876589983</v>
      </c>
      <c r="AI6" s="66">
        <f t="shared" si="5"/>
        <v>0.53566583346743313</v>
      </c>
      <c r="AJ6" s="66">
        <f t="shared" si="5"/>
        <v>-0.66540155352027786</v>
      </c>
      <c r="AK6" s="66">
        <f t="shared" si="5"/>
        <v>1.1387531443031385</v>
      </c>
      <c r="AL6" s="66" t="e">
        <f t="shared" si="5"/>
        <v>#DIV/0!</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c r="A7" s="128" t="s">
        <v>355</v>
      </c>
      <c r="E7" s="27">
        <f>股权价值增加表!E6</f>
        <v>4706640287.7200003</v>
      </c>
      <c r="F7" s="27">
        <f>股权价值增加表!F6</f>
        <v>3583626718.1999989</v>
      </c>
      <c r="G7" s="27">
        <f>股权价值增加表!G6</f>
        <v>2290420323.9499998</v>
      </c>
      <c r="H7" s="27">
        <f>股权价值增加表!H6</f>
        <v>1014901730.3399999</v>
      </c>
      <c r="I7" s="27">
        <f>股权价值增加表!I6</f>
        <v>3734657738.3199987</v>
      </c>
      <c r="J7" s="27">
        <f>股权价值增加表!J6</f>
        <v>2670525813.2600002</v>
      </c>
      <c r="K7" s="27">
        <f>股权价值增加表!K6</f>
        <v>1678430601.5300002</v>
      </c>
      <c r="L7" s="27">
        <f>股权价值增加表!L6</f>
        <v>779257206.00999999</v>
      </c>
      <c r="M7" s="27">
        <f>股权价值增加表!M6</f>
        <v>2785334307.8099995</v>
      </c>
      <c r="N7" s="27">
        <f>股权价值增加表!N6</f>
        <v>2008351832.6299996</v>
      </c>
      <c r="O7" s="27">
        <f>股权价值增加表!O6</f>
        <v>1254975724.6300001</v>
      </c>
      <c r="P7" s="27">
        <f>股权价值增加表!P6</f>
        <v>568344952.02999997</v>
      </c>
      <c r="Q7" s="27">
        <f>股权价值增加表!Q6</f>
        <v>2036386716.6599998</v>
      </c>
      <c r="R7" s="27">
        <f>股权价值增加表!R6</f>
        <v>1390466904.04</v>
      </c>
      <c r="S7" s="27">
        <f>股权价值增加表!S6</f>
        <v>915813794.79999995</v>
      </c>
      <c r="T7" s="27">
        <f>股权价值增加表!T6</f>
        <v>447538843.78999996</v>
      </c>
      <c r="U7" s="27">
        <f>股权价值增加表!U6</f>
        <v>1159756659.55</v>
      </c>
      <c r="V7" s="27">
        <f>股权价值增加表!V6</f>
        <v>848250492.62000012</v>
      </c>
      <c r="W7" s="27">
        <f>股权价值增加表!W6</f>
        <v>523565260.48000014</v>
      </c>
      <c r="X7" s="27">
        <f>股权价值增加表!X6</f>
        <v>222340012.60000002</v>
      </c>
      <c r="Y7" s="27">
        <f>股权价值增加表!Y6</f>
        <v>718885583.18000007</v>
      </c>
      <c r="Z7" s="27">
        <f>股权价值增加表!Z6</f>
        <v>490342640.97000003</v>
      </c>
      <c r="AA7" s="27">
        <f>股权价值增加表!AA6</f>
        <v>308241118.95000005</v>
      </c>
      <c r="AB7" s="27">
        <f>股权价值增加表!AB6</f>
        <v>111836444.24000001</v>
      </c>
      <c r="AC7" s="27">
        <f>股权价值增加表!AC6</f>
        <v>296053987.66000009</v>
      </c>
      <c r="AD7" s="27">
        <f>股权价值增加表!AD6</f>
        <v>207083140.58000004</v>
      </c>
      <c r="AE7" s="27">
        <f>股权价值增加表!AE6</f>
        <v>117170692.88</v>
      </c>
      <c r="AF7" s="27">
        <f>股权价值增加表!AF6</f>
        <v>37014241.960000008</v>
      </c>
      <c r="AG7" s="27">
        <f>股权价值增加表!AG6</f>
        <v>137266864.23000002</v>
      </c>
      <c r="AH7" s="27">
        <f>股权价值增加表!AH6</f>
        <v>104367789.83000004</v>
      </c>
      <c r="AI7" s="27">
        <f>股权价值增加表!AI6</f>
        <v>61599077.550000012</v>
      </c>
      <c r="AJ7" s="27">
        <f>股权价值增加表!AJ6</f>
        <v>22355997.309999995</v>
      </c>
      <c r="AK7" s="27">
        <f>股权价值增加表!AK6</f>
        <v>89962591.769999981</v>
      </c>
      <c r="AL7" s="27">
        <f>股权价值增加表!AL6</f>
        <v>51619406.189999998</v>
      </c>
      <c r="AM7" s="27">
        <f>股权价值增加表!AM6</f>
        <v>28786803.090000004</v>
      </c>
      <c r="AN7" s="27">
        <f>股权价值增加表!AN6</f>
        <v>60317256.200000018</v>
      </c>
      <c r="AO7" s="27">
        <f>股权价值增加表!AO6</f>
        <v>35617209.220000014</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c r="A8" s="46" t="s">
        <v>356</v>
      </c>
      <c r="E8" s="66">
        <f>E7/E2</f>
        <v>0.39923750420732607</v>
      </c>
      <c r="F8" s="66">
        <f t="shared" ref="F8:BQ8" si="7">F7/F2</f>
        <v>0.37919442990144642</v>
      </c>
      <c r="G8" s="66">
        <f t="shared" si="7"/>
        <v>0.37853459652837307</v>
      </c>
      <c r="H8" s="66">
        <f t="shared" si="7"/>
        <v>0.37585595983248832</v>
      </c>
      <c r="I8" s="66">
        <f t="shared" si="7"/>
        <v>0.40450114922625885</v>
      </c>
      <c r="J8" s="66">
        <f t="shared" si="7"/>
        <v>0.37313903843024521</v>
      </c>
      <c r="K8" s="66">
        <f t="shared" si="7"/>
        <v>0.37305307610166394</v>
      </c>
      <c r="L8" s="66">
        <f t="shared" si="7"/>
        <v>0.38815384475654352</v>
      </c>
      <c r="M8" s="66">
        <f t="shared" si="7"/>
        <v>0.37340041231552523</v>
      </c>
      <c r="N8" s="66">
        <f t="shared" si="7"/>
        <v>0.38511673466562502</v>
      </c>
      <c r="O8" s="66">
        <f t="shared" si="7"/>
        <v>0.38016594227670558</v>
      </c>
      <c r="P8" s="66">
        <f t="shared" si="7"/>
        <v>0.37880715359573014</v>
      </c>
      <c r="Q8" s="66">
        <f t="shared" si="7"/>
        <v>0.39100438439808388</v>
      </c>
      <c r="R8" s="66">
        <f t="shared" si="7"/>
        <v>0.38067990257635193</v>
      </c>
      <c r="S8" s="66">
        <f t="shared" si="7"/>
        <v>0.37777805553327981</v>
      </c>
      <c r="T8" s="66">
        <f t="shared" si="7"/>
        <v>0.36646649251403429</v>
      </c>
      <c r="U8" s="66">
        <f t="shared" si="7"/>
        <v>0.36325240235645828</v>
      </c>
      <c r="V8" s="66">
        <f t="shared" si="7"/>
        <v>0.37205125372519249</v>
      </c>
      <c r="W8" s="66">
        <f t="shared" si="7"/>
        <v>0.34675667454181902</v>
      </c>
      <c r="X8" s="66">
        <f t="shared" si="7"/>
        <v>0.3390969643538515</v>
      </c>
      <c r="Y8" s="66">
        <f t="shared" si="7"/>
        <v>0.32170327342278016</v>
      </c>
      <c r="Z8" s="66">
        <f t="shared" si="7"/>
        <v>0.33601146760255163</v>
      </c>
      <c r="AA8" s="66">
        <f t="shared" si="7"/>
        <v>0.3205359685146984</v>
      </c>
      <c r="AB8" s="66">
        <f t="shared" si="7"/>
        <v>0.2744299464377134</v>
      </c>
      <c r="AC8" s="66">
        <f t="shared" si="7"/>
        <v>0.19400384489726102</v>
      </c>
      <c r="AD8" s="66">
        <f t="shared" si="7"/>
        <v>0.18845747328567194</v>
      </c>
      <c r="AE8" s="66">
        <f t="shared" si="7"/>
        <v>0.18098771347237247</v>
      </c>
      <c r="AF8" s="66">
        <f t="shared" si="7"/>
        <v>0.15575781992739193</v>
      </c>
      <c r="AG8" s="66">
        <f t="shared" si="7"/>
        <v>0.26185914539055133</v>
      </c>
      <c r="AH8" s="66">
        <f t="shared" si="7"/>
        <v>0.27463752354239224</v>
      </c>
      <c r="AI8" s="66">
        <f t="shared" si="7"/>
        <v>0.27566119021453195</v>
      </c>
      <c r="AJ8" s="66">
        <f t="shared" si="7"/>
        <v>0.25101767815240139</v>
      </c>
      <c r="AK8" s="66">
        <f t="shared" si="7"/>
        <v>0.2468791747822742</v>
      </c>
      <c r="AL8" s="66">
        <f t="shared" si="7"/>
        <v>0.22210844605075333</v>
      </c>
      <c r="AM8" s="66">
        <f t="shared" si="7"/>
        <v>0.21452666003143275</v>
      </c>
      <c r="AN8" s="66">
        <f t="shared" si="7"/>
        <v>0.23227804025603438</v>
      </c>
      <c r="AO8" s="66">
        <f t="shared" si="7"/>
        <v>0.21726632110119098</v>
      </c>
      <c r="AP8" s="66" t="e">
        <f t="shared" si="7"/>
        <v>#DIV/0!</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c r="A9" s="46" t="s">
        <v>357</v>
      </c>
      <c r="E9" s="66">
        <f>(E7-I7)/I7</f>
        <v>0.26026014095664868</v>
      </c>
      <c r="F9" s="66">
        <f t="shared" ref="F9:BQ9" si="9">(F7-J7)/J7</f>
        <v>0.34191802243819008</v>
      </c>
      <c r="G9" s="66">
        <f t="shared" si="9"/>
        <v>0.36462021239491854</v>
      </c>
      <c r="H9" s="66">
        <f t="shared" si="9"/>
        <v>0.30239633655306353</v>
      </c>
      <c r="I9" s="66">
        <f t="shared" si="9"/>
        <v>0.34082925983000423</v>
      </c>
      <c r="J9" s="66">
        <f t="shared" si="9"/>
        <v>0.32971014832737899</v>
      </c>
      <c r="K9" s="66">
        <f t="shared" si="9"/>
        <v>0.33742077124626912</v>
      </c>
      <c r="L9" s="66">
        <f t="shared" si="9"/>
        <v>0.37109901869748119</v>
      </c>
      <c r="M9" s="66">
        <f t="shared" si="9"/>
        <v>0.3677825950359731</v>
      </c>
      <c r="N9" s="66">
        <f t="shared" si="9"/>
        <v>0.44437226574378413</v>
      </c>
      <c r="O9" s="66">
        <f t="shared" si="9"/>
        <v>0.37033939841894176</v>
      </c>
      <c r="P9" s="66">
        <f t="shared" si="9"/>
        <v>0.26993435299816398</v>
      </c>
      <c r="Q9" s="66">
        <f t="shared" si="9"/>
        <v>0.75587413091479316</v>
      </c>
      <c r="R9" s="66">
        <f t="shared" si="9"/>
        <v>0.63921732570440404</v>
      </c>
      <c r="S9" s="66">
        <f t="shared" si="9"/>
        <v>0.74918747275246966</v>
      </c>
      <c r="T9" s="66">
        <f t="shared" si="9"/>
        <v>1.0128578682557829</v>
      </c>
      <c r="U9" s="66">
        <f t="shared" si="9"/>
        <v>0.61327015965433707</v>
      </c>
      <c r="V9" s="66">
        <f t="shared" si="9"/>
        <v>0.72991378221152403</v>
      </c>
      <c r="W9" s="66">
        <f t="shared" si="9"/>
        <v>0.69855748727971601</v>
      </c>
      <c r="X9" s="66">
        <f t="shared" si="9"/>
        <v>0.98808191829543812</v>
      </c>
      <c r="Y9" s="66">
        <f t="shared" si="9"/>
        <v>1.4282246250491184</v>
      </c>
      <c r="Z9" s="66">
        <f t="shared" si="9"/>
        <v>1.3678539913806822</v>
      </c>
      <c r="AA9" s="66">
        <f t="shared" si="9"/>
        <v>1.6307015122432045</v>
      </c>
      <c r="AB9" s="66">
        <f t="shared" si="9"/>
        <v>2.0214435935459041</v>
      </c>
      <c r="AC9" s="66">
        <f t="shared" si="9"/>
        <v>1.156776796211658</v>
      </c>
      <c r="AD9" s="66">
        <f t="shared" si="9"/>
        <v>0.98416715461071247</v>
      </c>
      <c r="AE9" s="66">
        <f t="shared" si="9"/>
        <v>0.90215012205162437</v>
      </c>
      <c r="AF9" s="66">
        <f t="shared" si="9"/>
        <v>0.65567393155139075</v>
      </c>
      <c r="AG9" s="66">
        <f t="shared" si="9"/>
        <v>0.52582158349704966</v>
      </c>
      <c r="AH9" s="66">
        <f t="shared" si="9"/>
        <v>1.0218711824356237</v>
      </c>
      <c r="AI9" s="66">
        <f t="shared" si="9"/>
        <v>1.1398373885913846</v>
      </c>
      <c r="AJ9" s="66">
        <f t="shared" si="9"/>
        <v>-0.62935984296314873</v>
      </c>
      <c r="AK9" s="66">
        <f t="shared" si="9"/>
        <v>1.5258181014217023</v>
      </c>
      <c r="AL9" s="66" t="e">
        <f t="shared" si="9"/>
        <v>#DIV/0!</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c r="A10" s="128" t="s">
        <v>358</v>
      </c>
      <c r="E10" s="27">
        <f>股权价值增加表!E8</f>
        <v>100268329.19</v>
      </c>
      <c r="F10" s="27">
        <f>股权价值增加表!F8</f>
        <v>71892695.629999995</v>
      </c>
      <c r="G10" s="27">
        <f>股权价值增加表!G8</f>
        <v>43900756.210000001</v>
      </c>
      <c r="H10" s="27">
        <f>股权价值增加表!H8</f>
        <v>19412909.550000001</v>
      </c>
      <c r="I10" s="27">
        <f>股权价值增加表!I8</f>
        <v>82211800.379999995</v>
      </c>
      <c r="J10" s="27">
        <f>股权价值增加表!J8</f>
        <v>31009864.260000002</v>
      </c>
      <c r="K10" s="27">
        <f>股权价值增加表!K8</f>
        <v>19761763.640000001</v>
      </c>
      <c r="L10" s="27">
        <f>股权价值增加表!L8</f>
        <v>10225822.73</v>
      </c>
      <c r="M10" s="27">
        <f>股权价值增加表!M8</f>
        <v>36895751.240000002</v>
      </c>
      <c r="N10" s="27">
        <f>股权价值增加表!N8</f>
        <v>24014504.899999999</v>
      </c>
      <c r="O10" s="27">
        <f>股权价值增加表!O8</f>
        <v>12676136.92</v>
      </c>
      <c r="P10" s="27">
        <f>股权价值增加表!P8</f>
        <v>6493513.25</v>
      </c>
      <c r="Q10" s="27">
        <f>股权价值增加表!Q8</f>
        <v>21959269.190000001</v>
      </c>
      <c r="R10" s="27">
        <f>股权价值增加表!R8</f>
        <v>18739175.539999999</v>
      </c>
      <c r="S10" s="27">
        <f>股权价值增加表!S8</f>
        <v>13935854.970000001</v>
      </c>
      <c r="T10" s="27">
        <f>股权价值增加表!T8</f>
        <v>6826486.5099999998</v>
      </c>
      <c r="U10" s="27">
        <f>股权价值增加表!U8</f>
        <v>17120043.030000001</v>
      </c>
      <c r="V10" s="27">
        <f>股权价值增加表!V8</f>
        <v>12594479.880000001</v>
      </c>
      <c r="W10" s="27">
        <f>股权价值增加表!W8</f>
        <v>8678637.1699999999</v>
      </c>
      <c r="X10" s="27">
        <f>股权价值增加表!X8</f>
        <v>3769022.05</v>
      </c>
      <c r="Y10" s="27">
        <f>股权价值增加表!Y8</f>
        <v>13336172.279999999</v>
      </c>
      <c r="Z10" s="27">
        <f>股权价值增加表!Z8</f>
        <v>9665778.0899999999</v>
      </c>
      <c r="AA10" s="27">
        <f>股权价值增加表!AA8</f>
        <v>6410557.4199999999</v>
      </c>
      <c r="AB10" s="27">
        <f>股权价值增加表!AB8</f>
        <v>2911324.51</v>
      </c>
      <c r="AC10" s="27">
        <f>股权价值增加表!AC8</f>
        <v>3353912.79</v>
      </c>
      <c r="AD10" s="27">
        <f>股权价值增加表!AD8</f>
        <v>2210431.5</v>
      </c>
      <c r="AE10" s="27">
        <f>股权价值增加表!AE8</f>
        <v>1193724.8799999999</v>
      </c>
      <c r="AF10" s="27">
        <f>股权价值增加表!AF8</f>
        <v>126479.66</v>
      </c>
      <c r="AG10" s="27">
        <f>股权价值增加表!AG8</f>
        <v>383156.72</v>
      </c>
      <c r="AH10" s="27">
        <f>股权价值增加表!AH8</f>
        <v>163679.24</v>
      </c>
      <c r="AI10" s="27">
        <f>股权价值增加表!AI8</f>
        <v>38125</v>
      </c>
      <c r="AJ10" s="27">
        <f>股权价值增加表!AJ8</f>
        <v>20624.990000000002</v>
      </c>
      <c r="AK10" s="27">
        <f>股权价值增加表!AK8</f>
        <v>70000</v>
      </c>
      <c r="AL10" s="27">
        <f>股权价值增加表!AL8</f>
        <v>52499.99</v>
      </c>
      <c r="AM10" s="27">
        <f>股权价值增加表!AM8</f>
        <v>39583.33</v>
      </c>
      <c r="AN10" s="27">
        <f>股权价值增加表!AN8</f>
        <v>70000</v>
      </c>
      <c r="AO10" s="27">
        <f>股权价值增加表!AO8</f>
        <v>70000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359</v>
      </c>
      <c r="E11" s="57">
        <f>E10/E2</f>
        <v>8.5051916122202767E-3</v>
      </c>
      <c r="F11" s="57">
        <f t="shared" ref="F11:BQ11" si="11">F10/F2</f>
        <v>7.6071845304214597E-3</v>
      </c>
      <c r="G11" s="57">
        <f t="shared" si="11"/>
        <v>7.2554172111885216E-3</v>
      </c>
      <c r="H11" s="57">
        <f t="shared" si="11"/>
        <v>7.189324378836323E-3</v>
      </c>
      <c r="I11" s="57">
        <f t="shared" si="11"/>
        <v>8.9043682349936384E-3</v>
      </c>
      <c r="J11" s="57">
        <f t="shared" si="11"/>
        <v>4.3328511839785333E-3</v>
      </c>
      <c r="K11" s="57">
        <f t="shared" si="11"/>
        <v>4.3923095231794395E-3</v>
      </c>
      <c r="L11" s="57">
        <f t="shared" si="11"/>
        <v>5.0935588119507477E-3</v>
      </c>
      <c r="M11" s="57">
        <f t="shared" si="11"/>
        <v>4.9462244754882893E-3</v>
      </c>
      <c r="N11" s="57">
        <f t="shared" si="11"/>
        <v>4.6049639119200535E-3</v>
      </c>
      <c r="O11" s="57">
        <f t="shared" si="11"/>
        <v>3.8399432292135494E-3</v>
      </c>
      <c r="P11" s="57">
        <f t="shared" si="11"/>
        <v>4.3279864847621972E-3</v>
      </c>
      <c r="Q11" s="57">
        <f t="shared" si="11"/>
        <v>4.216375240136341E-3</v>
      </c>
      <c r="R11" s="57">
        <f t="shared" si="11"/>
        <v>5.1303828219151498E-3</v>
      </c>
      <c r="S11" s="57">
        <f t="shared" si="11"/>
        <v>5.7486142080990571E-3</v>
      </c>
      <c r="T11" s="57">
        <f t="shared" si="11"/>
        <v>5.5898579580903182E-3</v>
      </c>
      <c r="U11" s="57">
        <f t="shared" si="11"/>
        <v>5.3622427669494472E-3</v>
      </c>
      <c r="V11" s="57">
        <f t="shared" si="11"/>
        <v>5.5240663814973539E-3</v>
      </c>
      <c r="W11" s="57">
        <f t="shared" si="11"/>
        <v>5.7478514939384127E-3</v>
      </c>
      <c r="X11" s="57">
        <f t="shared" si="11"/>
        <v>5.7482408172613826E-3</v>
      </c>
      <c r="Y11" s="57">
        <f t="shared" si="11"/>
        <v>5.9679737329381187E-3</v>
      </c>
      <c r="Z11" s="57">
        <f t="shared" si="11"/>
        <v>6.6235566931659015E-3</v>
      </c>
      <c r="AA11" s="57">
        <f t="shared" si="11"/>
        <v>6.6662560736165076E-3</v>
      </c>
      <c r="AB11" s="57">
        <f t="shared" si="11"/>
        <v>7.1439559328938668E-3</v>
      </c>
      <c r="AC11" s="57">
        <f t="shared" si="11"/>
        <v>2.1978152763723518E-3</v>
      </c>
      <c r="AD11" s="57">
        <f t="shared" si="11"/>
        <v>2.0116187836166613E-3</v>
      </c>
      <c r="AE11" s="57">
        <f t="shared" si="11"/>
        <v>1.8438871635550423E-3</v>
      </c>
      <c r="AF11" s="57">
        <f t="shared" si="11"/>
        <v>5.3223286669080159E-4</v>
      </c>
      <c r="AG11" s="57">
        <f t="shared" si="11"/>
        <v>7.3093453261765932E-4</v>
      </c>
      <c r="AH11" s="57">
        <f t="shared" si="11"/>
        <v>4.3071201567190304E-4</v>
      </c>
      <c r="AI11" s="57">
        <f t="shared" si="11"/>
        <v>1.7061266653544278E-4</v>
      </c>
      <c r="AJ11" s="57">
        <f t="shared" si="11"/>
        <v>2.3158157651954461E-4</v>
      </c>
      <c r="AK11" s="57">
        <f t="shared" si="11"/>
        <v>1.9209698047541253E-4</v>
      </c>
      <c r="AL11" s="57">
        <f t="shared" si="11"/>
        <v>2.2589743000257651E-4</v>
      </c>
      <c r="AM11" s="57">
        <f t="shared" si="11"/>
        <v>2.9498515522106945E-4</v>
      </c>
      <c r="AN11" s="57">
        <f t="shared" si="11"/>
        <v>2.6956569052161893E-4</v>
      </c>
      <c r="AO11" s="57">
        <f t="shared" si="11"/>
        <v>4.2700264310835759E-4</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28" t="s">
        <v>360</v>
      </c>
      <c r="E12" s="27">
        <f>股权价值增加表!E9</f>
        <v>336178911.95999998</v>
      </c>
      <c r="F12" s="27">
        <f>股权价值增加表!F9</f>
        <v>216761710.46000001</v>
      </c>
      <c r="G12" s="27">
        <f>股权价值增加表!G9</f>
        <v>136774629.74000001</v>
      </c>
      <c r="H12" s="27">
        <f>股权价值增加表!H9</f>
        <v>62716184.32</v>
      </c>
      <c r="I12" s="27">
        <f>股权价值增加表!I9</f>
        <v>240027139.16999999</v>
      </c>
      <c r="J12" s="27">
        <f>股权价值增加表!J9</f>
        <v>165889017.03</v>
      </c>
      <c r="K12" s="27">
        <f>股权价值增加表!K9</f>
        <v>103318327.73999999</v>
      </c>
      <c r="L12" s="27">
        <f>股权价值增加表!L9</f>
        <v>49076483.280000001</v>
      </c>
      <c r="M12" s="27">
        <f>股权价值增加表!M9</f>
        <v>163772435.83000001</v>
      </c>
      <c r="N12" s="27">
        <f>股权价值增加表!N9</f>
        <v>106216784.86</v>
      </c>
      <c r="O12" s="27">
        <f>股权价值增加表!O9</f>
        <v>59753480.030000001</v>
      </c>
      <c r="P12" s="27">
        <f>股权价值增加表!P9</f>
        <v>26202237.870000001</v>
      </c>
      <c r="Q12" s="27">
        <f>股权价值增加表!Q9</f>
        <v>98523376.540000007</v>
      </c>
      <c r="R12" s="27">
        <f>股权价值增加表!R9</f>
        <v>55933899.460000001</v>
      </c>
      <c r="S12" s="27">
        <f>股权价值增加表!S9</f>
        <v>33359104.34</v>
      </c>
      <c r="T12" s="27">
        <f>股权价值增加表!T9</f>
        <v>20531440.43</v>
      </c>
      <c r="U12" s="27">
        <f>股权价值增加表!U9</f>
        <v>54142695.109999999</v>
      </c>
      <c r="V12" s="27">
        <f>股权价值增加表!V9</f>
        <v>43221231.140000001</v>
      </c>
      <c r="W12" s="27">
        <f>股权价值增加表!W9</f>
        <v>20653168.32</v>
      </c>
      <c r="X12" s="27">
        <f>股权价值增加表!X9</f>
        <v>9120554.3800000008</v>
      </c>
      <c r="Y12" s="27">
        <f>股权价值增加表!Y9</f>
        <v>41348603.899999999</v>
      </c>
      <c r="Z12" s="27">
        <f>股权价值增加表!Z9</f>
        <v>23995136.379999999</v>
      </c>
      <c r="AA12" s="27">
        <f>股权价值增加表!AA9</f>
        <v>15763913.140000001</v>
      </c>
      <c r="AB12" s="27">
        <f>股权价值增加表!AB9</f>
        <v>9093100.9399999995</v>
      </c>
      <c r="AC12" s="27">
        <f>股权价值增加表!AC9</f>
        <v>24868725.66</v>
      </c>
      <c r="AD12" s="27">
        <f>股权价值增加表!AD9</f>
        <v>17757420.539999999</v>
      </c>
      <c r="AE12" s="27">
        <f>股权价值增加表!AE9</f>
        <v>10865803.09</v>
      </c>
      <c r="AF12" s="27">
        <f>股权价值增加表!AF9</f>
        <v>4694530.93</v>
      </c>
      <c r="AG12" s="27">
        <f>股权价值增加表!AG9</f>
        <v>16105280.189999999</v>
      </c>
      <c r="AH12" s="27">
        <f>股权价值增加表!AH9</f>
        <v>12087930.18</v>
      </c>
      <c r="AI12" s="27">
        <f>股权价值增加表!AI9</f>
        <v>7820526.9199999999</v>
      </c>
      <c r="AJ12" s="27">
        <f>股权价值增加表!AJ9</f>
        <v>2867851.13</v>
      </c>
      <c r="AK12" s="27">
        <f>股权价值增加表!AK9</f>
        <v>10127758.24</v>
      </c>
      <c r="AL12" s="27">
        <f>股权价值增加表!AL9</f>
        <v>5490233.4199999999</v>
      </c>
      <c r="AM12" s="27">
        <f>股权价值增加表!AM9</f>
        <v>3153390.14</v>
      </c>
      <c r="AN12" s="27">
        <f>股权价值增加表!AN9</f>
        <v>9445406.2799999993</v>
      </c>
      <c r="AO12" s="27">
        <f>股权价值增加表!AO9</f>
        <v>5025537.62</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361</v>
      </c>
      <c r="E13" s="57">
        <f>E12/E2</f>
        <v>2.8516143485242122E-2</v>
      </c>
      <c r="F13" s="57">
        <f t="shared" ref="F13:BQ13" si="13">F12/F2</f>
        <v>2.2936215093191208E-2</v>
      </c>
      <c r="G13" s="57">
        <f t="shared" si="13"/>
        <v>2.2604553733028589E-2</v>
      </c>
      <c r="H13" s="57">
        <f t="shared" si="13"/>
        <v>2.3226141950440825E-2</v>
      </c>
      <c r="I13" s="57">
        <f t="shared" si="13"/>
        <v>2.5997363197044068E-2</v>
      </c>
      <c r="J13" s="57">
        <f t="shared" si="13"/>
        <v>2.3178831671785929E-2</v>
      </c>
      <c r="K13" s="57">
        <f t="shared" si="13"/>
        <v>2.2963844883400114E-2</v>
      </c>
      <c r="L13" s="57">
        <f t="shared" si="13"/>
        <v>2.4445363514569503E-2</v>
      </c>
      <c r="M13" s="57">
        <f t="shared" si="13"/>
        <v>2.1955244256809482E-2</v>
      </c>
      <c r="N13" s="57">
        <f t="shared" si="13"/>
        <v>2.0367876129750082E-2</v>
      </c>
      <c r="O13" s="57">
        <f t="shared" si="13"/>
        <v>1.810093820469285E-2</v>
      </c>
      <c r="P13" s="57">
        <f t="shared" si="13"/>
        <v>1.7464033259943564E-2</v>
      </c>
      <c r="Q13" s="57">
        <f t="shared" si="13"/>
        <v>1.8917365683875274E-2</v>
      </c>
      <c r="R13" s="57">
        <f t="shared" si="13"/>
        <v>1.5313497455625687E-2</v>
      </c>
      <c r="S13" s="57">
        <f t="shared" si="13"/>
        <v>1.3760807757486507E-2</v>
      </c>
      <c r="T13" s="57">
        <f t="shared" si="13"/>
        <v>1.6812138354125716E-2</v>
      </c>
      <c r="U13" s="57">
        <f t="shared" si="13"/>
        <v>1.6958267845939325E-2</v>
      </c>
      <c r="V13" s="57">
        <f t="shared" si="13"/>
        <v>1.8957269548427001E-2</v>
      </c>
      <c r="W13" s="57">
        <f t="shared" si="13"/>
        <v>1.3678569809673644E-2</v>
      </c>
      <c r="X13" s="57">
        <f t="shared" si="13"/>
        <v>1.3910012270468964E-2</v>
      </c>
      <c r="Y13" s="57">
        <f t="shared" si="13"/>
        <v>1.8503613839702338E-2</v>
      </c>
      <c r="Z13" s="57">
        <f t="shared" si="13"/>
        <v>1.6442871406038832E-2</v>
      </c>
      <c r="AA13" s="57">
        <f t="shared" si="13"/>
        <v>1.6392690187226819E-2</v>
      </c>
      <c r="AB13" s="57">
        <f t="shared" si="13"/>
        <v>2.2313112875457432E-2</v>
      </c>
      <c r="AC13" s="57">
        <f t="shared" si="13"/>
        <v>1.6296447934611054E-2</v>
      </c>
      <c r="AD13" s="57">
        <f t="shared" si="13"/>
        <v>1.6160265860690238E-2</v>
      </c>
      <c r="AE13" s="57">
        <f t="shared" si="13"/>
        <v>1.6783862994769545E-2</v>
      </c>
      <c r="AF13" s="57">
        <f t="shared" si="13"/>
        <v>1.9754825832410797E-2</v>
      </c>
      <c r="AG13" s="57">
        <f t="shared" si="13"/>
        <v>3.0723473800365806E-2</v>
      </c>
      <c r="AH13" s="57">
        <f t="shared" si="13"/>
        <v>3.1808656816399133E-2</v>
      </c>
      <c r="AI13" s="57">
        <f t="shared" si="13"/>
        <v>3.4997533154974773E-2</v>
      </c>
      <c r="AJ13" s="57">
        <f t="shared" si="13"/>
        <v>3.2200814929304565E-2</v>
      </c>
      <c r="AK13" s="57">
        <f t="shared" si="13"/>
        <v>2.7793025384128263E-2</v>
      </c>
      <c r="AL13" s="57">
        <f t="shared" si="13"/>
        <v>2.3623425827171706E-2</v>
      </c>
      <c r="AM13" s="57">
        <f t="shared" si="13"/>
        <v>2.3499874313770215E-2</v>
      </c>
      <c r="AN13" s="57">
        <f t="shared" si="13"/>
        <v>3.6373678087506231E-2</v>
      </c>
      <c r="AO13" s="57">
        <f t="shared" si="13"/>
        <v>3.065596923972121E-2</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28" t="s">
        <v>362</v>
      </c>
      <c r="E14" s="26">
        <f>股权价值增加表!E10</f>
        <v>864322891.36000001</v>
      </c>
      <c r="F14" s="26">
        <f>股权价值增加表!F10</f>
        <v>647843606.34000003</v>
      </c>
      <c r="G14" s="26">
        <f>股权价值增加表!G10</f>
        <v>395468876.64999998</v>
      </c>
      <c r="H14" s="26">
        <f>股权价值增加表!H10</f>
        <v>210178031.81999999</v>
      </c>
      <c r="I14" s="26">
        <f>股权价值增加表!I10</f>
        <v>775920767.91999996</v>
      </c>
      <c r="J14" s="26">
        <f>股权价值增加表!J10</f>
        <v>545472048.75</v>
      </c>
      <c r="K14" s="26">
        <f>股权价值增加表!K10</f>
        <v>323161162.76999998</v>
      </c>
      <c r="L14" s="26">
        <f>股权价值增加表!L10</f>
        <v>149319545.38999999</v>
      </c>
      <c r="M14" s="26">
        <f>股权价值增加表!M10</f>
        <v>570279932.17999995</v>
      </c>
      <c r="N14" s="26">
        <f>股权价值增加表!N10</f>
        <v>401645141.57999998</v>
      </c>
      <c r="O14" s="26">
        <f>股权价值增加表!O10</f>
        <v>240493510.53</v>
      </c>
      <c r="P14" s="26">
        <f>股权价值增加表!P10</f>
        <v>111896340.84</v>
      </c>
      <c r="Q14" s="26">
        <f>股权价值增加表!Q10</f>
        <v>399825261.04000002</v>
      </c>
      <c r="R14" s="26">
        <f>股权价值增加表!R10</f>
        <v>296797842.14999998</v>
      </c>
      <c r="S14" s="26">
        <f>股权价值增加表!S10</f>
        <v>215498347.09</v>
      </c>
      <c r="T14" s="26">
        <f>股权价值增加表!T10</f>
        <v>101043686.04000001</v>
      </c>
      <c r="U14" s="26">
        <f>股权价值增加表!U10</f>
        <v>216663155.28999999</v>
      </c>
      <c r="V14" s="26">
        <f>股权价值增加表!V10</f>
        <v>147046704.65000001</v>
      </c>
      <c r="W14" s="26">
        <f>股权价值增加表!W10</f>
        <v>88810181.090000004</v>
      </c>
      <c r="X14" s="26">
        <f>股权价值增加表!X10</f>
        <v>38629243.079999998</v>
      </c>
      <c r="Y14" s="26">
        <f>股权价值增加表!Y10</f>
        <v>111782174.23999999</v>
      </c>
      <c r="Z14" s="26">
        <f>股权价值增加表!Z10</f>
        <v>64909456.659999996</v>
      </c>
      <c r="AA14" s="26">
        <f>股权价值增加表!AA10</f>
        <v>43108593.020000003</v>
      </c>
      <c r="AB14" s="26">
        <f>股权价值增加表!AB10</f>
        <v>22326863.969999999</v>
      </c>
      <c r="AC14" s="26">
        <f>股权价值增加表!AC10</f>
        <v>64800429.969999999</v>
      </c>
      <c r="AD14" s="26">
        <f>股权价值增加表!AD10</f>
        <v>33300997.690000001</v>
      </c>
      <c r="AE14" s="26">
        <f>股权价值增加表!AE10</f>
        <v>21493699.539999999</v>
      </c>
      <c r="AF14" s="26">
        <f>股权价值增加表!AF10</f>
        <v>9027430.5999999996</v>
      </c>
      <c r="AG14" s="26">
        <f>股权价值增加表!AG10</f>
        <v>28842589.41</v>
      </c>
      <c r="AH14" s="26">
        <f>股权价值增加表!AH10</f>
        <v>13215030.960000001</v>
      </c>
      <c r="AI14" s="26">
        <f>股权价值增加表!AI10</f>
        <v>8595455.2100000009</v>
      </c>
      <c r="AJ14" s="26">
        <f>股权价值增加表!AJ10</f>
        <v>4419985.05</v>
      </c>
      <c r="AK14" s="26">
        <f>股权价值增加表!AK10</f>
        <v>15234670.18</v>
      </c>
      <c r="AL14" s="26">
        <f>股权价值增加表!AL10</f>
        <v>9367403.0800000001</v>
      </c>
      <c r="AM14" s="26">
        <f>股权价值增加表!AM10</f>
        <v>5300378.41</v>
      </c>
      <c r="AN14" s="26">
        <f>股权价值增加表!AN10</f>
        <v>7973823.1600000001</v>
      </c>
      <c r="AO14" s="26">
        <f>股权价值增加表!AO10</f>
        <v>5128016.9400000004</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363</v>
      </c>
      <c r="E15" s="57">
        <f>E14/E2</f>
        <v>7.3315590927171909E-2</v>
      </c>
      <c r="F15" s="57">
        <f t="shared" ref="F15:BQ15" si="15">F14/F2</f>
        <v>6.8550300097880726E-2</v>
      </c>
      <c r="G15" s="57">
        <f t="shared" si="15"/>
        <v>6.5358593834021803E-2</v>
      </c>
      <c r="H15" s="57">
        <f t="shared" si="15"/>
        <v>7.7836763426292394E-2</v>
      </c>
      <c r="I15" s="57">
        <f t="shared" si="15"/>
        <v>8.4040055160007426E-2</v>
      </c>
      <c r="J15" s="57">
        <f t="shared" si="15"/>
        <v>7.6216045076413816E-2</v>
      </c>
      <c r="K15" s="57">
        <f t="shared" si="15"/>
        <v>7.1826780170740456E-2</v>
      </c>
      <c r="L15" s="57">
        <f t="shared" si="15"/>
        <v>7.4377182775367159E-2</v>
      </c>
      <c r="M15" s="57">
        <f t="shared" si="15"/>
        <v>7.6451419570784093E-2</v>
      </c>
      <c r="N15" s="57">
        <f t="shared" si="15"/>
        <v>7.7018509857928436E-2</v>
      </c>
      <c r="O15" s="57">
        <f t="shared" si="15"/>
        <v>7.2851960597903595E-2</v>
      </c>
      <c r="P15" s="57">
        <f t="shared" si="15"/>
        <v>7.4579943430447951E-2</v>
      </c>
      <c r="Q15" s="57">
        <f t="shared" si="15"/>
        <v>7.6770010715921516E-2</v>
      </c>
      <c r="R15" s="57">
        <f t="shared" si="15"/>
        <v>8.1256859337144785E-2</v>
      </c>
      <c r="S15" s="57">
        <f t="shared" si="15"/>
        <v>8.8894212990179813E-2</v>
      </c>
      <c r="T15" s="57">
        <f t="shared" si="15"/>
        <v>8.2739466590621535E-2</v>
      </c>
      <c r="U15" s="57">
        <f t="shared" si="15"/>
        <v>6.786200451029166E-2</v>
      </c>
      <c r="V15" s="57">
        <f t="shared" si="15"/>
        <v>6.4496173355833381E-2</v>
      </c>
      <c r="W15" s="57">
        <f t="shared" si="15"/>
        <v>5.8818881588881718E-2</v>
      </c>
      <c r="X15" s="57">
        <f t="shared" si="15"/>
        <v>5.8914537741260445E-2</v>
      </c>
      <c r="Y15" s="57">
        <f t="shared" si="15"/>
        <v>5.0022830064627211E-2</v>
      </c>
      <c r="Z15" s="57">
        <f t="shared" si="15"/>
        <v>4.4479757563946412E-2</v>
      </c>
      <c r="AA15" s="57">
        <f t="shared" si="15"/>
        <v>4.4828070511945775E-2</v>
      </c>
      <c r="AB15" s="57">
        <f t="shared" si="15"/>
        <v>5.4786792668947724E-2</v>
      </c>
      <c r="AC15" s="57">
        <f t="shared" si="15"/>
        <v>4.2463648824799284E-2</v>
      </c>
      <c r="AD15" s="57">
        <f t="shared" si="15"/>
        <v>3.0305807923194657E-2</v>
      </c>
      <c r="AE15" s="57">
        <f t="shared" si="15"/>
        <v>3.3200243492549908E-2</v>
      </c>
      <c r="AF15" s="57">
        <f t="shared" si="15"/>
        <v>3.7987888859681171E-2</v>
      </c>
      <c r="AG15" s="57">
        <f t="shared" si="15"/>
        <v>5.5021988417380235E-2</v>
      </c>
      <c r="AH15" s="57">
        <f t="shared" si="15"/>
        <v>3.4774554317017876E-2</v>
      </c>
      <c r="AI15" s="57">
        <f t="shared" si="15"/>
        <v>3.8465404156434478E-2</v>
      </c>
      <c r="AJ15" s="57">
        <f t="shared" si="15"/>
        <v>4.9628489811234723E-2</v>
      </c>
      <c r="AK15" s="57">
        <f t="shared" si="15"/>
        <v>4.1807630573097276E-2</v>
      </c>
      <c r="AL15" s="57">
        <f t="shared" si="15"/>
        <v>4.0306146373936827E-2</v>
      </c>
      <c r="AM15" s="57">
        <f t="shared" si="15"/>
        <v>3.9499783065352394E-2</v>
      </c>
      <c r="AN15" s="57">
        <f t="shared" si="15"/>
        <v>3.0706702088895397E-2</v>
      </c>
      <c r="AO15" s="57">
        <f t="shared" si="15"/>
        <v>3.1281096961206172E-2</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28" t="s">
        <v>364</v>
      </c>
      <c r="E16" s="26">
        <f>股权价值增加表!E11</f>
        <v>29956438.440000001</v>
      </c>
      <c r="F16" s="26">
        <f>股权价值增加表!F11</f>
        <v>6312006.3799999999</v>
      </c>
      <c r="G16" s="26">
        <f>股权价值增加表!G11</f>
        <v>-25400189.350000001</v>
      </c>
      <c r="H16" s="26">
        <f>股权价值增加表!H11</f>
        <v>-21615838.510000002</v>
      </c>
      <c r="I16" s="26">
        <f>股权价值增加表!I11</f>
        <v>164488091.91</v>
      </c>
      <c r="J16" s="26">
        <f>股权价值增加表!J11</f>
        <v>76984314.400000006</v>
      </c>
      <c r="K16" s="26">
        <f>股权价值增加表!K11</f>
        <v>48314025.810000002</v>
      </c>
      <c r="L16" s="26">
        <f>股权价值增加表!L11</f>
        <v>6454043.5800000001</v>
      </c>
      <c r="M16" s="26">
        <f>股权价值增加表!M11</f>
        <v>71429859.040000007</v>
      </c>
      <c r="N16" s="26">
        <f>股权价值增加表!N11</f>
        <v>54920771.630000003</v>
      </c>
      <c r="O16" s="26">
        <f>股权价值增加表!O11</f>
        <v>9965352.8900000006</v>
      </c>
      <c r="P16" s="26">
        <f>股权价值增加表!P11</f>
        <v>12076604.41</v>
      </c>
      <c r="Q16" s="26">
        <f>股权价值增加表!Q11</f>
        <v>78913357.269999996</v>
      </c>
      <c r="R16" s="26">
        <f>股权价值增加表!R11</f>
        <v>54490741.600000001</v>
      </c>
      <c r="S16" s="26">
        <f>股权价值增加表!S11</f>
        <v>28900364</v>
      </c>
      <c r="T16" s="26">
        <f>股权价值增加表!T11</f>
        <v>29422083.18</v>
      </c>
      <c r="U16" s="26">
        <f>股权价值增加表!U11</f>
        <v>8659917.5299999993</v>
      </c>
      <c r="V16" s="26">
        <f>股权价值增加表!V11</f>
        <v>7328970.8700000001</v>
      </c>
      <c r="W16" s="26">
        <f>股权价值增加表!W11</f>
        <v>1006110.68</v>
      </c>
      <c r="X16" s="26">
        <f>股权价值增加表!X11</f>
        <v>-592788.94999999995</v>
      </c>
      <c r="Y16" s="26">
        <f>股权价值增加表!Y11</f>
        <v>10385228.449999999</v>
      </c>
      <c r="Z16" s="26">
        <f>股权价值增加表!Z11</f>
        <v>7139853.0599999996</v>
      </c>
      <c r="AA16" s="26">
        <f>股权价值增加表!AA11</f>
        <v>6491154.3899999997</v>
      </c>
      <c r="AB16" s="26">
        <f>股权价值增加表!AB11</f>
        <v>3048868.9</v>
      </c>
      <c r="AC16" s="26">
        <f>股权价值增加表!AC11</f>
        <v>4212918.57</v>
      </c>
      <c r="AD16" s="26">
        <f>股权价值增加表!AD11</f>
        <v>2871057.36</v>
      </c>
      <c r="AE16" s="26">
        <f>股权价值增加表!AE11</f>
        <v>2062712.44</v>
      </c>
      <c r="AF16" s="26">
        <f>股权价值增加表!AF11</f>
        <v>986267</v>
      </c>
      <c r="AG16" s="26">
        <f>股权价值增加表!AG11</f>
        <v>715772.4</v>
      </c>
      <c r="AH16" s="26">
        <f>股权价值增加表!AH11</f>
        <v>1531750.61</v>
      </c>
      <c r="AI16" s="26">
        <f>股权价值增加表!AI11</f>
        <v>814137.39</v>
      </c>
      <c r="AJ16" s="26">
        <f>股权价值增加表!AJ11</f>
        <v>355736.02</v>
      </c>
      <c r="AK16" s="26">
        <f>股权价值增加表!AK11</f>
        <v>994588.04</v>
      </c>
      <c r="AL16" s="26">
        <f>股权价值增加表!AL11</f>
        <v>1834306.35</v>
      </c>
      <c r="AM16" s="26">
        <f>股权价值增加表!AM11</f>
        <v>880368.15</v>
      </c>
      <c r="AN16" s="26">
        <f>股权价值增加表!AN11</f>
        <v>372501.82</v>
      </c>
      <c r="AO16" s="26">
        <f>股权价值增加表!AO11</f>
        <v>-699916.22</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668</v>
      </c>
      <c r="E17" s="57">
        <f>E16/E2</f>
        <v>2.5410341531580186E-3</v>
      </c>
      <c r="F17" s="57">
        <f t="shared" ref="F17:BQ17" si="17">F16/F2</f>
        <v>6.6789257057459377E-4</v>
      </c>
      <c r="G17" s="57">
        <f t="shared" si="17"/>
        <v>-4.1978541348100711E-3</v>
      </c>
      <c r="H17" s="57">
        <f t="shared" si="17"/>
        <v>-8.0051511273297009E-3</v>
      </c>
      <c r="I17" s="57">
        <f t="shared" si="17"/>
        <v>1.7815721512825945E-2</v>
      </c>
      <c r="J17" s="57">
        <f t="shared" si="17"/>
        <v>1.0756628116753184E-2</v>
      </c>
      <c r="K17" s="57">
        <f t="shared" si="17"/>
        <v>1.073842191082902E-2</v>
      </c>
      <c r="L17" s="57">
        <f t="shared" si="17"/>
        <v>3.2148073966878896E-3</v>
      </c>
      <c r="M17" s="57">
        <f t="shared" si="17"/>
        <v>9.5758483074683282E-3</v>
      </c>
      <c r="N17" s="57">
        <f t="shared" si="17"/>
        <v>1.0531475557131005E-2</v>
      </c>
      <c r="O17" s="57">
        <f t="shared" si="17"/>
        <v>3.0187737477262262E-3</v>
      </c>
      <c r="P17" s="57">
        <f t="shared" si="17"/>
        <v>8.0491682477585678E-3</v>
      </c>
      <c r="Q17" s="57">
        <f t="shared" si="17"/>
        <v>1.5152067349344291E-2</v>
      </c>
      <c r="R17" s="57">
        <f t="shared" si="17"/>
        <v>1.4918391903705775E-2</v>
      </c>
      <c r="S17" s="57">
        <f t="shared" si="17"/>
        <v>1.1921553680580135E-2</v>
      </c>
      <c r="T17" s="57">
        <f t="shared" si="17"/>
        <v>2.4092227468170635E-2</v>
      </c>
      <c r="U17" s="57">
        <f t="shared" si="17"/>
        <v>2.7124102466476812E-3</v>
      </c>
      <c r="V17" s="57">
        <f t="shared" si="17"/>
        <v>3.2145608218590773E-3</v>
      </c>
      <c r="W17" s="57">
        <f t="shared" si="17"/>
        <v>6.6634595522621588E-4</v>
      </c>
      <c r="X17" s="57">
        <f t="shared" si="17"/>
        <v>-9.040789873891868E-4</v>
      </c>
      <c r="Y17" s="57">
        <f t="shared" si="17"/>
        <v>4.6474182620683457E-3</v>
      </c>
      <c r="Z17" s="57">
        <f t="shared" si="17"/>
        <v>4.8926450704170933E-3</v>
      </c>
      <c r="AA17" s="57">
        <f t="shared" si="17"/>
        <v>6.750067824385848E-3</v>
      </c>
      <c r="AB17" s="57">
        <f t="shared" si="17"/>
        <v>7.4814693422034905E-3</v>
      </c>
      <c r="AC17" s="57">
        <f t="shared" si="17"/>
        <v>2.7607207971733706E-3</v>
      </c>
      <c r="AD17" s="57">
        <f t="shared" si="17"/>
        <v>2.6128260089565598E-3</v>
      </c>
      <c r="AE17" s="57">
        <f t="shared" si="17"/>
        <v>3.1861688182467144E-3</v>
      </c>
      <c r="AF17" s="57">
        <f t="shared" si="17"/>
        <v>4.1502618897974334E-3</v>
      </c>
      <c r="AG17" s="57">
        <f t="shared" si="17"/>
        <v>1.365453709528102E-3</v>
      </c>
      <c r="AH17" s="57">
        <f t="shared" si="17"/>
        <v>4.0307090425136822E-3</v>
      </c>
      <c r="AI17" s="57">
        <f t="shared" si="17"/>
        <v>3.6433351090912978E-3</v>
      </c>
      <c r="AJ17" s="57">
        <f t="shared" si="17"/>
        <v>3.994276280201263E-3</v>
      </c>
      <c r="AK17" s="57">
        <f t="shared" si="17"/>
        <v>2.7293908471565545E-3</v>
      </c>
      <c r="AL17" s="57">
        <f t="shared" si="17"/>
        <v>7.8926698900782001E-3</v>
      </c>
      <c r="AM17" s="57">
        <f t="shared" si="17"/>
        <v>6.5607298673314189E-3</v>
      </c>
      <c r="AN17" s="57">
        <f t="shared" si="17"/>
        <v>1.4344815761265688E-3</v>
      </c>
      <c r="AO17" s="57">
        <f t="shared" si="17"/>
        <v>-4.2695153699201524E-3</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28" t="s">
        <v>365</v>
      </c>
      <c r="E18" s="26">
        <f>股权价值增加表!E12</f>
        <v>-4241705.5999999996</v>
      </c>
      <c r="F18" s="26">
        <f>股权价值增加表!F12</f>
        <v>1204</v>
      </c>
      <c r="G18" s="26">
        <f>股权价值增加表!G12</f>
        <v>868</v>
      </c>
      <c r="H18" s="26">
        <f>股权价值增加表!H12</f>
        <v>644</v>
      </c>
      <c r="I18" s="26">
        <f>股权价值增加表!I12</f>
        <v>-30497795.780000001</v>
      </c>
      <c r="J18" s="26">
        <f>股权价值增加表!J12</f>
        <v>0</v>
      </c>
      <c r="K18" s="26">
        <f>股权价值增加表!K12</f>
        <v>0</v>
      </c>
      <c r="L18" s="26">
        <f>股权价值增加表!L12</f>
        <v>0</v>
      </c>
      <c r="M18" s="26">
        <f>股权价值增加表!M12</f>
        <v>-750050.89</v>
      </c>
      <c r="N18" s="26">
        <f>股权价值增加表!N12</f>
        <v>0</v>
      </c>
      <c r="O18" s="26">
        <f>股权价值增加表!O12</f>
        <v>0</v>
      </c>
      <c r="P18" s="26">
        <f>股权价值增加表!P12</f>
        <v>0</v>
      </c>
      <c r="Q18" s="26">
        <f>股权价值增加表!Q12</f>
        <v>-6615005.9699999997</v>
      </c>
      <c r="R18" s="26">
        <f>股权价值增加表!R12</f>
        <v>0</v>
      </c>
      <c r="S18" s="26">
        <f>股权价值增加表!S12</f>
        <v>0</v>
      </c>
      <c r="T18" s="26">
        <f>股权价值增加表!T12</f>
        <v>0</v>
      </c>
      <c r="U18" s="26">
        <f>股权价值增加表!U12</f>
        <v>-5869478</v>
      </c>
      <c r="V18" s="26">
        <f>股权价值增加表!V12</f>
        <v>0</v>
      </c>
      <c r="W18" s="26">
        <f>股权价值增加表!W12</f>
        <v>0</v>
      </c>
      <c r="X18" s="26">
        <f>股权价值增加表!X12</f>
        <v>0</v>
      </c>
      <c r="Y18" s="26">
        <f>股权价值增加表!Y12</f>
        <v>-12046824.75</v>
      </c>
      <c r="Z18" s="26">
        <f>股权价值增加表!Z12</f>
        <v>0</v>
      </c>
      <c r="AA18" s="26">
        <f>股权价值增加表!AA12</f>
        <v>0</v>
      </c>
      <c r="AB18" s="26">
        <f>股权价值增加表!AB12</f>
        <v>0</v>
      </c>
      <c r="AC18" s="26">
        <f>股权价值增加表!AC12</f>
        <v>-8254042.6900000004</v>
      </c>
      <c r="AD18" s="26">
        <f>股权价值增加表!AD12</f>
        <v>0</v>
      </c>
      <c r="AE18" s="26">
        <f>股权价值增加表!AE12</f>
        <v>0</v>
      </c>
      <c r="AF18" s="26">
        <f>股权价值增加表!AF12</f>
        <v>0</v>
      </c>
      <c r="AG18" s="26">
        <f>股权价值增加表!AG12</f>
        <v>-2922096.12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366</v>
      </c>
      <c r="E19" s="57">
        <f>E18/E2</f>
        <v>-3.5979974117516036E-4</v>
      </c>
      <c r="F19" s="57">
        <f t="shared" ref="F19:BQ19" si="19">F18/F2</f>
        <v>1.273988976816926E-7</v>
      </c>
      <c r="G19" s="57">
        <f t="shared" si="19"/>
        <v>1.4345315851021958E-7</v>
      </c>
      <c r="H19" s="57">
        <f t="shared" si="19"/>
        <v>2.3849721691875868E-7</v>
      </c>
      <c r="I19" s="57">
        <f t="shared" si="19"/>
        <v>-3.3032192790515688E-3</v>
      </c>
      <c r="J19" s="57">
        <f t="shared" si="19"/>
        <v>0</v>
      </c>
      <c r="K19" s="57">
        <f t="shared" si="19"/>
        <v>0</v>
      </c>
      <c r="L19" s="57">
        <f t="shared" si="19"/>
        <v>0</v>
      </c>
      <c r="M19" s="57">
        <f t="shared" si="19"/>
        <v>-1.005514170411502E-4</v>
      </c>
      <c r="N19" s="57">
        <f t="shared" si="19"/>
        <v>0</v>
      </c>
      <c r="O19" s="57">
        <f t="shared" si="19"/>
        <v>0</v>
      </c>
      <c r="P19" s="57">
        <f t="shared" si="19"/>
        <v>0</v>
      </c>
      <c r="Q19" s="57">
        <f t="shared" si="19"/>
        <v>-1.2701400553877939E-3</v>
      </c>
      <c r="R19" s="57">
        <f t="shared" si="19"/>
        <v>0</v>
      </c>
      <c r="S19" s="57">
        <f t="shared" si="19"/>
        <v>0</v>
      </c>
      <c r="T19" s="57">
        <f t="shared" si="19"/>
        <v>0</v>
      </c>
      <c r="U19" s="57">
        <f t="shared" si="19"/>
        <v>-1.8384046054158139E-3</v>
      </c>
      <c r="V19" s="57">
        <f t="shared" si="19"/>
        <v>0</v>
      </c>
      <c r="W19" s="57">
        <f t="shared" si="19"/>
        <v>0</v>
      </c>
      <c r="X19" s="57">
        <f t="shared" si="19"/>
        <v>0</v>
      </c>
      <c r="Y19" s="57">
        <f t="shared" si="19"/>
        <v>-5.3909871711186998E-3</v>
      </c>
      <c r="Z19" s="57">
        <f t="shared" si="19"/>
        <v>0</v>
      </c>
      <c r="AA19" s="57">
        <f t="shared" si="19"/>
        <v>0</v>
      </c>
      <c r="AB19" s="57">
        <f t="shared" si="19"/>
        <v>0</v>
      </c>
      <c r="AC19" s="57">
        <f t="shared" si="19"/>
        <v>-5.40886488462079E-3</v>
      </c>
      <c r="AD19" s="57">
        <f t="shared" si="19"/>
        <v>0</v>
      </c>
      <c r="AE19" s="57">
        <f t="shared" si="19"/>
        <v>0</v>
      </c>
      <c r="AF19" s="57">
        <f t="shared" si="19"/>
        <v>0</v>
      </c>
      <c r="AG19" s="57">
        <f t="shared" si="19"/>
        <v>-5.5743794908153406E-3</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28" t="s">
        <v>367</v>
      </c>
      <c r="E20" s="26">
        <f>股权价值增加表!E13-股权价值增加表!E14</f>
        <v>19446444.640000001</v>
      </c>
      <c r="F20" s="26">
        <f>股权价值增加表!F13-股权价值增加表!F14</f>
        <v>19124329.169999998</v>
      </c>
      <c r="G20" s="26">
        <f>股权价值增加表!G13-股权价值增加表!G14</f>
        <v>4256700.37</v>
      </c>
      <c r="H20" s="26">
        <f>股权价值增加表!H13-股权价值增加表!H14</f>
        <v>5795526.1299999999</v>
      </c>
      <c r="I20" s="26">
        <f>股权价值增加表!I13-股权价值增加表!I14</f>
        <v>34822957.450000003</v>
      </c>
      <c r="J20" s="26">
        <f>股权价值增加表!J13-股权价值增加表!J14</f>
        <v>21742666.150000002</v>
      </c>
      <c r="K20" s="26">
        <f>股权价值增加表!K13-股权价值增加表!K14</f>
        <v>2816819.2000000002</v>
      </c>
      <c r="L20" s="26">
        <f>股权价值增加表!L13-股权价值增加表!L14</f>
        <v>767063.12</v>
      </c>
      <c r="M20" s="26">
        <f>股权价值增加表!M13-股权价值增加表!M14</f>
        <v>10564975.470000001</v>
      </c>
      <c r="N20" s="26">
        <f>股权价值增加表!N13-股权价值增加表!N14</f>
        <v>6813182.1400000006</v>
      </c>
      <c r="O20" s="26">
        <f>股权价值增加表!O13-股权价值增加表!O14</f>
        <v>3909864.6100000003</v>
      </c>
      <c r="P20" s="26">
        <f>股权价值增加表!P13-股权价值增加表!P14</f>
        <v>790028.17999999993</v>
      </c>
      <c r="Q20" s="26">
        <f>股权价值增加表!Q13-股权价值增加表!Q14</f>
        <v>12880115.67</v>
      </c>
      <c r="R20" s="26">
        <f>股权价值增加表!R13-股权价值增加表!R14</f>
        <v>9921435.5299999993</v>
      </c>
      <c r="S20" s="26">
        <f>股权价值增加表!S13-股权价值增加表!S14</f>
        <v>9587788.5500000007</v>
      </c>
      <c r="T20" s="26">
        <f>股权价值增加表!T13-股权价值增加表!T14</f>
        <v>3009892.1999999997</v>
      </c>
      <c r="U20" s="26">
        <f>股权价值增加表!U13-股权价值增加表!U14</f>
        <v>9896921.4799999986</v>
      </c>
      <c r="V20" s="26">
        <f>股权价值增加表!V13-股权价值增加表!V14</f>
        <v>7547779.3099999996</v>
      </c>
      <c r="W20" s="26">
        <f>股权价值增加表!W13-股权价值增加表!W14</f>
        <v>978570.54</v>
      </c>
      <c r="X20" s="26">
        <f>股权价值增加表!X13-股权价值增加表!X14</f>
        <v>203872.66999999998</v>
      </c>
      <c r="Y20" s="26">
        <f>股权价值增加表!Y13-股权价值增加表!Y14</f>
        <v>12049044.17</v>
      </c>
      <c r="Z20" s="26">
        <f>股权价值增加表!Z13-股权价值增加表!Z14</f>
        <v>9098547.7999999989</v>
      </c>
      <c r="AA20" s="26">
        <f>股权价值增加表!AA13-股权价值增加表!AA14</f>
        <v>-2014.4799999999814</v>
      </c>
      <c r="AB20" s="26">
        <f>股权价值增加表!AB13-股权价值增加表!AB14</f>
        <v>143497.67000000001</v>
      </c>
      <c r="AC20" s="26">
        <f>股权价值增加表!AC13-股权价值增加表!AC14</f>
        <v>3079392.37</v>
      </c>
      <c r="AD20" s="26">
        <f>股权价值增加表!AD13-股权价值增加表!AD14</f>
        <v>595884.4</v>
      </c>
      <c r="AE20" s="26">
        <f>股权价值增加表!AE13-股权价值增加表!AE14</f>
        <v>594325.87</v>
      </c>
      <c r="AF20" s="26">
        <f>股权价值增加表!AF13-股权价值增加表!AF14</f>
        <v>486158.66</v>
      </c>
      <c r="AG20" s="26">
        <f>股权价值增加表!AG13-股权价值增加表!AG14</f>
        <v>4308996.8899999997</v>
      </c>
      <c r="AH20" s="26">
        <f>股权价值增加表!AH13-股权价值增加表!AH14</f>
        <v>980568.92</v>
      </c>
      <c r="AI20" s="26">
        <f>股权价值增加表!AI13-股权价值增加表!AI14</f>
        <v>224071.25</v>
      </c>
      <c r="AJ20" s="26">
        <f>股权价值增加表!AJ13-股权价值增加表!AJ14</f>
        <v>120346.69</v>
      </c>
      <c r="AK20" s="26">
        <f>股权价值增加表!AK13-股权价值增加表!AK14</f>
        <v>2810529.47</v>
      </c>
      <c r="AL20" s="26">
        <f>股权价值增加表!AL13-股权价值增加表!AL14</f>
        <v>215354.14</v>
      </c>
      <c r="AM20" s="26">
        <f>股权价值增加表!AM13-股权价值增加表!AM14</f>
        <v>-17000.86</v>
      </c>
      <c r="AN20" s="26">
        <f>股权价值增加表!AN13-股权价值增加表!AN14</f>
        <v>1315239.77</v>
      </c>
      <c r="AO20" s="26">
        <f>股权价值增加表!AO13-股权价值增加表!AO14</f>
        <v>144842.16</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368</v>
      </c>
      <c r="E21" s="57">
        <f>E20/E2</f>
        <v>1.6495312046760353E-3</v>
      </c>
      <c r="F21" s="57">
        <f t="shared" ref="F21:BQ21" si="21">F20/F2</f>
        <v>2.0236033680729559E-3</v>
      </c>
      <c r="G21" s="57">
        <f t="shared" si="21"/>
        <v>7.0349897800474695E-4</v>
      </c>
      <c r="H21" s="57">
        <f t="shared" si="21"/>
        <v>2.1462994605356274E-3</v>
      </c>
      <c r="I21" s="57">
        <f t="shared" si="21"/>
        <v>3.7716779675554786E-3</v>
      </c>
      <c r="J21" s="57">
        <f t="shared" si="21"/>
        <v>3.0379925555623021E-3</v>
      </c>
      <c r="K21" s="57">
        <f t="shared" si="21"/>
        <v>6.2607477867975805E-4</v>
      </c>
      <c r="L21" s="57">
        <f t="shared" si="21"/>
        <v>3.8207987927817649E-4</v>
      </c>
      <c r="M21" s="57">
        <f t="shared" si="21"/>
        <v>1.416334902973706E-3</v>
      </c>
      <c r="N21" s="57">
        <f t="shared" si="21"/>
        <v>1.3064794802427197E-3</v>
      </c>
      <c r="O21" s="57">
        <f t="shared" si="21"/>
        <v>1.1844032792532487E-3</v>
      </c>
      <c r="P21" s="57">
        <f t="shared" si="21"/>
        <v>5.2656107009888301E-4</v>
      </c>
      <c r="Q21" s="57">
        <f t="shared" si="21"/>
        <v>2.4730969109760291E-3</v>
      </c>
      <c r="R21" s="57">
        <f t="shared" si="21"/>
        <v>2.7162754467612311E-3</v>
      </c>
      <c r="S21" s="57">
        <f t="shared" si="21"/>
        <v>3.9550137111379153E-3</v>
      </c>
      <c r="T21" s="57">
        <f t="shared" si="21"/>
        <v>2.464645589281912E-3</v>
      </c>
      <c r="U21" s="57">
        <f t="shared" si="21"/>
        <v>3.09985760714508E-3</v>
      </c>
      <c r="V21" s="57">
        <f t="shared" si="21"/>
        <v>3.3105324188530357E-3</v>
      </c>
      <c r="W21" s="57">
        <f t="shared" si="21"/>
        <v>6.4810615193204579E-4</v>
      </c>
      <c r="X21" s="57">
        <f t="shared" si="21"/>
        <v>3.1093190426361664E-4</v>
      </c>
      <c r="Y21" s="57">
        <f t="shared" si="21"/>
        <v>5.3919803676659743E-3</v>
      </c>
      <c r="Z21" s="57">
        <f t="shared" si="21"/>
        <v>6.2348573097419291E-3</v>
      </c>
      <c r="AA21" s="57">
        <f t="shared" si="21"/>
        <v>-2.0948317993817858E-6</v>
      </c>
      <c r="AB21" s="57">
        <f t="shared" si="21"/>
        <v>3.5212187010816819E-4</v>
      </c>
      <c r="AC21" s="57">
        <f t="shared" si="21"/>
        <v>2.0179223541261079E-3</v>
      </c>
      <c r="AD21" s="57">
        <f t="shared" si="21"/>
        <v>5.4228880284421573E-4</v>
      </c>
      <c r="AE21" s="57">
        <f t="shared" si="21"/>
        <v>9.1802546886823953E-4</v>
      </c>
      <c r="AF21" s="57">
        <f t="shared" si="21"/>
        <v>2.0457804620787143E-3</v>
      </c>
      <c r="AG21" s="57">
        <f t="shared" si="21"/>
        <v>8.2201210717199411E-3</v>
      </c>
      <c r="AH21" s="57">
        <f t="shared" si="21"/>
        <v>2.5803077778123918E-3</v>
      </c>
      <c r="AI21" s="57">
        <f t="shared" si="21"/>
        <v>1.0027381890211104E-3</v>
      </c>
      <c r="AJ21" s="57">
        <f t="shared" si="21"/>
        <v>1.351277076939621E-3</v>
      </c>
      <c r="AK21" s="57">
        <f t="shared" si="21"/>
        <v>7.7127746389165936E-3</v>
      </c>
      <c r="AL21" s="57">
        <f t="shared" si="21"/>
        <v>9.2662773395604586E-4</v>
      </c>
      <c r="AM21" s="57">
        <f t="shared" si="21"/>
        <v>-1.266947810098764E-4</v>
      </c>
      <c r="AN21" s="57">
        <f t="shared" si="21"/>
        <v>5.0649073828792184E-3</v>
      </c>
      <c r="AO21" s="57">
        <f t="shared" si="21"/>
        <v>8.8354264505033754E-4</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c r="A22" s="46" t="s">
        <v>369</v>
      </c>
      <c r="E22" s="66">
        <f>E11+E13+E15+E17+E19+E21</f>
        <v>0.11416769164129321</v>
      </c>
      <c r="F22" s="66">
        <f t="shared" ref="F22:BQ22" si="23">F11+F13+F15+F17+F19+F21</f>
        <v>0.10178532305903863</v>
      </c>
      <c r="G22" s="66">
        <f t="shared" si="23"/>
        <v>9.1724353074592091E-2</v>
      </c>
      <c r="H22" s="66">
        <f t="shared" si="23"/>
        <v>0.10239361658599239</v>
      </c>
      <c r="I22" s="66">
        <f t="shared" si="23"/>
        <v>0.13722596679337501</v>
      </c>
      <c r="J22" s="66">
        <f t="shared" si="23"/>
        <v>0.11752234860449376</v>
      </c>
      <c r="K22" s="66">
        <f t="shared" si="23"/>
        <v>0.1105474312668288</v>
      </c>
      <c r="L22" s="66">
        <f t="shared" si="23"/>
        <v>0.10751299237785347</v>
      </c>
      <c r="M22" s="66">
        <f t="shared" si="23"/>
        <v>0.11424452009648274</v>
      </c>
      <c r="N22" s="66">
        <f t="shared" si="23"/>
        <v>0.1138293049369723</v>
      </c>
      <c r="O22" s="66">
        <f t="shared" si="23"/>
        <v>9.8996019058789464E-2</v>
      </c>
      <c r="P22" s="66">
        <f t="shared" si="23"/>
        <v>0.10494769249301117</v>
      </c>
      <c r="Q22" s="66">
        <f t="shared" si="23"/>
        <v>0.11625877584486566</v>
      </c>
      <c r="R22" s="66">
        <f t="shared" si="23"/>
        <v>0.11933540696515263</v>
      </c>
      <c r="S22" s="66">
        <f t="shared" si="23"/>
        <v>0.12428020234748344</v>
      </c>
      <c r="T22" s="66">
        <f t="shared" si="23"/>
        <v>0.13169833596029012</v>
      </c>
      <c r="U22" s="66">
        <f t="shared" si="23"/>
        <v>9.4156378371557381E-2</v>
      </c>
      <c r="V22" s="66">
        <f t="shared" si="23"/>
        <v>9.5502602526469846E-2</v>
      </c>
      <c r="W22" s="66">
        <f t="shared" si="23"/>
        <v>7.9559754999652038E-2</v>
      </c>
      <c r="X22" s="66">
        <f t="shared" si="23"/>
        <v>7.7979643745865232E-2</v>
      </c>
      <c r="Y22" s="66">
        <f t="shared" si="23"/>
        <v>7.9142829095883271E-2</v>
      </c>
      <c r="Z22" s="66">
        <f t="shared" si="23"/>
        <v>7.8673688043310167E-2</v>
      </c>
      <c r="AA22" s="66">
        <f t="shared" si="23"/>
        <v>7.4634989765375567E-2</v>
      </c>
      <c r="AB22" s="66">
        <f t="shared" si="23"/>
        <v>9.2077452689610678E-2</v>
      </c>
      <c r="AC22" s="66">
        <f t="shared" si="23"/>
        <v>6.0327690302461379E-2</v>
      </c>
      <c r="AD22" s="66">
        <f t="shared" si="23"/>
        <v>5.1632807379302335E-2</v>
      </c>
      <c r="AE22" s="66">
        <f t="shared" si="23"/>
        <v>5.5932187937989451E-2</v>
      </c>
      <c r="AF22" s="66">
        <f t="shared" si="23"/>
        <v>6.4470989910658916E-2</v>
      </c>
      <c r="AG22" s="66">
        <f t="shared" si="23"/>
        <v>9.0487592040796413E-2</v>
      </c>
      <c r="AH22" s="66">
        <f t="shared" si="23"/>
        <v>7.3624939969414979E-2</v>
      </c>
      <c r="AI22" s="66">
        <f t="shared" si="23"/>
        <v>7.82796232760571E-2</v>
      </c>
      <c r="AJ22" s="66">
        <f t="shared" si="23"/>
        <v>8.7406439674199712E-2</v>
      </c>
      <c r="AK22" s="66">
        <f t="shared" si="23"/>
        <v>8.0234918423774101E-2</v>
      </c>
      <c r="AL22" s="66">
        <f t="shared" si="23"/>
        <v>7.2974767255145359E-2</v>
      </c>
      <c r="AM22" s="66">
        <f t="shared" si="23"/>
        <v>6.9728677620665216E-2</v>
      </c>
      <c r="AN22" s="66">
        <f t="shared" si="23"/>
        <v>7.3849334825929036E-2</v>
      </c>
      <c r="AO22" s="66">
        <f t="shared" si="23"/>
        <v>5.8978096119165928E-2</v>
      </c>
      <c r="AP22" s="66" t="e">
        <f t="shared" si="23"/>
        <v>#DIV/0!</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c r="A23" s="128" t="s">
        <v>370</v>
      </c>
      <c r="E23" s="27">
        <f>股权价值增加表!E17</f>
        <v>2895640740.7403135</v>
      </c>
      <c r="F23" s="27">
        <f>股权价值增加表!F17</f>
        <v>2199157958.1671591</v>
      </c>
      <c r="G23" s="27">
        <f>股权价值增加表!G17</f>
        <v>1440519950.5604391</v>
      </c>
      <c r="H23" s="27">
        <f>股权价值增加表!H17</f>
        <v>603868931.67022407</v>
      </c>
      <c r="I23" s="27">
        <f>股权价值增加表!I17</f>
        <v>2170420442.7199483</v>
      </c>
      <c r="J23" s="27">
        <f>股权价值增加表!J17</f>
        <v>1588523086.0046282</v>
      </c>
      <c r="K23" s="27">
        <f>股权价值增加表!K17</f>
        <v>997199787.82955527</v>
      </c>
      <c r="L23" s="27">
        <f>股权价值增加表!L17</f>
        <v>472078020.98302275</v>
      </c>
      <c r="M23" s="27">
        <f>股权价值增加表!M17</f>
        <v>1667174527.8494534</v>
      </c>
      <c r="N23" s="27">
        <f>股权价值增加表!N17</f>
        <v>1197940093.6591291</v>
      </c>
      <c r="O23" s="27">
        <f>股权价值增加表!O17</f>
        <v>784054731.98885322</v>
      </c>
      <c r="P23" s="27">
        <f>股权价值增加表!P17</f>
        <v>349279570.24848139</v>
      </c>
      <c r="Q23" s="27">
        <f>股权价值增加表!Q17</f>
        <v>1228977512.7067084</v>
      </c>
      <c r="R23" s="27">
        <f>股权价值增加表!R17</f>
        <v>823621706.99424863</v>
      </c>
      <c r="S23" s="27">
        <f>股权价值增加表!S17</f>
        <v>530514901.83064175</v>
      </c>
      <c r="T23" s="27">
        <f>股权价值增加表!T17</f>
        <v>232913611.8370584</v>
      </c>
      <c r="U23" s="27">
        <f>股权价值增加表!U17</f>
        <v>784798657.65193367</v>
      </c>
      <c r="V23" s="27">
        <f>股权价值增加表!V17</f>
        <v>550724313.37269509</v>
      </c>
      <c r="W23" s="27">
        <f>股权价值增加表!W17</f>
        <v>341537359.51211429</v>
      </c>
      <c r="X23" s="27">
        <f>股权价值增加表!X17</f>
        <v>143594922.83197463</v>
      </c>
      <c r="Y23" s="27">
        <f>股权价值增加表!Y17</f>
        <v>480461609.58303815</v>
      </c>
      <c r="Z23" s="27">
        <f>股权价值增加表!Z17</f>
        <v>331610816.34425473</v>
      </c>
      <c r="AA23" s="27">
        <f>股权价值增加表!AA17</f>
        <v>199332363.01246962</v>
      </c>
      <c r="AB23" s="27">
        <f>股权价值增加表!AB17</f>
        <v>52893939.390150942</v>
      </c>
      <c r="AC23" s="27">
        <f>股权价值增加表!AC17</f>
        <v>166276584.61329266</v>
      </c>
      <c r="AD23" s="27">
        <f>股权价值增加表!AD17</f>
        <v>122186864.76886798</v>
      </c>
      <c r="AE23" s="27">
        <f>股权价值增加表!AE17</f>
        <v>66398807.081554115</v>
      </c>
      <c r="AF23" s="27">
        <f>股权价值增加表!AF17</f>
        <v>18236344.1524073</v>
      </c>
      <c r="AG23" s="27">
        <f>股权价值增加表!AG17</f>
        <v>83824253.852534905</v>
      </c>
      <c r="AH23" s="27">
        <f>股权价值增加表!AH17</f>
        <v>66845590.574733555</v>
      </c>
      <c r="AI23" s="27">
        <f>股权价值增加表!AI17</f>
        <v>37656389.672859192</v>
      </c>
      <c r="AJ23" s="27">
        <f>股权价值增加表!AJ17</f>
        <v>12537994.665248485</v>
      </c>
      <c r="AK23" s="27">
        <f>股权价值增加表!AK17</f>
        <v>56362577.982306108</v>
      </c>
      <c r="AL23" s="27">
        <f>股权价值增加表!AL17</f>
        <v>29818314.544419121</v>
      </c>
      <c r="AM23" s="27">
        <f>股权价值增加表!AM17</f>
        <v>16433501.291339435</v>
      </c>
      <c r="AN23" s="27">
        <f>股权价值增加表!AN17</f>
        <v>37297976.278349347</v>
      </c>
      <c r="AO23" s="27">
        <f>股权价值增加表!AO17</f>
        <v>24119683.6776172</v>
      </c>
      <c r="AP23" s="27" t="e">
        <f>股权价值增加表!AP17</f>
        <v>#DIV/0!</v>
      </c>
      <c r="AQ23" s="27">
        <f>股权价值增加表!AQ17</f>
        <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371</v>
      </c>
      <c r="E24" s="57">
        <f>E23/E2</f>
        <v>0.24562072130951626</v>
      </c>
      <c r="F24" s="57">
        <f t="shared" ref="F24:BQ24" si="25">F23/F2</f>
        <v>0.23269958446712449</v>
      </c>
      <c r="G24" s="57">
        <f t="shared" si="25"/>
        <v>0.23807273825447045</v>
      </c>
      <c r="H24" s="57">
        <f t="shared" si="25"/>
        <v>0.22363518569418087</v>
      </c>
      <c r="I24" s="57">
        <f t="shared" si="25"/>
        <v>0.23507845293992502</v>
      </c>
      <c r="J24" s="57">
        <f t="shared" si="25"/>
        <v>0.22195628062940728</v>
      </c>
      <c r="K24" s="57">
        <f t="shared" si="25"/>
        <v>0.22164064930574548</v>
      </c>
      <c r="L24" s="57">
        <f t="shared" si="25"/>
        <v>0.23514559436396032</v>
      </c>
      <c r="M24" s="57">
        <f t="shared" si="25"/>
        <v>0.2235005163851923</v>
      </c>
      <c r="N24" s="57">
        <f t="shared" si="25"/>
        <v>0.22971412164913793</v>
      </c>
      <c r="O24" s="57">
        <f t="shared" si="25"/>
        <v>0.23751129215740918</v>
      </c>
      <c r="P24" s="57">
        <f t="shared" si="25"/>
        <v>0.23279805572722528</v>
      </c>
      <c r="Q24" s="57">
        <f t="shared" si="25"/>
        <v>0.23597462695255161</v>
      </c>
      <c r="R24" s="57">
        <f t="shared" si="25"/>
        <v>0.22548989139357442</v>
      </c>
      <c r="S24" s="57">
        <f t="shared" si="25"/>
        <v>0.21884021531776199</v>
      </c>
      <c r="T24" s="57">
        <f t="shared" si="25"/>
        <v>0.19072095209852544</v>
      </c>
      <c r="U24" s="57">
        <f t="shared" si="25"/>
        <v>0.24581018389564857</v>
      </c>
      <c r="V24" s="57">
        <f t="shared" si="25"/>
        <v>0.2415532593613797</v>
      </c>
      <c r="W24" s="57">
        <f t="shared" si="25"/>
        <v>0.22619980345456556</v>
      </c>
      <c r="X24" s="57">
        <f t="shared" si="25"/>
        <v>0.21900062817999566</v>
      </c>
      <c r="Y24" s="57">
        <f t="shared" si="25"/>
        <v>0.21500789023075978</v>
      </c>
      <c r="Z24" s="57">
        <f t="shared" si="25"/>
        <v>0.22723913394986675</v>
      </c>
      <c r="AA24" s="57">
        <f t="shared" si="25"/>
        <v>0.20728315629067495</v>
      </c>
      <c r="AB24" s="57">
        <f t="shared" si="25"/>
        <v>0.12979383466956676</v>
      </c>
      <c r="AC24" s="57">
        <f t="shared" si="25"/>
        <v>0.10896085874854086</v>
      </c>
      <c r="AD24" s="57">
        <f t="shared" si="25"/>
        <v>0.1111970184465267</v>
      </c>
      <c r="AE24" s="57">
        <f t="shared" si="25"/>
        <v>0.10256291889722972</v>
      </c>
      <c r="AF24" s="57">
        <f t="shared" si="25"/>
        <v>7.6739467248692586E-2</v>
      </c>
      <c r="AG24" s="57">
        <f t="shared" si="25"/>
        <v>0.15990856642610007</v>
      </c>
      <c r="AH24" s="57">
        <f t="shared" si="25"/>
        <v>0.17590012670649166</v>
      </c>
      <c r="AI24" s="57">
        <f t="shared" si="25"/>
        <v>0.16851559486384829</v>
      </c>
      <c r="AJ24" s="57">
        <f t="shared" si="25"/>
        <v>0.14077915048549763</v>
      </c>
      <c r="AK24" s="57">
        <f t="shared" si="25"/>
        <v>0.1546725863172996</v>
      </c>
      <c r="AL24" s="57">
        <f t="shared" si="25"/>
        <v>0.1283025124879591</v>
      </c>
      <c r="AM24" s="57">
        <f t="shared" si="25"/>
        <v>0.12246667799933478</v>
      </c>
      <c r="AN24" s="57">
        <f t="shared" si="25"/>
        <v>0.14363221043617436</v>
      </c>
      <c r="AO24" s="57">
        <f t="shared" si="25"/>
        <v>0.14713098116114365</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c r="A25" s="283" t="s">
        <v>669</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4.25" thickBot="1">
      <c r="A26" s="150" t="s">
        <v>599</v>
      </c>
      <c r="B26" s="151"/>
      <c r="C26" s="151"/>
      <c r="D26" s="151"/>
      <c r="E26" s="152">
        <f>POWER(E2/Y2,1/6)-1</f>
        <v>0.31940835628914144</v>
      </c>
    </row>
    <row r="27" spans="1:89" s="26" customFormat="1">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39813</v>
      </c>
      <c r="AO27" s="1">
        <v>39447</v>
      </c>
      <c r="AP27" s="1">
        <v>25569</v>
      </c>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373</v>
      </c>
      <c r="E28" s="26">
        <f>股权价值增加表!E15</f>
        <v>3399601867.0100002</v>
      </c>
      <c r="F28" s="26">
        <f>股权价值增加表!F15</f>
        <v>2659939824.5599985</v>
      </c>
      <c r="G28" s="26">
        <f>股权价值增加表!G15</f>
        <v>1743932083.0699999</v>
      </c>
      <c r="H28" s="26">
        <f>股权价值增加表!H15</f>
        <v>750005325.28999984</v>
      </c>
      <c r="I28" s="26">
        <f>股权价值增加表!I15</f>
        <v>2537330692.1699986</v>
      </c>
      <c r="J28" s="26">
        <f>股权价值增加表!J15</f>
        <v>1872913234.9700003</v>
      </c>
      <c r="K28" s="26">
        <f>股权价值增加表!K15</f>
        <v>1186692140.7700002</v>
      </c>
      <c r="L28" s="26">
        <f>股权价值增加表!L15</f>
        <v>564948374.14999998</v>
      </c>
      <c r="M28" s="26">
        <f>股权价值增加表!M15</f>
        <v>1954271355.8799994</v>
      </c>
      <c r="N28" s="26">
        <f>股权价值增加表!N15</f>
        <v>1428367811.7999997</v>
      </c>
      <c r="O28" s="26">
        <f>股权价值增加表!O15</f>
        <v>935997108.87</v>
      </c>
      <c r="P28" s="26">
        <f>股权价值增加表!P15</f>
        <v>412466283.83999997</v>
      </c>
      <c r="Q28" s="26">
        <f>股权价值增加表!Q15</f>
        <v>1456660574.2599995</v>
      </c>
      <c r="R28" s="26">
        <f>股权价值增加表!R15</f>
        <v>974426680.81999993</v>
      </c>
      <c r="S28" s="26">
        <f>股权价值增加表!S15</f>
        <v>633707912.95000005</v>
      </c>
      <c r="T28" s="26">
        <f>股权价值增加表!T15</f>
        <v>292725039.82999998</v>
      </c>
      <c r="U28" s="26">
        <f>股权价值增加表!U15</f>
        <v>878937248.06999993</v>
      </c>
      <c r="V28" s="26">
        <f>股权价值增加表!V15</f>
        <v>645606885.39000022</v>
      </c>
      <c r="W28" s="26">
        <f>股权价值增加表!W15</f>
        <v>405395733.76000017</v>
      </c>
      <c r="X28" s="26">
        <f>股权价值增加表!X15</f>
        <v>171617854.71000001</v>
      </c>
      <c r="Y28" s="26">
        <f>股权价值增加表!Y15</f>
        <v>566129273.23000002</v>
      </c>
      <c r="Z28" s="26">
        <f>股权价值增加表!Z15</f>
        <v>393730964.58000004</v>
      </c>
      <c r="AA28" s="26">
        <f>股权价值增加表!AA15</f>
        <v>236464886.50000006</v>
      </c>
      <c r="AB28" s="26">
        <f>股权价值增加表!AB15</f>
        <v>74599783.590000018</v>
      </c>
      <c r="AC28" s="26">
        <f>股权价值增加表!AC15</f>
        <v>210151435.73000008</v>
      </c>
      <c r="AD28" s="26">
        <f>股权价值增加表!AD15</f>
        <v>151539117.89000005</v>
      </c>
      <c r="AE28" s="26">
        <f>股权价值增加表!AE15</f>
        <v>82149078.800000012</v>
      </c>
      <c r="AF28" s="26">
        <f>股权价值增加表!AF15</f>
        <v>22665692.430000011</v>
      </c>
      <c r="AG28" s="26">
        <f>股权价值增加表!AG15</f>
        <v>98451158.520000026</v>
      </c>
      <c r="AH28" s="26">
        <f>股权价值增加表!AH15</f>
        <v>78349967.760000035</v>
      </c>
      <c r="AI28" s="26">
        <f>股权价值增加表!AI15</f>
        <v>44554904.280000016</v>
      </c>
      <c r="AJ28" s="26">
        <f>股权价值增加表!AJ15</f>
        <v>14812146.809999995</v>
      </c>
      <c r="AK28" s="26">
        <f>股权价值增加表!AK15</f>
        <v>66346104.779999979</v>
      </c>
      <c r="AL28" s="26">
        <f>股权价值增加表!AL15</f>
        <v>35090317.489999995</v>
      </c>
      <c r="AM28" s="26">
        <f>股权价值增加表!AM15</f>
        <v>19396082.200000003</v>
      </c>
      <c r="AN28" s="26">
        <f>股权价值增加表!AN15</f>
        <v>43770764.710000023</v>
      </c>
      <c r="AO28" s="26">
        <f>股权价值增加表!AO15</f>
        <v>26238413.040000014</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45" t="s">
        <v>378</v>
      </c>
      <c r="E29" s="59">
        <f t="shared" ref="E29:AJ29" si="27">E28/E34</f>
        <v>0.77243490033178408</v>
      </c>
      <c r="F29" s="59">
        <f t="shared" si="27"/>
        <v>0.98156201441049828</v>
      </c>
      <c r="G29" s="59">
        <f t="shared" si="27"/>
        <v>0.98868301808550041</v>
      </c>
      <c r="H29" s="59">
        <f t="shared" si="27"/>
        <v>0.99428264009144873</v>
      </c>
      <c r="I29" s="59">
        <f t="shared" si="27"/>
        <v>0.76258240076965234</v>
      </c>
      <c r="J29" s="59">
        <f t="shared" si="27"/>
        <v>0.98368652889595609</v>
      </c>
      <c r="K29" s="59">
        <f t="shared" si="27"/>
        <v>0.97181845994188243</v>
      </c>
      <c r="L29" s="59">
        <f t="shared" si="27"/>
        <v>0.99872287784029079</v>
      </c>
      <c r="M29" s="59">
        <f t="shared" si="27"/>
        <v>0.72505422954083654</v>
      </c>
      <c r="N29" s="59">
        <f t="shared" si="27"/>
        <v>1.0012984621787322</v>
      </c>
      <c r="O29" s="59">
        <f t="shared" si="27"/>
        <v>0.99971860522691103</v>
      </c>
      <c r="P29" s="59">
        <f t="shared" si="27"/>
        <v>0.99982912534320656</v>
      </c>
      <c r="Q29" s="59">
        <f t="shared" si="27"/>
        <v>0.68691508514538357</v>
      </c>
      <c r="R29" s="59">
        <f t="shared" si="27"/>
        <v>0.99692875803073477</v>
      </c>
      <c r="S29" s="59">
        <f t="shared" si="27"/>
        <v>0.99721902750280711</v>
      </c>
      <c r="T29" s="59">
        <f t="shared" si="27"/>
        <v>0.98765123367180807</v>
      </c>
      <c r="U29" s="59">
        <f t="shared" si="27"/>
        <v>0.5171309694929207</v>
      </c>
      <c r="V29" s="59">
        <f t="shared" si="27"/>
        <v>0.99981184480458785</v>
      </c>
      <c r="W29" s="59">
        <f t="shared" si="27"/>
        <v>0.99999187787886734</v>
      </c>
      <c r="X29" s="59">
        <f t="shared" si="27"/>
        <v>0.99998335702035301</v>
      </c>
      <c r="Y29" s="59">
        <f t="shared" si="27"/>
        <v>0.42134944693361875</v>
      </c>
      <c r="Z29" s="59">
        <f t="shared" si="27"/>
        <v>1.0002376397544683</v>
      </c>
      <c r="AA29" s="59">
        <f t="shared" si="27"/>
        <v>1.0001100013679265</v>
      </c>
      <c r="AB29" s="59">
        <f t="shared" si="27"/>
        <v>1.0000638431348734</v>
      </c>
      <c r="AC29" s="59">
        <f t="shared" si="27"/>
        <v>0.30940396347890081</v>
      </c>
      <c r="AD29" s="59">
        <f t="shared" si="27"/>
        <v>0.99991935722872793</v>
      </c>
      <c r="AE29" s="59">
        <f t="shared" si="27"/>
        <v>0.99991421735284536</v>
      </c>
      <c r="AF29" s="59">
        <f t="shared" si="27"/>
        <v>1</v>
      </c>
      <c r="AG29" s="59">
        <f t="shared" si="27"/>
        <v>0.34185762494671201</v>
      </c>
      <c r="AH29" s="59">
        <f t="shared" si="27"/>
        <v>1</v>
      </c>
      <c r="AI29" s="59">
        <f t="shared" si="27"/>
        <v>1</v>
      </c>
      <c r="AJ29" s="59">
        <f t="shared" si="27"/>
        <v>1</v>
      </c>
      <c r="AK29" s="59">
        <f t="shared" ref="AK29:BP29" si="28">AK28/AK34</f>
        <v>1.001316175406963</v>
      </c>
      <c r="AL29" s="59">
        <f t="shared" si="28"/>
        <v>1</v>
      </c>
      <c r="AM29" s="59">
        <f t="shared" si="28"/>
        <v>1</v>
      </c>
      <c r="AN29" s="59">
        <f t="shared" si="28"/>
        <v>0.97059656034025954</v>
      </c>
      <c r="AO29" s="59">
        <f t="shared" si="28"/>
        <v>0.99343334539405581</v>
      </c>
      <c r="AP29" s="59" t="e">
        <f t="shared" si="28"/>
        <v>#DIV/0!</v>
      </c>
      <c r="AQ29" s="59">
        <f t="shared" si="28"/>
        <v>0</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374</v>
      </c>
      <c r="E30" s="26">
        <f>股权价值增加表!E20</f>
        <v>-5944394.0599999996</v>
      </c>
      <c r="F30" s="26">
        <f>股权价值增加表!F20</f>
        <v>-10877235.699999999</v>
      </c>
      <c r="G30" s="26">
        <f>股权价值增加表!G20</f>
        <v>-5944394.0599999996</v>
      </c>
      <c r="H30" s="26">
        <f>股权价值增加表!H20</f>
        <v>0</v>
      </c>
      <c r="I30" s="26">
        <f>股权价值增加表!I20</f>
        <v>-10652412.439999999</v>
      </c>
      <c r="J30" s="26">
        <f>股权价值增加表!J20</f>
        <v>-7120831.5199999996</v>
      </c>
      <c r="K30" s="26">
        <f>股权价值增加表!K20</f>
        <v>-3786805.91</v>
      </c>
      <c r="L30" s="26">
        <f>股权价值增加表!L20</f>
        <v>0</v>
      </c>
      <c r="M30" s="26">
        <f>股权价值增加表!M20</f>
        <v>-1871822.56</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45" t="s">
        <v>379</v>
      </c>
      <c r="E31" s="59">
        <f>E30/E34</f>
        <v>-1.350645638192739E-3</v>
      </c>
      <c r="F31" s="59">
        <f t="shared" ref="F31:BQ31" si="30">F30/F34</f>
        <v>-4.0138807977266556E-3</v>
      </c>
      <c r="G31" s="59">
        <f t="shared" si="30"/>
        <v>-3.3700403341306142E-3</v>
      </c>
      <c r="H31" s="59">
        <f t="shared" si="30"/>
        <v>0</v>
      </c>
      <c r="I31" s="59">
        <f t="shared" si="30"/>
        <v>-3.2015307573237104E-3</v>
      </c>
      <c r="J31" s="59">
        <f t="shared" si="30"/>
        <v>-3.7399842715479092E-3</v>
      </c>
      <c r="K31" s="59">
        <f t="shared" si="30"/>
        <v>-3.1011310862538847E-3</v>
      </c>
      <c r="L31" s="59">
        <f t="shared" si="30"/>
        <v>0</v>
      </c>
      <c r="M31" s="59">
        <f t="shared" si="30"/>
        <v>-6.9446490119936676E-4</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t="e">
        <f t="shared" si="30"/>
        <v>#DIV/0!</v>
      </c>
      <c r="AQ31" s="59">
        <f t="shared" si="30"/>
        <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375</v>
      </c>
      <c r="E32" s="26">
        <f>股权价值增加表!E27</f>
        <v>1007492534.0599999</v>
      </c>
      <c r="F32" s="26">
        <f>股权价值增加表!F27</f>
        <v>60842425.299999997</v>
      </c>
      <c r="G32" s="26">
        <f>股权价值增加表!G27</f>
        <v>25906351.009999998</v>
      </c>
      <c r="H32" s="26">
        <f>股权价值增加表!H27</f>
        <v>4312707.68</v>
      </c>
      <c r="I32" s="26">
        <f>股权价值增加表!I27</f>
        <v>800608961.11000013</v>
      </c>
      <c r="J32" s="26">
        <f>股权价值增加表!J27</f>
        <v>38181250.710000001</v>
      </c>
      <c r="K32" s="26">
        <f>股权价值增加表!K27</f>
        <v>38199418.430000007</v>
      </c>
      <c r="L32" s="26">
        <f>股权价值增加表!L27</f>
        <v>722430.72</v>
      </c>
      <c r="M32" s="26">
        <f>股权价值增加表!M27</f>
        <v>742945554.34000003</v>
      </c>
      <c r="N32" s="26">
        <f>股权价值增加表!N27</f>
        <v>-1852276.47</v>
      </c>
      <c r="O32" s="26">
        <f>股权价值增加表!O27</f>
        <v>263458.83</v>
      </c>
      <c r="P32" s="26">
        <f>股权价值增加表!P27</f>
        <v>70492.08</v>
      </c>
      <c r="Q32" s="26">
        <f>股权价值增加表!Q27</f>
        <v>663922603.72000003</v>
      </c>
      <c r="R32" s="26">
        <f>股权价值增加表!R27</f>
        <v>3001919.74</v>
      </c>
      <c r="S32" s="26">
        <f>股权价值增加表!S27</f>
        <v>1767238.92</v>
      </c>
      <c r="T32" s="26">
        <f>股权价值增加表!T27</f>
        <v>3659989.47</v>
      </c>
      <c r="U32" s="26">
        <f>股权价值增加表!U27</f>
        <v>820704235.26999998</v>
      </c>
      <c r="V32" s="26">
        <f>股权价值增加表!V27</f>
        <v>121497.15</v>
      </c>
      <c r="W32" s="26">
        <f>股权价值增加表!W27</f>
        <v>3292.7</v>
      </c>
      <c r="X32" s="26">
        <f>股权价值增加表!X27</f>
        <v>2856.28</v>
      </c>
      <c r="Y32" s="26">
        <f>股权价值增加表!Y27</f>
        <v>777480591.0999999</v>
      </c>
      <c r="Z32" s="26">
        <f>股权价值增加表!Z27</f>
        <v>-93543.9</v>
      </c>
      <c r="AA32" s="26">
        <f>股权价值增加表!AA27</f>
        <v>-26008.6</v>
      </c>
      <c r="AB32" s="26">
        <f>股权价值增加表!AB27</f>
        <v>-4762.38</v>
      </c>
      <c r="AC32" s="26">
        <f>股权价值增加表!AC27</f>
        <v>469062344.75</v>
      </c>
      <c r="AD32" s="26">
        <f>股权价值增加表!AD27</f>
        <v>12221.52</v>
      </c>
      <c r="AE32" s="26">
        <f>股权价值增加表!AE27</f>
        <v>7047.57</v>
      </c>
      <c r="AF32" s="26">
        <f>股权价值增加表!AF27</f>
        <v>0</v>
      </c>
      <c r="AG32" s="26">
        <f>股权价值增加表!AG27</f>
        <v>189537616.15000001</v>
      </c>
      <c r="AH32" s="26">
        <f>股权价值增加表!AH27</f>
        <v>0</v>
      </c>
      <c r="AI32" s="26">
        <f>股权价值增加表!AI27</f>
        <v>0</v>
      </c>
      <c r="AJ32" s="26">
        <f>股权价值增加表!AJ27</f>
        <v>0</v>
      </c>
      <c r="AK32" s="26">
        <f>股权价值增加表!AK27</f>
        <v>-87208.33</v>
      </c>
      <c r="AL32" s="26">
        <f>股权价值增加表!AL27</f>
        <v>0</v>
      </c>
      <c r="AM32" s="26">
        <f>股权价值增加表!AM27</f>
        <v>0</v>
      </c>
      <c r="AN32" s="26">
        <f>股权价值增加表!AN27</f>
        <v>1326000</v>
      </c>
      <c r="AO32" s="26">
        <f>股权价值增加表!AO27</f>
        <v>173437.5</v>
      </c>
      <c r="AP32" s="26">
        <f>股权价值增加表!AP27</f>
        <v>0</v>
      </c>
      <c r="AQ32" s="26">
        <f>股权价值增加表!AQ27</f>
        <v>-929569.49</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45" t="s">
        <v>380</v>
      </c>
      <c r="E33" s="59">
        <f>E32/E34</f>
        <v>0.22891574530640868</v>
      </c>
      <c r="F33" s="59">
        <f t="shared" ref="F33:BQ33" si="32">F32/F34</f>
        <v>2.2451866387228184E-2</v>
      </c>
      <c r="G33" s="59">
        <f t="shared" si="32"/>
        <v>1.4687022248630228E-2</v>
      </c>
      <c r="H33" s="59">
        <f t="shared" si="32"/>
        <v>5.71735990855136E-3</v>
      </c>
      <c r="I33" s="59">
        <f t="shared" si="32"/>
        <v>0.24061912998767138</v>
      </c>
      <c r="J33" s="59">
        <f t="shared" si="32"/>
        <v>2.0053455375591788E-2</v>
      </c>
      <c r="K33" s="59">
        <f t="shared" si="32"/>
        <v>3.1282671144371534E-2</v>
      </c>
      <c r="L33" s="59">
        <f t="shared" si="32"/>
        <v>1.277122159709172E-3</v>
      </c>
      <c r="M33" s="59">
        <f t="shared" si="32"/>
        <v>0.27564023536036286</v>
      </c>
      <c r="N33" s="59">
        <f t="shared" si="32"/>
        <v>-1.2984621787322547E-3</v>
      </c>
      <c r="O33" s="59">
        <f t="shared" si="32"/>
        <v>2.8139477308887202E-4</v>
      </c>
      <c r="P33" s="59">
        <f t="shared" si="32"/>
        <v>1.7087465679343453E-4</v>
      </c>
      <c r="Q33" s="59">
        <f t="shared" si="32"/>
        <v>0.31308491485461643</v>
      </c>
      <c r="R33" s="59">
        <f t="shared" si="32"/>
        <v>3.071241969265177E-3</v>
      </c>
      <c r="S33" s="59">
        <f t="shared" si="32"/>
        <v>2.7809724971929765E-3</v>
      </c>
      <c r="T33" s="59">
        <f t="shared" si="32"/>
        <v>1.2348766328191867E-2</v>
      </c>
      <c r="U33" s="59">
        <f t="shared" si="32"/>
        <v>0.48286903050707936</v>
      </c>
      <c r="V33" s="59">
        <f t="shared" si="32"/>
        <v>1.8815519541217279E-4</v>
      </c>
      <c r="W33" s="59">
        <f t="shared" si="32"/>
        <v>8.1221211327326248E-6</v>
      </c>
      <c r="X33" s="59">
        <f t="shared" si="32"/>
        <v>1.6642979646940339E-5</v>
      </c>
      <c r="Y33" s="59">
        <f t="shared" si="32"/>
        <v>0.57865055306638125</v>
      </c>
      <c r="Z33" s="59">
        <f t="shared" si="32"/>
        <v>-2.3763975446847749E-4</v>
      </c>
      <c r="AA33" s="59">
        <f t="shared" si="32"/>
        <v>-1.1000136792647159E-4</v>
      </c>
      <c r="AB33" s="59">
        <f t="shared" si="32"/>
        <v>-6.3843134873478222E-5</v>
      </c>
      <c r="AC33" s="59">
        <f t="shared" si="32"/>
        <v>0.69059603652109924</v>
      </c>
      <c r="AD33" s="59">
        <f t="shared" si="32"/>
        <v>8.0642771271961246E-5</v>
      </c>
      <c r="AE33" s="59">
        <f t="shared" si="32"/>
        <v>8.5782647154765065E-5</v>
      </c>
      <c r="AF33" s="59">
        <f t="shared" si="32"/>
        <v>0</v>
      </c>
      <c r="AG33" s="59">
        <f t="shared" si="32"/>
        <v>0.65814237505328799</v>
      </c>
      <c r="AH33" s="59">
        <f t="shared" si="32"/>
        <v>0</v>
      </c>
      <c r="AI33" s="59">
        <f t="shared" si="32"/>
        <v>0</v>
      </c>
      <c r="AJ33" s="59">
        <f t="shared" si="32"/>
        <v>0</v>
      </c>
      <c r="AK33" s="59">
        <f t="shared" si="32"/>
        <v>-1.3161754069630303E-3</v>
      </c>
      <c r="AL33" s="59">
        <f t="shared" si="32"/>
        <v>0</v>
      </c>
      <c r="AM33" s="59">
        <f t="shared" si="32"/>
        <v>0</v>
      </c>
      <c r="AN33" s="59">
        <f t="shared" si="32"/>
        <v>2.9403439659740488E-2</v>
      </c>
      <c r="AO33" s="59">
        <f t="shared" si="32"/>
        <v>6.5666546059441663E-3</v>
      </c>
      <c r="AP33" s="59" t="e">
        <f t="shared" si="32"/>
        <v>#DIV/0!</v>
      </c>
      <c r="AQ33" s="59">
        <f t="shared" si="32"/>
        <v>1</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c r="A34" s="145" t="s">
        <v>376</v>
      </c>
      <c r="E34" s="58">
        <f>股权价值增加表!E31</f>
        <v>4401150007.0100002</v>
      </c>
      <c r="F34" s="58">
        <f>股权价值增加表!F31</f>
        <v>2709905014.1599989</v>
      </c>
      <c r="G34" s="58">
        <f>股权价值增加表!G31</f>
        <v>1763894040.02</v>
      </c>
      <c r="H34" s="58">
        <f>股权价值增加表!H31</f>
        <v>754318032.96999979</v>
      </c>
      <c r="I34" s="58">
        <f>股权价值增加表!I31</f>
        <v>3327287240.8399987</v>
      </c>
      <c r="J34" s="58">
        <f>股权价值增加表!J31</f>
        <v>1903973654.1600003</v>
      </c>
      <c r="K34" s="58">
        <f>股权价值增加表!K31</f>
        <v>1221104753.2900002</v>
      </c>
      <c r="L34" s="58">
        <f>股权价值增加表!L31</f>
        <v>565670804.87</v>
      </c>
      <c r="M34" s="58">
        <f>股权价值增加表!M31</f>
        <v>2695345087.6599994</v>
      </c>
      <c r="N34" s="58">
        <f>股权价值增加表!N31</f>
        <v>1426515535.3299997</v>
      </c>
      <c r="O34" s="58">
        <f>股权价值增加表!O31</f>
        <v>936260567.70000005</v>
      </c>
      <c r="P34" s="58">
        <f>股权价值增加表!P31</f>
        <v>412536775.91999996</v>
      </c>
      <c r="Q34" s="58">
        <f>股权价值增加表!Q31</f>
        <v>2120583177.9799995</v>
      </c>
      <c r="R34" s="58">
        <f>股权价值增加表!R31</f>
        <v>977428600.55999994</v>
      </c>
      <c r="S34" s="58">
        <f>股权价值增加表!S31</f>
        <v>635475151.87</v>
      </c>
      <c r="T34" s="58">
        <f>股权价值增加表!T31</f>
        <v>296385029.30000001</v>
      </c>
      <c r="U34" s="58">
        <f>股权价值增加表!U31</f>
        <v>1699641483.3399999</v>
      </c>
      <c r="V34" s="58">
        <f>股权价值增加表!V31</f>
        <v>645728382.5400002</v>
      </c>
      <c r="W34" s="58">
        <f>股权价值增加表!W31</f>
        <v>405399026.46000016</v>
      </c>
      <c r="X34" s="58">
        <f>股权价值增加表!X31</f>
        <v>171620710.99000001</v>
      </c>
      <c r="Y34" s="58">
        <f>股权价值增加表!Y31</f>
        <v>1343609864.3299999</v>
      </c>
      <c r="Z34" s="58">
        <f>股权价值增加表!Z31</f>
        <v>393637420.68000007</v>
      </c>
      <c r="AA34" s="58">
        <f>股权价值增加表!AA31</f>
        <v>236438877.90000007</v>
      </c>
      <c r="AB34" s="58">
        <f>股权价值增加表!AB31</f>
        <v>74595021.210000023</v>
      </c>
      <c r="AC34" s="58">
        <f>股权价值增加表!AC31</f>
        <v>679213780.48000002</v>
      </c>
      <c r="AD34" s="58">
        <f>股权价值增加表!AD31</f>
        <v>151551339.41000006</v>
      </c>
      <c r="AE34" s="58">
        <f>股权价值增加表!AE31</f>
        <v>82156126.370000005</v>
      </c>
      <c r="AF34" s="58">
        <f>股权价值增加表!AF31</f>
        <v>22665692.430000011</v>
      </c>
      <c r="AG34" s="58">
        <f>股权价值增加表!AG31</f>
        <v>287988774.67000002</v>
      </c>
      <c r="AH34" s="58">
        <f>股权价值增加表!AH31</f>
        <v>78349967.760000035</v>
      </c>
      <c r="AI34" s="58">
        <f>股权价值增加表!AI31</f>
        <v>44554904.280000016</v>
      </c>
      <c r="AJ34" s="58">
        <f>股权价值增加表!AJ31</f>
        <v>14812146.809999995</v>
      </c>
      <c r="AK34" s="58">
        <f>股权价值增加表!AK31</f>
        <v>66258896.449999981</v>
      </c>
      <c r="AL34" s="58">
        <f>股权价值增加表!AL31</f>
        <v>35090317.489999995</v>
      </c>
      <c r="AM34" s="58">
        <f>股权价值增加表!AM31</f>
        <v>19396082.200000003</v>
      </c>
      <c r="AN34" s="58">
        <f>股权价值增加表!AN31</f>
        <v>45096764.710000023</v>
      </c>
      <c r="AO34" s="58">
        <f>股权价值增加表!AO31</f>
        <v>26411850.540000014</v>
      </c>
      <c r="AP34" s="58">
        <f>股权价值增加表!AP31</f>
        <v>0</v>
      </c>
      <c r="AQ34" s="58">
        <f>股权价值增加表!AQ31</f>
        <v>-929569.49</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83" t="s">
        <v>676</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39813</v>
      </c>
      <c r="AO38" s="1">
        <v>39447</v>
      </c>
      <c r="AP38" s="1">
        <v>25569</v>
      </c>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376</v>
      </c>
      <c r="E39" s="26">
        <f>股权价值增加表!E31</f>
        <v>4401150007.0100002</v>
      </c>
      <c r="F39" s="26">
        <f>股权价值增加表!F31</f>
        <v>2709905014.1599989</v>
      </c>
      <c r="G39" s="26">
        <f>股权价值增加表!G31</f>
        <v>1763894040.02</v>
      </c>
      <c r="H39" s="26">
        <f>股权价值增加表!H31</f>
        <v>754318032.96999979</v>
      </c>
      <c r="I39" s="26">
        <f>股权价值增加表!I31</f>
        <v>3327287240.8399987</v>
      </c>
      <c r="J39" s="26">
        <f>股权价值增加表!J31</f>
        <v>1903973654.1600003</v>
      </c>
      <c r="K39" s="26">
        <f>股权价值增加表!K31</f>
        <v>1221104753.2900002</v>
      </c>
      <c r="L39" s="26">
        <f>股权价值增加表!L31</f>
        <v>565670804.87</v>
      </c>
      <c r="M39" s="26">
        <f>股权价值增加表!M31</f>
        <v>2695345087.6599994</v>
      </c>
      <c r="N39" s="26">
        <f>股权价值增加表!N31</f>
        <v>1426515535.3299997</v>
      </c>
      <c r="O39" s="26">
        <f>股权价值增加表!O31</f>
        <v>936260567.70000005</v>
      </c>
      <c r="P39" s="26">
        <f>股权价值增加表!P31</f>
        <v>412536775.91999996</v>
      </c>
      <c r="Q39" s="26">
        <f>股权价值增加表!Q31</f>
        <v>2120583177.9799995</v>
      </c>
      <c r="R39" s="26">
        <f>股权价值增加表!R31</f>
        <v>977428600.55999994</v>
      </c>
      <c r="S39" s="26">
        <f>股权价值增加表!S31</f>
        <v>635475151.87</v>
      </c>
      <c r="T39" s="26">
        <f>股权价值增加表!T31</f>
        <v>296385029.30000001</v>
      </c>
      <c r="U39" s="26">
        <f>股权价值增加表!U31</f>
        <v>1699641483.3399999</v>
      </c>
      <c r="V39" s="26">
        <f>股权价值增加表!V31</f>
        <v>645728382.5400002</v>
      </c>
      <c r="W39" s="26">
        <f>股权价值增加表!W31</f>
        <v>405399026.46000016</v>
      </c>
      <c r="X39" s="26">
        <f>股权价值增加表!X31</f>
        <v>171620710.99000001</v>
      </c>
      <c r="Y39" s="26">
        <f>股权价值增加表!Y31</f>
        <v>1343609864.3299999</v>
      </c>
      <c r="Z39" s="26">
        <f>股权价值增加表!Z31</f>
        <v>393637420.68000007</v>
      </c>
      <c r="AA39" s="26">
        <f>股权价值增加表!AA31</f>
        <v>236438877.90000007</v>
      </c>
      <c r="AB39" s="26">
        <f>股权价值增加表!AB31</f>
        <v>74595021.210000023</v>
      </c>
      <c r="AC39" s="26">
        <f>股权价值增加表!AC31</f>
        <v>679213780.48000002</v>
      </c>
      <c r="AD39" s="26">
        <f>股权价值增加表!AD31</f>
        <v>151551339.41000006</v>
      </c>
      <c r="AE39" s="26">
        <f>股权价值增加表!AE31</f>
        <v>82156126.370000005</v>
      </c>
      <c r="AF39" s="26">
        <f>股权价值增加表!AF31</f>
        <v>22665692.430000011</v>
      </c>
      <c r="AG39" s="26">
        <f>股权价值增加表!AG31</f>
        <v>287988774.67000002</v>
      </c>
      <c r="AH39" s="26">
        <f>股权价值增加表!AH31</f>
        <v>78349967.760000035</v>
      </c>
      <c r="AI39" s="26">
        <f>股权价值增加表!AI31</f>
        <v>44554904.280000016</v>
      </c>
      <c r="AJ39" s="26">
        <f>股权价值增加表!AJ31</f>
        <v>14812146.809999995</v>
      </c>
      <c r="AK39" s="26">
        <f>股权价值增加表!AK31</f>
        <v>66258896.449999981</v>
      </c>
      <c r="AL39" s="26">
        <f>股权价值增加表!AL31</f>
        <v>35090317.489999995</v>
      </c>
      <c r="AM39" s="26">
        <f>股权价值增加表!AM31</f>
        <v>19396082.200000003</v>
      </c>
      <c r="AN39" s="26">
        <f>股权价值增加表!AN31</f>
        <v>45096764.710000023</v>
      </c>
      <c r="AO39" s="26">
        <f>股权价值增加表!AO31</f>
        <v>26411850.540000014</v>
      </c>
      <c r="AP39" s="26">
        <f>股权价值增加表!AP31</f>
        <v>0</v>
      </c>
      <c r="AQ39" s="26">
        <f>股权价值增加表!AQ31</f>
        <v>-929569.49</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382</v>
      </c>
      <c r="E40" s="26">
        <f>股权价值增加表!E38</f>
        <v>2944915093.5300002</v>
      </c>
      <c r="F40" s="26">
        <f>股权价值增加表!F38</f>
        <v>2293531157.039999</v>
      </c>
      <c r="G40" s="26">
        <f>股权价值增加表!G38</f>
        <v>1532814100.4200001</v>
      </c>
      <c r="H40" s="26">
        <f>股权价值增加表!H38</f>
        <v>677976957.64999986</v>
      </c>
      <c r="I40" s="26">
        <f>股权价值增加表!I38</f>
        <v>2332278087.4599986</v>
      </c>
      <c r="J40" s="26">
        <f>股权价值增加表!J38</f>
        <v>1667472864.2900004</v>
      </c>
      <c r="K40" s="26">
        <f>股权价值增加表!K38</f>
        <v>1067524273.7100002</v>
      </c>
      <c r="L40" s="26">
        <f>股权价值增加表!L38</f>
        <v>478076617.73000002</v>
      </c>
      <c r="M40" s="26">
        <f>股权价值增加表!M38</f>
        <v>1643687992.8999994</v>
      </c>
      <c r="N40" s="26">
        <f>股权价值增加表!N38</f>
        <v>1217617421.1599996</v>
      </c>
      <c r="O40" s="26">
        <f>股权价值增加表!O38</f>
        <v>783523837.26999998</v>
      </c>
      <c r="P40" s="26">
        <f>股权价值增加表!P38</f>
        <v>343710920.47999996</v>
      </c>
      <c r="Q40" s="26">
        <f>股权价值增加表!Q38</f>
        <v>1197526753.0299995</v>
      </c>
      <c r="R40" s="26">
        <f>股权价值增加表!R38</f>
        <v>833515635.9799999</v>
      </c>
      <c r="S40" s="26">
        <f>股权价值增加表!S38</f>
        <v>540832298.39999998</v>
      </c>
      <c r="T40" s="26">
        <f>股权价值增加表!T38</f>
        <v>266239478.65000001</v>
      </c>
      <c r="U40" s="26">
        <f>股权价值增加表!U38</f>
        <v>744680155.27999985</v>
      </c>
      <c r="V40" s="26">
        <f>股权价值增加表!V38</f>
        <v>547955278.47000027</v>
      </c>
      <c r="W40" s="26">
        <f>股权价值增加表!W38</f>
        <v>342258143.67000014</v>
      </c>
      <c r="X40" s="26">
        <f>股权价值增加表!X38</f>
        <v>154516602.97</v>
      </c>
      <c r="Y40" s="26">
        <f>股权价值增加表!Y38</f>
        <v>513244734.49000001</v>
      </c>
      <c r="Z40" s="26">
        <f>股权价值增加表!Z38</f>
        <v>355624577.08000004</v>
      </c>
      <c r="AA40" s="26">
        <f>股权价值增加表!AA38</f>
        <v>213068804.86000007</v>
      </c>
      <c r="AB40" s="26">
        <f>股权价值增加表!AB38</f>
        <v>61867643.070000023</v>
      </c>
      <c r="AC40" s="26">
        <f>股权价值增加表!AC38</f>
        <v>175894626.74000001</v>
      </c>
      <c r="AD40" s="26">
        <f>股权价值增加表!AD38</f>
        <v>129774343.80000006</v>
      </c>
      <c r="AE40" s="26">
        <f>股权价值增加表!AE38</f>
        <v>73225349.330000013</v>
      </c>
      <c r="AF40" s="26">
        <f>股权价值增加表!AF38</f>
        <v>19815047.97000001</v>
      </c>
      <c r="AG40" s="26">
        <f>股权价值增加表!AG38</f>
        <v>85306554.730000019</v>
      </c>
      <c r="AH40" s="26">
        <f>股权价值增加表!AH38</f>
        <v>67272183.060000032</v>
      </c>
      <c r="AI40" s="26">
        <f>股权价值增加表!AI38</f>
        <v>36858650.780000016</v>
      </c>
      <c r="AJ40" s="26">
        <f>股权价值增加表!AJ38</f>
        <v>11141429.569999995</v>
      </c>
      <c r="AK40" s="26">
        <f>股权价值增加表!AK38</f>
        <v>54354400.289999977</v>
      </c>
      <c r="AL40" s="26">
        <f>股权价值增加表!AL38</f>
        <v>28121299.029999994</v>
      </c>
      <c r="AM40" s="26">
        <f>股权价值增加表!AM38</f>
        <v>14683611.240000002</v>
      </c>
      <c r="AN40" s="26">
        <f>股权价值增加表!AN38</f>
        <v>35465826.440000027</v>
      </c>
      <c r="AO40" s="26">
        <f>股权价值增加表!AO38</f>
        <v>18806635.670000013</v>
      </c>
      <c r="AP40" s="26">
        <f>股权价值增加表!AP38</f>
        <v>0</v>
      </c>
      <c r="AQ40" s="26">
        <f>股权价值增加表!AQ38</f>
        <v>73880495.870000005</v>
      </c>
      <c r="AR40" s="26">
        <f>股权价值增加表!AR38</f>
        <v>15614749.33</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383</v>
      </c>
      <c r="E41" s="59">
        <f>1-E40/E39</f>
        <v>0.33087600085444924</v>
      </c>
      <c r="F41" s="59">
        <f t="shared" ref="F41:BQ41" si="34">1-F40/F39</f>
        <v>0.15364887512452718</v>
      </c>
      <c r="G41" s="59">
        <f t="shared" si="34"/>
        <v>0.13100556743044489</v>
      </c>
      <c r="H41" s="59">
        <f t="shared" si="34"/>
        <v>0.10120542262448617</v>
      </c>
      <c r="I41" s="59">
        <f t="shared" si="34"/>
        <v>0.29904516242751633</v>
      </c>
      <c r="J41" s="59">
        <f t="shared" si="34"/>
        <v>0.12421431848768927</v>
      </c>
      <c r="K41" s="59">
        <f t="shared" si="34"/>
        <v>0.12577174821915238</v>
      </c>
      <c r="L41" s="59">
        <f t="shared" si="34"/>
        <v>0.15485011138259208</v>
      </c>
      <c r="M41" s="59">
        <f t="shared" si="34"/>
        <v>0.39017530615087603</v>
      </c>
      <c r="N41" s="59">
        <f t="shared" si="34"/>
        <v>0.14643942459531301</v>
      </c>
      <c r="O41" s="59">
        <f t="shared" si="34"/>
        <v>0.16313485337229383</v>
      </c>
      <c r="P41" s="59">
        <f t="shared" si="34"/>
        <v>0.16683568461626519</v>
      </c>
      <c r="Q41" s="59">
        <f t="shared" si="34"/>
        <v>0.43528423432523611</v>
      </c>
      <c r="R41" s="59">
        <f t="shared" si="34"/>
        <v>0.14723629377894987</v>
      </c>
      <c r="S41" s="59">
        <f t="shared" si="34"/>
        <v>0.14893242197038925</v>
      </c>
      <c r="T41" s="59">
        <f t="shared" si="34"/>
        <v>0.10171077372294257</v>
      </c>
      <c r="U41" s="59">
        <f t="shared" si="34"/>
        <v>0.56186044964223059</v>
      </c>
      <c r="V41" s="59">
        <f t="shared" si="34"/>
        <v>0.15141521840097105</v>
      </c>
      <c r="W41" s="59">
        <f t="shared" si="34"/>
        <v>0.15574996156590426</v>
      </c>
      <c r="X41" s="59">
        <f t="shared" si="34"/>
        <v>9.9662260582271012E-2</v>
      </c>
      <c r="Y41" s="59">
        <f t="shared" si="34"/>
        <v>0.61801059361384425</v>
      </c>
      <c r="Z41" s="59">
        <f t="shared" si="34"/>
        <v>9.6568165532468053E-2</v>
      </c>
      <c r="AA41" s="59">
        <f t="shared" si="34"/>
        <v>9.8841921631366292E-2</v>
      </c>
      <c r="AB41" s="59">
        <f t="shared" si="34"/>
        <v>0.17061967318394966</v>
      </c>
      <c r="AC41" s="59">
        <f t="shared" si="34"/>
        <v>0.74103201113544048</v>
      </c>
      <c r="AD41" s="59">
        <f t="shared" si="34"/>
        <v>0.14369385117135458</v>
      </c>
      <c r="AE41" s="59">
        <f t="shared" si="34"/>
        <v>0.10870494307118572</v>
      </c>
      <c r="AF41" s="59">
        <f t="shared" si="34"/>
        <v>0.12576913186322625</v>
      </c>
      <c r="AG41" s="59">
        <f t="shared" si="34"/>
        <v>0.70378513944596999</v>
      </c>
      <c r="AH41" s="59">
        <f t="shared" si="34"/>
        <v>0.14138850361666055</v>
      </c>
      <c r="AI41" s="59">
        <f t="shared" si="34"/>
        <v>0.17273639399231577</v>
      </c>
      <c r="AJ41" s="59">
        <f t="shared" si="34"/>
        <v>0.24781804333196467</v>
      </c>
      <c r="AK41" s="59">
        <f t="shared" si="34"/>
        <v>0.17966638138900071</v>
      </c>
      <c r="AL41" s="59">
        <f t="shared" si="34"/>
        <v>0.1986023199130651</v>
      </c>
      <c r="AM41" s="59">
        <f t="shared" si="34"/>
        <v>0.24295993961089735</v>
      </c>
      <c r="AN41" s="59">
        <f t="shared" si="34"/>
        <v>0.21356162314376348</v>
      </c>
      <c r="AO41" s="59">
        <f t="shared" si="34"/>
        <v>0.28794706597639241</v>
      </c>
      <c r="AP41" s="59" t="e">
        <f t="shared" si="34"/>
        <v>#DIV/0!</v>
      </c>
      <c r="AQ41" s="59">
        <f t="shared" si="34"/>
        <v>80.478184971410798</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428</v>
      </c>
      <c r="E42" s="149">
        <f>E39/(E39-E40)</f>
        <v>3.022280242198331</v>
      </c>
      <c r="F42" s="29">
        <f t="shared" ref="F42:BQ42" si="36">F39/(F39-F40)</f>
        <v>6.5083457278130652</v>
      </c>
      <c r="G42" s="29">
        <f t="shared" si="36"/>
        <v>7.6332633766189577</v>
      </c>
      <c r="H42" s="29">
        <f t="shared" si="36"/>
        <v>9.8808934745563182</v>
      </c>
      <c r="I42" s="29">
        <f t="shared" si="36"/>
        <v>3.3439765147258775</v>
      </c>
      <c r="J42" s="29">
        <f t="shared" si="36"/>
        <v>8.0506016711681152</v>
      </c>
      <c r="K42" s="29">
        <f t="shared" si="36"/>
        <v>7.9509111876026335</v>
      </c>
      <c r="L42" s="29">
        <f t="shared" si="36"/>
        <v>6.4578578024349946</v>
      </c>
      <c r="M42" s="29">
        <f t="shared" si="36"/>
        <v>2.5629505102850159</v>
      </c>
      <c r="N42" s="29">
        <f t="shared" si="36"/>
        <v>6.8287621503806859</v>
      </c>
      <c r="O42" s="29">
        <f t="shared" si="36"/>
        <v>6.1298979300142378</v>
      </c>
      <c r="P42" s="29">
        <f t="shared" si="36"/>
        <v>5.9939215180497865</v>
      </c>
      <c r="Q42" s="29">
        <f t="shared" si="36"/>
        <v>2.2973494584525174</v>
      </c>
      <c r="R42" s="29">
        <f t="shared" si="36"/>
        <v>6.7918036669771702</v>
      </c>
      <c r="S42" s="29">
        <f t="shared" si="36"/>
        <v>6.7144546954243456</v>
      </c>
      <c r="T42" s="29">
        <f t="shared" si="36"/>
        <v>9.8318001465997416</v>
      </c>
      <c r="U42" s="29">
        <f t="shared" si="36"/>
        <v>1.779801373520344</v>
      </c>
      <c r="V42" s="29">
        <f t="shared" si="36"/>
        <v>6.6043559594640229</v>
      </c>
      <c r="W42" s="29">
        <f t="shared" si="36"/>
        <v>6.4205473307732319</v>
      </c>
      <c r="X42" s="29">
        <f t="shared" si="36"/>
        <v>10.03388839624505</v>
      </c>
      <c r="Y42" s="29">
        <f t="shared" si="36"/>
        <v>1.6180952403298718</v>
      </c>
      <c r="Z42" s="29">
        <f t="shared" si="36"/>
        <v>10.355379482317915</v>
      </c>
      <c r="AA42" s="29">
        <f t="shared" si="36"/>
        <v>10.11716469586182</v>
      </c>
      <c r="AB42" s="29">
        <f t="shared" si="36"/>
        <v>5.8609888375643111</v>
      </c>
      <c r="AC42" s="29">
        <f t="shared" si="36"/>
        <v>1.3494693683579981</v>
      </c>
      <c r="AD42" s="29">
        <f t="shared" si="36"/>
        <v>6.9592400220904516</v>
      </c>
      <c r="AE42" s="29">
        <f t="shared" si="36"/>
        <v>9.1992136856660434</v>
      </c>
      <c r="AF42" s="29">
        <f t="shared" si="36"/>
        <v>7.9510765891864343</v>
      </c>
      <c r="AG42" s="29">
        <f t="shared" si="36"/>
        <v>1.4208882000367538</v>
      </c>
      <c r="AH42" s="29">
        <f t="shared" si="36"/>
        <v>7.072710824574882</v>
      </c>
      <c r="AI42" s="29">
        <f t="shared" si="36"/>
        <v>5.789167973742031</v>
      </c>
      <c r="AJ42" s="29">
        <f t="shared" si="36"/>
        <v>4.0352186893044353</v>
      </c>
      <c r="AK42" s="29">
        <f t="shared" si="36"/>
        <v>5.5658715463015414</v>
      </c>
      <c r="AL42" s="29">
        <f t="shared" si="36"/>
        <v>5.0351879093745424</v>
      </c>
      <c r="AM42" s="29">
        <f t="shared" si="36"/>
        <v>4.1159048755177894</v>
      </c>
      <c r="AN42" s="29">
        <f t="shared" si="36"/>
        <v>4.6824892285391053</v>
      </c>
      <c r="AO42" s="29">
        <f t="shared" si="36"/>
        <v>3.47286052944879</v>
      </c>
      <c r="AP42" s="29" t="e">
        <f t="shared" si="36"/>
        <v>#DIV/0!</v>
      </c>
      <c r="AQ42" s="29">
        <f t="shared" si="36"/>
        <v>1.2425727547847178E-2</v>
      </c>
      <c r="AR42" s="29">
        <f t="shared" si="36"/>
        <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15" customHeight="1">
      <c r="A43" s="283" t="s">
        <v>698</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39813</v>
      </c>
      <c r="AO46" s="1">
        <v>39447</v>
      </c>
      <c r="AP46" s="1">
        <v>25569</v>
      </c>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424</v>
      </c>
      <c r="E47" s="26">
        <f>股权价值增加表!E42</f>
        <v>2508357289.0100002</v>
      </c>
      <c r="F47" s="26">
        <f>股权价值增加表!F42</f>
        <v>1896222331.6999991</v>
      </c>
      <c r="G47" s="26">
        <f>股权价值增加表!G42</f>
        <v>1266132616.97</v>
      </c>
      <c r="H47" s="26">
        <f>股权价值增加表!H42</f>
        <v>545875085.55999982</v>
      </c>
      <c r="I47" s="26">
        <f>股权价值增加表!I42</f>
        <v>1995019433.1199987</v>
      </c>
      <c r="J47" s="26">
        <f>股权价值增加表!J42</f>
        <v>1414277549.4100003</v>
      </c>
      <c r="K47" s="26">
        <f>股权价值增加表!K42</f>
        <v>897060781.5400002</v>
      </c>
      <c r="L47" s="26">
        <f>股权价值增加表!L42</f>
        <v>399486880.40000004</v>
      </c>
      <c r="M47" s="26">
        <f>股权价值增加表!M42</f>
        <v>1402218143.9899993</v>
      </c>
      <c r="N47" s="26">
        <f>股权价值增加表!N42</f>
        <v>1021188461.0499996</v>
      </c>
      <c r="O47" s="26">
        <f>股权价值增加表!O42</f>
        <v>656332766.86000001</v>
      </c>
      <c r="P47" s="26">
        <f>股权价值增加表!P42</f>
        <v>291057008.28999996</v>
      </c>
      <c r="Q47" s="26">
        <f>股权价值增加表!Q42</f>
        <v>1010347555.4599996</v>
      </c>
      <c r="R47" s="26">
        <f>股权价值增加表!R42</f>
        <v>704518445.99999988</v>
      </c>
      <c r="S47" s="26">
        <f>股权价值增加表!S42</f>
        <v>452763154.49000001</v>
      </c>
      <c r="T47" s="26">
        <f>股权价值增加表!T42</f>
        <v>211839747.71000001</v>
      </c>
      <c r="U47" s="26">
        <f>股权价值增加表!U42</f>
        <v>664921173.29999983</v>
      </c>
      <c r="V47" s="26">
        <f>股权价值增加表!V42</f>
        <v>467424219.48000026</v>
      </c>
      <c r="W47" s="26">
        <f>股权价值增加表!W42</f>
        <v>288345270.87000012</v>
      </c>
      <c r="X47" s="26">
        <f>股权价值增加表!X42</f>
        <v>129286079.92</v>
      </c>
      <c r="Y47" s="26">
        <f>股权价值增加表!Y42</f>
        <v>435579650.98000002</v>
      </c>
      <c r="Z47" s="26">
        <f>股权价值增加表!Z42</f>
        <v>299516591.09000003</v>
      </c>
      <c r="AA47" s="26">
        <f>股权价值增加表!AA42</f>
        <v>179610211.84000006</v>
      </c>
      <c r="AB47" s="26">
        <f>股权价值增加表!AB42</f>
        <v>43866392.170000024</v>
      </c>
      <c r="AC47" s="26">
        <f>股权价值增加表!AC42</f>
        <v>139171820</v>
      </c>
      <c r="AD47" s="26">
        <f>股权价值增加表!AD42</f>
        <v>104637801.89000006</v>
      </c>
      <c r="AE47" s="26">
        <f>股权价值增加表!AE42</f>
        <v>59186005.670000017</v>
      </c>
      <c r="AF47" s="26">
        <f>股权价值增加表!AF42</f>
        <v>15942774.98000001</v>
      </c>
      <c r="AG47" s="26">
        <f>股权价值增加表!AG42</f>
        <v>72632545.990000024</v>
      </c>
      <c r="AH47" s="26">
        <f>股权价值增加表!AH42</f>
        <v>57394392.550000034</v>
      </c>
      <c r="AI47" s="26">
        <f>股权价值增加表!AI42</f>
        <v>31151760.710000016</v>
      </c>
      <c r="AJ47" s="26">
        <f>股权价值增加表!AJ42</f>
        <v>9430853.3599999957</v>
      </c>
      <c r="AK47" s="26">
        <f>股权价值增加表!AK42</f>
        <v>46175342.699999973</v>
      </c>
      <c r="AL47" s="26">
        <f>股权价值增加表!AL42</f>
        <v>23896328.099999994</v>
      </c>
      <c r="AM47" s="26">
        <f>股权价值增加表!AM42</f>
        <v>12440818.810000002</v>
      </c>
      <c r="AN47" s="26">
        <f>股权价值增加表!AN42</f>
        <v>30221166.160000026</v>
      </c>
      <c r="AO47" s="26">
        <f>股权价值增加表!AO42</f>
        <v>17288015.960000012</v>
      </c>
      <c r="AP47" s="26">
        <f>股权价值增加表!AP42</f>
        <v>0</v>
      </c>
      <c r="AQ47" s="26">
        <f>股权价值增加表!AQ42</f>
        <v>-329680221.73000002</v>
      </c>
      <c r="AR47" s="26">
        <f>股权价值增加表!AR42</f>
        <v>-320202934.91000003</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427</v>
      </c>
      <c r="E48" s="63">
        <f>股权价值增加表!E43</f>
        <v>0.21276967061566579</v>
      </c>
      <c r="F48" s="63">
        <f>股权价值增加表!F43</f>
        <v>0.20064504552989099</v>
      </c>
      <c r="G48" s="63">
        <f>股权价值增加表!G43</f>
        <v>0.20925198501976561</v>
      </c>
      <c r="H48" s="63">
        <f>股权价值增加表!H43</f>
        <v>0.20215790169464165</v>
      </c>
      <c r="I48" s="63">
        <f>股权价值增加表!I43</f>
        <v>0.21608075223213757</v>
      </c>
      <c r="J48" s="63">
        <f>股权价值增加表!J43</f>
        <v>0.19760983482729308</v>
      </c>
      <c r="K48" s="63">
        <f>股权价值增加表!K43</f>
        <v>0.19938345005066224</v>
      </c>
      <c r="L48" s="63">
        <f>股权价值增加表!L43</f>
        <v>0.1989874041088657</v>
      </c>
      <c r="M48" s="63">
        <f>股权价值增加表!M43</f>
        <v>0.18798060672790617</v>
      </c>
      <c r="N48" s="63">
        <f>股权价值增加表!N43</f>
        <v>0.19582065214279831</v>
      </c>
      <c r="O48" s="63">
        <f>股权价值增加表!O43</f>
        <v>0.19882086949050184</v>
      </c>
      <c r="P48" s="63">
        <f>股权价值增加表!P43</f>
        <v>0.19399218106999913</v>
      </c>
      <c r="Q48" s="63">
        <f>股权价值增加表!Q43</f>
        <v>0.1939957281781389</v>
      </c>
      <c r="R48" s="63">
        <f>股权价值增加表!R43</f>
        <v>0.19288198274067483</v>
      </c>
      <c r="S48" s="63">
        <f>股权价值增加表!S43</f>
        <v>0.18676720649059411</v>
      </c>
      <c r="T48" s="63">
        <f>股权价值增加表!T43</f>
        <v>0.17346465093601846</v>
      </c>
      <c r="U48" s="63">
        <f>股权价值增加表!U43</f>
        <v>0.20826283823420177</v>
      </c>
      <c r="V48" s="63">
        <f>股权价值增加表!V43</f>
        <v>0.20501699485243927</v>
      </c>
      <c r="W48" s="63">
        <f>股权价值增加表!W43</f>
        <v>0.1909707438478162</v>
      </c>
      <c r="X48" s="63">
        <f>股权价值增加表!X43</f>
        <v>0.19717781213295404</v>
      </c>
      <c r="Y48" s="63">
        <f>股权价值增加表!Y43</f>
        <v>0.19492309045448186</v>
      </c>
      <c r="Z48" s="63">
        <f>股权价值增加表!Z43</f>
        <v>0.20524629296847474</v>
      </c>
      <c r="AA48" s="63">
        <f>股权价值增加表!AA43</f>
        <v>0.18677434536760579</v>
      </c>
      <c r="AB48" s="63">
        <f>股权价值增加表!AB43</f>
        <v>0.10764158084099006</v>
      </c>
      <c r="AC48" s="63">
        <f>股权价值增加表!AC43</f>
        <v>9.1199137004556161E-2</v>
      </c>
      <c r="AD48" s="63">
        <f>股权价值增加表!AD43</f>
        <v>9.5226369945543704E-2</v>
      </c>
      <c r="AE48" s="63">
        <f>股权价值增加表!AE43</f>
        <v>9.1421665029725263E-2</v>
      </c>
      <c r="AF48" s="63">
        <f>股权价值增加表!AF43</f>
        <v>6.7088011073178022E-2</v>
      </c>
      <c r="AG48" s="63">
        <f>股权价值增加表!AG43</f>
        <v>0.13855854089165215</v>
      </c>
      <c r="AH48" s="63">
        <f>股权价值增加表!AH43</f>
        <v>0.15102987100547982</v>
      </c>
      <c r="AI48" s="63">
        <f>股权价值增加表!AI43</f>
        <v>0.13940681867559715</v>
      </c>
      <c r="AJ48" s="63">
        <f>股权价值增加表!AJ43</f>
        <v>0.10589153687024543</v>
      </c>
      <c r="AK48" s="63">
        <f>股权价值增加表!AK43</f>
        <v>0.12671634150124825</v>
      </c>
      <c r="AL48" s="63">
        <f>股权价值增加表!AL43</f>
        <v>0.10282133585717541</v>
      </c>
      <c r="AM48" s="63">
        <f>股权价值增加表!AM43</f>
        <v>9.2712181308269193E-2</v>
      </c>
      <c r="AN48" s="63">
        <f>股权价值增加表!AN43</f>
        <v>0.11637985034698559</v>
      </c>
      <c r="AO48" s="63">
        <f>股权价值增加表!AO43</f>
        <v>0.10545755012884964</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425</v>
      </c>
      <c r="E49" s="59">
        <f>(E47-I47)/I47</f>
        <v>0.25730970203492987</v>
      </c>
      <c r="F49" s="59">
        <f t="shared" ref="F49:BQ49" si="38">(F47-J47)/J47</f>
        <v>0.34077100530306342</v>
      </c>
      <c r="G49" s="59">
        <f t="shared" si="38"/>
        <v>0.41142344312099749</v>
      </c>
      <c r="H49" s="59">
        <f t="shared" si="38"/>
        <v>0.36644058251280626</v>
      </c>
      <c r="I49" s="59">
        <f t="shared" si="38"/>
        <v>0.42275967663860675</v>
      </c>
      <c r="J49" s="59">
        <f t="shared" si="38"/>
        <v>0.38493295151006829</v>
      </c>
      <c r="K49" s="59">
        <f t="shared" si="38"/>
        <v>0.36677738311265667</v>
      </c>
      <c r="L49" s="59">
        <f t="shared" si="38"/>
        <v>0.37253826233919091</v>
      </c>
      <c r="M49" s="59">
        <f t="shared" si="38"/>
        <v>0.3878572144924779</v>
      </c>
      <c r="N49" s="59">
        <f t="shared" si="38"/>
        <v>0.4494843489875065</v>
      </c>
      <c r="O49" s="59">
        <f t="shared" si="38"/>
        <v>0.44961611904860993</v>
      </c>
      <c r="P49" s="59">
        <f t="shared" si="38"/>
        <v>0.37394899416348037</v>
      </c>
      <c r="Q49" s="59">
        <f t="shared" si="38"/>
        <v>0.51949974828692946</v>
      </c>
      <c r="R49" s="59">
        <f t="shared" si="38"/>
        <v>0.50723564727510706</v>
      </c>
      <c r="S49" s="59">
        <f t="shared" si="38"/>
        <v>0.57021182668928649</v>
      </c>
      <c r="T49" s="59">
        <f t="shared" si="38"/>
        <v>0.63853485109211139</v>
      </c>
      <c r="U49" s="59">
        <f t="shared" si="38"/>
        <v>0.52652028579390686</v>
      </c>
      <c r="V49" s="59">
        <f t="shared" si="38"/>
        <v>0.56059541736553287</v>
      </c>
      <c r="W49" s="59">
        <f t="shared" si="38"/>
        <v>0.6053946371761042</v>
      </c>
      <c r="X49" s="59">
        <f t="shared" si="38"/>
        <v>1.9472695046121893</v>
      </c>
      <c r="Y49" s="59">
        <f t="shared" si="38"/>
        <v>2.1297977635127574</v>
      </c>
      <c r="Z49" s="59">
        <f t="shared" si="38"/>
        <v>1.8624128725951763</v>
      </c>
      <c r="AA49" s="59">
        <f t="shared" si="38"/>
        <v>2.0346736497381208</v>
      </c>
      <c r="AB49" s="59">
        <f t="shared" si="38"/>
        <v>1.7514903914174165</v>
      </c>
      <c r="AC49" s="59">
        <f t="shared" si="38"/>
        <v>0.91610824187769813</v>
      </c>
      <c r="AD49" s="59">
        <f t="shared" si="38"/>
        <v>0.82313632466522202</v>
      </c>
      <c r="AE49" s="59">
        <f t="shared" si="38"/>
        <v>0.89992489416499455</v>
      </c>
      <c r="AF49" s="59">
        <f t="shared" si="38"/>
        <v>0.69049123885434027</v>
      </c>
      <c r="AG49" s="59">
        <f t="shared" si="38"/>
        <v>0.57297253778692725</v>
      </c>
      <c r="AH49" s="59">
        <f t="shared" si="38"/>
        <v>1.4018080229656726</v>
      </c>
      <c r="AI49" s="59">
        <f t="shared" si="38"/>
        <v>1.5039960139086705</v>
      </c>
      <c r="AJ49" s="59">
        <f t="shared" si="38"/>
        <v>-0.68793880057208268</v>
      </c>
      <c r="AK49" s="59">
        <f t="shared" si="38"/>
        <v>1.6709451684240544</v>
      </c>
      <c r="AL49" s="59" t="e">
        <f t="shared" si="38"/>
        <v>#DIV/0!</v>
      </c>
      <c r="AM49" s="59">
        <f t="shared" si="38"/>
        <v>-1.0377360180866073</v>
      </c>
      <c r="AN49" s="59">
        <f t="shared" si="38"/>
        <v>-1.0943812903166998</v>
      </c>
      <c r="AO49" s="59">
        <f t="shared" si="38"/>
        <v>-1.0283347272024721</v>
      </c>
      <c r="AP49" s="59">
        <f t="shared" si="38"/>
        <v>-1</v>
      </c>
      <c r="AQ49" s="59">
        <f t="shared" si="38"/>
        <v>-0.37232960236131291</v>
      </c>
      <c r="AR49" s="59">
        <f t="shared" si="38"/>
        <v>-0.13576435564059997</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426</v>
      </c>
      <c r="E50" s="26">
        <f>股权价值增加表!E47</f>
        <v>1066008408.7132003</v>
      </c>
      <c r="F50" s="26">
        <f>股权价值增加表!F47</f>
        <v>504891812.89599919</v>
      </c>
      <c r="G50" s="26">
        <f>股权价值增加表!G47</f>
        <v>-67838406.450799942</v>
      </c>
      <c r="H50" s="26">
        <f>股权价值增加表!H47</f>
        <v>-746425754.95120013</v>
      </c>
      <c r="I50" s="26">
        <f>股权价值增加表!I47</f>
        <v>746824145.38159871</v>
      </c>
      <c r="J50" s="26">
        <f>股权价值增加表!J47</f>
        <v>212434081.95480037</v>
      </c>
      <c r="K50" s="26">
        <f>股权价值增加表!K47</f>
        <v>93612894.427200198</v>
      </c>
      <c r="L50" s="26">
        <f>股权价值增加表!L47</f>
        <v>-372611049.25039989</v>
      </c>
      <c r="M50" s="26">
        <f>股权价值增加表!M47</f>
        <v>665044170.31879938</v>
      </c>
      <c r="N50" s="26">
        <f>股权价值增加表!N47</f>
        <v>546737379.53879952</v>
      </c>
      <c r="O50" s="26">
        <f>股权价值增加表!O47</f>
        <v>223730934.27839994</v>
      </c>
      <c r="P50" s="26">
        <f>股权价值增加表!P47</f>
        <v>-119940547.00840002</v>
      </c>
      <c r="Q50" s="26">
        <f>股权价值增加表!Q47</f>
        <v>624216343.11759949</v>
      </c>
      <c r="R50" s="26">
        <f>股权价值增加表!R47</f>
        <v>343917791.31039989</v>
      </c>
      <c r="S50" s="26">
        <f>股权价值增加表!S47</f>
        <v>114803680.23159999</v>
      </c>
      <c r="T50" s="26">
        <f>股权价值增加表!T47</f>
        <v>-117620205.67319998</v>
      </c>
      <c r="U50" s="26">
        <f>股权价值增加表!U47</f>
        <v>361076027.06559986</v>
      </c>
      <c r="V50" s="26">
        <f>股权价值增加表!V47</f>
        <v>181522688.03760022</v>
      </c>
      <c r="W50" s="26">
        <f>股权价值增加表!W47</f>
        <v>17925606.396400094</v>
      </c>
      <c r="X50" s="26">
        <f>股权价值增加表!X47</f>
        <v>-132451782.88160001</v>
      </c>
      <c r="Y50" s="26">
        <f>股权价值增加表!Y47</f>
        <v>190003121.5176</v>
      </c>
      <c r="Z50" s="26">
        <f>股权价值增加表!Z47</f>
        <v>64144213.098800033</v>
      </c>
      <c r="AA50" s="26">
        <f>股权价值增加表!AA47</f>
        <v>-45992459.841599941</v>
      </c>
      <c r="AB50" s="26">
        <f>股权价值增加表!AB47</f>
        <v>-43263982.410799973</v>
      </c>
      <c r="AC50" s="26">
        <f>股权价值增加表!AC47</f>
        <v>54982495.003199995</v>
      </c>
      <c r="AD50" s="26">
        <f>股权价值增加表!AD47</f>
        <v>23890079.426000059</v>
      </c>
      <c r="AE50" s="26">
        <f>股权价值增加表!AE47</f>
        <v>-16165573.096399993</v>
      </c>
      <c r="AF50" s="26">
        <f>股权价值增加表!AF47</f>
        <v>-56529490.515199997</v>
      </c>
      <c r="AG50" s="26">
        <f>股权价值增加表!AG47</f>
        <v>1434087.6788000315</v>
      </c>
      <c r="AH50" s="26">
        <f>股权价值增加表!AH47</f>
        <v>-12042139.132399969</v>
      </c>
      <c r="AI50" s="26">
        <f>股权价值增加表!AI47</f>
        <v>6841549.482000012</v>
      </c>
      <c r="AJ50" s="26">
        <f>股权价值增加表!AJ47</f>
        <v>-12387217.010400005</v>
      </c>
      <c r="AK50" s="26">
        <f>股权价值增加表!AK47</f>
        <v>32058276.411999971</v>
      </c>
      <c r="AL50" s="26">
        <f>股权价值增加表!AL47</f>
        <v>12042875.104799993</v>
      </c>
      <c r="AM50" s="26">
        <f>股权价值增加表!AM47</f>
        <v>12440818.810000002</v>
      </c>
      <c r="AN50" s="26">
        <f>股权价值增加表!AN47</f>
        <v>30221166.160000026</v>
      </c>
      <c r="AO50" s="26">
        <f>股权价值增加表!AO47</f>
        <v>17288015.960000012</v>
      </c>
      <c r="AP50" s="26">
        <f>股权价值增加表!AP47</f>
        <v>0</v>
      </c>
      <c r="AQ50" s="26">
        <f>股权价值增加表!AQ47</f>
        <v>-1204430921.7676001</v>
      </c>
      <c r="AR50" s="26">
        <f>股权价值增加表!AR47</f>
        <v>-1171558509.1084001</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150000000000006" customHeight="1">
      <c r="A51" s="283" t="s">
        <v>683</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c r="A54" s="17" t="s">
        <v>671</v>
      </c>
      <c r="E54" s="192">
        <f>E39</f>
        <v>4401150007.0100002</v>
      </c>
      <c r="F54" s="192">
        <f t="shared" ref="F54:AC54" si="41">F39</f>
        <v>2709905014.1599989</v>
      </c>
      <c r="G54" s="192">
        <f t="shared" si="41"/>
        <v>1763894040.02</v>
      </c>
      <c r="H54" s="192">
        <f t="shared" si="41"/>
        <v>754318032.96999979</v>
      </c>
      <c r="I54" s="192">
        <f t="shared" si="41"/>
        <v>3327287240.8399987</v>
      </c>
      <c r="J54" s="192">
        <f t="shared" si="41"/>
        <v>1903973654.1600003</v>
      </c>
      <c r="K54" s="192">
        <f t="shared" si="41"/>
        <v>1221104753.2900002</v>
      </c>
      <c r="L54" s="192">
        <f t="shared" si="41"/>
        <v>565670804.87</v>
      </c>
      <c r="M54" s="192">
        <f t="shared" si="41"/>
        <v>2695345087.6599994</v>
      </c>
      <c r="N54" s="192">
        <f t="shared" si="41"/>
        <v>1426515535.3299997</v>
      </c>
      <c r="O54" s="192">
        <f t="shared" si="41"/>
        <v>936260567.70000005</v>
      </c>
      <c r="P54" s="192">
        <f t="shared" si="41"/>
        <v>412536775.91999996</v>
      </c>
      <c r="Q54" s="192">
        <f t="shared" si="41"/>
        <v>2120583177.9799995</v>
      </c>
      <c r="R54" s="192">
        <f t="shared" si="41"/>
        <v>977428600.55999994</v>
      </c>
      <c r="S54" s="192">
        <f t="shared" si="41"/>
        <v>635475151.87</v>
      </c>
      <c r="T54" s="192">
        <f t="shared" si="41"/>
        <v>296385029.30000001</v>
      </c>
      <c r="U54" s="192">
        <f t="shared" si="41"/>
        <v>1699641483.3399999</v>
      </c>
      <c r="V54" s="192">
        <f t="shared" si="41"/>
        <v>645728382.5400002</v>
      </c>
      <c r="W54" s="192">
        <f t="shared" si="41"/>
        <v>405399026.46000016</v>
      </c>
      <c r="X54" s="192">
        <f t="shared" si="41"/>
        <v>171620710.99000001</v>
      </c>
      <c r="Y54" s="192">
        <f t="shared" si="41"/>
        <v>1343609864.3299999</v>
      </c>
      <c r="Z54" s="192">
        <f t="shared" si="41"/>
        <v>393637420.68000007</v>
      </c>
      <c r="AA54" s="192">
        <f t="shared" si="41"/>
        <v>236438877.90000007</v>
      </c>
      <c r="AB54" s="192">
        <f t="shared" si="41"/>
        <v>74595021.210000023</v>
      </c>
      <c r="AC54" s="192">
        <f t="shared" si="41"/>
        <v>679213780.48000002</v>
      </c>
    </row>
    <row r="55" spans="1:88" s="63" customFormat="1">
      <c r="A55" s="63" t="s">
        <v>672</v>
      </c>
      <c r="E55" s="63">
        <f>E54/E2</f>
        <v>0.37332450262348554</v>
      </c>
      <c r="F55" s="63">
        <f t="shared" ref="F55:AC55" si="42">F54/F2</f>
        <v>0.286743282081458</v>
      </c>
      <c r="G55" s="63">
        <f t="shared" si="42"/>
        <v>0.29151632640348002</v>
      </c>
      <c r="H55" s="63">
        <f t="shared" si="42"/>
        <v>0.27935209865679717</v>
      </c>
      <c r="I55" s="63">
        <f t="shared" si="42"/>
        <v>0.36037881033004227</v>
      </c>
      <c r="J55" s="63">
        <f t="shared" si="42"/>
        <v>0.26603258990502565</v>
      </c>
      <c r="K55" s="63">
        <f t="shared" si="42"/>
        <v>0.27140644602281799</v>
      </c>
      <c r="L55" s="63">
        <f t="shared" si="42"/>
        <v>0.28176486028414266</v>
      </c>
      <c r="M55" s="63">
        <f t="shared" si="42"/>
        <v>0.3613365060857619</v>
      </c>
      <c r="N55" s="63">
        <f t="shared" si="42"/>
        <v>0.27354520059199577</v>
      </c>
      <c r="O55" s="63">
        <f t="shared" si="42"/>
        <v>0.28361853855072189</v>
      </c>
      <c r="P55" s="63">
        <f t="shared" si="42"/>
        <v>0.27495956686453682</v>
      </c>
      <c r="Q55" s="63">
        <f t="shared" si="42"/>
        <v>0.40717085477308201</v>
      </c>
      <c r="R55" s="63">
        <f t="shared" si="42"/>
        <v>0.26759890750036641</v>
      </c>
      <c r="S55" s="63">
        <f t="shared" si="42"/>
        <v>0.26213687605086977</v>
      </c>
      <c r="T55" s="63">
        <f t="shared" si="42"/>
        <v>0.24269442446923362</v>
      </c>
      <c r="U55" s="63">
        <f t="shared" si="42"/>
        <v>0.53235206444730199</v>
      </c>
      <c r="V55" s="63">
        <f t="shared" si="42"/>
        <v>0.28322300591645216</v>
      </c>
      <c r="W55" s="63">
        <f t="shared" si="42"/>
        <v>0.26849531259748355</v>
      </c>
      <c r="X55" s="63">
        <f t="shared" si="42"/>
        <v>0.26174354060893257</v>
      </c>
      <c r="Y55" s="63">
        <f t="shared" si="42"/>
        <v>0.60126910550363621</v>
      </c>
      <c r="Z55" s="63">
        <f t="shared" si="42"/>
        <v>0.26974339242517997</v>
      </c>
      <c r="AA55" s="63">
        <f t="shared" si="42"/>
        <v>0.2458697430776538</v>
      </c>
      <c r="AB55" s="63">
        <f t="shared" si="42"/>
        <v>0.18304505131841986</v>
      </c>
      <c r="AC55" s="63">
        <f t="shared" si="42"/>
        <v>0.44508802587605778</v>
      </c>
    </row>
    <row r="56" spans="1:88">
      <c r="A56" s="17" t="s">
        <v>673</v>
      </c>
      <c r="E56" s="192">
        <f>E23</f>
        <v>2895640740.7403135</v>
      </c>
      <c r="F56" s="192">
        <f t="shared" ref="F56:AC56" si="43">F23</f>
        <v>2199157958.1671591</v>
      </c>
      <c r="G56" s="192">
        <f t="shared" si="43"/>
        <v>1440519950.5604391</v>
      </c>
      <c r="H56" s="192">
        <f t="shared" si="43"/>
        <v>603868931.67022407</v>
      </c>
      <c r="I56" s="192">
        <f t="shared" si="43"/>
        <v>2170420442.7199483</v>
      </c>
      <c r="J56" s="192">
        <f t="shared" si="43"/>
        <v>1588523086.0046282</v>
      </c>
      <c r="K56" s="192">
        <f t="shared" si="43"/>
        <v>997199787.82955527</v>
      </c>
      <c r="L56" s="192">
        <f t="shared" si="43"/>
        <v>472078020.98302275</v>
      </c>
      <c r="M56" s="192">
        <f t="shared" si="43"/>
        <v>1667174527.8494534</v>
      </c>
      <c r="N56" s="192">
        <f t="shared" si="43"/>
        <v>1197940093.6591291</v>
      </c>
      <c r="O56" s="192">
        <f t="shared" si="43"/>
        <v>784054731.98885322</v>
      </c>
      <c r="P56" s="192">
        <f t="shared" si="43"/>
        <v>349279570.24848139</v>
      </c>
      <c r="Q56" s="192">
        <f t="shared" si="43"/>
        <v>1228977512.7067084</v>
      </c>
      <c r="R56" s="192">
        <f t="shared" si="43"/>
        <v>823621706.99424863</v>
      </c>
      <c r="S56" s="192">
        <f t="shared" si="43"/>
        <v>530514901.83064175</v>
      </c>
      <c r="T56" s="192">
        <f t="shared" si="43"/>
        <v>232913611.8370584</v>
      </c>
      <c r="U56" s="192">
        <f t="shared" si="43"/>
        <v>784798657.65193367</v>
      </c>
      <c r="V56" s="192">
        <f t="shared" si="43"/>
        <v>550724313.37269509</v>
      </c>
      <c r="W56" s="192">
        <f t="shared" si="43"/>
        <v>341537359.51211429</v>
      </c>
      <c r="X56" s="192">
        <f t="shared" si="43"/>
        <v>143594922.83197463</v>
      </c>
      <c r="Y56" s="192">
        <f t="shared" si="43"/>
        <v>480461609.58303815</v>
      </c>
      <c r="Z56" s="192">
        <f t="shared" si="43"/>
        <v>331610816.34425473</v>
      </c>
      <c r="AA56" s="192">
        <f t="shared" si="43"/>
        <v>199332363.01246962</v>
      </c>
      <c r="AB56" s="192">
        <f t="shared" si="43"/>
        <v>52893939.390150942</v>
      </c>
      <c r="AC56" s="192">
        <f t="shared" si="43"/>
        <v>166276584.61329266</v>
      </c>
    </row>
    <row r="57" spans="1:88" s="63" customFormat="1">
      <c r="A57" s="63" t="s">
        <v>674</v>
      </c>
      <c r="E57" s="63">
        <f>E56/E2</f>
        <v>0.24562072130951626</v>
      </c>
      <c r="F57" s="63">
        <f t="shared" ref="F57:AC57" si="44">F56/F2</f>
        <v>0.23269958446712449</v>
      </c>
      <c r="G57" s="63">
        <f t="shared" si="44"/>
        <v>0.23807273825447045</v>
      </c>
      <c r="H57" s="63">
        <f t="shared" si="44"/>
        <v>0.22363518569418087</v>
      </c>
      <c r="I57" s="63">
        <f t="shared" si="44"/>
        <v>0.23507845293992502</v>
      </c>
      <c r="J57" s="63">
        <f t="shared" si="44"/>
        <v>0.22195628062940728</v>
      </c>
      <c r="K57" s="63">
        <f t="shared" si="44"/>
        <v>0.22164064930574548</v>
      </c>
      <c r="L57" s="63">
        <f t="shared" si="44"/>
        <v>0.23514559436396032</v>
      </c>
      <c r="M57" s="63">
        <f t="shared" si="44"/>
        <v>0.2235005163851923</v>
      </c>
      <c r="N57" s="63">
        <f t="shared" si="44"/>
        <v>0.22971412164913793</v>
      </c>
      <c r="O57" s="63">
        <f t="shared" si="44"/>
        <v>0.23751129215740918</v>
      </c>
      <c r="P57" s="63">
        <f t="shared" si="44"/>
        <v>0.23279805572722528</v>
      </c>
      <c r="Q57" s="63">
        <f t="shared" si="44"/>
        <v>0.23597462695255161</v>
      </c>
      <c r="R57" s="63">
        <f t="shared" si="44"/>
        <v>0.22548989139357442</v>
      </c>
      <c r="S57" s="63">
        <f t="shared" si="44"/>
        <v>0.21884021531776199</v>
      </c>
      <c r="T57" s="63">
        <f t="shared" si="44"/>
        <v>0.19072095209852544</v>
      </c>
      <c r="U57" s="63">
        <f t="shared" si="44"/>
        <v>0.24581018389564857</v>
      </c>
      <c r="V57" s="63">
        <f t="shared" si="44"/>
        <v>0.2415532593613797</v>
      </c>
      <c r="W57" s="63">
        <f t="shared" si="44"/>
        <v>0.22619980345456556</v>
      </c>
      <c r="X57" s="63">
        <f t="shared" si="44"/>
        <v>0.21900062817999566</v>
      </c>
      <c r="Y57" s="63">
        <f t="shared" si="44"/>
        <v>0.21500789023075978</v>
      </c>
      <c r="Z57" s="63">
        <f t="shared" si="44"/>
        <v>0.22723913394986675</v>
      </c>
      <c r="AA57" s="63">
        <f t="shared" si="44"/>
        <v>0.20728315629067495</v>
      </c>
      <c r="AB57" s="63">
        <f t="shared" si="44"/>
        <v>0.12979383466956676</v>
      </c>
      <c r="AC57" s="63">
        <f t="shared" si="44"/>
        <v>0.10896085874854086</v>
      </c>
    </row>
    <row r="58" spans="1:88" ht="93" customHeight="1">
      <c r="A58" s="279" t="s">
        <v>675</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4" customFormat="1">
      <c r="A60" s="226" t="s">
        <v>677</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c r="A61" s="89" t="s">
        <v>678</v>
      </c>
      <c r="B61" s="89"/>
      <c r="C61" s="89"/>
      <c r="D61" s="89"/>
      <c r="E61" s="89">
        <f>股权价值增加表!E38</f>
        <v>2944915093.5300002</v>
      </c>
      <c r="F61" s="89">
        <f>股权价值增加表!F38</f>
        <v>2293531157.039999</v>
      </c>
      <c r="G61" s="89">
        <f>股权价值增加表!G38</f>
        <v>1532814100.4200001</v>
      </c>
      <c r="H61" s="89">
        <f>股权价值增加表!H38</f>
        <v>677976957.64999986</v>
      </c>
      <c r="I61" s="89">
        <f>股权价值增加表!I38</f>
        <v>2332278087.4599986</v>
      </c>
      <c r="J61" s="89">
        <f>股权价值增加表!J38</f>
        <v>1667472864.2900004</v>
      </c>
      <c r="K61" s="89">
        <f>股权价值增加表!K38</f>
        <v>1067524273.7100002</v>
      </c>
      <c r="L61" s="89">
        <f>股权价值增加表!L38</f>
        <v>478076617.73000002</v>
      </c>
      <c r="M61" s="89">
        <f>股权价值增加表!M38</f>
        <v>1643687992.8999994</v>
      </c>
      <c r="N61" s="89">
        <f>股权价值增加表!N38</f>
        <v>1217617421.1599996</v>
      </c>
      <c r="O61" s="89">
        <f>股权价值增加表!O38</f>
        <v>783523837.26999998</v>
      </c>
      <c r="P61" s="89">
        <f>股权价值增加表!P38</f>
        <v>343710920.47999996</v>
      </c>
      <c r="Q61" s="89">
        <f>股权价值增加表!Q38</f>
        <v>1197526753.0299995</v>
      </c>
      <c r="R61" s="89">
        <f>股权价值增加表!R38</f>
        <v>833515635.9799999</v>
      </c>
      <c r="S61" s="89">
        <f>股权价值增加表!S38</f>
        <v>540832298.39999998</v>
      </c>
      <c r="T61" s="89">
        <f>股权价值增加表!T38</f>
        <v>266239478.65000001</v>
      </c>
      <c r="U61" s="89">
        <f>股权价值增加表!U38</f>
        <v>744680155.27999985</v>
      </c>
      <c r="V61" s="89">
        <f>股权价值增加表!V38</f>
        <v>547955278.47000027</v>
      </c>
      <c r="W61" s="89">
        <f>股权价值增加表!W38</f>
        <v>342258143.67000014</v>
      </c>
      <c r="X61" s="89">
        <f>股权价值增加表!X38</f>
        <v>154516602.97</v>
      </c>
      <c r="Y61" s="89">
        <f>股权价值增加表!Y38</f>
        <v>513244734.49000001</v>
      </c>
      <c r="Z61" s="89">
        <f>股权价值增加表!Z38</f>
        <v>355624577.08000004</v>
      </c>
      <c r="AA61" s="89">
        <f>股权价值增加表!AA38</f>
        <v>213068804.86000007</v>
      </c>
      <c r="AB61" s="89">
        <f>股权价值增加表!AB38</f>
        <v>61867643.070000023</v>
      </c>
      <c r="AC61" s="89">
        <f>股权价值增加表!AC38</f>
        <v>175894626.74000001</v>
      </c>
    </row>
    <row r="62" spans="1:88" s="192" customFormat="1">
      <c r="A62" s="89" t="s">
        <v>679</v>
      </c>
      <c r="B62" s="89"/>
      <c r="C62" s="89"/>
      <c r="D62" s="89"/>
      <c r="E62" s="89">
        <f>股权价值增加表!E40</f>
        <v>436557804.51999998</v>
      </c>
      <c r="F62" s="89">
        <f>股权价值增加表!F40</f>
        <v>397308825.33999997</v>
      </c>
      <c r="G62" s="89">
        <f>股权价值增加表!G40</f>
        <v>266681483.44999999</v>
      </c>
      <c r="H62" s="89">
        <f>股权价值增加表!H40</f>
        <v>132101872.09</v>
      </c>
      <c r="I62" s="89">
        <f>股权价值增加表!I40</f>
        <v>337258654.33999997</v>
      </c>
      <c r="J62" s="89">
        <f>股权价值增加表!J40</f>
        <v>253195314.88</v>
      </c>
      <c r="K62" s="89">
        <f>股权价值增加表!K40</f>
        <v>170463492.16999999</v>
      </c>
      <c r="L62" s="89">
        <f>股权价值增加表!L40</f>
        <v>78589737.329999998</v>
      </c>
      <c r="M62" s="89">
        <f>股权价值增加表!M40</f>
        <v>241469848.91</v>
      </c>
      <c r="N62" s="89">
        <f>股权价值增加表!N40</f>
        <v>196428960.11000001</v>
      </c>
      <c r="O62" s="89">
        <f>股权价值增加表!O40</f>
        <v>127191070.41</v>
      </c>
      <c r="P62" s="89">
        <f>股权价值增加表!P40</f>
        <v>52653912.189999998</v>
      </c>
      <c r="Q62" s="89">
        <f>股权价值增加表!Q40</f>
        <v>187179197.56999999</v>
      </c>
      <c r="R62" s="89">
        <f>股权价值增加表!R40</f>
        <v>128997189.98</v>
      </c>
      <c r="S62" s="89">
        <f>股权价值增加表!S40</f>
        <v>88069143.909999996</v>
      </c>
      <c r="T62" s="89">
        <f>股权价值增加表!T40</f>
        <v>54399730.939999998</v>
      </c>
      <c r="U62" s="89">
        <f>股权价值增加表!U40</f>
        <v>79758981.980000004</v>
      </c>
      <c r="V62" s="89">
        <f>股权价值增加表!V40</f>
        <v>80531058.989999995</v>
      </c>
      <c r="W62" s="89">
        <f>股权价值增加表!W40</f>
        <v>53912872.799999997</v>
      </c>
      <c r="X62" s="89">
        <f>股权价值增加表!X40</f>
        <v>25230523.050000001</v>
      </c>
      <c r="Y62" s="89">
        <f>股权价值增加表!Y40</f>
        <v>77665083.510000005</v>
      </c>
      <c r="Z62" s="89">
        <f>股权价值增加表!Z40</f>
        <v>56107985.990000002</v>
      </c>
      <c r="AA62" s="89">
        <f>股权价值增加表!AA40</f>
        <v>33458593.02</v>
      </c>
      <c r="AB62" s="89">
        <f>股权价值增加表!AB40</f>
        <v>18001250.899999999</v>
      </c>
      <c r="AC62" s="89">
        <f>股权价值增加表!AC40</f>
        <v>36722806.740000002</v>
      </c>
    </row>
    <row r="63" spans="1:88">
      <c r="A63" s="183" t="s">
        <v>680</v>
      </c>
      <c r="B63" s="64"/>
      <c r="C63" s="64"/>
      <c r="D63" s="64"/>
      <c r="E63" s="64">
        <f>股权价值增加表!E42</f>
        <v>2508357289.0100002</v>
      </c>
      <c r="F63" s="64">
        <f>股权价值增加表!F42</f>
        <v>1896222331.6999991</v>
      </c>
      <c r="G63" s="64">
        <f>股权价值增加表!G42</f>
        <v>1266132616.97</v>
      </c>
      <c r="H63" s="64">
        <f>股权价值增加表!H42</f>
        <v>545875085.55999982</v>
      </c>
      <c r="I63" s="64">
        <f>股权价值增加表!I42</f>
        <v>1995019433.1199987</v>
      </c>
      <c r="J63" s="64">
        <f>股权价值增加表!J42</f>
        <v>1414277549.4100003</v>
      </c>
      <c r="K63" s="64">
        <f>股权价值增加表!K42</f>
        <v>897060781.5400002</v>
      </c>
      <c r="L63" s="64">
        <f>股权价值增加表!L42</f>
        <v>399486880.40000004</v>
      </c>
      <c r="M63" s="64">
        <f>股权价值增加表!M42</f>
        <v>1402218143.9899993</v>
      </c>
      <c r="N63" s="64">
        <f>股权价值增加表!N42</f>
        <v>1021188461.0499996</v>
      </c>
      <c r="O63" s="64">
        <f>股权价值增加表!O42</f>
        <v>656332766.86000001</v>
      </c>
      <c r="P63" s="64">
        <f>股权价值增加表!P42</f>
        <v>291057008.28999996</v>
      </c>
      <c r="Q63" s="64">
        <f>股权价值增加表!Q42</f>
        <v>1010347555.4599996</v>
      </c>
      <c r="R63" s="64">
        <f>股权价值增加表!R42</f>
        <v>704518445.99999988</v>
      </c>
      <c r="S63" s="64">
        <f>股权价值增加表!S42</f>
        <v>452763154.49000001</v>
      </c>
      <c r="T63" s="64">
        <f>股权价值增加表!T42</f>
        <v>211839747.71000001</v>
      </c>
      <c r="U63" s="64">
        <f>股权价值增加表!U42</f>
        <v>664921173.29999983</v>
      </c>
      <c r="V63" s="64">
        <f>股权价值增加表!V42</f>
        <v>467424219.48000026</v>
      </c>
      <c r="W63" s="64">
        <f>股权价值增加表!W42</f>
        <v>288345270.87000012</v>
      </c>
      <c r="X63" s="64">
        <f>股权价值增加表!X42</f>
        <v>129286079.92</v>
      </c>
      <c r="Y63" s="64">
        <f>股权价值增加表!Y42</f>
        <v>435579650.98000002</v>
      </c>
      <c r="Z63" s="64">
        <f>股权价值增加表!Z42</f>
        <v>299516591.09000003</v>
      </c>
      <c r="AA63" s="64">
        <f>股权价值增加表!AA42</f>
        <v>179610211.84000006</v>
      </c>
      <c r="AB63" s="64">
        <f>股权价值增加表!AB42</f>
        <v>43866392.170000024</v>
      </c>
      <c r="AC63" s="64">
        <f>股权价值增加表!AC42</f>
        <v>139171820</v>
      </c>
    </row>
    <row r="64" spans="1:88" s="63" customFormat="1">
      <c r="A64" s="213" t="s">
        <v>681</v>
      </c>
      <c r="B64" s="213"/>
      <c r="C64" s="213"/>
      <c r="D64" s="213"/>
      <c r="E64" s="213">
        <f>1-E63/E61</f>
        <v>0.14824121940870916</v>
      </c>
      <c r="F64" s="213">
        <f t="shared" ref="F64:AC64" si="46">1-F63/F61</f>
        <v>0.17323018443436422</v>
      </c>
      <c r="G64" s="213">
        <f t="shared" si="46"/>
        <v>0.17398162202247991</v>
      </c>
      <c r="H64" s="213">
        <f t="shared" si="46"/>
        <v>0.1948471413363233</v>
      </c>
      <c r="I64" s="213">
        <f t="shared" si="46"/>
        <v>0.14460482056292712</v>
      </c>
      <c r="J64" s="213">
        <f t="shared" si="46"/>
        <v>0.1518437392909594</v>
      </c>
      <c r="K64" s="213">
        <f t="shared" si="46"/>
        <v>0.15968113921904825</v>
      </c>
      <c r="L64" s="213">
        <f t="shared" si="46"/>
        <v>0.1643873270840126</v>
      </c>
      <c r="M64" s="213">
        <f t="shared" si="46"/>
        <v>0.14690735100155405</v>
      </c>
      <c r="N64" s="213">
        <f t="shared" si="46"/>
        <v>0.16132239626044942</v>
      </c>
      <c r="O64" s="213">
        <f t="shared" si="46"/>
        <v>0.16233210064567605</v>
      </c>
      <c r="P64" s="213">
        <f t="shared" si="46"/>
        <v>0.15319243309600883</v>
      </c>
      <c r="Q64" s="213">
        <f t="shared" si="46"/>
        <v>0.15630481498337834</v>
      </c>
      <c r="R64" s="213">
        <f t="shared" si="46"/>
        <v>0.15476277158056251</v>
      </c>
      <c r="S64" s="213">
        <f t="shared" si="46"/>
        <v>0.16284002299889266</v>
      </c>
      <c r="T64" s="213">
        <f t="shared" si="46"/>
        <v>0.20432631259586487</v>
      </c>
      <c r="U64" s="213">
        <f t="shared" si="46"/>
        <v>0.10710501873117684</v>
      </c>
      <c r="V64" s="213">
        <f t="shared" si="46"/>
        <v>0.14696648094139853</v>
      </c>
      <c r="W64" s="213">
        <f t="shared" si="46"/>
        <v>0.15752108108195062</v>
      </c>
      <c r="X64" s="213">
        <f t="shared" si="46"/>
        <v>0.16328680908742599</v>
      </c>
      <c r="Y64" s="213">
        <f t="shared" si="46"/>
        <v>0.15132173462466025</v>
      </c>
      <c r="Z64" s="213">
        <f t="shared" si="46"/>
        <v>0.15777308320672723</v>
      </c>
      <c r="AA64" s="213">
        <f t="shared" si="46"/>
        <v>0.15703187072356495</v>
      </c>
      <c r="AB64" s="213">
        <f t="shared" si="46"/>
        <v>0.29096390304755138</v>
      </c>
      <c r="AC64" s="213">
        <f t="shared" si="46"/>
        <v>0.20877730844093445</v>
      </c>
    </row>
    <row r="65" spans="1:29" ht="42.6" customHeight="1">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9" customHeight="1">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c r="A69" s="286" t="s">
        <v>702</v>
      </c>
      <c r="B69" s="286"/>
      <c r="C69" s="286"/>
      <c r="D69" s="286"/>
      <c r="E69" s="286"/>
      <c r="F69" s="256"/>
      <c r="G69" s="256"/>
      <c r="H69" s="256"/>
      <c r="I69" s="256" t="s">
        <v>706</v>
      </c>
      <c r="J69" s="256"/>
      <c r="K69" s="256"/>
      <c r="L69" s="256"/>
      <c r="M69" s="256" t="s">
        <v>707</v>
      </c>
    </row>
    <row r="70" spans="1:29" ht="54">
      <c r="A70" s="287" t="s">
        <v>703</v>
      </c>
      <c r="B70" s="65"/>
      <c r="C70" s="65"/>
      <c r="D70" s="65"/>
      <c r="E70" s="65" t="s">
        <v>704</v>
      </c>
      <c r="F70" s="65"/>
      <c r="G70" s="65"/>
      <c r="H70" s="65"/>
      <c r="I70" s="257" t="s">
        <v>708</v>
      </c>
      <c r="J70" s="258"/>
      <c r="K70" s="258"/>
      <c r="L70" s="258"/>
      <c r="M70" s="257" t="s">
        <v>709</v>
      </c>
    </row>
    <row r="71" spans="1:29" ht="54.6" customHeight="1">
      <c r="A71" s="287"/>
      <c r="B71" s="65"/>
      <c r="C71" s="65"/>
      <c r="D71" s="65"/>
      <c r="E71" s="65" t="s">
        <v>705</v>
      </c>
      <c r="F71" s="65"/>
      <c r="G71" s="65"/>
      <c r="H71" s="65"/>
      <c r="I71" s="257" t="s">
        <v>710</v>
      </c>
      <c r="J71" s="258"/>
      <c r="K71" s="258"/>
      <c r="L71" s="258"/>
      <c r="M71" s="257" t="s">
        <v>711</v>
      </c>
    </row>
    <row r="72" spans="1:29" ht="54">
      <c r="A72" s="287" t="s">
        <v>719</v>
      </c>
      <c r="B72" s="65"/>
      <c r="C72" s="65"/>
      <c r="D72" s="65"/>
      <c r="E72" s="65" t="s">
        <v>712</v>
      </c>
      <c r="F72" s="65"/>
      <c r="G72" s="65"/>
      <c r="H72" s="65"/>
      <c r="I72" s="257" t="s">
        <v>720</v>
      </c>
      <c r="J72" s="258"/>
      <c r="K72" s="258"/>
      <c r="L72" s="258"/>
      <c r="M72" s="257" t="s">
        <v>721</v>
      </c>
    </row>
    <row r="73" spans="1:29" ht="40.5">
      <c r="A73" s="287"/>
      <c r="B73" s="65"/>
      <c r="C73" s="65"/>
      <c r="D73" s="65"/>
      <c r="E73" s="65" t="s">
        <v>713</v>
      </c>
      <c r="F73" s="65"/>
      <c r="G73" s="65"/>
      <c r="H73" s="65"/>
      <c r="I73" s="257" t="s">
        <v>722</v>
      </c>
      <c r="J73" s="258"/>
      <c r="K73" s="258"/>
      <c r="L73" s="258"/>
      <c r="M73" s="257" t="s">
        <v>723</v>
      </c>
    </row>
    <row r="74" spans="1:29" ht="54">
      <c r="A74" s="287"/>
      <c r="B74" s="65"/>
      <c r="C74" s="65"/>
      <c r="D74" s="65"/>
      <c r="E74" s="65" t="s">
        <v>714</v>
      </c>
      <c r="F74" s="65"/>
      <c r="G74" s="65"/>
      <c r="H74" s="65"/>
      <c r="I74" s="257" t="s">
        <v>724</v>
      </c>
      <c r="J74" s="258"/>
      <c r="K74" s="258"/>
      <c r="L74" s="258"/>
      <c r="M74" s="257" t="s">
        <v>725</v>
      </c>
    </row>
    <row r="75" spans="1:29" ht="67.5">
      <c r="A75" s="287"/>
      <c r="B75" s="65"/>
      <c r="C75" s="65"/>
      <c r="D75" s="65"/>
      <c r="E75" s="65" t="s">
        <v>715</v>
      </c>
      <c r="F75" s="65"/>
      <c r="G75" s="65"/>
      <c r="H75" s="65"/>
      <c r="I75" s="257" t="s">
        <v>726</v>
      </c>
      <c r="J75" s="258"/>
      <c r="K75" s="258"/>
      <c r="L75" s="258"/>
      <c r="M75" s="257" t="s">
        <v>727</v>
      </c>
    </row>
    <row r="76" spans="1:29">
      <c r="A76" s="287"/>
      <c r="B76" s="65"/>
      <c r="C76" s="65"/>
      <c r="D76" s="65"/>
      <c r="E76" s="65" t="s">
        <v>716</v>
      </c>
      <c r="F76" s="65"/>
      <c r="G76" s="65"/>
      <c r="H76" s="65"/>
      <c r="I76" s="257" t="s">
        <v>728</v>
      </c>
      <c r="J76" s="258"/>
      <c r="K76" s="258"/>
      <c r="L76" s="258"/>
      <c r="M76" s="257" t="s">
        <v>729</v>
      </c>
    </row>
    <row r="77" spans="1:29" ht="40.5">
      <c r="A77" s="287"/>
      <c r="B77" s="65"/>
      <c r="C77" s="65"/>
      <c r="D77" s="65"/>
      <c r="E77" s="65" t="s">
        <v>717</v>
      </c>
      <c r="F77" s="65"/>
      <c r="G77" s="65"/>
      <c r="H77" s="65"/>
      <c r="I77" s="257" t="s">
        <v>730</v>
      </c>
      <c r="J77" s="258"/>
      <c r="K77" s="258"/>
      <c r="L77" s="258"/>
      <c r="M77" s="257" t="s">
        <v>731</v>
      </c>
    </row>
    <row r="78" spans="1:29" ht="54">
      <c r="A78" s="287"/>
      <c r="B78" s="65"/>
      <c r="C78" s="65"/>
      <c r="D78" s="65"/>
      <c r="E78" s="65" t="s">
        <v>718</v>
      </c>
      <c r="F78" s="65"/>
      <c r="G78" s="65"/>
      <c r="H78" s="65"/>
      <c r="I78" s="257" t="s">
        <v>732</v>
      </c>
      <c r="J78" s="258"/>
      <c r="K78" s="258"/>
      <c r="L78" s="258"/>
      <c r="M78" s="257"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2"/>
  <sheetViews>
    <sheetView topLeftCell="A60" workbookViewId="0">
      <selection activeCell="A77" sqref="A77:AG77"/>
    </sheetView>
  </sheetViews>
  <sheetFormatPr defaultRowHeight="13.5"/>
  <cols>
    <col min="1" max="1" width="48.875" style="17" bestFit="1" customWidth="1"/>
    <col min="2" max="4" width="11.625" hidden="1" customWidth="1"/>
    <col min="5" max="5" width="20.5" bestFit="1" customWidth="1"/>
    <col min="6" max="8" width="20.5" hidden="1" customWidth="1"/>
    <col min="9" max="9" width="20.5" bestFit="1" customWidth="1"/>
    <col min="10" max="12" width="20.5" hidden="1" customWidth="1"/>
    <col min="13" max="13" width="20.5" bestFit="1" customWidth="1"/>
    <col min="14" max="16" width="20.5" hidden="1" customWidth="1"/>
    <col min="17" max="17" width="20.5" bestFit="1" customWidth="1"/>
    <col min="18" max="18" width="20.5" hidden="1" customWidth="1"/>
    <col min="19" max="19" width="19.375" hidden="1" customWidth="1"/>
    <col min="20" max="20" width="20.5" hidden="1" customWidth="1"/>
    <col min="21" max="21" width="19.375" bestFit="1" customWidth="1"/>
    <col min="22" max="23" width="19.375" hidden="1" customWidth="1"/>
    <col min="24" max="24" width="20.5" hidden="1" customWidth="1"/>
    <col min="25" max="25" width="19.375" bestFit="1" customWidth="1"/>
    <col min="26" max="28" width="19.375" hidden="1" customWidth="1"/>
    <col min="29" max="29" width="19.375" bestFit="1" customWidth="1"/>
    <col min="30" max="32" width="19.375" hidden="1" customWidth="1"/>
    <col min="33" max="33" width="19.375" bestFit="1" customWidth="1"/>
    <col min="34" max="36" width="19.375" hidden="1" customWidth="1"/>
    <col min="37" max="37" width="19.375" bestFit="1" customWidth="1"/>
    <col min="38" max="39" width="19.375" hidden="1" customWidth="1"/>
    <col min="40" max="41" width="20.5" bestFit="1" customWidth="1"/>
    <col min="42" max="42" width="20.5" hidden="1" customWidth="1"/>
    <col min="43" max="51" width="20.5" bestFit="1" customWidth="1"/>
    <col min="52" max="78" width="19.375" bestFit="1" customWidth="1"/>
    <col min="79" max="81" width="18.375" bestFit="1" customWidth="1"/>
    <col min="82" max="82" width="9.625" bestFit="1" customWidth="1"/>
    <col min="83" max="84" width="19.375" bestFit="1" customWidth="1"/>
    <col min="85" max="87" width="17.25" bestFit="1" customWidth="1"/>
    <col min="88" max="89" width="16.125" bestFit="1" customWidth="1"/>
  </cols>
  <sheetData>
    <row r="1" spans="1:89" s="26" customFormat="1" ht="14.45">
      <c r="A1" s="17">
        <v>2450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424</v>
      </c>
      <c r="E2" s="26">
        <f>股权价值增加表!E42</f>
        <v>2508357289.0100002</v>
      </c>
      <c r="F2" s="26">
        <f>股权价值增加表!F42</f>
        <v>1896222331.6999991</v>
      </c>
      <c r="G2" s="26">
        <f>股权价值增加表!G42</f>
        <v>1266132616.97</v>
      </c>
      <c r="H2" s="26">
        <f>股权价值增加表!H42</f>
        <v>545875085.55999982</v>
      </c>
      <c r="I2" s="26">
        <f>股权价值增加表!I42</f>
        <v>1995019433.1199987</v>
      </c>
      <c r="J2" s="26">
        <f>股权价值增加表!J42</f>
        <v>1414277549.4100003</v>
      </c>
      <c r="K2" s="26">
        <f>股权价值增加表!K42</f>
        <v>897060781.5400002</v>
      </c>
      <c r="L2" s="26">
        <f>股权价值增加表!L42</f>
        <v>399486880.40000004</v>
      </c>
      <c r="M2" s="26">
        <f>股权价值增加表!M42</f>
        <v>1402218143.9899993</v>
      </c>
      <c r="N2" s="26">
        <f>股权价值增加表!N42</f>
        <v>1021188461.0499996</v>
      </c>
      <c r="O2" s="26">
        <f>股权价值增加表!O42</f>
        <v>656332766.86000001</v>
      </c>
      <c r="P2" s="26">
        <f>股权价值增加表!P42</f>
        <v>291057008.28999996</v>
      </c>
      <c r="Q2" s="26">
        <f>股权价值增加表!Q42</f>
        <v>1010347555.4599996</v>
      </c>
      <c r="R2" s="26">
        <f>股权价值增加表!R42</f>
        <v>704518445.99999988</v>
      </c>
      <c r="S2" s="26">
        <f>股权价值增加表!S42</f>
        <v>452763154.49000001</v>
      </c>
      <c r="T2" s="26">
        <f>股权价值增加表!T42</f>
        <v>211839747.71000001</v>
      </c>
      <c r="U2" s="26">
        <f>股权价值增加表!U42</f>
        <v>664921173.29999983</v>
      </c>
      <c r="V2" s="26">
        <f>股权价值增加表!V42</f>
        <v>467424219.48000026</v>
      </c>
      <c r="W2" s="26">
        <f>股权价值增加表!W42</f>
        <v>288345270.87000012</v>
      </c>
      <c r="X2" s="26">
        <f>股权价值增加表!X42</f>
        <v>129286079.92</v>
      </c>
      <c r="Y2" s="26">
        <f>股权价值增加表!Y42</f>
        <v>435579650.98000002</v>
      </c>
      <c r="Z2" s="26">
        <f>股权价值增加表!Z42</f>
        <v>299516591.09000003</v>
      </c>
      <c r="AA2" s="26">
        <f>股权价值增加表!AA42</f>
        <v>179610211.84000006</v>
      </c>
      <c r="AB2" s="26">
        <f>股权价值增加表!AB42</f>
        <v>43866392.170000024</v>
      </c>
      <c r="AC2" s="26">
        <f>股权价值增加表!AC42</f>
        <v>139171820</v>
      </c>
      <c r="AD2" s="26">
        <f>股权价值增加表!AD42</f>
        <v>104637801.89000006</v>
      </c>
      <c r="AE2" s="26">
        <f>股权价值增加表!AE42</f>
        <v>59186005.670000017</v>
      </c>
      <c r="AF2" s="26">
        <f>股权价值增加表!AF42</f>
        <v>15942774.98000001</v>
      </c>
      <c r="AG2" s="26">
        <f>股权价值增加表!AG42</f>
        <v>72632545.990000024</v>
      </c>
      <c r="AH2" s="26">
        <f>股权价值增加表!AH42</f>
        <v>57394392.550000034</v>
      </c>
      <c r="AI2" s="26">
        <f>股权价值增加表!AI42</f>
        <v>31151760.710000016</v>
      </c>
      <c r="AJ2" s="26">
        <f>股权价值增加表!AJ42</f>
        <v>9430853.3599999957</v>
      </c>
      <c r="AK2" s="26">
        <f>股权价值增加表!AK42</f>
        <v>46175342.699999973</v>
      </c>
      <c r="AL2" s="26">
        <f>股权价值增加表!AL42</f>
        <v>23896328.099999994</v>
      </c>
      <c r="AM2" s="26">
        <f>股权价值增加表!AM42</f>
        <v>12440818.810000002</v>
      </c>
      <c r="AN2" s="26">
        <f>股权价值增加表!AN42</f>
        <v>30221166.160000026</v>
      </c>
      <c r="AO2" s="26">
        <f>股权价值增加表!AO42</f>
        <v>17288015.960000012</v>
      </c>
      <c r="AP2" s="26">
        <f>股权价值增加表!AP42</f>
        <v>0</v>
      </c>
      <c r="AQ2" s="26">
        <f>股权价值增加表!AQ42</f>
        <v>-329680221.73000002</v>
      </c>
      <c r="AR2" s="26">
        <f>股权价值增加表!AR42</f>
        <v>-320202934.91000003</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429</v>
      </c>
      <c r="E3" s="26">
        <f>资产资本表!E107</f>
        <v>18029361003.709999</v>
      </c>
      <c r="F3" s="26">
        <f>资产资本表!F107</f>
        <v>17391631485.049999</v>
      </c>
      <c r="G3" s="26">
        <f>资产资本表!G107</f>
        <v>16674637792.76</v>
      </c>
      <c r="H3" s="26">
        <f>资产资本表!H107</f>
        <v>16153760506.390001</v>
      </c>
      <c r="I3" s="26">
        <f>资产资本表!I107</f>
        <v>15602441096.73</v>
      </c>
      <c r="J3" s="26">
        <f>资产资本表!J107</f>
        <v>15023043343.190001</v>
      </c>
      <c r="K3" s="26">
        <f>资产资本表!K107</f>
        <v>10043098588.91</v>
      </c>
      <c r="L3" s="26">
        <f>资产资本表!L107</f>
        <v>9651224120.6300011</v>
      </c>
      <c r="M3" s="26">
        <f>资产资本表!M107</f>
        <v>9214674670.8900013</v>
      </c>
      <c r="N3" s="26">
        <f>资产资本表!N107</f>
        <v>5930638518.8900003</v>
      </c>
      <c r="O3" s="26">
        <f>资产资本表!O107</f>
        <v>5407522907.2699995</v>
      </c>
      <c r="P3" s="26">
        <f>资产资本表!P107</f>
        <v>5137469441.2299995</v>
      </c>
      <c r="Q3" s="26">
        <f>资产资本表!Q107</f>
        <v>4826640154.2799997</v>
      </c>
      <c r="R3" s="26">
        <f>资产资本表!R107</f>
        <v>4507508183.6199999</v>
      </c>
      <c r="S3" s="26">
        <f>资产资本表!S107</f>
        <v>4224493428.23</v>
      </c>
      <c r="T3" s="26">
        <f>资产资本表!T107</f>
        <v>4118249417.29</v>
      </c>
      <c r="U3" s="26">
        <f>资产资本表!U107</f>
        <v>3798064327.9300003</v>
      </c>
      <c r="V3" s="26">
        <f>资产资本表!V107</f>
        <v>3573769143.0300002</v>
      </c>
      <c r="W3" s="26">
        <f>资产资本表!W107</f>
        <v>3380245805.9200001</v>
      </c>
      <c r="X3" s="26">
        <f>资产资本表!X107</f>
        <v>3271723285.02</v>
      </c>
      <c r="Y3" s="26">
        <f>资产资本表!Y107</f>
        <v>3069706618.2800002</v>
      </c>
      <c r="Z3" s="26">
        <f>资产资本表!Z107</f>
        <v>2942154724.8900003</v>
      </c>
      <c r="AA3" s="26">
        <f>资产资本表!AA107</f>
        <v>2820033396.02</v>
      </c>
      <c r="AB3" s="26">
        <f>资产资本表!AB107</f>
        <v>1089129682.26</v>
      </c>
      <c r="AC3" s="26">
        <f>资产资本表!AC107</f>
        <v>1052366562.4599999</v>
      </c>
      <c r="AD3" s="26">
        <f>资产资本表!AD107</f>
        <v>1009346530.8000001</v>
      </c>
      <c r="AE3" s="26">
        <f>资产资本表!AE107</f>
        <v>941894734.58000004</v>
      </c>
      <c r="AF3" s="26">
        <f>资产资本表!AF107</f>
        <v>905903318.69000006</v>
      </c>
      <c r="AG3" s="26">
        <f>资产资本表!AG107</f>
        <v>889980728.88999999</v>
      </c>
      <c r="AH3" s="26">
        <f>资产资本表!AH107</f>
        <v>867956646.02999997</v>
      </c>
      <c r="AI3" s="26">
        <f>资产资本表!AI107</f>
        <v>303877640.35000002</v>
      </c>
      <c r="AJ3" s="26">
        <f>资产资本表!AJ107</f>
        <v>272725879.63</v>
      </c>
      <c r="AK3" s="26">
        <f>资产资本表!AK107</f>
        <v>176463328.59999999</v>
      </c>
      <c r="AL3" s="26">
        <f>资产资本表!AL107</f>
        <v>148168162.44</v>
      </c>
      <c r="AM3" s="26">
        <f>资产资本表!AM107</f>
        <v>0</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45" t="s">
        <v>430</v>
      </c>
      <c r="E4" s="59">
        <f>E2/E3</f>
        <v>0.13912624460144993</v>
      </c>
      <c r="F4" s="59">
        <f t="shared" ref="F4:BQ4" si="0">F2/F3</f>
        <v>0.1090307331620963</v>
      </c>
      <c r="G4" s="59">
        <f t="shared" si="0"/>
        <v>7.5931641376926651E-2</v>
      </c>
      <c r="H4" s="59">
        <f t="shared" si="0"/>
        <v>3.3792446368389954E-2</v>
      </c>
      <c r="I4" s="59">
        <f t="shared" si="0"/>
        <v>0.12786585257726882</v>
      </c>
      <c r="J4" s="59">
        <f t="shared" si="0"/>
        <v>9.4140549095273529E-2</v>
      </c>
      <c r="K4" s="59">
        <f t="shared" si="0"/>
        <v>8.9321116744843207E-2</v>
      </c>
      <c r="L4" s="59">
        <f t="shared" si="0"/>
        <v>4.1392353488722299E-2</v>
      </c>
      <c r="M4" s="59">
        <f t="shared" si="0"/>
        <v>0.15217228975209884</v>
      </c>
      <c r="N4" s="59">
        <f t="shared" si="0"/>
        <v>0.17218861979150415</v>
      </c>
      <c r="O4" s="59">
        <f t="shared" si="0"/>
        <v>0.121374015074002</v>
      </c>
      <c r="P4" s="59">
        <f t="shared" si="0"/>
        <v>5.6653769257324446E-2</v>
      </c>
      <c r="Q4" s="59">
        <f t="shared" si="0"/>
        <v>0.20932730080656184</v>
      </c>
      <c r="R4" s="59">
        <f t="shared" si="0"/>
        <v>0.15629887230380976</v>
      </c>
      <c r="S4" s="59">
        <f t="shared" si="0"/>
        <v>0.10717572702668425</v>
      </c>
      <c r="T4" s="59">
        <f t="shared" si="0"/>
        <v>5.1439270972907812E-2</v>
      </c>
      <c r="U4" s="59">
        <f t="shared" si="0"/>
        <v>0.17506843378358244</v>
      </c>
      <c r="V4" s="59">
        <f t="shared" si="0"/>
        <v>0.13079306490505349</v>
      </c>
      <c r="W4" s="59">
        <f t="shared" si="0"/>
        <v>8.5303048188095101E-2</v>
      </c>
      <c r="X4" s="59">
        <f t="shared" si="0"/>
        <v>3.9516202519923591E-2</v>
      </c>
      <c r="Y4" s="59">
        <f t="shared" si="0"/>
        <v>0.1418961826469467</v>
      </c>
      <c r="Z4" s="59">
        <f t="shared" si="0"/>
        <v>0.1018017810403218</v>
      </c>
      <c r="AA4" s="59">
        <f t="shared" si="0"/>
        <v>6.3690810220009983E-2</v>
      </c>
      <c r="AB4" s="59">
        <f t="shared" si="0"/>
        <v>4.027655556955808E-2</v>
      </c>
      <c r="AC4" s="59">
        <f t="shared" si="0"/>
        <v>0.13224652413382801</v>
      </c>
      <c r="AD4" s="59">
        <f t="shared" si="0"/>
        <v>0.10366885771833483</v>
      </c>
      <c r="AE4" s="59">
        <f t="shared" si="0"/>
        <v>6.2837176488083485E-2</v>
      </c>
      <c r="AF4" s="59">
        <f t="shared" si="0"/>
        <v>1.7598759879867074E-2</v>
      </c>
      <c r="AG4" s="59">
        <f t="shared" si="0"/>
        <v>8.1611369361433983E-2</v>
      </c>
      <c r="AH4" s="59">
        <f t="shared" si="0"/>
        <v>6.6125874849302393E-2</v>
      </c>
      <c r="AI4" s="59">
        <f t="shared" si="0"/>
        <v>0.10251415890330087</v>
      </c>
      <c r="AJ4" s="59">
        <f t="shared" si="0"/>
        <v>3.4579972288638634E-2</v>
      </c>
      <c r="AK4" s="59">
        <f t="shared" si="0"/>
        <v>0.26167103990579477</v>
      </c>
      <c r="AL4" s="59">
        <f t="shared" si="0"/>
        <v>0.16127842652888877</v>
      </c>
      <c r="AM4" s="59" t="e">
        <f t="shared" si="0"/>
        <v>#DIV/0!</v>
      </c>
      <c r="AN4" s="59">
        <f t="shared" si="0"/>
        <v>2.3749037764632165E-3</v>
      </c>
      <c r="AO4" s="59">
        <f t="shared" si="0"/>
        <v>1.509087920616216E-3</v>
      </c>
      <c r="AP4" s="59">
        <f t="shared" si="0"/>
        <v>0</v>
      </c>
      <c r="AQ4" s="59">
        <f t="shared" si="0"/>
        <v>-3.015078208827536E-2</v>
      </c>
      <c r="AR4" s="59">
        <f t="shared" si="0"/>
        <v>-3.0088761463644788E-2</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426</v>
      </c>
      <c r="E5" s="26">
        <f>股权价值增加表!E47</f>
        <v>1066008408.7132003</v>
      </c>
      <c r="F5" s="26">
        <f>股权价值增加表!F47</f>
        <v>504891812.89599919</v>
      </c>
      <c r="G5" s="26">
        <f>股权价值增加表!G47</f>
        <v>-67838406.450799942</v>
      </c>
      <c r="H5" s="26">
        <f>股权价值增加表!H47</f>
        <v>-746425754.95120013</v>
      </c>
      <c r="I5" s="26">
        <f>股权价值增加表!I47</f>
        <v>746824145.38159871</v>
      </c>
      <c r="J5" s="26">
        <f>股权价值增加表!J47</f>
        <v>212434081.95480037</v>
      </c>
      <c r="K5" s="26">
        <f>股权价值增加表!K47</f>
        <v>93612894.427200198</v>
      </c>
      <c r="L5" s="26">
        <f>股权价值增加表!L47</f>
        <v>-372611049.25039989</v>
      </c>
      <c r="M5" s="26">
        <f>股权价值增加表!M47</f>
        <v>665044170.31879938</v>
      </c>
      <c r="N5" s="26">
        <f>股权价值增加表!N47</f>
        <v>546737379.53879952</v>
      </c>
      <c r="O5" s="26">
        <f>股权价值增加表!O47</f>
        <v>223730934.27839994</v>
      </c>
      <c r="P5" s="26">
        <f>股权价值增加表!P47</f>
        <v>-119940547.00840002</v>
      </c>
      <c r="Q5" s="26">
        <f>股权价值增加表!Q47</f>
        <v>624216343.11759949</v>
      </c>
      <c r="R5" s="26">
        <f>股权价值增加表!R47</f>
        <v>343917791.31039989</v>
      </c>
      <c r="S5" s="26">
        <f>股权价值增加表!S47</f>
        <v>114803680.23159999</v>
      </c>
      <c r="T5" s="26">
        <f>股权价值增加表!T47</f>
        <v>-117620205.67319998</v>
      </c>
      <c r="U5" s="26">
        <f>股权价值增加表!U47</f>
        <v>361076027.06559986</v>
      </c>
      <c r="V5" s="26">
        <f>股权价值增加表!V47</f>
        <v>181522688.03760022</v>
      </c>
      <c r="W5" s="26">
        <f>股权价值增加表!W47</f>
        <v>17925606.396400094</v>
      </c>
      <c r="X5" s="26">
        <f>股权价值增加表!X47</f>
        <v>-132451782.88160001</v>
      </c>
      <c r="Y5" s="26">
        <f>股权价值增加表!Y47</f>
        <v>190003121.5176</v>
      </c>
      <c r="Z5" s="26">
        <f>股权价值增加表!Z47</f>
        <v>64144213.098800033</v>
      </c>
      <c r="AA5" s="26">
        <f>股权价值增加表!AA47</f>
        <v>-45992459.841599941</v>
      </c>
      <c r="AB5" s="26">
        <f>股权价值增加表!AB47</f>
        <v>-43263982.410799973</v>
      </c>
      <c r="AC5" s="26">
        <f>股权价值增加表!AC47</f>
        <v>54982495.003199995</v>
      </c>
      <c r="AD5" s="26">
        <f>股权价值增加表!AD47</f>
        <v>23890079.426000059</v>
      </c>
      <c r="AE5" s="26">
        <f>股权价值增加表!AE47</f>
        <v>-16165573.096399993</v>
      </c>
      <c r="AF5" s="26">
        <f>股权价值增加表!AF47</f>
        <v>-56529490.515199997</v>
      </c>
      <c r="AG5" s="26">
        <f>股权价值增加表!AG47</f>
        <v>1434087.6788000315</v>
      </c>
      <c r="AH5" s="26">
        <f>股权价值增加表!AH47</f>
        <v>-12042139.132399969</v>
      </c>
      <c r="AI5" s="26">
        <f>股权价值增加表!AI47</f>
        <v>6841549.482000012</v>
      </c>
      <c r="AJ5" s="26">
        <f>股权价值增加表!AJ47</f>
        <v>-12387217.010400005</v>
      </c>
      <c r="AK5" s="26">
        <f>股权价值增加表!AK47</f>
        <v>32058276.411999971</v>
      </c>
      <c r="AL5" s="26">
        <f>股权价值增加表!AL47</f>
        <v>12042875.104799993</v>
      </c>
      <c r="AM5" s="26">
        <f>股权价值增加表!AM47</f>
        <v>12440818.810000002</v>
      </c>
      <c r="AN5" s="26">
        <f>股权价值增加表!AN47</f>
        <v>30221166.160000026</v>
      </c>
      <c r="AO5" s="26">
        <f>股权价值增加表!AO47</f>
        <v>17288015.960000012</v>
      </c>
      <c r="AP5" s="26">
        <f>股权价值增加表!AP47</f>
        <v>0</v>
      </c>
      <c r="AQ5" s="26">
        <f>股权价值增加表!AQ47</f>
        <v>-1204430921.7676001</v>
      </c>
      <c r="AR5" s="26">
        <f>股权价值增加表!AR47</f>
        <v>-1171558509.1084001</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c r="A6" s="157" t="s">
        <v>437</v>
      </c>
      <c r="E6" s="157">
        <f>股权价值增加表!E31/股权价值增加表!E4</f>
        <v>0.37332450262348554</v>
      </c>
      <c r="F6" s="157">
        <f>股权价值增加表!F31/股权价值增加表!F4</f>
        <v>0.286743282081458</v>
      </c>
      <c r="G6" s="157">
        <f>股权价值增加表!G31/股权价值增加表!G4</f>
        <v>0.29151632640348002</v>
      </c>
      <c r="H6" s="157">
        <f>股权价值增加表!H31/股权价值增加表!H4</f>
        <v>0.27935209865679717</v>
      </c>
      <c r="I6" s="157">
        <f>股权价值增加表!I31/股权价值增加表!I4</f>
        <v>0.36037881033004227</v>
      </c>
      <c r="J6" s="157">
        <f>股权价值增加表!J31/股权价值增加表!J4</f>
        <v>0.26603258990502565</v>
      </c>
      <c r="K6" s="157">
        <f>股权价值增加表!K31/股权价值增加表!K4</f>
        <v>0.27140644602281799</v>
      </c>
      <c r="L6" s="157">
        <f>股权价值增加表!L31/股权价值增加表!L4</f>
        <v>0.28176486028414266</v>
      </c>
      <c r="M6" s="157">
        <f>股权价值增加表!M31/股权价值增加表!M4</f>
        <v>0.3613365060857619</v>
      </c>
      <c r="N6" s="157">
        <f>股权价值增加表!N31/股权价值增加表!N4</f>
        <v>0.27354520059199577</v>
      </c>
      <c r="O6" s="157">
        <f>股权价值增加表!O31/股权价值增加表!O4</f>
        <v>0.28361853855072189</v>
      </c>
      <c r="P6" s="157">
        <f>股权价值增加表!P31/股权价值增加表!P4</f>
        <v>0.27495956686453682</v>
      </c>
      <c r="Q6" s="157">
        <f>股权价值增加表!Q31/股权价值增加表!Q4</f>
        <v>0.40717085477308201</v>
      </c>
      <c r="R6" s="157">
        <f>股权价值增加表!R31/股权价值增加表!R4</f>
        <v>0.26759890750036641</v>
      </c>
      <c r="S6" s="157">
        <f>股权价值增加表!S31/股权价值增加表!S4</f>
        <v>0.26213687605086977</v>
      </c>
      <c r="T6" s="157">
        <f>股权价值增加表!T31/股权价值增加表!T4</f>
        <v>0.24269442446923362</v>
      </c>
      <c r="U6" s="157">
        <f>股权价值增加表!U31/股权价值增加表!U4</f>
        <v>0.53235206444730199</v>
      </c>
      <c r="V6" s="157">
        <f>股权价值增加表!V31/股权价值增加表!V4</f>
        <v>0.28322300591645216</v>
      </c>
      <c r="W6" s="157">
        <f>股权价值增加表!W31/股权价值增加表!W4</f>
        <v>0.26849531259748355</v>
      </c>
      <c r="X6" s="157">
        <f>股权价值增加表!X31/股权价值增加表!X4</f>
        <v>0.26174354060893257</v>
      </c>
      <c r="Y6" s="157">
        <f>股权价值增加表!Y31/股权价值增加表!Y4</f>
        <v>0.60126910550363621</v>
      </c>
      <c r="Z6" s="157">
        <f>股权价值增加表!Z31/股权价值增加表!Z4</f>
        <v>0.26974339242517997</v>
      </c>
      <c r="AA6" s="157">
        <f>股权价值增加表!AA31/股权价值增加表!AA4</f>
        <v>0.2458697430776538</v>
      </c>
      <c r="AB6" s="157">
        <f>股权价值增加表!AB31/股权价值增加表!AB4</f>
        <v>0.18304505131841986</v>
      </c>
      <c r="AC6" s="157">
        <f>股权价值增加表!AC31/股权价值增加表!AC4</f>
        <v>0.44508802587605778</v>
      </c>
      <c r="AD6" s="157">
        <f>股权价值增加表!AD31/股权价值增加表!AD4</f>
        <v>0.13792036579257042</v>
      </c>
      <c r="AE6" s="157">
        <f>股权价值增加表!AE31/股权价值增加表!AE4</f>
        <v>0.12690246250128331</v>
      </c>
      <c r="AF6" s="157">
        <f>股权价值增加表!AF31/股权价值增加表!AF4</f>
        <v>9.537839094089047E-2</v>
      </c>
      <c r="AG6" s="157">
        <f>股权价值增加表!AG31/股权价值增加表!AG4</f>
        <v>0.54938600688655248</v>
      </c>
      <c r="AH6" s="157">
        <f>股权价值增加表!AH31/股权价值增加表!AH4</f>
        <v>0.20617319912860199</v>
      </c>
      <c r="AI6" s="157">
        <f>股权价值增加表!AI31/股权价值增加表!AI4</f>
        <v>0.1993870433165171</v>
      </c>
      <c r="AJ6" s="157">
        <f>股权价值增加表!AJ31/股权价值增加表!AJ4</f>
        <v>0.1663137926320809</v>
      </c>
      <c r="AK6" s="157">
        <f>股权价值增加表!AK31/股权价值增加表!AK4</f>
        <v>0.18183048482397182</v>
      </c>
      <c r="AL6" s="157">
        <f>股权价值增加表!AL31/股权价值增加表!AL4</f>
        <v>0.15098693426352006</v>
      </c>
      <c r="AM6" s="157">
        <f>股权价值增加表!AM31/股权价值增加表!AM4</f>
        <v>0.14454459284874777</v>
      </c>
      <c r="AN6" s="157">
        <f>股权价值增加表!AN31/股权价值增加表!AN4</f>
        <v>0.17366486456203048</v>
      </c>
      <c r="AO6" s="157">
        <f>股权价值增加表!AO31/股权价值增加表!AO4</f>
        <v>0.16111328557089868</v>
      </c>
      <c r="AP6" s="157" t="e">
        <f>股权价值增加表!AP31/股权价值增加表!AP4</f>
        <v>#DIV/0!</v>
      </c>
      <c r="AQ6" s="157" t="e">
        <f>股权价值增加表!AQ31/股权价值增加表!AQ4</f>
        <v>#DIV/0!</v>
      </c>
      <c r="AR6" s="157" t="e">
        <f>股权价值增加表!AR31/股权价值增加表!AR4</f>
        <v>#DIV/0!</v>
      </c>
      <c r="AS6" s="157" t="e">
        <f>股权价值增加表!AS31/股权价值增加表!AS4</f>
        <v>#DIV/0!</v>
      </c>
      <c r="AT6" s="157" t="e">
        <f>股权价值增加表!AT31/股权价值增加表!AT4</f>
        <v>#DIV/0!</v>
      </c>
      <c r="AU6" s="157" t="e">
        <f>股权价值增加表!AU31/股权价值增加表!AU4</f>
        <v>#DIV/0!</v>
      </c>
      <c r="AV6" s="157" t="e">
        <f>股权价值增加表!AV31/股权价值增加表!AV4</f>
        <v>#DIV/0!</v>
      </c>
      <c r="AW6" s="157" t="e">
        <f>股权价值增加表!AW31/股权价值增加表!AW4</f>
        <v>#DIV/0!</v>
      </c>
      <c r="AX6" s="157" t="e">
        <f>股权价值增加表!AX31/股权价值增加表!AX4</f>
        <v>#DIV/0!</v>
      </c>
      <c r="AY6" s="157" t="e">
        <f>股权价值增加表!AY31/股权价值增加表!AY4</f>
        <v>#DIV/0!</v>
      </c>
      <c r="AZ6" s="157" t="e">
        <f>股权价值增加表!AZ31/股权价值增加表!AZ4</f>
        <v>#DIV/0!</v>
      </c>
      <c r="BA6" s="157" t="e">
        <f>股权价值增加表!BA31/股权价值增加表!BA4</f>
        <v>#DIV/0!</v>
      </c>
      <c r="BB6" s="157" t="e">
        <f>股权价值增加表!BB31/股权价值增加表!BB4</f>
        <v>#DIV/0!</v>
      </c>
      <c r="BC6" s="157" t="e">
        <f>股权价值增加表!BC31/股权价值增加表!BC4</f>
        <v>#DIV/0!</v>
      </c>
      <c r="BD6" s="157" t="e">
        <f>股权价值增加表!BD31/股权价值增加表!BD4</f>
        <v>#DIV/0!</v>
      </c>
      <c r="BE6" s="157" t="e">
        <f>股权价值增加表!BE31/股权价值增加表!BE4</f>
        <v>#DIV/0!</v>
      </c>
      <c r="BF6" s="157" t="e">
        <f>股权价值增加表!BF31/股权价值增加表!BF4</f>
        <v>#DIV/0!</v>
      </c>
      <c r="BG6" s="157" t="e">
        <f>股权价值增加表!BG31/股权价值增加表!BG4</f>
        <v>#DIV/0!</v>
      </c>
      <c r="BH6" s="157" t="e">
        <f>股权价值增加表!BH31/股权价值增加表!BH4</f>
        <v>#DIV/0!</v>
      </c>
      <c r="BI6" s="157" t="e">
        <f>股权价值增加表!BI31/股权价值增加表!BI4</f>
        <v>#DIV/0!</v>
      </c>
      <c r="BJ6" s="157" t="e">
        <f>股权价值增加表!BJ31/股权价值增加表!BJ4</f>
        <v>#DIV/0!</v>
      </c>
      <c r="BK6" s="157" t="e">
        <f>股权价值增加表!BK31/股权价值增加表!BK4</f>
        <v>#DIV/0!</v>
      </c>
      <c r="BL6" s="157" t="e">
        <f>股权价值增加表!BL31/股权价值增加表!BL4</f>
        <v>#DIV/0!</v>
      </c>
      <c r="BM6" s="157" t="e">
        <f>股权价值增加表!BM31/股权价值增加表!BM4</f>
        <v>#DIV/0!</v>
      </c>
      <c r="BN6" s="157" t="e">
        <f>股权价值增加表!BN31/股权价值增加表!BN4</f>
        <v>#DIV/0!</v>
      </c>
      <c r="BO6" s="157" t="e">
        <f>股权价值增加表!BO31/股权价值增加表!BO4</f>
        <v>#DIV/0!</v>
      </c>
      <c r="BP6" s="157" t="e">
        <f>股权价值增加表!BP31/股权价值增加表!BP4</f>
        <v>#DIV/0!</v>
      </c>
      <c r="BQ6" s="157" t="e">
        <f>股权价值增加表!BQ31/股权价值增加表!BQ4</f>
        <v>#DIV/0!</v>
      </c>
      <c r="BR6" s="157" t="e">
        <f>股权价值增加表!BR31/股权价值增加表!BR4</f>
        <v>#DIV/0!</v>
      </c>
      <c r="BS6" s="157" t="e">
        <f>股权价值增加表!BS31/股权价值增加表!BS4</f>
        <v>#DIV/0!</v>
      </c>
      <c r="BT6" s="157" t="e">
        <f>股权价值增加表!BT31/股权价值增加表!BT4</f>
        <v>#DIV/0!</v>
      </c>
      <c r="BU6" s="157" t="e">
        <f>股权价值增加表!BU31/股权价值增加表!BU4</f>
        <v>#DIV/0!</v>
      </c>
      <c r="BV6" s="157" t="e">
        <f>股权价值增加表!BV31/股权价值增加表!BV4</f>
        <v>#DIV/0!</v>
      </c>
      <c r="BW6" s="157" t="e">
        <f>股权价值增加表!BW31/股权价值增加表!BW4</f>
        <v>#DIV/0!</v>
      </c>
      <c r="BX6" s="157" t="e">
        <f>股权价值增加表!BX31/股权价值增加表!BX4</f>
        <v>#DIV/0!</v>
      </c>
      <c r="BY6" s="157" t="e">
        <f>股权价值增加表!BY31/股权价值增加表!BY4</f>
        <v>#DIV/0!</v>
      </c>
      <c r="BZ6" s="157" t="e">
        <f>股权价值增加表!BZ31/股权价值增加表!BZ4</f>
        <v>#DIV/0!</v>
      </c>
      <c r="CA6" s="157" t="e">
        <f>股权价值增加表!CA31/股权价值增加表!CA4</f>
        <v>#DIV/0!</v>
      </c>
      <c r="CB6" s="157" t="e">
        <f>股权价值增加表!CB31/股权价值增加表!CB4</f>
        <v>#DIV/0!</v>
      </c>
      <c r="CC6" s="157" t="e">
        <f>股权价值增加表!CC31/股权价值增加表!CC4</f>
        <v>#DIV/0!</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c r="A7" s="242" t="s">
        <v>431</v>
      </c>
      <c r="E7" s="61">
        <f>股权价值增加表!E4/资产资本表!E70</f>
        <v>0.39500934244611918</v>
      </c>
      <c r="F7" s="61">
        <f>股权价值增加表!F4/资产资本表!F70</f>
        <v>0.31262492714757789</v>
      </c>
      <c r="G7" s="61">
        <f>股权价值增加表!G4/资产资本表!G70</f>
        <v>0.21890009439388008</v>
      </c>
      <c r="H7" s="61">
        <f>股权价值增加表!H4/资产资本表!H70</f>
        <v>0.10558222200748618</v>
      </c>
      <c r="I7" s="61">
        <f>股权价值增加表!I4/资产资本表!I70</f>
        <v>0.41391310040189161</v>
      </c>
      <c r="J7" s="61">
        <f>股权价值增加表!J4/资产资本表!J70</f>
        <v>0.33674995631343446</v>
      </c>
      <c r="K7" s="61">
        <f>股权价值增加表!K4/资产资本表!K70</f>
        <v>0.26719628762593461</v>
      </c>
      <c r="L7" s="61">
        <f>股权价值增加表!L4/资产资本表!L70</f>
        <v>0.12288784375112367</v>
      </c>
      <c r="M7" s="61">
        <f>股权价值增加表!M4/资产资本表!M70</f>
        <v>0.46959653471729423</v>
      </c>
      <c r="N7" s="61">
        <f>股权价值增加表!N4/资产资本表!N70</f>
        <v>0.42102704441201366</v>
      </c>
      <c r="O7" s="61">
        <f>股权价值增加表!O4/资产资本表!O70</f>
        <v>0.30990064874469947</v>
      </c>
      <c r="P7" s="61">
        <f>股权价值增加表!P4/资产资本表!P70</f>
        <v>0.15015968423488552</v>
      </c>
      <c r="Q7" s="61">
        <f>股权价值增加表!Q4/资产资本表!Q70</f>
        <v>0.5265147240968473</v>
      </c>
      <c r="R7" s="61">
        <f>股权价值增加表!R4/资产资本表!R70</f>
        <v>0.38405512578146417</v>
      </c>
      <c r="S7" s="61">
        <f>股权价值增加表!S4/资产资本表!S70</f>
        <v>0.29103788170698958</v>
      </c>
      <c r="T7" s="61">
        <f>股权价值增加表!T4/资产资本表!T70</f>
        <v>0.16000102088241727</v>
      </c>
      <c r="U7" s="61">
        <f>股权价值增加表!U4/资产资本表!U70</f>
        <v>0.44071666065425263</v>
      </c>
      <c r="V7" s="61">
        <f>股权价值增加表!V4/资产资本表!V70</f>
        <v>0.33678431493305538</v>
      </c>
      <c r="W7" s="61">
        <f>股权价值增加表!W4/资产资本表!W70</f>
        <v>0.25619768132462567</v>
      </c>
      <c r="X7" s="61">
        <f>股权价值增加表!X4/资产资本表!X70</f>
        <v>0.11787698432452885</v>
      </c>
      <c r="Y7" s="61">
        <f>股权价值增加表!Y4/资产资本表!Y70</f>
        <v>0.40549103869794784</v>
      </c>
      <c r="Z7" s="61">
        <f>股权价值增加表!Z4/资产资本表!Z70</f>
        <v>0.34426192744832557</v>
      </c>
      <c r="AA7" s="61">
        <f>股权价值增加表!AA4/资产资本表!AA70</f>
        <v>0.26475578612531442</v>
      </c>
      <c r="AB7" s="61">
        <f>股权价值增加表!AB4/资产资本表!AB70</f>
        <v>0.23039246244140735</v>
      </c>
      <c r="AC7" s="61">
        <f>股权价值增加表!AC4/资产资本表!AC70</f>
        <v>0.88800147232468185</v>
      </c>
      <c r="AD7" s="61">
        <f>股权价值增加表!AD4/资产资本表!AD70</f>
        <v>0.77885836919416496</v>
      </c>
      <c r="AE7" s="61">
        <f>股权价值增加表!AE4/资产资本表!AE70</f>
        <v>0.49292106104494016</v>
      </c>
      <c r="AF7" s="61">
        <f>股权价值增加表!AF4/资产资本表!AF70</f>
        <v>0.20645316340927408</v>
      </c>
      <c r="AG7" s="61">
        <f>股权价值增加表!AG4/资产资本表!AG70</f>
        <v>0.48894633657668585</v>
      </c>
      <c r="AH7" s="61">
        <f>股权价值增加表!AH4/资产资本表!AH70</f>
        <v>0.38384499644860925</v>
      </c>
      <c r="AI7" s="61">
        <f>股权价值增加表!AI4/资产资本表!AI70</f>
        <v>0.38989060488563959</v>
      </c>
      <c r="AJ7" s="61">
        <f>股权价值增加表!AJ4/资产资本表!AJ70</f>
        <v>0.17067054566033021</v>
      </c>
      <c r="AK7" s="61">
        <f>股权价值增加表!AK4/资产资本表!AK70</f>
        <v>0.94776615621482652</v>
      </c>
      <c r="AL7" s="61">
        <f>股权价值增加表!AL4/资产资本表!AL70</f>
        <v>0.97787516215053605</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438</v>
      </c>
      <c r="E8" s="63">
        <f>股权价值增加表!E31/资产资本表!E70</f>
        <v>0.14746666630032754</v>
      </c>
      <c r="F8" s="63">
        <f>股权价值增加表!F31/资产资本表!F70</f>
        <v>8.9643097670773178E-2</v>
      </c>
      <c r="G8" s="63">
        <f>股权价值增加表!G31/资产资本表!G70</f>
        <v>6.3812951367078929E-2</v>
      </c>
      <c r="H8" s="63">
        <f>股权价值增加表!H31/资产资本表!H70</f>
        <v>2.9494615298639143E-2</v>
      </c>
      <c r="I8" s="63">
        <f>股权价值增加表!I31/资产资本表!I70</f>
        <v>0.14916551070285303</v>
      </c>
      <c r="J8" s="63">
        <f>股权价值增加表!J31/资产资本表!J70</f>
        <v>8.958646302846722E-2</v>
      </c>
      <c r="K8" s="63">
        <f>股权价值增加表!K31/资产资本表!K70</f>
        <v>7.2518794815045584E-2</v>
      </c>
      <c r="L8" s="63">
        <f>股权价值增加表!L31/资产资本表!L70</f>
        <v>3.4625476125154916E-2</v>
      </c>
      <c r="M8" s="63">
        <f>股权价值增加表!M31/资产资本表!M70</f>
        <v>0.16968237112472828</v>
      </c>
      <c r="N8" s="63">
        <f>股权价值增加表!N31/资产资本表!N70</f>
        <v>0.11516992731833939</v>
      </c>
      <c r="O8" s="63">
        <f>股权价值增加表!O31/资产资本表!O70</f>
        <v>8.7893569092892282E-2</v>
      </c>
      <c r="P8" s="63">
        <f>股权价值增加表!P31/资产资本表!P70</f>
        <v>4.1287841737739736E-2</v>
      </c>
      <c r="Q8" s="63">
        <f>股权价值增加表!Q31/资产资本表!Q70</f>
        <v>0.21438145026112676</v>
      </c>
      <c r="R8" s="63">
        <f>股权价值增加表!R31/资产资本表!R70</f>
        <v>0.10277273207903562</v>
      </c>
      <c r="S8" s="63">
        <f>股权价值增加表!S31/资产资本表!S70</f>
        <v>7.6291761123132837E-2</v>
      </c>
      <c r="T8" s="63">
        <f>股权价值增加表!T31/资产资本表!T70</f>
        <v>3.8831355677548092E-2</v>
      </c>
      <c r="U8" s="63">
        <f>股权价值增加表!U31/资产资本表!U70</f>
        <v>0.2346164241356124</v>
      </c>
      <c r="V8" s="63">
        <f>股权价值增加表!V31/资产资本表!V70</f>
        <v>9.5385066020853032E-2</v>
      </c>
      <c r="W8" s="63">
        <f>股权价值增加表!W31/资产资本表!W70</f>
        <v>6.8787876534005837E-2</v>
      </c>
      <c r="X8" s="63">
        <f>股权价值增加表!X31/资产资本表!X70</f>
        <v>3.0853539233405822E-2</v>
      </c>
      <c r="Y8" s="63">
        <f>股权价值增加表!Y31/资产资本表!Y70</f>
        <v>0.24380923412765546</v>
      </c>
      <c r="Z8" s="63">
        <f>股权价值增加表!Z31/资产资本表!Z70</f>
        <v>9.2862380192742511E-2</v>
      </c>
      <c r="AA8" s="63">
        <f>股权价值增加表!AA31/资产资本表!AA70</f>
        <v>6.5095437112953319E-2</v>
      </c>
      <c r="AB8" s="63">
        <f>股权价值增加表!AB31/资产资本表!AB70</f>
        <v>4.2172200110964529E-2</v>
      </c>
      <c r="AC8" s="63">
        <f>股权价值增加表!AC31/资产资本表!AC70</f>
        <v>0.39523882229202539</v>
      </c>
      <c r="AD8" s="63">
        <f>股权价值增加表!AD31/资产资本表!AD70</f>
        <v>0.10742043117986408</v>
      </c>
      <c r="AE8" s="63">
        <f>股权价值增加表!AE31/资产资本表!AE70</f>
        <v>6.2552896465348312E-2</v>
      </c>
      <c r="AF8" s="63">
        <f>股权价值增加表!AF31/资产资本表!AF70</f>
        <v>1.9691170530633285E-2</v>
      </c>
      <c r="AG8" s="63">
        <f>股权价值增加表!AG31/资产资本表!AG70</f>
        <v>0.26862027543367378</v>
      </c>
      <c r="AH8" s="63">
        <f>股权价值增加表!AH31/资产资本表!AH70</f>
        <v>7.9138550887316639E-2</v>
      </c>
      <c r="AI8" s="63">
        <f>股权价值增加表!AI31/资产资本表!AI70</f>
        <v>7.7739134925036091E-2</v>
      </c>
      <c r="AJ8" s="63">
        <f>股权价值增加表!AJ31/资产资本表!AJ70</f>
        <v>2.8384865739356255E-2</v>
      </c>
      <c r="AK8" s="63">
        <f>股权价值增加表!AK31/资产资本表!AK70</f>
        <v>0.17233277968429411</v>
      </c>
      <c r="AL8" s="63">
        <f>股权价值增加表!AL31/资产资本表!AL70</f>
        <v>0.14764637282555201</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c r="A9" s="157" t="s">
        <v>432</v>
      </c>
      <c r="E9" s="157">
        <f>股权价值增加表!E38/股权价值增加表!E31</f>
        <v>0.66912399914555076</v>
      </c>
      <c r="F9" s="157">
        <f>股权价值增加表!F38/股权价值增加表!F31</f>
        <v>0.84635112487547282</v>
      </c>
      <c r="G9" s="157">
        <f>股权价值增加表!G38/股权价值增加表!G31</f>
        <v>0.86899443256955511</v>
      </c>
      <c r="H9" s="157">
        <f>股权价值增加表!H38/股权价值增加表!H31</f>
        <v>0.89879457737551383</v>
      </c>
      <c r="I9" s="157">
        <f>股权价值增加表!I38/股权价值增加表!I31</f>
        <v>0.70095483757248367</v>
      </c>
      <c r="J9" s="157">
        <f>股权价值增加表!J38/股权价值增加表!J31</f>
        <v>0.87578568151231073</v>
      </c>
      <c r="K9" s="157">
        <f>股权价值增加表!K38/股权价值增加表!K31</f>
        <v>0.87422825178084762</v>
      </c>
      <c r="L9" s="157">
        <f>股权价值增加表!L38/股权价值增加表!L31</f>
        <v>0.84514988861740792</v>
      </c>
      <c r="M9" s="157">
        <f>股权价值增加表!M38/股权价值增加表!M31</f>
        <v>0.60982469384912397</v>
      </c>
      <c r="N9" s="157">
        <f>股权价值增加表!N38/股权价值增加表!N31</f>
        <v>0.85356057540468699</v>
      </c>
      <c r="O9" s="157">
        <f>股权价值增加表!O38/股权价值增加表!O31</f>
        <v>0.83686514662770617</v>
      </c>
      <c r="P9" s="157">
        <f>股权价值增加表!P38/股权价值增加表!P31</f>
        <v>0.83316431538373481</v>
      </c>
      <c r="Q9" s="157">
        <f>股权价值增加表!Q38/股权价值增加表!Q31</f>
        <v>0.56471576567476389</v>
      </c>
      <c r="R9" s="157">
        <f>股权价值增加表!R38/股权价值增加表!R31</f>
        <v>0.85276370622105013</v>
      </c>
      <c r="S9" s="157">
        <f>股权价值增加表!S38/股权价值增加表!S31</f>
        <v>0.85106757802961075</v>
      </c>
      <c r="T9" s="157">
        <f>股权价值增加表!T38/股权价值增加表!T31</f>
        <v>0.89828922627705743</v>
      </c>
      <c r="U9" s="157">
        <f>股权价值增加表!U38/股权价值增加表!U31</f>
        <v>0.43813955035776947</v>
      </c>
      <c r="V9" s="157">
        <f>股权价值增加表!V38/股权价值增加表!V31</f>
        <v>0.84858478159902895</v>
      </c>
      <c r="W9" s="157">
        <f>股权价值增加表!W38/股权价值增加表!W31</f>
        <v>0.84425003843409574</v>
      </c>
      <c r="X9" s="157">
        <f>股权价值增加表!X38/股权价值增加表!X31</f>
        <v>0.90033773941772899</v>
      </c>
      <c r="Y9" s="157">
        <f>股权价值增加表!Y38/股权价值增加表!Y31</f>
        <v>0.38198940638615581</v>
      </c>
      <c r="Z9" s="157">
        <f>股权价值增加表!Z38/股权价值增加表!Z31</f>
        <v>0.90343183446753195</v>
      </c>
      <c r="AA9" s="157">
        <f>股权价值增加表!AA38/股权价值增加表!AA31</f>
        <v>0.90115807836863371</v>
      </c>
      <c r="AB9" s="157">
        <f>股权价值增加表!AB38/股权价值增加表!AB31</f>
        <v>0.82938032681605034</v>
      </c>
      <c r="AC9" s="157">
        <f>股权价值增加表!AC38/股权价值增加表!AC31</f>
        <v>0.25896798886455952</v>
      </c>
      <c r="AD9" s="157">
        <f>股权价值增加表!AD38/股权价值增加表!AD31</f>
        <v>0.85630614882864542</v>
      </c>
      <c r="AE9" s="157">
        <f>股权价值增加表!AE38/股权价值增加表!AE31</f>
        <v>0.89129505692881428</v>
      </c>
      <c r="AF9" s="157">
        <f>股权价值增加表!AF38/股权价值增加表!AF31</f>
        <v>0.87423086813677375</v>
      </c>
      <c r="AG9" s="157">
        <f>股权价值增加表!AG38/股权价值增加表!AG31</f>
        <v>0.29621486055403001</v>
      </c>
      <c r="AH9" s="157">
        <f>股权价值增加表!AH38/股权价值增加表!AH31</f>
        <v>0.85861149638333945</v>
      </c>
      <c r="AI9" s="157">
        <f>股权价值增加表!AI38/股权价值增加表!AI31</f>
        <v>0.82726360600768423</v>
      </c>
      <c r="AJ9" s="157">
        <f>股权价值增加表!AJ38/股权价值增加表!AJ31</f>
        <v>0.75218195666803533</v>
      </c>
      <c r="AK9" s="157">
        <f>股权价值增加表!AK38/股权价值增加表!AK31</f>
        <v>0.82033361861099929</v>
      </c>
      <c r="AL9" s="157">
        <f>股权价值增加表!AL38/股权价值增加表!AL31</f>
        <v>0.8013976800869349</v>
      </c>
      <c r="AM9" s="157">
        <f>股权价值增加表!AM38/股权价值增加表!AM31</f>
        <v>0.75704006038910265</v>
      </c>
      <c r="AN9" s="157">
        <f>股权价值增加表!AN38/股权价值增加表!AN31</f>
        <v>0.78643837685623652</v>
      </c>
      <c r="AO9" s="157">
        <f>股权价值增加表!AO38/股权价值增加表!AO31</f>
        <v>0.71205293402360759</v>
      </c>
      <c r="AP9" s="157" t="e">
        <f>股权价值增加表!AP38/股权价值增加表!AP31</f>
        <v>#DIV/0!</v>
      </c>
      <c r="AQ9" s="157">
        <f>股权价值增加表!AQ38/股权价值增加表!AQ31</f>
        <v>-79.478184971410798</v>
      </c>
      <c r="AR9" s="157" t="e">
        <f>股权价值增加表!AR38/股权价值增加表!AR31</f>
        <v>#DIV/0!</v>
      </c>
      <c r="AS9" s="157">
        <f>股权价值增加表!AS38/股权价值增加表!AS31</f>
        <v>29.82489017332593</v>
      </c>
      <c r="AT9" s="157">
        <f>股权价值增加表!AT38/股权价值增加表!AT31</f>
        <v>74.693791916224583</v>
      </c>
      <c r="AU9" s="157">
        <f>股权价值增加表!AU38/股权价值增加表!AU31</f>
        <v>762.43841528552787</v>
      </c>
      <c r="AV9" s="157">
        <f>股权价值增加表!AV38/股权价值增加表!AV31</f>
        <v>6.0715712302299112</v>
      </c>
      <c r="AW9" s="157">
        <f>股权价值增加表!AW38/股权价值增加表!AW31</f>
        <v>10.996125403577111</v>
      </c>
      <c r="AX9" s="157">
        <f>股权价值增加表!AX38/股权价值增加表!AX31</f>
        <v>11.563322521142613</v>
      </c>
      <c r="AY9" s="157">
        <f>股权价值增加表!AY38/股权价值增加表!AY31</f>
        <v>14.314610464689412</v>
      </c>
      <c r="AZ9" s="157">
        <f>股权价值增加表!AZ38/股权价值增加表!AZ31</f>
        <v>30.177087999999998</v>
      </c>
      <c r="BA9" s="157">
        <f>股权价值增加表!BA38/股权价值增加表!BA31</f>
        <v>-5.4302495344527406</v>
      </c>
      <c r="BB9" s="157">
        <f>股权价值增加表!BB38/股权价值增加表!BB31</f>
        <v>-13.954913103035617</v>
      </c>
      <c r="BC9" s="157">
        <f>股权价值增加表!BC38/股权价值增加表!BC31</f>
        <v>-9.9942730035859633</v>
      </c>
      <c r="BD9" s="157" t="e">
        <f>股权价值增加表!BD38/股权价值增加表!BD31</f>
        <v>#DIV/0!</v>
      </c>
      <c r="BE9" s="157">
        <f>股权价值增加表!BE38/股权价值增加表!BE31</f>
        <v>-207.72438969261265</v>
      </c>
      <c r="BF9" s="157">
        <f>股权价值增加表!BF38/股权价值增加表!BF31</f>
        <v>38.123657821263173</v>
      </c>
      <c r="BG9" s="157">
        <f>股权价值增加表!BG38/股权价值增加表!BG31</f>
        <v>33.265097832398752</v>
      </c>
      <c r="BH9" s="157">
        <f>股权价值增加表!BH38/股权价值增加表!BH31</f>
        <v>2.6912248525255302</v>
      </c>
      <c r="BI9" s="157">
        <f>股权价值增加表!BI38/股权价值增加表!BI31</f>
        <v>-50.149746229058351</v>
      </c>
      <c r="BJ9" s="157">
        <f>股权价值增加表!BJ38/股权价值增加表!BJ31</f>
        <v>69.171187698585072</v>
      </c>
      <c r="BK9" s="157">
        <f>股权价值增加表!BK38/股权价值增加表!BK31</f>
        <v>232.32435186984958</v>
      </c>
      <c r="BL9" s="157">
        <f>股权价值增加表!BL38/股权价值增加表!BL31</f>
        <v>10.213152951199438</v>
      </c>
      <c r="BM9" s="157">
        <f>股权价值增加表!BM38/股权价值增加表!BM31</f>
        <v>150.18376358893079</v>
      </c>
      <c r="BN9" s="157">
        <f>股权价值增加表!BN38/股权价值增加表!BN31</f>
        <v>12.619124030745919</v>
      </c>
      <c r="BO9" s="157">
        <f>股权价值增加表!BO38/股权价值增加表!BO31</f>
        <v>8.7036936464919741</v>
      </c>
      <c r="BP9" s="157">
        <f>股权价值增加表!BP38/股权价值增加表!BP31</f>
        <v>-42.249783743212781</v>
      </c>
      <c r="BQ9" s="157">
        <f>股权价值增加表!BQ38/股权价值增加表!BQ31</f>
        <v>3.0583806324776739</v>
      </c>
      <c r="BR9" s="157">
        <f>股权价值增加表!BR38/股权价值增加表!BR31</f>
        <v>1</v>
      </c>
      <c r="BS9" s="157">
        <f>股权价值增加表!BS38/股权价值增加表!BS31</f>
        <v>2.6875461769888385</v>
      </c>
      <c r="BT9" s="157">
        <f>股权价值增加表!BT38/股权价值增加表!BT31</f>
        <v>2.0192338281291593</v>
      </c>
      <c r="BU9" s="157">
        <f>股权价值增加表!BU38/股权价值增加表!BU31</f>
        <v>7.0450850452289444</v>
      </c>
      <c r="BV9" s="157" t="e">
        <f>股权价值增加表!BV38/股权价值增加表!BV31</f>
        <v>#DIV/0!</v>
      </c>
      <c r="BW9" s="157" t="e">
        <f>股权价值增加表!BW38/股权价值增加表!BW31</f>
        <v>#DIV/0!</v>
      </c>
      <c r="BX9" s="157" t="e">
        <f>股权价值增加表!BX38/股权价值增加表!BX31</f>
        <v>#DIV/0!</v>
      </c>
      <c r="BY9" s="157" t="e">
        <f>股权价值增加表!BY38/股权价值增加表!BY31</f>
        <v>#DIV/0!</v>
      </c>
      <c r="BZ9" s="157" t="e">
        <f>股权价值增加表!BZ38/股权价值增加表!BZ31</f>
        <v>#DIV/0!</v>
      </c>
      <c r="CA9" s="157" t="e">
        <f>股权价值增加表!CA38/股权价值增加表!CA31</f>
        <v>#DIV/0!</v>
      </c>
      <c r="CB9" s="157" t="e">
        <f>股权价值增加表!CB38/股权价值增加表!CB31</f>
        <v>#DIV/0!</v>
      </c>
      <c r="CC9" s="157" t="e">
        <f>股权价值增加表!CC38/股权价值增加表!CC31</f>
        <v>#DIV/0!</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c r="A10" s="242" t="s">
        <v>433</v>
      </c>
      <c r="E10" s="61">
        <f>资产资本表!E70/资产资本表!E107</f>
        <v>1.6553581596313158</v>
      </c>
      <c r="F10" s="61">
        <f>资产资本表!F70/资产资本表!F107</f>
        <v>1.7381885654514886</v>
      </c>
      <c r="G10" s="61">
        <f>资产资本表!G70/资产资本表!G107</f>
        <v>1.6577050196437719</v>
      </c>
      <c r="H10" s="61">
        <f>资产资本表!H70/资产资本表!H107</f>
        <v>1.5832085057168759</v>
      </c>
      <c r="I10" s="61">
        <f>资产资本表!I70/资产资本表!I107</f>
        <v>1.4296486667105541</v>
      </c>
      <c r="J10" s="61">
        <f>资产资本表!J70/资产资本表!J107</f>
        <v>1.414687850861059</v>
      </c>
      <c r="K10" s="61">
        <f>资产资本表!K70/资产资本表!K107</f>
        <v>1.6766199048890862</v>
      </c>
      <c r="L10" s="61">
        <f>资产资本表!L70/资产资本表!L107</f>
        <v>1.6927218875032801</v>
      </c>
      <c r="M10" s="61">
        <f>资产资本表!M70/资产资本表!M107</f>
        <v>1.723842743578464</v>
      </c>
      <c r="N10" s="61">
        <f>资产资本表!N70/资产资本表!N107</f>
        <v>2.088507114098777</v>
      </c>
      <c r="O10" s="61">
        <f>资产资本表!O70/资产资本表!O107</f>
        <v>1.969886775247669</v>
      </c>
      <c r="P10" s="61">
        <f>资产资本表!P70/资产资本表!P107</f>
        <v>1.944872955078407</v>
      </c>
      <c r="Q10" s="61">
        <f>资产资本表!Q70/资产资本表!Q107</f>
        <v>2.049383266473396</v>
      </c>
      <c r="R10" s="61">
        <f>资产资本表!R70/资产资本表!R107</f>
        <v>2.1099424852695461</v>
      </c>
      <c r="S10" s="61">
        <f>资产资本表!S70/资产资本表!S107</f>
        <v>1.9717247795932666</v>
      </c>
      <c r="T10" s="61">
        <f>资产资本表!T70/资产资本表!T107</f>
        <v>1.8533654583365715</v>
      </c>
      <c r="U10" s="61">
        <f>资产资本表!U70/资产资本表!U107</f>
        <v>1.9073772354161969</v>
      </c>
      <c r="V10" s="61">
        <f>资产资本表!V70/资产资本表!V107</f>
        <v>1.8942748647049839</v>
      </c>
      <c r="W10" s="61">
        <f>资产资本表!W70/资产资本表!W107</f>
        <v>1.7435022643052958</v>
      </c>
      <c r="X10" s="61">
        <f>资产资本表!X70/资产资本表!X107</f>
        <v>1.7001535336708637</v>
      </c>
      <c r="Y10" s="61">
        <f>资产资本表!Y70/资产资本表!Y107</f>
        <v>1.7952550739288036</v>
      </c>
      <c r="Z10" s="61">
        <f>资产资本表!Z70/资产资本表!Z107</f>
        <v>1.4407580615049003</v>
      </c>
      <c r="AA10" s="61">
        <f>资产资本表!AA70/资产资本表!AA107</f>
        <v>1.2879947432736858</v>
      </c>
      <c r="AB10" s="61">
        <f>资产资本表!AB70/资产资本表!AB107</f>
        <v>1.6240671764445977</v>
      </c>
      <c r="AC10" s="61">
        <f>资产资本表!AC70/资产资本表!AC107</f>
        <v>1.6329761868933566</v>
      </c>
      <c r="AD10" s="61">
        <f>资产资本表!AD70/资产资本表!AD107</f>
        <v>1.3977599519183883</v>
      </c>
      <c r="AE10" s="61">
        <f>资产资本表!AE70/资产资本表!AE107</f>
        <v>1.394408947933711</v>
      </c>
      <c r="AF10" s="61">
        <f>资产资本表!AF70/资产资本表!AF107</f>
        <v>1.270619766549163</v>
      </c>
      <c r="AG10" s="61">
        <f>资产资本表!AG70/资产资本表!AG107</f>
        <v>1.2046369137083979</v>
      </c>
      <c r="AH10" s="61">
        <f>资产资本表!AH70/资产资本表!AH107</f>
        <v>1.1406507636163437</v>
      </c>
      <c r="AI10" s="61">
        <f>资产资本表!AI70/资产资本表!AI107</f>
        <v>1.8860667813856808</v>
      </c>
      <c r="AJ10" s="61">
        <f>资产资本表!AJ70/资产资本表!AJ107</f>
        <v>1.9133957825636365</v>
      </c>
      <c r="AK10" s="61">
        <f>资产资本表!AK70/资产资本表!AK107</f>
        <v>2.1788224338186941</v>
      </c>
      <c r="AL10" s="61">
        <f>资产资本表!AL70/资产资本表!AL107</f>
        <v>1.6040194144018027</v>
      </c>
      <c r="AM10" s="61" t="e">
        <f>资产资本表!AM70/资产资本表!AM107</f>
        <v>#DIV/0!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439</v>
      </c>
      <c r="E11" s="28">
        <f>E9*E10</f>
        <v>1.107639871790725</v>
      </c>
      <c r="F11" s="28">
        <f t="shared" ref="F11:BQ11" si="2">F9*F10</f>
        <v>1.4711178476155518</v>
      </c>
      <c r="G11" s="28">
        <f t="shared" si="2"/>
        <v>1.4405364329130428</v>
      </c>
      <c r="H11" s="28">
        <f t="shared" si="2"/>
        <v>1.4229792197931181</v>
      </c>
      <c r="I11" s="28">
        <f t="shared" si="2"/>
        <v>1.0021191489598142</v>
      </c>
      <c r="J11" s="28">
        <f t="shared" si="2"/>
        <v>1.2389633635935386</v>
      </c>
      <c r="K11" s="28">
        <f t="shared" si="2"/>
        <v>1.4657484883521568</v>
      </c>
      <c r="L11" s="28">
        <f t="shared" si="2"/>
        <v>1.4306037146836457</v>
      </c>
      <c r="M11" s="28">
        <f t="shared" si="2"/>
        <v>1.0512418733467708</v>
      </c>
      <c r="N11" s="28">
        <f t="shared" si="2"/>
        <v>1.7826673340469343</v>
      </c>
      <c r="O11" s="28">
        <f t="shared" si="2"/>
        <v>1.6485295850076198</v>
      </c>
      <c r="P11" s="28">
        <f t="shared" si="2"/>
        <v>1.6203987441262422</v>
      </c>
      <c r="Q11" s="28">
        <f t="shared" si="2"/>
        <v>1.1573190404875724</v>
      </c>
      <c r="R11" s="28">
        <f t="shared" si="2"/>
        <v>1.7992823736517116</v>
      </c>
      <c r="S11" s="28">
        <f t="shared" si="2"/>
        <v>1.6780710327094095</v>
      </c>
      <c r="T11" s="28">
        <f t="shared" si="2"/>
        <v>1.6648582235777827</v>
      </c>
      <c r="U11" s="28">
        <f t="shared" si="2"/>
        <v>0.83569740428789785</v>
      </c>
      <c r="V11" s="28">
        <f t="shared" si="2"/>
        <v>1.6074528223542088</v>
      </c>
      <c r="W11" s="28">
        <f t="shared" si="2"/>
        <v>1.471951853649679</v>
      </c>
      <c r="X11" s="28">
        <f t="shared" si="2"/>
        <v>1.5307123891682892</v>
      </c>
      <c r="Y11" s="28">
        <f t="shared" si="2"/>
        <v>0.68576842000179794</v>
      </c>
      <c r="Z11" s="28">
        <f t="shared" si="2"/>
        <v>1.3016266985292573</v>
      </c>
      <c r="AA11" s="28">
        <f t="shared" si="2"/>
        <v>1.1606868677974165</v>
      </c>
      <c r="AB11" s="28">
        <f t="shared" si="2"/>
        <v>1.3469693655708406</v>
      </c>
      <c r="AC11" s="28">
        <f t="shared" si="2"/>
        <v>0.42288855898348959</v>
      </c>
      <c r="AD11" s="28">
        <f t="shared" si="2"/>
        <v>1.1969104414141476</v>
      </c>
      <c r="AE11" s="28">
        <f t="shared" si="2"/>
        <v>1.242829802630625</v>
      </c>
      <c r="AF11" s="28">
        <f t="shared" si="2"/>
        <v>1.1108150215820196</v>
      </c>
      <c r="AG11" s="28">
        <f t="shared" si="2"/>
        <v>0.35683135541237015</v>
      </c>
      <c r="AH11" s="28">
        <f t="shared" si="2"/>
        <v>0.97937585899942758</v>
      </c>
      <c r="AI11" s="28">
        <f t="shared" si="2"/>
        <v>1.5602744067404251</v>
      </c>
      <c r="AJ11" s="28">
        <f t="shared" si="2"/>
        <v>1.4392217836090828</v>
      </c>
      <c r="AK11" s="28">
        <f t="shared" si="2"/>
        <v>1.7873612914453139</v>
      </c>
      <c r="AL11" s="28">
        <f t="shared" si="2"/>
        <v>1.2854574375160086</v>
      </c>
      <c r="AM11" s="28" t="e">
        <f t="shared" si="2"/>
        <v>#DIV/0!</v>
      </c>
      <c r="AN11" s="28">
        <f t="shared" si="2"/>
        <v>0</v>
      </c>
      <c r="AO11" s="28">
        <f t="shared" si="2"/>
        <v>0</v>
      </c>
      <c r="AP11" s="28" t="e">
        <f t="shared" si="2"/>
        <v>#DIV/0!</v>
      </c>
      <c r="AQ11" s="28">
        <f t="shared" si="2"/>
        <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c r="A12" s="157" t="s">
        <v>434</v>
      </c>
      <c r="E12" s="157">
        <f>E2/股权价值增加表!E38</f>
        <v>0.85175878059129084</v>
      </c>
      <c r="F12" s="157">
        <f>F2/股权价值增加表!F38</f>
        <v>0.82676981556563578</v>
      </c>
      <c r="G12" s="157">
        <f>G2/股权价值增加表!G38</f>
        <v>0.82601837797752009</v>
      </c>
      <c r="H12" s="157">
        <f>H2/股权价值增加表!H38</f>
        <v>0.8051528586636767</v>
      </c>
      <c r="I12" s="157">
        <f>I2/股权价值增加表!I38</f>
        <v>0.85539517943707288</v>
      </c>
      <c r="J12" s="157">
        <f>J2/股权价值增加表!J38</f>
        <v>0.8481562607090406</v>
      </c>
      <c r="K12" s="157">
        <f>K2/股权价值增加表!K38</f>
        <v>0.84031886078095175</v>
      </c>
      <c r="L12" s="157">
        <f>L2/股权价值增加表!L38</f>
        <v>0.8356126729159874</v>
      </c>
      <c r="M12" s="157">
        <f>M2/股权价值增加表!M38</f>
        <v>0.85309264899844595</v>
      </c>
      <c r="N12" s="157">
        <f>N2/股权价值增加表!N38</f>
        <v>0.83867760373955058</v>
      </c>
      <c r="O12" s="157">
        <f>O2/股权价值增加表!O38</f>
        <v>0.83766789935432395</v>
      </c>
      <c r="P12" s="157">
        <f>P2/股权价值增加表!P38</f>
        <v>0.84680756690399117</v>
      </c>
      <c r="Q12" s="157">
        <f>Q2/股权价值增加表!Q38</f>
        <v>0.84369518501662166</v>
      </c>
      <c r="R12" s="157">
        <f>R2/股权价值增加表!R38</f>
        <v>0.84523722841943749</v>
      </c>
      <c r="S12" s="157">
        <f>S2/股权价值增加表!S38</f>
        <v>0.83715997700110734</v>
      </c>
      <c r="T12" s="157">
        <f>T2/股权价值增加表!T38</f>
        <v>0.79567368740413513</v>
      </c>
      <c r="U12" s="157">
        <f>U2/股权价值增加表!U38</f>
        <v>0.89289498126882316</v>
      </c>
      <c r="V12" s="157">
        <f>V2/股权价值增加表!V38</f>
        <v>0.85303351905860147</v>
      </c>
      <c r="W12" s="157">
        <f>W2/股权价值增加表!W38</f>
        <v>0.84247891891804938</v>
      </c>
      <c r="X12" s="157">
        <f>X2/股权价值增加表!X38</f>
        <v>0.83671319091257401</v>
      </c>
      <c r="Y12" s="157">
        <f>Y2/股权价值增加表!Y38</f>
        <v>0.84867826537533975</v>
      </c>
      <c r="Z12" s="157">
        <f>Z2/股权价值增加表!Z38</f>
        <v>0.84222691679327277</v>
      </c>
      <c r="AA12" s="157">
        <f>AA2/股权价值增加表!AA38</f>
        <v>0.84296812927643505</v>
      </c>
      <c r="AB12" s="157">
        <f>AB2/股权价值增加表!AB38</f>
        <v>0.70903609695244862</v>
      </c>
      <c r="AC12" s="157">
        <f>AC2/股权价值增加表!AC38</f>
        <v>0.79122269155906555</v>
      </c>
      <c r="AD12" s="157">
        <f>AD2/股权价值增加表!AD38</f>
        <v>0.80630576758115735</v>
      </c>
      <c r="AE12" s="157">
        <f>AE2/股权价值增加表!AE38</f>
        <v>0.80827208352766222</v>
      </c>
      <c r="AF12" s="157">
        <f>AF2/股权价值增加表!AF38</f>
        <v>0.80457917660039868</v>
      </c>
      <c r="AG12" s="157">
        <f>AG2/股权价值增加表!AG38</f>
        <v>0.85142983701412001</v>
      </c>
      <c r="AH12" s="157">
        <f>AH2/股权价值增加表!AH38</f>
        <v>0.85316679107633531</v>
      </c>
      <c r="AI12" s="157">
        <f>AI2/股权价值增加表!AI38</f>
        <v>0.84516823190129808</v>
      </c>
      <c r="AJ12" s="157">
        <f>AJ2/股权价值增加表!AJ38</f>
        <v>0.84646708043589058</v>
      </c>
      <c r="AK12" s="157">
        <f>AK2/股权价值增加表!AK38</f>
        <v>0.84952354277920772</v>
      </c>
      <c r="AL12" s="157">
        <f>AL2/股权价值增加表!AL38</f>
        <v>0.84975904116332701</v>
      </c>
      <c r="AM12" s="157">
        <f>AM2/股权价值增加表!AM38</f>
        <v>0.84725879803393656</v>
      </c>
      <c r="AN12" s="157">
        <f>AN2/股权价值增加表!AN38</f>
        <v>0.85212073687687062</v>
      </c>
      <c r="AO12" s="157">
        <f>AO2/股权价值增加表!AO38</f>
        <v>0.91925085716301325</v>
      </c>
      <c r="AP12" s="157" t="e">
        <f>AP2/股权价值增加表!AP38</f>
        <v>#DIV/0!</v>
      </c>
      <c r="AQ12" s="157">
        <f>AQ2/股权价值增加表!AQ38</f>
        <v>-4.4623444638231016</v>
      </c>
      <c r="AR12" s="157">
        <f>AR2/股权价值增加表!AR38</f>
        <v>-20.506440938812048</v>
      </c>
      <c r="AS12" s="157">
        <f>AS2/股权价值增加表!AS38</f>
        <v>-6.3937250836614146</v>
      </c>
      <c r="AT12" s="157">
        <f>AT2/股权价值增加表!AT38</f>
        <v>-14.592366512196667</v>
      </c>
      <c r="AU12" s="157">
        <f>AU2/股权价值增加表!AU38</f>
        <v>-14.376416082794156</v>
      </c>
      <c r="AV12" s="157">
        <f>AV2/股权价值增加表!AV38</f>
        <v>-91.644454630179325</v>
      </c>
      <c r="AW12" s="157">
        <f>AW2/股权价值增加表!AW38</f>
        <v>-9.9162205411310982</v>
      </c>
      <c r="AX12" s="157">
        <f>AX2/股权价值增加表!AX38</f>
        <v>-17.231369460204579</v>
      </c>
      <c r="AY12" s="157">
        <f>AY2/股权价值增加表!AY38</f>
        <v>-15.021387764306059</v>
      </c>
      <c r="AZ12" s="157">
        <f>AZ2/股权价值增加表!AZ38</f>
        <v>-92.098322439196252</v>
      </c>
      <c r="BA12" s="157">
        <f>BA2/股权价值增加表!BA38</f>
        <v>-17.631308838172572</v>
      </c>
      <c r="BB12" s="157">
        <f>BB2/股权价值增加表!BB38</f>
        <v>-54.304324722487436</v>
      </c>
      <c r="BC12" s="157">
        <f>BC2/股权价值增加表!BC38</f>
        <v>-66.277250227328935</v>
      </c>
      <c r="BD12" s="157">
        <f>BD2/股权价值增加表!BD38</f>
        <v>-38.372760490940244</v>
      </c>
      <c r="BE12" s="157">
        <f>BE2/股权价值增加表!BE38</f>
        <v>-15.764297507062913</v>
      </c>
      <c r="BF12" s="157">
        <f>BF2/股权价值增加表!BF38</f>
        <v>-26.049077122304052</v>
      </c>
      <c r="BG12" s="157">
        <f>BG2/股权价值增加表!BG38</f>
        <v>-23.303157252166656</v>
      </c>
      <c r="BH12" s="157">
        <f>BH2/股权价值增加表!BH38</f>
        <v>-69.000749015543192</v>
      </c>
      <c r="BI12" s="157">
        <f>BI2/股权价值增加表!BI38</f>
        <v>-12.790967082937895</v>
      </c>
      <c r="BJ12" s="157">
        <f>BJ2/股权价值增加表!BJ38</f>
        <v>-14.670402589550692</v>
      </c>
      <c r="BK12" s="157">
        <f>BK2/股权价值增加表!BK38</f>
        <v>-19.530470057823827</v>
      </c>
      <c r="BL12" s="157">
        <f>BL2/股权价值增加表!BL38</f>
        <v>-75.496332781702776</v>
      </c>
      <c r="BM12" s="157">
        <f>BM2/股权价值增加表!BM38</f>
        <v>-8.3062959249435355</v>
      </c>
      <c r="BN12" s="157">
        <f>BN2/股权价值增加表!BN38</f>
        <v>-7.0800067537645504</v>
      </c>
      <c r="BO12" s="157">
        <f>BO2/股权价值增加表!BO38</f>
        <v>-8.6301249443167141</v>
      </c>
      <c r="BP12" s="157">
        <f>BP2/股权价值增加表!BP38</f>
        <v>-15.511200920697274</v>
      </c>
      <c r="BQ12" s="157">
        <f>BQ2/股权价值增加表!BQ38</f>
        <v>-2.0916829946917983</v>
      </c>
      <c r="BR12" s="157">
        <f>BR2/股权价值增加表!BR38</f>
        <v>-11.625</v>
      </c>
      <c r="BS12" s="157">
        <f>BS2/股权价值增加表!BS38</f>
        <v>-5.8283566880658215</v>
      </c>
      <c r="BT12" s="157">
        <f>BT2/股权价值增加表!BT38</f>
        <v>-11.853075776272602</v>
      </c>
      <c r="BU12" s="157">
        <f>BU2/股权价值增加表!BU38</f>
        <v>-13.285141378045161</v>
      </c>
      <c r="BV12" s="157">
        <f>BV2/股权价值增加表!BV38</f>
        <v>-38.705149385866775</v>
      </c>
      <c r="BW12" s="157">
        <f>BW2/股权价值增加表!BW38</f>
        <v>-19.112527092609866</v>
      </c>
      <c r="BX12" s="157">
        <f>BX2/股权价值增加表!BX38</f>
        <v>-5.948062846312304</v>
      </c>
      <c r="BY12" s="157">
        <f>BY2/股权价值增加表!BY38</f>
        <v>-5.0894858138564683</v>
      </c>
      <c r="BZ12" s="157">
        <f>BZ2/股权价值增加表!BZ38</f>
        <v>-10.640426755835241</v>
      </c>
      <c r="CA12" s="157">
        <f>CA2/股权价值增加表!CA38</f>
        <v>15.20372750495731</v>
      </c>
      <c r="CB12" s="157">
        <f>CB2/股权价值增加表!CB38</f>
        <v>8.8774211764848925</v>
      </c>
      <c r="CC12" s="157">
        <f>CC2/股权价值增加表!CC38</f>
        <v>9.6111449985966146</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c r="A13" s="17" t="s">
        <v>435</v>
      </c>
      <c r="E13" s="63">
        <f>1-E2/股权价值增加表!E38</f>
        <v>0.14824121940870916</v>
      </c>
      <c r="F13" s="63">
        <f>1-F2/股权价值增加表!F38</f>
        <v>0.17323018443436422</v>
      </c>
      <c r="G13" s="63">
        <f>1-G2/股权价值增加表!G38</f>
        <v>0.17398162202247991</v>
      </c>
      <c r="H13" s="63">
        <f>1-H2/股权价值增加表!H38</f>
        <v>0.1948471413363233</v>
      </c>
      <c r="I13" s="63">
        <f>1-I2/股权价值增加表!I38</f>
        <v>0.14460482056292712</v>
      </c>
      <c r="J13" s="63">
        <f>1-J2/股权价值增加表!J38</f>
        <v>0.1518437392909594</v>
      </c>
      <c r="K13" s="63">
        <f>1-K2/股权价值增加表!K38</f>
        <v>0.15968113921904825</v>
      </c>
      <c r="L13" s="63">
        <f>1-L2/股权价值增加表!L38</f>
        <v>0.1643873270840126</v>
      </c>
      <c r="M13" s="63">
        <f>1-M2/股权价值增加表!M38</f>
        <v>0.14690735100155405</v>
      </c>
      <c r="N13" s="63">
        <f>1-N2/股权价值增加表!N38</f>
        <v>0.16132239626044942</v>
      </c>
      <c r="O13" s="63">
        <f>1-O2/股权价值增加表!O38</f>
        <v>0.16233210064567605</v>
      </c>
      <c r="P13" s="63">
        <f>1-P2/股权价值增加表!P38</f>
        <v>0.15319243309600883</v>
      </c>
      <c r="Q13" s="63">
        <f>1-Q2/股权价值增加表!Q38</f>
        <v>0.15630481498337834</v>
      </c>
      <c r="R13" s="63">
        <f>1-R2/股权价值增加表!R38</f>
        <v>0.15476277158056251</v>
      </c>
      <c r="S13" s="63">
        <f>1-S2/股权价值增加表!S38</f>
        <v>0.16284002299889266</v>
      </c>
      <c r="T13" s="63">
        <f>1-T2/股权价值增加表!T38</f>
        <v>0.20432631259586487</v>
      </c>
      <c r="U13" s="63">
        <f>1-U2/股权价值增加表!U38</f>
        <v>0.10710501873117684</v>
      </c>
      <c r="V13" s="63">
        <f>1-V2/股权价值增加表!V38</f>
        <v>0.14696648094139853</v>
      </c>
      <c r="W13" s="63">
        <f>1-W2/股权价值增加表!W38</f>
        <v>0.15752108108195062</v>
      </c>
      <c r="X13" s="63">
        <f>1-X2/股权价值增加表!X38</f>
        <v>0.16328680908742599</v>
      </c>
      <c r="Y13" s="63">
        <f>1-Y2/股权价值增加表!Y38</f>
        <v>0.15132173462466025</v>
      </c>
      <c r="Z13" s="63">
        <f>1-Z2/股权价值增加表!Z38</f>
        <v>0.15777308320672723</v>
      </c>
      <c r="AA13" s="63">
        <f>1-AA2/股权价值增加表!AA38</f>
        <v>0.15703187072356495</v>
      </c>
      <c r="AB13" s="63">
        <f>1-AB2/股权价值增加表!AB38</f>
        <v>0.29096390304755138</v>
      </c>
      <c r="AC13" s="63">
        <f>1-AC2/股权价值增加表!AC38</f>
        <v>0.20877730844093445</v>
      </c>
      <c r="AD13" s="63">
        <f>1-AD2/股权价值增加表!AD38</f>
        <v>0.19369423241884265</v>
      </c>
      <c r="AE13" s="63">
        <f>1-AE2/股权价值增加表!AE38</f>
        <v>0.19172791647233778</v>
      </c>
      <c r="AF13" s="63">
        <f>1-AF2/股权价值增加表!AF38</f>
        <v>0.19542082339960132</v>
      </c>
      <c r="AG13" s="63">
        <f>1-AG2/股权价值增加表!AG38</f>
        <v>0.14857016298587999</v>
      </c>
      <c r="AH13" s="63">
        <f>1-AH2/股权价值增加表!AH38</f>
        <v>0.14683320892366469</v>
      </c>
      <c r="AI13" s="63">
        <f>1-AI2/股权价值增加表!AI38</f>
        <v>0.15483176809870192</v>
      </c>
      <c r="AJ13" s="63">
        <f>1-AJ2/股权价值增加表!AJ38</f>
        <v>0.15353291956410942</v>
      </c>
      <c r="AK13" s="63">
        <f>1-AK2/股权价值增加表!AK38</f>
        <v>0.15047645722079228</v>
      </c>
      <c r="AL13" s="63">
        <f>1-AL2/股权价值增加表!AL38</f>
        <v>0.15024095883667299</v>
      </c>
      <c r="AM13" s="63">
        <f>1-AM2/股权价值增加表!AM38</f>
        <v>0.15274120196606344</v>
      </c>
      <c r="AN13" s="63">
        <f>1-AN2/股权价值增加表!AN38</f>
        <v>0.14787926312312938</v>
      </c>
      <c r="AO13" s="63">
        <f>1-AO2/股权价值增加表!AO38</f>
        <v>8.0749142836986754E-2</v>
      </c>
      <c r="AP13" s="63" t="e">
        <f>1-AP2/股权价值增加表!AP38</f>
        <v>#DIV/0!</v>
      </c>
      <c r="AQ13" s="63">
        <f>1-AQ2/股权价值增加表!AQ38</f>
        <v>5.4623444638231016</v>
      </c>
      <c r="AR13" s="63">
        <f>1-AR2/股权价值增加表!AR38</f>
        <v>21.506440938812048</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45" t="s">
        <v>436</v>
      </c>
      <c r="E14" s="59">
        <f>E6*E7*E9*E10*E12</f>
        <v>0.13912624460144993</v>
      </c>
      <c r="F14" s="59">
        <f t="shared" ref="F14:BQ14" si="4">F6*F7*F9*F10*F12</f>
        <v>0.10903073316209631</v>
      </c>
      <c r="G14" s="59">
        <f t="shared" si="4"/>
        <v>7.5931641376926623E-2</v>
      </c>
      <c r="H14" s="59">
        <f t="shared" si="4"/>
        <v>3.3792446368389947E-2</v>
      </c>
      <c r="I14" s="59">
        <f t="shared" si="4"/>
        <v>0.12786585257726882</v>
      </c>
      <c r="J14" s="59">
        <f t="shared" si="4"/>
        <v>9.4140549095273529E-2</v>
      </c>
      <c r="K14" s="59">
        <f t="shared" si="4"/>
        <v>8.9321116744843193E-2</v>
      </c>
      <c r="L14" s="59">
        <f t="shared" si="4"/>
        <v>4.1392353488722299E-2</v>
      </c>
      <c r="M14" s="59">
        <f t="shared" si="4"/>
        <v>0.15217228975209882</v>
      </c>
      <c r="N14" s="59">
        <f t="shared" si="4"/>
        <v>0.17218861979150418</v>
      </c>
      <c r="O14" s="59">
        <f t="shared" si="4"/>
        <v>0.12137401507400197</v>
      </c>
      <c r="P14" s="59">
        <f t="shared" si="4"/>
        <v>5.665376925732446E-2</v>
      </c>
      <c r="Q14" s="59">
        <f t="shared" si="4"/>
        <v>0.20932730080656187</v>
      </c>
      <c r="R14" s="59">
        <f t="shared" si="4"/>
        <v>0.15629887230380979</v>
      </c>
      <c r="S14" s="59">
        <f t="shared" si="4"/>
        <v>0.10717572702668424</v>
      </c>
      <c r="T14" s="59">
        <f t="shared" si="4"/>
        <v>5.1439270972907812E-2</v>
      </c>
      <c r="U14" s="59">
        <f t="shared" si="4"/>
        <v>0.17506843378358247</v>
      </c>
      <c r="V14" s="59">
        <f t="shared" si="4"/>
        <v>0.13079306490505349</v>
      </c>
      <c r="W14" s="59">
        <f t="shared" si="4"/>
        <v>8.5303048188095101E-2</v>
      </c>
      <c r="X14" s="59">
        <f t="shared" si="4"/>
        <v>3.9516202519923598E-2</v>
      </c>
      <c r="Y14" s="59">
        <f t="shared" si="4"/>
        <v>0.1418961826469467</v>
      </c>
      <c r="Z14" s="59">
        <f t="shared" si="4"/>
        <v>0.10180178104032181</v>
      </c>
      <c r="AA14" s="59">
        <f t="shared" si="4"/>
        <v>6.3690810220009969E-2</v>
      </c>
      <c r="AB14" s="59">
        <f t="shared" si="4"/>
        <v>4.0276555569558087E-2</v>
      </c>
      <c r="AC14" s="59">
        <f t="shared" si="4"/>
        <v>0.13224652413382801</v>
      </c>
      <c r="AD14" s="59">
        <f t="shared" si="4"/>
        <v>0.10366885771833484</v>
      </c>
      <c r="AE14" s="59">
        <f t="shared" si="4"/>
        <v>6.2837176488083471E-2</v>
      </c>
      <c r="AF14" s="59">
        <f t="shared" si="4"/>
        <v>1.7598759879867077E-2</v>
      </c>
      <c r="AG14" s="59">
        <f t="shared" si="4"/>
        <v>8.1611369361433969E-2</v>
      </c>
      <c r="AH14" s="59">
        <f t="shared" si="4"/>
        <v>6.612587484930238E-2</v>
      </c>
      <c r="AI14" s="59">
        <f t="shared" si="4"/>
        <v>0.10251415890330087</v>
      </c>
      <c r="AJ14" s="59">
        <f t="shared" si="4"/>
        <v>3.4579972288638634E-2</v>
      </c>
      <c r="AK14" s="59">
        <f t="shared" si="4"/>
        <v>0.26167103990579477</v>
      </c>
      <c r="AL14" s="59">
        <f t="shared" si="4"/>
        <v>0.16127842652888877</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row r="18" spans="1:89" s="249" customFormat="1">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39813</v>
      </c>
      <c r="AO18" s="1">
        <v>39447</v>
      </c>
      <c r="AP18" s="1">
        <v>25569</v>
      </c>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c r="A19" s="158" t="s">
        <v>446</v>
      </c>
      <c r="B19" s="76">
        <v>43373</v>
      </c>
      <c r="C19" s="76">
        <v>43281</v>
      </c>
      <c r="D19" s="76">
        <v>43190</v>
      </c>
      <c r="E19" s="76">
        <f>股权价值增加表!E4</f>
        <v>11789073516.690001</v>
      </c>
      <c r="F19" s="76">
        <f>股权价值增加表!F4</f>
        <v>9450631221.3799992</v>
      </c>
      <c r="G19" s="76">
        <f>股权价值增加表!G4</f>
        <v>6050755584.71</v>
      </c>
      <c r="H19" s="76">
        <f>股权价值增加表!H4</f>
        <v>2700241153</v>
      </c>
      <c r="I19" s="76">
        <f>股权价值增加表!I4</f>
        <v>9232749388.8799992</v>
      </c>
      <c r="J19" s="76">
        <f>股权价值增加表!J4</f>
        <v>7156918837.8000002</v>
      </c>
      <c r="K19" s="76">
        <f>股权价值增加表!K4</f>
        <v>4499173734.3900003</v>
      </c>
      <c r="L19" s="76">
        <f>股权价值增加表!L4</f>
        <v>2007598833.6500001</v>
      </c>
      <c r="M19" s="76">
        <f>股权价值增加表!M4</f>
        <v>7459376626.1199999</v>
      </c>
      <c r="N19" s="76">
        <f>股权价值增加表!N4</f>
        <v>5214917067.6099997</v>
      </c>
      <c r="O19" s="76">
        <f>股权价值增加表!O4</f>
        <v>3301126126.96</v>
      </c>
      <c r="P19" s="76">
        <f>股权价值增加表!P4</f>
        <v>1500354327.0899999</v>
      </c>
      <c r="Q19" s="76">
        <f>股权价值增加表!Q4</f>
        <v>5208091770.6199999</v>
      </c>
      <c r="R19" s="76">
        <f>股权价值增加表!R4</f>
        <v>3652588157.7399998</v>
      </c>
      <c r="S19" s="76">
        <f>股权价值增加表!S4</f>
        <v>2424211203.8699999</v>
      </c>
      <c r="T19" s="76">
        <f>股权价值增加表!T4</f>
        <v>1221227187.02</v>
      </c>
      <c r="U19" s="76">
        <f>股权价值增加表!U4</f>
        <v>3192701967.0799999</v>
      </c>
      <c r="V19" s="76">
        <f>股权价值增加表!V4</f>
        <v>2279929133.7600002</v>
      </c>
      <c r="W19" s="76">
        <f>股权价值增加表!W4</f>
        <v>1509892379.6400001</v>
      </c>
      <c r="X19" s="76">
        <f>股权价值增加表!X4</f>
        <v>655682698.38</v>
      </c>
      <c r="Y19" s="76">
        <f>股权价值增加表!Y4</f>
        <v>2234623152.98</v>
      </c>
      <c r="Z19" s="76">
        <f>股权价值增加表!Z4</f>
        <v>1459303292.4400001</v>
      </c>
      <c r="AA19" s="76">
        <f>股权价值增加表!AA4</f>
        <v>961642839.58000004</v>
      </c>
      <c r="AB19" s="76">
        <f>股权价值增加表!AB4</f>
        <v>407522741.93000001</v>
      </c>
      <c r="AC19" s="76">
        <f>股权价值增加表!AC4</f>
        <v>1526021238.48</v>
      </c>
      <c r="AD19" s="76">
        <f>股权价值增加表!AD4</f>
        <v>1098832203.2</v>
      </c>
      <c r="AE19" s="76">
        <f>股权价值增加表!AE4</f>
        <v>647395840.48000002</v>
      </c>
      <c r="AF19" s="76">
        <f>股权价值增加表!AF4</f>
        <v>237639702.31</v>
      </c>
      <c r="AG19" s="76">
        <f>股权价值增加表!AG4</f>
        <v>524201146.48000002</v>
      </c>
      <c r="AH19" s="76">
        <f>股权价值增加表!AH4</f>
        <v>380020138.85000002</v>
      </c>
      <c r="AI19" s="76">
        <f>股权价值增加表!AI4</f>
        <v>223459375.99000001</v>
      </c>
      <c r="AJ19" s="76">
        <f>股权价值增加表!AJ4</f>
        <v>89061445.689999998</v>
      </c>
      <c r="AK19" s="76">
        <f>股权价值增加表!AK4</f>
        <v>364399272.83999997</v>
      </c>
      <c r="AL19" s="76">
        <f>股权价值增加表!AL4</f>
        <v>232406318.21000001</v>
      </c>
      <c r="AM19" s="76">
        <f>股权价值增加表!AM4</f>
        <v>134187532.15000001</v>
      </c>
      <c r="AN19" s="76">
        <f>股权价值增加表!AN4</f>
        <v>259676963.58000001</v>
      </c>
      <c r="AO19" s="76">
        <f>股权价值增加表!AO4</f>
        <v>163933411.49000001</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58" t="s">
        <v>447</v>
      </c>
      <c r="E20" s="76">
        <f>股权价值增加表!E15</f>
        <v>3399601867.0100002</v>
      </c>
      <c r="F20" s="76">
        <f>股权价值增加表!F15</f>
        <v>2659939824.5599985</v>
      </c>
      <c r="G20" s="76">
        <f>股权价值增加表!G15</f>
        <v>1743932083.0699999</v>
      </c>
      <c r="H20" s="76">
        <f>股权价值增加表!H15</f>
        <v>750005325.28999984</v>
      </c>
      <c r="I20" s="76">
        <f>股权价值增加表!I15</f>
        <v>2537330692.1699986</v>
      </c>
      <c r="J20" s="76">
        <f>股权价值增加表!J15</f>
        <v>1872913234.9700003</v>
      </c>
      <c r="K20" s="76">
        <f>股权价值增加表!K15</f>
        <v>1186692140.7700002</v>
      </c>
      <c r="L20" s="76">
        <f>股权价值增加表!L15</f>
        <v>564948374.14999998</v>
      </c>
      <c r="M20" s="76">
        <f>股权价值增加表!M15</f>
        <v>1954271355.8799994</v>
      </c>
      <c r="N20" s="76">
        <f>股权价值增加表!N15</f>
        <v>1428367811.7999997</v>
      </c>
      <c r="O20" s="76">
        <f>股权价值增加表!O15</f>
        <v>935997108.87</v>
      </c>
      <c r="P20" s="76">
        <f>股权价值增加表!P15</f>
        <v>412466283.83999997</v>
      </c>
      <c r="Q20" s="76">
        <f>股权价值增加表!Q15</f>
        <v>1456660574.2599995</v>
      </c>
      <c r="R20" s="76">
        <f>股权价值增加表!R15</f>
        <v>974426680.81999993</v>
      </c>
      <c r="S20" s="76">
        <f>股权价值增加表!S15</f>
        <v>633707912.95000005</v>
      </c>
      <c r="T20" s="76">
        <f>股权价值增加表!T15</f>
        <v>292725039.82999998</v>
      </c>
      <c r="U20" s="76">
        <f>股权价值增加表!U15</f>
        <v>878937248.06999993</v>
      </c>
      <c r="V20" s="76">
        <f>股权价值增加表!V15</f>
        <v>645606885.39000022</v>
      </c>
      <c r="W20" s="76">
        <f>股权价值增加表!W15</f>
        <v>405395733.76000017</v>
      </c>
      <c r="X20" s="76">
        <f>股权价值增加表!X15</f>
        <v>171617854.71000001</v>
      </c>
      <c r="Y20" s="76">
        <f>股权价值增加表!Y15</f>
        <v>566129273.23000002</v>
      </c>
      <c r="Z20" s="76">
        <f>股权价值增加表!Z15</f>
        <v>393730964.58000004</v>
      </c>
      <c r="AA20" s="76">
        <f>股权价值增加表!AA15</f>
        <v>236464886.50000006</v>
      </c>
      <c r="AB20" s="76">
        <f>股权价值增加表!AB15</f>
        <v>74599783.590000018</v>
      </c>
      <c r="AC20" s="76">
        <f>股权价值增加表!AC15</f>
        <v>210151435.73000008</v>
      </c>
      <c r="AD20" s="76">
        <f>股权价值增加表!AD15</f>
        <v>151539117.89000005</v>
      </c>
      <c r="AE20" s="76">
        <f>股权价值增加表!AE15</f>
        <v>82149078.800000012</v>
      </c>
      <c r="AF20" s="76">
        <f>股权价值增加表!AF15</f>
        <v>22665692.430000011</v>
      </c>
      <c r="AG20" s="76">
        <f>股权价值增加表!AG15</f>
        <v>98451158.520000026</v>
      </c>
      <c r="AH20" s="76">
        <f>股权价值增加表!AH15</f>
        <v>78349967.760000035</v>
      </c>
      <c r="AI20" s="76">
        <f>股权价值增加表!AI15</f>
        <v>44554904.280000016</v>
      </c>
      <c r="AJ20" s="76">
        <f>股权价值增加表!AJ15</f>
        <v>14812146.809999995</v>
      </c>
      <c r="AK20" s="76">
        <f>股权价值增加表!AK15</f>
        <v>66346104.779999979</v>
      </c>
      <c r="AL20" s="76">
        <f>股权价值增加表!AL15</f>
        <v>35090317.489999995</v>
      </c>
      <c r="AM20" s="76">
        <f>股权价值增加表!AM15</f>
        <v>19396082.200000003</v>
      </c>
      <c r="AN20" s="76">
        <f>股权价值增加表!AN15</f>
        <v>43770764.710000023</v>
      </c>
      <c r="AO20" s="76">
        <f>股权价值增加表!AO15</f>
        <v>26238413.040000014</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c r="A21" s="233" t="s">
        <v>448</v>
      </c>
      <c r="E21" s="243">
        <f>E20/E19</f>
        <v>0.28836887497538494</v>
      </c>
      <c r="F21" s="243">
        <f t="shared" ref="F21:BQ21" si="6">F20/F19</f>
        <v>0.28145631357855366</v>
      </c>
      <c r="G21" s="243">
        <f t="shared" si="6"/>
        <v>0.28821724140979044</v>
      </c>
      <c r="H21" s="243">
        <f t="shared" si="6"/>
        <v>0.27775494216756713</v>
      </c>
      <c r="I21" s="243">
        <f t="shared" si="6"/>
        <v>0.2748185383679948</v>
      </c>
      <c r="J21" s="243">
        <f t="shared" si="6"/>
        <v>0.26169267493687604</v>
      </c>
      <c r="K21" s="243">
        <f t="shared" si="6"/>
        <v>0.26375779439219466</v>
      </c>
      <c r="L21" s="243">
        <f t="shared" si="6"/>
        <v>0.28140501213724639</v>
      </c>
      <c r="M21" s="243">
        <f t="shared" si="6"/>
        <v>0.26198856202498988</v>
      </c>
      <c r="N21" s="243">
        <f t="shared" si="6"/>
        <v>0.27390038868913819</v>
      </c>
      <c r="O21" s="243">
        <f t="shared" si="6"/>
        <v>0.28353872977642258</v>
      </c>
      <c r="P21" s="243">
        <f t="shared" si="6"/>
        <v>0.27491258324291679</v>
      </c>
      <c r="Q21" s="243">
        <f t="shared" si="6"/>
        <v>0.27969180237517027</v>
      </c>
      <c r="R21" s="243">
        <f t="shared" si="6"/>
        <v>0.26677704650472178</v>
      </c>
      <c r="S21" s="243">
        <f t="shared" si="6"/>
        <v>0.26140788060807224</v>
      </c>
      <c r="T21" s="243">
        <f t="shared" si="6"/>
        <v>0.239697447732308</v>
      </c>
      <c r="U21" s="243">
        <f t="shared" si="6"/>
        <v>0.27529573919919104</v>
      </c>
      <c r="V21" s="243">
        <f t="shared" si="6"/>
        <v>0.28316971603642876</v>
      </c>
      <c r="W21" s="243">
        <f t="shared" si="6"/>
        <v>0.26849313184603107</v>
      </c>
      <c r="X21" s="243">
        <f t="shared" si="6"/>
        <v>0.2617391844165135</v>
      </c>
      <c r="Y21" s="243">
        <f t="shared" si="6"/>
        <v>0.25334440506222883</v>
      </c>
      <c r="Z21" s="243">
        <f t="shared" si="6"/>
        <v>0.26980749417872535</v>
      </c>
      <c r="AA21" s="243">
        <f t="shared" si="6"/>
        <v>0.24589678908572407</v>
      </c>
      <c r="AB21" s="243">
        <f t="shared" si="6"/>
        <v>0.18305673748831908</v>
      </c>
      <c r="AC21" s="243">
        <f t="shared" si="6"/>
        <v>0.13771199930305184</v>
      </c>
      <c r="AD21" s="243">
        <f t="shared" si="6"/>
        <v>0.13790924351205805</v>
      </c>
      <c r="AE21" s="243">
        <f t="shared" si="6"/>
        <v>0.12689157647211952</v>
      </c>
      <c r="AF21" s="243">
        <f t="shared" si="6"/>
        <v>9.537839094089047E-2</v>
      </c>
      <c r="AG21" s="243">
        <f t="shared" si="6"/>
        <v>0.18781179549319482</v>
      </c>
      <c r="AH21" s="243">
        <f t="shared" si="6"/>
        <v>0.20617319912860199</v>
      </c>
      <c r="AI21" s="243">
        <f t="shared" si="6"/>
        <v>0.1993870433165171</v>
      </c>
      <c r="AJ21" s="243">
        <f t="shared" si="6"/>
        <v>0.1663137926320809</v>
      </c>
      <c r="AK21" s="243">
        <f t="shared" si="6"/>
        <v>0.18206980563633329</v>
      </c>
      <c r="AL21" s="243">
        <f t="shared" si="6"/>
        <v>0.15098693426352006</v>
      </c>
      <c r="AM21" s="243">
        <f t="shared" si="6"/>
        <v>0.14454459284874777</v>
      </c>
      <c r="AN21" s="243">
        <f t="shared" si="6"/>
        <v>0.16855852019586381</v>
      </c>
      <c r="AO21" s="243">
        <f t="shared" si="6"/>
        <v>0.16005531027212574</v>
      </c>
      <c r="AP21" s="243" t="e">
        <f t="shared" si="6"/>
        <v>#DIV/0!</v>
      </c>
      <c r="AQ21" s="243" t="e">
        <f t="shared" si="6"/>
        <v>#DIV/0!</v>
      </c>
      <c r="AR21" s="243" t="e">
        <f t="shared" si="6"/>
        <v>#DIV/0!</v>
      </c>
      <c r="AS21" s="243" t="e">
        <f t="shared" si="6"/>
        <v>#DIV/0!</v>
      </c>
      <c r="AT21" s="243" t="e">
        <f t="shared" si="6"/>
        <v>#DIV/0!</v>
      </c>
      <c r="AU21" s="243" t="e">
        <f t="shared" si="6"/>
        <v>#DIV/0!</v>
      </c>
      <c r="AV21" s="243" t="e">
        <f t="shared" si="6"/>
        <v>#DIV/0!</v>
      </c>
      <c r="AW21" s="243" t="e">
        <f t="shared" si="6"/>
        <v>#DIV/0!</v>
      </c>
      <c r="AX21" s="243" t="e">
        <f t="shared" si="6"/>
        <v>#DIV/0!</v>
      </c>
      <c r="AY21" s="243" t="e">
        <f t="shared" si="6"/>
        <v>#DIV/0!</v>
      </c>
      <c r="AZ21" s="243" t="e">
        <f t="shared" si="6"/>
        <v>#DIV/0!</v>
      </c>
      <c r="BA21" s="243" t="e">
        <f t="shared" si="6"/>
        <v>#DIV/0!</v>
      </c>
      <c r="BB21" s="243" t="e">
        <f t="shared" si="6"/>
        <v>#DIV/0!</v>
      </c>
      <c r="BC21" s="243" t="e">
        <f t="shared" si="6"/>
        <v>#DIV/0!</v>
      </c>
      <c r="BD21" s="243" t="e">
        <f t="shared" si="6"/>
        <v>#DIV/0!</v>
      </c>
      <c r="BE21" s="243" t="e">
        <f t="shared" si="6"/>
        <v>#DIV/0!</v>
      </c>
      <c r="BF21" s="243" t="e">
        <f t="shared" si="6"/>
        <v>#DIV/0!</v>
      </c>
      <c r="BG21" s="243" t="e">
        <f t="shared" si="6"/>
        <v>#DIV/0!</v>
      </c>
      <c r="BH21" s="243" t="e">
        <f t="shared" si="6"/>
        <v>#DIV/0!</v>
      </c>
      <c r="BI21" s="243" t="e">
        <f t="shared" si="6"/>
        <v>#DIV/0!</v>
      </c>
      <c r="BJ21" s="243" t="e">
        <f t="shared" si="6"/>
        <v>#DIV/0!</v>
      </c>
      <c r="BK21" s="243" t="e">
        <f t="shared" si="6"/>
        <v>#DIV/0!</v>
      </c>
      <c r="BL21" s="243" t="e">
        <f t="shared" si="6"/>
        <v>#DIV/0!</v>
      </c>
      <c r="BM21" s="243" t="e">
        <f t="shared" si="6"/>
        <v>#DIV/0!</v>
      </c>
      <c r="BN21" s="243" t="e">
        <f t="shared" si="6"/>
        <v>#DIV/0!</v>
      </c>
      <c r="BO21" s="243" t="e">
        <f t="shared" si="6"/>
        <v>#DIV/0!</v>
      </c>
      <c r="BP21" s="243" t="e">
        <f t="shared" si="6"/>
        <v>#DIV/0!</v>
      </c>
      <c r="BQ21" s="243" t="e">
        <f t="shared" si="6"/>
        <v>#DIV/0!</v>
      </c>
      <c r="BR21" s="243" t="e">
        <f t="shared" ref="BR21:CK21" si="7">BR20/BR19</f>
        <v>#DIV/0!</v>
      </c>
      <c r="BS21" s="243" t="e">
        <f t="shared" si="7"/>
        <v>#DIV/0!</v>
      </c>
      <c r="BT21" s="243" t="e">
        <f t="shared" si="7"/>
        <v>#DIV/0!</v>
      </c>
      <c r="BU21" s="243" t="e">
        <f t="shared" si="7"/>
        <v>#DIV/0!</v>
      </c>
      <c r="BV21" s="243" t="e">
        <f t="shared" si="7"/>
        <v>#DIV/0!</v>
      </c>
      <c r="BW21" s="243" t="e">
        <f t="shared" si="7"/>
        <v>#DIV/0!</v>
      </c>
      <c r="BX21" s="243" t="e">
        <f t="shared" si="7"/>
        <v>#DIV/0!</v>
      </c>
      <c r="BY21" s="243" t="e">
        <f t="shared" si="7"/>
        <v>#DIV/0!</v>
      </c>
      <c r="BZ21" s="243" t="e">
        <f t="shared" si="7"/>
        <v>#DIV/0!</v>
      </c>
      <c r="CA21" s="243" t="e">
        <f t="shared" si="7"/>
        <v>#DIV/0!</v>
      </c>
      <c r="CB21" s="243" t="e">
        <f t="shared" si="7"/>
        <v>#DIV/0!</v>
      </c>
      <c r="CC21" s="243" t="e">
        <f t="shared" si="7"/>
        <v>#DIV/0!</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c r="A22" s="26" t="s">
        <v>684</v>
      </c>
      <c r="E22" s="26">
        <f>资产资本表!E69</f>
        <v>6773997320.4399986</v>
      </c>
      <c r="F22" s="192">
        <f>资产资本表!F69</f>
        <v>8861128973.1700001</v>
      </c>
      <c r="G22" s="192">
        <f>资产资本表!G69</f>
        <v>9678797028.9099998</v>
      </c>
      <c r="H22" s="192">
        <f>资产资本表!H69</f>
        <v>10017854929.33</v>
      </c>
      <c r="I22" s="192">
        <f>资产资本表!I69</f>
        <v>6518345272.0700006</v>
      </c>
      <c r="J22" s="192">
        <f>资产资本表!J69</f>
        <v>5510822192.9799995</v>
      </c>
      <c r="K22" s="192">
        <f>资产资本表!K69</f>
        <v>6160995811.1199999</v>
      </c>
      <c r="L22" s="192">
        <f>资产资本表!L69</f>
        <v>5603529097.8299999</v>
      </c>
      <c r="M22" s="192">
        <f>资产资本表!M69</f>
        <v>5718369981.4099998</v>
      </c>
      <c r="N22" s="192">
        <f>资产资本表!N69</f>
        <v>5761845797.8099995</v>
      </c>
      <c r="O22" s="192">
        <f>资产资本表!O69</f>
        <v>5207995321.9699993</v>
      </c>
      <c r="P22" s="192">
        <f>资产资本表!P69</f>
        <v>5919206672.6300001</v>
      </c>
      <c r="Q22" s="192">
        <f>资产资本表!Q69</f>
        <v>5696634785.3700008</v>
      </c>
      <c r="R22" s="192">
        <f>资产资本表!R69</f>
        <v>5688975584.6999998</v>
      </c>
      <c r="S22" s="192">
        <f>资产资本表!S69</f>
        <v>5533147221.8199997</v>
      </c>
      <c r="T22" s="192">
        <f>资产资本表!T69</f>
        <v>5308671324.1599998</v>
      </c>
      <c r="U22" s="192">
        <f>资产资本表!U69</f>
        <v>4568955410.6700001</v>
      </c>
      <c r="V22" s="192">
        <f>资产资本表!V69</f>
        <v>4185002274.0799999</v>
      </c>
      <c r="W22" s="192">
        <f>资产资本表!W69</f>
        <v>3248888626.8499999</v>
      </c>
      <c r="X22" s="192">
        <f>资产资本表!X69</f>
        <v>2810908644.8399997</v>
      </c>
      <c r="Y22" s="192">
        <f>资产资本表!Y69</f>
        <v>2065276783.95</v>
      </c>
      <c r="Z22" s="192">
        <f>资产资本表!Z69</f>
        <v>1669704190.8099999</v>
      </c>
      <c r="AA22" s="192">
        <f>资产资本表!AA69</f>
        <v>1387437800.8</v>
      </c>
      <c r="AB22" s="192">
        <f>资产资本表!AB69</f>
        <v>1088305052.1100001</v>
      </c>
      <c r="AC22" s="192">
        <f>资产资本表!AC69</f>
        <v>1034532128.6</v>
      </c>
      <c r="AD22" s="192">
        <f>资产资本表!AD69</f>
        <v>667944789.10000014</v>
      </c>
      <c r="AE22" s="192">
        <f>资产资本表!AE69</f>
        <v>531020893.81999993</v>
      </c>
      <c r="AF22" s="192">
        <f>资产资本表!AF69</f>
        <v>446207797.13999999</v>
      </c>
      <c r="AG22" s="192">
        <f>资产资本表!AG69</f>
        <v>390774485.50999999</v>
      </c>
      <c r="AH22" s="192">
        <f>资产资本表!AH69</f>
        <v>417058643.90999997</v>
      </c>
      <c r="AI22" s="192">
        <f>资产资本表!AI69</f>
        <v>396864323.10000002</v>
      </c>
      <c r="AJ22" s="192">
        <f>资产资本表!AJ69</f>
        <v>343115508.31999999</v>
      </c>
      <c r="AK22" s="192">
        <f>资产资本表!AK69</f>
        <v>338184684.82999998</v>
      </c>
      <c r="AL22" s="192">
        <f>资产资本表!AL69</f>
        <v>184148142.54999998</v>
      </c>
      <c r="AM22" s="192">
        <f>资产资本表!AM69</f>
        <v>0</v>
      </c>
      <c r="AN22" s="192">
        <f>资产资本表!AN69</f>
        <v>0</v>
      </c>
      <c r="AO22" s="192">
        <f>资产资本表!AO69</f>
        <v>0</v>
      </c>
      <c r="AP22" s="192">
        <f>资产资本表!AP69</f>
        <v>0</v>
      </c>
      <c r="AQ22" s="192">
        <f>资产资本表!AQ69</f>
        <v>0</v>
      </c>
      <c r="AR22" s="192">
        <f>资产资本表!AR69</f>
        <v>0</v>
      </c>
      <c r="AS22" s="192">
        <f>资产资本表!AS69</f>
        <v>0</v>
      </c>
      <c r="AT22" s="192">
        <f>资产资本表!AT69</f>
        <v>0</v>
      </c>
      <c r="AU22" s="192">
        <f>资产资本表!AU69</f>
        <v>0</v>
      </c>
      <c r="AV22" s="192">
        <f>资产资本表!AV69</f>
        <v>0</v>
      </c>
      <c r="AW22" s="192">
        <f>资产资本表!AW69</f>
        <v>0</v>
      </c>
      <c r="AX22" s="192">
        <f>资产资本表!AX69</f>
        <v>0</v>
      </c>
      <c r="AY22" s="192">
        <f>资产资本表!AY69</f>
        <v>0</v>
      </c>
      <c r="AZ22" s="192">
        <f>资产资本表!AZ69</f>
        <v>0</v>
      </c>
      <c r="BA22" s="192">
        <f>资产资本表!BA69</f>
        <v>0</v>
      </c>
      <c r="BB22" s="192">
        <f>资产资本表!BB69</f>
        <v>0</v>
      </c>
      <c r="BC22" s="192">
        <f>资产资本表!BC69</f>
        <v>0</v>
      </c>
      <c r="BD22" s="192">
        <f>资产资本表!BD69</f>
        <v>0</v>
      </c>
      <c r="BE22" s="192">
        <f>资产资本表!BE69</f>
        <v>0</v>
      </c>
      <c r="BF22" s="192">
        <f>资产资本表!BF69</f>
        <v>0</v>
      </c>
      <c r="BG22" s="192">
        <f>资产资本表!BG69</f>
        <v>0</v>
      </c>
      <c r="BH22" s="192">
        <f>资产资本表!BH69</f>
        <v>0</v>
      </c>
      <c r="BI22" s="192">
        <f>资产资本表!BI69</f>
        <v>0</v>
      </c>
      <c r="BJ22" s="192">
        <f>资产资本表!BJ69</f>
        <v>0</v>
      </c>
      <c r="BK22" s="192">
        <f>资产资本表!BK69</f>
        <v>0</v>
      </c>
      <c r="BL22" s="192">
        <f>资产资本表!BL69</f>
        <v>0</v>
      </c>
      <c r="BM22" s="192">
        <f>资产资本表!BM69</f>
        <v>0</v>
      </c>
      <c r="BN22" s="192">
        <f>资产资本表!BN69</f>
        <v>0</v>
      </c>
      <c r="BO22" s="192">
        <f>资产资本表!BO69</f>
        <v>0</v>
      </c>
      <c r="BP22" s="192">
        <f>资产资本表!BP69</f>
        <v>0</v>
      </c>
      <c r="BQ22" s="192">
        <f>资产资本表!BQ69</f>
        <v>0</v>
      </c>
      <c r="BR22" s="192">
        <f>资产资本表!BR69</f>
        <v>0</v>
      </c>
      <c r="BS22" s="192">
        <f>资产资本表!BS69</f>
        <v>0</v>
      </c>
      <c r="BT22" s="192">
        <f>资产资本表!BT69</f>
        <v>0</v>
      </c>
      <c r="BU22" s="192">
        <f>资产资本表!BU69</f>
        <v>0</v>
      </c>
      <c r="BV22" s="192">
        <f>资产资本表!BV69</f>
        <v>0</v>
      </c>
      <c r="BW22" s="192">
        <f>资产资本表!BW69</f>
        <v>0</v>
      </c>
      <c r="BX22" s="192">
        <f>资产资本表!BX69</f>
        <v>0</v>
      </c>
      <c r="BY22" s="192">
        <f>资产资本表!BY69</f>
        <v>0</v>
      </c>
      <c r="BZ22" s="192">
        <f>资产资本表!BZ69</f>
        <v>0</v>
      </c>
      <c r="CA22" s="192">
        <f>资产资本表!CA69</f>
        <v>0</v>
      </c>
      <c r="CB22" s="192">
        <f>资产资本表!CB69</f>
        <v>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c r="A23" s="244" t="s">
        <v>685</v>
      </c>
      <c r="E23" s="245">
        <f>E19/E22</f>
        <v>1.7403422173075576</v>
      </c>
      <c r="F23" s="245">
        <f t="shared" ref="F23:BQ23" si="8">F19/F22</f>
        <v>1.0665267653811283</v>
      </c>
      <c r="G23" s="245">
        <f t="shared" si="8"/>
        <v>0.62515574679753561</v>
      </c>
      <c r="H23" s="245">
        <f t="shared" si="8"/>
        <v>0.26954284844895371</v>
      </c>
      <c r="I23" s="245">
        <f t="shared" si="8"/>
        <v>1.4164253354974548</v>
      </c>
      <c r="J23" s="245">
        <f t="shared" si="8"/>
        <v>1.2987025505770977</v>
      </c>
      <c r="K23" s="245">
        <f t="shared" si="8"/>
        <v>0.73026729319786721</v>
      </c>
      <c r="L23" s="245">
        <f t="shared" si="8"/>
        <v>0.35827400886121119</v>
      </c>
      <c r="M23" s="245">
        <f t="shared" si="8"/>
        <v>1.3044585520646417</v>
      </c>
      <c r="N23" s="245">
        <f t="shared" si="8"/>
        <v>0.90507751345794774</v>
      </c>
      <c r="O23" s="245">
        <f t="shared" si="8"/>
        <v>0.63385735256599685</v>
      </c>
      <c r="P23" s="245">
        <f t="shared" si="8"/>
        <v>0.25347219823013345</v>
      </c>
      <c r="Q23" s="245">
        <f t="shared" si="8"/>
        <v>0.91424006748604125</v>
      </c>
      <c r="R23" s="245">
        <f t="shared" si="8"/>
        <v>0.64204672763288262</v>
      </c>
      <c r="S23" s="245">
        <f t="shared" si="8"/>
        <v>0.43812519470114736</v>
      </c>
      <c r="T23" s="245">
        <f t="shared" si="8"/>
        <v>0.23004384947739007</v>
      </c>
      <c r="U23" s="245">
        <f t="shared" si="8"/>
        <v>0.69878159888012914</v>
      </c>
      <c r="V23" s="245">
        <f t="shared" si="8"/>
        <v>0.54478563796269452</v>
      </c>
      <c r="W23" s="245">
        <f t="shared" si="8"/>
        <v>0.46474119400760588</v>
      </c>
      <c r="X23" s="245">
        <f t="shared" si="8"/>
        <v>0.23326361017944866</v>
      </c>
      <c r="Y23" s="245">
        <f t="shared" si="8"/>
        <v>1.0819969363651647</v>
      </c>
      <c r="Z23" s="245">
        <f t="shared" si="8"/>
        <v>0.87398911763650122</v>
      </c>
      <c r="AA23" s="245">
        <f t="shared" si="8"/>
        <v>0.69310699119305708</v>
      </c>
      <c r="AB23" s="245">
        <f t="shared" si="8"/>
        <v>0.3744563540708527</v>
      </c>
      <c r="AC23" s="245">
        <f t="shared" si="8"/>
        <v>1.4750834665184511</v>
      </c>
      <c r="AD23" s="245">
        <f t="shared" si="8"/>
        <v>1.6450943567964422</v>
      </c>
      <c r="AE23" s="245">
        <f t="shared" si="8"/>
        <v>1.2191532348620686</v>
      </c>
      <c r="AF23" s="245">
        <f t="shared" si="8"/>
        <v>0.53257631048396792</v>
      </c>
      <c r="AG23" s="245">
        <f t="shared" si="8"/>
        <v>1.3414415882241257</v>
      </c>
      <c r="AH23" s="245">
        <f t="shared" si="8"/>
        <v>0.91119113438638444</v>
      </c>
      <c r="AI23" s="245">
        <f t="shared" si="8"/>
        <v>0.56306239433292105</v>
      </c>
      <c r="AJ23" s="245">
        <f t="shared" si="8"/>
        <v>0.25956694911889139</v>
      </c>
      <c r="AK23" s="245">
        <f t="shared" si="8"/>
        <v>1.0775155977958542</v>
      </c>
      <c r="AL23" s="245">
        <f t="shared" si="8"/>
        <v>1.262061702017423</v>
      </c>
      <c r="AM23" s="245" t="e">
        <f t="shared" si="8"/>
        <v>#DIV/0!</v>
      </c>
      <c r="AN23" s="245" t="e">
        <f t="shared" si="8"/>
        <v>#DIV/0!</v>
      </c>
      <c r="AO23" s="245" t="e">
        <f t="shared" si="8"/>
        <v>#DIV/0!</v>
      </c>
      <c r="AP23" s="245" t="e">
        <f t="shared" si="8"/>
        <v>#DIV/0!</v>
      </c>
      <c r="AQ23" s="245" t="e">
        <f t="shared" si="8"/>
        <v>#DIV/0!</v>
      </c>
      <c r="AR23" s="245" t="e">
        <f t="shared" si="8"/>
        <v>#DIV/0!</v>
      </c>
      <c r="AS23" s="245" t="e">
        <f t="shared" si="8"/>
        <v>#DIV/0!</v>
      </c>
      <c r="AT23" s="245" t="e">
        <f t="shared" si="8"/>
        <v>#DIV/0!</v>
      </c>
      <c r="AU23" s="245" t="e">
        <f t="shared" si="8"/>
        <v>#DIV/0!</v>
      </c>
      <c r="AV23" s="245" t="e">
        <f t="shared" si="8"/>
        <v>#DIV/0!</v>
      </c>
      <c r="AW23" s="245" t="e">
        <f t="shared" si="8"/>
        <v>#DIV/0!</v>
      </c>
      <c r="AX23" s="245" t="e">
        <f t="shared" si="8"/>
        <v>#DIV/0!</v>
      </c>
      <c r="AY23" s="245" t="e">
        <f t="shared" si="8"/>
        <v>#DIV/0!</v>
      </c>
      <c r="AZ23" s="245" t="e">
        <f t="shared" si="8"/>
        <v>#DIV/0!</v>
      </c>
      <c r="BA23" s="245" t="e">
        <f t="shared" si="8"/>
        <v>#DIV/0!</v>
      </c>
      <c r="BB23" s="245" t="e">
        <f t="shared" si="8"/>
        <v>#DIV/0!</v>
      </c>
      <c r="BC23" s="245" t="e">
        <f t="shared" si="8"/>
        <v>#DIV/0!</v>
      </c>
      <c r="BD23" s="245" t="e">
        <f t="shared" si="8"/>
        <v>#DIV/0!</v>
      </c>
      <c r="BE23" s="245" t="e">
        <f t="shared" si="8"/>
        <v>#DIV/0!</v>
      </c>
      <c r="BF23" s="245" t="e">
        <f t="shared" si="8"/>
        <v>#DIV/0!</v>
      </c>
      <c r="BG23" s="245" t="e">
        <f t="shared" si="8"/>
        <v>#DIV/0!</v>
      </c>
      <c r="BH23" s="245" t="e">
        <f t="shared" si="8"/>
        <v>#DIV/0!</v>
      </c>
      <c r="BI23" s="245" t="e">
        <f t="shared" si="8"/>
        <v>#DIV/0!</v>
      </c>
      <c r="BJ23" s="245" t="e">
        <f t="shared" si="8"/>
        <v>#DIV/0!</v>
      </c>
      <c r="BK23" s="245" t="e">
        <f t="shared" si="8"/>
        <v>#DIV/0!</v>
      </c>
      <c r="BL23" s="245" t="e">
        <f t="shared" si="8"/>
        <v>#DIV/0!</v>
      </c>
      <c r="BM23" s="245" t="e">
        <f t="shared" si="8"/>
        <v>#DIV/0!</v>
      </c>
      <c r="BN23" s="245" t="e">
        <f t="shared" si="8"/>
        <v>#DIV/0!</v>
      </c>
      <c r="BO23" s="245" t="e">
        <f t="shared" si="8"/>
        <v>#DIV/0!</v>
      </c>
      <c r="BP23" s="245" t="e">
        <f t="shared" si="8"/>
        <v>#DIV/0!</v>
      </c>
      <c r="BQ23" s="245" t="e">
        <f t="shared" si="8"/>
        <v>#DIV/0!</v>
      </c>
      <c r="BR23" s="245" t="e">
        <f t="shared" ref="BR23:CK23" si="9">BR19/BR22</f>
        <v>#DIV/0!</v>
      </c>
      <c r="BS23" s="245" t="e">
        <f t="shared" si="9"/>
        <v>#DIV/0!</v>
      </c>
      <c r="BT23" s="245" t="e">
        <f t="shared" si="9"/>
        <v>#DIV/0!</v>
      </c>
      <c r="BU23" s="245" t="e">
        <f t="shared" si="9"/>
        <v>#DIV/0!</v>
      </c>
      <c r="BV23" s="245" t="e">
        <f t="shared" si="9"/>
        <v>#DIV/0!</v>
      </c>
      <c r="BW23" s="245" t="e">
        <f t="shared" si="9"/>
        <v>#DIV/0!</v>
      </c>
      <c r="BX23" s="245" t="e">
        <f t="shared" si="9"/>
        <v>#DIV/0!</v>
      </c>
      <c r="BY23" s="245" t="e">
        <f t="shared" si="9"/>
        <v>#DIV/0!</v>
      </c>
      <c r="BZ23" s="245" t="e">
        <f t="shared" si="9"/>
        <v>#DIV/0!</v>
      </c>
      <c r="CA23" s="245" t="e">
        <f t="shared" si="9"/>
        <v>#DIV/0!</v>
      </c>
      <c r="CB23" s="245" t="e">
        <f t="shared" si="9"/>
        <v>#DIV/0!</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4.25" thickBot="1">
      <c r="A24" s="159" t="s">
        <v>692</v>
      </c>
      <c r="E24" s="160">
        <f>E21*E23</f>
        <v>0.50186052727714725</v>
      </c>
      <c r="F24" s="160">
        <f t="shared" ref="F24:BQ24" si="10">F21*F23</f>
        <v>0.30018069171703138</v>
      </c>
      <c r="G24" s="160">
        <f t="shared" si="10"/>
        <v>0.18018066479346315</v>
      </c>
      <c r="H24" s="160">
        <f t="shared" si="10"/>
        <v>7.4866858282620449E-2</v>
      </c>
      <c r="I24" s="160">
        <f t="shared" si="10"/>
        <v>0.38925994040880718</v>
      </c>
      <c r="J24" s="160">
        <f t="shared" si="10"/>
        <v>0.33986094440786424</v>
      </c>
      <c r="K24" s="160">
        <f t="shared" si="10"/>
        <v>0.19261369057062758</v>
      </c>
      <c r="L24" s="160">
        <f t="shared" si="10"/>
        <v>0.10082010181204906</v>
      </c>
      <c r="M24" s="160">
        <f t="shared" si="10"/>
        <v>0.34175322027661587</v>
      </c>
      <c r="N24" s="160">
        <f t="shared" si="10"/>
        <v>0.24790108272993058</v>
      </c>
      <c r="O24" s="160">
        <f t="shared" si="10"/>
        <v>0.17972310860600879</v>
      </c>
      <c r="P24" s="160">
        <f t="shared" si="10"/>
        <v>6.968269679570667E-2</v>
      </c>
      <c r="Q24" s="160">
        <f t="shared" si="10"/>
        <v>0.25570545227876817</v>
      </c>
      <c r="R24" s="160">
        <f t="shared" si="10"/>
        <v>0.17128332971592197</v>
      </c>
      <c r="S24" s="160">
        <f t="shared" si="10"/>
        <v>0.11452937858782593</v>
      </c>
      <c r="T24" s="160">
        <f t="shared" si="10"/>
        <v>5.5140923586245637E-2</v>
      </c>
      <c r="U24" s="160">
        <f t="shared" si="10"/>
        <v>0.19237159680249777</v>
      </c>
      <c r="V24" s="160">
        <f t="shared" si="10"/>
        <v>0.15426679440262089</v>
      </c>
      <c r="W24" s="160">
        <f t="shared" si="10"/>
        <v>0.12477981867696604</v>
      </c>
      <c r="X24" s="160">
        <f t="shared" si="10"/>
        <v>6.1054227082420427E-2</v>
      </c>
      <c r="Y24" s="160">
        <f t="shared" si="10"/>
        <v>0.27411787012258693</v>
      </c>
      <c r="Z24" s="160">
        <f t="shared" si="10"/>
        <v>0.23580881376897961</v>
      </c>
      <c r="AA24" s="160">
        <f t="shared" si="10"/>
        <v>0.17043278362723996</v>
      </c>
      <c r="AB24" s="160">
        <f t="shared" si="10"/>
        <v>6.8546758507981143E-2</v>
      </c>
      <c r="AC24" s="160">
        <f t="shared" si="10"/>
        <v>0.20313669331313222</v>
      </c>
      <c r="AD24" s="160">
        <f t="shared" si="10"/>
        <v>0.22687371825175306</v>
      </c>
      <c r="AE24" s="160">
        <f t="shared" si="10"/>
        <v>0.15470027593273206</v>
      </c>
      <c r="AF24" s="160">
        <f t="shared" si="10"/>
        <v>5.0796271547196958E-2</v>
      </c>
      <c r="AG24" s="160">
        <f t="shared" si="10"/>
        <v>0.25193855323361597</v>
      </c>
      <c r="AH24" s="160">
        <f t="shared" si="10"/>
        <v>0.18786319119406078</v>
      </c>
      <c r="AI24" s="160">
        <f t="shared" si="10"/>
        <v>0.11226734600875997</v>
      </c>
      <c r="AJ24" s="160">
        <f t="shared" si="10"/>
        <v>4.3169563749901198E-2</v>
      </c>
      <c r="AK24" s="160">
        <f t="shared" si="10"/>
        <v>0.19618305546080864</v>
      </c>
      <c r="AL24" s="160">
        <f t="shared" si="10"/>
        <v>0.19055482723901088</v>
      </c>
      <c r="AM24" s="160" t="e">
        <f t="shared" si="10"/>
        <v>#DIV/0!</v>
      </c>
      <c r="AN24" s="160" t="e">
        <f t="shared" si="10"/>
        <v>#DIV/0!</v>
      </c>
      <c r="AO24" s="160" t="e">
        <f t="shared" si="10"/>
        <v>#DIV/0!</v>
      </c>
      <c r="AP24" s="160" t="e">
        <f t="shared" si="10"/>
        <v>#DIV/0!</v>
      </c>
      <c r="AQ24" s="160" t="e">
        <f t="shared" si="10"/>
        <v>#DIV/0!</v>
      </c>
      <c r="AR24" s="160" t="e">
        <f t="shared" si="10"/>
        <v>#DIV/0!</v>
      </c>
      <c r="AS24" s="160" t="e">
        <f t="shared" si="10"/>
        <v>#DIV/0!</v>
      </c>
      <c r="AT24" s="160" t="e">
        <f t="shared" si="10"/>
        <v>#DIV/0!</v>
      </c>
      <c r="AU24" s="160" t="e">
        <f t="shared" si="10"/>
        <v>#DIV/0!</v>
      </c>
      <c r="AV24" s="160" t="e">
        <f t="shared" si="10"/>
        <v>#DIV/0!</v>
      </c>
      <c r="AW24" s="160" t="e">
        <f t="shared" si="10"/>
        <v>#DIV/0!</v>
      </c>
      <c r="AX24" s="160" t="e">
        <f t="shared" si="10"/>
        <v>#DIV/0!</v>
      </c>
      <c r="AY24" s="160" t="e">
        <f t="shared" si="10"/>
        <v>#DIV/0!</v>
      </c>
      <c r="AZ24" s="160" t="e">
        <f t="shared" si="10"/>
        <v>#DIV/0!</v>
      </c>
      <c r="BA24" s="160" t="e">
        <f t="shared" si="10"/>
        <v>#DIV/0!</v>
      </c>
      <c r="BB24" s="160" t="e">
        <f t="shared" si="10"/>
        <v>#DIV/0!</v>
      </c>
      <c r="BC24" s="160" t="e">
        <f t="shared" si="10"/>
        <v>#DIV/0!</v>
      </c>
      <c r="BD24" s="160" t="e">
        <f t="shared" si="10"/>
        <v>#DIV/0!</v>
      </c>
      <c r="BE24" s="160" t="e">
        <f t="shared" si="10"/>
        <v>#DIV/0!</v>
      </c>
      <c r="BF24" s="160" t="e">
        <f t="shared" si="10"/>
        <v>#DIV/0!</v>
      </c>
      <c r="BG24" s="160" t="e">
        <f t="shared" si="10"/>
        <v>#DIV/0!</v>
      </c>
      <c r="BH24" s="160" t="e">
        <f t="shared" si="10"/>
        <v>#DIV/0!</v>
      </c>
      <c r="BI24" s="160" t="e">
        <f t="shared" si="10"/>
        <v>#DIV/0!</v>
      </c>
      <c r="BJ24" s="160" t="e">
        <f t="shared" si="10"/>
        <v>#DIV/0!</v>
      </c>
      <c r="BK24" s="160" t="e">
        <f t="shared" si="10"/>
        <v>#DIV/0!</v>
      </c>
      <c r="BL24" s="160" t="e">
        <f t="shared" si="10"/>
        <v>#DIV/0!</v>
      </c>
      <c r="BM24" s="160" t="e">
        <f t="shared" si="10"/>
        <v>#DIV/0!</v>
      </c>
      <c r="BN24" s="160" t="e">
        <f t="shared" si="10"/>
        <v>#DIV/0!</v>
      </c>
      <c r="BO24" s="160" t="e">
        <f t="shared" si="10"/>
        <v>#DIV/0!</v>
      </c>
      <c r="BP24" s="160" t="e">
        <f t="shared" si="10"/>
        <v>#DIV/0!</v>
      </c>
      <c r="BQ24" s="160" t="e">
        <f t="shared" si="10"/>
        <v>#DIV/0!</v>
      </c>
      <c r="BR24" s="160" t="e">
        <f t="shared" ref="BR24:CK24" si="11">BR21*BR23</f>
        <v>#DIV/0!</v>
      </c>
      <c r="BS24" s="160" t="e">
        <f t="shared" si="11"/>
        <v>#DIV/0!</v>
      </c>
      <c r="BT24" s="160" t="e">
        <f t="shared" si="11"/>
        <v>#DIV/0!</v>
      </c>
      <c r="BU24" s="160" t="e">
        <f t="shared" si="11"/>
        <v>#DIV/0!</v>
      </c>
      <c r="BV24" s="160" t="e">
        <f t="shared" si="11"/>
        <v>#DIV/0!</v>
      </c>
      <c r="BW24" s="160" t="e">
        <f t="shared" si="11"/>
        <v>#DIV/0!</v>
      </c>
      <c r="BX24" s="160" t="e">
        <f t="shared" si="11"/>
        <v>#DIV/0!</v>
      </c>
      <c r="BY24" s="160" t="e">
        <f t="shared" si="11"/>
        <v>#DIV/0!</v>
      </c>
      <c r="BZ24" s="160" t="e">
        <f t="shared" si="11"/>
        <v>#DIV/0!</v>
      </c>
      <c r="CA24" s="160" t="e">
        <f t="shared" si="11"/>
        <v>#DIV/0!</v>
      </c>
      <c r="CB24" s="160" t="e">
        <f t="shared" si="11"/>
        <v>#DIV/0!</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39813</v>
      </c>
      <c r="AO25" s="1">
        <v>39447</v>
      </c>
      <c r="AP25" s="1">
        <v>25569</v>
      </c>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c r="A26" s="146" t="s">
        <v>442</v>
      </c>
      <c r="E26" s="76">
        <f>利润表!E14</f>
        <v>-5944394.0599999996</v>
      </c>
      <c r="F26" s="76">
        <f>利润表!F14</f>
        <v>-10877235.699999999</v>
      </c>
      <c r="G26" s="76">
        <f>利润表!G14</f>
        <v>-5944394.0599999996</v>
      </c>
      <c r="H26" s="76">
        <f>利润表!H14</f>
        <v>0</v>
      </c>
      <c r="I26" s="76">
        <f>利润表!I14</f>
        <v>-10652412.439999999</v>
      </c>
      <c r="J26" s="76">
        <f>利润表!J14</f>
        <v>-7120831.5199999996</v>
      </c>
      <c r="K26" s="76">
        <f>利润表!K14</f>
        <v>-3786805.91</v>
      </c>
      <c r="L26" s="76">
        <f>利润表!L14</f>
        <v>0</v>
      </c>
      <c r="M26" s="76">
        <f>利润表!M14</f>
        <v>-1871822.56</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46" t="s">
        <v>443</v>
      </c>
      <c r="E27" s="76">
        <f>资产资本表!E19</f>
        <v>0</v>
      </c>
      <c r="F27" s="76">
        <f>资产资本表!F19</f>
        <v>16531370.939999999</v>
      </c>
      <c r="G27" s="76">
        <f>资产资本表!G19</f>
        <v>16531370.939999999</v>
      </c>
      <c r="H27" s="76">
        <f>资产资本表!H19</f>
        <v>22475765</v>
      </c>
      <c r="I27" s="76">
        <f>资产资本表!I19</f>
        <v>22475765</v>
      </c>
      <c r="J27" s="76">
        <f>资产资本表!J19</f>
        <v>26007345.920000002</v>
      </c>
      <c r="K27" s="76">
        <f>资产资本表!K19</f>
        <v>29341371.530000001</v>
      </c>
      <c r="L27" s="76">
        <f>资产资本表!L19</f>
        <v>33128177.440000001</v>
      </c>
      <c r="M27" s="76">
        <f>资产资本表!M19</f>
        <v>33128177.440000001</v>
      </c>
      <c r="N27" s="76">
        <f>资产资本表!N19</f>
        <v>12500000</v>
      </c>
      <c r="O27" s="76">
        <f>资产资本表!O19</f>
        <v>0</v>
      </c>
      <c r="P27" s="76">
        <f>资产资本表!P19</f>
        <v>3000000</v>
      </c>
      <c r="Q27" s="76">
        <f>资产资本表!Q19</f>
        <v>0</v>
      </c>
      <c r="R27" s="76">
        <f>资产资本表!R19</f>
        <v>0</v>
      </c>
      <c r="S27" s="76">
        <f>资产资本表!S19</f>
        <v>0</v>
      </c>
      <c r="T27" s="76">
        <f>资产资本表!T19</f>
        <v>0</v>
      </c>
      <c r="U27" s="76">
        <f>资产资本表!U19</f>
        <v>0</v>
      </c>
      <c r="V27" s="76">
        <f>资产资本表!V19</f>
        <v>0</v>
      </c>
      <c r="W27" s="76">
        <f>资产资本表!W19</f>
        <v>0</v>
      </c>
      <c r="X27" s="76">
        <f>资产资本表!X19</f>
        <v>0</v>
      </c>
      <c r="Y27" s="76">
        <f>资产资本表!Y19</f>
        <v>0</v>
      </c>
      <c r="Z27" s="76">
        <f>资产资本表!Z19</f>
        <v>0</v>
      </c>
      <c r="AA27" s="76">
        <f>资产资本表!AA19</f>
        <v>0</v>
      </c>
      <c r="AB27" s="76">
        <f>资产资本表!AB19</f>
        <v>0</v>
      </c>
      <c r="AC27" s="76">
        <f>资产资本表!AC19</f>
        <v>0</v>
      </c>
      <c r="AD27" s="76">
        <f>资产资本表!AD19</f>
        <v>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c r="A28" s="144" t="s">
        <v>444</v>
      </c>
      <c r="E28" s="110" t="e">
        <f>E26/E27</f>
        <v>#DIV/0!</v>
      </c>
      <c r="F28" s="110">
        <f t="shared" ref="F28:BQ28" si="12">F26/F27</f>
        <v>-0.65797541773628598</v>
      </c>
      <c r="G28" s="110">
        <f t="shared" si="12"/>
        <v>-0.35958264330133044</v>
      </c>
      <c r="H28" s="110">
        <f t="shared" si="12"/>
        <v>0</v>
      </c>
      <c r="I28" s="110">
        <f t="shared" si="12"/>
        <v>-0.47395105083186267</v>
      </c>
      <c r="J28" s="110">
        <f t="shared" si="12"/>
        <v>-0.27380077697678423</v>
      </c>
      <c r="K28" s="110">
        <f t="shared" si="12"/>
        <v>-0.12906028970486916</v>
      </c>
      <c r="L28" s="110">
        <f t="shared" si="12"/>
        <v>0</v>
      </c>
      <c r="M28" s="110">
        <f t="shared" si="12"/>
        <v>-5.6502431001226851E-2</v>
      </c>
      <c r="N28" s="110">
        <f t="shared" si="12"/>
        <v>0</v>
      </c>
      <c r="O28" s="110" t="e">
        <f t="shared" si="12"/>
        <v>#DIV/0!</v>
      </c>
      <c r="P28" s="110">
        <f t="shared" si="12"/>
        <v>0</v>
      </c>
      <c r="Q28" s="110" t="e">
        <f t="shared" si="12"/>
        <v>#DIV/0!</v>
      </c>
      <c r="R28" s="110" t="e">
        <f t="shared" si="12"/>
        <v>#DIV/0!</v>
      </c>
      <c r="S28" s="110" t="e">
        <f t="shared" si="12"/>
        <v>#DIV/0!</v>
      </c>
      <c r="T28" s="110" t="e">
        <f t="shared" si="12"/>
        <v>#DIV/0!</v>
      </c>
      <c r="U28" s="110" t="e">
        <f t="shared" si="12"/>
        <v>#DIV/0!</v>
      </c>
      <c r="V28" s="110" t="e">
        <f t="shared" si="12"/>
        <v>#DIV/0!</v>
      </c>
      <c r="W28" s="110" t="e">
        <f t="shared" si="12"/>
        <v>#DIV/0!</v>
      </c>
      <c r="X28" s="110" t="e">
        <f t="shared" si="12"/>
        <v>#DIV/0!</v>
      </c>
      <c r="Y28" s="110" t="e">
        <f t="shared" si="12"/>
        <v>#DIV/0!</v>
      </c>
      <c r="Z28" s="110" t="e">
        <f t="shared" si="12"/>
        <v>#DIV/0!</v>
      </c>
      <c r="AA28" s="110" t="e">
        <f t="shared" si="12"/>
        <v>#DIV/0!</v>
      </c>
      <c r="AB28" s="110" t="e">
        <f t="shared" si="12"/>
        <v>#DIV/0!</v>
      </c>
      <c r="AC28" s="110" t="e">
        <f t="shared" si="12"/>
        <v>#DIV/0!</v>
      </c>
      <c r="AD28" s="110" t="e">
        <f t="shared" si="12"/>
        <v>#DIV/0!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ht="14.45">
      <c r="A30" s="17"/>
    </row>
    <row r="31" spans="1:89" s="116" customFormat="1">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39813</v>
      </c>
      <c r="AO31" s="1">
        <v>39447</v>
      </c>
      <c r="AP31" s="1">
        <v>25569</v>
      </c>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c r="A32" s="146" t="s">
        <v>449</v>
      </c>
      <c r="E32" s="76">
        <f>股权价值增加表!E29</f>
        <v>864969243.69928551</v>
      </c>
      <c r="F32" s="76">
        <f>股权价值增加表!F29</f>
        <v>54634023.017319143</v>
      </c>
      <c r="G32" s="76">
        <f>股权价值增加表!G29</f>
        <v>24359222.251187742</v>
      </c>
      <c r="H32" s="76">
        <f>股权价值增加表!H29</f>
        <v>4309627.9260840379</v>
      </c>
      <c r="I32" s="76">
        <f>股权价值增加表!I29</f>
        <v>684783848.33868742</v>
      </c>
      <c r="J32" s="76">
        <f>股权价值增加表!J29</f>
        <v>32263553.76745075</v>
      </c>
      <c r="K32" s="76">
        <f>股权价值增加表!K29</f>
        <v>31981072.927556053</v>
      </c>
      <c r="L32" s="76">
        <f>股权价值增加表!L29</f>
        <v>722430.72</v>
      </c>
      <c r="M32" s="76">
        <f>股权价值增加表!M29</f>
        <v>633278589.96954954</v>
      </c>
      <c r="N32" s="76">
        <f>股权价值增加表!N29</f>
        <v>-1852276.47</v>
      </c>
      <c r="O32" s="76">
        <f>股权价值增加表!O29</f>
        <v>263458.83</v>
      </c>
      <c r="P32" s="76">
        <f>股权价值增加表!P29</f>
        <v>70492.08</v>
      </c>
      <c r="Q32" s="76">
        <f>股权价值增加表!Q29</f>
        <v>560719836.7897402</v>
      </c>
      <c r="R32" s="76">
        <f>股权价值增加表!R29</f>
        <v>3001919.74</v>
      </c>
      <c r="S32" s="76">
        <f>股权价值增加表!S29</f>
        <v>1767238.92</v>
      </c>
      <c r="T32" s="76">
        <f>股权价值增加表!T29</f>
        <v>3659989.47</v>
      </c>
      <c r="U32" s="76">
        <f>股权价值增加表!U29</f>
        <v>732746549.83908343</v>
      </c>
      <c r="V32" s="76">
        <f>股权价值增加表!V29</f>
        <v>121497.15</v>
      </c>
      <c r="W32" s="76">
        <f>股权价值增加表!W29</f>
        <v>3292.7</v>
      </c>
      <c r="X32" s="76">
        <f>股权价值增加表!X29</f>
        <v>2856.28</v>
      </c>
      <c r="Y32" s="76">
        <f>股权价值增加表!Y29</f>
        <v>659805051.61827838</v>
      </c>
      <c r="Z32" s="76">
        <f>股权价值增加表!Z29</f>
        <v>-93543.9</v>
      </c>
      <c r="AA32" s="76">
        <f>股权价值增加表!AA29</f>
        <v>-26008.6</v>
      </c>
      <c r="AB32" s="76">
        <f>股权价值增加表!AB29</f>
        <v>-4762.38</v>
      </c>
      <c r="AC32" s="76">
        <f>股权价值增加表!AC29</f>
        <v>371205875.77479529</v>
      </c>
      <c r="AD32" s="76">
        <f>股权价值增加表!AD29</f>
        <v>12221.52</v>
      </c>
      <c r="AE32" s="76">
        <f>股权价值增加表!AE29</f>
        <v>7047.57</v>
      </c>
      <c r="AF32" s="76">
        <f>股权价值增加表!AF29</f>
        <v>0</v>
      </c>
      <c r="AG32" s="76">
        <f>股权价值增加表!AG29</f>
        <v>161376327.43158764</v>
      </c>
      <c r="AH32" s="76">
        <f>股权价值增加表!AH29</f>
        <v>0</v>
      </c>
      <c r="AI32" s="76">
        <f>股权价值增加表!AI29</f>
        <v>0</v>
      </c>
      <c r="AJ32" s="76">
        <f>股权价值增加表!AJ29</f>
        <v>0</v>
      </c>
      <c r="AK32" s="76">
        <f>股权价值增加表!AK29</f>
        <v>-87208.33</v>
      </c>
      <c r="AL32" s="76">
        <f>股权价值增加表!AL29</f>
        <v>0</v>
      </c>
      <c r="AM32" s="76">
        <f>股权价值增加表!AM29</f>
        <v>0</v>
      </c>
      <c r="AN32" s="76">
        <f>股权价值增加表!AN29</f>
        <v>1326000</v>
      </c>
      <c r="AO32" s="76">
        <f>股权价值增加表!AO29</f>
        <v>173437.5</v>
      </c>
      <c r="AP32" s="76" t="e">
        <f>股权价值增加表!AP29</f>
        <v>#DIV/0!</v>
      </c>
      <c r="AQ32" s="76">
        <f>股权价值增加表!AQ29</f>
        <v>4148059.2674403638</v>
      </c>
      <c r="AR32" s="76">
        <f>股权价值增加表!AR29</f>
        <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47" t="s">
        <v>450</v>
      </c>
    </row>
    <row r="34" spans="1:89" s="76" customFormat="1">
      <c r="A34" s="146" t="s">
        <v>451</v>
      </c>
      <c r="E34" s="76">
        <f>资产资本表!E4</f>
        <v>18504142834.009998</v>
      </c>
      <c r="F34" s="76">
        <f>资产资本表!F4</f>
        <v>18916073143.400002</v>
      </c>
      <c r="G34" s="76">
        <f>资产资本表!G4</f>
        <v>16843261793.52</v>
      </c>
      <c r="H34" s="76">
        <f>资产资本表!H4</f>
        <v>15140190751.809999</v>
      </c>
      <c r="I34" s="76">
        <f>资产资本表!I4</f>
        <v>15388938487.469999</v>
      </c>
      <c r="J34" s="76">
        <f>资产资本表!J4</f>
        <v>15336752373.84</v>
      </c>
      <c r="K34" s="76">
        <f>资产资本表!K4</f>
        <v>10271899810.91</v>
      </c>
      <c r="L34" s="76">
        <f>资产资本表!L4</f>
        <v>10334459034.92</v>
      </c>
      <c r="M34" s="76">
        <f>资产资本表!M4</f>
        <v>10086511907</v>
      </c>
      <c r="N34" s="76">
        <f>资产资本表!N4</f>
        <v>6585194940.04</v>
      </c>
      <c r="O34" s="76">
        <f>资产资本表!O4</f>
        <v>5444212539.9099998</v>
      </c>
      <c r="P34" s="76">
        <f>资产资本表!P4</f>
        <v>4069518701.1599998</v>
      </c>
      <c r="Q34" s="76">
        <f>资产资本表!Q4</f>
        <v>4192943122.7800002</v>
      </c>
      <c r="R34" s="76">
        <f>资产资本表!R4</f>
        <v>3821607434.6199999</v>
      </c>
      <c r="S34" s="76">
        <f>资产资本表!S4</f>
        <v>2796391151.8499999</v>
      </c>
      <c r="T34" s="76">
        <f>资产资本表!T4</f>
        <v>2323949894.6599998</v>
      </c>
      <c r="U34" s="76">
        <f>资产资本表!U4</f>
        <v>2675386027.0700002</v>
      </c>
      <c r="V34" s="76">
        <f>资产资本表!V4</f>
        <v>2584698785.8200002</v>
      </c>
      <c r="W34" s="76">
        <f>资产资本表!W4</f>
        <v>2644577589.6799998</v>
      </c>
      <c r="X34" s="76">
        <f>资产资本表!X4</f>
        <v>2751523259.3800001</v>
      </c>
      <c r="Y34" s="76">
        <f>资产资本表!Y4</f>
        <v>3445629597.9899998</v>
      </c>
      <c r="Z34" s="76">
        <f>资产资本表!Z4</f>
        <v>2569228947.27</v>
      </c>
      <c r="AA34" s="76">
        <f>资产资本表!AA4</f>
        <v>2244750389.1300001</v>
      </c>
      <c r="AB34" s="76">
        <f>资产资本表!AB4</f>
        <v>680514715.74000001</v>
      </c>
      <c r="AC34" s="76">
        <f>资产资本表!AC4</f>
        <v>683957407.77999997</v>
      </c>
      <c r="AD34" s="76">
        <f>资产资本表!AD4</f>
        <v>742879369.25999999</v>
      </c>
      <c r="AE34" s="76">
        <f>资产资本表!AE4</f>
        <v>782365552.09000003</v>
      </c>
      <c r="AF34" s="76">
        <f>资产资本表!AF4</f>
        <v>704850866.16999996</v>
      </c>
      <c r="AG34" s="76">
        <f>资产资本表!AG4</f>
        <v>664279577.02999997</v>
      </c>
      <c r="AH34" s="76">
        <f>资产资本表!AH4</f>
        <v>555785071.48000002</v>
      </c>
      <c r="AI34" s="76">
        <f>资产资本表!AI4</f>
        <v>158935384.56</v>
      </c>
      <c r="AJ34" s="76">
        <f>资产资本表!AJ4</f>
        <v>161098984.71000001</v>
      </c>
      <c r="AK34" s="76">
        <f>资产资本表!AK4</f>
        <v>28111040.539999999</v>
      </c>
      <c r="AL34" s="76">
        <f>资产资本表!AL4</f>
        <v>34761453.939999998</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46" t="s">
        <v>452</v>
      </c>
      <c r="E35" s="76">
        <f>利润表!E12</f>
        <v>850000</v>
      </c>
      <c r="F35" s="76">
        <f>利润表!F12</f>
        <v>0</v>
      </c>
      <c r="G35" s="76">
        <f>利润表!G12</f>
        <v>-1929010.4</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46" t="s">
        <v>453</v>
      </c>
      <c r="E36" s="76">
        <f>资产资本表!E13</f>
        <v>45181595.5</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2057657.32</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46"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46" t="s">
        <v>455</v>
      </c>
      <c r="E38" s="76">
        <f>资产资本表!E8</f>
        <v>4520878100.4799995</v>
      </c>
      <c r="F38" s="76">
        <f>资产资本表!F8</f>
        <v>2436201494.3499999</v>
      </c>
      <c r="G38" s="76">
        <f>资产资本表!G8</f>
        <v>766249586.83000004</v>
      </c>
      <c r="H38" s="76">
        <f>资产资本表!H8</f>
        <v>394249586.88999999</v>
      </c>
      <c r="I38" s="76">
        <f>资产资本表!I8</f>
        <v>376249586.82999998</v>
      </c>
      <c r="J38" s="76">
        <f>资产资本表!J8</f>
        <v>379334987.82999998</v>
      </c>
      <c r="K38" s="76">
        <f>资产资本表!K8</f>
        <v>376222007.37</v>
      </c>
      <c r="L38" s="76">
        <f>资产资本表!L8</f>
        <v>365722000</v>
      </c>
      <c r="M38" s="76">
        <f>资产资本表!M8</f>
        <v>46640000</v>
      </c>
      <c r="N38" s="76">
        <f>资产资本表!N8</f>
        <v>26640000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46"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17049575.969999999</v>
      </c>
      <c r="AH40" s="76">
        <f>资产资本表!AH10</f>
        <v>17191695.690000001</v>
      </c>
      <c r="AI40" s="76">
        <f>资产资本表!AI10</f>
        <v>17333815.41</v>
      </c>
      <c r="AJ40" s="76">
        <f>资产资本表!AJ10</f>
        <v>17618054.850000001</v>
      </c>
      <c r="AK40" s="76">
        <f>资产资本表!AK10</f>
        <v>18186533.73</v>
      </c>
      <c r="AL40" s="76">
        <f>资产资本表!AL10</f>
        <v>18755012.66</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47" t="s">
        <v>460</v>
      </c>
      <c r="E43" s="76">
        <f>SUM(E34:E42)</f>
        <v>23071052529.989998</v>
      </c>
      <c r="F43" s="76">
        <f t="shared" ref="F43:BQ43" si="14">SUM(F34:F42)</f>
        <v>21352274637.75</v>
      </c>
      <c r="G43" s="76">
        <f t="shared" si="14"/>
        <v>17607582369.950001</v>
      </c>
      <c r="H43" s="76">
        <f t="shared" si="14"/>
        <v>15534440338.699999</v>
      </c>
      <c r="I43" s="76">
        <f t="shared" si="14"/>
        <v>15765188074.299999</v>
      </c>
      <c r="J43" s="76">
        <f t="shared" si="14"/>
        <v>15716087361.67</v>
      </c>
      <c r="K43" s="76">
        <f t="shared" si="14"/>
        <v>10648121818.280001</v>
      </c>
      <c r="L43" s="76">
        <f t="shared" si="14"/>
        <v>10700181034.92</v>
      </c>
      <c r="M43" s="76">
        <f t="shared" si="14"/>
        <v>10133151907</v>
      </c>
      <c r="N43" s="76">
        <f t="shared" si="14"/>
        <v>6611834940.04</v>
      </c>
      <c r="O43" s="76">
        <f t="shared" si="14"/>
        <v>5444212539.9099998</v>
      </c>
      <c r="P43" s="76">
        <f t="shared" si="14"/>
        <v>4069518701.1599998</v>
      </c>
      <c r="Q43" s="76">
        <f t="shared" si="14"/>
        <v>4195000780.1000004</v>
      </c>
      <c r="R43" s="76">
        <f t="shared" si="14"/>
        <v>3821607434.6199999</v>
      </c>
      <c r="S43" s="76">
        <f t="shared" si="14"/>
        <v>2796391151.8499999</v>
      </c>
      <c r="T43" s="76">
        <f t="shared" si="14"/>
        <v>2323949894.6599998</v>
      </c>
      <c r="U43" s="76">
        <f t="shared" si="14"/>
        <v>2675386027.0700002</v>
      </c>
      <c r="V43" s="76">
        <f t="shared" si="14"/>
        <v>2584698785.8200002</v>
      </c>
      <c r="W43" s="76">
        <f t="shared" si="14"/>
        <v>2644577589.6799998</v>
      </c>
      <c r="X43" s="76">
        <f t="shared" si="14"/>
        <v>2751523259.3800001</v>
      </c>
      <c r="Y43" s="76">
        <f t="shared" si="14"/>
        <v>3445629597.9899998</v>
      </c>
      <c r="Z43" s="76">
        <f t="shared" si="14"/>
        <v>2569228947.27</v>
      </c>
      <c r="AA43" s="76">
        <f t="shared" si="14"/>
        <v>2244750389.1300001</v>
      </c>
      <c r="AB43" s="76">
        <f t="shared" si="14"/>
        <v>680514715.74000001</v>
      </c>
      <c r="AC43" s="76">
        <f t="shared" si="14"/>
        <v>683957407.77999997</v>
      </c>
      <c r="AD43" s="76">
        <f t="shared" si="14"/>
        <v>742879369.25999999</v>
      </c>
      <c r="AE43" s="76">
        <f t="shared" si="14"/>
        <v>782365552.09000003</v>
      </c>
      <c r="AF43" s="76">
        <f t="shared" si="14"/>
        <v>704850866.16999996</v>
      </c>
      <c r="AG43" s="76">
        <f t="shared" si="14"/>
        <v>681329153</v>
      </c>
      <c r="AH43" s="76">
        <f t="shared" si="14"/>
        <v>572976767.17000008</v>
      </c>
      <c r="AI43" s="76">
        <f t="shared" si="14"/>
        <v>176269199.97</v>
      </c>
      <c r="AJ43" s="76">
        <f t="shared" si="14"/>
        <v>178717039.56</v>
      </c>
      <c r="AK43" s="76">
        <f t="shared" si="14"/>
        <v>46297574.269999996</v>
      </c>
      <c r="AL43" s="76">
        <f t="shared" si="14"/>
        <v>53516466.599999994</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c r="A44" s="144" t="s">
        <v>461</v>
      </c>
      <c r="E44" s="110">
        <f>E32/E43</f>
        <v>3.749153804642915E-2</v>
      </c>
      <c r="F44" s="110">
        <f t="shared" ref="F44:BQ44" si="16">F32/F43</f>
        <v>2.5586980283931107E-3</v>
      </c>
      <c r="G44" s="110">
        <f t="shared" si="16"/>
        <v>1.3834507054620079E-3</v>
      </c>
      <c r="H44" s="110">
        <f t="shared" si="16"/>
        <v>2.7742408687538787E-4</v>
      </c>
      <c r="I44" s="110">
        <f t="shared" si="16"/>
        <v>4.3436452842259735E-2</v>
      </c>
      <c r="J44" s="110">
        <f t="shared" si="16"/>
        <v>2.052899874184869E-3</v>
      </c>
      <c r="K44" s="110">
        <f t="shared" si="16"/>
        <v>3.0034473190054074E-3</v>
      </c>
      <c r="L44" s="110">
        <f t="shared" si="16"/>
        <v>6.7515747410473715E-5</v>
      </c>
      <c r="M44" s="110">
        <f t="shared" si="16"/>
        <v>6.2495716612328639E-2</v>
      </c>
      <c r="N44" s="110">
        <f t="shared" si="16"/>
        <v>-2.8014560054773452E-4</v>
      </c>
      <c r="O44" s="110">
        <f t="shared" si="16"/>
        <v>4.8392458609699201E-5</v>
      </c>
      <c r="P44" s="110">
        <f t="shared" si="16"/>
        <v>1.7321969789672306E-5</v>
      </c>
      <c r="Q44" s="110">
        <f t="shared" si="16"/>
        <v>0.13366382181611269</v>
      </c>
      <c r="R44" s="110">
        <f t="shared" si="16"/>
        <v>7.8551232468451987E-4</v>
      </c>
      <c r="S44" s="110">
        <f t="shared" si="16"/>
        <v>6.3197128872005378E-4</v>
      </c>
      <c r="T44" s="110">
        <f t="shared" si="16"/>
        <v>1.5749003360227207E-3</v>
      </c>
      <c r="U44" s="110">
        <f t="shared" si="16"/>
        <v>0.2738844198276556</v>
      </c>
      <c r="V44" s="110">
        <f t="shared" si="16"/>
        <v>4.7006309078082698E-5</v>
      </c>
      <c r="W44" s="110">
        <f t="shared" si="16"/>
        <v>1.2450759670841893E-6</v>
      </c>
      <c r="X44" s="110">
        <f t="shared" si="16"/>
        <v>1.038072271518288E-6</v>
      </c>
      <c r="Y44" s="110">
        <f t="shared" si="16"/>
        <v>0.1914904178914571</v>
      </c>
      <c r="Z44" s="110">
        <f t="shared" si="16"/>
        <v>-3.6409328214753868E-5</v>
      </c>
      <c r="AA44" s="110">
        <f t="shared" si="16"/>
        <v>-1.1586410732322079E-5</v>
      </c>
      <c r="AB44" s="110">
        <f t="shared" si="16"/>
        <v>-6.9982028159689827E-6</v>
      </c>
      <c r="AC44" s="110">
        <f t="shared" si="16"/>
        <v>0.54273244437787627</v>
      </c>
      <c r="AD44" s="110">
        <f t="shared" si="16"/>
        <v>1.6451553920758561E-5</v>
      </c>
      <c r="AE44" s="110">
        <f t="shared" si="16"/>
        <v>9.0080269781475203E-6</v>
      </c>
      <c r="AF44" s="110">
        <f t="shared" si="16"/>
        <v>0</v>
      </c>
      <c r="AG44" s="110">
        <f t="shared" si="16"/>
        <v>0.23685516276680976</v>
      </c>
      <c r="AH44" s="110">
        <f t="shared" si="16"/>
        <v>0</v>
      </c>
      <c r="AI44" s="110">
        <f t="shared" si="16"/>
        <v>0</v>
      </c>
      <c r="AJ44" s="110">
        <f t="shared" si="16"/>
        <v>0</v>
      </c>
      <c r="AK44" s="110">
        <f t="shared" si="16"/>
        <v>-1.883647931345497E-3</v>
      </c>
      <c r="AL44" s="110">
        <f t="shared" si="16"/>
        <v>0</v>
      </c>
      <c r="AM44" s="110" t="e">
        <f t="shared" si="16"/>
        <v>#DIV/0!</v>
      </c>
      <c r="AN44" s="110" t="e">
        <f t="shared" si="16"/>
        <v>#DIV/0!</v>
      </c>
      <c r="AO44" s="110" t="e">
        <f t="shared" si="16"/>
        <v>#DIV/0!</v>
      </c>
      <c r="AP44" s="110" t="e">
        <f t="shared" si="16"/>
        <v>#DIV/0!</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c r="A46" s="57" t="s">
        <v>696</v>
      </c>
      <c r="E46" s="57">
        <f>E43/资产资本表!E70</f>
        <v>0.773027776653474</v>
      </c>
      <c r="F46" s="57">
        <f>F43/资产资本表!F70</f>
        <v>0.70632883102668942</v>
      </c>
      <c r="G46" s="57">
        <f>G43/资产资本表!G70</f>
        <v>0.63699506431390629</v>
      </c>
      <c r="H46" s="57">
        <f>H43/资产资本表!H70</f>
        <v>0.60741268489313782</v>
      </c>
      <c r="I46" s="57">
        <f>I43/资产资本表!I70</f>
        <v>0.70676865572802261</v>
      </c>
      <c r="J46" s="57">
        <f>J43/资产资本表!J70</f>
        <v>0.73947907645790012</v>
      </c>
      <c r="K46" s="57">
        <f>K43/资产资本表!K70</f>
        <v>0.63236913886786772</v>
      </c>
      <c r="L46" s="57">
        <f>L43/资产资本表!L70</f>
        <v>0.65497257374738349</v>
      </c>
      <c r="M46" s="57">
        <f>M43/资产资本表!M70</f>
        <v>0.63792100329518764</v>
      </c>
      <c r="N46" s="57">
        <f>N43/资产资本表!N70</f>
        <v>0.53380740035831953</v>
      </c>
      <c r="O46" s="57">
        <f>O43/资产资本表!O70</f>
        <v>0.51108771162762079</v>
      </c>
      <c r="P46" s="57">
        <f>P43/资产资本表!P70</f>
        <v>0.40728888644548228</v>
      </c>
      <c r="Q46" s="57">
        <f>Q43/资产资本表!Q70</f>
        <v>0.42409576781660119</v>
      </c>
      <c r="R46" s="57">
        <f>R43/资产资本表!R70</f>
        <v>0.40182683089529903</v>
      </c>
      <c r="S46" s="57">
        <f>S43/资产资本表!S70</f>
        <v>0.33571982340456019</v>
      </c>
      <c r="T46" s="57">
        <f>T43/资产资本表!T70</f>
        <v>0.30447598905206535</v>
      </c>
      <c r="U46" s="57">
        <f>U43/资产资本表!U70</f>
        <v>0.36930700327463223</v>
      </c>
      <c r="V46" s="57">
        <f>V43/资产资本表!V70</f>
        <v>0.38180397671181371</v>
      </c>
      <c r="W46" s="57">
        <f>W43/资产资本表!W70</f>
        <v>0.44873042323759932</v>
      </c>
      <c r="X46" s="57">
        <f>X43/资产资本表!X70</f>
        <v>0.49466192247540636</v>
      </c>
      <c r="Y46" s="57">
        <f>Y43/资产资本表!Y70</f>
        <v>0.62523827464785164</v>
      </c>
      <c r="Z46" s="57">
        <f>Z43/资产资本表!Z70</f>
        <v>0.6061027299981705</v>
      </c>
      <c r="AA46" s="57">
        <f>AA43/资产资本表!AA70</f>
        <v>0.61801599249549377</v>
      </c>
      <c r="AB46" s="57">
        <f>AB43/资产资本表!AB70</f>
        <v>0.38472812669159923</v>
      </c>
      <c r="AC46" s="57">
        <f>AC43/资产资本表!AC70</f>
        <v>0.39799916921272438</v>
      </c>
      <c r="AD46" s="57">
        <f>AD43/资产资本表!AD70</f>
        <v>0.5265570233242628</v>
      </c>
      <c r="AE46" s="57">
        <f>AE43/资产资本表!AE70</f>
        <v>0.59568572108106854</v>
      </c>
      <c r="AF46" s="57">
        <f>AF43/资产资本表!AF70</f>
        <v>0.61235008139647829</v>
      </c>
      <c r="AG46" s="57">
        <f>AG43/资产资本表!AG70</f>
        <v>0.63550680039376151</v>
      </c>
      <c r="AH46" s="57">
        <f>AH43/资产资本表!AH70</f>
        <v>0.57874371033350902</v>
      </c>
      <c r="AI46" s="57">
        <f>AI43/资产资本表!AI70</f>
        <v>0.30755346332877348</v>
      </c>
      <c r="AJ46" s="57">
        <f>AJ43/资产资本表!AJ70</f>
        <v>0.34247967146943387</v>
      </c>
      <c r="AK46" s="57">
        <f>AK43/资产资本表!AK70</f>
        <v>0.12041537203400186</v>
      </c>
      <c r="AL46" s="57">
        <f>AL43/资产资本表!AL70</f>
        <v>0.2251764231595102</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39813</v>
      </c>
      <c r="AO48" s="1">
        <v>39447</v>
      </c>
      <c r="AP48" s="1">
        <v>25569</v>
      </c>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c r="A49" s="146" t="s">
        <v>463</v>
      </c>
      <c r="E49" s="76">
        <f>利润表!E4</f>
        <v>11789073516.690001</v>
      </c>
      <c r="F49" s="76">
        <f>利润表!F4</f>
        <v>9450631221.3799992</v>
      </c>
      <c r="G49" s="76">
        <f>利润表!G4</f>
        <v>6050755584.71</v>
      </c>
      <c r="H49" s="76">
        <f>利润表!H4</f>
        <v>2700241153</v>
      </c>
      <c r="I49" s="76">
        <f>利润表!I4</f>
        <v>9232749388.8799992</v>
      </c>
      <c r="J49" s="76">
        <f>利润表!J4</f>
        <v>7156918837.8000002</v>
      </c>
      <c r="K49" s="76">
        <f>利润表!K4</f>
        <v>4499173734.3900003</v>
      </c>
      <c r="L49" s="76">
        <f>利润表!L4</f>
        <v>2007598833.6500001</v>
      </c>
      <c r="M49" s="76">
        <f>利润表!M4</f>
        <v>7459376626.1199999</v>
      </c>
      <c r="N49" s="76">
        <f>利润表!N4</f>
        <v>5214917067.6099997</v>
      </c>
      <c r="O49" s="76">
        <f>利润表!O4</f>
        <v>3301126126.96</v>
      </c>
      <c r="P49" s="76">
        <f>利润表!P4</f>
        <v>1500354327.0899999</v>
      </c>
      <c r="Q49" s="76">
        <f>利润表!Q4</f>
        <v>5208091770.6199999</v>
      </c>
      <c r="R49" s="76">
        <f>利润表!R4</f>
        <v>3652588157.7399998</v>
      </c>
      <c r="S49" s="76">
        <f>利润表!S4</f>
        <v>2424211203.8699999</v>
      </c>
      <c r="T49" s="76">
        <f>利润表!T4</f>
        <v>1221227187.02</v>
      </c>
      <c r="U49" s="76">
        <f>利润表!U4</f>
        <v>3192701967.0799999</v>
      </c>
      <c r="V49" s="76">
        <f>利润表!V4</f>
        <v>2279929133.7600002</v>
      </c>
      <c r="W49" s="76">
        <f>利润表!W4</f>
        <v>1509892379.6400001</v>
      </c>
      <c r="X49" s="76">
        <f>利润表!X4</f>
        <v>655682698.38</v>
      </c>
      <c r="Y49" s="76">
        <f>利润表!Y4</f>
        <v>2234623152.98</v>
      </c>
      <c r="Z49" s="76">
        <f>利润表!Z4</f>
        <v>1459303292.4400001</v>
      </c>
      <c r="AA49" s="76">
        <f>利润表!AA4</f>
        <v>961642839.58000004</v>
      </c>
      <c r="AB49" s="76">
        <f>利润表!AB4</f>
        <v>407522741.93000001</v>
      </c>
      <c r="AC49" s="76">
        <f>利润表!AC4</f>
        <v>1526021238.48</v>
      </c>
      <c r="AD49" s="76">
        <f>利润表!AD4</f>
        <v>1098832203.2</v>
      </c>
      <c r="AE49" s="76">
        <f>利润表!AE4</f>
        <v>647395840.48000002</v>
      </c>
      <c r="AF49" s="76">
        <f>利润表!AF4</f>
        <v>237639702.31</v>
      </c>
      <c r="AG49" s="76">
        <f>利润表!AG4</f>
        <v>524201146.48000002</v>
      </c>
      <c r="AH49" s="76">
        <f>利润表!AH4</f>
        <v>380020138.85000002</v>
      </c>
      <c r="AI49" s="76">
        <f>利润表!AI4</f>
        <v>223459375.99000001</v>
      </c>
      <c r="AJ49" s="76">
        <f>利润表!AJ4</f>
        <v>89061445.689999998</v>
      </c>
      <c r="AK49" s="76">
        <f>利润表!AK4</f>
        <v>364399272.83999997</v>
      </c>
      <c r="AL49" s="76">
        <f>利润表!AL4</f>
        <v>232406318.21000001</v>
      </c>
      <c r="AM49" s="76">
        <f>利润表!AM4</f>
        <v>134187532.15000001</v>
      </c>
      <c r="AN49" s="76">
        <f>利润表!AN4</f>
        <v>259676963.58000001</v>
      </c>
      <c r="AO49" s="76">
        <f>利润表!AO4</f>
        <v>163933411.49000001</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46" t="s">
        <v>464</v>
      </c>
      <c r="E50" s="76">
        <f>资产资本表!E50</f>
        <v>2176789317.6199989</v>
      </c>
      <c r="F50" s="76">
        <f>资产资本表!F50</f>
        <v>4369764915.8499994</v>
      </c>
      <c r="G50" s="76">
        <f>资产资本表!G50</f>
        <v>5220806753.3099995</v>
      </c>
      <c r="H50" s="76">
        <f>资产资本表!H50</f>
        <v>5688610028.8599997</v>
      </c>
      <c r="I50" s="76">
        <f>资产资本表!I50</f>
        <v>2272710605.5500002</v>
      </c>
      <c r="J50" s="76">
        <f>资产资本表!J50</f>
        <v>1231858035.6499996</v>
      </c>
      <c r="K50" s="76">
        <f>资产资本表!K50</f>
        <v>2056499964.2799997</v>
      </c>
      <c r="L50" s="76">
        <f>资产资本表!L50</f>
        <v>1285237309.7899995</v>
      </c>
      <c r="M50" s="76">
        <f>资产资本表!M50</f>
        <v>1517332624.7999992</v>
      </c>
      <c r="N50" s="76">
        <f>资产资本表!N50</f>
        <v>1550512620.9000001</v>
      </c>
      <c r="O50" s="76">
        <f>资产资本表!O50</f>
        <v>1009841203.6400003</v>
      </c>
      <c r="P50" s="76">
        <f>资产资本表!P50</f>
        <v>1872220643.1500001</v>
      </c>
      <c r="Q50" s="76">
        <f>资产资本表!Q50</f>
        <v>1674205375.9700003</v>
      </c>
      <c r="R50" s="76">
        <f>资产资本表!R50</f>
        <v>1245236227.2899997</v>
      </c>
      <c r="S50" s="76">
        <f>资产资本表!S50</f>
        <v>853389782.88</v>
      </c>
      <c r="T50" s="76">
        <f>资产资本表!T50</f>
        <v>1209713999.52</v>
      </c>
      <c r="U50" s="76">
        <f>资产资本表!U50</f>
        <v>574062493.85000014</v>
      </c>
      <c r="V50" s="76">
        <f>资产资本表!V50</f>
        <v>687208727.24000001</v>
      </c>
      <c r="W50" s="76">
        <f>资产资本表!W50</f>
        <v>391974552.43000001</v>
      </c>
      <c r="X50" s="76">
        <f>资产资本表!X50</f>
        <v>1103758317.6599998</v>
      </c>
      <c r="Y50" s="76">
        <f>资产资本表!Y50</f>
        <v>407928434.97000003</v>
      </c>
      <c r="Z50" s="76">
        <f>资产资本表!Z50</f>
        <v>703739427.26999998</v>
      </c>
      <c r="AA50" s="76">
        <f>资产资本表!AA50</f>
        <v>453054346.01999992</v>
      </c>
      <c r="AB50" s="76">
        <f>资产资本表!AB50</f>
        <v>199726286.15999997</v>
      </c>
      <c r="AC50" s="76">
        <f>资产资本表!AC50</f>
        <v>306422389.57999992</v>
      </c>
      <c r="AD50" s="76">
        <f>资产资本表!AD50</f>
        <v>305630750.26000005</v>
      </c>
      <c r="AE50" s="76">
        <f>资产资本表!AE50</f>
        <v>195253954.55999997</v>
      </c>
      <c r="AF50" s="76">
        <f>资产资本表!AF50</f>
        <v>115021140.60000002</v>
      </c>
      <c r="AG50" s="76">
        <f>资产资本表!AG50</f>
        <v>76662670.059999973</v>
      </c>
      <c r="AH50" s="76">
        <f>资产资本表!AH50</f>
        <v>146329346.09999999</v>
      </c>
      <c r="AI50" s="76">
        <f>资产资本表!AI50</f>
        <v>132226950.92999999</v>
      </c>
      <c r="AJ50" s="76">
        <f>资产资本表!AJ50</f>
        <v>77537241.949999988</v>
      </c>
      <c r="AK50" s="76">
        <f>资产资本表!AK50</f>
        <v>120806879.63000001</v>
      </c>
      <c r="AL50" s="76">
        <f>资产资本表!AL50</f>
        <v>55034861.480000012</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2" t="s">
        <v>465</v>
      </c>
      <c r="E51" s="44">
        <f>E49/E50</f>
        <v>5.415808237050534</v>
      </c>
      <c r="F51" s="44">
        <f t="shared" ref="F51:BQ51" si="18">F49/F50</f>
        <v>2.162732184310578</v>
      </c>
      <c r="G51" s="44">
        <f t="shared" si="18"/>
        <v>1.1589694602034086</v>
      </c>
      <c r="H51" s="44">
        <f t="shared" si="18"/>
        <v>0.47467503296954416</v>
      </c>
      <c r="I51" s="44">
        <f t="shared" si="18"/>
        <v>4.0624395232430643</v>
      </c>
      <c r="J51" s="44">
        <f t="shared" si="18"/>
        <v>5.8098568428167905</v>
      </c>
      <c r="K51" s="44">
        <f t="shared" si="18"/>
        <v>2.1877820629893394</v>
      </c>
      <c r="L51" s="44">
        <f t="shared" si="18"/>
        <v>1.5620452490427861</v>
      </c>
      <c r="M51" s="44">
        <f t="shared" si="18"/>
        <v>4.9161116713635717</v>
      </c>
      <c r="N51" s="44">
        <f t="shared" si="18"/>
        <v>3.3633502864252622</v>
      </c>
      <c r="O51" s="44">
        <f t="shared" si="18"/>
        <v>3.2689556685358059</v>
      </c>
      <c r="P51" s="44">
        <f t="shared" si="18"/>
        <v>0.80137687434407445</v>
      </c>
      <c r="Q51" s="44">
        <f t="shared" si="18"/>
        <v>3.1107842833215957</v>
      </c>
      <c r="R51" s="44">
        <f t="shared" si="18"/>
        <v>2.9332491921545727</v>
      </c>
      <c r="S51" s="44">
        <f t="shared" si="18"/>
        <v>2.8406845881009124</v>
      </c>
      <c r="T51" s="44">
        <f t="shared" si="18"/>
        <v>1.0095172805345465</v>
      </c>
      <c r="U51" s="44">
        <f t="shared" si="18"/>
        <v>5.5615930343539182</v>
      </c>
      <c r="V51" s="44">
        <f t="shared" si="18"/>
        <v>3.3176661520536253</v>
      </c>
      <c r="W51" s="44">
        <f t="shared" si="18"/>
        <v>3.8520163369780014</v>
      </c>
      <c r="X51" s="44">
        <f t="shared" si="18"/>
        <v>0.59404553323780751</v>
      </c>
      <c r="Y51" s="44">
        <f t="shared" si="18"/>
        <v>5.4779783937943414</v>
      </c>
      <c r="Z51" s="44">
        <f t="shared" si="18"/>
        <v>2.0736415154413637</v>
      </c>
      <c r="AA51" s="44">
        <f t="shared" si="18"/>
        <v>2.1225772316894376</v>
      </c>
      <c r="AB51" s="44">
        <f t="shared" si="18"/>
        <v>2.0404061466578067</v>
      </c>
      <c r="AC51" s="44">
        <f t="shared" si="18"/>
        <v>4.9801231580096097</v>
      </c>
      <c r="AD51" s="44">
        <f t="shared" si="18"/>
        <v>3.5952933474960345</v>
      </c>
      <c r="AE51" s="44">
        <f t="shared" si="18"/>
        <v>3.3156605813126334</v>
      </c>
      <c r="AF51" s="44">
        <f t="shared" si="18"/>
        <v>2.0660523888944984</v>
      </c>
      <c r="AG51" s="44">
        <f t="shared" si="18"/>
        <v>6.8377627086264336</v>
      </c>
      <c r="AH51" s="44">
        <f t="shared" si="18"/>
        <v>2.5970193196264137</v>
      </c>
      <c r="AI51" s="44">
        <f t="shared" si="18"/>
        <v>1.6899684551320995</v>
      </c>
      <c r="AJ51" s="44">
        <f t="shared" si="18"/>
        <v>1.1486279812149034</v>
      </c>
      <c r="AK51" s="44">
        <f t="shared" si="18"/>
        <v>3.016378487351548</v>
      </c>
      <c r="AL51" s="44">
        <f t="shared" si="18"/>
        <v>4.2228927621532728</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46" t="s">
        <v>466</v>
      </c>
      <c r="E52" s="76">
        <f>资产资本表!E68</f>
        <v>4597208002.8199997</v>
      </c>
      <c r="F52" s="76">
        <f>资产资本表!F68</f>
        <v>4491364057.3200006</v>
      </c>
      <c r="G52" s="76">
        <f>资产资本表!G68</f>
        <v>4457990275.6000004</v>
      </c>
      <c r="H52" s="76">
        <f>资产资本表!H68</f>
        <v>4329244900.4700003</v>
      </c>
      <c r="I52" s="76">
        <f>资产资本表!I68</f>
        <v>4245634666.5200005</v>
      </c>
      <c r="J52" s="76">
        <f>资产资本表!J68</f>
        <v>4278964157.3299994</v>
      </c>
      <c r="K52" s="76">
        <f>资产资本表!K68</f>
        <v>4104495846.8400002</v>
      </c>
      <c r="L52" s="76">
        <f>资产资本表!L68</f>
        <v>4318291788.04</v>
      </c>
      <c r="M52" s="76">
        <f>资产资本表!M68</f>
        <v>4201037356.6100001</v>
      </c>
      <c r="N52" s="76">
        <f>资产资本表!N68</f>
        <v>4211333176.9099998</v>
      </c>
      <c r="O52" s="76">
        <f>资产资本表!O68</f>
        <v>4198154118.3299994</v>
      </c>
      <c r="P52" s="76">
        <f>资产资本表!P68</f>
        <v>4046986029.48</v>
      </c>
      <c r="Q52" s="76">
        <f>资产资本表!Q68</f>
        <v>4022429409.4000006</v>
      </c>
      <c r="R52" s="76">
        <f>资产资本表!R68</f>
        <v>4443739357.4099998</v>
      </c>
      <c r="S52" s="76">
        <f>资产资本表!S68</f>
        <v>4679757438.9399996</v>
      </c>
      <c r="T52" s="76">
        <f>资产资本表!T68</f>
        <v>4098957324.6399994</v>
      </c>
      <c r="U52" s="76">
        <f>资产资本表!U68</f>
        <v>3994892916.8199997</v>
      </c>
      <c r="V52" s="76">
        <f>资产资本表!V68</f>
        <v>3497793546.8400002</v>
      </c>
      <c r="W52" s="76">
        <f>资产资本表!W68</f>
        <v>2856914074.4200001</v>
      </c>
      <c r="X52" s="76">
        <f>资产资本表!X68</f>
        <v>1707150327.1799998</v>
      </c>
      <c r="Y52" s="76">
        <f>资产资本表!Y68</f>
        <v>1657348348.98</v>
      </c>
      <c r="Z52" s="76">
        <f>资产资本表!Z68</f>
        <v>965964763.53999996</v>
      </c>
      <c r="AA52" s="76">
        <f>资产资本表!AA68</f>
        <v>934383454.78000009</v>
      </c>
      <c r="AB52" s="76">
        <f>资产资本表!AB68</f>
        <v>888578765.95000029</v>
      </c>
      <c r="AC52" s="76">
        <f>资产资本表!AC68</f>
        <v>728109739.0200001</v>
      </c>
      <c r="AD52" s="76">
        <f>资产资本表!AD68</f>
        <v>362314038.84000003</v>
      </c>
      <c r="AE52" s="76">
        <f>资产资本表!AE68</f>
        <v>335766939.25999999</v>
      </c>
      <c r="AF52" s="76">
        <f>资产资本表!AF68</f>
        <v>331186656.53999996</v>
      </c>
      <c r="AG52" s="76">
        <f>资产资本表!AG68</f>
        <v>314111815.44999999</v>
      </c>
      <c r="AH52" s="76">
        <f>资产资本表!AH68</f>
        <v>270729297.80999994</v>
      </c>
      <c r="AI52" s="76">
        <f>资产资本表!AI68</f>
        <v>264637372.17000002</v>
      </c>
      <c r="AJ52" s="76">
        <f>资产资本表!AJ68</f>
        <v>265578266.37</v>
      </c>
      <c r="AK52" s="76">
        <f>资产资本表!AK68</f>
        <v>217377805.19999999</v>
      </c>
      <c r="AL52" s="76">
        <f>资产资本表!AL68</f>
        <v>129113281.06999998</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2" t="s">
        <v>467</v>
      </c>
      <c r="E53" s="44">
        <f>E49/E52</f>
        <v>2.5643985456952127</v>
      </c>
      <c r="F53" s="44">
        <f t="shared" ref="F53:BQ53" si="20">F49/F52</f>
        <v>2.1041783967561951</v>
      </c>
      <c r="G53" s="44">
        <f t="shared" si="20"/>
        <v>1.3572832623318429</v>
      </c>
      <c r="H53" s="44">
        <f t="shared" si="20"/>
        <v>0.62372104491174685</v>
      </c>
      <c r="I53" s="44">
        <f t="shared" si="20"/>
        <v>2.1746452801714482</v>
      </c>
      <c r="J53" s="44">
        <f t="shared" si="20"/>
        <v>1.6725820957251942</v>
      </c>
      <c r="K53" s="44">
        <f t="shared" si="20"/>
        <v>1.0961574581330999</v>
      </c>
      <c r="L53" s="44">
        <f t="shared" si="20"/>
        <v>0.46490578501672197</v>
      </c>
      <c r="M53" s="44">
        <f t="shared" si="20"/>
        <v>1.7756034981177353</v>
      </c>
      <c r="N53" s="44">
        <f t="shared" si="20"/>
        <v>1.2383055076721248</v>
      </c>
      <c r="O53" s="44">
        <f t="shared" si="20"/>
        <v>0.78632799890471106</v>
      </c>
      <c r="P53" s="44">
        <f t="shared" si="20"/>
        <v>0.37073375498723465</v>
      </c>
      <c r="Q53" s="44">
        <f t="shared" si="20"/>
        <v>1.2947627516965814</v>
      </c>
      <c r="R53" s="44">
        <f t="shared" si="20"/>
        <v>0.82196273542669784</v>
      </c>
      <c r="S53" s="44">
        <f t="shared" si="20"/>
        <v>0.51802069562372488</v>
      </c>
      <c r="T53" s="44">
        <f t="shared" si="20"/>
        <v>0.29793605795280076</v>
      </c>
      <c r="U53" s="44">
        <f t="shared" si="20"/>
        <v>0.79919588173127887</v>
      </c>
      <c r="V53" s="44">
        <f t="shared" si="20"/>
        <v>0.65181924068095698</v>
      </c>
      <c r="W53" s="44">
        <f t="shared" si="20"/>
        <v>0.52850465233069099</v>
      </c>
      <c r="X53" s="44">
        <f t="shared" si="20"/>
        <v>0.3840802347284239</v>
      </c>
      <c r="Y53" s="44">
        <f t="shared" si="20"/>
        <v>1.348312293161108</v>
      </c>
      <c r="Z53" s="44">
        <f t="shared" si="20"/>
        <v>1.510721040270711</v>
      </c>
      <c r="AA53" s="44">
        <f t="shared" si="20"/>
        <v>1.0291736595511722</v>
      </c>
      <c r="AB53" s="44">
        <f t="shared" si="20"/>
        <v>0.45862309290534076</v>
      </c>
      <c r="AC53" s="44">
        <f t="shared" si="20"/>
        <v>2.0958670880215799</v>
      </c>
      <c r="AD53" s="44">
        <f t="shared" si="20"/>
        <v>3.0328170741549729</v>
      </c>
      <c r="AE53" s="44">
        <f t="shared" si="20"/>
        <v>1.9281107362946512</v>
      </c>
      <c r="AF53" s="44">
        <f t="shared" si="20"/>
        <v>0.71754008688842941</v>
      </c>
      <c r="AG53" s="44">
        <f t="shared" si="20"/>
        <v>1.6688361299909198</v>
      </c>
      <c r="AH53" s="44">
        <f t="shared" si="20"/>
        <v>1.4036904831655912</v>
      </c>
      <c r="AI53" s="44">
        <f t="shared" si="20"/>
        <v>0.84439840887798823</v>
      </c>
      <c r="AJ53" s="44">
        <f t="shared" si="20"/>
        <v>0.33534914926329407</v>
      </c>
      <c r="AK53" s="44">
        <f t="shared" si="20"/>
        <v>1.6763407492532729</v>
      </c>
      <c r="AL53" s="44">
        <f t="shared" si="20"/>
        <v>1.8000186834691214</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46" t="s">
        <v>468</v>
      </c>
      <c r="E54" s="76">
        <f>资产资本表!E17</f>
        <v>23071052529.989998</v>
      </c>
      <c r="F54" s="76">
        <f>资产资本表!F17</f>
        <v>21352274637.75</v>
      </c>
      <c r="G54" s="76">
        <f>资产资本表!G17</f>
        <v>17946302369.950001</v>
      </c>
      <c r="H54" s="76">
        <f>资产资本表!H17</f>
        <v>15534440338.699999</v>
      </c>
      <c r="I54" s="76">
        <f>资产资本表!I17</f>
        <v>15765188074.299999</v>
      </c>
      <c r="J54" s="76">
        <f>资产资本表!J17</f>
        <v>15716087361.67</v>
      </c>
      <c r="K54" s="76">
        <f>资产资本表!K17</f>
        <v>10648121818.280001</v>
      </c>
      <c r="L54" s="76">
        <f>资产资本表!L17</f>
        <v>10700181034.92</v>
      </c>
      <c r="M54" s="76">
        <f>资产资本表!M17</f>
        <v>10133151907</v>
      </c>
      <c r="N54" s="76">
        <f>资产资本表!N17</f>
        <v>6611834940.04</v>
      </c>
      <c r="O54" s="76">
        <f>资产资本表!O17</f>
        <v>5444212539.9099998</v>
      </c>
      <c r="P54" s="76">
        <f>资产资本表!P17</f>
        <v>4069518701.1599998</v>
      </c>
      <c r="Q54" s="76">
        <f>资产资本表!Q17</f>
        <v>4195000780.1000004</v>
      </c>
      <c r="R54" s="76">
        <f>资产资本表!R17</f>
        <v>3821607434.6199999</v>
      </c>
      <c r="S54" s="76">
        <f>资产资本表!S17</f>
        <v>2796391151.8499999</v>
      </c>
      <c r="T54" s="76">
        <f>资产资本表!T17</f>
        <v>2323949894.6599998</v>
      </c>
      <c r="U54" s="76">
        <f>资产资本表!U17</f>
        <v>2675386027.0700002</v>
      </c>
      <c r="V54" s="76">
        <f>资产资本表!V17</f>
        <v>2584698785.8200002</v>
      </c>
      <c r="W54" s="76">
        <f>资产资本表!W17</f>
        <v>2644577589.6799998</v>
      </c>
      <c r="X54" s="76">
        <f>资产资本表!X17</f>
        <v>2751523259.3800001</v>
      </c>
      <c r="Y54" s="76">
        <f>资产资本表!Y17</f>
        <v>3445629597.9899998</v>
      </c>
      <c r="Z54" s="76">
        <f>资产资本表!Z17</f>
        <v>2569228947.27</v>
      </c>
      <c r="AA54" s="76">
        <f>资产资本表!AA17</f>
        <v>2244750389.1300001</v>
      </c>
      <c r="AB54" s="76">
        <f>资产资本表!AB17</f>
        <v>680514715.74000001</v>
      </c>
      <c r="AC54" s="76">
        <f>资产资本表!AC17</f>
        <v>683957407.77999997</v>
      </c>
      <c r="AD54" s="76">
        <f>资产资本表!AD17</f>
        <v>742879369.25999999</v>
      </c>
      <c r="AE54" s="76">
        <f>资产资本表!AE17</f>
        <v>782365552.09000003</v>
      </c>
      <c r="AF54" s="76">
        <f>资产资本表!AF17</f>
        <v>704850866.16999996</v>
      </c>
      <c r="AG54" s="76">
        <f>资产资本表!AG17</f>
        <v>681329153</v>
      </c>
      <c r="AH54" s="76">
        <f>资产资本表!AH17</f>
        <v>572976767.17000008</v>
      </c>
      <c r="AI54" s="76">
        <f>资产资本表!AI17</f>
        <v>176269199.97</v>
      </c>
      <c r="AJ54" s="76">
        <f>资产资本表!AJ17</f>
        <v>178717039.56</v>
      </c>
      <c r="AK54" s="76">
        <f>资产资本表!AK17</f>
        <v>46297574.269999996</v>
      </c>
      <c r="AL54" s="76">
        <f>资产资本表!AL17</f>
        <v>53516466.599999994</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2" t="s">
        <v>469</v>
      </c>
      <c r="E55" s="44">
        <f>E49/E54</f>
        <v>0.51098984328371744</v>
      </c>
      <c r="F55" s="44">
        <f t="shared" ref="F55:BQ55" si="22">F49/F54</f>
        <v>0.44260536086734509</v>
      </c>
      <c r="G55" s="44">
        <f t="shared" si="22"/>
        <v>0.33715890103588275</v>
      </c>
      <c r="H55" s="44">
        <f t="shared" si="22"/>
        <v>0.1738228796227087</v>
      </c>
      <c r="I55" s="44">
        <f t="shared" si="22"/>
        <v>0.5856415632574018</v>
      </c>
      <c r="J55" s="44">
        <f t="shared" si="22"/>
        <v>0.45538807930369651</v>
      </c>
      <c r="K55" s="44">
        <f t="shared" si="22"/>
        <v>0.42253214333687583</v>
      </c>
      <c r="L55" s="44">
        <f t="shared" si="22"/>
        <v>0.18762288479963179</v>
      </c>
      <c r="M55" s="44">
        <f t="shared" si="22"/>
        <v>0.73613587308081785</v>
      </c>
      <c r="N55" s="44">
        <f t="shared" si="22"/>
        <v>0.78872463013700866</v>
      </c>
      <c r="O55" s="44">
        <f t="shared" si="22"/>
        <v>0.60635511614588289</v>
      </c>
      <c r="P55" s="44">
        <f t="shared" si="22"/>
        <v>0.36868102526776203</v>
      </c>
      <c r="Q55" s="44">
        <f t="shared" si="22"/>
        <v>1.2414995952624948</v>
      </c>
      <c r="R55" s="44">
        <f t="shared" si="22"/>
        <v>0.95577272658911749</v>
      </c>
      <c r="S55" s="44">
        <f t="shared" si="22"/>
        <v>0.86690704991904366</v>
      </c>
      <c r="T55" s="44">
        <f t="shared" si="22"/>
        <v>0.52549634991105043</v>
      </c>
      <c r="U55" s="44">
        <f t="shared" si="22"/>
        <v>1.193361232650433</v>
      </c>
      <c r="V55" s="44">
        <f t="shared" si="22"/>
        <v>0.88208697518952439</v>
      </c>
      <c r="W55" s="44">
        <f t="shared" si="22"/>
        <v>0.57093896035876968</v>
      </c>
      <c r="X55" s="44">
        <f t="shared" si="22"/>
        <v>0.23829807585480661</v>
      </c>
      <c r="Y55" s="44">
        <f t="shared" si="22"/>
        <v>0.64853841349736563</v>
      </c>
      <c r="Z55" s="44">
        <f t="shared" si="22"/>
        <v>0.56799270224267873</v>
      </c>
      <c r="AA55" s="44">
        <f t="shared" si="22"/>
        <v>0.42839633494960871</v>
      </c>
      <c r="AB55" s="44">
        <f t="shared" si="22"/>
        <v>0.59884486331328601</v>
      </c>
      <c r="AC55" s="44">
        <f t="shared" si="22"/>
        <v>2.2311641355463703</v>
      </c>
      <c r="AD55" s="44">
        <f t="shared" si="22"/>
        <v>1.4791529401261652</v>
      </c>
      <c r="AE55" s="44">
        <f t="shared" si="22"/>
        <v>0.82748510431032674</v>
      </c>
      <c r="AF55" s="44">
        <f t="shared" si="22"/>
        <v>0.33714891151553855</v>
      </c>
      <c r="AG55" s="44">
        <f t="shared" si="22"/>
        <v>0.76938018015500953</v>
      </c>
      <c r="AH55" s="44">
        <f t="shared" si="22"/>
        <v>0.66323830323341793</v>
      </c>
      <c r="AI55" s="44">
        <f t="shared" si="22"/>
        <v>1.2677165155797581</v>
      </c>
      <c r="AJ55" s="44">
        <f t="shared" si="22"/>
        <v>0.4983377405381636</v>
      </c>
      <c r="AK55" s="44">
        <f t="shared" si="22"/>
        <v>7.8708070257608336</v>
      </c>
      <c r="AL55" s="44">
        <f t="shared" si="22"/>
        <v>4.3427067027254003</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46" t="s">
        <v>443</v>
      </c>
      <c r="E56" s="76">
        <f>资产资本表!E19</f>
        <v>0</v>
      </c>
      <c r="F56" s="76">
        <f>资产资本表!F19</f>
        <v>16531370.939999999</v>
      </c>
      <c r="G56" s="76">
        <f>资产资本表!G19</f>
        <v>16531370.939999999</v>
      </c>
      <c r="H56" s="76">
        <f>资产资本表!H19</f>
        <v>22475765</v>
      </c>
      <c r="I56" s="76">
        <f>资产资本表!I19</f>
        <v>22475765</v>
      </c>
      <c r="J56" s="76">
        <f>资产资本表!J19</f>
        <v>26007345.920000002</v>
      </c>
      <c r="K56" s="76">
        <f>资产资本表!K19</f>
        <v>29341371.530000001</v>
      </c>
      <c r="L56" s="76">
        <f>资产资本表!L19</f>
        <v>33128177.440000001</v>
      </c>
      <c r="M56" s="76">
        <f>资产资本表!M19</f>
        <v>33128177.440000001</v>
      </c>
      <c r="N56" s="76">
        <f>资产资本表!N19</f>
        <v>12500000</v>
      </c>
      <c r="O56" s="76">
        <f>资产资本表!O19</f>
        <v>0</v>
      </c>
      <c r="P56" s="76">
        <f>资产资本表!P19</f>
        <v>3000000</v>
      </c>
      <c r="Q56" s="76">
        <f>资产资本表!Q19</f>
        <v>0</v>
      </c>
      <c r="R56" s="76">
        <f>资产资本表!R19</f>
        <v>0</v>
      </c>
      <c r="S56" s="76">
        <f>资产资本表!S19</f>
        <v>0</v>
      </c>
      <c r="T56" s="76">
        <f>资产资本表!T19</f>
        <v>0</v>
      </c>
      <c r="U56" s="76">
        <f>资产资本表!U19</f>
        <v>0</v>
      </c>
      <c r="V56" s="76">
        <f>资产资本表!V19</f>
        <v>0</v>
      </c>
      <c r="W56" s="76">
        <f>资产资本表!W19</f>
        <v>0</v>
      </c>
      <c r="X56" s="76">
        <f>资产资本表!X19</f>
        <v>0</v>
      </c>
      <c r="Y56" s="76">
        <f>资产资本表!Y19</f>
        <v>0</v>
      </c>
      <c r="Z56" s="76">
        <f>资产资本表!Z19</f>
        <v>0</v>
      </c>
      <c r="AA56" s="76">
        <f>资产资本表!AA19</f>
        <v>0</v>
      </c>
      <c r="AB56" s="76">
        <f>资产资本表!AB19</f>
        <v>0</v>
      </c>
      <c r="AC56" s="76">
        <f>资产资本表!AC19</f>
        <v>0</v>
      </c>
      <c r="AD56" s="76">
        <f>资产资本表!AD19</f>
        <v>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c r="A57" s="144" t="s">
        <v>470</v>
      </c>
      <c r="E57" s="117" t="e">
        <f>E49/E56</f>
        <v>#DIV/0!</v>
      </c>
      <c r="F57" s="117">
        <f t="shared" ref="F57:BQ57" si="24">F49/F56</f>
        <v>571.67861369034165</v>
      </c>
      <c r="G57" s="117">
        <f t="shared" si="24"/>
        <v>366.01656370007026</v>
      </c>
      <c r="H57" s="117">
        <f t="shared" si="24"/>
        <v>120.14012217159238</v>
      </c>
      <c r="I57" s="117">
        <f t="shared" si="24"/>
        <v>410.78688039672949</v>
      </c>
      <c r="J57" s="117">
        <f t="shared" si="24"/>
        <v>275.18835869738757</v>
      </c>
      <c r="K57" s="117">
        <f t="shared" si="24"/>
        <v>153.33890339072369</v>
      </c>
      <c r="L57" s="117">
        <f t="shared" si="24"/>
        <v>60.600944235041503</v>
      </c>
      <c r="M57" s="117">
        <f t="shared" si="24"/>
        <v>225.16712969284313</v>
      </c>
      <c r="N57" s="117">
        <f t="shared" si="24"/>
        <v>417.19336540879999</v>
      </c>
      <c r="O57" s="117" t="e">
        <f t="shared" si="24"/>
        <v>#DIV/0!</v>
      </c>
      <c r="P57" s="117">
        <f t="shared" si="24"/>
        <v>500.11810902999997</v>
      </c>
      <c r="Q57" s="117" t="e">
        <f t="shared" si="24"/>
        <v>#DIV/0!</v>
      </c>
      <c r="R57" s="117" t="e">
        <f t="shared" si="24"/>
        <v>#DIV/0!</v>
      </c>
      <c r="S57" s="117" t="e">
        <f t="shared" si="24"/>
        <v>#DIV/0!</v>
      </c>
      <c r="T57" s="117" t="e">
        <f t="shared" si="24"/>
        <v>#DIV/0!</v>
      </c>
      <c r="U57" s="117" t="e">
        <f t="shared" si="24"/>
        <v>#DIV/0!</v>
      </c>
      <c r="V57" s="117" t="e">
        <f t="shared" si="24"/>
        <v>#DIV/0!</v>
      </c>
      <c r="W57" s="117" t="e">
        <f t="shared" si="24"/>
        <v>#DIV/0!</v>
      </c>
      <c r="X57" s="117" t="e">
        <f t="shared" si="24"/>
        <v>#DIV/0!</v>
      </c>
      <c r="Y57" s="117" t="e">
        <f t="shared" si="24"/>
        <v>#DIV/0!</v>
      </c>
      <c r="Z57" s="117" t="e">
        <f t="shared" si="24"/>
        <v>#DIV/0!</v>
      </c>
      <c r="AA57" s="117" t="e">
        <f t="shared" si="24"/>
        <v>#DIV/0!</v>
      </c>
      <c r="AB57" s="117" t="e">
        <f t="shared" si="24"/>
        <v>#DIV/0!</v>
      </c>
      <c r="AC57" s="117" t="e">
        <f t="shared" si="24"/>
        <v>#DIV/0!</v>
      </c>
      <c r="AD57" s="117" t="e">
        <f t="shared" si="24"/>
        <v>#DIV/0!</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5" customHeight="1">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39813</v>
      </c>
      <c r="AO61" s="1">
        <v>39447</v>
      </c>
      <c r="AP61" s="1">
        <v>25569</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46" t="s">
        <v>463</v>
      </c>
      <c r="E63" s="76">
        <f>E49</f>
        <v>11789073516.690001</v>
      </c>
      <c r="F63" s="76">
        <f t="shared" ref="F63:BQ63" si="26">F49</f>
        <v>9450631221.3799992</v>
      </c>
      <c r="G63" s="76">
        <f t="shared" si="26"/>
        <v>6050755584.71</v>
      </c>
      <c r="H63" s="76">
        <f t="shared" si="26"/>
        <v>2700241153</v>
      </c>
      <c r="I63" s="76">
        <f t="shared" si="26"/>
        <v>9232749388.8799992</v>
      </c>
      <c r="J63" s="76">
        <f t="shared" si="26"/>
        <v>7156918837.8000002</v>
      </c>
      <c r="K63" s="76">
        <f t="shared" si="26"/>
        <v>4499173734.3900003</v>
      </c>
      <c r="L63" s="76">
        <f t="shared" si="26"/>
        <v>2007598833.6500001</v>
      </c>
      <c r="M63" s="76">
        <f t="shared" si="26"/>
        <v>7459376626.1199999</v>
      </c>
      <c r="N63" s="76">
        <f t="shared" si="26"/>
        <v>5214917067.6099997</v>
      </c>
      <c r="O63" s="76">
        <f t="shared" si="26"/>
        <v>3301126126.96</v>
      </c>
      <c r="P63" s="76">
        <f t="shared" si="26"/>
        <v>1500354327.0899999</v>
      </c>
      <c r="Q63" s="76">
        <f t="shared" si="26"/>
        <v>5208091770.6199999</v>
      </c>
      <c r="R63" s="76">
        <f t="shared" si="26"/>
        <v>3652588157.7399998</v>
      </c>
      <c r="S63" s="76">
        <f t="shared" si="26"/>
        <v>2424211203.8699999</v>
      </c>
      <c r="T63" s="76">
        <f t="shared" si="26"/>
        <v>1221227187.02</v>
      </c>
      <c r="U63" s="76">
        <f t="shared" si="26"/>
        <v>3192701967.0799999</v>
      </c>
      <c r="V63" s="76">
        <f t="shared" si="26"/>
        <v>2279929133.7600002</v>
      </c>
      <c r="W63" s="76">
        <f t="shared" si="26"/>
        <v>1509892379.6400001</v>
      </c>
      <c r="X63" s="76">
        <f t="shared" si="26"/>
        <v>655682698.38</v>
      </c>
      <c r="Y63" s="76">
        <f t="shared" si="26"/>
        <v>2234623152.98</v>
      </c>
      <c r="Z63" s="76">
        <f t="shared" si="26"/>
        <v>1459303292.4400001</v>
      </c>
      <c r="AA63" s="76">
        <f t="shared" si="26"/>
        <v>961642839.58000004</v>
      </c>
      <c r="AB63" s="76">
        <f t="shared" si="26"/>
        <v>407522741.93000001</v>
      </c>
      <c r="AC63" s="76">
        <f t="shared" si="26"/>
        <v>1526021238.48</v>
      </c>
      <c r="AD63" s="76">
        <f t="shared" si="26"/>
        <v>1098832203.2</v>
      </c>
      <c r="AE63" s="76">
        <f t="shared" si="26"/>
        <v>647395840.48000002</v>
      </c>
      <c r="AF63" s="76">
        <f t="shared" si="26"/>
        <v>237639702.31</v>
      </c>
      <c r="AG63" s="76">
        <f t="shared" si="26"/>
        <v>524201146.48000002</v>
      </c>
      <c r="AH63" s="76">
        <f t="shared" si="26"/>
        <v>380020138.85000002</v>
      </c>
      <c r="AI63" s="76">
        <f t="shared" si="26"/>
        <v>223459375.99000001</v>
      </c>
      <c r="AJ63" s="76">
        <f t="shared" si="26"/>
        <v>89061445.689999998</v>
      </c>
      <c r="AK63" s="76">
        <f t="shared" si="26"/>
        <v>364399272.83999997</v>
      </c>
      <c r="AL63" s="76">
        <f t="shared" si="26"/>
        <v>232406318.21000001</v>
      </c>
      <c r="AM63" s="76">
        <f t="shared" si="26"/>
        <v>134187532.15000001</v>
      </c>
      <c r="AN63" s="76">
        <f t="shared" si="26"/>
        <v>259676963.58000001</v>
      </c>
      <c r="AO63" s="76">
        <f t="shared" si="26"/>
        <v>163933411.49000001</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46" t="s">
        <v>473</v>
      </c>
      <c r="E64" s="76">
        <f>资产资本表!E22+资产资本表!E23-资产资本表!E37</f>
        <v>4724119594.0600004</v>
      </c>
      <c r="F64" s="76">
        <f>资产资本表!F22+资产资本表!F23-资产资本表!F37</f>
        <v>5448766797.7600002</v>
      </c>
      <c r="G64" s="76">
        <f>资产资本表!G22+资产资本表!G23-资产资本表!G37</f>
        <v>4914660802.9200001</v>
      </c>
      <c r="H64" s="76">
        <f>资产资本表!H22+资产资本表!H23-资产资本表!H37</f>
        <v>4355055455.0699997</v>
      </c>
      <c r="I64" s="76">
        <f>资产资本表!I22+资产资本表!I23-资产资本表!I37</f>
        <v>4931004519.1000004</v>
      </c>
      <c r="J64" s="76">
        <f>资产资本表!J22+资产资本表!J23-资产资本表!J37</f>
        <v>3611817393.1500001</v>
      </c>
      <c r="K64" s="76">
        <f>资产资本表!K22+资产资本表!K23-资产资本表!K37</f>
        <v>3160782969.9299998</v>
      </c>
      <c r="L64" s="76">
        <f>资产资本表!L22+资产资本表!L23-资产资本表!L37</f>
        <v>2920349786.8099995</v>
      </c>
      <c r="M64" s="76">
        <f>资产资本表!M22+资产资本表!M23-资产资本表!M37</f>
        <v>2782228260.6399999</v>
      </c>
      <c r="N64" s="76">
        <f>资产资本表!N22+资产资本表!N23-资产资本表!N37</f>
        <v>2737526360.9200001</v>
      </c>
      <c r="O64" s="76">
        <f>资产资本表!O22+资产资本表!O23-资产资本表!O37</f>
        <v>1995010410.1500001</v>
      </c>
      <c r="P64" s="76">
        <f>资产资本表!P22+资产资本表!P23-资产资本表!P37</f>
        <v>1865915448.8299999</v>
      </c>
      <c r="Q64" s="76">
        <f>资产资本表!Q22+资产资本表!Q23-资产资本表!Q37</f>
        <v>1769718058.9400001</v>
      </c>
      <c r="R64" s="76">
        <f>资产资本表!R22+资产资本表!R23-资产资本表!R37</f>
        <v>1178979834.2199998</v>
      </c>
      <c r="S64" s="76">
        <f>资产资本表!S22+资产资本表!S23-资产资本表!S37</f>
        <v>917148860.22000003</v>
      </c>
      <c r="T64" s="76">
        <f>资产资本表!T22+资产资本表!T23-资产资本表!T37</f>
        <v>659695574.99999988</v>
      </c>
      <c r="U64" s="76">
        <f>资产资本表!U22+资产资本表!U23-资产资本表!U37</f>
        <v>463942583.02999997</v>
      </c>
      <c r="V64" s="76">
        <f>资产资本表!V22+资产资本表!V23-资产资本表!V37</f>
        <v>474262836.15999997</v>
      </c>
      <c r="W64" s="76">
        <f>资产资本表!W22+资产资本表!W23-资产资本表!W37</f>
        <v>353939174.40999997</v>
      </c>
      <c r="X64" s="76">
        <f>资产资本表!X22+资产资本表!X23-资产资本表!X37</f>
        <v>368185452.96000004</v>
      </c>
      <c r="Y64" s="76">
        <f>资产资本表!Y22+资产资本表!Y23-资产资本表!Y37</f>
        <v>339160373.54000002</v>
      </c>
      <c r="Z64" s="76">
        <f>资产资本表!Z22+资产资本表!Z23-资产资本表!Z37</f>
        <v>225629095.19999999</v>
      </c>
      <c r="AA64" s="76">
        <f>资产资本表!AA22+资产资本表!AA23-资产资本表!AA37</f>
        <v>197437961.79000002</v>
      </c>
      <c r="AB64" s="76">
        <f>资产资本表!AB22+资产资本表!AB23-资产资本表!AB37</f>
        <v>139666095.99000001</v>
      </c>
      <c r="AC64" s="76">
        <f>资产资本表!AC22+资产资本表!AC23-资产资本表!AC37</f>
        <v>112219432.27000001</v>
      </c>
      <c r="AD64" s="76">
        <f>资产资本表!AD22+资产资本表!AD23-资产资本表!AD37</f>
        <v>79630502.290000007</v>
      </c>
      <c r="AE64" s="76">
        <f>资产资本表!AE22+资产资本表!AE23-资产资本表!AE37</f>
        <v>-70339593.489999995</v>
      </c>
      <c r="AF64" s="76">
        <f>资产资本表!AF22+资产资本表!AF23-资产资本表!AF37</f>
        <v>13946315.730000004</v>
      </c>
      <c r="AG64" s="76">
        <f>资产资本表!AG22+资产资本表!AG23-资产资本表!AG37</f>
        <v>34656986.460000001</v>
      </c>
      <c r="AH64" s="76">
        <f>资产资本表!AH22+资产资本表!AH23-资产资本表!AH37</f>
        <v>62319535.449999996</v>
      </c>
      <c r="AI64" s="76">
        <f>资产资本表!AI22+资产资本表!AI23-资产资本表!AI37</f>
        <v>58864686.629999995</v>
      </c>
      <c r="AJ64" s="76">
        <f>资产资本表!AJ22+资产资本表!AJ23-资产资本表!AJ37</f>
        <v>34261455.82</v>
      </c>
      <c r="AK64" s="76">
        <f>资产资本表!AK22+资产资本表!AK23-资产资本表!AK37</f>
        <v>17479086.32</v>
      </c>
      <c r="AL64" s="76">
        <f>资产资本表!AL22+资产资本表!AL23-资产资本表!AL37</f>
        <v>22217811.16</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c r="A65" s="153" t="s">
        <v>691</v>
      </c>
      <c r="E65" s="154">
        <f>E63/(E64+I64)*2</f>
        <v>2.4420345877525103</v>
      </c>
      <c r="F65" s="154">
        <f t="shared" ref="F65:BQ65" si="28">F63/(F64+J64)*2</f>
        <v>2.086097545644201</v>
      </c>
      <c r="G65" s="154">
        <f t="shared" si="28"/>
        <v>1.4985567988357267</v>
      </c>
      <c r="H65" s="154">
        <f t="shared" si="28"/>
        <v>0.74229298938741861</v>
      </c>
      <c r="I65" s="154">
        <f t="shared" si="28"/>
        <v>2.394002528519882</v>
      </c>
      <c r="J65" s="154">
        <f t="shared" si="28"/>
        <v>2.2543806462557128</v>
      </c>
      <c r="K65" s="154">
        <f t="shared" si="28"/>
        <v>1.7452886113602128</v>
      </c>
      <c r="L65" s="154">
        <f t="shared" si="28"/>
        <v>0.83889995009085716</v>
      </c>
      <c r="M65" s="154">
        <f t="shared" si="28"/>
        <v>3.2774449004522812</v>
      </c>
      <c r="N65" s="154">
        <f t="shared" si="28"/>
        <v>2.6630454837943063</v>
      </c>
      <c r="O65" s="154">
        <f t="shared" si="28"/>
        <v>2.2671329556371282</v>
      </c>
      <c r="P65" s="154">
        <f t="shared" si="28"/>
        <v>1.1881119562225901</v>
      </c>
      <c r="Q65" s="154">
        <f t="shared" si="28"/>
        <v>4.6632793475974657</v>
      </c>
      <c r="R65" s="154">
        <f t="shared" si="28"/>
        <v>4.4186957222685868</v>
      </c>
      <c r="S65" s="154">
        <f t="shared" si="28"/>
        <v>3.8143875763501485</v>
      </c>
      <c r="T65" s="154">
        <f t="shared" si="28"/>
        <v>2.376203381132012</v>
      </c>
      <c r="U65" s="154">
        <f t="shared" si="28"/>
        <v>7.9509157349284845</v>
      </c>
      <c r="V65" s="154">
        <f t="shared" si="28"/>
        <v>6.5150890633350782</v>
      </c>
      <c r="W65" s="154">
        <f t="shared" si="28"/>
        <v>5.4768044610842175</v>
      </c>
      <c r="X65" s="154">
        <f t="shared" si="28"/>
        <v>2.5821825284796147</v>
      </c>
      <c r="Y65" s="154">
        <f t="shared" si="28"/>
        <v>9.9012987476033576</v>
      </c>
      <c r="Z65" s="154">
        <f t="shared" si="28"/>
        <v>9.5610641201071846</v>
      </c>
      <c r="AA65" s="154">
        <f t="shared" si="28"/>
        <v>15.132260979309518</v>
      </c>
      <c r="AB65" s="154">
        <f t="shared" si="28"/>
        <v>5.3058569599547711</v>
      </c>
      <c r="AC65" s="154">
        <f t="shared" si="28"/>
        <v>20.779662953047001</v>
      </c>
      <c r="AD65" s="154">
        <f t="shared" si="28"/>
        <v>15.481957182887889</v>
      </c>
      <c r="AE65" s="154">
        <f t="shared" si="28"/>
        <v>-112.83679220730512</v>
      </c>
      <c r="AF65" s="154">
        <f t="shared" si="28"/>
        <v>9.8589789434064805</v>
      </c>
      <c r="AG65" s="154">
        <f t="shared" si="28"/>
        <v>20.108961742937019</v>
      </c>
      <c r="AH65" s="154">
        <f t="shared" si="28"/>
        <v>8.9905859147239209</v>
      </c>
      <c r="AI65" s="154">
        <f t="shared" si="28"/>
        <v>7.5923066538883237</v>
      </c>
      <c r="AJ65" s="154">
        <f t="shared" si="28"/>
        <v>5.1989294417554026</v>
      </c>
      <c r="AK65" s="154">
        <f t="shared" si="28"/>
        <v>41.695460067960802</v>
      </c>
      <c r="AL65" s="154">
        <f t="shared" si="28"/>
        <v>20.920721356063591</v>
      </c>
      <c r="AM65" s="154" t="e">
        <f t="shared" si="28"/>
        <v>#DIV/0!</v>
      </c>
      <c r="AN65" s="154" t="e">
        <f t="shared" si="28"/>
        <v>#DIV/0!</v>
      </c>
      <c r="AO65" s="154" t="e">
        <f t="shared" si="28"/>
        <v>#DIV/0!</v>
      </c>
      <c r="AP65" s="154" t="e">
        <f t="shared" si="28"/>
        <v>#DIV/0!</v>
      </c>
      <c r="AQ65" s="154" t="e">
        <f t="shared" si="28"/>
        <v>#DIV/0!</v>
      </c>
      <c r="AR65" s="154" t="e">
        <f t="shared" si="28"/>
        <v>#DIV/0!</v>
      </c>
      <c r="AS65" s="154" t="e">
        <f t="shared" si="28"/>
        <v>#DIV/0!</v>
      </c>
      <c r="AT65" s="154" t="e">
        <f t="shared" si="28"/>
        <v>#DIV/0!</v>
      </c>
      <c r="AU65" s="154" t="e">
        <f t="shared" si="28"/>
        <v>#DIV/0!</v>
      </c>
      <c r="AV65" s="154" t="e">
        <f t="shared" si="28"/>
        <v>#DIV/0!</v>
      </c>
      <c r="AW65" s="154" t="e">
        <f t="shared" si="28"/>
        <v>#DIV/0!</v>
      </c>
      <c r="AX65" s="154" t="e">
        <f t="shared" si="28"/>
        <v>#DIV/0!</v>
      </c>
      <c r="AY65" s="154" t="e">
        <f t="shared" si="28"/>
        <v>#DIV/0!</v>
      </c>
      <c r="AZ65" s="154" t="e">
        <f t="shared" si="28"/>
        <v>#DIV/0!</v>
      </c>
      <c r="BA65" s="154" t="e">
        <f t="shared" si="28"/>
        <v>#DIV/0!</v>
      </c>
      <c r="BB65" s="154" t="e">
        <f t="shared" si="28"/>
        <v>#DIV/0!</v>
      </c>
      <c r="BC65" s="154" t="e">
        <f t="shared" si="28"/>
        <v>#DIV/0!</v>
      </c>
      <c r="BD65" s="154" t="e">
        <f t="shared" si="28"/>
        <v>#DIV/0!</v>
      </c>
      <c r="BE65" s="154" t="e">
        <f t="shared" si="28"/>
        <v>#DIV/0!</v>
      </c>
      <c r="BF65" s="154" t="e">
        <f t="shared" si="28"/>
        <v>#DIV/0!</v>
      </c>
      <c r="BG65" s="154" t="e">
        <f t="shared" si="28"/>
        <v>#DIV/0!</v>
      </c>
      <c r="BH65" s="154" t="e">
        <f t="shared" si="28"/>
        <v>#DIV/0!</v>
      </c>
      <c r="BI65" s="154" t="e">
        <f t="shared" si="28"/>
        <v>#DIV/0!</v>
      </c>
      <c r="BJ65" s="154" t="e">
        <f t="shared" si="28"/>
        <v>#DIV/0!</v>
      </c>
      <c r="BK65" s="154" t="e">
        <f t="shared" si="28"/>
        <v>#DIV/0!</v>
      </c>
      <c r="BL65" s="154" t="e">
        <f t="shared" si="28"/>
        <v>#DIV/0!</v>
      </c>
      <c r="BM65" s="154" t="e">
        <f t="shared" si="28"/>
        <v>#DIV/0!</v>
      </c>
      <c r="BN65" s="154" t="e">
        <f t="shared" si="28"/>
        <v>#DIV/0!</v>
      </c>
      <c r="BO65" s="154" t="e">
        <f t="shared" si="28"/>
        <v>#DIV/0!</v>
      </c>
      <c r="BP65" s="154" t="e">
        <f t="shared" si="28"/>
        <v>#DIV/0!</v>
      </c>
      <c r="BQ65" s="154" t="e">
        <f t="shared" si="28"/>
        <v>#DIV/0!</v>
      </c>
      <c r="BR65" s="154" t="e">
        <f t="shared" ref="BR65:CK65" si="29">BR63/(BR64+BV64)*2</f>
        <v>#DIV/0!</v>
      </c>
      <c r="BS65" s="154" t="e">
        <f t="shared" si="29"/>
        <v>#DIV/0!</v>
      </c>
      <c r="BT65" s="154" t="e">
        <f t="shared" si="29"/>
        <v>#DIV/0!</v>
      </c>
      <c r="BU65" s="154" t="e">
        <f t="shared" si="29"/>
        <v>#DIV/0!</v>
      </c>
      <c r="BV65" s="154" t="e">
        <f t="shared" si="29"/>
        <v>#DIV/0!</v>
      </c>
      <c r="BW65" s="154" t="e">
        <f t="shared" si="29"/>
        <v>#DIV/0!</v>
      </c>
      <c r="BX65" s="154" t="e">
        <f t="shared" si="29"/>
        <v>#DIV/0!</v>
      </c>
      <c r="BY65" s="154" t="e">
        <f t="shared" si="29"/>
        <v>#DIV/0!</v>
      </c>
      <c r="BZ65" s="154" t="e">
        <f t="shared" si="29"/>
        <v>#DIV/0!</v>
      </c>
      <c r="CA65" s="154" t="e">
        <f t="shared" si="29"/>
        <v>#DIV/0!</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c r="A66" s="147" t="s">
        <v>474</v>
      </c>
      <c r="E66" s="83">
        <f>E62/E65</f>
        <v>149.46553248286392</v>
      </c>
      <c r="F66" s="83">
        <f t="shared" ref="F66:BQ66" si="30">F62/F65</f>
        <v>174.96784882477081</v>
      </c>
      <c r="G66" s="83">
        <f t="shared" si="30"/>
        <v>243.56767810441309</v>
      </c>
      <c r="H66" s="83">
        <f t="shared" si="30"/>
        <v>491.7195840704602</v>
      </c>
      <c r="I66" s="83">
        <f t="shared" si="30"/>
        <v>152.46433353838819</v>
      </c>
      <c r="J66" s="83">
        <f t="shared" si="30"/>
        <v>161.90699676482154</v>
      </c>
      <c r="K66" s="83">
        <f t="shared" si="30"/>
        <v>209.13446499575369</v>
      </c>
      <c r="L66" s="83">
        <f t="shared" si="30"/>
        <v>435.09360080480235</v>
      </c>
      <c r="M66" s="83">
        <f t="shared" si="30"/>
        <v>111.36724219212067</v>
      </c>
      <c r="N66" s="83">
        <f t="shared" si="30"/>
        <v>137.06112126930259</v>
      </c>
      <c r="O66" s="83">
        <f t="shared" si="30"/>
        <v>160.99629229615459</v>
      </c>
      <c r="P66" s="83">
        <f t="shared" si="30"/>
        <v>307.21010599073378</v>
      </c>
      <c r="Q66" s="83">
        <f t="shared" si="30"/>
        <v>78.271099111411587</v>
      </c>
      <c r="R66" s="83">
        <f t="shared" si="30"/>
        <v>82.603560630014741</v>
      </c>
      <c r="S66" s="83">
        <f t="shared" si="30"/>
        <v>95.690328445662431</v>
      </c>
      <c r="T66" s="83">
        <f t="shared" si="30"/>
        <v>153.60638020223493</v>
      </c>
      <c r="U66" s="83">
        <f t="shared" si="30"/>
        <v>45.906661844817428</v>
      </c>
      <c r="V66" s="83">
        <f t="shared" si="30"/>
        <v>56.023792837170561</v>
      </c>
      <c r="W66" s="83">
        <f t="shared" si="30"/>
        <v>66.644701777018099</v>
      </c>
      <c r="X66" s="83">
        <f t="shared" si="30"/>
        <v>141.35329163384569</v>
      </c>
      <c r="Y66" s="83">
        <f t="shared" si="30"/>
        <v>36.863850824453657</v>
      </c>
      <c r="Z66" s="83">
        <f t="shared" si="30"/>
        <v>38.175666998445791</v>
      </c>
      <c r="AA66" s="83">
        <f t="shared" si="30"/>
        <v>24.120651930274526</v>
      </c>
      <c r="AB66" s="83">
        <f t="shared" si="30"/>
        <v>68.791903504897988</v>
      </c>
      <c r="AC66" s="83">
        <f t="shared" si="30"/>
        <v>17.565251218209902</v>
      </c>
      <c r="AD66" s="83">
        <f t="shared" si="30"/>
        <v>23.575830606445045</v>
      </c>
      <c r="AE66" s="83">
        <f t="shared" si="30"/>
        <v>-3.2347605143667817</v>
      </c>
      <c r="AF66" s="83">
        <f t="shared" si="30"/>
        <v>37.022089416684054</v>
      </c>
      <c r="AG66" s="83">
        <f t="shared" si="30"/>
        <v>18.151111164563279</v>
      </c>
      <c r="AH66" s="83">
        <f t="shared" si="30"/>
        <v>40.598021470685012</v>
      </c>
      <c r="AI66" s="83">
        <f t="shared" si="30"/>
        <v>48.074981246057668</v>
      </c>
      <c r="AJ66" s="83">
        <f t="shared" si="30"/>
        <v>70.206761620669127</v>
      </c>
      <c r="AK66" s="83">
        <f t="shared" si="30"/>
        <v>8.7539506556607005</v>
      </c>
      <c r="AL66" s="83">
        <f t="shared" si="30"/>
        <v>17.446817143052748</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46" t="s">
        <v>475</v>
      </c>
      <c r="E67" s="76">
        <f>股权价值增加表!E5</f>
        <v>7082433228.9700003</v>
      </c>
      <c r="F67" s="76">
        <f>股权价值增加表!F5</f>
        <v>5867004503.1800003</v>
      </c>
      <c r="G67" s="76">
        <f>股权价值增加表!G5</f>
        <v>3760335260.7600002</v>
      </c>
      <c r="H67" s="76">
        <f>股权价值增加表!H5</f>
        <v>1685339422.6600001</v>
      </c>
      <c r="I67" s="76">
        <f>股权价值增加表!I5</f>
        <v>5498091650.5600004</v>
      </c>
      <c r="J67" s="76">
        <f>股权价值增加表!J5</f>
        <v>4486393024.54</v>
      </c>
      <c r="K67" s="76">
        <f>股权价值增加表!K5</f>
        <v>2820743132.8600001</v>
      </c>
      <c r="L67" s="76">
        <f>股权价值增加表!L5</f>
        <v>1228341627.6400001</v>
      </c>
      <c r="M67" s="76">
        <f>股权价值增加表!M5</f>
        <v>4674042318.3100004</v>
      </c>
      <c r="N67" s="76">
        <f>股权价值增加表!N5</f>
        <v>3206565234.98</v>
      </c>
      <c r="O67" s="76">
        <f>股权价值增加表!O5</f>
        <v>2046150402.3299999</v>
      </c>
      <c r="P67" s="76">
        <f>股权价值增加表!P5</f>
        <v>932009375.05999994</v>
      </c>
      <c r="Q67" s="76">
        <f>股权价值增加表!Q5</f>
        <v>3171705053.96</v>
      </c>
      <c r="R67" s="76">
        <f>股权价值增加表!R5</f>
        <v>2262121253.6999998</v>
      </c>
      <c r="S67" s="76">
        <f>股权价值增加表!S5</f>
        <v>1508397409.0699999</v>
      </c>
      <c r="T67" s="76">
        <f>股权价值增加表!T5</f>
        <v>773688343.23000002</v>
      </c>
      <c r="U67" s="76">
        <f>股权价值增加表!U5</f>
        <v>2032945307.53</v>
      </c>
      <c r="V67" s="76">
        <f>股权价值增加表!V5</f>
        <v>1431678641.1400001</v>
      </c>
      <c r="W67" s="76">
        <f>股权价值增加表!W5</f>
        <v>986327119.15999997</v>
      </c>
      <c r="X67" s="76">
        <f>股权价值增加表!X5</f>
        <v>433342685.77999997</v>
      </c>
      <c r="Y67" s="76">
        <f>股权价值增加表!Y5</f>
        <v>1515737569.8</v>
      </c>
      <c r="Z67" s="76">
        <f>股权价值增加表!Z5</f>
        <v>968960651.47000003</v>
      </c>
      <c r="AA67" s="76">
        <f>股权价值增加表!AA5</f>
        <v>653401720.63</v>
      </c>
      <c r="AB67" s="76">
        <f>股权价值增加表!AB5</f>
        <v>295686297.69</v>
      </c>
      <c r="AC67" s="76">
        <f>股权价值增加表!AC5</f>
        <v>1229967250.8199999</v>
      </c>
      <c r="AD67" s="76">
        <f>股权价值增加表!AD5</f>
        <v>891749062.62</v>
      </c>
      <c r="AE67" s="76">
        <f>股权价值增加表!AE5</f>
        <v>530225147.60000002</v>
      </c>
      <c r="AF67" s="76">
        <f>股权价值增加表!AF5</f>
        <v>200625460.34999999</v>
      </c>
      <c r="AG67" s="76">
        <f>股权价值增加表!AG5</f>
        <v>386934282.25</v>
      </c>
      <c r="AH67" s="76">
        <f>股权价值增加表!AH5</f>
        <v>275652349.01999998</v>
      </c>
      <c r="AI67" s="76">
        <f>股权价值增加表!AI5</f>
        <v>161860298.44</v>
      </c>
      <c r="AJ67" s="76">
        <f>股权价值增加表!AJ5</f>
        <v>66705448.380000003</v>
      </c>
      <c r="AK67" s="76">
        <f>股权价值增加表!AK5</f>
        <v>274436681.06999999</v>
      </c>
      <c r="AL67" s="76">
        <f>股权价值增加表!AL5</f>
        <v>180786912.02000001</v>
      </c>
      <c r="AM67" s="76">
        <f>股权价值增加表!AM5</f>
        <v>105400729.06</v>
      </c>
      <c r="AN67" s="76">
        <f>股权价值增加表!AN5</f>
        <v>199359707.38</v>
      </c>
      <c r="AO67" s="76">
        <f>股权价值增加表!AO5</f>
        <v>128316202.27</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46" t="s">
        <v>476</v>
      </c>
      <c r="E68" s="76">
        <f>资产资本表!E26</f>
        <v>582550231.92999995</v>
      </c>
      <c r="F68" s="76">
        <f>资产资本表!F26</f>
        <v>677230430.11000001</v>
      </c>
      <c r="G68" s="76">
        <f>资产资本表!G26</f>
        <v>669935234.58000004</v>
      </c>
      <c r="H68" s="76">
        <f>资产资本表!H26</f>
        <v>731628983.34000003</v>
      </c>
      <c r="I68" s="76">
        <f>资产资本表!I26</f>
        <v>601293534.66999996</v>
      </c>
      <c r="J68" s="76">
        <f>资产资本表!J26</f>
        <v>724713297.20000005</v>
      </c>
      <c r="K68" s="76">
        <f>资产资本表!K26</f>
        <v>578841182.41999996</v>
      </c>
      <c r="L68" s="76">
        <f>资产资本表!L26</f>
        <v>576317041.96000004</v>
      </c>
      <c r="M68" s="76">
        <f>资产资本表!M26</f>
        <v>526982374.43000001</v>
      </c>
      <c r="N68" s="76">
        <f>资产资本表!N26</f>
        <v>706591203.73000002</v>
      </c>
      <c r="O68" s="76">
        <f>资产资本表!O26</f>
        <v>686741051.61000001</v>
      </c>
      <c r="P68" s="76">
        <f>资产资本表!P26</f>
        <v>583826254.91999996</v>
      </c>
      <c r="Q68" s="76">
        <f>资产资本表!Q26</f>
        <v>494991977.74000001</v>
      </c>
      <c r="R68" s="76">
        <f>资产资本表!R26</f>
        <v>638413407.54999995</v>
      </c>
      <c r="S68" s="76">
        <f>资产资本表!S26</f>
        <v>571230376.52999997</v>
      </c>
      <c r="T68" s="76">
        <f>资产资本表!T26</f>
        <v>593901583.94000006</v>
      </c>
      <c r="U68" s="76">
        <f>资产资本表!U26</f>
        <v>464347715.97000003</v>
      </c>
      <c r="V68" s="76">
        <f>资产资本表!V26</f>
        <v>431579661.52999997</v>
      </c>
      <c r="W68" s="76">
        <f>资产资本表!W26</f>
        <v>253100928.06</v>
      </c>
      <c r="X68" s="76">
        <f>资产资本表!X26</f>
        <v>290281048.81999999</v>
      </c>
      <c r="Y68" s="76">
        <f>资产资本表!Y26</f>
        <v>251174796.99000001</v>
      </c>
      <c r="Z68" s="76">
        <f>资产资本表!Z26</f>
        <v>233794349.62</v>
      </c>
      <c r="AA68" s="76">
        <f>资产资本表!AA26</f>
        <v>213524954.25999999</v>
      </c>
      <c r="AB68" s="76">
        <f>资产资本表!AB26</f>
        <v>123536794.45999999</v>
      </c>
      <c r="AC68" s="76">
        <f>资产资本表!AC26</f>
        <v>155092034.97</v>
      </c>
      <c r="AD68" s="76">
        <f>资产资本表!AD26</f>
        <v>186641875.87</v>
      </c>
      <c r="AE68" s="76">
        <f>资产资本表!AE26</f>
        <v>150491469.63</v>
      </c>
      <c r="AF68" s="76">
        <f>资产资本表!AF26</f>
        <v>86165944.5</v>
      </c>
      <c r="AG68" s="76">
        <f>资产资本表!AG26</f>
        <v>37721411.020000003</v>
      </c>
      <c r="AH68" s="76">
        <f>资产资本表!AH26</f>
        <v>46838898.729999997</v>
      </c>
      <c r="AI68" s="76">
        <f>资产资本表!AI26</f>
        <v>57493710.369999997</v>
      </c>
      <c r="AJ68" s="76">
        <f>资产资本表!AJ26</f>
        <v>35777972.329999998</v>
      </c>
      <c r="AK68" s="76">
        <f>资产资本表!AK26</f>
        <v>27429417.100000001</v>
      </c>
      <c r="AL68" s="76">
        <f>资产资本表!AL26</f>
        <v>19587683.620000001</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c r="A69" s="153" t="s">
        <v>477</v>
      </c>
      <c r="E69" s="154">
        <f>E67/(E68+I68)*2</f>
        <v>11.965148491360061</v>
      </c>
      <c r="F69" s="154">
        <f t="shared" ref="F69:BQ69" si="32">F67/(F68+J68)*2</f>
        <v>8.3698145494575602</v>
      </c>
      <c r="G69" s="154">
        <f t="shared" si="32"/>
        <v>6.0224315731292357</v>
      </c>
      <c r="H69" s="154">
        <f t="shared" si="32"/>
        <v>2.5770779375600581</v>
      </c>
      <c r="I69" s="154">
        <f t="shared" si="32"/>
        <v>9.7460055757916582</v>
      </c>
      <c r="J69" s="154">
        <f t="shared" si="32"/>
        <v>6.2689567756196318</v>
      </c>
      <c r="K69" s="154">
        <f t="shared" si="32"/>
        <v>4.4576212544923193</v>
      </c>
      <c r="L69" s="154">
        <f t="shared" si="32"/>
        <v>2.1175688054112061</v>
      </c>
      <c r="M69" s="154">
        <f t="shared" si="32"/>
        <v>9.1470834045598401</v>
      </c>
      <c r="N69" s="154">
        <f t="shared" si="32"/>
        <v>4.7681103961843068</v>
      </c>
      <c r="O69" s="154">
        <f t="shared" si="32"/>
        <v>3.2530951920829851</v>
      </c>
      <c r="P69" s="154">
        <f t="shared" si="32"/>
        <v>1.5827245383995556</v>
      </c>
      <c r="Q69" s="154">
        <f t="shared" si="32"/>
        <v>6.6122669055717784</v>
      </c>
      <c r="R69" s="154">
        <f t="shared" si="32"/>
        <v>4.2282914143453549</v>
      </c>
      <c r="S69" s="154">
        <f t="shared" si="32"/>
        <v>3.6596873142412951</v>
      </c>
      <c r="T69" s="154">
        <f t="shared" si="32"/>
        <v>1.7500645558144723</v>
      </c>
      <c r="U69" s="154">
        <f t="shared" si="32"/>
        <v>5.6824076691033421</v>
      </c>
      <c r="V69" s="154">
        <f t="shared" si="32"/>
        <v>4.3033801054704757</v>
      </c>
      <c r="W69" s="154">
        <f t="shared" si="32"/>
        <v>4.2274856862037593</v>
      </c>
      <c r="X69" s="154">
        <f t="shared" si="32"/>
        <v>2.0943644302296986</v>
      </c>
      <c r="Y69" s="154">
        <f t="shared" si="32"/>
        <v>7.4617834908523148</v>
      </c>
      <c r="Z69" s="154">
        <f t="shared" si="32"/>
        <v>4.6093109619216035</v>
      </c>
      <c r="AA69" s="154">
        <f t="shared" si="32"/>
        <v>3.5899573631735238</v>
      </c>
      <c r="AB69" s="154">
        <f t="shared" si="32"/>
        <v>2.8200518424931116</v>
      </c>
      <c r="AC69" s="154">
        <f t="shared" si="32"/>
        <v>12.75810661963679</v>
      </c>
      <c r="AD69" s="154">
        <f t="shared" si="32"/>
        <v>7.6387365439209916</v>
      </c>
      <c r="AE69" s="154">
        <f t="shared" si="32"/>
        <v>5.0986820080161479</v>
      </c>
      <c r="AF69" s="154">
        <f t="shared" si="32"/>
        <v>3.2904545887219392</v>
      </c>
      <c r="AG69" s="154">
        <f t="shared" si="32"/>
        <v>11.878107874156672</v>
      </c>
      <c r="AH69" s="154">
        <f t="shared" si="32"/>
        <v>8.2994590198121188</v>
      </c>
      <c r="AI69" s="154">
        <f t="shared" si="32"/>
        <v>5.6305393198090794</v>
      </c>
      <c r="AJ69" s="154">
        <f t="shared" si="32"/>
        <v>3.7288557196444119</v>
      </c>
      <c r="AK69" s="154">
        <f t="shared" si="32"/>
        <v>20.010391038896703</v>
      </c>
      <c r="AL69" s="154">
        <f t="shared" si="32"/>
        <v>18.459243627501476</v>
      </c>
      <c r="AM69" s="154" t="e">
        <f t="shared" si="32"/>
        <v>#DIV/0!</v>
      </c>
      <c r="AN69" s="154" t="e">
        <f t="shared" si="32"/>
        <v>#DIV/0!</v>
      </c>
      <c r="AO69" s="154" t="e">
        <f t="shared" si="32"/>
        <v>#DIV/0!</v>
      </c>
      <c r="AP69" s="154" t="e">
        <f t="shared" si="32"/>
        <v>#DIV/0!</v>
      </c>
      <c r="AQ69" s="154" t="e">
        <f t="shared" si="32"/>
        <v>#DIV/0!</v>
      </c>
      <c r="AR69" s="154" t="e">
        <f t="shared" si="32"/>
        <v>#DIV/0!</v>
      </c>
      <c r="AS69" s="154" t="e">
        <f t="shared" si="32"/>
        <v>#DIV/0!</v>
      </c>
      <c r="AT69" s="154" t="e">
        <f t="shared" si="32"/>
        <v>#DIV/0!</v>
      </c>
      <c r="AU69" s="154" t="e">
        <f t="shared" si="32"/>
        <v>#DIV/0!</v>
      </c>
      <c r="AV69" s="154" t="e">
        <f t="shared" si="32"/>
        <v>#DIV/0!</v>
      </c>
      <c r="AW69" s="154" t="e">
        <f t="shared" si="32"/>
        <v>#DIV/0!</v>
      </c>
      <c r="AX69" s="154" t="e">
        <f t="shared" si="32"/>
        <v>#DIV/0!</v>
      </c>
      <c r="AY69" s="154" t="e">
        <f t="shared" si="32"/>
        <v>#DIV/0!</v>
      </c>
      <c r="AZ69" s="154" t="e">
        <f t="shared" si="32"/>
        <v>#DIV/0!</v>
      </c>
      <c r="BA69" s="154" t="e">
        <f t="shared" si="32"/>
        <v>#DIV/0!</v>
      </c>
      <c r="BB69" s="154" t="e">
        <f t="shared" si="32"/>
        <v>#DIV/0!</v>
      </c>
      <c r="BC69" s="154" t="e">
        <f t="shared" si="32"/>
        <v>#DIV/0!</v>
      </c>
      <c r="BD69" s="154" t="e">
        <f t="shared" si="32"/>
        <v>#DIV/0!</v>
      </c>
      <c r="BE69" s="154" t="e">
        <f t="shared" si="32"/>
        <v>#DIV/0!</v>
      </c>
      <c r="BF69" s="154" t="e">
        <f t="shared" si="32"/>
        <v>#DIV/0!</v>
      </c>
      <c r="BG69" s="154" t="e">
        <f t="shared" si="32"/>
        <v>#DIV/0!</v>
      </c>
      <c r="BH69" s="154" t="e">
        <f t="shared" si="32"/>
        <v>#DIV/0!</v>
      </c>
      <c r="BI69" s="154" t="e">
        <f t="shared" si="32"/>
        <v>#DIV/0!</v>
      </c>
      <c r="BJ69" s="154" t="e">
        <f t="shared" si="32"/>
        <v>#DIV/0!</v>
      </c>
      <c r="BK69" s="154" t="e">
        <f t="shared" si="32"/>
        <v>#DIV/0!</v>
      </c>
      <c r="BL69" s="154" t="e">
        <f t="shared" si="32"/>
        <v>#DIV/0!</v>
      </c>
      <c r="BM69" s="154" t="e">
        <f t="shared" si="32"/>
        <v>#DIV/0!</v>
      </c>
      <c r="BN69" s="154" t="e">
        <f t="shared" si="32"/>
        <v>#DIV/0!</v>
      </c>
      <c r="BO69" s="154" t="e">
        <f t="shared" si="32"/>
        <v>#DIV/0!</v>
      </c>
      <c r="BP69" s="154" t="e">
        <f t="shared" si="32"/>
        <v>#DIV/0!</v>
      </c>
      <c r="BQ69" s="154" t="e">
        <f t="shared" si="32"/>
        <v>#DIV/0!</v>
      </c>
      <c r="BR69" s="154" t="e">
        <f t="shared" ref="BR69:CJ69" si="33">BR67/(BR68+BV68)*2</f>
        <v>#DIV/0!</v>
      </c>
      <c r="BS69" s="154" t="e">
        <f t="shared" si="33"/>
        <v>#DIV/0!</v>
      </c>
      <c r="BT69" s="154" t="e">
        <f t="shared" si="33"/>
        <v>#DIV/0!</v>
      </c>
      <c r="BU69" s="154" t="e">
        <f t="shared" si="33"/>
        <v>#DIV/0!</v>
      </c>
      <c r="BV69" s="154" t="e">
        <f t="shared" si="33"/>
        <v>#DIV/0!</v>
      </c>
      <c r="BW69" s="154" t="e">
        <f t="shared" si="33"/>
        <v>#DIV/0!</v>
      </c>
      <c r="BX69" s="154" t="e">
        <f t="shared" si="33"/>
        <v>#DIV/0!</v>
      </c>
      <c r="BY69" s="154" t="e">
        <f t="shared" si="33"/>
        <v>#DIV/0!</v>
      </c>
      <c r="BZ69" s="154" t="e">
        <f t="shared" si="33"/>
        <v>#DIV/0!</v>
      </c>
      <c r="CA69" s="154" t="e">
        <f t="shared" si="33"/>
        <v>#DIV/0!</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c r="A70" s="147" t="s">
        <v>478</v>
      </c>
      <c r="E70" s="83">
        <f>E62/E69</f>
        <v>30.50526286937129</v>
      </c>
      <c r="F70" s="83">
        <f t="shared" ref="F70:BQ70" si="34">F62/F69</f>
        <v>43.609090481419962</v>
      </c>
      <c r="G70" s="83">
        <f t="shared" si="34"/>
        <v>60.606749212153723</v>
      </c>
      <c r="H70" s="83">
        <f t="shared" si="34"/>
        <v>141.63327956840024</v>
      </c>
      <c r="I70" s="83">
        <f t="shared" si="34"/>
        <v>37.451240629969725</v>
      </c>
      <c r="J70" s="83">
        <f t="shared" si="34"/>
        <v>58.223403520583844</v>
      </c>
      <c r="K70" s="83">
        <f t="shared" si="34"/>
        <v>81.882236996281108</v>
      </c>
      <c r="L70" s="83">
        <f t="shared" si="34"/>
        <v>172.36748060666744</v>
      </c>
      <c r="M70" s="83">
        <f t="shared" si="34"/>
        <v>39.903429744397734</v>
      </c>
      <c r="N70" s="83">
        <f t="shared" si="34"/>
        <v>76.550241012056318</v>
      </c>
      <c r="O70" s="83">
        <f t="shared" si="34"/>
        <v>112.20083595718185</v>
      </c>
      <c r="P70" s="83">
        <f t="shared" si="34"/>
        <v>230.61498772811501</v>
      </c>
      <c r="Q70" s="83">
        <f t="shared" si="34"/>
        <v>55.200433559697267</v>
      </c>
      <c r="R70" s="83">
        <f t="shared" si="34"/>
        <v>86.323283859211273</v>
      </c>
      <c r="S70" s="83">
        <f t="shared" si="34"/>
        <v>99.735296668554227</v>
      </c>
      <c r="T70" s="83">
        <f t="shared" si="34"/>
        <v>208.56373485612971</v>
      </c>
      <c r="U70" s="83">
        <f t="shared" si="34"/>
        <v>64.233335806685503</v>
      </c>
      <c r="V70" s="83">
        <f t="shared" si="34"/>
        <v>84.817048704577687</v>
      </c>
      <c r="W70" s="83">
        <f t="shared" si="34"/>
        <v>86.339736451660571</v>
      </c>
      <c r="X70" s="83">
        <f t="shared" si="34"/>
        <v>174.27721495440446</v>
      </c>
      <c r="Y70" s="83">
        <f t="shared" si="34"/>
        <v>48.915919424286088</v>
      </c>
      <c r="Z70" s="83">
        <f t="shared" si="34"/>
        <v>79.187540831012399</v>
      </c>
      <c r="AA70" s="83">
        <f t="shared" si="34"/>
        <v>101.67251671126809</v>
      </c>
      <c r="AB70" s="83">
        <f t="shared" si="34"/>
        <v>129.43024468561399</v>
      </c>
      <c r="AC70" s="83">
        <f t="shared" si="34"/>
        <v>28.609260831713538</v>
      </c>
      <c r="AD70" s="83">
        <f t="shared" si="34"/>
        <v>47.78277112992879</v>
      </c>
      <c r="AE70" s="83">
        <f t="shared" si="34"/>
        <v>71.587127698128072</v>
      </c>
      <c r="AF70" s="83">
        <f t="shared" si="34"/>
        <v>110.9269221496144</v>
      </c>
      <c r="AG70" s="83">
        <f t="shared" si="34"/>
        <v>30.728799895321245</v>
      </c>
      <c r="AH70" s="83">
        <f t="shared" si="34"/>
        <v>43.978770077505942</v>
      </c>
      <c r="AI70" s="83">
        <f t="shared" si="34"/>
        <v>64.825051255014841</v>
      </c>
      <c r="AJ70" s="83">
        <f t="shared" si="34"/>
        <v>97.885256883794597</v>
      </c>
      <c r="AK70" s="83">
        <f t="shared" si="34"/>
        <v>18.240523100748195</v>
      </c>
      <c r="AL70" s="83">
        <f t="shared" si="34"/>
        <v>19.773291222843245</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46" t="s">
        <v>479</v>
      </c>
      <c r="E71" s="76">
        <f>资产资本表!E35+资产资本表!E36-资产资本表!E24</f>
        <v>1162025766.46</v>
      </c>
      <c r="F71" s="76">
        <f>资产资本表!F35+资产资本表!F36-资产资本表!F24</f>
        <v>1232718111.6799998</v>
      </c>
      <c r="G71" s="76">
        <f>资产资本表!G35+资产资本表!G36-资产资本表!G24</f>
        <v>995371356.13999999</v>
      </c>
      <c r="H71" s="76">
        <f>资产资本表!H35+资产资本表!H36-资产资本表!H24</f>
        <v>760471464.42000008</v>
      </c>
      <c r="I71" s="76">
        <f>资产资本表!I35+资产资本表!I36-资产资本表!I24</f>
        <v>385845359.47000003</v>
      </c>
      <c r="J71" s="76">
        <f>资产资本表!J35+资产资本表!J36-资产资本表!J24</f>
        <v>374862010.8900001</v>
      </c>
      <c r="K71" s="76">
        <f>资产资本表!K35+资产资本表!K36-资产资本表!K24</f>
        <v>479515275.93999994</v>
      </c>
      <c r="L71" s="76">
        <f>资产资本表!L35+资产资本表!L36-资产资本表!L24</f>
        <v>600073100.89999986</v>
      </c>
      <c r="M71" s="76">
        <f>资产资本表!M35+资产资本表!M36-资产资本表!M24</f>
        <v>592528565.78999984</v>
      </c>
      <c r="N71" s="76">
        <f>资产资本表!N35+资产资本表!N36-资产资本表!N24</f>
        <v>746210159.22999978</v>
      </c>
      <c r="O71" s="76">
        <f>资产资本表!O35+资产资本表!O36-资产资本表!O24</f>
        <v>542717091.82999992</v>
      </c>
      <c r="P71" s="76">
        <f>资产资本表!P35+资产资本表!P36-资产资本表!P24</f>
        <v>647828941.37000012</v>
      </c>
      <c r="Q71" s="76">
        <f>资产资本表!Q35+资产资本表!Q36-资产资本表!Q24</f>
        <v>691896865.76999998</v>
      </c>
      <c r="R71" s="76">
        <f>资产资本表!R35+资产资本表!R36-资产资本表!R24</f>
        <v>651999053.25</v>
      </c>
      <c r="S71" s="76">
        <f>资产资本表!S35+资产资本表!S36-资产资本表!S24</f>
        <v>814454055.38</v>
      </c>
      <c r="T71" s="76">
        <f>资产资本表!T35+资产资本表!T36-资产资本表!T24</f>
        <v>157022498.20999995</v>
      </c>
      <c r="U71" s="76">
        <f>资产资本表!U35+资产资本表!U36-资产资本表!U24</f>
        <v>458386769.50999999</v>
      </c>
      <c r="V71" s="76">
        <f>资产资本表!V35+资产资本表!V36-资产资本表!V24</f>
        <v>326727413.02999997</v>
      </c>
      <c r="W71" s="76">
        <f>资产资本表!W35+资产资本表!W36-资产资本表!W24</f>
        <v>191094072.31999999</v>
      </c>
      <c r="X71" s="76">
        <f>资产资本表!X35+资产资本表!X36-资产资本表!X24</f>
        <v>-471018738.13999999</v>
      </c>
      <c r="Y71" s="76">
        <f>资产资本表!Y35+资产资本表!Y36-资产资本表!Y24</f>
        <v>157595406.60000002</v>
      </c>
      <c r="Z71" s="76">
        <f>资产资本表!Z35+资产资本表!Z36-资产资本表!Z24</f>
        <v>-273148379.94</v>
      </c>
      <c r="AA71" s="76">
        <f>资产资本表!AA35+资产资本表!AA36-资产资本表!AA24</f>
        <v>-53856779.129999965</v>
      </c>
      <c r="AB71" s="76">
        <f>资产资本表!AB35+资产资本表!AB36-资产资本表!AB24</f>
        <v>30836215.180000007</v>
      </c>
      <c r="AC71" s="76">
        <f>资产资本表!AC35+资产资本表!AC36-资产资本表!AC24</f>
        <v>-53031573.809999987</v>
      </c>
      <c r="AD71" s="76">
        <f>资产资本表!AD35+资产资本表!AD36-资产资本表!AD24</f>
        <v>-42673286.540000021</v>
      </c>
      <c r="AE71" s="76">
        <f>资产资本表!AE35+资产资本表!AE36-资产资本表!AE24</f>
        <v>-127311669.7</v>
      </c>
      <c r="AF71" s="76">
        <f>资产资本表!AF35+资产资本表!AF36-资产资本表!AF24</f>
        <v>-9845707.1099999994</v>
      </c>
      <c r="AG71" s="76">
        <f>资产资本表!AG35+资产资本表!AG36-资产资本表!AG24</f>
        <v>-5429771.9799999967</v>
      </c>
      <c r="AH71" s="76">
        <f>资产资本表!AH35+资产资本表!AH36-资产资本表!AH24</f>
        <v>-44348601.469999999</v>
      </c>
      <c r="AI71" s="76">
        <f>资产资本表!AI35+资产资本表!AI36-资产资本表!AI24</f>
        <v>-19461383.469999999</v>
      </c>
      <c r="AJ71" s="76">
        <f>资产资本表!AJ35+资产资本表!AJ36-资产资本表!AJ24</f>
        <v>-13638333.759999998</v>
      </c>
      <c r="AK71" s="76">
        <f>资产资本表!AK35+资产资本表!AK36-资产资本表!AK24</f>
        <v>-78831394.950000003</v>
      </c>
      <c r="AL71" s="76">
        <f>资产资本表!AL35+资产资本表!AL36-资产资本表!AL24</f>
        <v>-13102634.890000001</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c r="A72" s="153" t="s">
        <v>480</v>
      </c>
      <c r="E72" s="154">
        <f>E67/(E71+I71)*2</f>
        <v>9.1511923832996054</v>
      </c>
      <c r="F72" s="154">
        <f t="shared" ref="F72:BQ72" si="36">F67/(F71+J71)*2</f>
        <v>7.2991752271738228</v>
      </c>
      <c r="G72" s="154">
        <f t="shared" si="36"/>
        <v>5.0991515943932351</v>
      </c>
      <c r="H72" s="154">
        <f t="shared" si="36"/>
        <v>2.4774483182968852</v>
      </c>
      <c r="I72" s="154">
        <f t="shared" si="36"/>
        <v>11.239244032589891</v>
      </c>
      <c r="J72" s="154">
        <f t="shared" si="36"/>
        <v>8.003754163409079</v>
      </c>
      <c r="K72" s="154">
        <f t="shared" si="36"/>
        <v>5.5187904859898964</v>
      </c>
      <c r="L72" s="154">
        <f t="shared" si="36"/>
        <v>1.9686507210222712</v>
      </c>
      <c r="M72" s="154">
        <f t="shared" si="36"/>
        <v>7.27802829726462</v>
      </c>
      <c r="N72" s="154">
        <f t="shared" si="36"/>
        <v>4.5866744495160692</v>
      </c>
      <c r="O72" s="154">
        <f t="shared" si="36"/>
        <v>3.0153166850568058</v>
      </c>
      <c r="P72" s="154">
        <f t="shared" si="36"/>
        <v>2.3159786495414743</v>
      </c>
      <c r="Q72" s="154">
        <f t="shared" si="36"/>
        <v>5.5146486600027993</v>
      </c>
      <c r="R72" s="154">
        <f t="shared" si="36"/>
        <v>4.6225811432238073</v>
      </c>
      <c r="S72" s="154">
        <f t="shared" si="36"/>
        <v>3.0001496050122869</v>
      </c>
      <c r="T72" s="154">
        <f t="shared" si="36"/>
        <v>-4.9280102424314398</v>
      </c>
      <c r="U72" s="154">
        <f t="shared" si="36"/>
        <v>6.6006627671218965</v>
      </c>
      <c r="V72" s="154">
        <f t="shared" si="36"/>
        <v>53.441749825351351</v>
      </c>
      <c r="W72" s="154">
        <f t="shared" si="36"/>
        <v>14.374039245942662</v>
      </c>
      <c r="X72" s="154">
        <f t="shared" si="36"/>
        <v>-1.9689227226287602</v>
      </c>
      <c r="Y72" s="154">
        <f t="shared" si="36"/>
        <v>28.991622234126016</v>
      </c>
      <c r="Z72" s="154">
        <f t="shared" si="36"/>
        <v>-6.1361252523905687</v>
      </c>
      <c r="AA72" s="154">
        <f t="shared" si="36"/>
        <v>-7.2131955078240102</v>
      </c>
      <c r="AB72" s="154">
        <f t="shared" si="36"/>
        <v>28.173334033071825</v>
      </c>
      <c r="AC72" s="154">
        <f t="shared" si="36"/>
        <v>-42.077965677977602</v>
      </c>
      <c r="AD72" s="154">
        <f t="shared" si="36"/>
        <v>-20.494822234091856</v>
      </c>
      <c r="AE72" s="154">
        <f t="shared" si="36"/>
        <v>-7.2251021035294034</v>
      </c>
      <c r="AF72" s="154">
        <f t="shared" si="36"/>
        <v>-17.0861106451481</v>
      </c>
      <c r="AG72" s="154">
        <f t="shared" si="36"/>
        <v>-9.1841662380832148</v>
      </c>
      <c r="AH72" s="154">
        <f t="shared" si="36"/>
        <v>-9.5960458463491278</v>
      </c>
      <c r="AI72" s="154">
        <f t="shared" si="36"/>
        <v>-16.63399713483987</v>
      </c>
      <c r="AJ72" s="154">
        <f t="shared" si="36"/>
        <v>-9.782052493192543</v>
      </c>
      <c r="AK72" s="154">
        <f t="shared" si="36"/>
        <v>-6.9626239962914669</v>
      </c>
      <c r="AL72" s="154">
        <f t="shared" si="36"/>
        <v>-27.595504803080107</v>
      </c>
      <c r="AM72" s="154" t="e">
        <f t="shared" si="36"/>
        <v>#DIV/0!</v>
      </c>
      <c r="AN72" s="154" t="e">
        <f t="shared" si="36"/>
        <v>#DIV/0!</v>
      </c>
      <c r="AO72" s="154" t="e">
        <f t="shared" si="36"/>
        <v>#DIV/0!</v>
      </c>
      <c r="AP72" s="154" t="e">
        <f t="shared" si="36"/>
        <v>#DIV/0!</v>
      </c>
      <c r="AQ72" s="154" t="e">
        <f t="shared" si="36"/>
        <v>#DIV/0!</v>
      </c>
      <c r="AR72" s="154" t="e">
        <f t="shared" si="36"/>
        <v>#DIV/0!</v>
      </c>
      <c r="AS72" s="154" t="e">
        <f t="shared" si="36"/>
        <v>#DIV/0!</v>
      </c>
      <c r="AT72" s="154" t="e">
        <f t="shared" si="36"/>
        <v>#DIV/0!</v>
      </c>
      <c r="AU72" s="154" t="e">
        <f t="shared" si="36"/>
        <v>#DIV/0!</v>
      </c>
      <c r="AV72" s="154" t="e">
        <f t="shared" si="36"/>
        <v>#DIV/0!</v>
      </c>
      <c r="AW72" s="154" t="e">
        <f t="shared" si="36"/>
        <v>#DIV/0!</v>
      </c>
      <c r="AX72" s="154" t="e">
        <f t="shared" si="36"/>
        <v>#DIV/0!</v>
      </c>
      <c r="AY72" s="154" t="e">
        <f t="shared" si="36"/>
        <v>#DIV/0!</v>
      </c>
      <c r="AZ72" s="154" t="e">
        <f t="shared" si="36"/>
        <v>#DIV/0!</v>
      </c>
      <c r="BA72" s="154" t="e">
        <f t="shared" si="36"/>
        <v>#DIV/0!</v>
      </c>
      <c r="BB72" s="154" t="e">
        <f t="shared" si="36"/>
        <v>#DIV/0!</v>
      </c>
      <c r="BC72" s="154" t="e">
        <f t="shared" si="36"/>
        <v>#DIV/0!</v>
      </c>
      <c r="BD72" s="154" t="e">
        <f t="shared" si="36"/>
        <v>#DIV/0!</v>
      </c>
      <c r="BE72" s="154" t="e">
        <f t="shared" si="36"/>
        <v>#DIV/0!</v>
      </c>
      <c r="BF72" s="154" t="e">
        <f t="shared" si="36"/>
        <v>#DIV/0!</v>
      </c>
      <c r="BG72" s="154" t="e">
        <f t="shared" si="36"/>
        <v>#DIV/0!</v>
      </c>
      <c r="BH72" s="154" t="e">
        <f t="shared" si="36"/>
        <v>#DIV/0!</v>
      </c>
      <c r="BI72" s="154" t="e">
        <f t="shared" si="36"/>
        <v>#DIV/0!</v>
      </c>
      <c r="BJ72" s="154" t="e">
        <f t="shared" si="36"/>
        <v>#DIV/0!</v>
      </c>
      <c r="BK72" s="154" t="e">
        <f t="shared" si="36"/>
        <v>#DIV/0!</v>
      </c>
      <c r="BL72" s="154" t="e">
        <f t="shared" si="36"/>
        <v>#DIV/0!</v>
      </c>
      <c r="BM72" s="154" t="e">
        <f t="shared" si="36"/>
        <v>#DIV/0!</v>
      </c>
      <c r="BN72" s="154" t="e">
        <f t="shared" si="36"/>
        <v>#DIV/0!</v>
      </c>
      <c r="BO72" s="154" t="e">
        <f t="shared" si="36"/>
        <v>#DIV/0!</v>
      </c>
      <c r="BP72" s="154" t="e">
        <f t="shared" si="36"/>
        <v>#DIV/0!</v>
      </c>
      <c r="BQ72" s="154" t="e">
        <f t="shared" si="36"/>
        <v>#DIV/0!</v>
      </c>
      <c r="BR72" s="154" t="e">
        <f t="shared" ref="BR72:CJ72" si="37">BR67/(BR71+BV71)*2</f>
        <v>#DIV/0!</v>
      </c>
      <c r="BS72" s="154" t="e">
        <f t="shared" si="37"/>
        <v>#DIV/0!</v>
      </c>
      <c r="BT72" s="154" t="e">
        <f t="shared" si="37"/>
        <v>#DIV/0!</v>
      </c>
      <c r="BU72" s="154" t="e">
        <f t="shared" si="37"/>
        <v>#DIV/0!</v>
      </c>
      <c r="BV72" s="154" t="e">
        <f t="shared" si="37"/>
        <v>#DIV/0!</v>
      </c>
      <c r="BW72" s="154" t="e">
        <f t="shared" si="37"/>
        <v>#DIV/0!</v>
      </c>
      <c r="BX72" s="154" t="e">
        <f t="shared" si="37"/>
        <v>#DIV/0!</v>
      </c>
      <c r="BY72" s="154" t="e">
        <f t="shared" si="37"/>
        <v>#DIV/0!</v>
      </c>
      <c r="BZ72" s="154" t="e">
        <f t="shared" si="37"/>
        <v>#DIV/0!</v>
      </c>
      <c r="CA72" s="154" t="e">
        <f t="shared" si="37"/>
        <v>#DIV/0!</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c r="A73" s="147" t="s">
        <v>481</v>
      </c>
      <c r="E73" s="83">
        <f>E62/E72</f>
        <v>39.885512697351203</v>
      </c>
      <c r="F73" s="83">
        <f t="shared" ref="F73:BQ73" si="38">F62/F72</f>
        <v>50.005649767271699</v>
      </c>
      <c r="G73" s="83">
        <f t="shared" si="38"/>
        <v>71.580535162228799</v>
      </c>
      <c r="H73" s="83">
        <f t="shared" si="38"/>
        <v>147.32900674631156</v>
      </c>
      <c r="I73" s="83">
        <f t="shared" si="38"/>
        <v>32.475493809158976</v>
      </c>
      <c r="J73" s="83">
        <f t="shared" si="38"/>
        <v>45.603599579392096</v>
      </c>
      <c r="K73" s="83">
        <f t="shared" si="38"/>
        <v>66.137680154119963</v>
      </c>
      <c r="L73" s="83">
        <f t="shared" si="38"/>
        <v>185.40617495137207</v>
      </c>
      <c r="M73" s="83">
        <f t="shared" si="38"/>
        <v>50.150945433556764</v>
      </c>
      <c r="N73" s="83">
        <f t="shared" si="38"/>
        <v>79.578353340187562</v>
      </c>
      <c r="O73" s="83">
        <f t="shared" si="38"/>
        <v>121.04864534092005</v>
      </c>
      <c r="P73" s="83">
        <f t="shared" si="38"/>
        <v>157.60076202440985</v>
      </c>
      <c r="Q73" s="83">
        <f t="shared" si="38"/>
        <v>66.187353447792404</v>
      </c>
      <c r="R73" s="83">
        <f t="shared" si="38"/>
        <v>78.960214800133826</v>
      </c>
      <c r="S73" s="83">
        <f t="shared" si="38"/>
        <v>121.66059965483127</v>
      </c>
      <c r="T73" s="83">
        <f t="shared" si="38"/>
        <v>-74.066404500797461</v>
      </c>
      <c r="U73" s="83">
        <f t="shared" si="38"/>
        <v>55.297477371223415</v>
      </c>
      <c r="V73" s="83">
        <f t="shared" si="38"/>
        <v>6.8298661850112863</v>
      </c>
      <c r="W73" s="83">
        <f t="shared" si="38"/>
        <v>25.393001490727666</v>
      </c>
      <c r="X73" s="83">
        <f t="shared" si="38"/>
        <v>-185.38056156550368</v>
      </c>
      <c r="Y73" s="83">
        <f t="shared" si="38"/>
        <v>12.589843957416042</v>
      </c>
      <c r="Z73" s="83">
        <f t="shared" si="38"/>
        <v>-59.483792293483567</v>
      </c>
      <c r="AA73" s="83">
        <f t="shared" si="38"/>
        <v>-50.601706220785466</v>
      </c>
      <c r="AB73" s="83">
        <f t="shared" si="38"/>
        <v>12.95551316615696</v>
      </c>
      <c r="AC73" s="83">
        <f t="shared" si="38"/>
        <v>-8.6743737278874793</v>
      </c>
      <c r="AD73" s="83">
        <f t="shared" si="38"/>
        <v>-17.809376233224668</v>
      </c>
      <c r="AE73" s="83">
        <f t="shared" si="38"/>
        <v>-50.518317218202419</v>
      </c>
      <c r="AF73" s="83">
        <f t="shared" si="38"/>
        <v>-21.362380683379698</v>
      </c>
      <c r="AG73" s="83">
        <f t="shared" si="38"/>
        <v>-39.742311989790103</v>
      </c>
      <c r="AH73" s="83">
        <f t="shared" si="38"/>
        <v>-38.036500225649341</v>
      </c>
      <c r="AI73" s="83">
        <f t="shared" si="38"/>
        <v>-21.943012075883331</v>
      </c>
      <c r="AJ73" s="83">
        <f t="shared" si="38"/>
        <v>-37.313232601645538</v>
      </c>
      <c r="AK73" s="83">
        <f t="shared" si="38"/>
        <v>-52.422764778682804</v>
      </c>
      <c r="AL73" s="83">
        <f t="shared" si="38"/>
        <v>-13.226791921532817</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c r="A74" s="254" t="s">
        <v>482</v>
      </c>
      <c r="E74" s="255">
        <f>E66+E70</f>
        <v>179.9707953522352</v>
      </c>
      <c r="F74" s="255">
        <f t="shared" ref="F74:BQ74" si="40">F66+F70</f>
        <v>218.57693930619078</v>
      </c>
      <c r="G74" s="255">
        <f t="shared" si="40"/>
        <v>304.17442731656683</v>
      </c>
      <c r="H74" s="255">
        <f t="shared" si="40"/>
        <v>633.35286363886041</v>
      </c>
      <c r="I74" s="255">
        <f t="shared" si="40"/>
        <v>189.91557416835792</v>
      </c>
      <c r="J74" s="255">
        <f t="shared" si="40"/>
        <v>220.13040028540539</v>
      </c>
      <c r="K74" s="255">
        <f t="shared" si="40"/>
        <v>291.01670199203477</v>
      </c>
      <c r="L74" s="255">
        <f t="shared" si="40"/>
        <v>607.46108141146976</v>
      </c>
      <c r="M74" s="255">
        <f t="shared" si="40"/>
        <v>151.2706719365184</v>
      </c>
      <c r="N74" s="255">
        <f t="shared" si="40"/>
        <v>213.61136228135891</v>
      </c>
      <c r="O74" s="255">
        <f t="shared" si="40"/>
        <v>273.19712825333647</v>
      </c>
      <c r="P74" s="255">
        <f t="shared" si="40"/>
        <v>537.82509371884885</v>
      </c>
      <c r="Q74" s="255">
        <f t="shared" si="40"/>
        <v>133.47153267110886</v>
      </c>
      <c r="R74" s="255">
        <f t="shared" si="40"/>
        <v>168.92684448922603</v>
      </c>
      <c r="S74" s="255">
        <f t="shared" si="40"/>
        <v>195.42562511421664</v>
      </c>
      <c r="T74" s="255">
        <f t="shared" si="40"/>
        <v>362.17011505836467</v>
      </c>
      <c r="U74" s="255">
        <f t="shared" si="40"/>
        <v>110.13999765150294</v>
      </c>
      <c r="V74" s="255">
        <f t="shared" si="40"/>
        <v>140.84084154174826</v>
      </c>
      <c r="W74" s="255">
        <f t="shared" si="40"/>
        <v>152.98443822867867</v>
      </c>
      <c r="X74" s="255">
        <f t="shared" si="40"/>
        <v>315.63050658825011</v>
      </c>
      <c r="Y74" s="255">
        <f t="shared" si="40"/>
        <v>85.779770248739737</v>
      </c>
      <c r="Z74" s="255">
        <f t="shared" si="40"/>
        <v>117.36320782945819</v>
      </c>
      <c r="AA74" s="255">
        <f t="shared" si="40"/>
        <v>125.79316864154262</v>
      </c>
      <c r="AB74" s="255">
        <f t="shared" si="40"/>
        <v>198.22214819051197</v>
      </c>
      <c r="AC74" s="255">
        <f t="shared" si="40"/>
        <v>46.174512049923436</v>
      </c>
      <c r="AD74" s="255">
        <f t="shared" si="40"/>
        <v>71.358601736373828</v>
      </c>
      <c r="AE74" s="255">
        <f t="shared" si="40"/>
        <v>68.352367183761288</v>
      </c>
      <c r="AF74" s="255">
        <f t="shared" si="40"/>
        <v>147.94901156629845</v>
      </c>
      <c r="AG74" s="255">
        <f t="shared" si="40"/>
        <v>48.87991105988452</v>
      </c>
      <c r="AH74" s="255">
        <f t="shared" si="40"/>
        <v>84.576791548190954</v>
      </c>
      <c r="AI74" s="255">
        <f t="shared" si="40"/>
        <v>112.9000325010725</v>
      </c>
      <c r="AJ74" s="255">
        <f t="shared" si="40"/>
        <v>168.09201850446374</v>
      </c>
      <c r="AK74" s="255">
        <f t="shared" si="40"/>
        <v>26.994473756408894</v>
      </c>
      <c r="AL74" s="255">
        <f t="shared" si="40"/>
        <v>37.220108365895996</v>
      </c>
      <c r="AM74" s="255" t="e">
        <f t="shared" si="40"/>
        <v>#DIV/0!</v>
      </c>
      <c r="AN74" s="255" t="e">
        <f t="shared" si="40"/>
        <v>#DIV/0!</v>
      </c>
      <c r="AO74" s="255" t="e">
        <f t="shared" si="40"/>
        <v>#DIV/0!</v>
      </c>
      <c r="AP74" s="255" t="e">
        <f t="shared" si="40"/>
        <v>#DIV/0!</v>
      </c>
      <c r="AQ74" s="255" t="e">
        <f t="shared" si="40"/>
        <v>#DIV/0!</v>
      </c>
      <c r="AR74" s="255" t="e">
        <f t="shared" si="40"/>
        <v>#DIV/0!</v>
      </c>
      <c r="AS74" s="255" t="e">
        <f t="shared" si="40"/>
        <v>#DIV/0!</v>
      </c>
      <c r="AT74" s="255" t="e">
        <f t="shared" si="40"/>
        <v>#DIV/0!</v>
      </c>
      <c r="AU74" s="255" t="e">
        <f t="shared" si="40"/>
        <v>#DIV/0!</v>
      </c>
      <c r="AV74" s="255" t="e">
        <f t="shared" si="40"/>
        <v>#DIV/0!</v>
      </c>
      <c r="AW74" s="255" t="e">
        <f t="shared" si="40"/>
        <v>#DIV/0!</v>
      </c>
      <c r="AX74" s="255" t="e">
        <f t="shared" si="40"/>
        <v>#DIV/0!</v>
      </c>
      <c r="AY74" s="255" t="e">
        <f t="shared" si="40"/>
        <v>#DIV/0!</v>
      </c>
      <c r="AZ74" s="255" t="e">
        <f t="shared" si="40"/>
        <v>#DIV/0!</v>
      </c>
      <c r="BA74" s="255" t="e">
        <f t="shared" si="40"/>
        <v>#DIV/0!</v>
      </c>
      <c r="BB74" s="255" t="e">
        <f t="shared" si="40"/>
        <v>#DIV/0!</v>
      </c>
      <c r="BC74" s="255" t="e">
        <f t="shared" si="40"/>
        <v>#DIV/0!</v>
      </c>
      <c r="BD74" s="255" t="e">
        <f t="shared" si="40"/>
        <v>#DIV/0!</v>
      </c>
      <c r="BE74" s="255" t="e">
        <f t="shared" si="40"/>
        <v>#DIV/0!</v>
      </c>
      <c r="BF74" s="255" t="e">
        <f t="shared" si="40"/>
        <v>#DIV/0!</v>
      </c>
      <c r="BG74" s="255" t="e">
        <f t="shared" si="40"/>
        <v>#DIV/0!</v>
      </c>
      <c r="BH74" s="255" t="e">
        <f t="shared" si="40"/>
        <v>#DIV/0!</v>
      </c>
      <c r="BI74" s="255" t="e">
        <f t="shared" si="40"/>
        <v>#DIV/0!</v>
      </c>
      <c r="BJ74" s="255" t="e">
        <f t="shared" si="40"/>
        <v>#DIV/0!</v>
      </c>
      <c r="BK74" s="255" t="e">
        <f t="shared" si="40"/>
        <v>#DIV/0!</v>
      </c>
      <c r="BL74" s="255" t="e">
        <f t="shared" si="40"/>
        <v>#DIV/0!</v>
      </c>
      <c r="BM74" s="255" t="e">
        <f t="shared" si="40"/>
        <v>#DIV/0!</v>
      </c>
      <c r="BN74" s="255" t="e">
        <f t="shared" si="40"/>
        <v>#DIV/0!</v>
      </c>
      <c r="BO74" s="255" t="e">
        <f t="shared" si="40"/>
        <v>#DIV/0!</v>
      </c>
      <c r="BP74" s="255" t="e">
        <f t="shared" si="40"/>
        <v>#DIV/0!</v>
      </c>
      <c r="BQ74" s="255" t="e">
        <f t="shared" si="40"/>
        <v>#DIV/0!</v>
      </c>
      <c r="BR74" s="255" t="e">
        <f t="shared" ref="BR74:CK74" si="41">BR66+BR70</f>
        <v>#DIV/0!</v>
      </c>
      <c r="BS74" s="255" t="e">
        <f t="shared" si="41"/>
        <v>#DIV/0!</v>
      </c>
      <c r="BT74" s="255" t="e">
        <f t="shared" si="41"/>
        <v>#DIV/0!</v>
      </c>
      <c r="BU74" s="255" t="e">
        <f t="shared" si="41"/>
        <v>#DIV/0!</v>
      </c>
      <c r="BV74" s="255" t="e">
        <f t="shared" si="41"/>
        <v>#DIV/0!</v>
      </c>
      <c r="BW74" s="255" t="e">
        <f t="shared" si="41"/>
        <v>#DIV/0!</v>
      </c>
      <c r="BX74" s="255" t="e">
        <f t="shared" si="41"/>
        <v>#DIV/0!</v>
      </c>
      <c r="BY74" s="255" t="e">
        <f t="shared" si="41"/>
        <v>#DIV/0!</v>
      </c>
      <c r="BZ74" s="255" t="e">
        <f t="shared" si="41"/>
        <v>#DIV/0!</v>
      </c>
      <c r="CA74" s="255" t="e">
        <f t="shared" si="41"/>
        <v>#DIV/0!</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c r="A75" s="254" t="s">
        <v>483</v>
      </c>
      <c r="E75" s="255">
        <f>E74-E73</f>
        <v>140.085282654884</v>
      </c>
      <c r="F75" s="255">
        <f t="shared" ref="F75:BQ75" si="42">F74-F73</f>
        <v>168.57128953891907</v>
      </c>
      <c r="G75" s="255">
        <f t="shared" si="42"/>
        <v>232.59389215433805</v>
      </c>
      <c r="H75" s="255">
        <f t="shared" si="42"/>
        <v>486.02385689254885</v>
      </c>
      <c r="I75" s="255">
        <f t="shared" si="42"/>
        <v>157.44008035919893</v>
      </c>
      <c r="J75" s="255">
        <f t="shared" si="42"/>
        <v>174.52680070601329</v>
      </c>
      <c r="K75" s="255">
        <f t="shared" si="42"/>
        <v>224.87902183791482</v>
      </c>
      <c r="L75" s="255">
        <f t="shared" si="42"/>
        <v>422.0549064600977</v>
      </c>
      <c r="M75" s="255">
        <f t="shared" si="42"/>
        <v>101.11972650296164</v>
      </c>
      <c r="N75" s="255">
        <f t="shared" si="42"/>
        <v>134.03300894117135</v>
      </c>
      <c r="O75" s="255">
        <f t="shared" si="42"/>
        <v>152.14848291241643</v>
      </c>
      <c r="P75" s="255">
        <f t="shared" si="42"/>
        <v>380.224331694439</v>
      </c>
      <c r="Q75" s="255">
        <f t="shared" si="42"/>
        <v>67.284179223316457</v>
      </c>
      <c r="R75" s="255">
        <f t="shared" si="42"/>
        <v>89.966629689092201</v>
      </c>
      <c r="S75" s="255">
        <f t="shared" si="42"/>
        <v>73.76502545938537</v>
      </c>
      <c r="T75" s="255">
        <f t="shared" si="42"/>
        <v>436.23651955916216</v>
      </c>
      <c r="U75" s="255">
        <f t="shared" si="42"/>
        <v>54.842520280279523</v>
      </c>
      <c r="V75" s="255">
        <f t="shared" si="42"/>
        <v>134.01097535673696</v>
      </c>
      <c r="W75" s="255">
        <f t="shared" si="42"/>
        <v>127.591436737951</v>
      </c>
      <c r="X75" s="255">
        <f t="shared" si="42"/>
        <v>501.0110681537538</v>
      </c>
      <c r="Y75" s="255">
        <f t="shared" si="42"/>
        <v>73.189926291323701</v>
      </c>
      <c r="Z75" s="255">
        <f t="shared" si="42"/>
        <v>176.84700012294175</v>
      </c>
      <c r="AA75" s="255">
        <f t="shared" si="42"/>
        <v>176.39487486232809</v>
      </c>
      <c r="AB75" s="255">
        <f t="shared" si="42"/>
        <v>185.26663502435503</v>
      </c>
      <c r="AC75" s="255">
        <f t="shared" si="42"/>
        <v>54.848885777810914</v>
      </c>
      <c r="AD75" s="255">
        <f t="shared" si="42"/>
        <v>89.167977969598496</v>
      </c>
      <c r="AE75" s="255">
        <f t="shared" si="42"/>
        <v>118.8706844019637</v>
      </c>
      <c r="AF75" s="255">
        <f t="shared" si="42"/>
        <v>169.31139224967814</v>
      </c>
      <c r="AG75" s="255">
        <f t="shared" si="42"/>
        <v>88.622223049674631</v>
      </c>
      <c r="AH75" s="255">
        <f t="shared" si="42"/>
        <v>122.6132917738403</v>
      </c>
      <c r="AI75" s="255">
        <f t="shared" si="42"/>
        <v>134.84304457695583</v>
      </c>
      <c r="AJ75" s="255">
        <f t="shared" si="42"/>
        <v>205.40525110610929</v>
      </c>
      <c r="AK75" s="255">
        <f t="shared" si="42"/>
        <v>79.417238535091698</v>
      </c>
      <c r="AL75" s="255">
        <f t="shared" si="42"/>
        <v>50.446900287428811</v>
      </c>
      <c r="AM75" s="255" t="e">
        <f t="shared" si="42"/>
        <v>#DIV/0!</v>
      </c>
      <c r="AN75" s="255" t="e">
        <f t="shared" si="42"/>
        <v>#DIV/0!</v>
      </c>
      <c r="AO75" s="255" t="e">
        <f t="shared" si="42"/>
        <v>#DIV/0!</v>
      </c>
      <c r="AP75" s="255" t="e">
        <f t="shared" si="42"/>
        <v>#DIV/0!</v>
      </c>
      <c r="AQ75" s="255" t="e">
        <f t="shared" si="42"/>
        <v>#DIV/0!</v>
      </c>
      <c r="AR75" s="255" t="e">
        <f t="shared" si="42"/>
        <v>#DIV/0!</v>
      </c>
      <c r="AS75" s="255" t="e">
        <f t="shared" si="42"/>
        <v>#DIV/0!</v>
      </c>
      <c r="AT75" s="255" t="e">
        <f t="shared" si="42"/>
        <v>#DIV/0!</v>
      </c>
      <c r="AU75" s="255" t="e">
        <f t="shared" si="42"/>
        <v>#DIV/0!</v>
      </c>
      <c r="AV75" s="255" t="e">
        <f t="shared" si="42"/>
        <v>#DIV/0!</v>
      </c>
      <c r="AW75" s="255" t="e">
        <f t="shared" si="42"/>
        <v>#DIV/0!</v>
      </c>
      <c r="AX75" s="255" t="e">
        <f t="shared" si="42"/>
        <v>#DIV/0!</v>
      </c>
      <c r="AY75" s="255" t="e">
        <f t="shared" si="42"/>
        <v>#DIV/0!</v>
      </c>
      <c r="AZ75" s="255" t="e">
        <f t="shared" si="42"/>
        <v>#DIV/0!</v>
      </c>
      <c r="BA75" s="255" t="e">
        <f t="shared" si="42"/>
        <v>#DIV/0!</v>
      </c>
      <c r="BB75" s="255" t="e">
        <f t="shared" si="42"/>
        <v>#DIV/0!</v>
      </c>
      <c r="BC75" s="255" t="e">
        <f t="shared" si="42"/>
        <v>#DIV/0!</v>
      </c>
      <c r="BD75" s="255" t="e">
        <f t="shared" si="42"/>
        <v>#DIV/0!</v>
      </c>
      <c r="BE75" s="255" t="e">
        <f t="shared" si="42"/>
        <v>#DIV/0!</v>
      </c>
      <c r="BF75" s="255" t="e">
        <f t="shared" si="42"/>
        <v>#DIV/0!</v>
      </c>
      <c r="BG75" s="255" t="e">
        <f t="shared" si="42"/>
        <v>#DIV/0!</v>
      </c>
      <c r="BH75" s="255" t="e">
        <f t="shared" si="42"/>
        <v>#DIV/0!</v>
      </c>
      <c r="BI75" s="255" t="e">
        <f t="shared" si="42"/>
        <v>#DIV/0!</v>
      </c>
      <c r="BJ75" s="255" t="e">
        <f t="shared" si="42"/>
        <v>#DIV/0!</v>
      </c>
      <c r="BK75" s="255" t="e">
        <f t="shared" si="42"/>
        <v>#DIV/0!</v>
      </c>
      <c r="BL75" s="255" t="e">
        <f t="shared" si="42"/>
        <v>#DIV/0!</v>
      </c>
      <c r="BM75" s="255" t="e">
        <f t="shared" si="42"/>
        <v>#DIV/0!</v>
      </c>
      <c r="BN75" s="255" t="e">
        <f t="shared" si="42"/>
        <v>#DIV/0!</v>
      </c>
      <c r="BO75" s="255" t="e">
        <f t="shared" si="42"/>
        <v>#DIV/0!</v>
      </c>
      <c r="BP75" s="255" t="e">
        <f t="shared" si="42"/>
        <v>#DIV/0!</v>
      </c>
      <c r="BQ75" s="255" t="e">
        <f t="shared" si="42"/>
        <v>#DIV/0!</v>
      </c>
      <c r="BR75" s="255" t="e">
        <f t="shared" ref="BR75:CJ75" si="43">BR74-BR73</f>
        <v>#DIV/0!</v>
      </c>
      <c r="BS75" s="255" t="e">
        <f t="shared" si="43"/>
        <v>#DIV/0!</v>
      </c>
      <c r="BT75" s="255" t="e">
        <f t="shared" si="43"/>
        <v>#DIV/0!</v>
      </c>
      <c r="BU75" s="255" t="e">
        <f t="shared" si="43"/>
        <v>#DIV/0!</v>
      </c>
      <c r="BV75" s="255" t="e">
        <f t="shared" si="43"/>
        <v>#DIV/0!</v>
      </c>
      <c r="BW75" s="255" t="e">
        <f t="shared" si="43"/>
        <v>#DIV/0!</v>
      </c>
      <c r="BX75" s="255" t="e">
        <f t="shared" si="43"/>
        <v>#DIV/0!</v>
      </c>
      <c r="BY75" s="255" t="e">
        <f t="shared" si="43"/>
        <v>#DIV/0!</v>
      </c>
      <c r="BZ75" s="255" t="e">
        <f t="shared" si="43"/>
        <v>#DIV/0!</v>
      </c>
      <c r="CA75" s="255" t="e">
        <f t="shared" si="43"/>
        <v>#DIV/0!</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c r="A76" s="148" t="s">
        <v>484</v>
      </c>
      <c r="E76" s="120">
        <f>E71-E64-E68</f>
        <v>-4144644059.5300002</v>
      </c>
      <c r="F76" s="120">
        <f t="shared" ref="F76:BQ76" si="44">F71-F64-F68</f>
        <v>-4893279116.1900005</v>
      </c>
      <c r="G76" s="120">
        <f t="shared" si="44"/>
        <v>-4589224681.3600006</v>
      </c>
      <c r="H76" s="120">
        <f t="shared" si="44"/>
        <v>-4326212973.9899998</v>
      </c>
      <c r="I76" s="120">
        <f t="shared" si="44"/>
        <v>-5146452694.3000002</v>
      </c>
      <c r="J76" s="120">
        <f t="shared" si="44"/>
        <v>-3961668679.46</v>
      </c>
      <c r="K76" s="120">
        <f t="shared" si="44"/>
        <v>-3260108876.4099998</v>
      </c>
      <c r="L76" s="120">
        <f t="shared" si="44"/>
        <v>-2896593727.8699999</v>
      </c>
      <c r="M76" s="120">
        <f t="shared" si="44"/>
        <v>-2716682069.2799997</v>
      </c>
      <c r="N76" s="120">
        <f t="shared" si="44"/>
        <v>-2697907405.4200001</v>
      </c>
      <c r="O76" s="120">
        <f t="shared" si="44"/>
        <v>-2139034369.9300003</v>
      </c>
      <c r="P76" s="120">
        <f t="shared" si="44"/>
        <v>-1801912762.3799996</v>
      </c>
      <c r="Q76" s="120">
        <f t="shared" si="44"/>
        <v>-1572813170.9100001</v>
      </c>
      <c r="R76" s="120">
        <f t="shared" si="44"/>
        <v>-1165394188.5199997</v>
      </c>
      <c r="S76" s="120">
        <f t="shared" si="44"/>
        <v>-673925181.37</v>
      </c>
      <c r="T76" s="120">
        <f t="shared" si="44"/>
        <v>-1096574660.73</v>
      </c>
      <c r="U76" s="120">
        <f t="shared" si="44"/>
        <v>-469903529.49000001</v>
      </c>
      <c r="V76" s="120">
        <f t="shared" si="44"/>
        <v>-579115084.65999997</v>
      </c>
      <c r="W76" s="120">
        <f t="shared" si="44"/>
        <v>-415946030.14999998</v>
      </c>
      <c r="X76" s="120">
        <f t="shared" si="44"/>
        <v>-1129485239.9200001</v>
      </c>
      <c r="Y76" s="120">
        <f t="shared" si="44"/>
        <v>-432739763.93000001</v>
      </c>
      <c r="Z76" s="120">
        <f t="shared" si="44"/>
        <v>-732571824.75999999</v>
      </c>
      <c r="AA76" s="120">
        <f t="shared" si="44"/>
        <v>-464819695.17999995</v>
      </c>
      <c r="AB76" s="120">
        <f t="shared" si="44"/>
        <v>-232366675.26999998</v>
      </c>
      <c r="AC76" s="120">
        <f t="shared" si="44"/>
        <v>-320343041.04999995</v>
      </c>
      <c r="AD76" s="120">
        <f t="shared" si="44"/>
        <v>-308945664.70000005</v>
      </c>
      <c r="AE76" s="120">
        <f t="shared" si="44"/>
        <v>-207463545.84</v>
      </c>
      <c r="AF76" s="120">
        <f t="shared" si="44"/>
        <v>-109957967.34</v>
      </c>
      <c r="AG76" s="120">
        <f t="shared" si="44"/>
        <v>-77808169.460000008</v>
      </c>
      <c r="AH76" s="120">
        <f t="shared" si="44"/>
        <v>-153507035.64999998</v>
      </c>
      <c r="AI76" s="120">
        <f t="shared" si="44"/>
        <v>-135819780.47</v>
      </c>
      <c r="AJ76" s="120">
        <f t="shared" si="44"/>
        <v>-83677761.909999996</v>
      </c>
      <c r="AK76" s="120">
        <f t="shared" si="44"/>
        <v>-123739898.37</v>
      </c>
      <c r="AL76" s="120">
        <f t="shared" si="44"/>
        <v>-54908129.670000002</v>
      </c>
      <c r="AM76" s="120">
        <f t="shared" si="44"/>
        <v>0</v>
      </c>
      <c r="AN76" s="120">
        <f t="shared" si="44"/>
        <v>0</v>
      </c>
      <c r="AO76" s="120">
        <f t="shared" si="44"/>
        <v>0</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14999999999998" customHeight="1">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c r="A80" s="248"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39813</v>
      </c>
      <c r="AO80" s="1">
        <v>39447</v>
      </c>
      <c r="AP80" s="1">
        <v>25569</v>
      </c>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c r="A81" s="70" t="s">
        <v>579</v>
      </c>
      <c r="E81" s="76">
        <f>股权价值增加表!E4</f>
        <v>11789073516.690001</v>
      </c>
      <c r="F81" s="76">
        <f>股权价值增加表!F4</f>
        <v>9450631221.3799992</v>
      </c>
      <c r="G81" s="76">
        <f>股权价值增加表!G4</f>
        <v>6050755584.71</v>
      </c>
      <c r="H81" s="76">
        <f>股权价值增加表!H4</f>
        <v>2700241153</v>
      </c>
      <c r="I81" s="76">
        <f>股权价值增加表!I4</f>
        <v>9232749388.8799992</v>
      </c>
      <c r="J81" s="76">
        <f>股权价值增加表!J4</f>
        <v>7156918837.8000002</v>
      </c>
      <c r="K81" s="76">
        <f>股权价值增加表!K4</f>
        <v>4499173734.3900003</v>
      </c>
      <c r="L81" s="76">
        <f>股权价值增加表!L4</f>
        <v>2007598833.6500001</v>
      </c>
      <c r="M81" s="76">
        <f>股权价值增加表!M4</f>
        <v>7459376626.1199999</v>
      </c>
      <c r="N81" s="76">
        <f>股权价值增加表!N4</f>
        <v>5214917067.6099997</v>
      </c>
      <c r="O81" s="76">
        <f>股权价值增加表!O4</f>
        <v>3301126126.96</v>
      </c>
      <c r="P81" s="76">
        <f>股权价值增加表!P4</f>
        <v>1500354327.0899999</v>
      </c>
      <c r="Q81" s="76">
        <f>股权价值增加表!Q4</f>
        <v>5208091770.6199999</v>
      </c>
      <c r="R81" s="76">
        <f>股权价值增加表!R4</f>
        <v>3652588157.7399998</v>
      </c>
      <c r="S81" s="76">
        <f>股权价值增加表!S4</f>
        <v>2424211203.8699999</v>
      </c>
      <c r="T81" s="76">
        <f>股权价值增加表!T4</f>
        <v>1221227187.02</v>
      </c>
      <c r="U81" s="76">
        <f>股权价值增加表!U4</f>
        <v>3192701967.0799999</v>
      </c>
      <c r="V81" s="76">
        <f>股权价值增加表!V4</f>
        <v>2279929133.7600002</v>
      </c>
      <c r="W81" s="76">
        <f>股权价值增加表!W4</f>
        <v>1509892379.6400001</v>
      </c>
      <c r="X81" s="76">
        <f>股权价值增加表!X4</f>
        <v>655682698.38</v>
      </c>
      <c r="Y81" s="76">
        <f>股权价值增加表!Y4</f>
        <v>2234623152.98</v>
      </c>
      <c r="Z81" s="76">
        <f>股权价值增加表!Z4</f>
        <v>1459303292.4400001</v>
      </c>
      <c r="AA81" s="76">
        <f>股权价值增加表!AA4</f>
        <v>961642839.58000004</v>
      </c>
      <c r="AB81" s="76">
        <f>股权价值增加表!AB4</f>
        <v>407522741.93000001</v>
      </c>
      <c r="AC81" s="76">
        <f>股权价值增加表!AC4</f>
        <v>1526021238.48</v>
      </c>
      <c r="AD81" s="76">
        <f>股权价值增加表!AD4</f>
        <v>1098832203.2</v>
      </c>
      <c r="AE81" s="76">
        <f>股权价值增加表!AE4</f>
        <v>647395840.48000002</v>
      </c>
      <c r="AF81" s="76">
        <f>股权价值增加表!AF4</f>
        <v>237639702.31</v>
      </c>
      <c r="AG81" s="76">
        <f>股权价值增加表!AG4</f>
        <v>524201146.48000002</v>
      </c>
      <c r="AH81" s="76">
        <f>股权价值增加表!AH4</f>
        <v>380020138.85000002</v>
      </c>
      <c r="AI81" s="76">
        <f>股权价值增加表!AI4</f>
        <v>223459375.99000001</v>
      </c>
      <c r="AJ81" s="76">
        <f>股权价值增加表!AJ4</f>
        <v>89061445.689999998</v>
      </c>
      <c r="AK81" s="76">
        <f>股权价值增加表!AK4</f>
        <v>364399272.83999997</v>
      </c>
      <c r="AL81" s="76">
        <f>股权价值增加表!AL4</f>
        <v>232406318.21000001</v>
      </c>
      <c r="AM81" s="76">
        <f>股权价值增加表!AM4</f>
        <v>134187532.15000001</v>
      </c>
      <c r="AN81" s="76">
        <f>股权价值增加表!AN4</f>
        <v>259676963.58000001</v>
      </c>
      <c r="AO81" s="76">
        <f>股权价值增加表!AO4</f>
        <v>163933411.49000001</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580</v>
      </c>
      <c r="E82" s="76">
        <f>投资和筹资活动现金流表!E34</f>
        <v>4560408614.8799992</v>
      </c>
      <c r="F82" s="76">
        <f>投资和筹资活动现金流表!F34</f>
        <v>4453146007.3999996</v>
      </c>
      <c r="G82" s="76">
        <f>投资和筹资活动现金流表!G34</f>
        <v>4420072424.6700001</v>
      </c>
      <c r="H82" s="76">
        <f>投资和筹资活动现金流表!H34</f>
        <v>4297571642.5899992</v>
      </c>
      <c r="I82" s="76">
        <f>投资和筹资活动现金流表!I34</f>
        <v>4214261607.6300001</v>
      </c>
      <c r="J82" s="76">
        <f>投资和筹资活动现金流表!J34</f>
        <v>4247256911.4200001</v>
      </c>
      <c r="K82" s="76">
        <f>投资和筹资活动现金流表!K34</f>
        <v>4081251676.0799999</v>
      </c>
      <c r="L82" s="76">
        <f>投资和筹资活动现金流表!L34</f>
        <v>4344387336.3799992</v>
      </c>
      <c r="M82" s="76">
        <f>投资和筹资活动现金流表!M34</f>
        <v>4227132904.9500003</v>
      </c>
      <c r="N82" s="76">
        <f>投资和筹资活动现金流表!N34</f>
        <v>4216800547.8099999</v>
      </c>
      <c r="O82" s="76">
        <f>投资和筹资活动现金流表!O34</f>
        <v>4191121489.23</v>
      </c>
      <c r="P82" s="76">
        <f>投资和筹资活动现金流表!P34</f>
        <v>4042953400.3800001</v>
      </c>
      <c r="Q82" s="76">
        <f>投资和筹资活动现金流表!Q34</f>
        <v>4015396780.3000002</v>
      </c>
      <c r="R82" s="76">
        <f>投资和筹资活动现金流表!R34</f>
        <v>4436706728.3099995</v>
      </c>
      <c r="S82" s="76">
        <f>投资和筹资活动现金流表!S34</f>
        <v>4672724809.8399992</v>
      </c>
      <c r="T82" s="76">
        <f>投资和筹资活动现金流表!T34</f>
        <v>4092132496</v>
      </c>
      <c r="U82" s="76">
        <f>投资和筹资活动现金流表!U34</f>
        <v>3987860287.7200003</v>
      </c>
      <c r="V82" s="76">
        <f>投资和筹资活动现金流表!V34</f>
        <v>3496088274.3600001</v>
      </c>
      <c r="W82" s="76">
        <f>投资和筹资活动现金流表!W34</f>
        <v>2855208801.9400001</v>
      </c>
      <c r="X82" s="76">
        <f>投资和筹资活动现金流表!X34</f>
        <v>1705445054.7</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4945499008.7600002</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c r="A83" s="250" t="s">
        <v>581</v>
      </c>
      <c r="E83" s="154">
        <f>E81/E82</f>
        <v>2.5850914933858866</v>
      </c>
      <c r="F83" s="154">
        <f t="shared" ref="F83:BQ83" si="46">F81/F82</f>
        <v>2.1222369995673724</v>
      </c>
      <c r="G83" s="154">
        <f t="shared" si="46"/>
        <v>1.3689267965245493</v>
      </c>
      <c r="H83" s="154">
        <f t="shared" si="46"/>
        <v>0.62831789149014794</v>
      </c>
      <c r="I83" s="154">
        <f t="shared" si="46"/>
        <v>2.1908344209490775</v>
      </c>
      <c r="J83" s="154">
        <f t="shared" si="46"/>
        <v>1.6850685011675459</v>
      </c>
      <c r="K83" s="154">
        <f t="shared" si="46"/>
        <v>1.102400462279604</v>
      </c>
      <c r="L83" s="154">
        <f t="shared" si="46"/>
        <v>0.46211322292520318</v>
      </c>
      <c r="M83" s="154">
        <f t="shared" si="46"/>
        <v>1.7646420857468241</v>
      </c>
      <c r="N83" s="154">
        <f t="shared" si="46"/>
        <v>1.2366999597167034</v>
      </c>
      <c r="O83" s="154">
        <f t="shared" si="46"/>
        <v>0.78764744363602035</v>
      </c>
      <c r="P83" s="154">
        <f t="shared" si="46"/>
        <v>0.37110354201682871</v>
      </c>
      <c r="Q83" s="154">
        <f t="shared" si="46"/>
        <v>1.2970304195519353</v>
      </c>
      <c r="R83" s="154">
        <f t="shared" si="46"/>
        <v>0.82326562953403037</v>
      </c>
      <c r="S83" s="154">
        <f t="shared" si="46"/>
        <v>0.51880033653276669</v>
      </c>
      <c r="T83" s="154">
        <f t="shared" si="46"/>
        <v>0.29843295353064248</v>
      </c>
      <c r="U83" s="154">
        <f t="shared" si="46"/>
        <v>0.80060527118049563</v>
      </c>
      <c r="V83" s="154">
        <f t="shared" si="46"/>
        <v>0.65213717584901887</v>
      </c>
      <c r="W83" s="154">
        <f t="shared" si="46"/>
        <v>0.5288203015534586</v>
      </c>
      <c r="X83" s="154">
        <f t="shared" si="46"/>
        <v>0.38446427609791234</v>
      </c>
      <c r="Y83" s="154">
        <f t="shared" si="46"/>
        <v>0.41423468127728885</v>
      </c>
      <c r="Z83" s="154">
        <f t="shared" si="46"/>
        <v>0.26526407008778424</v>
      </c>
      <c r="AA83" s="154">
        <f t="shared" si="46"/>
        <v>0.17240331447371354</v>
      </c>
      <c r="AB83" s="154">
        <f t="shared" si="46"/>
        <v>7.1541859426385246E-2</v>
      </c>
      <c r="AC83" s="154">
        <f t="shared" si="46"/>
        <v>0.26403563904723648</v>
      </c>
      <c r="AD83" s="154">
        <f t="shared" si="46"/>
        <v>0.18812421653791558</v>
      </c>
      <c r="AE83" s="154">
        <f t="shared" si="46"/>
        <v>0.119131047345352</v>
      </c>
      <c r="AF83" s="154">
        <f t="shared" si="46"/>
        <v>4.3053384433505905E-2</v>
      </c>
      <c r="AG83" s="154">
        <f t="shared" si="46"/>
        <v>9.3811537661659283E-2</v>
      </c>
      <c r="AH83" s="154">
        <f t="shared" si="46"/>
        <v>6.8011860819104056E-2</v>
      </c>
      <c r="AI83" s="154">
        <f t="shared" si="46"/>
        <v>4.3178589908263898E-2</v>
      </c>
      <c r="AJ83" s="154">
        <f t="shared" si="46"/>
        <v>1.9601794631919987E-2</v>
      </c>
      <c r="AK83" s="154">
        <f t="shared" si="46"/>
        <v>8.1363827947177308E-2</v>
      </c>
      <c r="AL83" s="154">
        <f t="shared" si="46"/>
        <v>5.1408495129004736E-2</v>
      </c>
      <c r="AM83" s="154">
        <f t="shared" si="46"/>
        <v>3.7059417264968975E-2</v>
      </c>
      <c r="AN83" s="154">
        <f t="shared" si="46"/>
        <v>7.0468780311686061E-2</v>
      </c>
      <c r="AO83" s="154">
        <f t="shared" si="46"/>
        <v>4.6523909218081028E-2</v>
      </c>
      <c r="AP83" s="154" t="e">
        <f t="shared" si="46"/>
        <v>#DIV/0!</v>
      </c>
      <c r="AQ83" s="154">
        <f t="shared" si="46"/>
        <v>0</v>
      </c>
      <c r="AR83" s="154">
        <f t="shared" si="46"/>
        <v>0</v>
      </c>
      <c r="AS83" s="154">
        <f t="shared" si="46"/>
        <v>0</v>
      </c>
      <c r="AT83" s="154">
        <f t="shared" si="46"/>
        <v>0</v>
      </c>
      <c r="AU83" s="154">
        <f t="shared" si="46"/>
        <v>0</v>
      </c>
      <c r="AV83" s="154">
        <f t="shared" si="46"/>
        <v>0</v>
      </c>
      <c r="AW83" s="154">
        <f t="shared" si="46"/>
        <v>0</v>
      </c>
      <c r="AX83" s="154">
        <f t="shared" si="46"/>
        <v>0</v>
      </c>
      <c r="AY83" s="154">
        <f t="shared" si="46"/>
        <v>0</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c r="A84" s="70" t="s">
        <v>582</v>
      </c>
      <c r="E84" s="76">
        <f>资产资本表!E52</f>
        <v>3542070659.1300001</v>
      </c>
      <c r="F84" s="76">
        <f>资产资本表!F52</f>
        <v>3158086697.3800001</v>
      </c>
      <c r="G84" s="76">
        <f>资产资本表!G52</f>
        <v>3134529088.23</v>
      </c>
      <c r="H84" s="76">
        <f>资产资本表!H52</f>
        <v>3080299182.3400002</v>
      </c>
      <c r="I84" s="76">
        <f>资产资本表!I52</f>
        <v>3085844626.3299999</v>
      </c>
      <c r="J84" s="76">
        <f>资产资本表!J52</f>
        <v>3076757271.4099998</v>
      </c>
      <c r="K84" s="76">
        <f>资产资本表!K52</f>
        <v>3103122331.7600002</v>
      </c>
      <c r="L84" s="76">
        <f>资产资本表!L52</f>
        <v>3422908290.79</v>
      </c>
      <c r="M84" s="76">
        <f>资产资本表!M52</f>
        <v>3462069941.4000001</v>
      </c>
      <c r="N84" s="76">
        <f>资产资本表!N52</f>
        <v>3445767909.5599999</v>
      </c>
      <c r="O84" s="76">
        <f>资产资本表!O52</f>
        <v>3358314371.8299999</v>
      </c>
      <c r="P84" s="76">
        <f>资产资本表!P52</f>
        <v>3378806302</v>
      </c>
      <c r="Q84" s="76">
        <f>资产资本表!Q52</f>
        <v>3403469019.6900001</v>
      </c>
      <c r="R84" s="76">
        <f>资产资本表!R52</f>
        <v>3080325465.6199999</v>
      </c>
      <c r="S84" s="76">
        <f>资产资本表!S52</f>
        <v>2115781758.8599999</v>
      </c>
      <c r="T84" s="76">
        <f>资产资本表!T52</f>
        <v>1502491031.28</v>
      </c>
      <c r="U84" s="76">
        <f>资产资本表!U52</f>
        <v>1492690932.52</v>
      </c>
      <c r="V84" s="76">
        <f>资产资本表!V52</f>
        <v>875448625.01999998</v>
      </c>
      <c r="W84" s="76">
        <f>资产资本表!W52</f>
        <v>809474969.13</v>
      </c>
      <c r="X84" s="76">
        <f>资产资本表!X52</f>
        <v>806291865.24000001</v>
      </c>
      <c r="Y84" s="76">
        <f>资产资本表!Y52</f>
        <v>803111623.53999996</v>
      </c>
      <c r="Z84" s="76">
        <f>资产资本表!Z52</f>
        <v>714693488.65999997</v>
      </c>
      <c r="AA84" s="76">
        <f>资产资本表!AA52</f>
        <v>689931689.76999998</v>
      </c>
      <c r="AB84" s="76">
        <f>资产资本表!AB52</f>
        <v>524424409.10000002</v>
      </c>
      <c r="AC84" s="76">
        <f>资产资本表!AC52</f>
        <v>293269856.79000002</v>
      </c>
      <c r="AD84" s="76">
        <f>资产资本表!AD52</f>
        <v>265072613.81</v>
      </c>
      <c r="AE84" s="76">
        <f>资产资本表!AE52</f>
        <v>264430847.84</v>
      </c>
      <c r="AF84" s="76">
        <f>资产资本表!AF52</f>
        <v>266032995.31999999</v>
      </c>
      <c r="AG84" s="76">
        <f>资产资本表!AG52</f>
        <v>251261659.75999999</v>
      </c>
      <c r="AH84" s="76">
        <f>资产资本表!AH52</f>
        <v>251616285.37</v>
      </c>
      <c r="AI84" s="76">
        <f>资产资本表!AI52</f>
        <v>245377768.28999999</v>
      </c>
      <c r="AJ84" s="76">
        <f>资产资本表!AJ52</f>
        <v>245551850.33000001</v>
      </c>
      <c r="AK84" s="76">
        <f>资产资本表!AK52</f>
        <v>96941926.760000005</v>
      </c>
      <c r="AL84" s="76">
        <f>资产资本表!AL52</f>
        <v>93197793.25</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c r="A85" s="250" t="s">
        <v>583</v>
      </c>
      <c r="E85" s="154">
        <f>E81/E84</f>
        <v>3.3282999271351694</v>
      </c>
      <c r="F85" s="154">
        <f t="shared" ref="F85:BQ85" si="48">F81/F84</f>
        <v>2.9925179790727077</v>
      </c>
      <c r="G85" s="154">
        <f t="shared" si="48"/>
        <v>1.9303555380711841</v>
      </c>
      <c r="H85" s="154">
        <f t="shared" si="48"/>
        <v>0.87661652104478927</v>
      </c>
      <c r="I85" s="154">
        <f t="shared" si="48"/>
        <v>2.9919683285741199</v>
      </c>
      <c r="J85" s="154">
        <f t="shared" si="48"/>
        <v>2.326123969642937</v>
      </c>
      <c r="K85" s="154">
        <f t="shared" si="48"/>
        <v>1.4498860352173744</v>
      </c>
      <c r="L85" s="154">
        <f t="shared" si="48"/>
        <v>0.58651844078085147</v>
      </c>
      <c r="M85" s="154">
        <f t="shared" si="48"/>
        <v>2.154600210966148</v>
      </c>
      <c r="N85" s="154">
        <f t="shared" si="48"/>
        <v>1.5134266742520994</v>
      </c>
      <c r="O85" s="154">
        <f t="shared" si="48"/>
        <v>0.98297114607563163</v>
      </c>
      <c r="P85" s="154">
        <f t="shared" si="48"/>
        <v>0.44404863522419225</v>
      </c>
      <c r="Q85" s="154">
        <f t="shared" si="48"/>
        <v>1.5302304033002103</v>
      </c>
      <c r="R85" s="154">
        <f t="shared" si="48"/>
        <v>1.1857799438751244</v>
      </c>
      <c r="S85" s="154">
        <f t="shared" si="48"/>
        <v>1.1457756423687973</v>
      </c>
      <c r="T85" s="154">
        <f t="shared" si="48"/>
        <v>0.8128016484595012</v>
      </c>
      <c r="U85" s="154">
        <f t="shared" si="48"/>
        <v>2.1388901731251204</v>
      </c>
      <c r="V85" s="154">
        <f t="shared" si="48"/>
        <v>2.6042980348594575</v>
      </c>
      <c r="W85" s="154">
        <f t="shared" si="48"/>
        <v>1.8652737110114574</v>
      </c>
      <c r="X85" s="154">
        <f t="shared" si="48"/>
        <v>0.8132076319346595</v>
      </c>
      <c r="Y85" s="154">
        <f t="shared" si="48"/>
        <v>2.7824564948146362</v>
      </c>
      <c r="Z85" s="154">
        <f t="shared" si="48"/>
        <v>2.0418589445611031</v>
      </c>
      <c r="AA85" s="154">
        <f t="shared" si="48"/>
        <v>1.3938232637213395</v>
      </c>
      <c r="AB85" s="154">
        <f t="shared" si="48"/>
        <v>0.77708576271149765</v>
      </c>
      <c r="AC85" s="154">
        <f t="shared" si="48"/>
        <v>5.2034711483244216</v>
      </c>
      <c r="AD85" s="154">
        <f t="shared" si="48"/>
        <v>4.1454007164528361</v>
      </c>
      <c r="AE85" s="154">
        <f t="shared" si="48"/>
        <v>2.4482614103772109</v>
      </c>
      <c r="AF85" s="154">
        <f t="shared" si="48"/>
        <v>0.89327153582642305</v>
      </c>
      <c r="AG85" s="154">
        <f t="shared" si="48"/>
        <v>2.0862759044921786</v>
      </c>
      <c r="AH85" s="154">
        <f t="shared" si="48"/>
        <v>1.5103161478247842</v>
      </c>
      <c r="AI85" s="154">
        <f t="shared" si="48"/>
        <v>0.91067490566588039</v>
      </c>
      <c r="AJ85" s="154">
        <f t="shared" si="48"/>
        <v>0.36269914305393863</v>
      </c>
      <c r="AK85" s="154">
        <f t="shared" si="48"/>
        <v>3.7589439886226579</v>
      </c>
      <c r="AL85" s="154">
        <f t="shared" si="48"/>
        <v>2.4936890682226536</v>
      </c>
      <c r="AM85" s="154" t="e">
        <f t="shared" si="48"/>
        <v>#DIV/0!</v>
      </c>
      <c r="AN85" s="154" t="e">
        <f t="shared" si="48"/>
        <v>#DIV/0!</v>
      </c>
      <c r="AO85" s="154" t="e">
        <f t="shared" si="48"/>
        <v>#DIV/0!</v>
      </c>
      <c r="AP85" s="154" t="e">
        <f t="shared" si="48"/>
        <v>#DIV/0!</v>
      </c>
      <c r="AQ85" s="154" t="e">
        <f t="shared" si="48"/>
        <v>#DIV/0!</v>
      </c>
      <c r="AR85" s="154" t="e">
        <f t="shared" si="48"/>
        <v>#DIV/0!</v>
      </c>
      <c r="AS85" s="154" t="e">
        <f t="shared" si="48"/>
        <v>#DIV/0!</v>
      </c>
      <c r="AT85" s="154" t="e">
        <f t="shared" si="48"/>
        <v>#DIV/0!</v>
      </c>
      <c r="AU85" s="154" t="e">
        <f t="shared" si="48"/>
        <v>#DIV/0!</v>
      </c>
      <c r="AV85" s="154" t="e">
        <f t="shared" si="48"/>
        <v>#DIV/0!</v>
      </c>
      <c r="AW85" s="154" t="e">
        <f t="shared" si="48"/>
        <v>#DIV/0!</v>
      </c>
      <c r="AX85" s="154" t="e">
        <f t="shared" si="48"/>
        <v>#DIV/0!</v>
      </c>
      <c r="AY85" s="154" t="e">
        <f t="shared" si="48"/>
        <v>#DIV/0!</v>
      </c>
      <c r="AZ85" s="154" t="e">
        <f t="shared" si="48"/>
        <v>#DIV/0!</v>
      </c>
      <c r="BA85" s="154" t="e">
        <f t="shared" si="48"/>
        <v>#DIV/0!</v>
      </c>
      <c r="BB85" s="154" t="e">
        <f t="shared" si="48"/>
        <v>#DIV/0!</v>
      </c>
      <c r="BC85" s="154" t="e">
        <f t="shared" si="48"/>
        <v>#DIV/0!</v>
      </c>
      <c r="BD85" s="154" t="e">
        <f t="shared" si="48"/>
        <v>#DIV/0!</v>
      </c>
      <c r="BE85" s="154" t="e">
        <f t="shared" si="48"/>
        <v>#DIV/0!</v>
      </c>
      <c r="BF85" s="154" t="e">
        <f t="shared" si="48"/>
        <v>#DIV/0!</v>
      </c>
      <c r="BG85" s="154" t="e">
        <f t="shared" si="48"/>
        <v>#DIV/0!</v>
      </c>
      <c r="BH85" s="154" t="e">
        <f t="shared" si="48"/>
        <v>#DIV/0!</v>
      </c>
      <c r="BI85" s="154" t="e">
        <f t="shared" si="48"/>
        <v>#DIV/0!</v>
      </c>
      <c r="BJ85" s="154" t="e">
        <f t="shared" si="48"/>
        <v>#DIV/0!</v>
      </c>
      <c r="BK85" s="154" t="e">
        <f t="shared" si="48"/>
        <v>#DIV/0!</v>
      </c>
      <c r="BL85" s="154" t="e">
        <f t="shared" si="48"/>
        <v>#DIV/0!</v>
      </c>
      <c r="BM85" s="154" t="e">
        <f t="shared" si="48"/>
        <v>#DIV/0!</v>
      </c>
      <c r="BN85" s="154" t="e">
        <f t="shared" si="48"/>
        <v>#DIV/0!</v>
      </c>
      <c r="BO85" s="154" t="e">
        <f t="shared" si="48"/>
        <v>#DIV/0!</v>
      </c>
      <c r="BP85" s="154" t="e">
        <f t="shared" si="48"/>
        <v>#DIV/0!</v>
      </c>
      <c r="BQ85" s="154" t="e">
        <f t="shared" si="48"/>
        <v>#DIV/0!</v>
      </c>
      <c r="BR85" s="154" t="e">
        <f t="shared" ref="BR85:CK85" si="49">BR81/BR84</f>
        <v>#DIV/0!</v>
      </c>
      <c r="BS85" s="154" t="e">
        <f t="shared" si="49"/>
        <v>#DIV/0!</v>
      </c>
      <c r="BT85" s="154" t="e">
        <f t="shared" si="49"/>
        <v>#DIV/0!</v>
      </c>
      <c r="BU85" s="154" t="e">
        <f t="shared" si="49"/>
        <v>#DIV/0!</v>
      </c>
      <c r="BV85" s="154" t="e">
        <f t="shared" si="49"/>
        <v>#DIV/0!</v>
      </c>
      <c r="BW85" s="154" t="e">
        <f t="shared" si="49"/>
        <v>#DIV/0!</v>
      </c>
      <c r="BX85" s="154" t="e">
        <f t="shared" si="49"/>
        <v>#DIV/0!</v>
      </c>
      <c r="BY85" s="154" t="e">
        <f t="shared" si="49"/>
        <v>#DIV/0!</v>
      </c>
      <c r="BZ85" s="154" t="e">
        <f t="shared" si="49"/>
        <v>#DIV/0!</v>
      </c>
      <c r="CA85" s="154" t="e">
        <f t="shared" si="49"/>
        <v>#DIV/0!</v>
      </c>
      <c r="CB85" s="154" t="e">
        <f t="shared" si="49"/>
        <v>#DIV/0!</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c r="A86" s="70" t="s">
        <v>584</v>
      </c>
      <c r="E86" s="76">
        <f>资产资本表!E53</f>
        <v>226817094.63</v>
      </c>
      <c r="F86" s="76">
        <f>资产资本表!F53</f>
        <v>510715252.5</v>
      </c>
      <c r="G86" s="76">
        <f>资产资本表!G53</f>
        <v>447197732.02999997</v>
      </c>
      <c r="H86" s="76">
        <f>资产资本表!H53</f>
        <v>443424546.26999998</v>
      </c>
      <c r="I86" s="76">
        <f>资产资本表!I53</f>
        <v>416009605.75999999</v>
      </c>
      <c r="J86" s="76">
        <f>资产资本表!J53</f>
        <v>442673289.94999999</v>
      </c>
      <c r="K86" s="76">
        <f>资产资本表!K53</f>
        <v>334677345.99000001</v>
      </c>
      <c r="L86" s="76">
        <f>资产资本表!L53</f>
        <v>265080448.24000001</v>
      </c>
      <c r="M86" s="76">
        <f>资产资本表!M53</f>
        <v>207008126.19999999</v>
      </c>
      <c r="N86" s="76">
        <f>资产资本表!N53</f>
        <v>165099608.99000001</v>
      </c>
      <c r="O86" s="76">
        <f>资产资本表!O53</f>
        <v>279430769.41000003</v>
      </c>
      <c r="P86" s="76">
        <f>资产资本表!P53</f>
        <v>259926925.58000001</v>
      </c>
      <c r="Q86" s="76">
        <f>资产资本表!Q53</f>
        <v>260370751.78</v>
      </c>
      <c r="R86" s="76">
        <f>资产资本表!R53</f>
        <v>761878148.22000003</v>
      </c>
      <c r="S86" s="76">
        <f>资产资本表!S53</f>
        <v>1575636564.29</v>
      </c>
      <c r="T86" s="76">
        <f>资产资本表!T53</f>
        <v>2022026172.1300001</v>
      </c>
      <c r="U86" s="76">
        <f>资产资本表!U53</f>
        <v>2003906108.3399999</v>
      </c>
      <c r="V86" s="76">
        <f>资产资本表!V53</f>
        <v>1527365917.1300001</v>
      </c>
      <c r="W86" s="76">
        <f>资产资本表!W53</f>
        <v>904298723.38</v>
      </c>
      <c r="X86" s="76">
        <f>资产资本表!X53</f>
        <v>372565364.38</v>
      </c>
      <c r="Y86" s="76">
        <f>资产资本表!Y53</f>
        <v>265580799.88</v>
      </c>
      <c r="Z86" s="76">
        <f>资产资本表!Z53</f>
        <v>47578669.960000001</v>
      </c>
      <c r="AA86" s="76">
        <f>资产资本表!AA53</f>
        <v>39367515.329999998</v>
      </c>
      <c r="AB86" s="76">
        <f>资产资本表!AB53</f>
        <v>158550785.31</v>
      </c>
      <c r="AC86" s="76">
        <f>资产资本表!AC53</f>
        <v>228988175.34999999</v>
      </c>
      <c r="AD86" s="76">
        <f>资产资本表!AD53</f>
        <v>25115780.210000001</v>
      </c>
      <c r="AE86" s="76">
        <f>资产资本表!AE53</f>
        <v>8615049.1699999999</v>
      </c>
      <c r="AF86" s="76">
        <f>资产资本表!AF53</f>
        <v>1873053.4</v>
      </c>
      <c r="AG86" s="76">
        <f>资产资本表!AG53</f>
        <v>329572.40000000002</v>
      </c>
      <c r="AH86" s="76">
        <f>资产资本表!AH53</f>
        <v>0</v>
      </c>
      <c r="AI86" s="76">
        <f>资产资本表!AI53</f>
        <v>0</v>
      </c>
      <c r="AJ86" s="76">
        <f>资产资本表!AJ53</f>
        <v>0</v>
      </c>
      <c r="AK86" s="76">
        <f>资产资本表!AK53</f>
        <v>99407640.390000001</v>
      </c>
      <c r="AL86" s="76">
        <f>资产资本表!AL53</f>
        <v>16274266.27</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c r="A87" s="253" t="s">
        <v>585</v>
      </c>
      <c r="E87" s="54">
        <f>E81/E86</f>
        <v>51.97612435659299</v>
      </c>
      <c r="F87" s="54">
        <f t="shared" ref="F87:BQ87" si="50">F81/F86</f>
        <v>18.504697431921713</v>
      </c>
      <c r="G87" s="54">
        <f t="shared" si="50"/>
        <v>13.530380749569833</v>
      </c>
      <c r="H87" s="54">
        <f t="shared" si="50"/>
        <v>6.0895166397843719</v>
      </c>
      <c r="I87" s="54">
        <f t="shared" si="50"/>
        <v>22.193596640666183</v>
      </c>
      <c r="J87" s="54">
        <f t="shared" si="50"/>
        <v>16.167496436499196</v>
      </c>
      <c r="K87" s="54">
        <f t="shared" si="50"/>
        <v>13.443317237625141</v>
      </c>
      <c r="L87" s="54">
        <f t="shared" si="50"/>
        <v>7.5735454914892442</v>
      </c>
      <c r="M87" s="54">
        <f t="shared" si="50"/>
        <v>36.034221279377007</v>
      </c>
      <c r="N87" s="54">
        <f t="shared" si="50"/>
        <v>31.586489510861679</v>
      </c>
      <c r="O87" s="54">
        <f t="shared" si="50"/>
        <v>11.813753130802718</v>
      </c>
      <c r="P87" s="54">
        <f t="shared" si="50"/>
        <v>5.7722158785286082</v>
      </c>
      <c r="Q87" s="54">
        <f t="shared" si="50"/>
        <v>20.002599120736001</v>
      </c>
      <c r="R87" s="54">
        <f t="shared" si="50"/>
        <v>4.7941894202815201</v>
      </c>
      <c r="S87" s="54">
        <f t="shared" si="50"/>
        <v>1.538559880375953</v>
      </c>
      <c r="T87" s="54">
        <f t="shared" si="50"/>
        <v>0.60396210684729201</v>
      </c>
      <c r="U87" s="54">
        <f t="shared" si="50"/>
        <v>1.5932393008796093</v>
      </c>
      <c r="V87" s="54">
        <f t="shared" si="50"/>
        <v>1.492719660815861</v>
      </c>
      <c r="W87" s="54">
        <f t="shared" si="50"/>
        <v>1.6696831927357709</v>
      </c>
      <c r="X87" s="54">
        <f t="shared" si="50"/>
        <v>1.759913188578724</v>
      </c>
      <c r="Y87" s="54">
        <f t="shared" si="50"/>
        <v>8.4140990387471231</v>
      </c>
      <c r="Z87" s="54">
        <f t="shared" si="50"/>
        <v>30.671376347149995</v>
      </c>
      <c r="AA87" s="54">
        <f t="shared" si="50"/>
        <v>24.427318603142336</v>
      </c>
      <c r="AB87" s="54">
        <f t="shared" si="50"/>
        <v>2.5702978457861794</v>
      </c>
      <c r="AC87" s="54">
        <f t="shared" si="50"/>
        <v>6.664192315378437</v>
      </c>
      <c r="AD87" s="54">
        <f t="shared" si="50"/>
        <v>43.750669659168835</v>
      </c>
      <c r="AE87" s="54">
        <f t="shared" si="50"/>
        <v>75.147085954472857</v>
      </c>
      <c r="AF87" s="54">
        <f t="shared" si="50"/>
        <v>126.87289231049152</v>
      </c>
      <c r="AG87" s="54">
        <f t="shared" si="50"/>
        <v>1590.5492889574491</v>
      </c>
      <c r="AH87" s="54" t="e">
        <f t="shared" si="50"/>
        <v>#DIV/0!</v>
      </c>
      <c r="AI87" s="54" t="e">
        <f t="shared" si="50"/>
        <v>#DIV/0!</v>
      </c>
      <c r="AJ87" s="54" t="e">
        <f t="shared" si="50"/>
        <v>#DIV/0!</v>
      </c>
      <c r="AK87" s="54">
        <f t="shared" si="50"/>
        <v>3.6657068954697474</v>
      </c>
      <c r="AL87" s="54">
        <f t="shared" si="50"/>
        <v>14.28060192418125</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748893.59</v>
      </c>
      <c r="AA89" s="76">
        <f>资产资本表!AA55</f>
        <v>748893.59</v>
      </c>
      <c r="AB89" s="76">
        <f>资产资本表!AB55</f>
        <v>1048893.5900000001</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590</v>
      </c>
      <c r="E92" s="76">
        <f>资产资本表!E58</f>
        <v>498179605.51999998</v>
      </c>
      <c r="F92" s="76">
        <f>资产资本表!F58</f>
        <v>498304523.54000002</v>
      </c>
      <c r="G92" s="76">
        <f>资产资本表!G58</f>
        <v>510307060.25</v>
      </c>
      <c r="H92" s="76">
        <f>资产资本表!H58</f>
        <v>526332049.97000003</v>
      </c>
      <c r="I92" s="76">
        <f>资产资本表!I58</f>
        <v>504640824.81</v>
      </c>
      <c r="J92" s="76">
        <f>资产资本表!J58</f>
        <v>464819810.25</v>
      </c>
      <c r="K92" s="76">
        <f>资产资本表!K58</f>
        <v>395055948.55000001</v>
      </c>
      <c r="L92" s="76">
        <f>资产资本表!L58</f>
        <v>416220360.94</v>
      </c>
      <c r="M92" s="76">
        <f>资产资本表!M58</f>
        <v>421352819.33999997</v>
      </c>
      <c r="N92" s="76">
        <f>资产资本表!N58</f>
        <v>394261089.12</v>
      </c>
      <c r="O92" s="76">
        <f>资产资本表!O58</f>
        <v>397767045.37</v>
      </c>
      <c r="P92" s="76">
        <f>资产资本表!P58</f>
        <v>230904952.02000001</v>
      </c>
      <c r="Q92" s="76">
        <f>资产资本表!Q58</f>
        <v>233873326.33000001</v>
      </c>
      <c r="R92" s="76">
        <f>资产资本表!R58</f>
        <v>228895105.97</v>
      </c>
      <c r="S92" s="76">
        <f>资产资本表!S58</f>
        <v>231361825.52000001</v>
      </c>
      <c r="T92" s="76">
        <f>资产资本表!T58</f>
        <v>232444684.24000001</v>
      </c>
      <c r="U92" s="76">
        <f>资产资本表!U58</f>
        <v>221600402.22</v>
      </c>
      <c r="V92" s="76">
        <f>资产资本表!V58</f>
        <v>210750636.46000001</v>
      </c>
      <c r="W92" s="76">
        <f>资产资本表!W58</f>
        <v>197096859.75</v>
      </c>
      <c r="X92" s="76">
        <f>资产资本表!X58</f>
        <v>198662783.12</v>
      </c>
      <c r="Y92" s="76">
        <f>资产资本表!Y58</f>
        <v>195425890.02000001</v>
      </c>
      <c r="Z92" s="76">
        <f>资产资本表!Z58</f>
        <v>197127503.31</v>
      </c>
      <c r="AA92" s="76">
        <f>资产资本表!AA58</f>
        <v>198793436.97</v>
      </c>
      <c r="AB92" s="76">
        <f>资产资本表!AB58</f>
        <v>200475051.06</v>
      </c>
      <c r="AC92" s="76">
        <f>资产资本表!AC58</f>
        <v>202181097.03999999</v>
      </c>
      <c r="AD92" s="76">
        <f>资产资本表!AD58</f>
        <v>70377725.430000007</v>
      </c>
      <c r="AE92" s="76">
        <f>资产资本表!AE58</f>
        <v>61475911.729999997</v>
      </c>
      <c r="AF92" s="76">
        <f>资产资本表!AF58</f>
        <v>62170375.659999996</v>
      </c>
      <c r="AG92" s="76">
        <f>资产资本表!AG58</f>
        <v>61619072.549999997</v>
      </c>
      <c r="AH92" s="76">
        <f>资产资本表!AH58</f>
        <v>18130246.079999998</v>
      </c>
      <c r="AI92" s="76">
        <f>资产资本表!AI58</f>
        <v>18460908.899999999</v>
      </c>
      <c r="AJ92" s="76">
        <f>资产资本表!AJ58</f>
        <v>19356691.870000001</v>
      </c>
      <c r="AK92" s="76">
        <f>资产资本表!AK58</f>
        <v>16603857.32</v>
      </c>
      <c r="AL92" s="76">
        <f>资产资本表!AL58</f>
        <v>17528892.399999999</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c r="A93" s="250" t="s">
        <v>689</v>
      </c>
      <c r="E93" s="154">
        <f>E81/E92</f>
        <v>23.664303769289315</v>
      </c>
      <c r="F93" s="154">
        <f t="shared" ref="F93:BQ93" si="52">F81/F92</f>
        <v>18.965573810652707</v>
      </c>
      <c r="G93" s="154">
        <f t="shared" si="52"/>
        <v>11.857087734090388</v>
      </c>
      <c r="H93" s="154">
        <f t="shared" si="52"/>
        <v>5.1302996903834925</v>
      </c>
      <c r="I93" s="154">
        <f t="shared" si="52"/>
        <v>18.295684643342479</v>
      </c>
      <c r="J93" s="154">
        <f t="shared" si="52"/>
        <v>15.397189792643955</v>
      </c>
      <c r="K93" s="154">
        <f t="shared" si="52"/>
        <v>11.388700134509088</v>
      </c>
      <c r="L93" s="154">
        <f t="shared" si="52"/>
        <v>4.8234037112360397</v>
      </c>
      <c r="M93" s="154">
        <f t="shared" si="52"/>
        <v>17.703397921495441</v>
      </c>
      <c r="N93" s="154">
        <f t="shared" si="52"/>
        <v>13.227065037662776</v>
      </c>
      <c r="O93" s="154">
        <f t="shared" si="52"/>
        <v>8.2991443494000787</v>
      </c>
      <c r="P93" s="154">
        <f t="shared" si="52"/>
        <v>6.4977139466460878</v>
      </c>
      <c r="Q93" s="154">
        <f t="shared" si="52"/>
        <v>22.26885747231934</v>
      </c>
      <c r="R93" s="154">
        <f t="shared" si="52"/>
        <v>15.957475989979113</v>
      </c>
      <c r="S93" s="154">
        <f t="shared" si="52"/>
        <v>10.478008627488288</v>
      </c>
      <c r="T93" s="154">
        <f t="shared" si="52"/>
        <v>5.2538400308568827</v>
      </c>
      <c r="U93" s="154">
        <f t="shared" si="52"/>
        <v>14.407473700839025</v>
      </c>
      <c r="V93" s="154">
        <f t="shared" si="52"/>
        <v>10.818136410196443</v>
      </c>
      <c r="W93" s="154">
        <f t="shared" si="52"/>
        <v>7.6606617759164992</v>
      </c>
      <c r="X93" s="154">
        <f t="shared" si="52"/>
        <v>3.3004807849890145</v>
      </c>
      <c r="Y93" s="154">
        <f t="shared" si="52"/>
        <v>11.434632088672116</v>
      </c>
      <c r="Z93" s="154">
        <f t="shared" si="52"/>
        <v>7.4028396237795384</v>
      </c>
      <c r="AA93" s="154">
        <f t="shared" si="52"/>
        <v>4.8373973217492185</v>
      </c>
      <c r="AB93" s="154">
        <f t="shared" si="52"/>
        <v>2.0327853255317683</v>
      </c>
      <c r="AC93" s="154">
        <f t="shared" si="52"/>
        <v>7.5477938384026491</v>
      </c>
      <c r="AD93" s="154">
        <f t="shared" si="52"/>
        <v>15.613352044077278</v>
      </c>
      <c r="AE93" s="154">
        <f t="shared" si="52"/>
        <v>10.530886362830037</v>
      </c>
      <c r="AF93" s="154">
        <f t="shared" si="52"/>
        <v>3.8223945052160238</v>
      </c>
      <c r="AG93" s="154">
        <f t="shared" si="52"/>
        <v>8.5071249012169705</v>
      </c>
      <c r="AH93" s="154">
        <f t="shared" si="52"/>
        <v>20.960561548539118</v>
      </c>
      <c r="AI93" s="154">
        <f t="shared" si="52"/>
        <v>12.104462310087021</v>
      </c>
      <c r="AJ93" s="154">
        <f t="shared" si="52"/>
        <v>4.6010674906713795</v>
      </c>
      <c r="AK93" s="154">
        <f t="shared" si="52"/>
        <v>21.946663706936743</v>
      </c>
      <c r="AL93" s="154">
        <f t="shared" si="52"/>
        <v>13.258471380085602</v>
      </c>
      <c r="AM93" s="154" t="e">
        <f t="shared" si="52"/>
        <v>#DIV/0!</v>
      </c>
      <c r="AN93" s="154" t="e">
        <f t="shared" si="52"/>
        <v>#DIV/0!</v>
      </c>
      <c r="AO93" s="154" t="e">
        <f t="shared" si="52"/>
        <v>#DIV/0!</v>
      </c>
      <c r="AP93" s="154" t="e">
        <f t="shared" si="52"/>
        <v>#DIV/0!</v>
      </c>
      <c r="AQ93" s="154" t="e">
        <f t="shared" si="52"/>
        <v>#DIV/0!</v>
      </c>
      <c r="AR93" s="154" t="e">
        <f t="shared" si="52"/>
        <v>#DIV/0!</v>
      </c>
      <c r="AS93" s="154" t="e">
        <f t="shared" si="52"/>
        <v>#DIV/0!</v>
      </c>
      <c r="AT93" s="154" t="e">
        <f t="shared" si="52"/>
        <v>#DIV/0!</v>
      </c>
      <c r="AU93" s="154" t="e">
        <f t="shared" si="52"/>
        <v>#DIV/0!</v>
      </c>
      <c r="AV93" s="154" t="e">
        <f t="shared" si="52"/>
        <v>#DIV/0!</v>
      </c>
      <c r="AW93" s="154" t="e">
        <f t="shared" si="52"/>
        <v>#DIV/0!</v>
      </c>
      <c r="AX93" s="154" t="e">
        <f t="shared" si="52"/>
        <v>#DIV/0!</v>
      </c>
      <c r="AY93" s="154" t="e">
        <f t="shared" si="52"/>
        <v>#DIV/0!</v>
      </c>
      <c r="AZ93" s="154" t="e">
        <f t="shared" si="52"/>
        <v>#DIV/0!</v>
      </c>
      <c r="BA93" s="154" t="e">
        <f t="shared" si="52"/>
        <v>#DIV/0!</v>
      </c>
      <c r="BB93" s="154" t="e">
        <f t="shared" si="52"/>
        <v>#DIV/0!</v>
      </c>
      <c r="BC93" s="154" t="e">
        <f t="shared" si="52"/>
        <v>#DIV/0!</v>
      </c>
      <c r="BD93" s="154" t="e">
        <f t="shared" si="52"/>
        <v>#DIV/0!</v>
      </c>
      <c r="BE93" s="154" t="e">
        <f t="shared" si="52"/>
        <v>#DIV/0!</v>
      </c>
      <c r="BF93" s="154" t="e">
        <f t="shared" si="52"/>
        <v>#DIV/0!</v>
      </c>
      <c r="BG93" s="154" t="e">
        <f t="shared" si="52"/>
        <v>#DIV/0!</v>
      </c>
      <c r="BH93" s="154" t="e">
        <f t="shared" si="52"/>
        <v>#DIV/0!</v>
      </c>
      <c r="BI93" s="154" t="e">
        <f t="shared" si="52"/>
        <v>#DIV/0!</v>
      </c>
      <c r="BJ93" s="154" t="e">
        <f t="shared" si="52"/>
        <v>#DIV/0!</v>
      </c>
      <c r="BK93" s="154" t="e">
        <f t="shared" si="52"/>
        <v>#DIV/0!</v>
      </c>
      <c r="BL93" s="154" t="e">
        <f t="shared" si="52"/>
        <v>#DIV/0!</v>
      </c>
      <c r="BM93" s="154" t="e">
        <f t="shared" si="52"/>
        <v>#DIV/0!</v>
      </c>
      <c r="BN93" s="154" t="e">
        <f t="shared" si="52"/>
        <v>#DIV/0!</v>
      </c>
      <c r="BO93" s="154" t="e">
        <f t="shared" si="52"/>
        <v>#DIV/0!</v>
      </c>
      <c r="BP93" s="154" t="e">
        <f t="shared" si="52"/>
        <v>#DIV/0!</v>
      </c>
      <c r="BQ93" s="154" t="e">
        <f t="shared" si="52"/>
        <v>#DIV/0!</v>
      </c>
      <c r="BR93" s="154" t="e">
        <f t="shared" ref="BR93:CK93" si="53">BR81/BR92</f>
        <v>#DIV/0!</v>
      </c>
      <c r="BS93" s="154" t="e">
        <f t="shared" si="53"/>
        <v>#DIV/0!</v>
      </c>
      <c r="BT93" s="154" t="e">
        <f t="shared" si="53"/>
        <v>#DIV/0!</v>
      </c>
      <c r="BU93" s="154" t="e">
        <f t="shared" si="53"/>
        <v>#DIV/0!</v>
      </c>
      <c r="BV93" s="154" t="e">
        <f t="shared" si="53"/>
        <v>#DIV/0!</v>
      </c>
      <c r="BW93" s="154" t="e">
        <f t="shared" si="53"/>
        <v>#DIV/0!</v>
      </c>
      <c r="BX93" s="154" t="e">
        <f t="shared" si="53"/>
        <v>#DIV/0!</v>
      </c>
      <c r="BY93" s="154" t="e">
        <f t="shared" si="53"/>
        <v>#DIV/0!</v>
      </c>
      <c r="BZ93" s="154" t="e">
        <f t="shared" si="53"/>
        <v>#DIV/0!</v>
      </c>
      <c r="CA93" s="154" t="e">
        <f t="shared" si="53"/>
        <v>#DIV/0!</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c r="A94" s="70" t="s">
        <v>591</v>
      </c>
      <c r="E94" s="76">
        <f>资产资本表!E59</f>
        <v>45588986.810000002</v>
      </c>
      <c r="F94" s="76">
        <f>资产资本表!F59</f>
        <v>0</v>
      </c>
      <c r="G94" s="76">
        <f>资产资本表!G59</f>
        <v>27655701.559999999</v>
      </c>
      <c r="H94" s="76">
        <f>资产资本表!H59</f>
        <v>15171318.710000001</v>
      </c>
      <c r="I94" s="76">
        <f>资产资本表!I59</f>
        <v>4489532.45</v>
      </c>
      <c r="J94" s="76">
        <f>资产资本表!J59</f>
        <v>37381822.93</v>
      </c>
      <c r="K94" s="76">
        <f>资产资本表!K59</f>
        <v>0</v>
      </c>
      <c r="L94" s="76">
        <f>资产资本表!L59</f>
        <v>0</v>
      </c>
      <c r="M94" s="76">
        <f>资产资本表!M59</f>
        <v>0</v>
      </c>
      <c r="N94" s="76">
        <f>资产资本表!N59</f>
        <v>30810999.940000001</v>
      </c>
      <c r="O94" s="76">
        <f>资产资本表!O59</f>
        <v>27768806.73</v>
      </c>
      <c r="P94" s="76">
        <f>资产资本表!P59</f>
        <v>22898575.890000001</v>
      </c>
      <c r="Q94" s="76">
        <f>资产资本表!Q59</f>
        <v>19839837.280000001</v>
      </c>
      <c r="R94" s="76">
        <f>资产资本表!R59</f>
        <v>17967403.530000001</v>
      </c>
      <c r="S94" s="76">
        <f>资产资本表!S59</f>
        <v>17240078.640000001</v>
      </c>
      <c r="T94" s="76">
        <f>资产资本表!T59</f>
        <v>10771419.460000001</v>
      </c>
      <c r="U94" s="76">
        <f>资产资本表!U59</f>
        <v>15293634.380000001</v>
      </c>
      <c r="V94" s="76">
        <f>资产资本表!V59</f>
        <v>10670833.92</v>
      </c>
      <c r="W94" s="76">
        <f>资产资本表!W59</f>
        <v>11049185.08</v>
      </c>
      <c r="X94" s="76">
        <f>资产资本表!X59</f>
        <v>9953445.1099999994</v>
      </c>
      <c r="Y94" s="76">
        <f>资产资本表!Y59</f>
        <v>8085204.3399999999</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122635</v>
      </c>
      <c r="AI94" s="76">
        <f>资产资本表!AI59</f>
        <v>17650</v>
      </c>
      <c r="AJ94" s="76">
        <f>资产资本表!AJ59</f>
        <v>0</v>
      </c>
      <c r="AK94" s="76">
        <f>资产资本表!AK59</f>
        <v>3868494.09</v>
      </c>
      <c r="AL94" s="76">
        <f>资产资本表!AL59</f>
        <v>1855130.99</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592</v>
      </c>
      <c r="E95" s="76">
        <f>资产资本表!E60</f>
        <v>46883206.530000001</v>
      </c>
      <c r="F95" s="76">
        <f>资产资本表!F60</f>
        <v>59160468.420000002</v>
      </c>
      <c r="G95" s="76">
        <f>资产资本表!G60</f>
        <v>59160468.420000002</v>
      </c>
      <c r="H95" s="76">
        <f>资产资本表!H60</f>
        <v>59160468.420000002</v>
      </c>
      <c r="I95" s="76">
        <f>资产资本表!I60</f>
        <v>59160468.420000002</v>
      </c>
      <c r="J95" s="76">
        <f>资产资本表!J60</f>
        <v>57714591.829999998</v>
      </c>
      <c r="K95" s="76">
        <f>资产资本表!K60</f>
        <v>52585542.289999999</v>
      </c>
      <c r="L95" s="76">
        <f>资产资本表!L60</f>
        <v>7032629.0999999996</v>
      </c>
      <c r="M95" s="76">
        <f>资产资本表!M60</f>
        <v>7032629.0999999996</v>
      </c>
      <c r="N95" s="76">
        <f>资产资本表!N60</f>
        <v>7032629.0999999996</v>
      </c>
      <c r="O95" s="76">
        <f>资产资本表!O60</f>
        <v>7032629.0999999996</v>
      </c>
      <c r="P95" s="76">
        <f>资产资本表!P60</f>
        <v>7032629.0999999996</v>
      </c>
      <c r="Q95" s="76">
        <f>资产资本表!Q60</f>
        <v>7032629.0999999996</v>
      </c>
      <c r="R95" s="76">
        <f>资产资本表!R60</f>
        <v>7032629.0999999996</v>
      </c>
      <c r="S95" s="76">
        <f>资产资本表!S60</f>
        <v>7032629.0999999996</v>
      </c>
      <c r="T95" s="76">
        <f>资产资本表!T60</f>
        <v>7032629.0999999996</v>
      </c>
      <c r="U95" s="76">
        <f>资产资本表!U60</f>
        <v>7032629.0999999996</v>
      </c>
      <c r="V95" s="76">
        <f>资产资本表!V60</f>
        <v>1705272.48</v>
      </c>
      <c r="W95" s="76">
        <f>资产资本表!W60</f>
        <v>1705272.48</v>
      </c>
      <c r="X95" s="76">
        <f>资产资本表!X60</f>
        <v>1705272.48</v>
      </c>
      <c r="Y95" s="76">
        <f>资产资本表!Y60</f>
        <v>1705272.48</v>
      </c>
      <c r="Z95" s="76">
        <f>资产资本表!Z60</f>
        <v>1705272.48</v>
      </c>
      <c r="AA95" s="76">
        <f>资产资本表!AA60</f>
        <v>1705272.48</v>
      </c>
      <c r="AB95" s="76">
        <f>资产资本表!AB60</f>
        <v>1705272.48</v>
      </c>
      <c r="AC95" s="76">
        <f>资产资本表!AC60</f>
        <v>1705272.48</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593</v>
      </c>
      <c r="E96" s="76">
        <f>资产资本表!E61</f>
        <v>51785379.229999997</v>
      </c>
      <c r="F96" s="76">
        <f>资产资本表!F61</f>
        <v>55573058.630000003</v>
      </c>
      <c r="G96" s="76">
        <f>资产资本表!G61</f>
        <v>59318265.210000001</v>
      </c>
      <c r="H96" s="76">
        <f>资产资本表!H61</f>
        <v>3584800.47</v>
      </c>
      <c r="I96" s="76">
        <f>资产资本表!I61</f>
        <v>2170420.0699999998</v>
      </c>
      <c r="J96" s="76">
        <f>资产资本表!J61</f>
        <v>1726262.77</v>
      </c>
      <c r="K96" s="76">
        <f>资产资本表!K61</f>
        <v>1907945.11</v>
      </c>
      <c r="L96" s="76">
        <f>资产资本表!L61</f>
        <v>1121708.8799999999</v>
      </c>
      <c r="M96" s="76">
        <f>资产资本表!M61</f>
        <v>975279.67</v>
      </c>
      <c r="N96" s="76">
        <f>资产资本表!N61</f>
        <v>455683.45</v>
      </c>
      <c r="O96" s="76">
        <f>资产资本表!O61</f>
        <v>476087.23</v>
      </c>
      <c r="P96" s="76">
        <f>资产资本表!P61</f>
        <v>496491.01</v>
      </c>
      <c r="Q96" s="76">
        <f>资产资本表!Q61</f>
        <v>516894.79</v>
      </c>
      <c r="R96" s="76">
        <f>资产资本表!R61</f>
        <v>7026631.9100000001</v>
      </c>
      <c r="S96" s="76">
        <f>资产资本表!S61</f>
        <v>5044500</v>
      </c>
      <c r="T96" s="76">
        <f>资产资本表!T61</f>
        <v>0</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594</v>
      </c>
      <c r="E97" s="76">
        <f>资产资本表!E62</f>
        <v>60682725.960000001</v>
      </c>
      <c r="F97" s="76">
        <f>资产资本表!F62</f>
        <v>30421641.16</v>
      </c>
      <c r="G97" s="76">
        <f>资产资本表!G62</f>
        <v>30402173.059999999</v>
      </c>
      <c r="H97" s="76">
        <f>资产资本表!H62</f>
        <v>28817646.210000001</v>
      </c>
      <c r="I97" s="76">
        <f>资产资本表!I62</f>
        <v>42904820.689999998</v>
      </c>
      <c r="J97" s="76">
        <f>资产资本表!J62</f>
        <v>41226369.75</v>
      </c>
      <c r="K97" s="76">
        <f>资产资本表!K62</f>
        <v>29502892.52</v>
      </c>
      <c r="L97" s="76">
        <f>资产资本表!L62</f>
        <v>24399222.23</v>
      </c>
      <c r="M97" s="76">
        <f>资产资本表!M62</f>
        <v>24356429.260000002</v>
      </c>
      <c r="N97" s="76">
        <f>资产资本表!N62</f>
        <v>25614473.960000001</v>
      </c>
      <c r="O97" s="76">
        <f>资产资本表!O62</f>
        <v>18340245.539999999</v>
      </c>
      <c r="P97" s="76">
        <f>资产资本表!P62</f>
        <v>20182221.77</v>
      </c>
      <c r="Q97" s="76">
        <f>资产资本表!Q62</f>
        <v>17864021.57</v>
      </c>
      <c r="R97" s="76">
        <f>资产资本表!R62</f>
        <v>13874770.26</v>
      </c>
      <c r="S97" s="76">
        <f>资产资本表!S62</f>
        <v>10811595.789999999</v>
      </c>
      <c r="T97" s="76">
        <f>资产资本表!T62</f>
        <v>5226587.42</v>
      </c>
      <c r="U97" s="76">
        <f>资产资本表!U62</f>
        <v>7325722.5099999998</v>
      </c>
      <c r="V97" s="76">
        <f>资产资本表!V62</f>
        <v>23688843.289999999</v>
      </c>
      <c r="W97" s="76">
        <f>资产资本表!W62</f>
        <v>3688599.83</v>
      </c>
      <c r="X97" s="76">
        <f>资产资本表!X62</f>
        <v>3084316.5</v>
      </c>
      <c r="Y97" s="76">
        <f>资产资本表!Y62</f>
        <v>4171676.7</v>
      </c>
      <c r="Z97" s="76">
        <f>资产资本表!Z62</f>
        <v>4110935.54</v>
      </c>
      <c r="AA97" s="76">
        <f>资产资本表!AA62</f>
        <v>3836646.64</v>
      </c>
      <c r="AB97" s="76">
        <f>资产资本表!AB62</f>
        <v>2608592.6</v>
      </c>
      <c r="AC97" s="76">
        <f>资产资本表!AC62</f>
        <v>2173137.8199999998</v>
      </c>
      <c r="AD97" s="76">
        <f>资产资本表!AD62</f>
        <v>1929085.55</v>
      </c>
      <c r="AE97" s="76">
        <f>资产资本表!AE62</f>
        <v>1399823.67</v>
      </c>
      <c r="AF97" s="76">
        <f>资产资本表!AF62</f>
        <v>1238462.02</v>
      </c>
      <c r="AG97" s="76">
        <f>资产资本表!AG62</f>
        <v>1003877.23</v>
      </c>
      <c r="AH97" s="76">
        <f>资产资本表!AH62</f>
        <v>937914.45</v>
      </c>
      <c r="AI97" s="76">
        <f>资产资本表!AI62</f>
        <v>842382.11</v>
      </c>
      <c r="AJ97" s="76">
        <f>资产资本表!AJ62</f>
        <v>688489.81</v>
      </c>
      <c r="AK97" s="76">
        <f>资产资本表!AK62</f>
        <v>557275.94999999995</v>
      </c>
      <c r="AL97" s="76">
        <f>资产资本表!AL62</f>
        <v>258118.05</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595</v>
      </c>
      <c r="E98" s="76">
        <f>资产资本表!E63</f>
        <v>10083818.59</v>
      </c>
      <c r="F98" s="76">
        <f>资产资本表!F63</f>
        <v>4411047.5599999996</v>
      </c>
      <c r="G98" s="76">
        <f>资产资本表!G63</f>
        <v>4711246.55</v>
      </c>
      <c r="H98" s="76">
        <f>资产资本表!H63</f>
        <v>5011445.54</v>
      </c>
      <c r="I98" s="76">
        <f>资产资本表!I63</f>
        <v>5311644.53</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207800.46</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234238.19</v>
      </c>
      <c r="AC98" s="76">
        <f>资产资本表!AC63</f>
        <v>207800.46</v>
      </c>
      <c r="AD98" s="76">
        <f>资产资本表!AD63</f>
        <v>181166.16</v>
      </c>
      <c r="AE98" s="76">
        <f>资产资本表!AE63</f>
        <v>154693.15</v>
      </c>
      <c r="AF98" s="76">
        <f>资产资本表!AF63</f>
        <v>128229.86</v>
      </c>
      <c r="AG98" s="76">
        <f>资产资本表!AG63</f>
        <v>102366.49</v>
      </c>
      <c r="AH98" s="76">
        <f>资产资本表!AH63</f>
        <v>77783.09</v>
      </c>
      <c r="AI98" s="76">
        <f>资产资本表!AI63</f>
        <v>61337.13</v>
      </c>
      <c r="AJ98" s="76">
        <f>资产资本表!AJ63</f>
        <v>18765.64</v>
      </c>
      <c r="AK98" s="76">
        <f>资产资本表!AK63</f>
        <v>1389.31</v>
      </c>
      <c r="AL98" s="76">
        <f>资产资本表!AL63</f>
        <v>919.89</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596</v>
      </c>
      <c r="E99" s="93">
        <f>资产资本表!E64</f>
        <v>135284163.59999999</v>
      </c>
      <c r="F99" s="93">
        <f>资产资本表!F64</f>
        <v>183513463.25</v>
      </c>
      <c r="G99" s="93">
        <f>资产资本表!G64</f>
        <v>194131033.38999999</v>
      </c>
      <c r="H99" s="93">
        <f>资产资本表!H64</f>
        <v>177466333.62</v>
      </c>
      <c r="I99" s="93">
        <f>资产资本表!I64</f>
        <v>135726012.52000001</v>
      </c>
      <c r="J99" s="93">
        <f>资产资本表!J64</f>
        <v>156664738.44</v>
      </c>
      <c r="K99" s="93">
        <f>资产资本表!K64</f>
        <v>187643840.62</v>
      </c>
      <c r="L99" s="93">
        <f>资产资本表!L64</f>
        <v>181529127.86000001</v>
      </c>
      <c r="M99" s="93">
        <f>资产资本表!M64</f>
        <v>78242131.640000001</v>
      </c>
      <c r="N99" s="93">
        <f>资产资本表!N64</f>
        <v>142290782.78999999</v>
      </c>
      <c r="O99" s="93">
        <f>资产资本表!O64</f>
        <v>109024163.12</v>
      </c>
      <c r="P99" s="93">
        <f>资产资本表!P64</f>
        <v>126737932.11</v>
      </c>
      <c r="Q99" s="93">
        <f>资产资本表!Q64</f>
        <v>79462928.859999999</v>
      </c>
      <c r="R99" s="93">
        <f>资产资本表!R64</f>
        <v>326739202.80000001</v>
      </c>
      <c r="S99" s="93">
        <f>资产资本表!S64</f>
        <v>716848486.74000001</v>
      </c>
      <c r="T99" s="93">
        <f>资产资本表!T64</f>
        <v>319172601.47000003</v>
      </c>
      <c r="U99" s="93">
        <f>资产资本表!U64</f>
        <v>247043487.75</v>
      </c>
      <c r="V99" s="93">
        <f>资产资本表!V64</f>
        <v>848163418.53999996</v>
      </c>
      <c r="W99" s="93">
        <f>资产资本表!W64</f>
        <v>929600464.76999998</v>
      </c>
      <c r="X99" s="93">
        <f>资产资本表!X64</f>
        <v>314887280.35000002</v>
      </c>
      <c r="Y99" s="93">
        <f>资产资本表!Y64</f>
        <v>379267882.01999998</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c r="A100" s="88" t="s">
        <v>686</v>
      </c>
      <c r="E100" s="196">
        <f>(E84+I84)/2</f>
        <v>3313957642.73</v>
      </c>
      <c r="F100" s="196">
        <f t="shared" ref="F100:BQ100" si="54">(F84+J84)/2</f>
        <v>3117421984.395</v>
      </c>
      <c r="G100" s="196">
        <f t="shared" si="54"/>
        <v>3118825709.9949999</v>
      </c>
      <c r="H100" s="196">
        <f t="shared" si="54"/>
        <v>3251603736.5650001</v>
      </c>
      <c r="I100" s="196">
        <f t="shared" si="54"/>
        <v>3273957283.8649998</v>
      </c>
      <c r="J100" s="196">
        <f t="shared" si="54"/>
        <v>3261262590.4849997</v>
      </c>
      <c r="K100" s="196">
        <f t="shared" si="54"/>
        <v>3230718351.7950001</v>
      </c>
      <c r="L100" s="196">
        <f t="shared" si="54"/>
        <v>3400857296.395</v>
      </c>
      <c r="M100" s="196">
        <f t="shared" si="54"/>
        <v>3432769480.5450001</v>
      </c>
      <c r="N100" s="196">
        <f t="shared" si="54"/>
        <v>3263046687.5900002</v>
      </c>
      <c r="O100" s="196">
        <f t="shared" si="54"/>
        <v>2737048065.3449998</v>
      </c>
      <c r="P100" s="196">
        <f t="shared" si="54"/>
        <v>2440648666.6399999</v>
      </c>
      <c r="Q100" s="196">
        <f t="shared" si="54"/>
        <v>2448079976.105</v>
      </c>
      <c r="R100" s="196">
        <f t="shared" si="54"/>
        <v>1977887045.3199999</v>
      </c>
      <c r="S100" s="196">
        <f t="shared" si="54"/>
        <v>1462628363.9949999</v>
      </c>
      <c r="T100" s="196">
        <f t="shared" si="54"/>
        <v>1154391448.26</v>
      </c>
      <c r="U100" s="196">
        <f t="shared" si="54"/>
        <v>1147901278.03</v>
      </c>
      <c r="V100" s="196">
        <f t="shared" si="54"/>
        <v>795071056.83999991</v>
      </c>
      <c r="W100" s="196">
        <f t="shared" si="54"/>
        <v>749703329.45000005</v>
      </c>
      <c r="X100" s="196">
        <f t="shared" si="54"/>
        <v>665358137.17000008</v>
      </c>
      <c r="Y100" s="196">
        <f t="shared" si="54"/>
        <v>548190740.16499996</v>
      </c>
      <c r="Z100" s="196">
        <f t="shared" si="54"/>
        <v>489883051.23500001</v>
      </c>
      <c r="AA100" s="196">
        <f t="shared" si="54"/>
        <v>477181268.80500001</v>
      </c>
      <c r="AB100" s="196">
        <f t="shared" si="54"/>
        <v>395228702.21000004</v>
      </c>
      <c r="AC100" s="196">
        <f t="shared" si="54"/>
        <v>272265758.27499998</v>
      </c>
      <c r="AD100" s="196">
        <f t="shared" si="54"/>
        <v>258344449.59</v>
      </c>
      <c r="AE100" s="196">
        <f t="shared" si="54"/>
        <v>254904308.065</v>
      </c>
      <c r="AF100" s="196">
        <f t="shared" si="54"/>
        <v>255792422.82499999</v>
      </c>
      <c r="AG100" s="196">
        <f t="shared" si="54"/>
        <v>174101793.25999999</v>
      </c>
      <c r="AH100" s="196">
        <f t="shared" si="54"/>
        <v>172407039.31</v>
      </c>
      <c r="AI100" s="196">
        <f t="shared" si="54"/>
        <v>122688884.145</v>
      </c>
      <c r="AJ100" s="196">
        <f t="shared" si="54"/>
        <v>122775925.16500001</v>
      </c>
      <c r="AK100" s="196">
        <f t="shared" si="54"/>
        <v>48470963.380000003</v>
      </c>
      <c r="AL100" s="196">
        <f t="shared" si="54"/>
        <v>46598896.625</v>
      </c>
      <c r="AM100" s="196">
        <f t="shared" si="54"/>
        <v>0</v>
      </c>
      <c r="AN100" s="196">
        <f t="shared" si="54"/>
        <v>0</v>
      </c>
      <c r="AO100" s="196">
        <f t="shared" si="54"/>
        <v>0</v>
      </c>
      <c r="AP100" s="196">
        <f t="shared" si="54"/>
        <v>0</v>
      </c>
      <c r="AQ100" s="196">
        <f t="shared" si="54"/>
        <v>0</v>
      </c>
      <c r="AR100" s="196">
        <f t="shared" si="54"/>
        <v>0</v>
      </c>
      <c r="AS100" s="196">
        <f t="shared" si="54"/>
        <v>0</v>
      </c>
      <c r="AT100" s="196">
        <f t="shared" si="54"/>
        <v>0</v>
      </c>
      <c r="AU100" s="196">
        <f t="shared" si="54"/>
        <v>0</v>
      </c>
      <c r="AV100" s="196">
        <f t="shared" si="54"/>
        <v>0</v>
      </c>
      <c r="AW100" s="196">
        <f t="shared" si="54"/>
        <v>0</v>
      </c>
      <c r="AX100" s="196">
        <f t="shared" si="54"/>
        <v>0</v>
      </c>
      <c r="AY100" s="196">
        <f t="shared" si="54"/>
        <v>0</v>
      </c>
      <c r="AZ100" s="196">
        <f t="shared" si="54"/>
        <v>0</v>
      </c>
      <c r="BA100" s="196">
        <f t="shared" si="54"/>
        <v>0</v>
      </c>
      <c r="BB100" s="196">
        <f t="shared" si="54"/>
        <v>0</v>
      </c>
      <c r="BC100" s="196">
        <f t="shared" si="54"/>
        <v>0</v>
      </c>
      <c r="BD100" s="196">
        <f t="shared" si="54"/>
        <v>0</v>
      </c>
      <c r="BE100" s="196">
        <f t="shared" si="54"/>
        <v>0</v>
      </c>
      <c r="BF100" s="196">
        <f t="shared" si="54"/>
        <v>0</v>
      </c>
      <c r="BG100" s="196">
        <f t="shared" si="54"/>
        <v>0</v>
      </c>
      <c r="BH100" s="196">
        <f t="shared" si="54"/>
        <v>0</v>
      </c>
      <c r="BI100" s="196">
        <f t="shared" si="54"/>
        <v>0</v>
      </c>
      <c r="BJ100" s="196">
        <f t="shared" si="54"/>
        <v>0</v>
      </c>
      <c r="BK100" s="196">
        <f t="shared" si="54"/>
        <v>0</v>
      </c>
      <c r="BL100" s="196">
        <f t="shared" si="54"/>
        <v>0</v>
      </c>
      <c r="BM100" s="196">
        <f t="shared" si="54"/>
        <v>0</v>
      </c>
      <c r="BN100" s="196">
        <f t="shared" si="54"/>
        <v>0</v>
      </c>
      <c r="BO100" s="196">
        <f t="shared" si="54"/>
        <v>0</v>
      </c>
      <c r="BP100" s="196">
        <f t="shared" si="54"/>
        <v>0</v>
      </c>
      <c r="BQ100" s="196">
        <f t="shared" si="54"/>
        <v>0</v>
      </c>
      <c r="BR100" s="196">
        <f t="shared" ref="BR100:CK100" si="55">(BR84+BV84)/2</f>
        <v>0</v>
      </c>
      <c r="BS100" s="196">
        <f t="shared" si="55"/>
        <v>0</v>
      </c>
      <c r="BT100" s="196">
        <f t="shared" si="55"/>
        <v>0</v>
      </c>
      <c r="BU100" s="196">
        <f t="shared" si="55"/>
        <v>0</v>
      </c>
      <c r="BV100" s="196">
        <f t="shared" si="55"/>
        <v>0</v>
      </c>
      <c r="BW100" s="196">
        <f t="shared" si="55"/>
        <v>0</v>
      </c>
      <c r="BX100" s="196">
        <f t="shared" si="55"/>
        <v>0</v>
      </c>
      <c r="BY100" s="196">
        <f t="shared" si="55"/>
        <v>0</v>
      </c>
      <c r="BZ100" s="196">
        <f t="shared" si="55"/>
        <v>0</v>
      </c>
      <c r="CA100" s="196">
        <f t="shared" si="55"/>
        <v>0</v>
      </c>
      <c r="CB100" s="196">
        <f t="shared" si="55"/>
        <v>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4.25" thickBot="1">
      <c r="A101" s="252" t="s">
        <v>687</v>
      </c>
      <c r="E101" s="251">
        <f>E100/E84</f>
        <v>0.9355989650257206</v>
      </c>
      <c r="F101" s="251">
        <f t="shared" ref="F101:BQ101" si="56">F100/F84</f>
        <v>0.98712362361086026</v>
      </c>
      <c r="G101" s="251">
        <f t="shared" si="56"/>
        <v>0.99499019540320566</v>
      </c>
      <c r="H101" s="251">
        <f t="shared" si="56"/>
        <v>1.055612959678438</v>
      </c>
      <c r="I101" s="251">
        <f t="shared" si="56"/>
        <v>1.0609598603668917</v>
      </c>
      <c r="J101" s="251">
        <f t="shared" si="56"/>
        <v>1.0599674601534119</v>
      </c>
      <c r="K101" s="251">
        <f t="shared" si="56"/>
        <v>1.0411185916613965</v>
      </c>
      <c r="L101" s="251">
        <f t="shared" si="56"/>
        <v>0.99355781910536944</v>
      </c>
      <c r="M101" s="251">
        <f t="shared" si="56"/>
        <v>0.99153672185976938</v>
      </c>
      <c r="N101" s="251">
        <f t="shared" si="56"/>
        <v>0.94697227823642594</v>
      </c>
      <c r="O101" s="251">
        <f t="shared" si="56"/>
        <v>0.8150065069261333</v>
      </c>
      <c r="P101" s="251">
        <f t="shared" si="56"/>
        <v>0.72234050978161102</v>
      </c>
      <c r="Q101" s="251">
        <f t="shared" si="56"/>
        <v>0.71928963123865297</v>
      </c>
      <c r="R101" s="251">
        <f t="shared" si="56"/>
        <v>0.64210326713703159</v>
      </c>
      <c r="S101" s="251">
        <f t="shared" si="56"/>
        <v>0.69129453350759373</v>
      </c>
      <c r="T101" s="251">
        <f t="shared" si="56"/>
        <v>0.76831836212463278</v>
      </c>
      <c r="U101" s="251">
        <f t="shared" si="56"/>
        <v>0.76901470560424923</v>
      </c>
      <c r="V101" s="251">
        <f t="shared" si="56"/>
        <v>0.90818699592090424</v>
      </c>
      <c r="W101" s="251">
        <f t="shared" si="56"/>
        <v>0.92615999016715644</v>
      </c>
      <c r="X101" s="251">
        <f t="shared" si="56"/>
        <v>0.82520755306386506</v>
      </c>
      <c r="Y101" s="251">
        <f t="shared" si="56"/>
        <v>0.68258349661116147</v>
      </c>
      <c r="Z101" s="251">
        <f t="shared" si="56"/>
        <v>0.68544496208227146</v>
      </c>
      <c r="AA101" s="251">
        <f t="shared" si="56"/>
        <v>0.69163552838698594</v>
      </c>
      <c r="AB101" s="251">
        <f t="shared" si="56"/>
        <v>0.75364284223207412</v>
      </c>
      <c r="AC101" s="251">
        <f t="shared" si="56"/>
        <v>0.9283796202415705</v>
      </c>
      <c r="AD101" s="251">
        <f t="shared" si="56"/>
        <v>0.97461765618374052</v>
      </c>
      <c r="AE101" s="251">
        <f t="shared" si="56"/>
        <v>0.9639734174253215</v>
      </c>
      <c r="AF101" s="251">
        <f t="shared" si="56"/>
        <v>0.96150638200843452</v>
      </c>
      <c r="AG101" s="251">
        <f t="shared" si="56"/>
        <v>0.69291030484435412</v>
      </c>
      <c r="AH101" s="251">
        <f t="shared" si="56"/>
        <v>0.68519825358870012</v>
      </c>
      <c r="AI101" s="251">
        <f t="shared" si="56"/>
        <v>0.5</v>
      </c>
      <c r="AJ101" s="251">
        <f t="shared" si="56"/>
        <v>0.5</v>
      </c>
      <c r="AK101" s="251">
        <f t="shared" si="56"/>
        <v>0.5</v>
      </c>
      <c r="AL101" s="251">
        <f t="shared" si="56"/>
        <v>0.5</v>
      </c>
      <c r="AM101" s="251" t="e">
        <f t="shared" si="56"/>
        <v>#DIV/0!</v>
      </c>
      <c r="AN101" s="251" t="e">
        <f t="shared" si="56"/>
        <v>#DIV/0!</v>
      </c>
      <c r="AO101" s="251" t="e">
        <f t="shared" si="56"/>
        <v>#DIV/0!</v>
      </c>
      <c r="AP101" s="251" t="e">
        <f t="shared" si="56"/>
        <v>#DIV/0!</v>
      </c>
      <c r="AQ101" s="251" t="e">
        <f t="shared" si="56"/>
        <v>#DIV/0!</v>
      </c>
      <c r="AR101" s="251" t="e">
        <f t="shared" si="56"/>
        <v>#DIV/0!</v>
      </c>
      <c r="AS101" s="251" t="e">
        <f t="shared" si="56"/>
        <v>#DIV/0!</v>
      </c>
      <c r="AT101" s="251" t="e">
        <f t="shared" si="56"/>
        <v>#DIV/0!</v>
      </c>
      <c r="AU101" s="251" t="e">
        <f t="shared" si="56"/>
        <v>#DIV/0!</v>
      </c>
      <c r="AV101" s="251" t="e">
        <f t="shared" si="56"/>
        <v>#DIV/0!</v>
      </c>
      <c r="AW101" s="251" t="e">
        <f t="shared" si="56"/>
        <v>#DIV/0!</v>
      </c>
      <c r="AX101" s="251" t="e">
        <f t="shared" si="56"/>
        <v>#DIV/0!</v>
      </c>
      <c r="AY101" s="251" t="e">
        <f t="shared" si="56"/>
        <v>#DIV/0!</v>
      </c>
      <c r="AZ101" s="251" t="e">
        <f t="shared" si="56"/>
        <v>#DIV/0!</v>
      </c>
      <c r="BA101" s="251" t="e">
        <f t="shared" si="56"/>
        <v>#DIV/0!</v>
      </c>
      <c r="BB101" s="251" t="e">
        <f t="shared" si="56"/>
        <v>#DIV/0!</v>
      </c>
      <c r="BC101" s="251" t="e">
        <f t="shared" si="56"/>
        <v>#DIV/0!</v>
      </c>
      <c r="BD101" s="251" t="e">
        <f t="shared" si="56"/>
        <v>#DIV/0!</v>
      </c>
      <c r="BE101" s="251" t="e">
        <f t="shared" si="56"/>
        <v>#DIV/0!</v>
      </c>
      <c r="BF101" s="251" t="e">
        <f t="shared" si="56"/>
        <v>#DIV/0!</v>
      </c>
      <c r="BG101" s="251" t="e">
        <f t="shared" si="56"/>
        <v>#DIV/0!</v>
      </c>
      <c r="BH101" s="251" t="e">
        <f t="shared" si="56"/>
        <v>#DIV/0!</v>
      </c>
      <c r="BI101" s="251" t="e">
        <f t="shared" si="56"/>
        <v>#DIV/0!</v>
      </c>
      <c r="BJ101" s="251" t="e">
        <f t="shared" si="56"/>
        <v>#DIV/0!</v>
      </c>
      <c r="BK101" s="251" t="e">
        <f t="shared" si="56"/>
        <v>#DIV/0!</v>
      </c>
      <c r="BL101" s="251" t="e">
        <f t="shared" si="56"/>
        <v>#DIV/0!</v>
      </c>
      <c r="BM101" s="251" t="e">
        <f t="shared" si="56"/>
        <v>#DIV/0!</v>
      </c>
      <c r="BN101" s="251" t="e">
        <f t="shared" si="56"/>
        <v>#DIV/0!</v>
      </c>
      <c r="BO101" s="251" t="e">
        <f t="shared" si="56"/>
        <v>#DIV/0!</v>
      </c>
      <c r="BP101" s="251" t="e">
        <f t="shared" si="56"/>
        <v>#DIV/0!</v>
      </c>
      <c r="BQ101" s="251" t="e">
        <f t="shared" si="56"/>
        <v>#DIV/0!</v>
      </c>
      <c r="BR101" s="251" t="e">
        <f t="shared" ref="BR101:CK101" si="57">BR100/BR84</f>
        <v>#DIV/0!</v>
      </c>
      <c r="BS101" s="251" t="e">
        <f t="shared" si="57"/>
        <v>#DIV/0!</v>
      </c>
      <c r="BT101" s="251" t="e">
        <f t="shared" si="57"/>
        <v>#DIV/0!</v>
      </c>
      <c r="BU101" s="251" t="e">
        <f t="shared" si="57"/>
        <v>#DIV/0!</v>
      </c>
      <c r="BV101" s="251" t="e">
        <f t="shared" si="57"/>
        <v>#DIV/0!</v>
      </c>
      <c r="BW101" s="251" t="e">
        <f t="shared" si="57"/>
        <v>#DIV/0!</v>
      </c>
      <c r="BX101" s="251" t="e">
        <f t="shared" si="57"/>
        <v>#DIV/0!</v>
      </c>
      <c r="BY101" s="251" t="e">
        <f t="shared" si="57"/>
        <v>#DIV/0!</v>
      </c>
      <c r="BZ101" s="251" t="e">
        <f t="shared" si="57"/>
        <v>#DIV/0!</v>
      </c>
      <c r="CA101" s="251" t="e">
        <f t="shared" si="57"/>
        <v>#DIV/0!</v>
      </c>
      <c r="CB101" s="251" t="e">
        <f t="shared" si="57"/>
        <v>#DIV/0!</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41"/>
  <sheetViews>
    <sheetView topLeftCell="A5" workbookViewId="0">
      <selection activeCell="E27" sqref="E27:CL27"/>
    </sheetView>
  </sheetViews>
  <sheetFormatPr defaultRowHeight="13.5"/>
  <cols>
    <col min="1" max="1" width="65.75" style="17" bestFit="1" customWidth="1"/>
    <col min="2" max="4" width="9.5" hidden="1" customWidth="1"/>
    <col min="5" max="5" width="22" bestFit="1" customWidth="1"/>
    <col min="6" max="8" width="22" hidden="1" customWidth="1"/>
    <col min="9" max="9" width="20.75" bestFit="1" customWidth="1"/>
    <col min="10" max="12" width="19.5" hidden="1" customWidth="1"/>
    <col min="13" max="13" width="19.5" bestFit="1" customWidth="1"/>
    <col min="14" max="16" width="19.5" hidden="1" customWidth="1"/>
    <col min="17" max="17" width="19.5" bestFit="1" customWidth="1"/>
    <col min="18" max="20" width="19.5" hidden="1" customWidth="1"/>
    <col min="21" max="21" width="19.5" bestFit="1" customWidth="1"/>
    <col min="22" max="23" width="19.5" hidden="1" customWidth="1"/>
    <col min="24" max="24" width="18.25" hidden="1" customWidth="1"/>
    <col min="25" max="25" width="19.5" bestFit="1" customWidth="1"/>
    <col min="26" max="26" width="19.5" hidden="1" customWidth="1"/>
    <col min="27" max="27" width="19.375" hidden="1" customWidth="1"/>
    <col min="28" max="28" width="18.25" hidden="1" customWidth="1"/>
    <col min="29" max="29" width="19.5" bestFit="1" customWidth="1"/>
    <col min="30" max="30" width="19.375" hidden="1" customWidth="1"/>
    <col min="31" max="32" width="18.25" hidden="1" customWidth="1"/>
    <col min="33" max="33" width="18.25" bestFit="1" customWidth="1"/>
    <col min="34" max="34" width="18.25" hidden="1" customWidth="1"/>
    <col min="35" max="35" width="17.25" hidden="1" customWidth="1"/>
    <col min="36" max="36" width="18.25" hidden="1" customWidth="1"/>
    <col min="37" max="37" width="18.25" bestFit="1" customWidth="1"/>
    <col min="38" max="39" width="18.25" hidden="1" customWidth="1"/>
    <col min="40" max="41" width="18.25" bestFit="1" customWidth="1"/>
    <col min="42" max="42" width="9.625" hidden="1" customWidth="1"/>
    <col min="43" max="44" width="18.375" hidden="1" customWidth="1"/>
    <col min="45" max="45" width="18.375" bestFit="1" customWidth="1"/>
    <col min="46" max="48" width="18.375" hidden="1" customWidth="1"/>
    <col min="49" max="49" width="18.375" bestFit="1" customWidth="1"/>
    <col min="50" max="52" width="18.375" hidden="1" customWidth="1"/>
    <col min="53" max="53" width="18.375" bestFit="1" customWidth="1"/>
    <col min="54" max="56" width="18.375" hidden="1" customWidth="1"/>
    <col min="57" max="57" width="18.375" bestFit="1" customWidth="1"/>
    <col min="58" max="60" width="18.375" hidden="1" customWidth="1"/>
    <col min="61" max="61" width="18.375" bestFit="1" customWidth="1"/>
    <col min="62" max="64" width="18.375" hidden="1" customWidth="1"/>
    <col min="65" max="65" width="18.375" bestFit="1" customWidth="1"/>
    <col min="66" max="66" width="18.375" hidden="1" customWidth="1"/>
    <col min="67" max="67" width="18.375" bestFit="1" customWidth="1"/>
    <col min="68" max="68" width="18.375" hidden="1" customWidth="1"/>
    <col min="69" max="69" width="17.25" bestFit="1" customWidth="1"/>
    <col min="70" max="70" width="18.375" hidden="1" customWidth="1"/>
    <col min="71" max="71" width="18.375" bestFit="1" customWidth="1"/>
    <col min="72" max="72" width="18.375" hidden="1" customWidth="1"/>
    <col min="73" max="73" width="18.375" bestFit="1" customWidth="1"/>
    <col min="74" max="74" width="18.375" hidden="1" customWidth="1"/>
    <col min="75" max="75" width="18.375" bestFit="1" customWidth="1"/>
    <col min="76" max="76" width="17.25" bestFit="1" customWidth="1"/>
    <col min="77" max="77" width="18.375" bestFit="1" customWidth="1"/>
    <col min="78" max="78" width="17.25" bestFit="1" customWidth="1"/>
    <col min="79" max="81" width="18.375" bestFit="1" customWidth="1"/>
    <col min="82" max="82" width="9.625" bestFit="1" customWidth="1"/>
    <col min="83" max="84" width="17.25" bestFit="1" customWidth="1"/>
    <col min="85" max="86" width="16.125" bestFit="1" customWidth="1"/>
    <col min="87" max="87" width="17.25" bestFit="1" customWidth="1"/>
    <col min="88" max="88" width="16.125" bestFit="1" customWidth="1"/>
    <col min="89" max="90" width="9.625" bestFit="1" customWidth="1"/>
  </cols>
  <sheetData>
    <row r="1" spans="1:90" ht="14.45">
      <c r="A1" s="17">
        <v>2450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c r="A2" s="17" t="s">
        <v>485</v>
      </c>
      <c r="E2" s="26">
        <f>现金流量表!E4</f>
        <v>12670013192.51</v>
      </c>
      <c r="F2" s="26">
        <f>现金流量表!F4</f>
        <v>9436275968.4400005</v>
      </c>
      <c r="G2" s="26">
        <f>现金流量表!G4</f>
        <v>6495248156.3100004</v>
      </c>
      <c r="H2" s="26">
        <f>现金流量表!H4</f>
        <v>3718062040.29</v>
      </c>
      <c r="I2" s="26">
        <f>现金流量表!I4</f>
        <v>7852290622.6499996</v>
      </c>
      <c r="J2" s="26">
        <f>现金流量表!J4</f>
        <v>6753191184.5600004</v>
      </c>
      <c r="K2" s="26">
        <f>现金流量表!K4</f>
        <v>4421322728.8100004</v>
      </c>
      <c r="L2" s="26">
        <f>现金流量表!L4</f>
        <v>2005503973.47</v>
      </c>
      <c r="M2" s="26">
        <f>现金流量表!M4</f>
        <v>6915654874.9200001</v>
      </c>
      <c r="N2" s="26">
        <f>现金流量表!N4</f>
        <v>4560658692.8500004</v>
      </c>
      <c r="O2" s="26">
        <f>现金流量表!O4</f>
        <v>3177588060.6100001</v>
      </c>
      <c r="P2" s="26">
        <f>现金流量表!P4</f>
        <v>1363958564.1099999</v>
      </c>
      <c r="Q2" s="26">
        <f>现金流量表!Q4</f>
        <v>3955149504.29</v>
      </c>
      <c r="R2" s="26">
        <f>现金流量表!R4</f>
        <v>3416314815.52</v>
      </c>
      <c r="S2" s="26">
        <f>现金流量表!S4</f>
        <v>2174377112.3200002</v>
      </c>
      <c r="T2" s="26">
        <f>现金流量表!T4</f>
        <v>1160713867.6700001</v>
      </c>
      <c r="U2" s="26">
        <f>现金流量表!U4</f>
        <v>3261851774.54</v>
      </c>
      <c r="V2" s="26">
        <f>现金流量表!V4</f>
        <v>2711071856.5900002</v>
      </c>
      <c r="W2" s="26">
        <f>现金流量表!W4</f>
        <v>1654178062</v>
      </c>
      <c r="X2" s="26">
        <f>现金流量表!X4</f>
        <v>725305512.35000002</v>
      </c>
      <c r="Y2" s="26">
        <f>现金流量表!Y4</f>
        <v>2394296084.6300001</v>
      </c>
      <c r="Z2" s="26">
        <f>现金流量表!Z4</f>
        <v>1579980785.72</v>
      </c>
      <c r="AA2" s="26">
        <f>现金流量表!AA4</f>
        <v>1030061435.03</v>
      </c>
      <c r="AB2" s="26">
        <f>现金流量表!AB4</f>
        <v>466165218.32999998</v>
      </c>
      <c r="AC2" s="26">
        <f>现金流量表!AC4</f>
        <v>1724816960.48</v>
      </c>
      <c r="AD2" s="26">
        <f>现金流量表!AD4</f>
        <v>1387941321.8900001</v>
      </c>
      <c r="AE2" s="26">
        <f>现金流量表!AE4</f>
        <v>880167787.28999996</v>
      </c>
      <c r="AF2" s="26">
        <f>现金流量表!AF4</f>
        <v>369440482.76999998</v>
      </c>
      <c r="AG2" s="26">
        <f>现金流量表!AG4</f>
        <v>563149145.15999997</v>
      </c>
      <c r="AH2" s="26">
        <f>现金流量表!AH4</f>
        <v>388332817.56</v>
      </c>
      <c r="AI2" s="26">
        <f>现金流量表!AI4</f>
        <v>218990053.91999999</v>
      </c>
      <c r="AJ2" s="26">
        <f>现金流量表!AJ4</f>
        <v>104305858.98999999</v>
      </c>
      <c r="AK2" s="26">
        <f>现金流量表!AK4</f>
        <v>390611279.64999998</v>
      </c>
      <c r="AL2" s="26">
        <f>现金流量表!AL4</f>
        <v>236431974.84999999</v>
      </c>
      <c r="AM2" s="26">
        <f>现金流量表!AM4</f>
        <v>127830072.05</v>
      </c>
      <c r="AN2" s="26">
        <f>现金流量表!AN4</f>
        <v>291975059.06999999</v>
      </c>
      <c r="AO2" s="26">
        <f>现金流量表!AO4</f>
        <v>173409984.88999999</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486</v>
      </c>
      <c r="E3" s="26">
        <f>利润表!E3</f>
        <v>11789073516.690001</v>
      </c>
      <c r="F3" s="26">
        <f>利润表!F3</f>
        <v>9450631221.3799992</v>
      </c>
      <c r="G3" s="26">
        <f>利润表!G3</f>
        <v>6050755584.71</v>
      </c>
      <c r="H3" s="26">
        <f>利润表!H3</f>
        <v>2700241153</v>
      </c>
      <c r="I3" s="26">
        <f>利润表!I3</f>
        <v>9232749388.8799992</v>
      </c>
      <c r="J3" s="26">
        <f>利润表!J3</f>
        <v>7156918837.8000002</v>
      </c>
      <c r="K3" s="26">
        <f>利润表!K3</f>
        <v>4499173734.3900003</v>
      </c>
      <c r="L3" s="26">
        <f>利润表!L3</f>
        <v>2007598833.6500001</v>
      </c>
      <c r="M3" s="26">
        <f>利润表!M3</f>
        <v>7459376626.1199999</v>
      </c>
      <c r="N3" s="26">
        <f>利润表!N3</f>
        <v>5214917067.6099997</v>
      </c>
      <c r="O3" s="26">
        <f>利润表!O3</f>
        <v>3301126126.96</v>
      </c>
      <c r="P3" s="26">
        <f>利润表!P3</f>
        <v>1500354327.0899999</v>
      </c>
      <c r="Q3" s="26">
        <f>利润表!Q3</f>
        <v>5208091770.6199999</v>
      </c>
      <c r="R3" s="26">
        <f>利润表!R3</f>
        <v>3652588157.7399998</v>
      </c>
      <c r="S3" s="26">
        <f>利润表!S3</f>
        <v>2424211203.8699999</v>
      </c>
      <c r="T3" s="26">
        <f>利润表!T3</f>
        <v>1221227187.02</v>
      </c>
      <c r="U3" s="26">
        <f>利润表!U3</f>
        <v>3192701967.0799999</v>
      </c>
      <c r="V3" s="26">
        <f>利润表!V3</f>
        <v>2279929133.7600002</v>
      </c>
      <c r="W3" s="26">
        <f>利润表!W3</f>
        <v>1509892379.6400001</v>
      </c>
      <c r="X3" s="26">
        <f>利润表!X3</f>
        <v>655682698.38</v>
      </c>
      <c r="Y3" s="26">
        <f>利润表!Y3</f>
        <v>2234623152.98</v>
      </c>
      <c r="Z3" s="26">
        <f>利润表!Z3</f>
        <v>1459303292.4400001</v>
      </c>
      <c r="AA3" s="26">
        <f>利润表!AA3</f>
        <v>961642839.58000004</v>
      </c>
      <c r="AB3" s="26">
        <f>利润表!AB3</f>
        <v>407522741.93000001</v>
      </c>
      <c r="AC3" s="26">
        <f>利润表!AC3</f>
        <v>1526021238.48</v>
      </c>
      <c r="AD3" s="26">
        <f>利润表!AD3</f>
        <v>1098832203.2</v>
      </c>
      <c r="AE3" s="26">
        <f>利润表!AE3</f>
        <v>647395840.48000002</v>
      </c>
      <c r="AF3" s="26">
        <f>利润表!AF3</f>
        <v>237639702.31</v>
      </c>
      <c r="AG3" s="26">
        <f>利润表!AG3</f>
        <v>524201146.48000002</v>
      </c>
      <c r="AH3" s="26">
        <f>利润表!AH3</f>
        <v>380020138.85000002</v>
      </c>
      <c r="AI3" s="26">
        <f>利润表!AI3</f>
        <v>223459375.99000001</v>
      </c>
      <c r="AJ3" s="26">
        <f>利润表!AJ3</f>
        <v>89061445.689999998</v>
      </c>
      <c r="AK3" s="26">
        <f>利润表!AK3</f>
        <v>364399272.83999997</v>
      </c>
      <c r="AL3" s="26">
        <f>利润表!AL3</f>
        <v>232406318.21000001</v>
      </c>
      <c r="AM3" s="26">
        <f>利润表!AM3</f>
        <v>134187532.15000001</v>
      </c>
      <c r="AN3" s="26">
        <f>利润表!AN3</f>
        <v>259676963.58000001</v>
      </c>
      <c r="AO3" s="26">
        <f>利润表!AO3</f>
        <v>163933411.49000001</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487</v>
      </c>
      <c r="E5" s="28">
        <f>(E2/(1+E4))/E3</f>
        <v>0.91856845997087844</v>
      </c>
      <c r="F5" s="28">
        <f t="shared" ref="F5:BQ5" si="2">(F2/(1+F4))/F3</f>
        <v>0.85340258724444329</v>
      </c>
      <c r="G5" s="28">
        <f t="shared" si="2"/>
        <v>0.91748775387997761</v>
      </c>
      <c r="H5" s="28">
        <f t="shared" si="2"/>
        <v>1.1768692585608731</v>
      </c>
      <c r="I5" s="28">
        <f t="shared" si="2"/>
        <v>0.72690801232205859</v>
      </c>
      <c r="J5" s="28">
        <f t="shared" si="2"/>
        <v>0.80648647947724672</v>
      </c>
      <c r="K5" s="28">
        <f t="shared" si="2"/>
        <v>0.83991162340268433</v>
      </c>
      <c r="L5" s="28">
        <f t="shared" si="2"/>
        <v>0.85380900382093095</v>
      </c>
      <c r="M5" s="28">
        <f t="shared" si="2"/>
        <v>0.79240081694129061</v>
      </c>
      <c r="N5" s="28">
        <f t="shared" si="2"/>
        <v>0.74747092470335941</v>
      </c>
      <c r="O5" s="28">
        <f t="shared" si="2"/>
        <v>0.82271537858253641</v>
      </c>
      <c r="P5" s="28">
        <f t="shared" si="2"/>
        <v>0.77700082538665383</v>
      </c>
      <c r="Q5" s="28">
        <f t="shared" si="2"/>
        <v>0.64908027943292079</v>
      </c>
      <c r="R5" s="28">
        <f t="shared" si="2"/>
        <v>0.79941320144858896</v>
      </c>
      <c r="S5" s="28">
        <f t="shared" si="2"/>
        <v>0.76661718804659928</v>
      </c>
      <c r="T5" s="28">
        <f t="shared" si="2"/>
        <v>0.81234936898308419</v>
      </c>
      <c r="U5" s="28">
        <f t="shared" si="2"/>
        <v>0.87321257303468836</v>
      </c>
      <c r="V5" s="28">
        <f t="shared" si="2"/>
        <v>1.0163278317170821</v>
      </c>
      <c r="W5" s="28">
        <f t="shared" si="2"/>
        <v>0.93637627587464134</v>
      </c>
      <c r="X5" s="28">
        <f t="shared" si="2"/>
        <v>0.94545615258176763</v>
      </c>
      <c r="Y5" s="28">
        <f t="shared" si="2"/>
        <v>0.91577271416487771</v>
      </c>
      <c r="Z5" s="28">
        <f t="shared" si="2"/>
        <v>0.92538058055627581</v>
      </c>
      <c r="AA5" s="28">
        <f t="shared" si="2"/>
        <v>0.91551078287968579</v>
      </c>
      <c r="AB5" s="28">
        <f t="shared" si="2"/>
        <v>0.97769221087273706</v>
      </c>
      <c r="AC5" s="28">
        <f t="shared" si="2"/>
        <v>0.9660432588691702</v>
      </c>
      <c r="AD5" s="28">
        <f t="shared" si="2"/>
        <v>1.0795776012382681</v>
      </c>
      <c r="AE5" s="28">
        <f t="shared" si="2"/>
        <v>1.1620095666959469</v>
      </c>
      <c r="AF5" s="28">
        <f t="shared" si="2"/>
        <v>1.3287388147486665</v>
      </c>
      <c r="AG5" s="28">
        <f t="shared" si="2"/>
        <v>0.91820488933377753</v>
      </c>
      <c r="AH5" s="28">
        <f t="shared" si="2"/>
        <v>0.87339684702323783</v>
      </c>
      <c r="AI5" s="28">
        <f t="shared" si="2"/>
        <v>0.83760632297114412</v>
      </c>
      <c r="AJ5" s="28">
        <f t="shared" si="2"/>
        <v>1.0009977509164754</v>
      </c>
      <c r="AK5" s="28">
        <f t="shared" si="2"/>
        <v>0.91618128645179442</v>
      </c>
      <c r="AL5" s="28">
        <f t="shared" si="2"/>
        <v>0.86950566808734431</v>
      </c>
      <c r="AM5" s="28">
        <f t="shared" si="2"/>
        <v>0.81420732676919449</v>
      </c>
      <c r="AN5" s="28">
        <f t="shared" si="2"/>
        <v>0.96100681823315059</v>
      </c>
      <c r="AO5" s="28">
        <f t="shared" si="2"/>
        <v>0.90410893637863665</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488</v>
      </c>
      <c r="E6" s="26">
        <f>现金流量表!E8</f>
        <v>6988532240.5299997</v>
      </c>
      <c r="F6" s="26">
        <f>现金流量表!F8</f>
        <v>5707720900.75</v>
      </c>
      <c r="G6" s="26">
        <f>现金流量表!G8</f>
        <v>3723045404.0599999</v>
      </c>
      <c r="H6" s="26">
        <f>现金流量表!H8</f>
        <v>1993445895.1800001</v>
      </c>
      <c r="I6" s="26">
        <f>现金流量表!I8</f>
        <v>6466444729.7399998</v>
      </c>
      <c r="J6" s="26">
        <f>现金流量表!J8</f>
        <v>5500799386.04</v>
      </c>
      <c r="K6" s="26">
        <f>现金流量表!K8</f>
        <v>3544903932.27</v>
      </c>
      <c r="L6" s="26">
        <f>现金流量表!L8</f>
        <v>1449342036.1300001</v>
      </c>
      <c r="M6" s="26">
        <f>现金流量表!M8</f>
        <v>5041361317</v>
      </c>
      <c r="N6" s="26">
        <f>现金流量表!N8</f>
        <v>3452939476</v>
      </c>
      <c r="O6" s="26">
        <f>现金流量表!O8</f>
        <v>2426531378.4499998</v>
      </c>
      <c r="P6" s="26">
        <f>现金流量表!P8</f>
        <v>1077089132.49</v>
      </c>
      <c r="Q6" s="26">
        <f>现金流量表!Q8</f>
        <v>2686633286.23</v>
      </c>
      <c r="R6" s="26">
        <f>现金流量表!R8</f>
        <v>2382499052.0500002</v>
      </c>
      <c r="S6" s="26">
        <f>现金流量表!S8</f>
        <v>1397417369.99</v>
      </c>
      <c r="T6" s="26">
        <f>现金流量表!T8</f>
        <v>901447457.97000003</v>
      </c>
      <c r="U6" s="26">
        <f>现金流量表!U8</f>
        <v>2396655092.0599999</v>
      </c>
      <c r="V6" s="26">
        <f>现金流量表!V8</f>
        <v>1984237003.8299999</v>
      </c>
      <c r="W6" s="26">
        <f>现金流量表!W8</f>
        <v>1146652580.1600001</v>
      </c>
      <c r="X6" s="26">
        <f>现金流量表!X8</f>
        <v>560667632.38</v>
      </c>
      <c r="Y6" s="26">
        <f>现金流量表!Y8</f>
        <v>1816388034.3900001</v>
      </c>
      <c r="Z6" s="26">
        <f>现金流量表!Z8</f>
        <v>1231366342.0799999</v>
      </c>
      <c r="AA6" s="26">
        <f>现金流量表!AA8</f>
        <v>790814371.48000002</v>
      </c>
      <c r="AB6" s="26">
        <f>现金流量表!AB8</f>
        <v>346095198.35000002</v>
      </c>
      <c r="AC6" s="26">
        <f>现金流量表!AC8</f>
        <v>1415988027.04</v>
      </c>
      <c r="AD6" s="26">
        <f>现金流量表!AD8</f>
        <v>1216151842.97</v>
      </c>
      <c r="AE6" s="26">
        <f>现金流量表!AE8</f>
        <v>752071376.53999996</v>
      </c>
      <c r="AF6" s="26">
        <f>现金流量表!AF8</f>
        <v>328957032.05000001</v>
      </c>
      <c r="AG6" s="26">
        <f>现金流量表!AG8</f>
        <v>375060723.75999999</v>
      </c>
      <c r="AH6" s="26">
        <f>现金流量表!AH8</f>
        <v>299211502.86000001</v>
      </c>
      <c r="AI6" s="26">
        <f>现金流量表!AI8</f>
        <v>187009032.46000001</v>
      </c>
      <c r="AJ6" s="26">
        <f>现金流量表!AJ8</f>
        <v>80338668</v>
      </c>
      <c r="AK6" s="26">
        <f>现金流量表!AK8</f>
        <v>302988591.58999997</v>
      </c>
      <c r="AL6" s="26">
        <f>现金流量表!AL8</f>
        <v>186406970.84999999</v>
      </c>
      <c r="AM6" s="26">
        <f>现金流量表!AM8</f>
        <v>82316003.290000007</v>
      </c>
      <c r="AN6" s="26">
        <f>现金流量表!AN8</f>
        <v>226608831.63</v>
      </c>
      <c r="AO6" s="26">
        <f>现金流量表!AO8</f>
        <v>149805499.38</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489</v>
      </c>
      <c r="E7" s="26">
        <f>现金流量表!E9</f>
        <v>629488734.75</v>
      </c>
      <c r="F7" s="26">
        <f>现金流量表!F9</f>
        <v>474724817.64999998</v>
      </c>
      <c r="G7" s="26">
        <f>现金流量表!G9</f>
        <v>328677327.35000002</v>
      </c>
      <c r="H7" s="26">
        <f>现金流量表!H9</f>
        <v>189769304.09</v>
      </c>
      <c r="I7" s="26">
        <f>现金流量表!I9</f>
        <v>522016652.87</v>
      </c>
      <c r="J7" s="26">
        <f>现金流量表!J9</f>
        <v>358418563.60000002</v>
      </c>
      <c r="K7" s="26">
        <f>现金流量表!K9</f>
        <v>224547190.31999999</v>
      </c>
      <c r="L7" s="26">
        <f>现金流量表!L9</f>
        <v>97871146.790000007</v>
      </c>
      <c r="M7" s="26">
        <f>现金流量表!M9</f>
        <v>365302541.30000001</v>
      </c>
      <c r="N7" s="26">
        <f>现金流量表!N9</f>
        <v>257205946.25999999</v>
      </c>
      <c r="O7" s="26">
        <f>现金流量表!O9</f>
        <v>169886866.84</v>
      </c>
      <c r="P7" s="26">
        <f>现金流量表!P9</f>
        <v>85745030.230000004</v>
      </c>
      <c r="Q7" s="26">
        <f>现金流量表!Q9</f>
        <v>349137446.56</v>
      </c>
      <c r="R7" s="26">
        <f>现金流量表!R9</f>
        <v>184456039.84</v>
      </c>
      <c r="S7" s="26">
        <f>现金流量表!S9</f>
        <v>115573631.70999999</v>
      </c>
      <c r="T7" s="26">
        <f>现金流量表!T9</f>
        <v>60825406.780000001</v>
      </c>
      <c r="U7" s="26">
        <f>现金流量表!U9</f>
        <v>166864878.43000001</v>
      </c>
      <c r="V7" s="26">
        <f>现金流量表!V9</f>
        <v>108840836.86</v>
      </c>
      <c r="W7" s="26">
        <f>现金流量表!W9</f>
        <v>65872146.719999999</v>
      </c>
      <c r="X7" s="26">
        <f>现金流量表!X9</f>
        <v>30757435.77</v>
      </c>
      <c r="Y7" s="26">
        <f>现金流量表!Y9</f>
        <v>81146174.400000006</v>
      </c>
      <c r="Z7" s="26">
        <f>现金流量表!Z9</f>
        <v>50588191.909999996</v>
      </c>
      <c r="AA7" s="26">
        <f>现金流量表!AA9</f>
        <v>30722778.239999998</v>
      </c>
      <c r="AB7" s="26">
        <f>现金流量表!AB9</f>
        <v>14488106.710000001</v>
      </c>
      <c r="AC7" s="26">
        <f>现金流量表!AC9</f>
        <v>45455592.530000001</v>
      </c>
      <c r="AD7" s="26">
        <f>现金流量表!AD9</f>
        <v>30765120.120000001</v>
      </c>
      <c r="AE7" s="26">
        <f>现金流量表!AE9</f>
        <v>17360055.41</v>
      </c>
      <c r="AF7" s="26">
        <f>现金流量表!AF9</f>
        <v>6956946.3799999999</v>
      </c>
      <c r="AG7" s="26">
        <f>现金流量表!AG9</f>
        <v>17766108.32</v>
      </c>
      <c r="AH7" s="26">
        <f>现金流量表!AH9</f>
        <v>14850538.890000001</v>
      </c>
      <c r="AI7" s="26">
        <f>现金流量表!AI9</f>
        <v>9608360.9800000004</v>
      </c>
      <c r="AJ7" s="26">
        <f>现金流量表!AJ9</f>
        <v>4600934.42</v>
      </c>
      <c r="AK7" s="26">
        <f>现金流量表!AK9</f>
        <v>15439636.98</v>
      </c>
      <c r="AL7" s="26">
        <f>现金流量表!AL9</f>
        <v>10950777.82</v>
      </c>
      <c r="AM7" s="26">
        <f>现金流量表!AM9</f>
        <v>7161099.4299999997</v>
      </c>
      <c r="AN7" s="26">
        <f>现金流量表!AN9</f>
        <v>11963771.67</v>
      </c>
      <c r="AO7" s="26">
        <f>现金流量表!AO9</f>
        <v>8413820.2599999998</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45" t="s">
        <v>490</v>
      </c>
      <c r="E8" s="58">
        <f>利润表!E6</f>
        <v>7082433228.9700003</v>
      </c>
      <c r="F8" s="58">
        <f>利润表!F6</f>
        <v>5867004503.1800003</v>
      </c>
      <c r="G8" s="58">
        <f>利润表!G6</f>
        <v>3760335260.7600002</v>
      </c>
      <c r="H8" s="58">
        <f>利润表!H6</f>
        <v>1685339422.6600001</v>
      </c>
      <c r="I8" s="58">
        <f>利润表!I6</f>
        <v>5498091650.5600004</v>
      </c>
      <c r="J8" s="58">
        <f>利润表!J6</f>
        <v>4486393024.54</v>
      </c>
      <c r="K8" s="58">
        <f>利润表!K6</f>
        <v>2820743132.8600001</v>
      </c>
      <c r="L8" s="58">
        <f>利润表!L6</f>
        <v>1228341627.6400001</v>
      </c>
      <c r="M8" s="58">
        <f>利润表!M6</f>
        <v>4674042318.3100004</v>
      </c>
      <c r="N8" s="58">
        <f>利润表!N6</f>
        <v>3206565234.98</v>
      </c>
      <c r="O8" s="58">
        <f>利润表!O6</f>
        <v>2046150402.3299999</v>
      </c>
      <c r="P8" s="58">
        <f>利润表!P6</f>
        <v>932009375.05999994</v>
      </c>
      <c r="Q8" s="58">
        <f>利润表!Q6</f>
        <v>3171705053.96</v>
      </c>
      <c r="R8" s="58">
        <f>利润表!R6</f>
        <v>2262121253.6999998</v>
      </c>
      <c r="S8" s="58">
        <f>利润表!S6</f>
        <v>1508397409.0699999</v>
      </c>
      <c r="T8" s="58">
        <f>利润表!T6</f>
        <v>773688343.23000002</v>
      </c>
      <c r="U8" s="58">
        <f>利润表!U6</f>
        <v>2032945307.53</v>
      </c>
      <c r="V8" s="58">
        <f>利润表!V6</f>
        <v>1431678641.1400001</v>
      </c>
      <c r="W8" s="58">
        <f>利润表!W6</f>
        <v>986327119.15999997</v>
      </c>
      <c r="X8" s="58">
        <f>利润表!X6</f>
        <v>433342685.77999997</v>
      </c>
      <c r="Y8" s="58">
        <f>利润表!Y6</f>
        <v>1515737569.8</v>
      </c>
      <c r="Z8" s="58">
        <f>利润表!Z6</f>
        <v>968960651.47000003</v>
      </c>
      <c r="AA8" s="58">
        <f>利润表!AA6</f>
        <v>653401720.63</v>
      </c>
      <c r="AB8" s="58">
        <f>利润表!AB6</f>
        <v>295686297.69</v>
      </c>
      <c r="AC8" s="58">
        <f>利润表!AC6</f>
        <v>1229967250.8199999</v>
      </c>
      <c r="AD8" s="58">
        <f>利润表!AD6</f>
        <v>891749062.62</v>
      </c>
      <c r="AE8" s="58">
        <f>利润表!AE6</f>
        <v>530225147.60000002</v>
      </c>
      <c r="AF8" s="58">
        <f>利润表!AF6</f>
        <v>200625460.34999999</v>
      </c>
      <c r="AG8" s="58">
        <f>利润表!AG6</f>
        <v>386934282.25</v>
      </c>
      <c r="AH8" s="58">
        <f>利润表!AH6</f>
        <v>275652349.01999998</v>
      </c>
      <c r="AI8" s="58">
        <f>利润表!AI6</f>
        <v>161860298.44</v>
      </c>
      <c r="AJ8" s="58">
        <f>利润表!AJ6</f>
        <v>66705448.380000003</v>
      </c>
      <c r="AK8" s="58">
        <f>利润表!AK6</f>
        <v>274436681.06999999</v>
      </c>
      <c r="AL8" s="58">
        <f>利润表!AL6</f>
        <v>180786912.02000001</v>
      </c>
      <c r="AM8" s="58">
        <f>利润表!AM6</f>
        <v>105400729.06</v>
      </c>
      <c r="AN8" s="58">
        <f>利润表!AN6</f>
        <v>199359707.38</v>
      </c>
      <c r="AO8" s="58">
        <f>利润表!AO6</f>
        <v>128316202.27</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45" t="s">
        <v>491</v>
      </c>
      <c r="E9" s="58">
        <f>利润表!E7</f>
        <v>100268329.19</v>
      </c>
      <c r="F9" s="58">
        <f>利润表!F7</f>
        <v>71892695.629999995</v>
      </c>
      <c r="G9" s="58">
        <f>利润表!G7</f>
        <v>43900756.210000001</v>
      </c>
      <c r="H9" s="58">
        <f>利润表!H7</f>
        <v>19412909.550000001</v>
      </c>
      <c r="I9" s="58">
        <f>利润表!I7</f>
        <v>82211800.379999995</v>
      </c>
      <c r="J9" s="58">
        <f>利润表!J7</f>
        <v>31009864.260000002</v>
      </c>
      <c r="K9" s="58">
        <f>利润表!K7</f>
        <v>19761763.640000001</v>
      </c>
      <c r="L9" s="58">
        <f>利润表!L7</f>
        <v>10225822.73</v>
      </c>
      <c r="M9" s="58">
        <f>利润表!M7</f>
        <v>36895751.240000002</v>
      </c>
      <c r="N9" s="58">
        <f>利润表!N7</f>
        <v>24014504.899999999</v>
      </c>
      <c r="O9" s="58">
        <f>利润表!O7</f>
        <v>12676136.92</v>
      </c>
      <c r="P9" s="58">
        <f>利润表!P7</f>
        <v>6493513.25</v>
      </c>
      <c r="Q9" s="58">
        <f>利润表!Q7</f>
        <v>21959269.190000001</v>
      </c>
      <c r="R9" s="58">
        <f>利润表!R7</f>
        <v>18739175.539999999</v>
      </c>
      <c r="S9" s="58">
        <f>利润表!S7</f>
        <v>13935854.970000001</v>
      </c>
      <c r="T9" s="58">
        <f>利润表!T7</f>
        <v>6826486.5099999998</v>
      </c>
      <c r="U9" s="58">
        <f>利润表!U7</f>
        <v>17120043.030000001</v>
      </c>
      <c r="V9" s="58">
        <f>利润表!V7</f>
        <v>12594479.880000001</v>
      </c>
      <c r="W9" s="58">
        <f>利润表!W7</f>
        <v>8678637.1699999999</v>
      </c>
      <c r="X9" s="58">
        <f>利润表!X7</f>
        <v>3769022.05</v>
      </c>
      <c r="Y9" s="58">
        <f>利润表!Y7</f>
        <v>13336172.279999999</v>
      </c>
      <c r="Z9" s="58">
        <f>利润表!Z7</f>
        <v>9665778.0899999999</v>
      </c>
      <c r="AA9" s="58">
        <f>利润表!AA7</f>
        <v>6410557.4199999999</v>
      </c>
      <c r="AB9" s="58">
        <f>利润表!AB7</f>
        <v>2911324.51</v>
      </c>
      <c r="AC9" s="58">
        <f>利润表!AC7</f>
        <v>3353912.79</v>
      </c>
      <c r="AD9" s="58">
        <f>利润表!AD7</f>
        <v>2210431.5</v>
      </c>
      <c r="AE9" s="58">
        <f>利润表!AE7</f>
        <v>1193724.8799999999</v>
      </c>
      <c r="AF9" s="58">
        <f>利润表!AF7</f>
        <v>126479.66</v>
      </c>
      <c r="AG9" s="58">
        <f>利润表!AG7</f>
        <v>383156.72</v>
      </c>
      <c r="AH9" s="58">
        <f>利润表!AH7</f>
        <v>163679.24</v>
      </c>
      <c r="AI9" s="58">
        <f>利润表!AI7</f>
        <v>38125</v>
      </c>
      <c r="AJ9" s="58">
        <f>利润表!AJ7</f>
        <v>20624.990000000002</v>
      </c>
      <c r="AK9" s="58">
        <f>利润表!AK7</f>
        <v>70000</v>
      </c>
      <c r="AL9" s="58">
        <f>利润表!AL7</f>
        <v>52499.99</v>
      </c>
      <c r="AM9" s="58">
        <f>利润表!AM7</f>
        <v>39583.33</v>
      </c>
      <c r="AN9" s="58">
        <f>利润表!AN7</f>
        <v>70000</v>
      </c>
      <c r="AO9" s="58">
        <f>利润表!AO7</f>
        <v>70000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45" t="s">
        <v>492</v>
      </c>
      <c r="E10" s="58">
        <f>利润表!E8</f>
        <v>336178911.95999998</v>
      </c>
      <c r="F10" s="58">
        <f>利润表!F8</f>
        <v>216761710.46000001</v>
      </c>
      <c r="G10" s="58">
        <f>利润表!G8</f>
        <v>136774629.74000001</v>
      </c>
      <c r="H10" s="58">
        <f>利润表!H8</f>
        <v>62716184.32</v>
      </c>
      <c r="I10" s="58">
        <f>利润表!I8</f>
        <v>240027139.16999999</v>
      </c>
      <c r="J10" s="58">
        <f>利润表!J8</f>
        <v>165889017.03</v>
      </c>
      <c r="K10" s="58">
        <f>利润表!K8</f>
        <v>103318327.73999999</v>
      </c>
      <c r="L10" s="58">
        <f>利润表!L8</f>
        <v>49076483.280000001</v>
      </c>
      <c r="M10" s="58">
        <f>利润表!M8</f>
        <v>163772435.83000001</v>
      </c>
      <c r="N10" s="58">
        <f>利润表!N8</f>
        <v>106216784.86</v>
      </c>
      <c r="O10" s="58">
        <f>利润表!O8</f>
        <v>59753480.030000001</v>
      </c>
      <c r="P10" s="58">
        <f>利润表!P8</f>
        <v>26202237.870000001</v>
      </c>
      <c r="Q10" s="58">
        <f>利润表!Q8</f>
        <v>98523376.540000007</v>
      </c>
      <c r="R10" s="58">
        <f>利润表!R8</f>
        <v>55933899.460000001</v>
      </c>
      <c r="S10" s="58">
        <f>利润表!S8</f>
        <v>33359104.34</v>
      </c>
      <c r="T10" s="58">
        <f>利润表!T8</f>
        <v>20531440.43</v>
      </c>
      <c r="U10" s="58">
        <f>利润表!U8</f>
        <v>54142695.109999999</v>
      </c>
      <c r="V10" s="58">
        <f>利润表!V8</f>
        <v>43221231.140000001</v>
      </c>
      <c r="W10" s="58">
        <f>利润表!W8</f>
        <v>20653168.32</v>
      </c>
      <c r="X10" s="58">
        <f>利润表!X8</f>
        <v>9120554.3800000008</v>
      </c>
      <c r="Y10" s="58">
        <f>利润表!Y8</f>
        <v>41348603.899999999</v>
      </c>
      <c r="Z10" s="58">
        <f>利润表!Z8</f>
        <v>23995136.379999999</v>
      </c>
      <c r="AA10" s="58">
        <f>利润表!AA8</f>
        <v>15763913.140000001</v>
      </c>
      <c r="AB10" s="58">
        <f>利润表!AB8</f>
        <v>9093100.9399999995</v>
      </c>
      <c r="AC10" s="58">
        <f>利润表!AC8</f>
        <v>24868725.66</v>
      </c>
      <c r="AD10" s="58">
        <f>利润表!AD8</f>
        <v>17757420.539999999</v>
      </c>
      <c r="AE10" s="58">
        <f>利润表!AE8</f>
        <v>10865803.09</v>
      </c>
      <c r="AF10" s="58">
        <f>利润表!AF8</f>
        <v>4694530.93</v>
      </c>
      <c r="AG10" s="58">
        <f>利润表!AG8</f>
        <v>16105280.189999999</v>
      </c>
      <c r="AH10" s="58">
        <f>利润表!AH8</f>
        <v>12087930.18</v>
      </c>
      <c r="AI10" s="58">
        <f>利润表!AI8</f>
        <v>7820526.9199999999</v>
      </c>
      <c r="AJ10" s="58">
        <f>利润表!AJ8</f>
        <v>2867851.13</v>
      </c>
      <c r="AK10" s="58">
        <f>利润表!AK8</f>
        <v>10127758.24</v>
      </c>
      <c r="AL10" s="58">
        <f>利润表!AL8</f>
        <v>5490233.4199999999</v>
      </c>
      <c r="AM10" s="58">
        <f>利润表!AM8</f>
        <v>3153390.14</v>
      </c>
      <c r="AN10" s="58">
        <f>利润表!AN8</f>
        <v>9445406.2799999993</v>
      </c>
      <c r="AO10" s="58">
        <f>利润表!AO8</f>
        <v>5025537.62</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45" t="s">
        <v>493</v>
      </c>
      <c r="E11" s="58">
        <f>利润表!E9</f>
        <v>864322891.36000001</v>
      </c>
      <c r="F11" s="58">
        <f>利润表!F9</f>
        <v>647843606.34000003</v>
      </c>
      <c r="G11" s="58">
        <f>利润表!G9</f>
        <v>395468876.64999998</v>
      </c>
      <c r="H11" s="58">
        <f>利润表!H9</f>
        <v>210178031.81999999</v>
      </c>
      <c r="I11" s="58">
        <f>利润表!I9</f>
        <v>775920767.91999996</v>
      </c>
      <c r="J11" s="58">
        <f>利润表!J9</f>
        <v>545472048.75</v>
      </c>
      <c r="K11" s="58">
        <f>利润表!K9</f>
        <v>323161162.76999998</v>
      </c>
      <c r="L11" s="58">
        <f>利润表!L9</f>
        <v>149319545.38999999</v>
      </c>
      <c r="M11" s="58">
        <f>利润表!M9</f>
        <v>570279932.17999995</v>
      </c>
      <c r="N11" s="58">
        <f>利润表!N9</f>
        <v>401645141.57999998</v>
      </c>
      <c r="O11" s="58">
        <f>利润表!O9</f>
        <v>240493510.53</v>
      </c>
      <c r="P11" s="58">
        <f>利润表!P9</f>
        <v>111896340.84</v>
      </c>
      <c r="Q11" s="58">
        <f>利润表!Q9</f>
        <v>399825261.04000002</v>
      </c>
      <c r="R11" s="58">
        <f>利润表!R9</f>
        <v>296797842.14999998</v>
      </c>
      <c r="S11" s="58">
        <f>利润表!S9</f>
        <v>215498347.09</v>
      </c>
      <c r="T11" s="58">
        <f>利润表!T9</f>
        <v>101043686.04000001</v>
      </c>
      <c r="U11" s="58">
        <f>利润表!U9</f>
        <v>216663155.28999999</v>
      </c>
      <c r="V11" s="58">
        <f>利润表!V9</f>
        <v>147046704.65000001</v>
      </c>
      <c r="W11" s="58">
        <f>利润表!W9</f>
        <v>88810181.090000004</v>
      </c>
      <c r="X11" s="58">
        <f>利润表!X9</f>
        <v>38629243.079999998</v>
      </c>
      <c r="Y11" s="58">
        <f>利润表!Y9</f>
        <v>111782174.23999999</v>
      </c>
      <c r="Z11" s="58">
        <f>利润表!Z9</f>
        <v>64909456.659999996</v>
      </c>
      <c r="AA11" s="58">
        <f>利润表!AA9</f>
        <v>43108593.020000003</v>
      </c>
      <c r="AB11" s="58">
        <f>利润表!AB9</f>
        <v>22326863.969999999</v>
      </c>
      <c r="AC11" s="58">
        <f>利润表!AC9</f>
        <v>64800429.969999999</v>
      </c>
      <c r="AD11" s="58">
        <f>利润表!AD9</f>
        <v>33300997.690000001</v>
      </c>
      <c r="AE11" s="58">
        <f>利润表!AE9</f>
        <v>21493699.539999999</v>
      </c>
      <c r="AF11" s="58">
        <f>利润表!AF9</f>
        <v>9027430.5999999996</v>
      </c>
      <c r="AG11" s="58">
        <f>利润表!AG9</f>
        <v>28842589.41</v>
      </c>
      <c r="AH11" s="58">
        <f>利润表!AH9</f>
        <v>13215030.960000001</v>
      </c>
      <c r="AI11" s="58">
        <f>利润表!AI9</f>
        <v>8595455.2100000009</v>
      </c>
      <c r="AJ11" s="58">
        <f>利润表!AJ9</f>
        <v>4419985.05</v>
      </c>
      <c r="AK11" s="58">
        <f>利润表!AK9</f>
        <v>15234670.18</v>
      </c>
      <c r="AL11" s="58">
        <f>利润表!AL9</f>
        <v>9367403.0800000001</v>
      </c>
      <c r="AM11" s="58">
        <f>利润表!AM9</f>
        <v>5300378.41</v>
      </c>
      <c r="AN11" s="58">
        <f>利润表!AN9</f>
        <v>7973823.1600000001</v>
      </c>
      <c r="AO11" s="58">
        <f>利润表!AO9</f>
        <v>5128016.9400000004</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45" t="s">
        <v>494</v>
      </c>
      <c r="E12" s="58">
        <f>SUM(E8:E11)</f>
        <v>8383203361.4799995</v>
      </c>
      <c r="F12" s="58">
        <f t="shared" ref="F12:BQ12" si="4">SUM(F8:F11)</f>
        <v>6803502515.6100006</v>
      </c>
      <c r="G12" s="58">
        <f t="shared" si="4"/>
        <v>4336479523.3599997</v>
      </c>
      <c r="H12" s="58">
        <f t="shared" si="4"/>
        <v>1977646548.3499999</v>
      </c>
      <c r="I12" s="58">
        <f t="shared" si="4"/>
        <v>6596251358.0300007</v>
      </c>
      <c r="J12" s="58">
        <f t="shared" si="4"/>
        <v>5228763954.5799999</v>
      </c>
      <c r="K12" s="58">
        <f t="shared" si="4"/>
        <v>3266984387.0099998</v>
      </c>
      <c r="L12" s="58">
        <f t="shared" si="4"/>
        <v>1436963479.04</v>
      </c>
      <c r="M12" s="58">
        <f t="shared" si="4"/>
        <v>5444990437.5600004</v>
      </c>
      <c r="N12" s="58">
        <f t="shared" si="4"/>
        <v>3738441666.3200002</v>
      </c>
      <c r="O12" s="58">
        <f t="shared" si="4"/>
        <v>2359073529.8099999</v>
      </c>
      <c r="P12" s="58">
        <f t="shared" si="4"/>
        <v>1076601467.02</v>
      </c>
      <c r="Q12" s="58">
        <f t="shared" si="4"/>
        <v>3692012960.73</v>
      </c>
      <c r="R12" s="58">
        <f t="shared" si="4"/>
        <v>2633592170.8499999</v>
      </c>
      <c r="S12" s="58">
        <f t="shared" si="4"/>
        <v>1771190715.4699998</v>
      </c>
      <c r="T12" s="58">
        <f t="shared" si="4"/>
        <v>902089956.20999992</v>
      </c>
      <c r="U12" s="58">
        <f t="shared" si="4"/>
        <v>2320871200.96</v>
      </c>
      <c r="V12" s="58">
        <f t="shared" si="4"/>
        <v>1634541056.8100004</v>
      </c>
      <c r="W12" s="58">
        <f t="shared" si="4"/>
        <v>1104469105.74</v>
      </c>
      <c r="X12" s="58">
        <f t="shared" si="4"/>
        <v>484861505.28999996</v>
      </c>
      <c r="Y12" s="58">
        <f t="shared" si="4"/>
        <v>1682204520.22</v>
      </c>
      <c r="Z12" s="58">
        <f t="shared" si="4"/>
        <v>1067531022.6</v>
      </c>
      <c r="AA12" s="58">
        <f t="shared" si="4"/>
        <v>718684784.20999992</v>
      </c>
      <c r="AB12" s="58">
        <f t="shared" si="4"/>
        <v>330017587.11000001</v>
      </c>
      <c r="AC12" s="58">
        <f t="shared" si="4"/>
        <v>1322990319.24</v>
      </c>
      <c r="AD12" s="58">
        <f t="shared" si="4"/>
        <v>945017912.35000002</v>
      </c>
      <c r="AE12" s="58">
        <f t="shared" si="4"/>
        <v>563778375.11000001</v>
      </c>
      <c r="AF12" s="58">
        <f t="shared" si="4"/>
        <v>214473901.53999999</v>
      </c>
      <c r="AG12" s="58">
        <f t="shared" si="4"/>
        <v>432265308.57000005</v>
      </c>
      <c r="AH12" s="58">
        <f t="shared" si="4"/>
        <v>301118989.39999998</v>
      </c>
      <c r="AI12" s="58">
        <f t="shared" si="4"/>
        <v>178314405.56999999</v>
      </c>
      <c r="AJ12" s="58">
        <f t="shared" si="4"/>
        <v>74013909.549999997</v>
      </c>
      <c r="AK12" s="58">
        <f t="shared" si="4"/>
        <v>299869109.49000001</v>
      </c>
      <c r="AL12" s="58">
        <f t="shared" si="4"/>
        <v>195697048.51000002</v>
      </c>
      <c r="AM12" s="58">
        <f t="shared" si="4"/>
        <v>113894080.94</v>
      </c>
      <c r="AN12" s="58">
        <f t="shared" si="4"/>
        <v>216848936.81999999</v>
      </c>
      <c r="AO12" s="58">
        <f t="shared" si="4"/>
        <v>138539756.83000001</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495</v>
      </c>
      <c r="E13" s="28">
        <f>(E6/(1+E4)+E7)/E12</f>
        <v>0.78759788223362692</v>
      </c>
      <c r="F13" s="28">
        <f t="shared" ref="F13:BQ13" si="6">(F6/(1+F4)+F7)/F12</f>
        <v>0.78681807460682585</v>
      </c>
      <c r="G13" s="28">
        <f t="shared" si="6"/>
        <v>0.80958929873372287</v>
      </c>
      <c r="H13" s="28">
        <f t="shared" si="6"/>
        <v>0.9574861676269244</v>
      </c>
      <c r="I13" s="28">
        <f t="shared" si="6"/>
        <v>0.91701970739652705</v>
      </c>
      <c r="J13" s="28">
        <f t="shared" si="6"/>
        <v>0.96771561010211382</v>
      </c>
      <c r="K13" s="28">
        <f t="shared" si="6"/>
        <v>0.99614177037498919</v>
      </c>
      <c r="L13" s="28">
        <f t="shared" si="6"/>
        <v>0.93017327393536442</v>
      </c>
      <c r="M13" s="28">
        <f t="shared" si="6"/>
        <v>0.8584327964201719</v>
      </c>
      <c r="N13" s="28">
        <f t="shared" si="6"/>
        <v>0.85822825497924682</v>
      </c>
      <c r="O13" s="28">
        <f t="shared" si="6"/>
        <v>0.95115530805026571</v>
      </c>
      <c r="P13" s="28">
        <f t="shared" si="6"/>
        <v>0.93473217637693462</v>
      </c>
      <c r="Q13" s="28">
        <f t="shared" si="6"/>
        <v>0.7165211066987931</v>
      </c>
      <c r="R13" s="28">
        <f t="shared" si="6"/>
        <v>0.8432512978022515</v>
      </c>
      <c r="S13" s="28">
        <f t="shared" si="6"/>
        <v>0.73958577174828322</v>
      </c>
      <c r="T13" s="28">
        <f t="shared" si="6"/>
        <v>0.92151931617488581</v>
      </c>
      <c r="U13" s="28">
        <f t="shared" si="6"/>
        <v>0.95450709764527675</v>
      </c>
      <c r="V13" s="28">
        <f t="shared" si="6"/>
        <v>1.1041447337424397</v>
      </c>
      <c r="W13" s="28">
        <f t="shared" si="6"/>
        <v>0.94698627747212771</v>
      </c>
      <c r="X13" s="28">
        <f t="shared" si="6"/>
        <v>1.0517653697075389</v>
      </c>
      <c r="Y13" s="28">
        <f t="shared" si="6"/>
        <v>0.97111531934766959</v>
      </c>
      <c r="Z13" s="28">
        <f t="shared" si="6"/>
        <v>1.0332608922681823</v>
      </c>
      <c r="AA13" s="28">
        <f t="shared" si="6"/>
        <v>0.98323007941573037</v>
      </c>
      <c r="AB13" s="28">
        <f t="shared" si="6"/>
        <v>0.94024070433610052</v>
      </c>
      <c r="AC13" s="28">
        <f t="shared" si="6"/>
        <v>0.94913904601252908</v>
      </c>
      <c r="AD13" s="28">
        <f t="shared" si="6"/>
        <v>1.1324770946311034</v>
      </c>
      <c r="AE13" s="28">
        <f t="shared" si="6"/>
        <v>1.1709496725658939</v>
      </c>
      <c r="AF13" s="28">
        <f t="shared" si="6"/>
        <v>1.3433653268029764</v>
      </c>
      <c r="AG13" s="28">
        <f t="shared" si="6"/>
        <v>0.78269253343888134</v>
      </c>
      <c r="AH13" s="28">
        <f t="shared" si="6"/>
        <v>0.89860445752668061</v>
      </c>
      <c r="AI13" s="28">
        <f t="shared" si="6"/>
        <v>0.9502605261683339</v>
      </c>
      <c r="AJ13" s="28">
        <f t="shared" si="6"/>
        <v>0.98990126410810864</v>
      </c>
      <c r="AK13" s="28">
        <f t="shared" si="6"/>
        <v>0.91508006824468191</v>
      </c>
      <c r="AL13" s="28">
        <f t="shared" si="6"/>
        <v>0.87008453333414193</v>
      </c>
      <c r="AM13" s="28">
        <f t="shared" si="6"/>
        <v>0.68060304062998289</v>
      </c>
      <c r="AN13" s="28">
        <f t="shared" si="6"/>
        <v>0.94834005996360626</v>
      </c>
      <c r="AO13" s="28">
        <f t="shared" si="6"/>
        <v>0.98493538419021021</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20" t="s">
        <v>496</v>
      </c>
      <c r="E14" s="26">
        <f>现金流量表!E13</f>
        <v>3661761690.5700002</v>
      </c>
      <c r="F14" s="26">
        <f>现金流量表!F13</f>
        <v>2250366666.8200002</v>
      </c>
      <c r="G14" s="26">
        <f>现金流量表!G13</f>
        <v>1759679972.95</v>
      </c>
      <c r="H14" s="26">
        <f>现金流量表!H13</f>
        <v>1141384861.8800001</v>
      </c>
      <c r="I14" s="26">
        <f>现金流量表!I13</f>
        <v>-47582840.780000001</v>
      </c>
      <c r="J14" s="26">
        <f>现金流量表!J13</f>
        <v>336188130.79000002</v>
      </c>
      <c r="K14" s="26">
        <f>现金流量表!K13</f>
        <v>262117929.06999999</v>
      </c>
      <c r="L14" s="26">
        <f>现金流量表!L13</f>
        <v>222761060.78</v>
      </c>
      <c r="M14" s="26">
        <f>现金流量表!M13</f>
        <v>906538876.46000004</v>
      </c>
      <c r="N14" s="26">
        <f>现金流量表!N13</f>
        <v>388686363.80000001</v>
      </c>
      <c r="O14" s="26">
        <f>现金流量表!O13</f>
        <v>354172187.81</v>
      </c>
      <c r="P14" s="26">
        <f>现金流量表!P13</f>
        <v>139161454.44</v>
      </c>
      <c r="Q14" s="26">
        <f>现金流量表!Q13</f>
        <v>429685348.39999998</v>
      </c>
      <c r="R14" s="26">
        <f>现金流量表!R13</f>
        <v>296848457.61000001</v>
      </c>
      <c r="S14" s="26">
        <f>现金流量表!S13</f>
        <v>256607295.25999999</v>
      </c>
      <c r="T14" s="26">
        <f>现金流量表!T13</f>
        <v>103475604.77</v>
      </c>
      <c r="U14" s="26">
        <f>现金流量表!U13</f>
        <v>225523563</v>
      </c>
      <c r="V14" s="26">
        <f>现金流量表!V13</f>
        <v>230773972.19999999</v>
      </c>
      <c r="W14" s="26">
        <f>现金流量表!W13</f>
        <v>201487576.16999999</v>
      </c>
      <c r="X14" s="26">
        <f>现金流量表!X13</f>
        <v>69957359.090000004</v>
      </c>
      <c r="Y14" s="26">
        <f>现金流量表!Y13</f>
        <v>272807541.54000002</v>
      </c>
      <c r="Z14" s="26">
        <f>现金流量表!Z13</f>
        <v>114090966.87</v>
      </c>
      <c r="AA14" s="26">
        <f>现金流量表!AA13</f>
        <v>76014690.170000002</v>
      </c>
      <c r="AB14" s="26">
        <f>现金流量表!AB13</f>
        <v>53866496.350000001</v>
      </c>
      <c r="AC14" s="26">
        <f>现金流量表!AC13</f>
        <v>160817596.75999999</v>
      </c>
      <c r="AD14" s="26">
        <f>现金流量表!AD13</f>
        <v>60339410.619999997</v>
      </c>
      <c r="AE14" s="26">
        <f>现金流量表!AE13</f>
        <v>75277360.269999996</v>
      </c>
      <c r="AF14" s="26">
        <f>现金流量表!AF13</f>
        <v>11934666.84</v>
      </c>
      <c r="AG14" s="26">
        <f>现金流量表!AG13</f>
        <v>109095509.63</v>
      </c>
      <c r="AH14" s="26">
        <f>现金流量表!AH13</f>
        <v>46980978.009999998</v>
      </c>
      <c r="AI14" s="26">
        <f>现金流量表!AI13</f>
        <v>8100884.7000000002</v>
      </c>
      <c r="AJ14" s="26">
        <f>现金流量表!AJ13</f>
        <v>10930452.949999999</v>
      </c>
      <c r="AK14" s="26">
        <f>现金流量表!AK13</f>
        <v>46079900.420000002</v>
      </c>
      <c r="AL14" s="26">
        <f>现金流量表!AL13</f>
        <v>22746886.75</v>
      </c>
      <c r="AM14" s="26">
        <f>现金流量表!AM13</f>
        <v>26587597.43</v>
      </c>
      <c r="AN14" s="26">
        <f>现金流量表!AN13</f>
        <v>34791336.369999997</v>
      </c>
      <c r="AO14" s="26">
        <f>现金流量表!AO13</f>
        <v>3978633.08</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497</v>
      </c>
      <c r="E15" s="26">
        <f>股权价值增加表!E17</f>
        <v>2895640740.7403135</v>
      </c>
      <c r="F15" s="26">
        <f>股权价值增加表!F17</f>
        <v>2199157958.1671591</v>
      </c>
      <c r="G15" s="26">
        <f>股权价值增加表!G17</f>
        <v>1440519950.5604391</v>
      </c>
      <c r="H15" s="26">
        <f>股权价值增加表!H17</f>
        <v>603868931.67022407</v>
      </c>
      <c r="I15" s="26">
        <f>股权价值增加表!I17</f>
        <v>2170420442.7199483</v>
      </c>
      <c r="J15" s="26">
        <f>股权价值增加表!J17</f>
        <v>1588523086.0046282</v>
      </c>
      <c r="K15" s="26">
        <f>股权价值增加表!K17</f>
        <v>997199787.82955527</v>
      </c>
      <c r="L15" s="26">
        <f>股权价值增加表!L17</f>
        <v>472078020.98302275</v>
      </c>
      <c r="M15" s="26">
        <f>股权价值增加表!M17</f>
        <v>1667174527.8494534</v>
      </c>
      <c r="N15" s="26">
        <f>股权价值增加表!N17</f>
        <v>1197940093.6591291</v>
      </c>
      <c r="O15" s="26">
        <f>股权价值增加表!O17</f>
        <v>784054731.98885322</v>
      </c>
      <c r="P15" s="26">
        <f>股权价值增加表!P17</f>
        <v>349279570.24848139</v>
      </c>
      <c r="Q15" s="26">
        <f>股权价值增加表!Q17</f>
        <v>1228977512.7067084</v>
      </c>
      <c r="R15" s="26">
        <f>股权价值增加表!R17</f>
        <v>823621706.99424863</v>
      </c>
      <c r="S15" s="26">
        <f>股权价值增加表!S17</f>
        <v>530514901.83064175</v>
      </c>
      <c r="T15" s="26">
        <f>股权价值增加表!T17</f>
        <v>232913611.8370584</v>
      </c>
      <c r="U15" s="26">
        <f>股权价值增加表!U17</f>
        <v>784798657.65193367</v>
      </c>
      <c r="V15" s="26">
        <f>股权价值增加表!V17</f>
        <v>550724313.37269509</v>
      </c>
      <c r="W15" s="26">
        <f>股权价值增加表!W17</f>
        <v>341537359.51211429</v>
      </c>
      <c r="X15" s="26">
        <f>股权价值增加表!X17</f>
        <v>143594922.83197463</v>
      </c>
      <c r="Y15" s="26">
        <f>股权价值增加表!Y17</f>
        <v>480461609.58303815</v>
      </c>
      <c r="Z15" s="26">
        <f>股权价值增加表!Z17</f>
        <v>331610816.34425473</v>
      </c>
      <c r="AA15" s="26">
        <f>股权价值增加表!AA17</f>
        <v>199332363.01246962</v>
      </c>
      <c r="AB15" s="26">
        <f>股权价值增加表!AB17</f>
        <v>52893939.390150942</v>
      </c>
      <c r="AC15" s="26">
        <f>股权价值增加表!AC17</f>
        <v>166276584.61329266</v>
      </c>
      <c r="AD15" s="26">
        <f>股权价值增加表!AD17</f>
        <v>122186864.76886798</v>
      </c>
      <c r="AE15" s="26">
        <f>股权价值增加表!AE17</f>
        <v>66398807.081554115</v>
      </c>
      <c r="AF15" s="26">
        <f>股权价值增加表!AF17</f>
        <v>18236344.1524073</v>
      </c>
      <c r="AG15" s="26">
        <f>股权价值增加表!AG17</f>
        <v>83824253.852534905</v>
      </c>
      <c r="AH15" s="26">
        <f>股权价值增加表!AH17</f>
        <v>66845590.574733555</v>
      </c>
      <c r="AI15" s="26">
        <f>股权价值增加表!AI17</f>
        <v>37656389.672859192</v>
      </c>
      <c r="AJ15" s="26">
        <f>股权价值增加表!AJ17</f>
        <v>12537994.665248485</v>
      </c>
      <c r="AK15" s="26">
        <f>股权价值增加表!AK17</f>
        <v>56362577.982306108</v>
      </c>
      <c r="AL15" s="26">
        <f>股权价值增加表!AL17</f>
        <v>29818314.544419121</v>
      </c>
      <c r="AM15" s="26">
        <f>股权价值增加表!AM17</f>
        <v>16433501.291339435</v>
      </c>
      <c r="AN15" s="26">
        <f>股权价值增加表!AN17</f>
        <v>37297976.278349347</v>
      </c>
      <c r="AO15" s="26">
        <f>股权价值增加表!AO17</f>
        <v>24119683.6776172</v>
      </c>
      <c r="AP15" s="26" t="e">
        <f>股权价值增加表!AP17</f>
        <v>#DIV/0!</v>
      </c>
      <c r="AQ15" s="26">
        <f>股权价值增加表!AQ17</f>
        <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498</v>
      </c>
      <c r="E16" s="28">
        <f>E14/E15</f>
        <v>1.2645773486505845</v>
      </c>
      <c r="F16" s="28">
        <f t="shared" ref="F16:BQ16" si="8">F14/F15</f>
        <v>1.0232855982275688</v>
      </c>
      <c r="G16" s="28">
        <f t="shared" si="8"/>
        <v>1.2215589046617443</v>
      </c>
      <c r="H16" s="28">
        <f t="shared" si="8"/>
        <v>1.8901201933391008</v>
      </c>
      <c r="I16" s="28">
        <f t="shared" si="8"/>
        <v>-2.19233286986413E-2</v>
      </c>
      <c r="J16" s="28">
        <f t="shared" si="8"/>
        <v>0.21163565940710574</v>
      </c>
      <c r="K16" s="28">
        <f t="shared" si="8"/>
        <v>0.26285397597256815</v>
      </c>
      <c r="L16" s="28">
        <f t="shared" si="8"/>
        <v>0.47187339990143518</v>
      </c>
      <c r="M16" s="28">
        <f t="shared" si="8"/>
        <v>0.54375763383895759</v>
      </c>
      <c r="N16" s="28">
        <f t="shared" si="8"/>
        <v>0.32446227140853984</v>
      </c>
      <c r="O16" s="28">
        <f t="shared" si="8"/>
        <v>0.45171870452410612</v>
      </c>
      <c r="P16" s="28">
        <f t="shared" si="8"/>
        <v>0.39842426037400064</v>
      </c>
      <c r="Q16" s="28">
        <f t="shared" si="8"/>
        <v>0.3496283243243874</v>
      </c>
      <c r="R16" s="28">
        <f t="shared" si="8"/>
        <v>0.36041844828656622</v>
      </c>
      <c r="S16" s="28">
        <f t="shared" si="8"/>
        <v>0.48369479231314355</v>
      </c>
      <c r="T16" s="28">
        <f t="shared" si="8"/>
        <v>0.44426602616247873</v>
      </c>
      <c r="U16" s="28">
        <f t="shared" si="8"/>
        <v>0.28736486842975978</v>
      </c>
      <c r="V16" s="28">
        <f t="shared" si="8"/>
        <v>0.4190371962819569</v>
      </c>
      <c r="W16" s="28">
        <f t="shared" si="8"/>
        <v>0.58994300494043972</v>
      </c>
      <c r="X16" s="28">
        <f t="shared" si="8"/>
        <v>0.48718546387506695</v>
      </c>
      <c r="Y16" s="28">
        <f t="shared" si="8"/>
        <v>0.56780299632420628</v>
      </c>
      <c r="Z16" s="28">
        <f t="shared" si="8"/>
        <v>0.34405080065771704</v>
      </c>
      <c r="AA16" s="28">
        <f t="shared" si="8"/>
        <v>0.38134645584492849</v>
      </c>
      <c r="AB16" s="28">
        <f t="shared" si="8"/>
        <v>1.0183869261972602</v>
      </c>
      <c r="AC16" s="28">
        <f t="shared" si="8"/>
        <v>0.96716923272156108</v>
      </c>
      <c r="AD16" s="28">
        <f t="shared" si="8"/>
        <v>0.49382894580476944</v>
      </c>
      <c r="AE16" s="28">
        <f t="shared" si="8"/>
        <v>1.1337155527137834</v>
      </c>
      <c r="AF16" s="28">
        <f t="shared" si="8"/>
        <v>0.65444404537762335</v>
      </c>
      <c r="AG16" s="28">
        <f t="shared" si="8"/>
        <v>1.3014790423535738</v>
      </c>
      <c r="AH16" s="28">
        <f t="shared" si="8"/>
        <v>0.70282837814822108</v>
      </c>
      <c r="AI16" s="28">
        <f t="shared" si="8"/>
        <v>0.21512643061049225</v>
      </c>
      <c r="AJ16" s="28">
        <f t="shared" si="8"/>
        <v>0.87178637747357612</v>
      </c>
      <c r="AK16" s="28">
        <f t="shared" si="8"/>
        <v>0.81756197231549377</v>
      </c>
      <c r="AL16" s="28">
        <f t="shared" si="8"/>
        <v>0.76284951371462983</v>
      </c>
      <c r="AM16" s="28">
        <f t="shared" si="8"/>
        <v>1.6178900015672157</v>
      </c>
      <c r="AN16" s="28">
        <f t="shared" si="8"/>
        <v>0.93279421141665531</v>
      </c>
      <c r="AO16" s="28">
        <f t="shared" si="8"/>
        <v>0.16495378352296253</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499</v>
      </c>
      <c r="E17" s="26">
        <f>股权价值增加表!E42</f>
        <v>2508357289.0100002</v>
      </c>
      <c r="F17" s="26">
        <f>股权价值增加表!F42</f>
        <v>1896222331.6999991</v>
      </c>
      <c r="G17" s="26">
        <f>股权价值增加表!G42</f>
        <v>1266132616.97</v>
      </c>
      <c r="H17" s="26">
        <f>股权价值增加表!H42</f>
        <v>545875085.55999982</v>
      </c>
      <c r="I17" s="26">
        <f>股权价值增加表!I42</f>
        <v>1995019433.1199987</v>
      </c>
      <c r="J17" s="26">
        <f>股权价值增加表!J42</f>
        <v>1414277549.4100003</v>
      </c>
      <c r="K17" s="26">
        <f>股权价值增加表!K42</f>
        <v>897060781.5400002</v>
      </c>
      <c r="L17" s="26">
        <f>股权价值增加表!L42</f>
        <v>399486880.40000004</v>
      </c>
      <c r="M17" s="26">
        <f>股权价值增加表!M42</f>
        <v>1402218143.9899993</v>
      </c>
      <c r="N17" s="26">
        <f>股权价值增加表!N42</f>
        <v>1021188461.0499996</v>
      </c>
      <c r="O17" s="26">
        <f>股权价值增加表!O42</f>
        <v>656332766.86000001</v>
      </c>
      <c r="P17" s="26">
        <f>股权价值增加表!P42</f>
        <v>291057008.28999996</v>
      </c>
      <c r="Q17" s="26">
        <f>股权价值增加表!Q42</f>
        <v>1010347555.4599996</v>
      </c>
      <c r="R17" s="26">
        <f>股权价值增加表!R42</f>
        <v>704518445.99999988</v>
      </c>
      <c r="S17" s="26">
        <f>股权价值增加表!S42</f>
        <v>452763154.49000001</v>
      </c>
      <c r="T17" s="26">
        <f>股权价值增加表!T42</f>
        <v>211839747.71000001</v>
      </c>
      <c r="U17" s="26">
        <f>股权价值增加表!U42</f>
        <v>664921173.29999983</v>
      </c>
      <c r="V17" s="26">
        <f>股权价值增加表!V42</f>
        <v>467424219.48000026</v>
      </c>
      <c r="W17" s="26">
        <f>股权价值增加表!W42</f>
        <v>288345270.87000012</v>
      </c>
      <c r="X17" s="26">
        <f>股权价值增加表!X42</f>
        <v>129286079.92</v>
      </c>
      <c r="Y17" s="26">
        <f>股权价值增加表!Y42</f>
        <v>435579650.98000002</v>
      </c>
      <c r="Z17" s="26">
        <f>股权价值增加表!Z42</f>
        <v>299516591.09000003</v>
      </c>
      <c r="AA17" s="26">
        <f>股权价值增加表!AA42</f>
        <v>179610211.84000006</v>
      </c>
      <c r="AB17" s="26">
        <f>股权价值增加表!AB42</f>
        <v>43866392.170000024</v>
      </c>
      <c r="AC17" s="26">
        <f>股权价值增加表!AC42</f>
        <v>139171820</v>
      </c>
      <c r="AD17" s="26">
        <f>股权价值增加表!AD42</f>
        <v>104637801.89000006</v>
      </c>
      <c r="AE17" s="26">
        <f>股权价值增加表!AE42</f>
        <v>59186005.670000017</v>
      </c>
      <c r="AF17" s="26">
        <f>股权价值增加表!AF42</f>
        <v>15942774.98000001</v>
      </c>
      <c r="AG17" s="26">
        <f>股权价值增加表!AG42</f>
        <v>72632545.990000024</v>
      </c>
      <c r="AH17" s="26">
        <f>股权价值增加表!AH42</f>
        <v>57394392.550000034</v>
      </c>
      <c r="AI17" s="26">
        <f>股权价值增加表!AI42</f>
        <v>31151760.710000016</v>
      </c>
      <c r="AJ17" s="26">
        <f>股权价值增加表!AJ42</f>
        <v>9430853.3599999957</v>
      </c>
      <c r="AK17" s="26">
        <f>股权价值增加表!AK42</f>
        <v>46175342.699999973</v>
      </c>
      <c r="AL17" s="26">
        <f>股权价值增加表!AL42</f>
        <v>23896328.099999994</v>
      </c>
      <c r="AM17" s="26">
        <f>股权价值增加表!AM42</f>
        <v>12440818.810000002</v>
      </c>
      <c r="AN17" s="26">
        <f>股权价值增加表!AN42</f>
        <v>30221166.160000026</v>
      </c>
      <c r="AO17" s="26">
        <f>股权价值增加表!AO42</f>
        <v>17288015.960000012</v>
      </c>
      <c r="AP17" s="26">
        <f>股权价值增加表!AP42</f>
        <v>0</v>
      </c>
      <c r="AQ17" s="26">
        <f>股权价值增加表!AQ42</f>
        <v>-329680221.73000002</v>
      </c>
      <c r="AR17" s="26">
        <f>股权价值增加表!AR42</f>
        <v>-320202934.91000003</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500</v>
      </c>
      <c r="E18" s="28">
        <f>E14/E17</f>
        <v>1.4598246057742541</v>
      </c>
      <c r="F18" s="28">
        <f t="shared" ref="F18:BQ18" si="10">F14/F17</f>
        <v>1.1867630863742145</v>
      </c>
      <c r="G18" s="28">
        <f t="shared" si="10"/>
        <v>1.389806999176054</v>
      </c>
      <c r="H18" s="28">
        <f t="shared" si="10"/>
        <v>2.0909268293662486</v>
      </c>
      <c r="I18" s="28">
        <f t="shared" si="10"/>
        <v>-2.3850815681321705E-2</v>
      </c>
      <c r="J18" s="28">
        <f t="shared" si="10"/>
        <v>0.23771015168150617</v>
      </c>
      <c r="K18" s="28">
        <f t="shared" si="10"/>
        <v>0.29219639790741658</v>
      </c>
      <c r="L18" s="28">
        <f t="shared" si="10"/>
        <v>0.55761796371623717</v>
      </c>
      <c r="M18" s="28">
        <f t="shared" si="10"/>
        <v>0.64650345621719862</v>
      </c>
      <c r="N18" s="28">
        <f t="shared" si="10"/>
        <v>0.38062157831312304</v>
      </c>
      <c r="O18" s="28">
        <f t="shared" si="10"/>
        <v>0.5396228951122094</v>
      </c>
      <c r="P18" s="28">
        <f t="shared" si="10"/>
        <v>0.47812438964308995</v>
      </c>
      <c r="Q18" s="28">
        <f t="shared" si="10"/>
        <v>0.42528469146873843</v>
      </c>
      <c r="R18" s="28">
        <f t="shared" si="10"/>
        <v>0.42134944698098092</v>
      </c>
      <c r="S18" s="28">
        <f t="shared" si="10"/>
        <v>0.5667583431099793</v>
      </c>
      <c r="T18" s="28">
        <f t="shared" si="10"/>
        <v>0.48846170696754176</v>
      </c>
      <c r="U18" s="28">
        <f t="shared" si="10"/>
        <v>0.33917338183220713</v>
      </c>
      <c r="V18" s="28">
        <f t="shared" si="10"/>
        <v>0.49371419490571378</v>
      </c>
      <c r="W18" s="28">
        <f t="shared" si="10"/>
        <v>0.69877191175034126</v>
      </c>
      <c r="X18" s="28">
        <f t="shared" si="10"/>
        <v>0.54110511458997301</v>
      </c>
      <c r="Y18" s="28">
        <f t="shared" si="10"/>
        <v>0.62630919724146206</v>
      </c>
      <c r="Z18" s="28">
        <f t="shared" si="10"/>
        <v>0.38091701850238224</v>
      </c>
      <c r="AA18" s="28">
        <f t="shared" si="10"/>
        <v>0.42322031354049749</v>
      </c>
      <c r="AB18" s="28">
        <f t="shared" si="10"/>
        <v>1.2279673272706251</v>
      </c>
      <c r="AC18" s="28">
        <f t="shared" si="10"/>
        <v>1.155532756272067</v>
      </c>
      <c r="AD18" s="28">
        <f t="shared" si="10"/>
        <v>0.57665021177940534</v>
      </c>
      <c r="AE18" s="28">
        <f t="shared" si="10"/>
        <v>1.2718776916577141</v>
      </c>
      <c r="AF18" s="28">
        <f t="shared" si="10"/>
        <v>0.74859407192109739</v>
      </c>
      <c r="AG18" s="28">
        <f t="shared" si="10"/>
        <v>1.5020196269179404</v>
      </c>
      <c r="AH18" s="28">
        <f t="shared" si="10"/>
        <v>0.81856390359165787</v>
      </c>
      <c r="AI18" s="28">
        <f t="shared" si="10"/>
        <v>0.2600458052889299</v>
      </c>
      <c r="AJ18" s="28">
        <f t="shared" si="10"/>
        <v>1.1590099572919246</v>
      </c>
      <c r="AK18" s="28">
        <f t="shared" si="10"/>
        <v>0.99793304663443305</v>
      </c>
      <c r="AL18" s="28">
        <f t="shared" si="10"/>
        <v>0.95189882959466088</v>
      </c>
      <c r="AM18" s="28">
        <f t="shared" si="10"/>
        <v>2.1371260072229918</v>
      </c>
      <c r="AN18" s="28">
        <f t="shared" si="10"/>
        <v>1.151224151503754</v>
      </c>
      <c r="AO18" s="28">
        <f t="shared" si="10"/>
        <v>0.23013821188073436</v>
      </c>
      <c r="AP18" s="28" t="e">
        <f t="shared" si="10"/>
        <v>#DIV/0!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501</v>
      </c>
      <c r="E19" s="26">
        <f>现金流量表!E48</f>
        <v>29956438.440000001</v>
      </c>
      <c r="F19" s="26">
        <f>现金流量表!F48</f>
        <v>0</v>
      </c>
      <c r="G19" s="26">
        <f>现金流量表!G48</f>
        <v>-25400189.350000001</v>
      </c>
      <c r="H19" s="26">
        <f>现金流量表!H48</f>
        <v>0</v>
      </c>
      <c r="I19" s="26">
        <f>现金流量表!I48</f>
        <v>164488091.91</v>
      </c>
      <c r="J19" s="26">
        <f>现金流量表!J48</f>
        <v>0</v>
      </c>
      <c r="K19" s="26">
        <f>现金流量表!K48</f>
        <v>48314025.810000002</v>
      </c>
      <c r="L19" s="26">
        <f>现金流量表!L48</f>
        <v>0</v>
      </c>
      <c r="M19" s="26">
        <f>现金流量表!M48</f>
        <v>71429859.040000007</v>
      </c>
      <c r="N19" s="26">
        <f>现金流量表!N48</f>
        <v>0</v>
      </c>
      <c r="O19" s="26">
        <f>现金流量表!O48</f>
        <v>9965352.8900000006</v>
      </c>
      <c r="P19" s="26">
        <f>现金流量表!P48</f>
        <v>0</v>
      </c>
      <c r="Q19" s="26">
        <f>现金流量表!Q48</f>
        <v>78913357.269999996</v>
      </c>
      <c r="R19" s="26">
        <f>现金流量表!R48</f>
        <v>0</v>
      </c>
      <c r="S19" s="26">
        <f>现金流量表!S48</f>
        <v>29400130.84</v>
      </c>
      <c r="T19" s="26">
        <f>现金流量表!T48</f>
        <v>0</v>
      </c>
      <c r="U19" s="26">
        <f>现金流量表!U48</f>
        <v>8659917.5299999993</v>
      </c>
      <c r="V19" s="26">
        <f>现金流量表!V48</f>
        <v>0</v>
      </c>
      <c r="W19" s="26">
        <f>现金流量表!W48</f>
        <v>793875.12</v>
      </c>
      <c r="X19" s="26">
        <f>现金流量表!X48</f>
        <v>0</v>
      </c>
      <c r="Y19" s="26">
        <f>现金流量表!Y48</f>
        <v>10385228.449999999</v>
      </c>
      <c r="Z19" s="26">
        <f>现金流量表!Z48</f>
        <v>0</v>
      </c>
      <c r="AA19" s="26">
        <f>现金流量表!AA48</f>
        <v>6491154.3899999997</v>
      </c>
      <c r="AB19" s="26">
        <f>现金流量表!AB48</f>
        <v>0</v>
      </c>
      <c r="AC19" s="26">
        <f>现金流量表!AC48</f>
        <v>4212918.57</v>
      </c>
      <c r="AD19" s="26">
        <f>现金流量表!AD48</f>
        <v>0</v>
      </c>
      <c r="AE19" s="26">
        <f>现金流量表!AE48</f>
        <v>0</v>
      </c>
      <c r="AF19" s="26">
        <f>现金流量表!AF48</f>
        <v>0</v>
      </c>
      <c r="AG19" s="26">
        <f>现金流量表!AG48</f>
        <v>715772.4</v>
      </c>
      <c r="AH19" s="26">
        <f>现金流量表!AH48</f>
        <v>0</v>
      </c>
      <c r="AI19" s="26">
        <f>现金流量表!AI48</f>
        <v>0</v>
      </c>
      <c r="AJ19" s="26">
        <f>现金流量表!AJ48</f>
        <v>0</v>
      </c>
      <c r="AK19" s="26">
        <f>现金流量表!AK48</f>
        <v>994588.04</v>
      </c>
      <c r="AL19" s="26">
        <f>现金流量表!AL48</f>
        <v>0</v>
      </c>
      <c r="AM19" s="26">
        <f>现金流量表!AM48</f>
        <v>0</v>
      </c>
      <c r="AN19" s="26">
        <f>现金流量表!AN48</f>
        <v>372501.82</v>
      </c>
      <c r="AO19" s="26">
        <f>现金流量表!AO48</f>
        <v>-699916.22</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502</v>
      </c>
      <c r="E20" s="26">
        <f>现金流量表!E49</f>
        <v>197938163.75</v>
      </c>
      <c r="F20" s="26">
        <f>现金流量表!F49</f>
        <v>0</v>
      </c>
      <c r="G20" s="26">
        <f>现金流量表!G49</f>
        <v>88331943.969999999</v>
      </c>
      <c r="H20" s="26">
        <f>现金流量表!H49</f>
        <v>0</v>
      </c>
      <c r="I20" s="26">
        <f>现金流量表!I49</f>
        <v>181260911.65000001</v>
      </c>
      <c r="J20" s="26">
        <f>现金流量表!J49</f>
        <v>0</v>
      </c>
      <c r="K20" s="26">
        <f>现金流量表!K49</f>
        <v>96444524.900000006</v>
      </c>
      <c r="L20" s="26">
        <f>现金流量表!L49</f>
        <v>0</v>
      </c>
      <c r="M20" s="26">
        <f>现金流量表!M49</f>
        <v>190974754.86000001</v>
      </c>
      <c r="N20" s="26">
        <f>现金流量表!N49</f>
        <v>0</v>
      </c>
      <c r="O20" s="26">
        <f>现金流量表!O49</f>
        <v>91998614.040000007</v>
      </c>
      <c r="P20" s="26">
        <f>现金流量表!P49</f>
        <v>0</v>
      </c>
      <c r="Q20" s="26">
        <f>现金流量表!Q49</f>
        <v>162964970.91999999</v>
      </c>
      <c r="R20" s="26">
        <f>现金流量表!R49</f>
        <v>0</v>
      </c>
      <c r="S20" s="26">
        <f>现金流量表!S49</f>
        <v>50661736.740000002</v>
      </c>
      <c r="T20" s="26">
        <f>现金流量表!T49</f>
        <v>0</v>
      </c>
      <c r="U20" s="26">
        <f>现金流量表!U49</f>
        <v>60803402.539999999</v>
      </c>
      <c r="V20" s="26">
        <f>现金流量表!V49</f>
        <v>0</v>
      </c>
      <c r="W20" s="26">
        <f>现金流量表!W49</f>
        <v>26121474.539999999</v>
      </c>
      <c r="X20" s="26">
        <f>现金流量表!X49</f>
        <v>0</v>
      </c>
      <c r="Y20" s="26">
        <f>现金流量表!Y49</f>
        <v>33542649.300000001</v>
      </c>
      <c r="Z20" s="26">
        <f>现金流量表!Z49</f>
        <v>0</v>
      </c>
      <c r="AA20" s="26">
        <f>现金流量表!AA49</f>
        <v>16224920.08</v>
      </c>
      <c r="AB20" s="26">
        <f>现金流量表!AB49</f>
        <v>0</v>
      </c>
      <c r="AC20" s="26">
        <f>现金流量表!AC49</f>
        <v>15220897.67</v>
      </c>
      <c r="AD20" s="26">
        <f>现金流量表!AD49</f>
        <v>0</v>
      </c>
      <c r="AE20" s="26">
        <f>现金流量表!AE49</f>
        <v>1854938.16</v>
      </c>
      <c r="AF20" s="26">
        <f>现金流量表!AF49</f>
        <v>0</v>
      </c>
      <c r="AG20" s="26">
        <f>现金流量表!AG49</f>
        <v>13779522.529999999</v>
      </c>
      <c r="AH20" s="26">
        <f>现金流量表!AH49</f>
        <v>0</v>
      </c>
      <c r="AI20" s="26">
        <f>现金流量表!AI49</f>
        <v>0</v>
      </c>
      <c r="AJ20" s="26">
        <f>现金流量表!AJ49</f>
        <v>0</v>
      </c>
      <c r="AK20" s="26">
        <f>现金流量表!AK49</f>
        <v>8875139.8699999992</v>
      </c>
      <c r="AL20" s="26">
        <f>现金流量表!AL49</f>
        <v>0</v>
      </c>
      <c r="AM20" s="26">
        <f>现金流量表!AM49</f>
        <v>0</v>
      </c>
      <c r="AN20" s="26">
        <f>现金流量表!AN49</f>
        <v>5492133.54</v>
      </c>
      <c r="AO20" s="26">
        <f>现金流量表!AO49</f>
        <v>5290785.6500000004</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503</v>
      </c>
      <c r="E21" s="26">
        <f>现金流量表!E50</f>
        <v>59049996.5</v>
      </c>
      <c r="F21" s="26">
        <f>现金流量表!F50</f>
        <v>0</v>
      </c>
      <c r="G21" s="26">
        <f>现金流量表!G50</f>
        <v>30094985.82</v>
      </c>
      <c r="H21" s="26">
        <f>现金流量表!H50</f>
        <v>0</v>
      </c>
      <c r="I21" s="26">
        <f>现金流量表!I50</f>
        <v>56205820.43</v>
      </c>
      <c r="J21" s="26">
        <f>现金流量表!J50</f>
        <v>0</v>
      </c>
      <c r="K21" s="26">
        <f>现金流量表!K50</f>
        <v>9930708.2200000007</v>
      </c>
      <c r="L21" s="26">
        <f>现金流量表!L50</f>
        <v>0</v>
      </c>
      <c r="M21" s="26">
        <f>现金流量表!M50</f>
        <v>15750922.17</v>
      </c>
      <c r="N21" s="26">
        <f>现金流量表!N50</f>
        <v>0</v>
      </c>
      <c r="O21" s="26">
        <f>现金流量表!O50</f>
        <v>6815400.8200000003</v>
      </c>
      <c r="P21" s="26">
        <f>现金流量表!P50</f>
        <v>0</v>
      </c>
      <c r="Q21" s="26">
        <f>现金流量表!Q50</f>
        <v>11364414.529999999</v>
      </c>
      <c r="R21" s="26">
        <f>现金流量表!R50</f>
        <v>0</v>
      </c>
      <c r="S21" s="26">
        <f>现金流量表!S50</f>
        <v>5100200.6500000004</v>
      </c>
      <c r="T21" s="26">
        <f>现金流量表!T50</f>
        <v>0</v>
      </c>
      <c r="U21" s="26">
        <f>现金流量表!U50</f>
        <v>7524731.7300000004</v>
      </c>
      <c r="V21" s="26">
        <f>现金流量表!V50</f>
        <v>0</v>
      </c>
      <c r="W21" s="26">
        <f>现金流量表!W50</f>
        <v>3517080.52</v>
      </c>
      <c r="X21" s="26">
        <f>现金流量表!X50</f>
        <v>0</v>
      </c>
      <c r="Y21" s="26">
        <f>现金流量表!Y50</f>
        <v>6826474.54</v>
      </c>
      <c r="Z21" s="26">
        <f>现金流量表!Z50</f>
        <v>0</v>
      </c>
      <c r="AA21" s="26">
        <f>现金流量表!AA50</f>
        <v>3410654.98</v>
      </c>
      <c r="AB21" s="26">
        <f>现金流量表!AB50</f>
        <v>0</v>
      </c>
      <c r="AC21" s="26">
        <f>现金流量表!AC50</f>
        <v>4153937.85</v>
      </c>
      <c r="AD21" s="26">
        <f>现金流量表!AD50</f>
        <v>0</v>
      </c>
      <c r="AE21" s="26">
        <f>现金流量表!AE50</f>
        <v>9417740.0199999996</v>
      </c>
      <c r="AF21" s="26">
        <f>现金流量表!AF50</f>
        <v>0</v>
      </c>
      <c r="AG21" s="26">
        <f>现金流量表!AG50</f>
        <v>1918598.32</v>
      </c>
      <c r="AH21" s="26">
        <f>现金流量表!AH50</f>
        <v>0</v>
      </c>
      <c r="AI21" s="26">
        <f>现金流量表!AI50</f>
        <v>0</v>
      </c>
      <c r="AJ21" s="26">
        <f>现金流量表!AJ50</f>
        <v>0</v>
      </c>
      <c r="AK21" s="26">
        <f>现金流量表!AK50</f>
        <v>2044910.42</v>
      </c>
      <c r="AL21" s="26">
        <f>现金流量表!AL50</f>
        <v>0</v>
      </c>
      <c r="AM21" s="26">
        <f>现金流量表!AM50</f>
        <v>0</v>
      </c>
      <c r="AN21" s="26">
        <f>现金流量表!AN50</f>
        <v>1058837.27</v>
      </c>
      <c r="AO21" s="26">
        <f>现金流量表!AO50</f>
        <v>1053089.81</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504</v>
      </c>
      <c r="E22" s="26">
        <f>现金流量表!E51</f>
        <v>11177737.220000001</v>
      </c>
      <c r="F22" s="26">
        <f>现金流量表!F51</f>
        <v>0</v>
      </c>
      <c r="G22" s="26">
        <f>现金流量表!G51</f>
        <v>4729237.12</v>
      </c>
      <c r="H22" s="26">
        <f>现金流量表!H51</f>
        <v>0</v>
      </c>
      <c r="I22" s="26">
        <f>现金流量表!I51</f>
        <v>646321.86</v>
      </c>
      <c r="J22" s="26">
        <f>现金流量表!J51</f>
        <v>0</v>
      </c>
      <c r="K22" s="26">
        <f>现金流量表!K51</f>
        <v>729938.45</v>
      </c>
      <c r="L22" s="26">
        <f>现金流量表!L51</f>
        <v>0</v>
      </c>
      <c r="M22" s="26">
        <f>现金流量表!M51</f>
        <v>81615.12</v>
      </c>
      <c r="N22" s="26">
        <f>现金流量表!N51</f>
        <v>0</v>
      </c>
      <c r="O22" s="26">
        <f>现金流量表!O51</f>
        <v>40807.56</v>
      </c>
      <c r="P22" s="26">
        <f>现金流量表!P51</f>
        <v>0</v>
      </c>
      <c r="Q22" s="26">
        <f>现金流量表!Q51</f>
        <v>596315.56000000006</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1388319.22</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505</v>
      </c>
      <c r="E23" s="26">
        <f>现金流量表!E54</f>
        <v>238205.34</v>
      </c>
      <c r="F23" s="26">
        <f>现金流量表!F54</f>
        <v>0</v>
      </c>
      <c r="G23" s="26">
        <f>现金流量表!G54</f>
        <v>199013.61</v>
      </c>
      <c r="H23" s="26">
        <f>现金流量表!H54</f>
        <v>0</v>
      </c>
      <c r="I23" s="26">
        <f>现金流量表!I54</f>
        <v>627516.66</v>
      </c>
      <c r="J23" s="26">
        <f>现金流量表!J54</f>
        <v>0</v>
      </c>
      <c r="K23" s="26">
        <f>现金流量表!K54</f>
        <v>3534.29</v>
      </c>
      <c r="L23" s="26">
        <f>现金流量表!L54</f>
        <v>0</v>
      </c>
      <c r="M23" s="26">
        <f>现金流量表!M54</f>
        <v>97280.54</v>
      </c>
      <c r="N23" s="26">
        <f>现金流量表!N54</f>
        <v>0</v>
      </c>
      <c r="O23" s="26">
        <f>现金流量表!O54</f>
        <v>37302.720000000001</v>
      </c>
      <c r="P23" s="26">
        <f>现金流量表!P54</f>
        <v>0</v>
      </c>
      <c r="Q23" s="26">
        <f>现金流量表!Q54</f>
        <v>2699692.81</v>
      </c>
      <c r="R23" s="26">
        <f>现金流量表!R54</f>
        <v>0</v>
      </c>
      <c r="S23" s="26">
        <f>现金流量表!S54</f>
        <v>0</v>
      </c>
      <c r="T23" s="26">
        <f>现金流量表!T54</f>
        <v>0</v>
      </c>
      <c r="U23" s="26">
        <f>现金流量表!U54</f>
        <v>33325.85</v>
      </c>
      <c r="V23" s="26">
        <f>现金流量表!V54</f>
        <v>0</v>
      </c>
      <c r="W23" s="26">
        <f>现金流量表!W54</f>
        <v>0</v>
      </c>
      <c r="X23" s="26">
        <f>现金流量表!X54</f>
        <v>0</v>
      </c>
      <c r="Y23" s="26">
        <f>现金流量表!Y54</f>
        <v>1065346.58</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507</v>
      </c>
      <c r="E25" s="28">
        <f>SUM(E19:E24)</f>
        <v>298360541.25</v>
      </c>
      <c r="F25" s="28">
        <f t="shared" ref="F25:BQ25" si="12">SUM(F19:F24)</f>
        <v>0</v>
      </c>
      <c r="G25" s="28">
        <f t="shared" si="12"/>
        <v>97954991.170000002</v>
      </c>
      <c r="H25" s="28">
        <f t="shared" si="12"/>
        <v>0</v>
      </c>
      <c r="I25" s="28">
        <f t="shared" si="12"/>
        <v>403228662.51000005</v>
      </c>
      <c r="J25" s="28">
        <f t="shared" si="12"/>
        <v>0</v>
      </c>
      <c r="K25" s="28">
        <f t="shared" si="12"/>
        <v>155422731.66999999</v>
      </c>
      <c r="L25" s="28">
        <f t="shared" si="12"/>
        <v>0</v>
      </c>
      <c r="M25" s="28">
        <f t="shared" si="12"/>
        <v>278334431.73000008</v>
      </c>
      <c r="N25" s="28">
        <f t="shared" si="12"/>
        <v>0</v>
      </c>
      <c r="O25" s="28">
        <f t="shared" si="12"/>
        <v>108857478.03</v>
      </c>
      <c r="P25" s="28">
        <f t="shared" si="12"/>
        <v>0</v>
      </c>
      <c r="Q25" s="28">
        <f t="shared" si="12"/>
        <v>256538751.09</v>
      </c>
      <c r="R25" s="28">
        <f t="shared" si="12"/>
        <v>0</v>
      </c>
      <c r="S25" s="28">
        <f t="shared" si="12"/>
        <v>85162068.230000004</v>
      </c>
      <c r="T25" s="28">
        <f t="shared" si="12"/>
        <v>0</v>
      </c>
      <c r="U25" s="28">
        <f t="shared" si="12"/>
        <v>77021377.649999991</v>
      </c>
      <c r="V25" s="28">
        <f t="shared" si="12"/>
        <v>0</v>
      </c>
      <c r="W25" s="28">
        <f t="shared" si="12"/>
        <v>30432430.18</v>
      </c>
      <c r="X25" s="28">
        <f t="shared" si="12"/>
        <v>0</v>
      </c>
      <c r="Y25" s="28">
        <f t="shared" si="12"/>
        <v>51819698.869999997</v>
      </c>
      <c r="Z25" s="28">
        <f t="shared" si="12"/>
        <v>0</v>
      </c>
      <c r="AA25" s="28">
        <f t="shared" si="12"/>
        <v>26126729.449999999</v>
      </c>
      <c r="AB25" s="28">
        <f t="shared" si="12"/>
        <v>0</v>
      </c>
      <c r="AC25" s="28">
        <f t="shared" si="12"/>
        <v>23587754.090000004</v>
      </c>
      <c r="AD25" s="28">
        <f t="shared" si="12"/>
        <v>0</v>
      </c>
      <c r="AE25" s="28">
        <f t="shared" si="12"/>
        <v>12660997.4</v>
      </c>
      <c r="AF25" s="28">
        <f t="shared" si="12"/>
        <v>0</v>
      </c>
      <c r="AG25" s="28">
        <f t="shared" si="12"/>
        <v>16413893.25</v>
      </c>
      <c r="AH25" s="28">
        <f t="shared" si="12"/>
        <v>0</v>
      </c>
      <c r="AI25" s="28">
        <f t="shared" si="12"/>
        <v>0</v>
      </c>
      <c r="AJ25" s="28">
        <f t="shared" si="12"/>
        <v>0</v>
      </c>
      <c r="AK25" s="28">
        <f t="shared" si="12"/>
        <v>11914638.33</v>
      </c>
      <c r="AL25" s="28">
        <f t="shared" si="12"/>
        <v>0</v>
      </c>
      <c r="AM25" s="28">
        <f t="shared" si="12"/>
        <v>0</v>
      </c>
      <c r="AN25" s="28">
        <f t="shared" si="12"/>
        <v>6923472.6300000008</v>
      </c>
      <c r="AO25" s="28">
        <f t="shared" si="12"/>
        <v>5643959.2400000002</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508</v>
      </c>
      <c r="E26" s="28">
        <f>E14-E25</f>
        <v>3363401149.3200002</v>
      </c>
      <c r="F26" s="28">
        <f t="shared" ref="F26:BQ26" si="14">F14-F25</f>
        <v>2250366666.8200002</v>
      </c>
      <c r="G26" s="28">
        <f t="shared" si="14"/>
        <v>1661724981.78</v>
      </c>
      <c r="H26" s="28">
        <f t="shared" si="14"/>
        <v>1141384861.8800001</v>
      </c>
      <c r="I26" s="28">
        <f t="shared" si="14"/>
        <v>-450811503.29000008</v>
      </c>
      <c r="J26" s="28">
        <f t="shared" si="14"/>
        <v>336188130.79000002</v>
      </c>
      <c r="K26" s="28">
        <f t="shared" si="14"/>
        <v>106695197.40000001</v>
      </c>
      <c r="L26" s="28">
        <f t="shared" si="14"/>
        <v>222761060.78</v>
      </c>
      <c r="M26" s="28">
        <f t="shared" si="14"/>
        <v>628204444.73000002</v>
      </c>
      <c r="N26" s="28">
        <f t="shared" si="14"/>
        <v>388686363.80000001</v>
      </c>
      <c r="O26" s="28">
        <f t="shared" si="14"/>
        <v>245314709.78</v>
      </c>
      <c r="P26" s="28">
        <f t="shared" si="14"/>
        <v>139161454.44</v>
      </c>
      <c r="Q26" s="28">
        <f t="shared" si="14"/>
        <v>173146597.30999997</v>
      </c>
      <c r="R26" s="28">
        <f t="shared" si="14"/>
        <v>296848457.61000001</v>
      </c>
      <c r="S26" s="28">
        <f t="shared" si="14"/>
        <v>171445227.02999997</v>
      </c>
      <c r="T26" s="28">
        <f t="shared" si="14"/>
        <v>103475604.77</v>
      </c>
      <c r="U26" s="28">
        <f t="shared" si="14"/>
        <v>148502185.35000002</v>
      </c>
      <c r="V26" s="28">
        <f t="shared" si="14"/>
        <v>230773972.19999999</v>
      </c>
      <c r="W26" s="28">
        <f t="shared" si="14"/>
        <v>171055145.98999998</v>
      </c>
      <c r="X26" s="28">
        <f t="shared" si="14"/>
        <v>69957359.090000004</v>
      </c>
      <c r="Y26" s="28">
        <f t="shared" si="14"/>
        <v>220987842.67000002</v>
      </c>
      <c r="Z26" s="28">
        <f t="shared" si="14"/>
        <v>114090966.87</v>
      </c>
      <c r="AA26" s="28">
        <f t="shared" si="14"/>
        <v>49887960.719999999</v>
      </c>
      <c r="AB26" s="28">
        <f t="shared" si="14"/>
        <v>53866496.350000001</v>
      </c>
      <c r="AC26" s="28">
        <f t="shared" si="14"/>
        <v>137229842.66999999</v>
      </c>
      <c r="AD26" s="28">
        <f t="shared" si="14"/>
        <v>60339410.619999997</v>
      </c>
      <c r="AE26" s="28">
        <f t="shared" si="14"/>
        <v>62616362.869999997</v>
      </c>
      <c r="AF26" s="28">
        <f t="shared" si="14"/>
        <v>11934666.84</v>
      </c>
      <c r="AG26" s="28">
        <f t="shared" si="14"/>
        <v>92681616.379999995</v>
      </c>
      <c r="AH26" s="28">
        <f t="shared" si="14"/>
        <v>46980978.009999998</v>
      </c>
      <c r="AI26" s="28">
        <f t="shared" si="14"/>
        <v>8100884.7000000002</v>
      </c>
      <c r="AJ26" s="28">
        <f t="shared" si="14"/>
        <v>10930452.949999999</v>
      </c>
      <c r="AK26" s="28">
        <f t="shared" si="14"/>
        <v>34165262.090000004</v>
      </c>
      <c r="AL26" s="28">
        <f t="shared" si="14"/>
        <v>22746886.75</v>
      </c>
      <c r="AM26" s="28">
        <f t="shared" si="14"/>
        <v>26587597.43</v>
      </c>
      <c r="AN26" s="28">
        <f t="shared" si="14"/>
        <v>27867863.739999995</v>
      </c>
      <c r="AO26" s="28">
        <f t="shared" si="14"/>
        <v>-1665326.1600000001</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67.5">
      <c r="A27" s="274" t="s">
        <v>751</v>
      </c>
      <c r="E27" s="26">
        <f>E26</f>
        <v>3363401149.3200002</v>
      </c>
      <c r="F27" s="192">
        <f t="shared" ref="F27:BQ27" si="16">F26</f>
        <v>2250366666.8200002</v>
      </c>
      <c r="G27" s="192">
        <f t="shared" si="16"/>
        <v>1661724981.78</v>
      </c>
      <c r="H27" s="192">
        <f t="shared" si="16"/>
        <v>1141384861.8800001</v>
      </c>
      <c r="I27" s="192">
        <f t="shared" si="16"/>
        <v>-450811503.29000008</v>
      </c>
      <c r="J27" s="192">
        <f t="shared" si="16"/>
        <v>336188130.79000002</v>
      </c>
      <c r="K27" s="192">
        <f t="shared" si="16"/>
        <v>106695197.40000001</v>
      </c>
      <c r="L27" s="192">
        <f t="shared" si="16"/>
        <v>222761060.78</v>
      </c>
      <c r="M27" s="192">
        <f t="shared" si="16"/>
        <v>628204444.73000002</v>
      </c>
      <c r="N27" s="192">
        <f t="shared" si="16"/>
        <v>388686363.80000001</v>
      </c>
      <c r="O27" s="192">
        <f t="shared" si="16"/>
        <v>245314709.78</v>
      </c>
      <c r="P27" s="192">
        <f t="shared" si="16"/>
        <v>139161454.44</v>
      </c>
      <c r="Q27" s="192">
        <f t="shared" si="16"/>
        <v>173146597.30999997</v>
      </c>
      <c r="R27" s="192">
        <f t="shared" si="16"/>
        <v>296848457.61000001</v>
      </c>
      <c r="S27" s="192">
        <f t="shared" si="16"/>
        <v>171445227.02999997</v>
      </c>
      <c r="T27" s="192">
        <f t="shared" si="16"/>
        <v>103475604.77</v>
      </c>
      <c r="U27" s="192">
        <f t="shared" si="16"/>
        <v>148502185.35000002</v>
      </c>
      <c r="V27" s="192">
        <f t="shared" si="16"/>
        <v>230773972.19999999</v>
      </c>
      <c r="W27" s="192">
        <f t="shared" si="16"/>
        <v>171055145.98999998</v>
      </c>
      <c r="X27" s="192">
        <f t="shared" si="16"/>
        <v>69957359.090000004</v>
      </c>
      <c r="Y27" s="192">
        <f t="shared" si="16"/>
        <v>220987842.67000002</v>
      </c>
      <c r="Z27" s="192">
        <f t="shared" si="16"/>
        <v>114090966.87</v>
      </c>
      <c r="AA27" s="192">
        <f t="shared" si="16"/>
        <v>49887960.719999999</v>
      </c>
      <c r="AB27" s="192">
        <f t="shared" si="16"/>
        <v>53866496.350000001</v>
      </c>
      <c r="AC27" s="192">
        <f t="shared" si="16"/>
        <v>137229842.66999999</v>
      </c>
      <c r="AD27" s="192">
        <f t="shared" si="16"/>
        <v>60339410.619999997</v>
      </c>
      <c r="AE27" s="192">
        <f t="shared" si="16"/>
        <v>62616362.869999997</v>
      </c>
      <c r="AF27" s="192">
        <f t="shared" si="16"/>
        <v>11934666.84</v>
      </c>
      <c r="AG27" s="192">
        <f t="shared" si="16"/>
        <v>92681616.379999995</v>
      </c>
      <c r="AH27" s="192">
        <f t="shared" si="16"/>
        <v>46980978.009999998</v>
      </c>
      <c r="AI27" s="192">
        <f t="shared" si="16"/>
        <v>8100884.7000000002</v>
      </c>
      <c r="AJ27" s="192">
        <f t="shared" si="16"/>
        <v>10930452.949999999</v>
      </c>
      <c r="AK27" s="192">
        <f t="shared" si="16"/>
        <v>34165262.090000004</v>
      </c>
      <c r="AL27" s="192">
        <f t="shared" si="16"/>
        <v>22746886.75</v>
      </c>
      <c r="AM27" s="192">
        <f t="shared" si="16"/>
        <v>26587597.43</v>
      </c>
      <c r="AN27" s="192">
        <f t="shared" si="16"/>
        <v>27867863.739999995</v>
      </c>
      <c r="AO27" s="192">
        <f t="shared" si="16"/>
        <v>-1665326.1600000001</v>
      </c>
      <c r="AP27" s="192">
        <f t="shared" si="16"/>
        <v>0</v>
      </c>
      <c r="AQ27" s="192">
        <f t="shared" si="16"/>
        <v>0</v>
      </c>
      <c r="AR27" s="192">
        <f t="shared" si="16"/>
        <v>0</v>
      </c>
      <c r="AS27" s="192">
        <f t="shared" si="16"/>
        <v>0</v>
      </c>
      <c r="AT27" s="192">
        <f t="shared" si="16"/>
        <v>0</v>
      </c>
      <c r="AU27" s="192">
        <f t="shared" si="16"/>
        <v>0</v>
      </c>
      <c r="AV27" s="192">
        <f t="shared" si="16"/>
        <v>0</v>
      </c>
      <c r="AW27" s="192">
        <f t="shared" si="16"/>
        <v>0</v>
      </c>
      <c r="AX27" s="192">
        <f t="shared" si="16"/>
        <v>0</v>
      </c>
      <c r="AY27" s="192">
        <f t="shared" si="16"/>
        <v>0</v>
      </c>
      <c r="AZ27" s="192">
        <f t="shared" si="16"/>
        <v>0</v>
      </c>
      <c r="BA27" s="192">
        <f t="shared" si="16"/>
        <v>0</v>
      </c>
      <c r="BB27" s="192">
        <f t="shared" si="16"/>
        <v>0</v>
      </c>
      <c r="BC27" s="192">
        <f t="shared" si="16"/>
        <v>0</v>
      </c>
      <c r="BD27" s="192">
        <f t="shared" si="16"/>
        <v>0</v>
      </c>
      <c r="BE27" s="192">
        <f t="shared" si="16"/>
        <v>0</v>
      </c>
      <c r="BF27" s="192">
        <f t="shared" si="16"/>
        <v>0</v>
      </c>
      <c r="BG27" s="192">
        <f t="shared" si="16"/>
        <v>0</v>
      </c>
      <c r="BH27" s="192">
        <f t="shared" si="16"/>
        <v>0</v>
      </c>
      <c r="BI27" s="192">
        <f t="shared" si="16"/>
        <v>0</v>
      </c>
      <c r="BJ27" s="192">
        <f t="shared" si="16"/>
        <v>0</v>
      </c>
      <c r="BK27" s="192">
        <f t="shared" si="16"/>
        <v>0</v>
      </c>
      <c r="BL27" s="192">
        <f t="shared" si="16"/>
        <v>0</v>
      </c>
      <c r="BM27" s="192">
        <f t="shared" si="16"/>
        <v>0</v>
      </c>
      <c r="BN27" s="192">
        <f t="shared" si="16"/>
        <v>0</v>
      </c>
      <c r="BO27" s="192">
        <f t="shared" si="16"/>
        <v>0</v>
      </c>
      <c r="BP27" s="192">
        <f t="shared" si="16"/>
        <v>0</v>
      </c>
      <c r="BQ27" s="192">
        <f t="shared" si="16"/>
        <v>0</v>
      </c>
      <c r="BR27" s="192">
        <f t="shared" ref="BR27:CL27" si="17">BR26</f>
        <v>0</v>
      </c>
      <c r="BS27" s="192">
        <f t="shared" si="17"/>
        <v>0</v>
      </c>
      <c r="BT27" s="192">
        <f t="shared" si="17"/>
        <v>0</v>
      </c>
      <c r="BU27" s="192">
        <f t="shared" si="17"/>
        <v>0</v>
      </c>
      <c r="BV27" s="192">
        <f t="shared" si="17"/>
        <v>0</v>
      </c>
      <c r="BW27" s="192">
        <f t="shared" si="17"/>
        <v>0</v>
      </c>
      <c r="BX27" s="192">
        <f t="shared" si="17"/>
        <v>0</v>
      </c>
      <c r="BY27" s="192">
        <f t="shared" si="17"/>
        <v>0</v>
      </c>
      <c r="BZ27" s="192">
        <f t="shared" si="17"/>
        <v>0</v>
      </c>
      <c r="CA27" s="192">
        <f t="shared" si="17"/>
        <v>0</v>
      </c>
      <c r="CB27" s="192">
        <f t="shared" si="17"/>
        <v>0</v>
      </c>
      <c r="CC27" s="192">
        <f t="shared" si="17"/>
        <v>0</v>
      </c>
      <c r="CD27" s="192">
        <f t="shared" si="17"/>
        <v>0</v>
      </c>
      <c r="CE27" s="192">
        <f t="shared" si="17"/>
        <v>0</v>
      </c>
      <c r="CF27" s="192">
        <f t="shared" si="17"/>
        <v>0</v>
      </c>
      <c r="CG27" s="192">
        <f t="shared" si="17"/>
        <v>0</v>
      </c>
      <c r="CH27" s="192">
        <f t="shared" si="17"/>
        <v>0</v>
      </c>
      <c r="CI27" s="192">
        <f t="shared" si="17"/>
        <v>0</v>
      </c>
      <c r="CJ27" s="192">
        <f t="shared" si="17"/>
        <v>0</v>
      </c>
      <c r="CK27" s="192">
        <f t="shared" si="17"/>
        <v>0</v>
      </c>
      <c r="CL27" s="192">
        <f t="shared" si="17"/>
        <v>0</v>
      </c>
    </row>
    <row r="28" spans="1:90" s="63" customFormat="1">
      <c r="A28" s="17" t="s">
        <v>509</v>
      </c>
      <c r="E28" s="63">
        <f>(E27-I27)/I27</f>
        <v>-8.4607704656470926</v>
      </c>
      <c r="F28" s="63">
        <f t="shared" ref="F28:BQ28" si="18">(F27-J27)/J27</f>
        <v>5.6937719113756939</v>
      </c>
      <c r="G28" s="63">
        <f t="shared" si="18"/>
        <v>14.574505903486896</v>
      </c>
      <c r="H28" s="63">
        <f t="shared" si="18"/>
        <v>4.1238078050240468</v>
      </c>
      <c r="I28" s="63">
        <f t="shared" si="18"/>
        <v>-1.7176190921153973</v>
      </c>
      <c r="J28" s="63">
        <f t="shared" si="18"/>
        <v>-0.13506579571444174</v>
      </c>
      <c r="K28" s="63">
        <f t="shared" si="18"/>
        <v>-0.56506808134055631</v>
      </c>
      <c r="L28" s="63">
        <f t="shared" si="18"/>
        <v>0.60073823370424961</v>
      </c>
      <c r="M28" s="63">
        <f t="shared" si="18"/>
        <v>2.6281651184011947</v>
      </c>
      <c r="N28" s="63">
        <f t="shared" si="18"/>
        <v>0.30937639672919165</v>
      </c>
      <c r="O28" s="63">
        <f t="shared" si="18"/>
        <v>0.43086345435019979</v>
      </c>
      <c r="P28" s="63">
        <f t="shared" si="18"/>
        <v>0.34487210535585261</v>
      </c>
      <c r="Q28" s="63">
        <f t="shared" si="18"/>
        <v>0.16595319390025356</v>
      </c>
      <c r="R28" s="63">
        <f t="shared" si="18"/>
        <v>0.2863168873859685</v>
      </c>
      <c r="S28" s="63">
        <f t="shared" si="18"/>
        <v>2.2804402506709509E-3</v>
      </c>
      <c r="T28" s="63">
        <f t="shared" si="18"/>
        <v>0.47912394229860555</v>
      </c>
      <c r="U28" s="63">
        <f t="shared" si="18"/>
        <v>-0.32800744350557981</v>
      </c>
      <c r="V28" s="63">
        <f t="shared" si="18"/>
        <v>1.0227190506935879</v>
      </c>
      <c r="W28" s="63">
        <f t="shared" si="18"/>
        <v>2.4287860943055999</v>
      </c>
      <c r="X28" s="63">
        <f t="shared" si="18"/>
        <v>0.29871745575299519</v>
      </c>
      <c r="Y28" s="63">
        <f t="shared" si="18"/>
        <v>0.61034829138014079</v>
      </c>
      <c r="Z28" s="63">
        <f t="shared" si="18"/>
        <v>0.89082004112555269</v>
      </c>
      <c r="AA28" s="63">
        <f t="shared" si="18"/>
        <v>-0.20327597398823491</v>
      </c>
      <c r="AB28" s="63">
        <f t="shared" si="18"/>
        <v>3.5134478466933063</v>
      </c>
      <c r="AC28" s="63">
        <f t="shared" si="18"/>
        <v>0.4806587112955571</v>
      </c>
      <c r="AD28" s="63">
        <f t="shared" si="18"/>
        <v>0.28433704822314743</v>
      </c>
      <c r="AE28" s="63">
        <f t="shared" si="18"/>
        <v>6.7295709282221967</v>
      </c>
      <c r="AF28" s="63">
        <f t="shared" si="18"/>
        <v>9.1873035325585536E-2</v>
      </c>
      <c r="AG28" s="63">
        <f t="shared" si="18"/>
        <v>1.7127441942594501</v>
      </c>
      <c r="AH28" s="63">
        <f t="shared" si="18"/>
        <v>1.0653805738932602</v>
      </c>
      <c r="AI28" s="63">
        <f t="shared" si="18"/>
        <v>-0.69531339861271557</v>
      </c>
      <c r="AJ28" s="63">
        <f t="shared" si="18"/>
        <v>-0.60777571427870047</v>
      </c>
      <c r="AK28" s="63">
        <f t="shared" si="18"/>
        <v>-21.515658079856259</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15" customHeight="1">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c r="A31" s="111" t="s">
        <v>569</v>
      </c>
      <c r="B31" s="112"/>
      <c r="C31" s="112"/>
      <c r="D31" s="112"/>
      <c r="E31" s="112">
        <f>POWER(E27/U27,1/5)-1</f>
        <v>0.86641907652740602</v>
      </c>
      <c r="F31" s="112"/>
      <c r="G31" s="112"/>
      <c r="H31" s="112"/>
      <c r="I31" s="112">
        <f>POWER(E27/Y27,1/6)-1</f>
        <v>0.57423071241251167</v>
      </c>
      <c r="M31" s="112">
        <f>POWER(E27/AC27,1/7)-1</f>
        <v>0.57934034209438234</v>
      </c>
      <c r="Q31" s="115" t="s">
        <v>602</v>
      </c>
      <c r="R31" s="115"/>
      <c r="S31" s="115"/>
      <c r="T31" s="115"/>
      <c r="U31" s="115">
        <f>POWER(E14/U14,1/5)-1</f>
        <v>0.74622270393108825</v>
      </c>
      <c r="V31" s="115"/>
      <c r="W31" s="115"/>
      <c r="X31" s="115"/>
      <c r="Y31" s="115">
        <f>POWER(E14/Y14,1/6)-1</f>
        <v>0.54160206769164243</v>
      </c>
      <c r="Z31" s="115"/>
      <c r="AA31" s="115"/>
      <c r="AB31" s="115"/>
      <c r="AC31" s="115">
        <f>POWER(E14/AC14,1/7)-1</f>
        <v>0.56281680556539326</v>
      </c>
    </row>
    <row r="32" spans="1:90" s="66" customFormat="1">
      <c r="A32" s="46" t="s">
        <v>511</v>
      </c>
      <c r="E32" s="66">
        <v>0.17</v>
      </c>
    </row>
    <row r="39" spans="1:13" ht="40.5">
      <c r="A39" s="67" t="s">
        <v>512</v>
      </c>
    </row>
    <row r="41" spans="1:13" ht="111" customHeight="1">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workbookViewId="0">
      <selection activeCell="B5" sqref="B5"/>
    </sheetView>
  </sheetViews>
  <sheetFormatPr defaultRowHeight="13.5"/>
  <cols>
    <col min="1" max="1" width="42.5" style="17" bestFit="1" customWidth="1"/>
    <col min="2" max="2" width="24.5" style="26" bestFit="1" customWidth="1"/>
    <col min="3" max="3" width="37.125" bestFit="1" customWidth="1"/>
    <col min="4" max="4" width="23.25" bestFit="1" customWidth="1"/>
    <col min="5" max="8" width="19.375" bestFit="1" customWidth="1"/>
    <col min="9" max="9" width="21.625" bestFit="1" customWidth="1"/>
    <col min="10" max="11" width="19.375" bestFit="1" customWidth="1"/>
    <col min="12" max="12" width="38.25" bestFit="1" customWidth="1"/>
    <col min="13" max="18" width="19.375" bestFit="1" customWidth="1"/>
    <col min="19" max="19" width="20.5" bestFit="1" customWidth="1"/>
    <col min="20" max="74" width="9.5" bestFit="1" customWidth="1"/>
  </cols>
  <sheetData>
    <row r="1" spans="1:10" ht="16.149999999999999" customHeight="1">
      <c r="A1" s="68" t="s">
        <v>513</v>
      </c>
      <c r="B1" s="69">
        <f>自由现金流分析表!E1</f>
        <v>43100</v>
      </c>
      <c r="C1" s="190" t="s">
        <v>750</v>
      </c>
      <c r="D1" s="273">
        <v>0.08</v>
      </c>
      <c r="E1" s="261" t="s">
        <v>749</v>
      </c>
      <c r="F1" s="63">
        <f>平均资本成本表!E13</f>
        <v>4.8898216286474783E-2</v>
      </c>
    </row>
    <row r="2" spans="1:10">
      <c r="A2" s="70" t="s">
        <v>514</v>
      </c>
      <c r="B2" s="71">
        <f>(自由现金流分析表!E27+自由现金流分析表!I27+自由现金流分析表!M27)/3</f>
        <v>1180264696.9200001</v>
      </c>
      <c r="C2" t="s">
        <v>547</v>
      </c>
      <c r="D2" s="63"/>
      <c r="E2" s="63"/>
      <c r="F2" s="56"/>
    </row>
    <row r="3" spans="1:10" s="63" customFormat="1">
      <c r="A3" s="72" t="s">
        <v>515</v>
      </c>
      <c r="B3" s="98">
        <v>0.03</v>
      </c>
      <c r="D3" s="189"/>
      <c r="E3" s="189"/>
      <c r="F3" s="259"/>
    </row>
    <row r="4" spans="1:10" s="63" customFormat="1">
      <c r="A4" s="72" t="s">
        <v>516</v>
      </c>
      <c r="B4" s="98">
        <f>F1</f>
        <v>4.8898216286474783E-2</v>
      </c>
      <c r="D4" s="189"/>
      <c r="E4" s="189"/>
      <c r="F4" s="260"/>
    </row>
    <row r="5" spans="1:10">
      <c r="A5" s="70" t="s">
        <v>517</v>
      </c>
      <c r="B5" s="71">
        <f>B2*(1+B3)/(B4-B3)</f>
        <v>64327374573.315773</v>
      </c>
      <c r="D5" s="63"/>
      <c r="E5" s="63"/>
    </row>
    <row r="6" spans="1:10">
      <c r="A6" s="70" t="s">
        <v>518</v>
      </c>
      <c r="B6" s="71">
        <f>资产资本表!E17</f>
        <v>23071052529.989998</v>
      </c>
      <c r="D6" s="189"/>
      <c r="E6" s="189"/>
      <c r="F6" s="189"/>
      <c r="G6" s="189"/>
    </row>
    <row r="7" spans="1:10">
      <c r="A7" s="70" t="s">
        <v>519</v>
      </c>
      <c r="B7" s="71">
        <f>资产资本表!E19</f>
        <v>0</v>
      </c>
      <c r="D7" s="189"/>
      <c r="E7" s="189"/>
      <c r="F7" s="189"/>
      <c r="G7" s="189"/>
    </row>
    <row r="8" spans="1:10">
      <c r="A8" s="70" t="s">
        <v>520</v>
      </c>
      <c r="B8" s="196">
        <f>资产资本表!E89</f>
        <v>11815688846.720001</v>
      </c>
      <c r="C8" s="271" t="s">
        <v>747</v>
      </c>
      <c r="D8" s="272">
        <f>B2/B4</f>
        <v>24137172816.392906</v>
      </c>
      <c r="E8" s="63"/>
      <c r="F8" s="189"/>
      <c r="G8" s="189"/>
    </row>
    <row r="9" spans="1:10">
      <c r="A9" s="70" t="s">
        <v>521</v>
      </c>
      <c r="B9" s="196">
        <f>B5+B6+B7-B8</f>
        <v>75582738256.58577</v>
      </c>
      <c r="C9" s="271" t="s">
        <v>748</v>
      </c>
      <c r="D9" s="272">
        <f>(D8+资产资本结构分析表!$E$2+资产资本结构分析表!$E$3)/B55</f>
        <v>12.162028026934395</v>
      </c>
      <c r="E9" s="189"/>
      <c r="F9" s="189"/>
      <c r="G9" s="189"/>
    </row>
    <row r="10" spans="1:10">
      <c r="A10" s="70" t="s">
        <v>522</v>
      </c>
      <c r="B10" s="73">
        <f>资产资本表!E103/资产资本表!E107</f>
        <v>9.7501526295816552E-4</v>
      </c>
      <c r="D10" s="189"/>
      <c r="E10" s="189"/>
      <c r="F10" s="189"/>
      <c r="G10" s="189"/>
    </row>
    <row r="11" spans="1:10">
      <c r="A11" s="70" t="s">
        <v>548</v>
      </c>
      <c r="B11" s="196">
        <f>B9*(1-B10)</f>
        <v>75509043933.169418</v>
      </c>
      <c r="C11" s="268" t="s">
        <v>744</v>
      </c>
      <c r="D11" s="269">
        <f>资产资本结构分析表!E2</f>
        <v>23071052529.989998</v>
      </c>
      <c r="E11" s="63"/>
      <c r="F11" s="189"/>
      <c r="G11" s="189"/>
    </row>
    <row r="12" spans="1:10">
      <c r="A12" s="70" t="s">
        <v>523</v>
      </c>
      <c r="B12" s="267">
        <f>B55</f>
        <v>3881608005</v>
      </c>
      <c r="C12" s="268" t="s">
        <v>745</v>
      </c>
      <c r="D12" s="270">
        <f>D11/B55</f>
        <v>5.9436842927651572</v>
      </c>
      <c r="E12" s="189"/>
      <c r="F12" s="189"/>
      <c r="G12" s="189"/>
    </row>
    <row r="13" spans="1:10" ht="14.25" thickBot="1">
      <c r="A13" s="74" t="s">
        <v>524</v>
      </c>
      <c r="B13" s="75">
        <f>B11/B12</f>
        <v>19.453031794015331</v>
      </c>
      <c r="D13" s="189"/>
      <c r="E13" s="189"/>
    </row>
    <row r="14" spans="1:10" s="16" customFormat="1" ht="53.25" customHeight="1">
      <c r="A14" s="279" t="s">
        <v>737</v>
      </c>
      <c r="B14" s="278"/>
      <c r="C14" s="278"/>
      <c r="D14" s="278"/>
      <c r="E14" s="278"/>
      <c r="F14" s="278"/>
      <c r="G14" s="278"/>
      <c r="H14" s="278"/>
      <c r="I14" s="278"/>
    </row>
    <row r="16" spans="1:10" ht="14.45">
      <c r="A16" s="88"/>
      <c r="B16" s="76"/>
      <c r="C16" s="77"/>
      <c r="D16" s="77"/>
      <c r="E16" s="77"/>
      <c r="F16" s="77"/>
      <c r="G16" s="77"/>
      <c r="H16" s="77"/>
      <c r="I16" s="78"/>
      <c r="J16" s="77"/>
    </row>
    <row r="17" spans="1:10" s="63" customFormat="1">
      <c r="A17" s="90"/>
      <c r="B17" s="90"/>
      <c r="C17" s="90" t="s">
        <v>540</v>
      </c>
      <c r="D17" s="90">
        <v>0.1</v>
      </c>
      <c r="E17" s="90"/>
      <c r="F17" s="90"/>
      <c r="G17" s="90"/>
      <c r="H17" s="90" t="s">
        <v>541</v>
      </c>
      <c r="I17" s="90">
        <v>0.04</v>
      </c>
      <c r="J17" s="78"/>
    </row>
    <row r="18" spans="1:10" s="2" customFormat="1">
      <c r="A18" s="300" t="s">
        <v>525</v>
      </c>
      <c r="B18" s="300"/>
      <c r="C18" s="65" t="s">
        <v>539</v>
      </c>
      <c r="D18" s="97">
        <v>1</v>
      </c>
      <c r="E18" s="97">
        <v>2</v>
      </c>
      <c r="F18" s="97">
        <v>3</v>
      </c>
      <c r="G18" s="97">
        <v>4</v>
      </c>
      <c r="H18" s="97">
        <v>5</v>
      </c>
      <c r="I18" s="96">
        <v>6</v>
      </c>
      <c r="J18" s="80"/>
    </row>
    <row r="19" spans="1:10" s="26" customFormat="1">
      <c r="A19" s="99" t="s">
        <v>526</v>
      </c>
      <c r="B19" s="94"/>
      <c r="C19" s="89">
        <f>B2</f>
        <v>1180264696.9200001</v>
      </c>
      <c r="D19" s="89">
        <f>C19*(1+$D$17)</f>
        <v>1298291166.6120002</v>
      </c>
      <c r="E19" s="89">
        <f>D19*(1+$D$17)</f>
        <v>1428120283.2732003</v>
      </c>
      <c r="F19" s="89">
        <f>E19*(1+$D$17)</f>
        <v>1570932311.6005204</v>
      </c>
      <c r="G19" s="89">
        <f>F19*(1+$D$17)</f>
        <v>1728025542.7605724</v>
      </c>
      <c r="H19" s="89">
        <f>G19*(1+$D$17)</f>
        <v>1900828097.0366299</v>
      </c>
      <c r="I19" s="89">
        <f>H19*(1+I17)</f>
        <v>1976861220.9180951</v>
      </c>
      <c r="J19" s="76"/>
    </row>
    <row r="20" spans="1:10" s="26" customFormat="1">
      <c r="A20" s="99" t="s">
        <v>527</v>
      </c>
      <c r="B20" s="95">
        <f>B4</f>
        <v>4.8898216286474783E-2</v>
      </c>
      <c r="C20" s="89"/>
      <c r="D20" s="89">
        <f t="shared" ref="D20:I20" si="0">(1+$B$20)^D18</f>
        <v>1.0488982162864748</v>
      </c>
      <c r="E20" s="89">
        <f t="shared" si="0"/>
        <v>1.1001874681289485</v>
      </c>
      <c r="F20" s="89">
        <f t="shared" si="0"/>
        <v>1.1539846729011869</v>
      </c>
      <c r="G20" s="89">
        <f t="shared" si="0"/>
        <v>1.2104124650279862</v>
      </c>
      <c r="H20" s="89">
        <f t="shared" si="0"/>
        <v>1.2695994755387698</v>
      </c>
      <c r="I20" s="89">
        <f t="shared" si="0"/>
        <v>1.3316806252908595</v>
      </c>
      <c r="J20" s="76"/>
    </row>
    <row r="21" spans="1:10" s="26" customFormat="1">
      <c r="A21" s="301" t="s">
        <v>528</v>
      </c>
      <c r="B21" s="301"/>
      <c r="C21" s="89"/>
      <c r="D21" s="89">
        <f>D19/D20</f>
        <v>1237766588.2667601</v>
      </c>
      <c r="E21" s="89">
        <f>E19/E20</f>
        <v>1298069942.2998846</v>
      </c>
      <c r="F21" s="89">
        <f>F19/F20</f>
        <v>1361311244.8461747</v>
      </c>
      <c r="G21" s="89">
        <f>G19/G20</f>
        <v>1427633631.2519867</v>
      </c>
      <c r="H21" s="89">
        <f>H19/H20</f>
        <v>1497187210.3444204</v>
      </c>
      <c r="I21" s="89">
        <f>I19/((B20-I17)*I20)</f>
        <v>166829613299.71069</v>
      </c>
      <c r="J21" s="76"/>
    </row>
    <row r="22" spans="1:10" s="26" customFormat="1">
      <c r="A22" s="301" t="s">
        <v>546</v>
      </c>
      <c r="B22" s="301"/>
      <c r="C22" s="89"/>
      <c r="D22" s="297">
        <f>SUM(D21:H21)</f>
        <v>6821968617.0092268</v>
      </c>
      <c r="E22" s="298"/>
      <c r="F22" s="298"/>
      <c r="G22" s="298"/>
      <c r="H22" s="299"/>
      <c r="I22" s="89">
        <f>I21</f>
        <v>166829613299.71069</v>
      </c>
      <c r="J22" s="76"/>
    </row>
    <row r="23" spans="1:10">
      <c r="A23" s="92" t="s">
        <v>529</v>
      </c>
      <c r="B23" s="76">
        <f>D22+I22</f>
        <v>173651581916.71991</v>
      </c>
      <c r="C23" s="77"/>
      <c r="D23" s="77"/>
      <c r="E23" s="77"/>
      <c r="F23" s="77"/>
      <c r="G23" s="77"/>
      <c r="H23" s="77"/>
      <c r="I23" s="79"/>
      <c r="J23" s="77"/>
    </row>
    <row r="24" spans="1:10">
      <c r="A24" s="92" t="s">
        <v>530</v>
      </c>
      <c r="B24" s="76">
        <f>B23</f>
        <v>173651581916.71991</v>
      </c>
      <c r="C24" s="77"/>
      <c r="D24" s="77"/>
      <c r="E24" s="77"/>
      <c r="F24" s="77"/>
      <c r="G24" s="77"/>
      <c r="H24" s="77"/>
      <c r="I24" s="79"/>
      <c r="J24" s="77"/>
    </row>
    <row r="25" spans="1:10">
      <c r="A25" s="70" t="s">
        <v>531</v>
      </c>
      <c r="B25" s="71">
        <f>资产资本表!E17</f>
        <v>23071052529.989998</v>
      </c>
      <c r="C25" s="77"/>
      <c r="D25" s="77"/>
      <c r="E25" s="77"/>
      <c r="F25" s="77"/>
      <c r="G25" s="77"/>
      <c r="H25" s="77"/>
      <c r="I25" s="79"/>
      <c r="J25" s="77"/>
    </row>
    <row r="26" spans="1:10">
      <c r="A26" s="70" t="s">
        <v>532</v>
      </c>
      <c r="B26" s="71">
        <f>资产资本表!E19</f>
        <v>0</v>
      </c>
      <c r="C26" s="77"/>
      <c r="D26" s="77"/>
      <c r="E26" s="77"/>
      <c r="F26" s="77"/>
      <c r="G26" s="77"/>
      <c r="H26" s="77"/>
      <c r="I26" s="79"/>
      <c r="J26" s="77"/>
    </row>
    <row r="27" spans="1:10">
      <c r="A27" s="70" t="s">
        <v>533</v>
      </c>
      <c r="B27" s="71">
        <f>资产资本表!E89</f>
        <v>11815688846.720001</v>
      </c>
      <c r="C27" s="77"/>
      <c r="D27" s="77"/>
      <c r="E27" s="77"/>
      <c r="F27" s="77"/>
      <c r="G27" s="77"/>
      <c r="H27" s="77"/>
      <c r="I27" s="79"/>
      <c r="J27" s="77"/>
    </row>
    <row r="28" spans="1:10" s="2" customFormat="1">
      <c r="A28" s="82" t="s">
        <v>534</v>
      </c>
      <c r="B28" s="83">
        <f>B24+B25+B26-B27</f>
        <v>184906945599.9899</v>
      </c>
      <c r="C28" s="80"/>
      <c r="D28" s="80"/>
      <c r="E28" s="80"/>
      <c r="F28" s="80"/>
      <c r="G28" s="80"/>
      <c r="H28" s="80"/>
      <c r="I28" s="81"/>
      <c r="J28" s="80"/>
    </row>
    <row r="29" spans="1:10">
      <c r="A29" s="70" t="s">
        <v>535</v>
      </c>
      <c r="B29" s="78">
        <f>资产资本表!E103/资产资本表!E107</f>
        <v>9.7501526295816552E-4</v>
      </c>
      <c r="C29" s="302" t="s">
        <v>542</v>
      </c>
      <c r="D29" s="302"/>
      <c r="E29" s="302"/>
      <c r="F29" s="77"/>
      <c r="G29" s="77"/>
      <c r="H29" s="77"/>
      <c r="I29" s="79"/>
      <c r="J29" s="77"/>
    </row>
    <row r="30" spans="1:10" s="2" customFormat="1">
      <c r="A30" s="82" t="s">
        <v>536</v>
      </c>
      <c r="B30" s="83">
        <f>B28*(1-B29)</f>
        <v>184726658505.80292</v>
      </c>
      <c r="C30" s="91">
        <v>0.4</v>
      </c>
      <c r="D30" s="91">
        <v>0.3</v>
      </c>
      <c r="E30" s="91">
        <v>0.2</v>
      </c>
      <c r="F30" s="80"/>
      <c r="G30" s="80"/>
      <c r="H30" s="80"/>
      <c r="I30" s="81"/>
      <c r="J30" s="80"/>
    </row>
    <row r="31" spans="1:10">
      <c r="A31" s="70" t="s">
        <v>746</v>
      </c>
      <c r="B31" s="101">
        <f>B55</f>
        <v>3881608005</v>
      </c>
      <c r="C31" s="214">
        <f>$B$32*(1-C30)</f>
        <v>28.554144303265819</v>
      </c>
      <c r="D31" s="214">
        <f>$B$32*(1-D30)</f>
        <v>33.31316835381012</v>
      </c>
      <c r="E31" s="214">
        <f>$B$32*(1-E30)</f>
        <v>38.072192404354432</v>
      </c>
      <c r="F31" s="77"/>
      <c r="G31" s="77"/>
      <c r="H31" s="77"/>
      <c r="I31" s="79"/>
      <c r="J31" s="77"/>
    </row>
    <row r="32" spans="1:10" s="2" customFormat="1" ht="14.25" thickBot="1">
      <c r="A32" s="84" t="s">
        <v>537</v>
      </c>
      <c r="B32" s="85">
        <f>B30/B31</f>
        <v>47.590240505443035</v>
      </c>
      <c r="C32" s="86"/>
      <c r="D32" s="86"/>
      <c r="E32" s="86"/>
      <c r="F32" s="86"/>
      <c r="G32" s="86"/>
      <c r="H32" s="86"/>
      <c r="I32" s="87"/>
      <c r="J32" s="80"/>
    </row>
    <row r="33" spans="1:19" ht="63" customHeight="1">
      <c r="A33" s="303" t="s">
        <v>738</v>
      </c>
      <c r="B33" s="304"/>
      <c r="C33" s="304"/>
      <c r="D33" s="304"/>
      <c r="E33" s="304"/>
      <c r="F33" s="304"/>
      <c r="G33" s="304"/>
      <c r="H33" s="304"/>
      <c r="I33" s="304"/>
    </row>
    <row r="37" spans="1:19" s="63" customFormat="1">
      <c r="A37" s="203"/>
      <c r="B37" s="203"/>
      <c r="C37" s="213" t="s">
        <v>540</v>
      </c>
      <c r="D37" s="213">
        <v>0.15</v>
      </c>
      <c r="E37" s="213"/>
      <c r="F37" s="213"/>
      <c r="G37" s="213"/>
      <c r="H37" s="213" t="s">
        <v>635</v>
      </c>
      <c r="I37" s="213">
        <v>0.09</v>
      </c>
      <c r="J37" s="213"/>
      <c r="K37" s="213"/>
      <c r="L37" s="213"/>
      <c r="M37" s="213"/>
      <c r="N37" s="213"/>
      <c r="O37" s="213"/>
      <c r="P37" s="213"/>
      <c r="Q37" s="213"/>
      <c r="R37" s="213" t="s">
        <v>545</v>
      </c>
      <c r="S37" s="213">
        <v>0.02</v>
      </c>
    </row>
    <row r="38" spans="1:19" s="24" customFormat="1">
      <c r="A38" s="311" t="s">
        <v>543</v>
      </c>
      <c r="B38" s="312"/>
      <c r="C38" s="215" t="s">
        <v>539</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c r="A39" s="99" t="s">
        <v>526</v>
      </c>
      <c r="B39" s="94"/>
      <c r="C39" s="89">
        <f>B2</f>
        <v>1180264696.9200001</v>
      </c>
      <c r="D39" s="89">
        <f>$C$39*(1+$D$37)^D38</f>
        <v>1357304401.4579999</v>
      </c>
      <c r="E39" s="89">
        <f>$C$39*(1+$D$37)^E38</f>
        <v>1560900061.6766999</v>
      </c>
      <c r="F39" s="89">
        <f>$C$39*(1+$D$37)^F38</f>
        <v>1795035070.9282045</v>
      </c>
      <c r="G39" s="89">
        <f>$C$39*(1+$D$37)^G38</f>
        <v>2064290331.5674353</v>
      </c>
      <c r="H39" s="89">
        <f>$C$39*(1+$D$37)^H38</f>
        <v>2373933881.3025503</v>
      </c>
      <c r="I39" s="89">
        <f>H39*(1+$I$37)</f>
        <v>2587587930.6197801</v>
      </c>
      <c r="J39" s="89">
        <f t="shared" ref="J39:N39" si="1">I39*(1+$I$37)</f>
        <v>2820470844.3755603</v>
      </c>
      <c r="K39" s="89">
        <f t="shared" si="1"/>
        <v>3074313220.3693609</v>
      </c>
      <c r="L39" s="89">
        <f t="shared" si="1"/>
        <v>3351001410.2026038</v>
      </c>
      <c r="M39" s="89">
        <f t="shared" si="1"/>
        <v>3652591537.1208386</v>
      </c>
      <c r="N39" s="89">
        <f t="shared" si="1"/>
        <v>3981324775.4617143</v>
      </c>
      <c r="O39" s="89">
        <f t="shared" ref="O39" si="2">N39*(1+$I$37)</f>
        <v>4339644005.2532692</v>
      </c>
      <c r="P39" s="89">
        <f t="shared" ref="P39" si="3">O39*(1+$I$37)</f>
        <v>4730211965.7260637</v>
      </c>
      <c r="Q39" s="89">
        <f t="shared" ref="Q39" si="4">P39*(1+$I$37)</f>
        <v>5155931042.6414099</v>
      </c>
      <c r="R39" s="89">
        <f t="shared" ref="R39" si="5">Q39*(1+$I$37)</f>
        <v>5619964836.4791374</v>
      </c>
      <c r="S39" s="89">
        <f>R39*(1+S37)</f>
        <v>5732364133.2087202</v>
      </c>
    </row>
    <row r="40" spans="1:19" s="23" customFormat="1">
      <c r="A40" s="209" t="s">
        <v>527</v>
      </c>
      <c r="B40" s="208">
        <f>B4</f>
        <v>4.8898216286474783E-2</v>
      </c>
      <c r="C40" s="214"/>
      <c r="D40" s="214">
        <f>(1+$B$40)^D38</f>
        <v>1.0488982162864748</v>
      </c>
      <c r="E40" s="214">
        <f t="shared" ref="E40:R40" si="6">(1+$B$40)^E38</f>
        <v>1.1001874681289485</v>
      </c>
      <c r="F40" s="214">
        <f t="shared" si="6"/>
        <v>1.1539846729011869</v>
      </c>
      <c r="G40" s="214">
        <f t="shared" si="6"/>
        <v>1.2104124650279862</v>
      </c>
      <c r="H40" s="214">
        <f t="shared" si="6"/>
        <v>1.2695994755387698</v>
      </c>
      <c r="I40" s="214">
        <f t="shared" si="6"/>
        <v>1.3316806252908595</v>
      </c>
      <c r="J40" s="214">
        <f t="shared" si="6"/>
        <v>1.3967974325308399</v>
      </c>
      <c r="K40" s="214">
        <f t="shared" si="6"/>
        <v>1.4650983354951259</v>
      </c>
      <c r="L40" s="214">
        <f t="shared" si="6"/>
        <v>1.5367390307851208</v>
      </c>
      <c r="M40" s="214">
        <f t="shared" si="6"/>
        <v>1.6118828282883193</v>
      </c>
      <c r="N40" s="214">
        <f t="shared" si="6"/>
        <v>1.6907010234544162</v>
      </c>
      <c r="O40" s="214">
        <f t="shared" si="6"/>
        <v>1.7733732877750548</v>
      </c>
      <c r="P40" s="214">
        <f t="shared" si="6"/>
        <v>1.8600880783573366</v>
      </c>
      <c r="Q40" s="214">
        <f t="shared" si="6"/>
        <v>1.9510430675247468</v>
      </c>
      <c r="R40" s="214">
        <f t="shared" si="6"/>
        <v>2.0464455934247989</v>
      </c>
      <c r="S40" s="182">
        <f>(1+$B$40)^S38</f>
        <v>2.1465131326705884</v>
      </c>
    </row>
    <row r="41" spans="1:19" s="192" customFormat="1">
      <c r="A41" s="313" t="s">
        <v>528</v>
      </c>
      <c r="B41" s="314"/>
      <c r="C41" s="89"/>
      <c r="D41" s="89">
        <f t="shared" ref="D41:R41" si="7">D39/D40</f>
        <v>1294028705.9152489</v>
      </c>
      <c r="E41" s="89">
        <f t="shared" si="7"/>
        <v>1418758263.381485</v>
      </c>
      <c r="F41" s="89">
        <f t="shared" si="7"/>
        <v>1555510322.6937828</v>
      </c>
      <c r="G41" s="89">
        <f t="shared" si="7"/>
        <v>1705443715.4360487</v>
      </c>
      <c r="H41" s="89">
        <f t="shared" si="7"/>
        <v>1869828971.2943861</v>
      </c>
      <c r="I41" s="89">
        <f t="shared" si="7"/>
        <v>1943099480.0683618</v>
      </c>
      <c r="J41" s="89">
        <f t="shared" si="7"/>
        <v>2019241143.1235125</v>
      </c>
      <c r="K41" s="89">
        <f t="shared" si="7"/>
        <v>2098366468.5759168</v>
      </c>
      <c r="L41" s="89">
        <f t="shared" si="7"/>
        <v>2180592373.2480302</v>
      </c>
      <c r="M41" s="89">
        <f t="shared" si="7"/>
        <v>2266040355.4268122</v>
      </c>
      <c r="N41" s="89">
        <f t="shared" si="7"/>
        <v>2354836674.3915067</v>
      </c>
      <c r="O41" s="89">
        <f t="shared" si="7"/>
        <v>2447112536.9763298</v>
      </c>
      <c r="P41" s="89">
        <f t="shared" si="7"/>
        <v>2543004291.443749</v>
      </c>
      <c r="Q41" s="89">
        <f t="shared" si="7"/>
        <v>2642653628.9548168</v>
      </c>
      <c r="R41" s="89">
        <f t="shared" si="7"/>
        <v>2746207792.9342494</v>
      </c>
      <c r="S41" s="89">
        <f>S39/((B40-S37)*S40)</f>
        <v>92412173097.087036</v>
      </c>
    </row>
    <row r="42" spans="1:19" s="23" customFormat="1">
      <c r="A42" s="315" t="s">
        <v>546</v>
      </c>
      <c r="B42" s="316"/>
      <c r="C42" s="214"/>
      <c r="D42" s="308">
        <f>SUM(D41:H41)</f>
        <v>7843569978.7209511</v>
      </c>
      <c r="E42" s="309"/>
      <c r="F42" s="309"/>
      <c r="G42" s="309"/>
      <c r="H42" s="310"/>
      <c r="I42" s="308">
        <f>SUM(I41:R41)</f>
        <v>23241154745.143288</v>
      </c>
      <c r="J42" s="309"/>
      <c r="K42" s="309"/>
      <c r="L42" s="309"/>
      <c r="M42" s="309"/>
      <c r="N42" s="309"/>
      <c r="O42" s="309"/>
      <c r="P42" s="309"/>
      <c r="Q42" s="309"/>
      <c r="R42" s="310"/>
      <c r="S42" s="214">
        <f>S41</f>
        <v>92412173097.087036</v>
      </c>
    </row>
    <row r="43" spans="1:19">
      <c r="A43" s="205" t="s">
        <v>544</v>
      </c>
      <c r="B43" s="196">
        <f>D42+I42+S42</f>
        <v>123496897820.95128</v>
      </c>
      <c r="C43" s="197"/>
      <c r="D43" s="197"/>
      <c r="E43" s="197"/>
      <c r="F43" s="197"/>
      <c r="G43" s="197"/>
      <c r="H43" s="197"/>
      <c r="I43" s="197"/>
      <c r="J43" s="197"/>
      <c r="K43" s="197"/>
      <c r="L43" s="197"/>
      <c r="M43" s="197"/>
      <c r="N43" s="197"/>
      <c r="O43" s="197"/>
      <c r="P43" s="197"/>
      <c r="Q43" s="197"/>
      <c r="R43" s="197"/>
      <c r="S43" s="199"/>
    </row>
    <row r="44" spans="1:19">
      <c r="A44" s="205" t="s">
        <v>530</v>
      </c>
      <c r="B44" s="196">
        <f>B43</f>
        <v>123496897820.95128</v>
      </c>
      <c r="C44" s="197"/>
      <c r="D44" s="197"/>
      <c r="E44" s="197"/>
      <c r="F44" s="197"/>
      <c r="G44" s="197"/>
      <c r="H44" s="197"/>
      <c r="I44" s="197"/>
      <c r="J44" s="197"/>
      <c r="K44" s="197"/>
      <c r="L44" s="197"/>
      <c r="M44" s="197"/>
      <c r="N44" s="197"/>
      <c r="O44" s="197"/>
      <c r="P44" s="197"/>
      <c r="Q44" s="197"/>
      <c r="R44" s="197"/>
      <c r="S44" s="199"/>
    </row>
    <row r="45" spans="1:19">
      <c r="A45" s="195" t="s">
        <v>531</v>
      </c>
      <c r="B45" s="196">
        <f>资产资本表!E17</f>
        <v>23071052529.989998</v>
      </c>
      <c r="C45" s="197"/>
      <c r="D45" s="197"/>
      <c r="E45" s="197"/>
      <c r="F45" s="197"/>
      <c r="G45" s="197"/>
      <c r="H45" s="197"/>
      <c r="I45" s="197"/>
      <c r="J45" s="197"/>
      <c r="K45" s="197"/>
      <c r="L45" s="197"/>
      <c r="M45" s="197"/>
      <c r="N45" s="197"/>
      <c r="O45" s="197"/>
      <c r="P45" s="197"/>
      <c r="Q45" s="197"/>
      <c r="R45" s="197"/>
      <c r="S45" s="199"/>
    </row>
    <row r="46" spans="1:19">
      <c r="A46" s="195" t="s">
        <v>532</v>
      </c>
      <c r="B46" s="196">
        <f>资产资本表!E19</f>
        <v>0</v>
      </c>
      <c r="C46" s="197"/>
      <c r="D46" s="197"/>
      <c r="E46" s="197"/>
      <c r="F46" s="197"/>
      <c r="G46" s="197"/>
      <c r="H46" s="197"/>
      <c r="I46" s="197"/>
      <c r="J46" s="197"/>
      <c r="K46" s="197"/>
      <c r="L46" s="197"/>
      <c r="M46" s="197"/>
      <c r="N46" s="197"/>
      <c r="O46" s="197"/>
      <c r="P46" s="197"/>
      <c r="Q46" s="197"/>
      <c r="R46" s="197"/>
      <c r="S46" s="199"/>
    </row>
    <row r="47" spans="1:19">
      <c r="A47" s="195" t="s">
        <v>533</v>
      </c>
      <c r="B47" s="196">
        <f>资产资本表!E89</f>
        <v>11815688846.720001</v>
      </c>
      <c r="C47" s="197"/>
      <c r="D47" s="197"/>
      <c r="E47" s="197"/>
      <c r="F47" s="197"/>
      <c r="G47" s="197"/>
      <c r="H47" s="197"/>
      <c r="I47" s="197"/>
      <c r="J47" s="197"/>
      <c r="K47" s="197"/>
      <c r="L47" s="197"/>
      <c r="M47" s="197"/>
      <c r="N47" s="197"/>
      <c r="O47" s="197"/>
      <c r="P47" s="197"/>
      <c r="Q47" s="197"/>
      <c r="R47" s="197"/>
      <c r="S47" s="199"/>
    </row>
    <row r="48" spans="1:19">
      <c r="A48" s="200" t="s">
        <v>534</v>
      </c>
      <c r="B48" s="196">
        <f>B44+B45+B46-B47</f>
        <v>134752261504.22128</v>
      </c>
      <c r="C48" s="197"/>
      <c r="D48" s="197"/>
      <c r="E48" s="197"/>
      <c r="F48" s="197"/>
      <c r="G48" s="197"/>
      <c r="H48" s="197"/>
      <c r="I48" s="197"/>
      <c r="J48" s="197"/>
      <c r="K48" s="197"/>
      <c r="L48" s="197"/>
      <c r="M48" s="197"/>
      <c r="N48" s="197"/>
      <c r="O48" s="197"/>
      <c r="P48" s="197"/>
      <c r="Q48" s="197"/>
      <c r="R48" s="197"/>
      <c r="S48" s="199"/>
    </row>
    <row r="49" spans="1:74">
      <c r="A49" s="195" t="s">
        <v>535</v>
      </c>
      <c r="B49" s="198">
        <f>资产资本表!E103/资产资本表!E107</f>
        <v>9.7501526295816552E-4</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c r="A50" s="200" t="s">
        <v>536</v>
      </c>
      <c r="B50" s="196">
        <f>B48*(1-B49)</f>
        <v>134620875992.53653</v>
      </c>
      <c r="C50" s="305" t="s">
        <v>542</v>
      </c>
      <c r="D50" s="306"/>
      <c r="E50" s="307"/>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c r="A51" s="195" t="s">
        <v>538</v>
      </c>
      <c r="B51" s="210">
        <f>B55</f>
        <v>3881608005</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4.25" thickBot="1">
      <c r="A52" s="201" t="s">
        <v>537</v>
      </c>
      <c r="B52" s="206">
        <f>B50/B51</f>
        <v>34.681728762700381</v>
      </c>
      <c r="C52" s="207">
        <f>$B$52*(1-C51)</f>
        <v>20.809037257620229</v>
      </c>
      <c r="D52" s="207">
        <f>$B$52*(1-D51)</f>
        <v>24.277210133890264</v>
      </c>
      <c r="E52" s="207">
        <f>$B$52*(1-E51)</f>
        <v>27.745383010160307</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c r="A54" s="194">
        <v>2450</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c r="A55" s="211" t="s">
        <v>549</v>
      </c>
      <c r="B55" s="100">
        <v>3881608005</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4.25" thickBot="1">
      <c r="A56" s="74"/>
      <c r="B56" s="93"/>
    </row>
    <row r="57" spans="1:74" ht="52.9" customHeight="1">
      <c r="A57" s="295" t="s">
        <v>739</v>
      </c>
      <c r="B57" s="296"/>
      <c r="C57" s="296"/>
      <c r="D57" s="296"/>
      <c r="E57" s="296"/>
      <c r="F57" s="296"/>
      <c r="G57" s="296"/>
      <c r="H57" s="296"/>
      <c r="I57" s="296"/>
    </row>
    <row r="60" spans="1:74" s="155" customFormat="1" ht="51" customHeight="1">
      <c r="A60" s="293" t="s">
        <v>607</v>
      </c>
      <c r="B60" s="294"/>
      <c r="C60" s="294"/>
      <c r="D60" s="294"/>
      <c r="E60" s="294"/>
      <c r="F60" s="294"/>
      <c r="G60" s="294"/>
      <c r="H60" s="294"/>
      <c r="I60" s="294"/>
    </row>
    <row r="63" spans="1:74" s="4" customFormat="1">
      <c r="A63" s="177" t="s">
        <v>609</v>
      </c>
      <c r="B63" s="176" t="s">
        <v>610</v>
      </c>
      <c r="C63" s="96" t="s">
        <v>611</v>
      </c>
      <c r="D63" s="96" t="s">
        <v>612</v>
      </c>
      <c r="E63" s="96" t="s">
        <v>627</v>
      </c>
      <c r="F63" s="96" t="s">
        <v>613</v>
      </c>
      <c r="G63" s="96" t="s">
        <v>614</v>
      </c>
      <c r="H63" s="96" t="s">
        <v>623</v>
      </c>
      <c r="I63" s="96" t="s">
        <v>616</v>
      </c>
      <c r="J63" s="96" t="s">
        <v>622</v>
      </c>
      <c r="K63" s="96" t="s">
        <v>618</v>
      </c>
      <c r="L63" s="96" t="s">
        <v>624</v>
      </c>
    </row>
    <row r="64" spans="1:74" s="26" customFormat="1">
      <c r="A64" s="178">
        <f>股权价值增加表!M1</f>
        <v>42369</v>
      </c>
      <c r="B64" s="166">
        <v>42366</v>
      </c>
      <c r="C64" s="165">
        <v>17.39</v>
      </c>
      <c r="D64" s="165">
        <v>3.4</v>
      </c>
      <c r="E64" s="167">
        <f>股权价值增加表!M42/100000000</f>
        <v>14.022181439899994</v>
      </c>
      <c r="F64" s="167">
        <v>0</v>
      </c>
      <c r="G64" s="165">
        <v>16.47</v>
      </c>
      <c r="H64" s="167">
        <f>G64*D64</f>
        <v>55.997999999999998</v>
      </c>
      <c r="I64" s="167">
        <f>C64*D64</f>
        <v>59.125999999999998</v>
      </c>
      <c r="J64" s="167">
        <f>H64/E64</f>
        <v>3.9935298398477559</v>
      </c>
      <c r="K64" s="167">
        <f>I64/E64</f>
        <v>4.2166049735854569</v>
      </c>
      <c r="L64" s="262">
        <v>0</v>
      </c>
    </row>
    <row r="65" spans="1:12" s="26" customFormat="1">
      <c r="A65" s="178">
        <f>股权价值增加表!I1</f>
        <v>42735</v>
      </c>
      <c r="B65" s="166">
        <v>42543</v>
      </c>
      <c r="C65" s="165">
        <v>23.13</v>
      </c>
      <c r="D65" s="165">
        <v>3.64</v>
      </c>
      <c r="E65" s="167">
        <f>股权价值增加表!I42/100000000</f>
        <v>19.950194331199988</v>
      </c>
      <c r="F65" s="167">
        <f>(E65-E64)/E64*100</f>
        <v>42.275967663860676</v>
      </c>
      <c r="G65" s="165">
        <v>23.11</v>
      </c>
      <c r="H65" s="167">
        <f t="shared" ref="H65:H66" si="8">G65*D65</f>
        <v>84.120400000000004</v>
      </c>
      <c r="I65" s="167">
        <f t="shared" ref="I65:I66" si="9">C65*D65</f>
        <v>84.193200000000004</v>
      </c>
      <c r="J65" s="167">
        <f t="shared" ref="J65:J66" si="10">H65/E65</f>
        <v>4.2165203307541033</v>
      </c>
      <c r="K65" s="167">
        <f t="shared" ref="K65:K66" si="11">I65/E65</f>
        <v>4.2201694180156819</v>
      </c>
      <c r="L65" s="262">
        <f>K65/F65</f>
        <v>9.9824312753064789E-2</v>
      </c>
    </row>
    <row r="66" spans="1:12" s="26" customFormat="1">
      <c r="A66" s="178">
        <f>股权价值增加表!E1</f>
        <v>43100</v>
      </c>
      <c r="B66" s="166">
        <v>42872</v>
      </c>
      <c r="C66" s="165">
        <v>16.399999999999999</v>
      </c>
      <c r="D66" s="165">
        <v>9.09</v>
      </c>
      <c r="E66" s="167">
        <f>股权价值增加表!E42/100000000</f>
        <v>25.083572890100001</v>
      </c>
      <c r="F66" s="167">
        <f t="shared" ref="F66" si="12">(E66-E65)/E65*100</f>
        <v>25.730970203492969</v>
      </c>
      <c r="G66" s="165">
        <v>15.76</v>
      </c>
      <c r="H66" s="167">
        <f t="shared" si="8"/>
        <v>143.25839999999999</v>
      </c>
      <c r="I66" s="167">
        <f t="shared" si="9"/>
        <v>149.07599999999999</v>
      </c>
      <c r="J66" s="167">
        <f t="shared" si="10"/>
        <v>5.7112437940027796</v>
      </c>
      <c r="K66" s="167">
        <f t="shared" si="11"/>
        <v>5.94317247599274</v>
      </c>
      <c r="L66" s="262">
        <f t="shared" ref="L66" si="13">K66/F66</f>
        <v>0.2309735089268401</v>
      </c>
    </row>
    <row r="67" spans="1:12" s="26" customFormat="1">
      <c r="A67" s="161"/>
      <c r="B67" s="162"/>
      <c r="C67" s="83"/>
      <c r="D67" s="83"/>
      <c r="E67" s="83"/>
      <c r="F67" s="164"/>
      <c r="G67" s="83"/>
      <c r="H67" s="164"/>
      <c r="I67" s="164"/>
      <c r="J67" s="164"/>
      <c r="K67" s="164"/>
      <c r="L67" s="263"/>
    </row>
    <row r="68" spans="1:12" s="156" customFormat="1" ht="14.25" thickBot="1">
      <c r="A68" s="163" t="s">
        <v>621</v>
      </c>
      <c r="B68" s="44" t="s">
        <v>610</v>
      </c>
      <c r="C68" s="44" t="s">
        <v>611</v>
      </c>
      <c r="D68" s="44" t="s">
        <v>612</v>
      </c>
      <c r="E68" s="44" t="s">
        <v>620</v>
      </c>
      <c r="F68" s="44" t="s">
        <v>613</v>
      </c>
      <c r="G68" s="44" t="s">
        <v>614</v>
      </c>
      <c r="H68" s="44" t="s">
        <v>615</v>
      </c>
      <c r="I68" s="44" t="s">
        <v>616</v>
      </c>
      <c r="J68" s="44" t="s">
        <v>617</v>
      </c>
      <c r="K68" s="44" t="s">
        <v>618</v>
      </c>
      <c r="L68" s="264" t="s">
        <v>619</v>
      </c>
    </row>
    <row r="69" spans="1:12" s="26" customFormat="1" ht="14.25" thickBot="1">
      <c r="A69" s="168" t="s">
        <v>626</v>
      </c>
      <c r="B69" s="169">
        <v>43305</v>
      </c>
      <c r="C69" s="170">
        <v>11.65</v>
      </c>
      <c r="D69" s="170">
        <v>9.09</v>
      </c>
      <c r="E69" s="170">
        <v>4.33</v>
      </c>
      <c r="F69" s="171">
        <f>(E69-E66)/E66*100</f>
        <v>-82.737706390667469</v>
      </c>
      <c r="G69" s="170">
        <v>10.119999999999999</v>
      </c>
      <c r="H69" s="171">
        <f>G69*D69</f>
        <v>91.990799999999993</v>
      </c>
      <c r="I69" s="171">
        <f>C69*D69</f>
        <v>105.8985</v>
      </c>
      <c r="J69" s="171">
        <f>H69/E69</f>
        <v>21.244988452655885</v>
      </c>
      <c r="K69" s="171">
        <f>I69/E69</f>
        <v>24.456928406466513</v>
      </c>
      <c r="L69" s="265">
        <f>K69/F69</f>
        <v>-0.29559591960389625</v>
      </c>
    </row>
    <row r="70" spans="1:12" s="26" customFormat="1" ht="14.25" thickBot="1">
      <c r="A70" s="172" t="s">
        <v>625</v>
      </c>
      <c r="B70" s="173">
        <v>43305</v>
      </c>
      <c r="C70" s="174">
        <v>11.65</v>
      </c>
      <c r="D70" s="174">
        <v>9.09</v>
      </c>
      <c r="E70" s="174">
        <v>3.86</v>
      </c>
      <c r="F70" s="175">
        <f>(E70-E66)/E66*100</f>
        <v>-84.611442648493409</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-0.32424508672615093</v>
      </c>
    </row>
    <row r="71" spans="1:12" s="88" customFormat="1" ht="138" customHeight="1">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2019-02-15T03:29:46Z</dcterms:modified>
</cp:coreProperties>
</file>