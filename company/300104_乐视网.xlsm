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E913E234-1947-4DC5-8449-073A185F0C6C}"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U100" i="11" l="1"/>
  <c r="BU101" i="11" s="1"/>
  <c r="BM100" i="11"/>
  <c r="BM101" i="11" s="1"/>
  <c r="AW100" i="11"/>
  <c r="AW101" i="11" s="1"/>
  <c r="AO100" i="11"/>
  <c r="AO101" i="11" s="1"/>
  <c r="AG100" i="11"/>
  <c r="AG101" i="11" s="1"/>
  <c r="Y100" i="11"/>
  <c r="Y101" i="11" s="1"/>
  <c r="Q100" i="11"/>
  <c r="Q101" i="11" s="1"/>
  <c r="I100" i="11"/>
  <c r="I101" i="11" s="1"/>
  <c r="BE100" i="11"/>
  <c r="BE101" i="11" s="1"/>
  <c r="CC87" i="11"/>
  <c r="BU87" i="11"/>
  <c r="BM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69" i="5" l="1"/>
  <c r="C70" i="5" s="1"/>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13" i="12"/>
  <c r="CK18" i="12"/>
  <c r="X13" i="12"/>
  <c r="BL13" i="12"/>
  <c r="Y26" i="12"/>
  <c r="CC26" i="12"/>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BO9" i="10"/>
  <c r="BR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AD31" i="10" l="1"/>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L12" i="11" l="1"/>
  <c r="AL14" i="11" s="1"/>
  <c r="AL13" i="1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s="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<sst xmlns="http://schemas.openxmlformats.org/spreadsheetml/2006/main" count="915" uniqueCount="752">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</sst>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3" fontId="26" fillId="0" borderId="0" xfId="0" applyNumberFormat="1" applyFont="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-0.38169563738421186</c:v>
                </c:pt>
                <c:pt idx="1">
                  <c:v>0.16954758708248235</c:v>
                </c:pt>
                <c:pt idx="2">
                  <c:v>0.14632835694982607</c:v>
                </c:pt>
                <c:pt idx="3">
                  <c:v>0.14530196102779722</c:v>
                </c:pt>
                <c:pt idx="4">
                  <c:v>0.29330323720309975</c:v>
                </c:pt>
                <c:pt idx="5">
                  <c:v>0.41382452389445612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-2.4829379155763567</c:v>
                </c:pt>
                <c:pt idx="1">
                  <c:v>6.411605703567462E-3</c:v>
                </c:pt>
                <c:pt idx="2">
                  <c:v>7.5456759870420609E-2</c:v>
                </c:pt>
                <c:pt idx="3">
                  <c:v>6.2960112905129359E-2</c:v>
                </c:pt>
                <c:pt idx="4">
                  <c:v>0.14369631641838554</c:v>
                </c:pt>
                <c:pt idx="5">
                  <c:v>0.1910634977419586</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-2.3889939701220895</c:v>
                </c:pt>
                <c:pt idx="1">
                  <c:v>1.0455334627570348E-2</c:v>
                </c:pt>
                <c:pt idx="2">
                  <c:v>3.3052710112374505E-2</c:v>
                </c:pt>
                <c:pt idx="3">
                  <c:v>3.5397584172088326E-2</c:v>
                </c:pt>
                <c:pt idx="4">
                  <c:v>0.15252386019674868</c:v>
                </c:pt>
                <c:pt idx="5">
                  <c:v>0.24538721827829987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-2.4867832038692645</c:v>
                </c:pt>
                <c:pt idx="1">
                  <c:v>8.5673206084242847E-3</c:v>
                </c:pt>
                <c:pt idx="2">
                  <c:v>9.1806781693559089E-2</c:v>
                </c:pt>
                <c:pt idx="3">
                  <c:v>6.3665239769105819E-2</c:v>
                </c:pt>
                <c:pt idx="4">
                  <c:v>0.14367972997361897</c:v>
                </c:pt>
                <c:pt idx="5">
                  <c:v>0.20406438530330653</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-2.5153896303492673</c:v>
                </c:pt>
                <c:pt idx="1">
                  <c:v>-1.9577928559170236E-2</c:v>
                </c:pt>
                <c:pt idx="2">
                  <c:v>5.76742737471579E-3</c:v>
                </c:pt>
                <c:pt idx="3">
                  <c:v>1.02573489868996E-2</c:v>
                </c:pt>
                <c:pt idx="4">
                  <c:v>0.1027377883747127</c:v>
                </c:pt>
                <c:pt idx="5">
                  <c:v>0.19361583145880673</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-2.6182445423423855</c:v>
                </c:pt>
                <c:pt idx="1">
                  <c:v>-1.471181195389855E-2</c:v>
                </c:pt>
                <c:pt idx="2">
                  <c:v>1.67492682069477E-2</c:v>
                </c:pt>
                <c:pt idx="3">
                  <c:v>1.8454732646658985E-2</c:v>
                </c:pt>
                <c:pt idx="4">
                  <c:v>9.6800185826884613E-2</c:v>
                </c:pt>
                <c:pt idx="5">
                  <c:v>0.16102294068716649</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-17461729524.060001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-328708520.87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74169222.090000004</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72899104.840000004</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246400883.22999999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228011728.59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-18340413859.7272</c:v>
                </c:pt>
                <c:pt idx="1">
                  <c:v>-1161478488.5247989</c:v>
                </c:pt>
                <c:pt idx="2">
                  <c:v>-87190122.095199555</c:v>
                </c:pt>
                <c:pt idx="3">
                  <c:v>-141636182.47159997</c:v>
                </c:pt>
                <c:pt idx="4">
                  <c:v>62206868.687600166</c:v>
                </c:pt>
                <c:pt idx="5">
                  <c:v>86089050.377200097</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-666488415.15999997</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10481752739.559999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3815134279.6900001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3343473396.02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2079525750.53</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1273427238.4100001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13,926,545,239.61 </c:v>
                </c:pt>
                <c:pt idx="5">
                  <c:v>12,606,752,966.61 </c:v>
                </c:pt>
                <c:pt idx="6">
                  <c:v>10,714,019,963.78 </c:v>
                </c:pt>
                <c:pt idx="7">
                  <c:v>7,573,049,568.43 </c:v>
                </c:pt>
                <c:pt idx="8">
                  <c:v>6,963,243,298.27 </c:v>
                </c:pt>
                <c:pt idx="9">
                  <c:v>5,993,852,699.33 </c:v>
                </c:pt>
                <c:pt idx="10">
                  <c:v>5,224,509,429.88 </c:v>
                </c:pt>
                <c:pt idx="11">
                  <c:v>4,819,279,212.12 </c:v>
                </c:pt>
                <c:pt idx="12">
                  <c:v>4,498,559,580.78 </c:v>
                </c:pt>
                <c:pt idx="13">
                  <c:v>3,857,873,512.57 </c:v>
                </c:pt>
                <c:pt idx="14">
                  <c:v>3,422,994,387.40 </c:v>
                </c:pt>
                <c:pt idx="15">
                  <c:v>3,088,177,473.73 </c:v>
                </c:pt>
                <c:pt idx="16">
                  <c:v>2,933,977,881.21 </c:v>
                </c:pt>
                <c:pt idx="17">
                  <c:v>2,558,905,256.36 </c:v>
                </c:pt>
                <c:pt idx="18">
                  <c:v>2,438,031,928.77 </c:v>
                </c:pt>
                <c:pt idx="19">
                  <c:v>2,149,330,100.08 </c:v>
                </c:pt>
                <c:pt idx="20">
                  <c:v>2,008,888,370.16 </c:v>
                </c:pt>
              </c:strCache>
            </c:strRef>
          </c:tx>
          <c:invertIfNegative val="0"/>
          <c:cat>
            <c:numRef>
              <c:f>投资和筹资活动现金流表!$E$12</c:f>
              <c:numCache>
                <c:formatCode>#,##0.00_ </c:formatCode>
                <c:ptCount val="1"/>
                <c:pt idx="0">
                  <c:v>13926545239.610001</c:v>
                </c:pt>
              </c:numCache>
            </c:numRef>
          </c:cat>
          <c:val>
            <c:numRef>
              <c:f>投资和筹资活动现金流表!$E$12:$U$12</c:f>
              <c:numCache>
                <c:formatCode>#,##0.00_ </c:formatCode>
                <c:ptCount val="5"/>
                <c:pt idx="0">
                  <c:v>13926545239.610001</c:v>
                </c:pt>
                <c:pt idx="1">
                  <c:v>6963243298.2700005</c:v>
                </c:pt>
                <c:pt idx="2">
                  <c:v>4498559580.7799997</c:v>
                </c:pt>
                <c:pt idx="3">
                  <c:v>2933977881.21</c:v>
                </c:pt>
                <c:pt idx="4">
                  <c:v>2008888370.1599998</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-6.4974715349098336E-2</c:v>
                </c:pt>
                <c:pt idx="1">
                  <c:v>0.45282030737506745</c:v>
                </c:pt>
                <c:pt idx="2">
                  <c:v>0.25142896911768492</c:v>
                </c:pt>
                <c:pt idx="3">
                  <c:v>6.6196429064387524E-2</c:v>
                </c:pt>
                <c:pt idx="4">
                  <c:v>0.13978268009866313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-1.0114483048957881</c:v>
                </c:pt>
                <c:pt idx="1">
                  <c:v>-0.1952611714588732</c:v>
                </c:pt>
                <c:pt idx="2">
                  <c:v>0.31171029409959677</c:v>
                </c:pt>
                <c:pt idx="3">
                  <c:v>0.15477303873930945</c:v>
                </c:pt>
                <c:pt idx="4">
                  <c:v>0.1939201254698244</c:v>
                </c:pt>
                <c:pt idx="5">
                  <c:v>0.13698740968056822</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2610657777.0299997</c:v>
                </c:pt>
                <c:pt idx="1">
                  <c:v>5469908640.7200003</c:v>
                </c:pt>
                <c:pt idx="2">
                  <c:v>2809345385.8800001</c:v>
                </c:pt>
                <c:pt idx="3">
                  <c:v>1273867151.1799998</c:v>
                </c:pt>
                <c:pt idx="4">
                  <c:v>906823859.38</c:v>
                </c:pt>
                <c:pt idx="5">
                  <c:v>775253154.04999995</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239204736.97</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-2640545383.2399998</c:v>
                </c:pt>
                <c:pt idx="1">
                  <c:v>-1068060768.96</c:v>
                </c:pt>
                <c:pt idx="2">
                  <c:v>875701876.46000004</c:v>
                </c:pt>
                <c:pt idx="3">
                  <c:v>234182733.96000001</c:v>
                </c:pt>
                <c:pt idx="4">
                  <c:v>175851396.59</c:v>
                </c:pt>
                <c:pt idx="5">
                  <c:v>106199921.42</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3853603248.4499998</c:v>
                </c:pt>
                <c:pt idx="1">
                  <c:v>9477499774</c:v>
                </c:pt>
                <c:pt idx="2">
                  <c:v>4365349107</c:v>
                </c:pt>
                <c:pt idx="3">
                  <c:v>1153267014.8699999</c:v>
                </c:pt>
                <c:pt idx="4">
                  <c:v>1114659986.03</c:v>
                </c:pt>
                <c:pt idx="5">
                  <c:v>717823061.04999995</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3101797696.75</c:v>
                </c:pt>
                <c:pt idx="1">
                  <c:v>11086976739.940001</c:v>
                </c:pt>
                <c:pt idx="2">
                  <c:v>9215541.9400000051</c:v>
                </c:pt>
                <c:pt idx="3">
                  <c:v>394048152.10000002</c:v>
                </c:pt>
                <c:pt idx="4">
                  <c:v>530578022.94000006</c:v>
                </c:pt>
                <c:pt idx="5">
                  <c:v>19420000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-1588454193.4100003</c:v>
                </c:pt>
                <c:pt idx="1">
                  <c:v>710450376.21000099</c:v>
                </c:pt>
                <c:pt idx="2">
                  <c:v>3857940513.8400021</c:v>
                </c:pt>
                <c:pt idx="3">
                  <c:v>755707355.92999983</c:v>
                </c:pt>
                <c:pt idx="4">
                  <c:v>562877412.41999984</c:v>
                </c:pt>
                <c:pt idx="5">
                  <c:v>659224029.75999999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3746200489.1799998</c:v>
                </c:pt>
                <c:pt idx="1">
                  <c:v>6289562680.8000002</c:v>
                </c:pt>
                <c:pt idx="2">
                  <c:v>9046574441.0400009</c:v>
                </c:pt>
                <c:pt idx="3">
                  <c:v>2660600000</c:v>
                </c:pt>
                <c:pt idx="4">
                  <c:v>1350000000</c:v>
                </c:pt>
                <c:pt idx="5">
                  <c:v>783000000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1895260000</c:v>
                </c:pt>
                <c:pt idx="3">
                  <c:v>0</c:v>
                </c:pt>
                <c:pt idx="4">
                  <c:v>200000000</c:v>
                </c:pt>
                <c:pt idx="5">
                  <c:v>394000000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-27609163</c:v>
                </c:pt>
                <c:pt idx="1">
                  <c:v>3658780609.3899999</c:v>
                </c:pt>
                <c:pt idx="2">
                  <c:v>85671478.890000001</c:v>
                </c:pt>
                <c:pt idx="3">
                  <c:v>12957239</c:v>
                </c:pt>
                <c:pt idx="4">
                  <c:v>-7000000</c:v>
                </c:pt>
                <c:pt idx="5">
                  <c:v>-10000000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787544627.55999994</c:v>
                </c:pt>
                <c:pt idx="1">
                  <c:v>550138357.40999997</c:v>
                </c:pt>
                <c:pt idx="2">
                  <c:v>284322482.31999999</c:v>
                </c:pt>
                <c:pt idx="3">
                  <c:v>151285869.65000001</c:v>
                </c:pt>
                <c:pt idx="4">
                  <c:v>114836655.17</c:v>
                </c:pt>
                <c:pt idx="5">
                  <c:v>58480325.060000002</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7862345269.1099997</c:v>
                </c:pt>
                <c:pt idx="1">
                  <c:v>14110455849.67</c:v>
                </c:pt>
                <c:pt idx="2">
                  <c:v>7594075121.04</c:v>
                </c:pt>
                <c:pt idx="3">
                  <c:v>2901790829.6400003</c:v>
                </c:pt>
                <c:pt idx="4">
                  <c:v>1713198730.8800001</c:v>
                </c:pt>
                <c:pt idx="5">
                  <c:v>1171284623.54</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-666488415.16000009</c:v>
                </c:pt>
                <c:pt idx="1">
                  <c:v>10481752739.559999</c:v>
                </c:pt>
                <c:pt idx="2">
                  <c:v>3815134279.6899996</c:v>
                </c:pt>
                <c:pt idx="3">
                  <c:v>3343473396.02</c:v>
                </c:pt>
                <c:pt idx="4">
                  <c:v>2079525750.53</c:v>
                </c:pt>
                <c:pt idx="5">
                  <c:v>1273427238.4099998</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7639634763.3899994</c:v>
                </c:pt>
                <c:pt idx="1">
                  <c:v>25027200198.849998</c:v>
                </c:pt>
                <c:pt idx="2">
                  <c:v>11409209400.73</c:v>
                </c:pt>
                <c:pt idx="3">
                  <c:v>6256383038.0700006</c:v>
                </c:pt>
                <c:pt idx="4">
                  <c:v>3792724481.4100003</c:v>
                </c:pt>
                <c:pt idx="5">
                  <c:v>2444711861.9499998</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6.9810647408657472E-2</c:v>
                </c:pt>
                <c:pt idx="1">
                  <c:v>5.4982456649438516E-2</c:v>
                </c:pt>
                <c:pt idx="2">
                  <c:v>0.13147761020763898</c:v>
                </c:pt>
                <c:pt idx="3">
                  <c:v>9.7463593319197669E-2</c:v>
                </c:pt>
                <c:pt idx="4">
                  <c:v>7.7751391504159051E-2</c:v>
                </c:pt>
                <c:pt idx="5">
                  <c:v>7.1236847764358999E-2</c:v>
                </c:pt>
                <c:pt idx="6">
                  <c:v>6.9619534194727203E-2</c:v>
                </c:pt>
                <c:pt idx="7">
                  <c:v>8.2955402806490608E-2</c:v>
                </c:pt>
                <c:pt idx="8">
                  <c:v>0.08</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-0.71540516924351538</c:v>
                </c:pt>
                <c:pt idx="1">
                  <c:v>1.1084382703459885</c:v>
                </c:pt>
                <c:pt idx="2">
                  <c:v>4.5579629387630511</c:v>
                </c:pt>
                <c:pt idx="3">
                  <c:v>-0.14528990214433993</c:v>
                </c:pt>
                <c:pt idx="4">
                  <c:v>2.1429147336193912</c:v>
                </c:pt>
                <c:pt idx="5">
                  <c:v>0.45069443071625376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9.4973356023435179E-3</c:v>
                </c:pt>
                <c:pt idx="1">
                  <c:v>205.09753694093735</c:v>
                </c:pt>
                <c:pt idx="2">
                  <c:v>0</c:v>
                </c:pt>
                <c:pt idx="3">
                  <c:v>-1</c:v>
                </c:pt>
                <c:pt idx="4">
                  <c:v>1.5936693500000054E-2</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-1.6464868421622878</c:v>
                </c:pt>
                <c:pt idx="1">
                  <c:v>5.104155354486692</c:v>
                </c:pt>
                <c:pt idx="2">
                  <c:v>0.66309684833268756</c:v>
                </c:pt>
                <c:pt idx="3">
                  <c:v>0.95741420833652813</c:v>
                </c:pt>
                <c:pt idx="4">
                  <c:v>3.7607621009350514E-2</c:v>
                </c:pt>
                <c:pt idx="5">
                  <c:v>0.10728875797865832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-0.42237655145709563</c:v>
                </c:pt>
                <c:pt idx="1">
                  <c:v>0.90878649839668491</c:v>
                </c:pt>
                <c:pt idx="2">
                  <c:v>1.0687065358288703</c:v>
                </c:pt>
                <c:pt idx="3">
                  <c:v>1.0871170830940562</c:v>
                </c:pt>
                <c:pt idx="4">
                  <c:v>1.1180096029223177</c:v>
                </c:pt>
                <c:pt idx="5">
                  <c:v>0.31593679973554845</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0.42359287917987792</c:v>
                </c:pt>
                <c:pt idx="1">
                  <c:v>0.29410685511012402</c:v>
                </c:pt>
                <c:pt idx="2">
                  <c:v>1.1453669287221306</c:v>
                </c:pt>
                <c:pt idx="3">
                  <c:v>1.1135868233724113</c:v>
                </c:pt>
                <c:pt idx="4">
                  <c:v>1.6895249127179683</c:v>
                </c:pt>
                <c:pt idx="5">
                  <c:v>0.46162779576004942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-0.40821344163891776</c:v>
                </c:pt>
                <c:pt idx="1">
                  <c:v>0.54486552887660911</c:v>
                </c:pt>
                <c:pt idx="2">
                  <c:v>0.46665669238430596</c:v>
                </c:pt>
                <c:pt idx="3">
                  <c:v>0.80053485358416832</c:v>
                </c:pt>
                <c:pt idx="4">
                  <c:v>0.46433924487548145</c:v>
                </c:pt>
                <c:pt idx="5">
                  <c:v>0.82435665713853834</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-0.17768535163474661</c:v>
                </c:pt>
                <c:pt idx="1">
                  <c:v>1.8244351676988955</c:v>
                </c:pt>
                <c:pt idx="2">
                  <c:v>4.5596829316582044E-2</c:v>
                </c:pt>
                <c:pt idx="3">
                  <c:v>0.41074819668399204</c:v>
                </c:pt>
                <c:pt idx="4">
                  <c:v>0.94636554858849842</c:v>
                </c:pt>
                <c:pt idx="5">
                  <c:v>0.93271383644117645</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-0.60366656906376659</c:v>
                </c:pt>
                <c:pt idx="1">
                  <c:v>0.53865753123327242</c:v>
                </c:pt>
                <c:pt idx="2">
                  <c:v>4.2006864051320889</c:v>
                </c:pt>
                <c:pt idx="3">
                  <c:v>1.5275177401634747</c:v>
                </c:pt>
                <c:pt idx="4">
                  <c:v>-0.15552334451799699</c:v>
                </c:pt>
                <c:pt idx="5">
                  <c:v>6.9101833715384613</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0.22693899493968439</c:v>
                </c:pt>
                <c:pt idx="1">
                  <c:v>0.24341225977206685</c:v>
                </c:pt>
                <c:pt idx="2">
                  <c:v>0.25324348084847426</c:v>
                </c:pt>
                <c:pt idx="3">
                  <c:v>8.3091165155125463E-2</c:v>
                </c:pt>
                <c:pt idx="4">
                  <c:v>0.16036443149803647</c:v>
                </c:pt>
                <c:pt idx="5">
                  <c:v>7.9158775098199269E-2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0.27356863702376821</c:v>
                </c:pt>
                <c:pt idx="1">
                  <c:v>8.2722082340042594E-2</c:v>
                </c:pt>
                <c:pt idx="2">
                  <c:v>8.8045136934354715E-4</c:v>
                </c:pt>
                <c:pt idx="3">
                  <c:v>0</c:v>
                </c:pt>
                <c:pt idx="4">
                  <c:v>5.3572923552955305E-3</c:v>
                </c:pt>
                <c:pt idx="5">
                  <c:v>8.1809232046050617E-3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0.92077162749840469</c:v>
                </c:pt>
                <c:pt idx="1">
                  <c:v>0.47494920016567382</c:v>
                </c:pt>
                <c:pt idx="2">
                  <c:v>0.6743932184711845</c:v>
                </c:pt>
                <c:pt idx="3">
                  <c:v>0.8385267996424266</c:v>
                </c:pt>
                <c:pt idx="4">
                  <c:v>0.76822325524072999</c:v>
                </c:pt>
                <c:pt idx="5">
                  <c:v>0.81389684160279785</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0.55731684319506003</c:v>
                </c:pt>
                <c:pt idx="1">
                  <c:v>0.37763758288890581</c:v>
                </c:pt>
                <c:pt idx="2">
                  <c:v>0.24843326907880647</c:v>
                </c:pt>
                <c:pt idx="3">
                  <c:v>0.62180510256966026</c:v>
                </c:pt>
                <c:pt idx="4">
                  <c:v>0.74655728490005913</c:v>
                </c:pt>
                <c:pt idx="5">
                  <c:v>0.56102734654192177</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0.44268315680493997</c:v>
                </c:pt>
                <c:pt idx="1">
                  <c:v>0.62236241711109419</c:v>
                </c:pt>
                <c:pt idx="2">
                  <c:v>0.75156673092119353</c:v>
                </c:pt>
                <c:pt idx="3">
                  <c:v>0.37819489743033963</c:v>
                </c:pt>
                <c:pt idx="4">
                  <c:v>0.25344271509994082</c:v>
                </c:pt>
                <c:pt idx="5">
                  <c:v>0.43897265345807818</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1.8227908965975674</c:v>
                </c:pt>
                <c:pt idx="1">
                  <c:v>1.1533225279656298</c:v>
                </c:pt>
                <c:pt idx="2">
                  <c:v>2.2294418025288305</c:v>
                </c:pt>
                <c:pt idx="3">
                  <c:v>-1.6193505858717439</c:v>
                </c:pt>
                <c:pt idx="4">
                  <c:v>-1.6774714308285439</c:v>
                </c:pt>
                <c:pt idx="5">
                  <c:v>-0.92009011988236766</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1733731034.9100001</c:v>
                </c:pt>
                <c:pt idx="1">
                  <c:v>6091927356.1699991</c:v>
                </c:pt>
                <c:pt idx="2">
                  <c:v>2889307902.3699999</c:v>
                </c:pt>
                <c:pt idx="3">
                  <c:v>519850156.29000002</c:v>
                </c:pt>
                <c:pt idx="4">
                  <c:v>608218105.28999996</c:v>
                </c:pt>
                <c:pt idx="5">
                  <c:v>193520396.46000001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2089964469.5799999</c:v>
                </c:pt>
                <c:pt idx="1">
                  <c:v>2070302115.5899999</c:v>
                </c:pt>
                <c:pt idx="2">
                  <c:v>10045254.039999999</c:v>
                </c:pt>
                <c:pt idx="3">
                  <c:v>0</c:v>
                </c:pt>
                <c:pt idx="4">
                  <c:v>20318733.870000001</c:v>
                </c:pt>
                <c:pt idx="5">
                  <c:v>20000000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7034358934.5799999</c:v>
                </c:pt>
                <c:pt idx="1">
                  <c:v>11886648716.83</c:v>
                </c:pt>
                <c:pt idx="2">
                  <c:v>7694293447.9699984</c:v>
                </c:pt>
                <c:pt idx="3">
                  <c:v>5246144846.25</c:v>
                </c:pt>
                <c:pt idx="4">
                  <c:v>2913659147.3400002</c:v>
                </c:pt>
                <c:pt idx="5">
                  <c:v>1989743263.0699999</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7639634763.3899994</c:v>
                </c:pt>
                <c:pt idx="1">
                  <c:v>25027200198.849998</c:v>
                </c:pt>
                <c:pt idx="2">
                  <c:v>11409209400.73</c:v>
                </c:pt>
                <c:pt idx="3">
                  <c:v>6256383038.0700006</c:v>
                </c:pt>
                <c:pt idx="4">
                  <c:v>3792724481.4100003</c:v>
                </c:pt>
                <c:pt idx="5">
                  <c:v>2444711861.9499998</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4381817445.4899998</c:v>
                </c:pt>
                <c:pt idx="1">
                  <c:v>5328638440.5300007</c:v>
                </c:pt>
                <c:pt idx="2">
                  <c:v>1886620907.95</c:v>
                </c:pt>
                <c:pt idx="3">
                  <c:v>1804348344.46</c:v>
                </c:pt>
                <c:pt idx="4">
                  <c:v>1279000993.02</c:v>
                </c:pt>
                <c:pt idx="5">
                  <c:v>657122704.38999999</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3480527823.6199999</c:v>
                </c:pt>
                <c:pt idx="1">
                  <c:v>8781817409.1399994</c:v>
                </c:pt>
                <c:pt idx="2">
                  <c:v>5707454213.0900002</c:v>
                </c:pt>
                <c:pt idx="3">
                  <c:v>1097442485.1800001</c:v>
                </c:pt>
                <c:pt idx="4">
                  <c:v>434197737.86000001</c:v>
                </c:pt>
                <c:pt idx="5">
                  <c:v>514161919.14999998</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-2648086410.5799999</c:v>
                </c:pt>
                <c:pt idx="1">
                  <c:v>763288915.63999939</c:v>
                </c:pt>
                <c:pt idx="2">
                  <c:v>1002686994.4199972</c:v>
                </c:pt>
                <c:pt idx="3">
                  <c:v>-1284498188.1699996</c:v>
                </c:pt>
                <c:pt idx="4">
                  <c:v>-670782887.73000002</c:v>
                </c:pt>
                <c:pt idx="5">
                  <c:v>-463602307.93000007</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2648086410.5799999</c:v>
                </c:pt>
                <c:pt idx="1">
                  <c:v>-763288915.63999844</c:v>
                </c:pt>
                <c:pt idx="2">
                  <c:v>-1002686994.4199998</c:v>
                </c:pt>
                <c:pt idx="3">
                  <c:v>1284498188.1700001</c:v>
                </c:pt>
                <c:pt idx="4">
                  <c:v>670782887.73000002</c:v>
                </c:pt>
                <c:pt idx="5">
                  <c:v>463602307.92999995</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1.381695637384212</c:v>
                </c:pt>
                <c:pt idx="1">
                  <c:v>0.8304524129175177</c:v>
                </c:pt>
                <c:pt idx="2">
                  <c:v>0.85367164305017396</c:v>
                </c:pt>
                <c:pt idx="3">
                  <c:v>0.85469803897220276</c:v>
                </c:pt>
                <c:pt idx="4">
                  <c:v>0.70669676279690019</c:v>
                </c:pt>
                <c:pt idx="5">
                  <c:v>0.58617547610554388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-0.38169563738421186</c:v>
                </c:pt>
                <c:pt idx="1">
                  <c:v>0.16954758708248235</c:v>
                </c:pt>
                <c:pt idx="2">
                  <c:v>0.14632835694982607</c:v>
                </c:pt>
                <c:pt idx="3">
                  <c:v>0.14530196102779722</c:v>
                </c:pt>
                <c:pt idx="4">
                  <c:v>0.29330323720309975</c:v>
                </c:pt>
                <c:pt idx="5">
                  <c:v>0.41382452389445612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2.8129158073343916E-3</c:v>
                </c:pt>
                <c:pt idx="1">
                  <c:v>6.9507308811783824E-3</c:v>
                </c:pt>
                <c:pt idx="2">
                  <c:v>7.2737826302067604E-3</c:v>
                </c:pt>
                <c:pt idx="3">
                  <c:v>8.3369089484718311E-3</c:v>
                </c:pt>
                <c:pt idx="4">
                  <c:v>1.0978096785655436E-2</c:v>
                </c:pt>
                <c:pt idx="5">
                  <c:v>3.8664001738375302E-2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0.24405951336728871</c:v>
                </c:pt>
                <c:pt idx="1">
                  <c:v>0.10778043202043347</c:v>
                </c:pt>
                <c:pt idx="2">
                  <c:v>7.9953810841523726E-2</c:v>
                </c:pt>
                <c:pt idx="3">
                  <c:v>7.1717241138520904E-2</c:v>
                </c:pt>
                <c:pt idx="4">
                  <c:v>8.2380314102025717E-2</c:v>
                </c:pt>
                <c:pt idx="5">
                  <c:v>0.11443962828923131</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0.19967124205447609</c:v>
                </c:pt>
                <c:pt idx="1">
                  <c:v>2.7163901129387671E-2</c:v>
                </c:pt>
                <c:pt idx="2">
                  <c:v>2.3776494645839218E-2</c:v>
                </c:pt>
                <c:pt idx="3">
                  <c:v>2.5730493016046744E-2</c:v>
                </c:pt>
                <c:pt idx="4">
                  <c:v>3.8110545304308602E-2</c:v>
                </c:pt>
                <c:pt idx="5">
                  <c:v>4.9502790882733093E-2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1.5489253850538494</c:v>
                </c:pt>
                <c:pt idx="1">
                  <c:v>1.603430418884353E-2</c:v>
                </c:pt>
                <c:pt idx="2">
                  <c:v>9.2306860599949102E-3</c:v>
                </c:pt>
                <c:pt idx="3">
                  <c:v>7.8735500820890144E-3</c:v>
                </c:pt>
                <c:pt idx="4">
                  <c:v>1.1760551296131818E-2</c:v>
                </c:pt>
                <c:pt idx="5">
                  <c:v>5.9151224674684824E-3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6.4925147901629743E-4</c:v>
                </c:pt>
                <c:pt idx="1">
                  <c:v>3.4863659788111848E-3</c:v>
                </c:pt>
                <c:pt idx="2">
                  <c:v>4.7551026782694303E-4</c:v>
                </c:pt>
                <c:pt idx="3">
                  <c:v>3.2087356422579456E-4</c:v>
                </c:pt>
                <c:pt idx="4">
                  <c:v>1.668399881856031E-3</c:v>
                </c:pt>
                <c:pt idx="5">
                  <c:v>1.7806471979894261E-3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-7.5844332857593587E-3</c:v>
                </c:pt>
                <c:pt idx="1">
                  <c:v>4.0047194518443783E-4</c:v>
                </c:pt>
                <c:pt idx="2">
                  <c:v>3.6463773143714426E-4</c:v>
                </c:pt>
                <c:pt idx="3">
                  <c:v>3.6710480715931282E-3</c:v>
                </c:pt>
                <c:pt idx="4">
                  <c:v>4.1051392358087257E-3</c:v>
                </c:pt>
                <c:pt idx="5">
                  <c:v>2.6214608628058102E-2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1.9885338744762056</c:v>
                </c:pt>
                <c:pt idx="1">
                  <c:v>0.16181620614383868</c:v>
                </c:pt>
                <c:pt idx="2">
                  <c:v>0.12107492217682871</c:v>
                </c:pt>
                <c:pt idx="3">
                  <c:v>0.11765011482094741</c:v>
                </c:pt>
                <c:pt idx="4">
                  <c:v>0.14900304660578631</c:v>
                </c:pt>
                <c:pt idx="5">
                  <c:v>0.23651679920385571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-2.4829379155763567</c:v>
                </c:pt>
                <c:pt idx="1">
                  <c:v>6.411605703567462E-3</c:v>
                </c:pt>
                <c:pt idx="2">
                  <c:v>7.5456759870420609E-2</c:v>
                </c:pt>
                <c:pt idx="3">
                  <c:v>6.2960112905129359E-2</c:v>
                </c:pt>
                <c:pt idx="4">
                  <c:v>0.14369631641838554</c:v>
                </c:pt>
                <c:pt idx="5">
                  <c:v>0.1910634977419586</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0.99849493479886431</c:v>
                </c:pt>
                <c:pt idx="1">
                  <c:v>0.81607381618500352</c:v>
                </c:pt>
                <c:pt idx="2">
                  <c:v>0.78609923808166227</c:v>
                </c:pt>
                <c:pt idx="3">
                  <c:v>0.98859691045326925</c:v>
                </c:pt>
                <c:pt idx="4">
                  <c:v>0.99991220306252071</c:v>
                </c:pt>
                <c:pt idx="5">
                  <c:v>0.93622212093445756</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-8.0998576748314635E-3</c:v>
                </c:pt>
                <c:pt idx="1">
                  <c:v>0.15611415846887813</c:v>
                </c:pt>
                <c:pt idx="2">
                  <c:v>1.051837252115289E-4</c:v>
                </c:pt>
                <c:pt idx="3">
                  <c:v>-1.3204981934300775E-3</c:v>
                </c:pt>
                <c:pt idx="4">
                  <c:v>-2.5209592597750575E-4</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9.6049228759672121E-3</c:v>
                </c:pt>
                <c:pt idx="1">
                  <c:v>2.7812025346118319E-2</c:v>
                </c:pt>
                <c:pt idx="2">
                  <c:v>0.2137955781931262</c:v>
                </c:pt>
                <c:pt idx="3">
                  <c:v>1.27235877401608E-2</c:v>
                </c:pt>
                <c:pt idx="4">
                  <c:v>3.3989286345668739E-4</c:v>
                </c:pt>
                <c:pt idx="5">
                  <c:v>6.3777879065542359E-2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-2.6182445423423855</c:v>
                </c:pt>
                <c:pt idx="1">
                  <c:v>-1.471181195389855E-2</c:v>
                </c:pt>
                <c:pt idx="2">
                  <c:v>1.67492682069477E-2</c:v>
                </c:pt>
                <c:pt idx="3">
                  <c:v>1.8454732646658985E-2</c:v>
                </c:pt>
                <c:pt idx="4">
                  <c:v>9.6800185826884613E-2</c:v>
                </c:pt>
                <c:pt idx="5">
                  <c:v>0.16102294068716649</c:v>
                </c:pt>
                <c:pt idx="6">
                  <c:v>0.21763555390470748</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0.99849493479886431</c:v>
                </c:pt>
                <c:pt idx="1">
                  <c:v>0.81607381618500352</c:v>
                </c:pt>
                <c:pt idx="2">
                  <c:v>0.78609923808166227</c:v>
                </c:pt>
                <c:pt idx="3">
                  <c:v>0.98859691045326925</c:v>
                </c:pt>
                <c:pt idx="4">
                  <c:v>0.99991220306252071</c:v>
                </c:pt>
                <c:pt idx="5">
                  <c:v>0.93622212093445756</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-8.0998576748314635E-3</c:v>
                </c:pt>
                <c:pt idx="1">
                  <c:v>0.15611415846887813</c:v>
                </c:pt>
                <c:pt idx="2">
                  <c:v>1.051837252115289E-4</c:v>
                </c:pt>
                <c:pt idx="3">
                  <c:v>-1.3204981934300775E-3</c:v>
                </c:pt>
                <c:pt idx="4">
                  <c:v>-2.5209592597750575E-4</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9.6049228759672121E-3</c:v>
                </c:pt>
                <c:pt idx="1">
                  <c:v>2.7812025346118319E-2</c:v>
                </c:pt>
                <c:pt idx="2">
                  <c:v>0.2137955781931262</c:v>
                </c:pt>
                <c:pt idx="3">
                  <c:v>1.27235877401608E-2</c:v>
                </c:pt>
                <c:pt idx="4">
                  <c:v>3.3989286345668739E-4</c:v>
                </c:pt>
                <c:pt idx="5">
                  <c:v>6.3777879065542359E-2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-5.2907483990308313E-2</c:v>
                </c:pt>
                <c:pt idx="1">
                  <c:v>2.872530077377335</c:v>
                </c:pt>
                <c:pt idx="2">
                  <c:v>0.82550818510472035</c:v>
                </c:pt>
                <c:pt idx="3">
                  <c:v>0.71022460354829198</c:v>
                </c:pt>
                <c:pt idx="4">
                  <c:v>0.32641497374780748</c:v>
                </c:pt>
                <c:pt idx="5">
                  <c:v>0.21097833531320254</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7025215802.2200003</c:v>
                </c:pt>
                <c:pt idx="1">
                  <c:v>21950951410.470001</c:v>
                </c:pt>
                <c:pt idx="2">
                  <c:v>13016725124.120001</c:v>
                </c:pt>
                <c:pt idx="3">
                  <c:v>6818938622.3800001</c:v>
                </c:pt>
                <c:pt idx="4">
                  <c:v>2361244730.8600001</c:v>
                </c:pt>
                <c:pt idx="5">
                  <c:v>1167307146.72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9706710025.6100006</c:v>
                </c:pt>
                <c:pt idx="1">
                  <c:v>18229220564.66</c:v>
                </c:pt>
                <c:pt idx="2">
                  <c:v>11112009123.84</c:v>
                </c:pt>
                <c:pt idx="3">
                  <c:v>5828133468.4200001</c:v>
                </c:pt>
                <c:pt idx="4">
                  <c:v>1668684007.47</c:v>
                </c:pt>
                <c:pt idx="5">
                  <c:v>684246822.49000001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-2681494223.3900003</c:v>
                </c:pt>
                <c:pt idx="1">
                  <c:v>3721730845.8100014</c:v>
                </c:pt>
                <c:pt idx="2">
                  <c:v>1904716000.2800007</c:v>
                </c:pt>
                <c:pt idx="3">
                  <c:v>990805153.96000004</c:v>
                </c:pt>
                <c:pt idx="4">
                  <c:v>692560723.3900001</c:v>
                </c:pt>
                <c:pt idx="5">
                  <c:v>483060324.23000002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6.5044893656646161E-2</c:v>
                </c:pt>
                <c:pt idx="1">
                  <c:v>1.7306125627847984E-2</c:v>
                </c:pt>
                <c:pt idx="2">
                  <c:v>4.5050169781470258E-3</c:v>
                </c:pt>
                <c:pt idx="3">
                  <c:v>0</c:v>
                </c:pt>
                <c:pt idx="4">
                  <c:v>-4.4683581457824369E-3</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-9.7283294528311401E-2</c:v>
                </c:pt>
                <c:pt idx="1">
                  <c:v>2.1367688530091002E-3</c:v>
                </c:pt>
                <c:pt idx="2">
                  <c:v>7.3643409769731397E-2</c:v>
                </c:pt>
                <c:pt idx="3">
                  <c:v>9.8623624796732954E-3</c:v>
                </c:pt>
                <c:pt idx="4">
                  <c:v>8.488192679930206E-5</c:v>
                </c:pt>
                <c:pt idx="5">
                  <c:v>7.8420824066477116E-2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-2.1828153286863325</c:v>
                </c:pt>
                <c:pt idx="1">
                  <c:v>4.4093072656269534</c:v>
                </c:pt>
                <c:pt idx="2">
                  <c:v>15.960420438960083</c:v>
                </c:pt>
                <c:pt idx="3">
                  <c:v>13.905189621949578</c:v>
                </c:pt>
                <c:pt idx="4">
                  <c:v>9.425054550015366</c:v>
                </c:pt>
                <c:pt idx="5">
                  <c:v>4.8346069054159493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0.99870021810871024</c:v>
                </c:pt>
                <c:pt idx="1">
                  <c:v>1.8466896711930432</c:v>
                </c:pt>
                <c:pt idx="2">
                  <c:v>1.6917375470718796</c:v>
                </c:pt>
                <c:pt idx="3">
                  <c:v>1.2997999144560886</c:v>
                </c:pt>
                <c:pt idx="4">
                  <c:v>0.8104052709856876</c:v>
                </c:pt>
                <c:pt idx="5">
                  <c:v>0.58666219325147861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4.052079394532317</c:v>
                </c:pt>
                <c:pt idx="1">
                  <c:v>3.6032851554340573</c:v>
                </c:pt>
                <c:pt idx="2">
                  <c:v>4.505136027019768</c:v>
                </c:pt>
                <c:pt idx="3">
                  <c:v>13.117123347705668</c:v>
                </c:pt>
                <c:pt idx="4">
                  <c:v>3.8822335447152669</c:v>
                </c:pt>
                <c:pt idx="5">
                  <c:v>6.0319592563530033</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3.3614044183400833</c:v>
                </c:pt>
                <c:pt idx="1">
                  <c:v>10.602776882259217</c:v>
                </c:pt>
                <c:pt idx="2">
                  <c:v>1295.8084556435967</c:v>
                </c:pt>
                <c:pt idx="3">
                  <c:v>0</c:v>
                </c:pt>
                <c:pt idx="4">
                  <c:v>116.21022973022482</c:v>
                </c:pt>
                <c:pt idx="5">
                  <c:v>58.365357336000002</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0.83252486989203156</c:v>
                </c:pt>
                <c:pt idx="1">
                  <c:v>1.5761950313446664</c:v>
                </c:pt>
                <c:pt idx="2">
                  <c:v>1.8693480274276748</c:v>
                </c:pt>
                <c:pt idx="3">
                  <c:v>1.515804892640251</c:v>
                </c:pt>
                <c:pt idx="4">
                  <c:v>0.80479295565997944</c:v>
                </c:pt>
                <c:pt idx="5">
                  <c:v>0.21638507738069085</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12.846017732277067</c:v>
                </c:pt>
                <c:pt idx="1">
                  <c:v>19.249890763871711</c:v>
                </c:pt>
                <c:pt idx="2">
                  <c:v>20.68286735066669</c:v>
                </c:pt>
                <c:pt idx="3">
                  <c:v>19.879413234528908</c:v>
                </c:pt>
                <c:pt idx="4">
                  <c:v>13.157771702575053</c:v>
                </c:pt>
                <c:pt idx="5">
                  <c:v>6.5326838718365172</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1.5382442939483563</c:v>
                </c:pt>
                <c:pt idx="1">
                  <c:v>3.1896096808668717</c:v>
                </c:pt>
                <c:pt idx="2">
                  <c:v>2.6674532923447329</c:v>
                </c:pt>
                <c:pt idx="3">
                  <c:v>2.0424900493243805</c:v>
                </c:pt>
                <c:pt idx="4">
                  <c:v>0.89389815869634381</c:v>
                </c:pt>
                <c:pt idx="5">
                  <c:v>0.66660775317106791</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1.2041104663346436</c:v>
                </c:pt>
                <c:pt idx="1">
                  <c:v>3.9748906406185633</c:v>
                </c:pt>
                <c:pt idx="2">
                  <c:v>6.3245002323608626</c:v>
                </c:pt>
                <c:pt idx="3">
                  <c:v>5.3674856294442685</c:v>
                </c:pt>
                <c:pt idx="4">
                  <c:v>3.5526814253400452</c:v>
                </c:pt>
                <c:pt idx="5">
                  <c:v>4.3878999801810865</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12.146009913672955</c:v>
                </c:pt>
                <c:pt idx="1">
                  <c:v>17.494732040721519</c:v>
                </c:pt>
                <c:pt idx="2">
                  <c:v>11.869811076093583</c:v>
                </c:pt>
                <c:pt idx="3">
                  <c:v>13.243453369135301</c:v>
                </c:pt>
                <c:pt idx="4">
                  <c:v>19.259240439777678</c:v>
                </c:pt>
                <c:pt idx="5">
                  <c:v>42.833462046058777</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1.7698607074074688</c:v>
                </c:pt>
                <c:pt idx="1">
                  <c:v>4.7095631172380426</c:v>
                </c:pt>
                <c:pt idx="2">
                  <c:v>5.5021729497628504</c:v>
                </c:pt>
                <c:pt idx="3">
                  <c:v>6.2650877944778935</c:v>
                </c:pt>
                <c:pt idx="4">
                  <c:v>5.4299958826175958</c:v>
                </c:pt>
                <c:pt idx="5">
                  <c:v>83.692395660407641</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-4.3915631894991751</c:v>
                </c:pt>
                <c:pt idx="1">
                  <c:v>1.1105423826153179E-2</c:v>
                </c:pt>
                <c:pt idx="2">
                  <c:v>3.9743303225097656E-2</c:v>
                </c:pt>
                <c:pt idx="3">
                  <c:v>4.1596823370069771E-2</c:v>
                </c:pt>
                <c:pt idx="4">
                  <c:v>0.1138094772514593</c:v>
                </c:pt>
                <c:pt idx="5">
                  <c:v>0.12019299031385704</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-2.3853983784319359</c:v>
                </c:pt>
                <c:pt idx="1">
                  <c:v>8.532324829012547E-3</c:v>
                </c:pt>
                <c:pt idx="2">
                  <c:v>2.5982710235871655E-2</c:v>
                </c:pt>
                <c:pt idx="3">
                  <c:v>3.4993942350036063E-2</c:v>
                </c:pt>
                <c:pt idx="4">
                  <c:v>0.1525104690689309</c:v>
                </c:pt>
                <c:pt idx="5">
                  <c:v>0.22973694194671659</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-18393732932.939999</c:v>
                </c:pt>
                <c:pt idx="1">
                  <c:v>-322938269.35999882</c:v>
                </c:pt>
                <c:pt idx="2">
                  <c:v>218020620.28000048</c:v>
                </c:pt>
                <c:pt idx="3">
                  <c:v>125841689.21000004</c:v>
                </c:pt>
                <c:pt idx="4">
                  <c:v>228568928.73000017</c:v>
                </c:pt>
                <c:pt idx="5">
                  <c:v>187963229.45000011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-666488415.16000009</c:v>
                </c:pt>
                <c:pt idx="1">
                  <c:v>10481752739.559999</c:v>
                </c:pt>
                <c:pt idx="2">
                  <c:v>3815134279.6899996</c:v>
                </c:pt>
                <c:pt idx="3">
                  <c:v>3343473396.02</c:v>
                </c:pt>
                <c:pt idx="4">
                  <c:v>2079525750.53</c:v>
                </c:pt>
                <c:pt idx="5">
                  <c:v>1273427238.4099998</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7025215802.2200003</c:v>
                </c:pt>
                <c:pt idx="1">
                  <c:v>21950951410.470001</c:v>
                </c:pt>
                <c:pt idx="2">
                  <c:v>13016725124.120001</c:v>
                </c:pt>
                <c:pt idx="3">
                  <c:v>6818938622.3800001</c:v>
                </c:pt>
                <c:pt idx="4">
                  <c:v>2361244730.8600001</c:v>
                </c:pt>
                <c:pt idx="5">
                  <c:v>1167307146.72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-16757938382.75</c:v>
                </c:pt>
                <c:pt idx="1">
                  <c:v>187292647.74000117</c:v>
                </c:pt>
                <c:pt idx="2">
                  <c:v>338209797.12000048</c:v>
                </c:pt>
                <c:pt idx="3">
                  <c:v>238621545.04000005</c:v>
                </c:pt>
                <c:pt idx="4">
                  <c:v>360114541.49000013</c:v>
                </c:pt>
                <c:pt idx="5">
                  <c:v>268173574.20000005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135941516.66999999</c:v>
                </c:pt>
                <c:pt idx="1">
                  <c:v>35828908.5</c:v>
                </c:pt>
                <c:pt idx="2">
                  <c:v>45254.04</c:v>
                </c:pt>
                <c:pt idx="3">
                  <c:v>-318733.87</c:v>
                </c:pt>
                <c:pt idx="4">
                  <c:v>-90791.38</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2089964469.5799999</c:v>
                </c:pt>
                <c:pt idx="1">
                  <c:v>2070302115.5899999</c:v>
                </c:pt>
                <c:pt idx="2">
                  <c:v>10045254.039999999</c:v>
                </c:pt>
                <c:pt idx="3">
                  <c:v>0</c:v>
                </c:pt>
                <c:pt idx="4">
                  <c:v>20318733.870000001</c:v>
                </c:pt>
                <c:pt idx="5">
                  <c:v>20000000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0.65684980545853688</c:v>
                </c:pt>
                <c:pt idx="1">
                  <c:v>0.5688780969162387</c:v>
                </c:pt>
                <c:pt idx="2">
                  <c:v>0.65955543445160347</c:v>
                </c:pt>
                <c:pt idx="3">
                  <c:v>0.73062909711199686</c:v>
                </c:pt>
                <c:pt idx="4">
                  <c:v>0.52789858388735755</c:v>
                </c:pt>
                <c:pt idx="5">
                  <c:v>0.39782259662099323</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0.54187873990160795</c:v>
                </c:pt>
                <c:pt idx="1">
                  <c:v>0.56089329876798144</c:v>
                </c:pt>
                <c:pt idx="2">
                  <c:v>0.56217284683479685</c:v>
                </c:pt>
                <c:pt idx="3">
                  <c:v>0.68229393245508596</c:v>
                </c:pt>
                <c:pt idx="4">
                  <c:v>0.47108472594427714</c:v>
                </c:pt>
                <c:pt idx="5">
                  <c:v>0.36300926166599762</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0.1513798624169751</c:v>
                </c:pt>
                <c:pt idx="1">
                  <c:v>-7.5888471962133695</c:v>
                </c:pt>
                <c:pt idx="2">
                  <c:v>0.89157194445425758</c:v>
                </c:pt>
                <c:pt idx="3">
                  <c:v>0.54547216316476055</c:v>
                </c:pt>
                <c:pt idx="4">
                  <c:v>0.5182737163065807</c:v>
                </c:pt>
                <c:pt idx="5">
                  <c:v>0.47616922895480662</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0.14355679691919626</c:v>
                </c:pt>
                <c:pt idx="1">
                  <c:v>3.3073217710514453</c:v>
                </c:pt>
                <c:pt idx="2">
                  <c:v>4.0166011606395298</c:v>
                </c:pt>
                <c:pt idx="3">
                  <c:v>1.8609312655459065</c:v>
                </c:pt>
                <c:pt idx="4">
                  <c:v>0.76935827440363347</c:v>
                </c:pt>
                <c:pt idx="5">
                  <c:v>0.56500370700563074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3.5593638110703183</c:v>
                </c:pt>
                <c:pt idx="1">
                  <c:v>3.0497710939168421</c:v>
                </c:pt>
                <c:pt idx="2">
                  <c:v>2.6217733622540162E-2</c:v>
                </c:pt>
                <c:pt idx="3">
                  <c:v>0.88133598557604942</c:v>
                </c:pt>
                <c:pt idx="4">
                  <c:v>0.44921047174463402</c:v>
                </c:pt>
                <c:pt idx="5">
                  <c:v>14.658923155762459</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-2640545383.2399998</c:v>
                </c:pt>
                <c:pt idx="1">
                  <c:v>-1068060768.96</c:v>
                </c:pt>
                <c:pt idx="2">
                  <c:v>875701876.46000004</c:v>
                </c:pt>
                <c:pt idx="3">
                  <c:v>234182733.96000001</c:v>
                </c:pt>
                <c:pt idx="4">
                  <c:v>175851396.59</c:v>
                </c:pt>
                <c:pt idx="5">
                  <c:v>106199921.42</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-17443174680.43821</c:v>
                </c:pt>
                <c:pt idx="1">
                  <c:v>140740845.26210168</c:v>
                </c:pt>
                <c:pt idx="2">
                  <c:v>982199901.98999381</c:v>
                </c:pt>
                <c:pt idx="3">
                  <c:v>429321145.55819201</c:v>
                </c:pt>
                <c:pt idx="4">
                  <c:v>339302169.9869042</c:v>
                </c:pt>
                <c:pt idx="5">
                  <c:v>223029786.39150888</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-18393732932.939999</c:v>
                </c:pt>
                <c:pt idx="1">
                  <c:v>-322938269.35999882</c:v>
                </c:pt>
                <c:pt idx="2">
                  <c:v>218020620.28000048</c:v>
                </c:pt>
                <c:pt idx="3">
                  <c:v>125841689.21000004</c:v>
                </c:pt>
                <c:pt idx="4">
                  <c:v>228568928.73000017</c:v>
                </c:pt>
                <c:pt idx="5">
                  <c:v>187963229.45000011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3</xdr:col>
      <xdr:colOff>1805451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647105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M85"/>
  <sheetViews>
    <sheetView workbookViewId="0">
      <selection activeCell="Y25" sqref="Y25"/>
    </sheetView>
  </sheetViews>
  <sheetFormatPr defaultRowHeight="14.4" x14ac:dyDescent="0.25"/>
  <cols>
    <col min="1" max="1" width="35.88671875" style="189" bestFit="1" customWidth="1"/>
    <col min="2" max="4" width="13.88671875" style="189" hidden="1" customWidth="1"/>
    <col min="5" max="5" width="13.88671875" style="189" bestFit="1" customWidth="1"/>
    <col min="6" max="8" width="12.77734375" style="189" hidden="1" customWidth="1"/>
    <col min="9" max="9" width="12.77734375" style="189" bestFit="1" customWidth="1"/>
    <col min="10" max="12" width="12.77734375" style="189" hidden="1" customWidth="1"/>
    <col min="13" max="13" width="13.886718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5" width="12.77734375" style="189" hidden="1" customWidth="1"/>
    <col min="36" max="37" width="12.77734375" style="189" bestFit="1" customWidth="1"/>
    <col min="38" max="38" width="13.88671875" style="189" bestFit="1" customWidth="1"/>
    <col min="39" max="39" width="9.5546875" style="189" hidden="1" customWidth="1"/>
    <col min="40" max="16384" width="8.88671875" style="189"/>
  </cols>
  <sheetData>
    <row r="1" spans="1:39" x14ac:dyDescent="0.25">
      <c r="A1" s="189">
        <v>300104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20091231</v>
      </c>
      <c r="AK1" s="189">
        <v>20081231</v>
      </c>
      <c r="AL1" s="189">
        <v>20071231</v>
      </c>
      <c r="AM1" s="189">
        <v>19700101</v>
      </c>
    </row>
    <row r="2" spans="1:39"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row>
    <row r="3" spans="1:39" x14ac:dyDescent="0.25">
      <c r="A3" s="189" t="s">
        <v>107</v>
      </c>
    </row>
    <row r="4" spans="1:39" x14ac:dyDescent="0.25">
      <c r="A4" s="189" t="s">
        <v>108</v>
      </c>
      <c r="B4" s="189">
        <v>342861234.79000002</v>
      </c>
      <c r="C4" s="189">
        <v>587460955.24000001</v>
      </c>
      <c r="D4" s="189">
        <v>689653335.11000001</v>
      </c>
      <c r="E4" s="189">
        <v>853110169.67999995</v>
      </c>
      <c r="F4" s="189">
        <v>833747348.38999999</v>
      </c>
      <c r="G4" s="189">
        <v>2982416829.2199998</v>
      </c>
      <c r="H4" s="189">
        <v>3657615668.0799999</v>
      </c>
      <c r="I4" s="189">
        <v>3669146356.0799999</v>
      </c>
      <c r="J4" s="189">
        <v>5610655751.3699999</v>
      </c>
      <c r="K4" s="189">
        <v>5557284437.8500004</v>
      </c>
      <c r="L4" s="189">
        <v>2618997247.3200002</v>
      </c>
      <c r="M4" s="189">
        <v>2729778115.1399999</v>
      </c>
      <c r="N4" s="189">
        <v>3254753951.73</v>
      </c>
      <c r="O4" s="189">
        <v>1156372507.3</v>
      </c>
      <c r="P4" s="189">
        <v>703220105.25</v>
      </c>
      <c r="Q4" s="189">
        <v>499850156.29000002</v>
      </c>
      <c r="R4" s="189">
        <v>420605212.93000001</v>
      </c>
      <c r="S4" s="189">
        <v>1028350168.02</v>
      </c>
      <c r="T4" s="189">
        <v>892475943.33000004</v>
      </c>
      <c r="U4" s="189">
        <v>608218105.28999996</v>
      </c>
      <c r="V4" s="189">
        <v>514951299.14999998</v>
      </c>
      <c r="W4" s="189">
        <v>220208941.77000001</v>
      </c>
      <c r="X4" s="189">
        <v>311140576.07999998</v>
      </c>
      <c r="Y4" s="189">
        <v>193520396.46000001</v>
      </c>
      <c r="Z4" s="189">
        <v>235316894.03999999</v>
      </c>
      <c r="AA4" s="189">
        <v>236059277.34</v>
      </c>
      <c r="AB4" s="189">
        <v>102103605.79000001</v>
      </c>
      <c r="AC4" s="189">
        <v>133398455.5</v>
      </c>
      <c r="AD4" s="189">
        <v>111085605.84</v>
      </c>
      <c r="AE4" s="189">
        <v>314833518.51999998</v>
      </c>
      <c r="AF4" s="189">
        <v>374656051.39999998</v>
      </c>
      <c r="AG4" s="189">
        <v>543353279.10000002</v>
      </c>
      <c r="AH4" s="189">
        <v>566092532.38999999</v>
      </c>
      <c r="AI4" s="189">
        <v>20506299.109999999</v>
      </c>
      <c r="AJ4" s="189">
        <v>33561197.539999999</v>
      </c>
      <c r="AK4" s="189">
        <v>39065039.079999998</v>
      </c>
      <c r="AL4" s="189">
        <v>1656390.72</v>
      </c>
      <c r="AM4" s="189">
        <v>0</v>
      </c>
    </row>
    <row r="5" spans="1:39" x14ac:dyDescent="0.25">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row>
    <row r="6" spans="1:39"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row>
    <row r="7" spans="1:39" x14ac:dyDescent="0.25">
      <c r="A7" s="189" t="s">
        <v>111</v>
      </c>
      <c r="B7" s="189">
        <v>2000000</v>
      </c>
      <c r="C7" s="189">
        <v>2000000</v>
      </c>
      <c r="D7" s="189">
        <v>15270000</v>
      </c>
      <c r="E7" s="189">
        <v>2000000</v>
      </c>
      <c r="F7" s="189">
        <v>2104312.83</v>
      </c>
      <c r="G7" s="189">
        <v>5966102.4699999997</v>
      </c>
      <c r="H7" s="189">
        <v>202873904.34</v>
      </c>
      <c r="I7" s="189">
        <v>5884729.4500000002</v>
      </c>
      <c r="J7" s="189">
        <v>16546044.08</v>
      </c>
      <c r="K7" s="189">
        <v>15981858.24</v>
      </c>
      <c r="L7" s="189">
        <v>244056118</v>
      </c>
      <c r="M7" s="189">
        <v>909130941.24000001</v>
      </c>
      <c r="N7" s="189">
        <v>504044758.00999999</v>
      </c>
      <c r="O7" s="189">
        <v>409937733.48000002</v>
      </c>
      <c r="P7" s="189">
        <v>68173510</v>
      </c>
      <c r="Q7" s="189">
        <v>11337263.640000001</v>
      </c>
      <c r="R7" s="189">
        <v>6182806.4000000004</v>
      </c>
      <c r="S7" s="189">
        <v>74930777.230000004</v>
      </c>
      <c r="T7" s="189">
        <v>150270806.22999999</v>
      </c>
      <c r="U7" s="189">
        <v>54363352.840000004</v>
      </c>
      <c r="V7" s="189">
        <v>1345724.88</v>
      </c>
      <c r="W7" s="189">
        <v>2179064.88</v>
      </c>
      <c r="X7" s="189">
        <v>2271856.19</v>
      </c>
      <c r="Y7" s="189">
        <v>4867634.38</v>
      </c>
      <c r="Z7" s="189">
        <v>946990.76</v>
      </c>
      <c r="AA7" s="189">
        <v>1404314.8</v>
      </c>
      <c r="AB7" s="189">
        <v>1154338.3999999999</v>
      </c>
      <c r="AC7" s="189">
        <v>929916.62</v>
      </c>
      <c r="AD7" s="189">
        <v>275578.21999999997</v>
      </c>
      <c r="AE7" s="189">
        <v>0</v>
      </c>
      <c r="AF7" s="189">
        <v>0</v>
      </c>
      <c r="AG7" s="189">
        <v>0</v>
      </c>
      <c r="AH7" s="189">
        <v>0</v>
      </c>
      <c r="AI7" s="189">
        <v>0</v>
      </c>
      <c r="AJ7" s="189">
        <v>0</v>
      </c>
      <c r="AK7" s="189">
        <v>0</v>
      </c>
      <c r="AL7" s="189">
        <v>0</v>
      </c>
      <c r="AM7" s="189">
        <v>0</v>
      </c>
    </row>
    <row r="8" spans="1:39" x14ac:dyDescent="0.25">
      <c r="A8" s="189" t="s">
        <v>112</v>
      </c>
      <c r="B8" s="189">
        <v>3124301979.8200002</v>
      </c>
      <c r="C8" s="189">
        <v>3282856798.96</v>
      </c>
      <c r="D8" s="189">
        <v>3566788696.3499999</v>
      </c>
      <c r="E8" s="189">
        <v>3614408001.3299999</v>
      </c>
      <c r="F8" s="189">
        <v>9739917280.2099991</v>
      </c>
      <c r="G8" s="189">
        <v>9542445522.4200001</v>
      </c>
      <c r="H8" s="189">
        <v>9537282766.5300007</v>
      </c>
      <c r="I8" s="189">
        <v>8685855147.6399994</v>
      </c>
      <c r="J8" s="189">
        <v>5060957392.8900003</v>
      </c>
      <c r="K8" s="189">
        <v>4096673674.5999999</v>
      </c>
      <c r="L8" s="189">
        <v>3896024960.6900001</v>
      </c>
      <c r="M8" s="189">
        <v>3359683070.3400002</v>
      </c>
      <c r="N8" s="189">
        <v>3183695721.02</v>
      </c>
      <c r="O8" s="189">
        <v>2492999499.8200002</v>
      </c>
      <c r="P8" s="189">
        <v>2419121945.0900002</v>
      </c>
      <c r="Q8" s="189">
        <v>1892606343.05</v>
      </c>
      <c r="R8" s="189">
        <v>1744608980.8099999</v>
      </c>
      <c r="S8" s="189">
        <v>1548656947.5899999</v>
      </c>
      <c r="T8" s="189">
        <v>1251663311.05</v>
      </c>
      <c r="U8" s="189">
        <v>950248021.05999994</v>
      </c>
      <c r="V8" s="189">
        <v>759973679.08000004</v>
      </c>
      <c r="W8" s="189">
        <v>604064896.14999998</v>
      </c>
      <c r="X8" s="189">
        <v>553705157.15999997</v>
      </c>
      <c r="Y8" s="189">
        <v>370951795.99000001</v>
      </c>
      <c r="Z8" s="189">
        <v>382419849.87</v>
      </c>
      <c r="AA8" s="189">
        <v>283730755.01999998</v>
      </c>
      <c r="AB8" s="189">
        <v>234719457.94</v>
      </c>
      <c r="AC8" s="189">
        <v>177323658.56999999</v>
      </c>
      <c r="AD8" s="189">
        <v>133484133.58</v>
      </c>
      <c r="AE8" s="189">
        <v>144812995.15000001</v>
      </c>
      <c r="AF8" s="189">
        <v>128128624.69</v>
      </c>
      <c r="AG8" s="189">
        <v>69797443.260000005</v>
      </c>
      <c r="AH8" s="189">
        <v>94493125.650000006</v>
      </c>
      <c r="AI8" s="189">
        <v>47534040.899999999</v>
      </c>
      <c r="AJ8" s="189">
        <v>20378780.260000002</v>
      </c>
      <c r="AK8" s="189">
        <v>25451987.379999999</v>
      </c>
      <c r="AL8" s="189">
        <v>7563591.4900000002</v>
      </c>
      <c r="AM8" s="189">
        <v>0</v>
      </c>
    </row>
    <row r="9" spans="1:39" x14ac:dyDescent="0.25">
      <c r="A9" s="189" t="s">
        <v>113</v>
      </c>
      <c r="B9" s="189">
        <v>606196480.15999997</v>
      </c>
      <c r="C9" s="189">
        <v>613096871.70000005</v>
      </c>
      <c r="D9" s="189">
        <v>612402312.39999998</v>
      </c>
      <c r="E9" s="189">
        <v>574386058.86000001</v>
      </c>
      <c r="F9" s="189">
        <v>580625170.21000004</v>
      </c>
      <c r="G9" s="189">
        <v>747581773.46000004</v>
      </c>
      <c r="H9" s="189">
        <v>635962170.60000002</v>
      </c>
      <c r="I9" s="189">
        <v>619331275.53999996</v>
      </c>
      <c r="J9" s="189">
        <v>1104115806.47</v>
      </c>
      <c r="K9" s="189">
        <v>383935803.06999999</v>
      </c>
      <c r="L9" s="189">
        <v>382015361.10000002</v>
      </c>
      <c r="M9" s="189">
        <v>518179809.88999999</v>
      </c>
      <c r="N9" s="189">
        <v>289513608.83999997</v>
      </c>
      <c r="O9" s="189">
        <v>339991757.61000001</v>
      </c>
      <c r="P9" s="189">
        <v>324178817.25999999</v>
      </c>
      <c r="Q9" s="189">
        <v>298718272.51999998</v>
      </c>
      <c r="R9" s="189">
        <v>482844863.25</v>
      </c>
      <c r="S9" s="189">
        <v>302263092.55000001</v>
      </c>
      <c r="T9" s="189">
        <v>349411357.24000001</v>
      </c>
      <c r="U9" s="189">
        <v>270742918.73000002</v>
      </c>
      <c r="V9" s="189">
        <v>294410169.70999998</v>
      </c>
      <c r="W9" s="189">
        <v>245056651.22</v>
      </c>
      <c r="X9" s="189">
        <v>329133720.55000001</v>
      </c>
      <c r="Y9" s="189">
        <v>246774685.94999999</v>
      </c>
      <c r="Z9" s="189">
        <v>285633081.91000003</v>
      </c>
      <c r="AA9" s="189">
        <v>229099043.55000001</v>
      </c>
      <c r="AB9" s="189">
        <v>268187271.38999999</v>
      </c>
      <c r="AC9" s="189">
        <v>301434319.26999998</v>
      </c>
      <c r="AD9" s="189">
        <v>375739490.64999998</v>
      </c>
      <c r="AE9" s="189">
        <v>232956199.68000001</v>
      </c>
      <c r="AF9" s="189">
        <v>141228360.50999999</v>
      </c>
      <c r="AG9" s="189">
        <v>54211845.130000003</v>
      </c>
      <c r="AH9" s="189">
        <v>30514199.859999999</v>
      </c>
      <c r="AI9" s="189">
        <v>29690924.960000001</v>
      </c>
      <c r="AJ9" s="189">
        <v>9402601.1999999993</v>
      </c>
      <c r="AK9" s="189">
        <v>11386641.800000001</v>
      </c>
      <c r="AL9" s="189">
        <v>602666.68000000005</v>
      </c>
      <c r="AM9" s="189">
        <v>0</v>
      </c>
    </row>
    <row r="10" spans="1:39" x14ac:dyDescent="0.25">
      <c r="A10" s="189" t="s">
        <v>114</v>
      </c>
      <c r="B10" s="189">
        <v>0</v>
      </c>
      <c r="C10" s="189">
        <v>30711562.359999999</v>
      </c>
      <c r="D10" s="189">
        <v>30580358.16</v>
      </c>
      <c r="E10" s="189">
        <v>24332680.530000001</v>
      </c>
      <c r="F10" s="189">
        <v>25166043.57</v>
      </c>
      <c r="G10" s="189">
        <v>14607597.23</v>
      </c>
      <c r="H10" s="189">
        <v>21814398.289999999</v>
      </c>
      <c r="I10" s="189">
        <v>18110043.989999998</v>
      </c>
      <c r="J10" s="189">
        <v>11223272</v>
      </c>
      <c r="K10" s="189">
        <v>4635588.92</v>
      </c>
      <c r="L10" s="189">
        <v>92247.39</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row>
    <row r="11" spans="1:39"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row>
    <row r="12" spans="1:39" x14ac:dyDescent="0.25">
      <c r="A12" s="189" t="s">
        <v>116</v>
      </c>
      <c r="B12" s="189">
        <v>1290666308.5799999</v>
      </c>
      <c r="C12" s="189">
        <v>1163442955.0599999</v>
      </c>
      <c r="D12" s="189">
        <v>994066302.05999994</v>
      </c>
      <c r="E12" s="189">
        <v>1220388753.5599999</v>
      </c>
      <c r="F12" s="189">
        <v>755520166.75</v>
      </c>
      <c r="G12" s="189">
        <v>2273839692.8099999</v>
      </c>
      <c r="H12" s="189">
        <v>283440706.18000001</v>
      </c>
      <c r="I12" s="189">
        <v>696016127.28999996</v>
      </c>
      <c r="J12" s="189">
        <v>212430474.75999999</v>
      </c>
      <c r="K12" s="189">
        <v>376897420.92000002</v>
      </c>
      <c r="L12" s="189">
        <v>183823661.59999999</v>
      </c>
      <c r="M12" s="189">
        <v>165620378.93000001</v>
      </c>
      <c r="N12" s="189">
        <v>71591651.989999995</v>
      </c>
      <c r="O12" s="189">
        <v>94978238.030000001</v>
      </c>
      <c r="P12" s="189">
        <v>82765087.640000001</v>
      </c>
      <c r="Q12" s="189">
        <v>75839386.689999998</v>
      </c>
      <c r="R12" s="189">
        <v>65713604.490000002</v>
      </c>
      <c r="S12" s="189">
        <v>51824907.219999999</v>
      </c>
      <c r="T12" s="189">
        <v>34656739.590000004</v>
      </c>
      <c r="U12" s="189">
        <v>33148535.629999999</v>
      </c>
      <c r="V12" s="189">
        <v>10000487.15</v>
      </c>
      <c r="W12" s="189">
        <v>12608116.34</v>
      </c>
      <c r="X12" s="189">
        <v>13089203.65</v>
      </c>
      <c r="Y12" s="189">
        <v>9254098.1999999993</v>
      </c>
      <c r="Z12" s="189">
        <v>14009665.859999999</v>
      </c>
      <c r="AA12" s="189">
        <v>9123440.7100000009</v>
      </c>
      <c r="AB12" s="189">
        <v>5106261.17</v>
      </c>
      <c r="AC12" s="189">
        <v>5357250.3899999997</v>
      </c>
      <c r="AD12" s="189">
        <v>1393012.02</v>
      </c>
      <c r="AE12" s="189">
        <v>5814132.75</v>
      </c>
      <c r="AF12" s="189">
        <v>3382555.2</v>
      </c>
      <c r="AG12" s="189">
        <v>2648277.5299999998</v>
      </c>
      <c r="AH12" s="189">
        <v>2626065.73</v>
      </c>
      <c r="AI12" s="189">
        <v>3210187.65</v>
      </c>
      <c r="AJ12" s="189">
        <v>2161357.98</v>
      </c>
      <c r="AK12" s="189">
        <v>9149439.3300000001</v>
      </c>
      <c r="AL12" s="189">
        <v>1055770.43</v>
      </c>
      <c r="AM12" s="189">
        <v>0</v>
      </c>
    </row>
    <row r="13" spans="1:39" x14ac:dyDescent="0.25">
      <c r="A13" s="189" t="s">
        <v>117</v>
      </c>
      <c r="B13" s="189">
        <v>0</v>
      </c>
      <c r="C13" s="189">
        <v>0</v>
      </c>
      <c r="D13" s="189">
        <v>0</v>
      </c>
      <c r="E13" s="189">
        <v>0</v>
      </c>
      <c r="F13" s="189">
        <v>0</v>
      </c>
      <c r="G13" s="189">
        <v>0</v>
      </c>
      <c r="H13" s="189">
        <v>0</v>
      </c>
      <c r="I13" s="189">
        <v>0</v>
      </c>
      <c r="J13" s="189">
        <v>5000000</v>
      </c>
      <c r="K13" s="189">
        <v>5000000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row>
    <row r="14" spans="1:39" x14ac:dyDescent="0.25">
      <c r="A14" s="189" t="s">
        <v>118</v>
      </c>
      <c r="B14" s="189">
        <v>841145212</v>
      </c>
      <c r="C14" s="189">
        <v>733373050.24000001</v>
      </c>
      <c r="D14" s="189">
        <v>720489211.70000005</v>
      </c>
      <c r="E14" s="189">
        <v>653157850.57000005</v>
      </c>
      <c r="F14" s="189">
        <v>1230734555.5599999</v>
      </c>
      <c r="G14" s="189">
        <v>1439652075.0699999</v>
      </c>
      <c r="H14" s="189">
        <v>1368837455.3900001</v>
      </c>
      <c r="I14" s="189">
        <v>945179396.74000001</v>
      </c>
      <c r="J14" s="189">
        <v>1847968181.4000001</v>
      </c>
      <c r="K14" s="189">
        <v>2041560593.3599999</v>
      </c>
      <c r="L14" s="189">
        <v>1594583576.05</v>
      </c>
      <c r="M14" s="189">
        <v>1138787425.0699999</v>
      </c>
      <c r="N14" s="189">
        <v>539875123.75</v>
      </c>
      <c r="O14" s="189">
        <v>662120213.14999998</v>
      </c>
      <c r="P14" s="189">
        <v>775454398.95000005</v>
      </c>
      <c r="Q14" s="189">
        <v>733526978.69000006</v>
      </c>
      <c r="R14" s="189">
        <v>688523485.73000002</v>
      </c>
      <c r="S14" s="189">
        <v>759085383.42999995</v>
      </c>
      <c r="T14" s="189">
        <v>165607246.90000001</v>
      </c>
      <c r="U14" s="189">
        <v>146626151.46000001</v>
      </c>
      <c r="V14" s="189">
        <v>146709027.59999999</v>
      </c>
      <c r="W14" s="189">
        <v>58625539.149999999</v>
      </c>
      <c r="X14" s="189">
        <v>21839774.710000001</v>
      </c>
      <c r="Y14" s="189">
        <v>26660434.030000001</v>
      </c>
      <c r="Z14" s="189">
        <v>12245837.550000001</v>
      </c>
      <c r="AA14" s="189">
        <v>7092733.96</v>
      </c>
      <c r="AB14" s="189">
        <v>6168316.7400000002</v>
      </c>
      <c r="AC14" s="189">
        <v>5288737.9400000004</v>
      </c>
      <c r="AD14" s="189">
        <v>6809425.4699999997</v>
      </c>
      <c r="AE14" s="189">
        <v>4519241.28</v>
      </c>
      <c r="AF14" s="189">
        <v>3648387.61</v>
      </c>
      <c r="AG14" s="189">
        <v>3652147.37</v>
      </c>
      <c r="AH14" s="189">
        <v>2171934.36</v>
      </c>
      <c r="AI14" s="189">
        <v>1390574.82</v>
      </c>
      <c r="AJ14" s="189">
        <v>1192872.8</v>
      </c>
      <c r="AK14" s="189">
        <v>430410</v>
      </c>
      <c r="AL14" s="189">
        <v>442910</v>
      </c>
      <c r="AM14" s="189">
        <v>0</v>
      </c>
    </row>
    <row r="15" spans="1:39" x14ac:dyDescent="0.25">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row>
    <row r="16" spans="1:39"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row>
    <row r="17" spans="1:39"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row>
    <row r="18" spans="1:39"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row>
    <row r="19" spans="1:39" x14ac:dyDescent="0.25">
      <c r="A19" s="189" t="s">
        <v>123</v>
      </c>
      <c r="B19" s="189">
        <v>1187517710.1199999</v>
      </c>
      <c r="C19" s="189">
        <v>1429030169.4100001</v>
      </c>
      <c r="D19" s="189">
        <v>1113041823.8399999</v>
      </c>
      <c r="E19" s="189">
        <v>972216181.26999998</v>
      </c>
      <c r="F19" s="189">
        <v>937621261.49000001</v>
      </c>
      <c r="G19" s="189">
        <v>898846724.62</v>
      </c>
      <c r="H19" s="189">
        <v>428238298.17000002</v>
      </c>
      <c r="I19" s="189">
        <v>1229643291.4000001</v>
      </c>
      <c r="J19" s="189">
        <v>277659991.29000002</v>
      </c>
      <c r="K19" s="189">
        <v>452488271.35000002</v>
      </c>
      <c r="L19" s="189">
        <v>447812228.37</v>
      </c>
      <c r="M19" s="189">
        <v>290616467.32999998</v>
      </c>
      <c r="N19" s="189">
        <v>29000000</v>
      </c>
      <c r="O19" s="189">
        <v>29000000</v>
      </c>
      <c r="P19" s="189">
        <v>23000000</v>
      </c>
      <c r="Q19" s="189">
        <v>73000000</v>
      </c>
      <c r="R19" s="189">
        <v>23000000</v>
      </c>
      <c r="S19" s="189">
        <v>23000000</v>
      </c>
      <c r="T19" s="189">
        <v>23000000</v>
      </c>
      <c r="U19" s="189">
        <v>23000000</v>
      </c>
      <c r="V19" s="189">
        <v>23414234.699999999</v>
      </c>
      <c r="W19" s="189">
        <v>24414234.699999999</v>
      </c>
      <c r="X19" s="189">
        <v>30530929.940000001</v>
      </c>
      <c r="Y19" s="189">
        <v>39377223.960000001</v>
      </c>
      <c r="Z19" s="189">
        <v>30000000</v>
      </c>
      <c r="AA19" s="189">
        <v>30000000</v>
      </c>
      <c r="AB19" s="189">
        <v>40000000</v>
      </c>
      <c r="AC19" s="189">
        <v>40000000</v>
      </c>
      <c r="AD19" s="189">
        <v>90000000</v>
      </c>
      <c r="AE19" s="189">
        <v>60000000</v>
      </c>
      <c r="AF19" s="189">
        <v>30000000</v>
      </c>
      <c r="AG19" s="189">
        <v>0</v>
      </c>
      <c r="AH19" s="189">
        <v>0</v>
      </c>
      <c r="AI19" s="189">
        <v>0</v>
      </c>
      <c r="AJ19" s="189">
        <v>0</v>
      </c>
      <c r="AK19" s="189">
        <v>0</v>
      </c>
      <c r="AL19" s="189">
        <v>0</v>
      </c>
      <c r="AM19" s="189">
        <v>0</v>
      </c>
    </row>
    <row r="20" spans="1:39" x14ac:dyDescent="0.25">
      <c r="A20" s="189" t="s">
        <v>124</v>
      </c>
      <c r="B20" s="189">
        <v>7394688925.4700003</v>
      </c>
      <c r="C20" s="189">
        <v>7841972362.9700003</v>
      </c>
      <c r="D20" s="189">
        <v>7742292039.6199999</v>
      </c>
      <c r="E20" s="189">
        <v>7913999695.8000002</v>
      </c>
      <c r="F20" s="189">
        <v>14105436139.01</v>
      </c>
      <c r="G20" s="189">
        <v>17905356317.299999</v>
      </c>
      <c r="H20" s="189">
        <v>16136065367.58</v>
      </c>
      <c r="I20" s="189">
        <v>15869166368.129999</v>
      </c>
      <c r="J20" s="189">
        <v>14146556914.26</v>
      </c>
      <c r="K20" s="189">
        <v>12934457648.309999</v>
      </c>
      <c r="L20" s="189">
        <v>9367405400.5200005</v>
      </c>
      <c r="M20" s="189">
        <v>9111796207.9400005</v>
      </c>
      <c r="N20" s="189">
        <v>7872474815.3400002</v>
      </c>
      <c r="O20" s="189">
        <v>5185399949.3900003</v>
      </c>
      <c r="P20" s="189">
        <v>4395913864.1899996</v>
      </c>
      <c r="Q20" s="189">
        <v>3584878400.8800001</v>
      </c>
      <c r="R20" s="189">
        <v>3431478953.6100001</v>
      </c>
      <c r="S20" s="189">
        <v>3788111276.04</v>
      </c>
      <c r="T20" s="189">
        <v>2867085404.3400002</v>
      </c>
      <c r="U20" s="189">
        <v>2086347085.01</v>
      </c>
      <c r="V20" s="189">
        <v>1750804622.27</v>
      </c>
      <c r="W20" s="189">
        <v>1167157444.21</v>
      </c>
      <c r="X20" s="189">
        <v>1261711218.28</v>
      </c>
      <c r="Y20" s="189">
        <v>891406268.97000003</v>
      </c>
      <c r="Z20" s="189">
        <v>960572319.99000001</v>
      </c>
      <c r="AA20" s="189">
        <v>796509565.38</v>
      </c>
      <c r="AB20" s="189">
        <v>657439251.42999995</v>
      </c>
      <c r="AC20" s="189">
        <v>663732338.28999996</v>
      </c>
      <c r="AD20" s="189">
        <v>718787245.77999997</v>
      </c>
      <c r="AE20" s="189">
        <v>762936087.38</v>
      </c>
      <c r="AF20" s="189">
        <v>681043979.40999997</v>
      </c>
      <c r="AG20" s="189">
        <v>673662992.38999999</v>
      </c>
      <c r="AH20" s="189">
        <v>695897857.99000001</v>
      </c>
      <c r="AI20" s="189">
        <v>102332027.44</v>
      </c>
      <c r="AJ20" s="189">
        <v>66696809.780000001</v>
      </c>
      <c r="AK20" s="189">
        <v>85483517.590000004</v>
      </c>
      <c r="AL20" s="189">
        <v>11321329.32</v>
      </c>
      <c r="AM20" s="189">
        <v>0</v>
      </c>
    </row>
    <row r="21" spans="1:39" x14ac:dyDescent="0.25">
      <c r="A21" s="189" t="s">
        <v>125</v>
      </c>
    </row>
    <row r="22" spans="1:39" x14ac:dyDescent="0.25">
      <c r="A22" s="189" t="s">
        <v>126</v>
      </c>
      <c r="B22" s="189">
        <v>20280876.329999998</v>
      </c>
      <c r="C22" s="189">
        <v>20227937.579999998</v>
      </c>
      <c r="D22" s="189">
        <v>40708713.219999999</v>
      </c>
      <c r="E22" s="189">
        <v>58669581.25</v>
      </c>
      <c r="F22" s="189">
        <v>762355935.38</v>
      </c>
      <c r="G22" s="189">
        <v>756200118.73000002</v>
      </c>
      <c r="H22" s="189">
        <v>590840160.85000002</v>
      </c>
      <c r="I22" s="189">
        <v>714141820.24000001</v>
      </c>
      <c r="J22" s="189">
        <v>568331665.05999994</v>
      </c>
      <c r="K22" s="189">
        <v>510357396.18000001</v>
      </c>
      <c r="L22" s="189">
        <v>30000000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row>
    <row r="23" spans="1:39" x14ac:dyDescent="0.25">
      <c r="A23" s="189" t="s">
        <v>127</v>
      </c>
      <c r="B23" s="189">
        <v>777286465.23000002</v>
      </c>
      <c r="C23" s="189">
        <v>791509462.37</v>
      </c>
      <c r="D23" s="189">
        <v>795309685.64999998</v>
      </c>
      <c r="E23" s="189">
        <v>797618603.45000005</v>
      </c>
      <c r="F23" s="189">
        <v>1678177028.6700001</v>
      </c>
      <c r="G23" s="189">
        <v>1688080583.9100001</v>
      </c>
      <c r="H23" s="189">
        <v>1692631521.49</v>
      </c>
      <c r="I23" s="189">
        <v>1690529135.8599999</v>
      </c>
      <c r="J23" s="189">
        <v>1367611967.3</v>
      </c>
      <c r="K23" s="189">
        <v>455032405.51999998</v>
      </c>
      <c r="L23" s="189">
        <v>159142495.86000001</v>
      </c>
      <c r="M23" s="189">
        <v>159529787.22999999</v>
      </c>
      <c r="N23" s="189">
        <v>158382693.03999999</v>
      </c>
      <c r="O23" s="189">
        <v>76465137.379999995</v>
      </c>
      <c r="P23" s="189">
        <v>34182785</v>
      </c>
      <c r="Q23" s="189">
        <v>20000000</v>
      </c>
      <c r="R23" s="189">
        <v>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row>
    <row r="24" spans="1:39"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row>
    <row r="25" spans="1:39"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row>
    <row r="26" spans="1:39" x14ac:dyDescent="0.25">
      <c r="A26" s="189" t="s">
        <v>130</v>
      </c>
      <c r="B26" s="189">
        <v>2212112683.6100001</v>
      </c>
      <c r="C26" s="189">
        <v>2076345232.54</v>
      </c>
      <c r="D26" s="189">
        <v>2025823356.26</v>
      </c>
      <c r="E26" s="189">
        <v>2089964469.5799999</v>
      </c>
      <c r="F26" s="189">
        <v>2054173290.46</v>
      </c>
      <c r="G26" s="189">
        <v>2048530442.8599999</v>
      </c>
      <c r="H26" s="189">
        <v>2073200290.8199999</v>
      </c>
      <c r="I26" s="189">
        <v>2070302115.5899999</v>
      </c>
      <c r="J26" s="189">
        <v>1984954891.5</v>
      </c>
      <c r="K26" s="189">
        <v>1963104979.0799999</v>
      </c>
      <c r="L26" s="189">
        <v>14045233.25</v>
      </c>
      <c r="M26" s="189">
        <v>10045254.039999999</v>
      </c>
      <c r="N26" s="189">
        <v>0</v>
      </c>
      <c r="O26" s="189">
        <v>0</v>
      </c>
      <c r="P26" s="189">
        <v>0</v>
      </c>
      <c r="Q26" s="189">
        <v>0</v>
      </c>
      <c r="R26" s="189">
        <v>20000000</v>
      </c>
      <c r="S26" s="189">
        <v>20000000</v>
      </c>
      <c r="T26" s="189">
        <v>20289633.550000001</v>
      </c>
      <c r="U26" s="189">
        <v>20318733.870000001</v>
      </c>
      <c r="V26" s="189">
        <v>20328863.57</v>
      </c>
      <c r="W26" s="189">
        <v>20328863.57</v>
      </c>
      <c r="X26" s="189">
        <v>20000000</v>
      </c>
      <c r="Y26" s="189">
        <v>20000000</v>
      </c>
      <c r="Z26" s="189">
        <v>20000000</v>
      </c>
      <c r="AA26" s="189">
        <v>20000000</v>
      </c>
      <c r="AB26" s="189">
        <v>20000000</v>
      </c>
      <c r="AC26" s="189">
        <v>20000000</v>
      </c>
      <c r="AD26" s="189">
        <v>22000000</v>
      </c>
      <c r="AE26" s="189">
        <v>0</v>
      </c>
      <c r="AF26" s="189">
        <v>0</v>
      </c>
      <c r="AG26" s="189">
        <v>0</v>
      </c>
      <c r="AH26" s="189">
        <v>0</v>
      </c>
      <c r="AI26" s="189">
        <v>0</v>
      </c>
      <c r="AJ26" s="189">
        <v>0</v>
      </c>
      <c r="AK26" s="189">
        <v>0</v>
      </c>
      <c r="AL26" s="189">
        <v>0</v>
      </c>
      <c r="AM26" s="189">
        <v>0</v>
      </c>
    </row>
    <row r="27" spans="1:39" x14ac:dyDescent="0.25">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row>
    <row r="28" spans="1:39" x14ac:dyDescent="0.25">
      <c r="A28" s="189" t="s">
        <v>132</v>
      </c>
      <c r="B28" s="189">
        <v>415609563.54000002</v>
      </c>
      <c r="C28" s="189">
        <v>450313388.37</v>
      </c>
      <c r="D28" s="189">
        <v>491770738.64999998</v>
      </c>
      <c r="E28" s="189">
        <v>546878880.96000004</v>
      </c>
      <c r="F28" s="189">
        <v>1040742800.64</v>
      </c>
      <c r="G28" s="189">
        <v>1120317724.46</v>
      </c>
      <c r="H28" s="189">
        <v>1178101662.29</v>
      </c>
      <c r="I28" s="189">
        <v>1140315635.02</v>
      </c>
      <c r="J28" s="189">
        <v>1126868064.77</v>
      </c>
      <c r="K28" s="189">
        <v>873118019.52999997</v>
      </c>
      <c r="L28" s="189">
        <v>793118188.00999999</v>
      </c>
      <c r="M28" s="189">
        <v>629348189.65999997</v>
      </c>
      <c r="N28" s="189">
        <v>461722138.61000001</v>
      </c>
      <c r="O28" s="189">
        <v>356339897.06</v>
      </c>
      <c r="P28" s="189">
        <v>326101690.06999999</v>
      </c>
      <c r="Q28" s="189">
        <v>343015085.10000002</v>
      </c>
      <c r="R28" s="189">
        <v>270458033.24000001</v>
      </c>
      <c r="S28" s="189">
        <v>195820447.78</v>
      </c>
      <c r="T28" s="189">
        <v>167388132.22999999</v>
      </c>
      <c r="U28" s="189">
        <v>179456277.56999999</v>
      </c>
      <c r="V28" s="189">
        <v>166824429.72999999</v>
      </c>
      <c r="W28" s="189">
        <v>176670585.90000001</v>
      </c>
      <c r="X28" s="189">
        <v>168204917.50999999</v>
      </c>
      <c r="Y28" s="189">
        <v>178687224.06</v>
      </c>
      <c r="Z28" s="189">
        <v>161694463.22</v>
      </c>
      <c r="AA28" s="189">
        <v>166682355.94</v>
      </c>
      <c r="AB28" s="189">
        <v>161246894.71000001</v>
      </c>
      <c r="AC28" s="189">
        <v>165596635.18000001</v>
      </c>
      <c r="AD28" s="189">
        <v>163072237.41999999</v>
      </c>
      <c r="AE28" s="189">
        <v>150876761.75</v>
      </c>
      <c r="AF28" s="189">
        <v>145212564.61000001</v>
      </c>
      <c r="AG28" s="189">
        <v>140596521.28999999</v>
      </c>
      <c r="AH28" s="189">
        <v>142594656.53</v>
      </c>
      <c r="AI28" s="189">
        <v>114899751.97</v>
      </c>
      <c r="AJ28" s="189">
        <v>80495671.409999996</v>
      </c>
      <c r="AK28" s="189">
        <v>12119848.289999999</v>
      </c>
      <c r="AL28" s="189">
        <v>2472205.7599999998</v>
      </c>
      <c r="AM28" s="189">
        <v>0</v>
      </c>
    </row>
    <row r="29" spans="1:39" x14ac:dyDescent="0.25">
      <c r="A29" s="189" t="s">
        <v>133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2500</v>
      </c>
      <c r="AI29" s="189">
        <v>0</v>
      </c>
      <c r="AJ29" s="189">
        <v>0</v>
      </c>
      <c r="AK29" s="189">
        <v>0</v>
      </c>
      <c r="AL29" s="189">
        <v>0</v>
      </c>
      <c r="AM29" s="189">
        <v>0</v>
      </c>
    </row>
    <row r="30" spans="1:39"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row>
    <row r="31" spans="1:39" x14ac:dyDescent="0.25">
      <c r="A31" s="189" t="s">
        <v>135</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row>
    <row r="32" spans="1:39"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row>
    <row r="33" spans="1:39"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row>
    <row r="34" spans="1:39"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row>
    <row r="35" spans="1:39" x14ac:dyDescent="0.25">
      <c r="A35" s="189" t="s">
        <v>139</v>
      </c>
      <c r="B35" s="189">
        <v>3887347524.1500001</v>
      </c>
      <c r="C35" s="189">
        <v>3934997604.6599998</v>
      </c>
      <c r="D35" s="189">
        <v>4394468475.2399998</v>
      </c>
      <c r="E35" s="189">
        <v>4567035177.6099997</v>
      </c>
      <c r="F35" s="189">
        <v>8600096549.9599991</v>
      </c>
      <c r="G35" s="189">
        <v>8628405917.8500004</v>
      </c>
      <c r="H35" s="189">
        <v>7904165566.4799995</v>
      </c>
      <c r="I35" s="189">
        <v>6882018054.4799995</v>
      </c>
      <c r="J35" s="189">
        <v>6137808794.4799995</v>
      </c>
      <c r="K35" s="189">
        <v>5486098788.3400002</v>
      </c>
      <c r="L35" s="189">
        <v>5079504494.9499998</v>
      </c>
      <c r="M35" s="189">
        <v>4879832445.9799995</v>
      </c>
      <c r="N35" s="189">
        <v>4206455153.2199998</v>
      </c>
      <c r="O35" s="189">
        <v>3789601099.2800002</v>
      </c>
      <c r="P35" s="189">
        <v>3581581508.8499999</v>
      </c>
      <c r="Q35" s="189">
        <v>3338541906.0599999</v>
      </c>
      <c r="R35" s="189">
        <v>3157881794.0700002</v>
      </c>
      <c r="S35" s="189">
        <v>2907783900.3400002</v>
      </c>
      <c r="T35" s="189">
        <v>2725462267.8499999</v>
      </c>
      <c r="U35" s="189">
        <v>2641514257.4000001</v>
      </c>
      <c r="V35" s="189">
        <v>2270650638.7399998</v>
      </c>
      <c r="W35" s="189">
        <v>2150645574.6999998</v>
      </c>
      <c r="X35" s="189">
        <v>1891354882.9000001</v>
      </c>
      <c r="Y35" s="189">
        <v>1751115466.5799999</v>
      </c>
      <c r="Z35" s="189">
        <v>1492026311.6400001</v>
      </c>
      <c r="AA35" s="189">
        <v>1300136646.25</v>
      </c>
      <c r="AB35" s="189">
        <v>1134224399.76</v>
      </c>
      <c r="AC35" s="189">
        <v>886051083.40999997</v>
      </c>
      <c r="AD35" s="189">
        <v>509088085.60000002</v>
      </c>
      <c r="AE35" s="189">
        <v>337207867.27999997</v>
      </c>
      <c r="AF35" s="189">
        <v>257340271.84</v>
      </c>
      <c r="AG35" s="189">
        <v>214363920.68000001</v>
      </c>
      <c r="AH35" s="189">
        <v>125791028.59999999</v>
      </c>
      <c r="AI35" s="189">
        <v>111017245.66</v>
      </c>
      <c r="AJ35" s="189">
        <v>88502958.780000001</v>
      </c>
      <c r="AK35" s="189">
        <v>50471753.219999999</v>
      </c>
      <c r="AL35" s="189">
        <v>50543921.159999996</v>
      </c>
      <c r="AM35" s="189">
        <v>0</v>
      </c>
    </row>
    <row r="36" spans="1:39" x14ac:dyDescent="0.25">
      <c r="A36" s="189" t="s">
        <v>140</v>
      </c>
      <c r="B36" s="189">
        <v>38462526.25</v>
      </c>
      <c r="C36" s="189">
        <v>180905063.43000001</v>
      </c>
      <c r="D36" s="189">
        <v>187608614.06</v>
      </c>
      <c r="E36" s="189">
        <v>148085237.30000001</v>
      </c>
      <c r="F36" s="189">
        <v>805531300.78999996</v>
      </c>
      <c r="G36" s="189">
        <v>816890420</v>
      </c>
      <c r="H36" s="189">
        <v>757836243.44000006</v>
      </c>
      <c r="I36" s="189">
        <v>696578154.59000003</v>
      </c>
      <c r="J36" s="189">
        <v>696024803.49000001</v>
      </c>
      <c r="K36" s="189">
        <v>676291066.61000001</v>
      </c>
      <c r="L36" s="189">
        <v>580983818.11000001</v>
      </c>
      <c r="M36" s="189">
        <v>424155254.98000002</v>
      </c>
      <c r="N36" s="189">
        <v>450987468.44999999</v>
      </c>
      <c r="O36" s="189">
        <v>435841236.36000001</v>
      </c>
      <c r="P36" s="189">
        <v>416911304.18000001</v>
      </c>
      <c r="Q36" s="189">
        <v>388056048.72000003</v>
      </c>
      <c r="R36" s="189">
        <v>268854572.16000003</v>
      </c>
      <c r="S36" s="189">
        <v>210435958.15000001</v>
      </c>
      <c r="T36" s="189">
        <v>128621168.22</v>
      </c>
      <c r="U36" s="189">
        <v>65931646.890000001</v>
      </c>
      <c r="V36" s="189">
        <v>97554491.75</v>
      </c>
      <c r="W36" s="189">
        <v>86840072.030000001</v>
      </c>
      <c r="X36" s="189">
        <v>67389778.640000001</v>
      </c>
      <c r="Y36" s="189">
        <v>56705158.490000002</v>
      </c>
      <c r="Z36" s="189">
        <v>52051866.549999997</v>
      </c>
      <c r="AA36" s="189">
        <v>68433633.140000001</v>
      </c>
      <c r="AB36" s="189">
        <v>43837150.850000001</v>
      </c>
      <c r="AC36" s="189">
        <v>36404354.109999999</v>
      </c>
      <c r="AD36" s="189">
        <v>9700688.4700000007</v>
      </c>
      <c r="AE36" s="189">
        <v>2542829.0299999998</v>
      </c>
      <c r="AF36" s="189">
        <v>2163032.9900000002</v>
      </c>
      <c r="AG36" s="189">
        <v>1922715.24</v>
      </c>
      <c r="AH36" s="189">
        <v>0</v>
      </c>
      <c r="AI36" s="189">
        <v>0</v>
      </c>
      <c r="AJ36" s="189">
        <v>0</v>
      </c>
      <c r="AK36" s="189">
        <v>0</v>
      </c>
      <c r="AL36" s="189">
        <v>0</v>
      </c>
      <c r="AM36" s="189">
        <v>0</v>
      </c>
    </row>
    <row r="37" spans="1:39" x14ac:dyDescent="0.25">
      <c r="A37" s="189" t="s">
        <v>141</v>
      </c>
      <c r="B37" s="189">
        <v>747585265.47000003</v>
      </c>
      <c r="C37" s="189">
        <v>747585265.47000003</v>
      </c>
      <c r="D37" s="189">
        <v>747585265.47000003</v>
      </c>
      <c r="E37" s="189">
        <v>747585265.47000003</v>
      </c>
      <c r="F37" s="189">
        <v>747585265.47000003</v>
      </c>
      <c r="G37" s="189">
        <v>747585265.47000003</v>
      </c>
      <c r="H37" s="189">
        <v>747585265.47000003</v>
      </c>
      <c r="I37" s="189">
        <v>747585265.47000003</v>
      </c>
      <c r="J37" s="189">
        <v>747585265.47000003</v>
      </c>
      <c r="K37" s="189">
        <v>747585265.47000003</v>
      </c>
      <c r="L37" s="189">
        <v>747585265.47000003</v>
      </c>
      <c r="M37" s="189">
        <v>747585265.47000003</v>
      </c>
      <c r="N37" s="189">
        <v>747585265.47000003</v>
      </c>
      <c r="O37" s="189">
        <v>747585265.47000003</v>
      </c>
      <c r="P37" s="189">
        <v>747585265.47000003</v>
      </c>
      <c r="Q37" s="189">
        <v>747585265.47000003</v>
      </c>
      <c r="R37" s="189">
        <v>749091684.70000005</v>
      </c>
      <c r="S37" s="189">
        <v>749091684.70000005</v>
      </c>
      <c r="T37" s="189">
        <v>0</v>
      </c>
      <c r="U37" s="189">
        <v>0</v>
      </c>
      <c r="V37" s="189">
        <v>0</v>
      </c>
      <c r="W37" s="189">
        <v>0</v>
      </c>
      <c r="X37" s="189">
        <v>854892.91</v>
      </c>
      <c r="Y37" s="189">
        <v>854892.91</v>
      </c>
      <c r="Z37" s="189">
        <v>854892.91</v>
      </c>
      <c r="AA37" s="189">
        <v>854892.91</v>
      </c>
      <c r="AB37" s="189">
        <v>854892.91</v>
      </c>
      <c r="AC37" s="189">
        <v>854892.91</v>
      </c>
      <c r="AD37" s="189">
        <v>0</v>
      </c>
      <c r="AE37" s="189">
        <v>0</v>
      </c>
      <c r="AF37" s="189">
        <v>0</v>
      </c>
      <c r="AG37" s="189">
        <v>0</v>
      </c>
      <c r="AH37" s="189">
        <v>0</v>
      </c>
      <c r="AI37" s="189">
        <v>0</v>
      </c>
      <c r="AJ37" s="189">
        <v>0</v>
      </c>
      <c r="AK37" s="189">
        <v>0</v>
      </c>
      <c r="AL37" s="189">
        <v>0</v>
      </c>
      <c r="AM37" s="189">
        <v>0</v>
      </c>
    </row>
    <row r="38" spans="1:39" x14ac:dyDescent="0.25">
      <c r="A38" s="189" t="s">
        <v>142</v>
      </c>
      <c r="B38" s="189">
        <v>0</v>
      </c>
      <c r="C38" s="189">
        <v>0</v>
      </c>
      <c r="D38" s="189">
        <v>786475.89</v>
      </c>
      <c r="E38" s="189">
        <v>806666.67</v>
      </c>
      <c r="F38" s="189">
        <v>1484671.89</v>
      </c>
      <c r="G38" s="189">
        <v>1264199.1599999999</v>
      </c>
      <c r="H38" s="189">
        <v>1544969.26</v>
      </c>
      <c r="I38" s="189">
        <v>1546403.16</v>
      </c>
      <c r="J38" s="189">
        <v>460415.06</v>
      </c>
      <c r="K38" s="189">
        <v>460415.06</v>
      </c>
      <c r="L38" s="189">
        <v>460415.06</v>
      </c>
      <c r="M38" s="189">
        <v>1082073.1499999999</v>
      </c>
      <c r="N38" s="189">
        <v>1382058.87</v>
      </c>
      <c r="O38" s="189">
        <v>1523898.56</v>
      </c>
      <c r="P38" s="189">
        <v>1700506.61</v>
      </c>
      <c r="Q38" s="189">
        <v>1930683</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row>
    <row r="39" spans="1:39" x14ac:dyDescent="0.25">
      <c r="A39" s="189" t="s">
        <v>143</v>
      </c>
      <c r="B39" s="189">
        <v>52046745.939999998</v>
      </c>
      <c r="C39" s="189">
        <v>52680118.689999998</v>
      </c>
      <c r="D39" s="189">
        <v>54426350.509999998</v>
      </c>
      <c r="E39" s="189">
        <v>55170945.43</v>
      </c>
      <c r="F39" s="189">
        <v>1116874483.6500001</v>
      </c>
      <c r="G39" s="189">
        <v>912663733.60000002</v>
      </c>
      <c r="H39" s="189">
        <v>838852706.37</v>
      </c>
      <c r="I39" s="189">
        <v>763343422.11000001</v>
      </c>
      <c r="J39" s="189">
        <v>710151450.64999998</v>
      </c>
      <c r="K39" s="189">
        <v>631809781.22000003</v>
      </c>
      <c r="L39" s="189">
        <v>530833720.98000002</v>
      </c>
      <c r="M39" s="189">
        <v>507251454.37</v>
      </c>
      <c r="N39" s="189">
        <v>346289271.63999999</v>
      </c>
      <c r="O39" s="189">
        <v>281692854.08999997</v>
      </c>
      <c r="P39" s="189">
        <v>234994985.59</v>
      </c>
      <c r="Q39" s="189">
        <v>196218582.19</v>
      </c>
      <c r="R39" s="189">
        <v>140679113.09999999</v>
      </c>
      <c r="S39" s="189">
        <v>88954081.129999995</v>
      </c>
      <c r="T39" s="189">
        <v>46416271.880000003</v>
      </c>
      <c r="U39" s="189">
        <v>26756965.48</v>
      </c>
      <c r="V39" s="189">
        <v>3546832.57</v>
      </c>
      <c r="W39" s="189">
        <v>3546832.57</v>
      </c>
      <c r="X39" s="189">
        <v>2380521.0299999998</v>
      </c>
      <c r="Y39" s="189">
        <v>2380521.0299999998</v>
      </c>
      <c r="Z39" s="189">
        <v>2279479.39</v>
      </c>
      <c r="AA39" s="189">
        <v>2279479.39</v>
      </c>
      <c r="AB39" s="189">
        <v>1747789.47</v>
      </c>
      <c r="AC39" s="189">
        <v>1747789.47</v>
      </c>
      <c r="AD39" s="189">
        <v>1487828.17</v>
      </c>
      <c r="AE39" s="189">
        <v>1487828.16</v>
      </c>
      <c r="AF39" s="189">
        <v>1074907.6100000001</v>
      </c>
      <c r="AG39" s="189">
        <v>1074907.6100000001</v>
      </c>
      <c r="AH39" s="189">
        <v>813878.6</v>
      </c>
      <c r="AI39" s="189">
        <v>813878.6</v>
      </c>
      <c r="AJ39" s="189">
        <v>813878.6</v>
      </c>
      <c r="AK39" s="189">
        <v>86091.39</v>
      </c>
      <c r="AL39" s="189">
        <v>0</v>
      </c>
      <c r="AM39" s="189">
        <v>0</v>
      </c>
    </row>
    <row r="40" spans="1:39" x14ac:dyDescent="0.25">
      <c r="A40" s="189" t="s">
        <v>144</v>
      </c>
      <c r="B40" s="189">
        <v>826526595.84000003</v>
      </c>
      <c r="C40" s="189">
        <v>911497241.47000003</v>
      </c>
      <c r="D40" s="189">
        <v>970853042.21000004</v>
      </c>
      <c r="E40" s="189">
        <v>971834613.55999994</v>
      </c>
      <c r="F40" s="189">
        <v>1375605015.8699999</v>
      </c>
      <c r="G40" s="189">
        <v>1117626425.96</v>
      </c>
      <c r="H40" s="189">
        <v>1662061830.45</v>
      </c>
      <c r="I40" s="189">
        <v>1658299634.4200001</v>
      </c>
      <c r="J40" s="189">
        <v>1382152881.5999999</v>
      </c>
      <c r="K40" s="189">
        <v>572779517.75999999</v>
      </c>
      <c r="L40" s="189">
        <v>544103698.07000005</v>
      </c>
      <c r="M40" s="189">
        <v>511528626.08999997</v>
      </c>
      <c r="N40" s="189">
        <v>527016608.54000002</v>
      </c>
      <c r="O40" s="189">
        <v>359510444.52999997</v>
      </c>
      <c r="P40" s="189">
        <v>257989216.81999999</v>
      </c>
      <c r="Q40" s="189">
        <v>230797275.71000001</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row>
    <row r="41" spans="1:39" x14ac:dyDescent="0.25">
      <c r="A41" s="189" t="s">
        <v>145</v>
      </c>
      <c r="B41" s="189">
        <v>8977258246.3600006</v>
      </c>
      <c r="C41" s="189">
        <v>9166061314.5799999</v>
      </c>
      <c r="D41" s="189">
        <v>9709340717.1599998</v>
      </c>
      <c r="E41" s="189">
        <v>9983649441.2800007</v>
      </c>
      <c r="F41" s="189">
        <v>18182626342.779999</v>
      </c>
      <c r="G41" s="189">
        <v>17837564832</v>
      </c>
      <c r="H41" s="189">
        <v>17446820216.919998</v>
      </c>
      <c r="I41" s="189">
        <v>16364659640.940001</v>
      </c>
      <c r="J41" s="189">
        <v>14721950199.379999</v>
      </c>
      <c r="K41" s="189">
        <v>11916637634.77</v>
      </c>
      <c r="L41" s="189">
        <v>8479777329.7600002</v>
      </c>
      <c r="M41" s="189">
        <v>7870358350.9700003</v>
      </c>
      <c r="N41" s="189">
        <v>6899820657.8400002</v>
      </c>
      <c r="O41" s="189">
        <v>6048559832.7299995</v>
      </c>
      <c r="P41" s="189">
        <v>5601047262.5900002</v>
      </c>
      <c r="Q41" s="189">
        <v>5266144846.25</v>
      </c>
      <c r="R41" s="189">
        <v>4606965197.2700005</v>
      </c>
      <c r="S41" s="189">
        <v>4172086072.0999999</v>
      </c>
      <c r="T41" s="189">
        <v>3088177473.73</v>
      </c>
      <c r="U41" s="189">
        <v>2933977881.21</v>
      </c>
      <c r="V41" s="189">
        <v>2558905256.3600001</v>
      </c>
      <c r="W41" s="189">
        <v>2438031928.77</v>
      </c>
      <c r="X41" s="189">
        <v>2150184992.9899998</v>
      </c>
      <c r="Y41" s="189">
        <v>2009743263.0699999</v>
      </c>
      <c r="Z41" s="189">
        <v>1728907013.71</v>
      </c>
      <c r="AA41" s="189">
        <v>1558387007.6300001</v>
      </c>
      <c r="AB41" s="189">
        <v>1361911127.7</v>
      </c>
      <c r="AC41" s="189">
        <v>1110654755.0799999</v>
      </c>
      <c r="AD41" s="189">
        <v>705348839.65999997</v>
      </c>
      <c r="AE41" s="189">
        <v>492115286.22000003</v>
      </c>
      <c r="AF41" s="189">
        <v>405790777.05000001</v>
      </c>
      <c r="AG41" s="189">
        <v>357958064.81999999</v>
      </c>
      <c r="AH41" s="189">
        <v>269202063.73000002</v>
      </c>
      <c r="AI41" s="189">
        <v>226730876.22999999</v>
      </c>
      <c r="AJ41" s="189">
        <v>169812508.78999999</v>
      </c>
      <c r="AK41" s="189">
        <v>62677692.899999999</v>
      </c>
      <c r="AL41" s="189">
        <v>53016126.920000002</v>
      </c>
      <c r="AM41" s="189">
        <v>0</v>
      </c>
    </row>
    <row r="42" spans="1:39" x14ac:dyDescent="0.25">
      <c r="A42" s="189" t="s">
        <v>146</v>
      </c>
      <c r="B42" s="189">
        <v>16371947171.83</v>
      </c>
      <c r="C42" s="189">
        <v>17008033677.549999</v>
      </c>
      <c r="D42" s="189">
        <v>17451632756.779999</v>
      </c>
      <c r="E42" s="189">
        <v>17897649137.080002</v>
      </c>
      <c r="F42" s="189">
        <v>32288062481.790001</v>
      </c>
      <c r="G42" s="189">
        <v>35742921149.300003</v>
      </c>
      <c r="H42" s="189">
        <v>33582885584.5</v>
      </c>
      <c r="I42" s="189">
        <v>32233826009.07</v>
      </c>
      <c r="J42" s="189">
        <v>28868507113.639999</v>
      </c>
      <c r="K42" s="189">
        <v>24851095283.080002</v>
      </c>
      <c r="L42" s="189">
        <v>17847182730.279999</v>
      </c>
      <c r="M42" s="189">
        <v>16982154558.91</v>
      </c>
      <c r="N42" s="189">
        <v>14772295473.18</v>
      </c>
      <c r="O42" s="189">
        <v>11233959782.120001</v>
      </c>
      <c r="P42" s="189">
        <v>9996961126.7800007</v>
      </c>
      <c r="Q42" s="189">
        <v>8851023247.1299992</v>
      </c>
      <c r="R42" s="189">
        <v>8038444150.8800001</v>
      </c>
      <c r="S42" s="189">
        <v>7960197348.1400003</v>
      </c>
      <c r="T42" s="189">
        <v>5955262878.0699997</v>
      </c>
      <c r="U42" s="189">
        <v>5020324966.2200003</v>
      </c>
      <c r="V42" s="189">
        <v>4309709878.6300001</v>
      </c>
      <c r="W42" s="189">
        <v>3605189372.98</v>
      </c>
      <c r="X42" s="189">
        <v>3411896211.27</v>
      </c>
      <c r="Y42" s="189">
        <v>2901149532.04</v>
      </c>
      <c r="Z42" s="189">
        <v>2689479333.6999998</v>
      </c>
      <c r="AA42" s="189">
        <v>2354896573.0100002</v>
      </c>
      <c r="AB42" s="189">
        <v>2019350379.1300001</v>
      </c>
      <c r="AC42" s="189">
        <v>1774387093.3699999</v>
      </c>
      <c r="AD42" s="189">
        <v>1424136085.4400001</v>
      </c>
      <c r="AE42" s="189">
        <v>1255051373.5999999</v>
      </c>
      <c r="AF42" s="189">
        <v>1086834756.46</v>
      </c>
      <c r="AG42" s="189">
        <v>1031621057.21</v>
      </c>
      <c r="AH42" s="189">
        <v>965099921.72000003</v>
      </c>
      <c r="AI42" s="189">
        <v>329062903.67000002</v>
      </c>
      <c r="AJ42" s="189">
        <v>236509318.56999999</v>
      </c>
      <c r="AK42" s="189">
        <v>148161210.49000001</v>
      </c>
      <c r="AL42" s="189">
        <v>64337456.240000002</v>
      </c>
      <c r="AM42" s="189">
        <v>0</v>
      </c>
    </row>
    <row r="43" spans="1:39" x14ac:dyDescent="0.25">
      <c r="A43" s="189" t="s">
        <v>147</v>
      </c>
    </row>
    <row r="44" spans="1:39" x14ac:dyDescent="0.25">
      <c r="A44" s="189" t="s">
        <v>148</v>
      </c>
      <c r="B44" s="189">
        <v>1956295824.03</v>
      </c>
      <c r="C44" s="189">
        <v>2176745501.8000002</v>
      </c>
      <c r="D44" s="189">
        <v>3314975501.8000002</v>
      </c>
      <c r="E44" s="189">
        <v>2754826592.0100002</v>
      </c>
      <c r="F44" s="189">
        <v>3008355409.98</v>
      </c>
      <c r="G44" s="189">
        <v>2110675908.1800001</v>
      </c>
      <c r="H44" s="189">
        <v>2177675908.1799998</v>
      </c>
      <c r="I44" s="189">
        <v>2600361000</v>
      </c>
      <c r="J44" s="189">
        <v>2986486000</v>
      </c>
      <c r="K44" s="189">
        <v>1493000000</v>
      </c>
      <c r="L44" s="189">
        <v>1928800000</v>
      </c>
      <c r="M44" s="189">
        <v>1735000000</v>
      </c>
      <c r="N44" s="189">
        <v>1346809413</v>
      </c>
      <c r="O44" s="189">
        <v>1375000000</v>
      </c>
      <c r="P44" s="189">
        <v>1054000000</v>
      </c>
      <c r="Q44" s="189">
        <v>1388000000</v>
      </c>
      <c r="R44" s="189">
        <v>1389000000</v>
      </c>
      <c r="S44" s="189">
        <v>1239000000</v>
      </c>
      <c r="T44" s="189">
        <v>1150000000</v>
      </c>
      <c r="U44" s="189">
        <v>970000000</v>
      </c>
      <c r="V44" s="189">
        <v>565000000</v>
      </c>
      <c r="W44" s="189">
        <v>685000000</v>
      </c>
      <c r="X44" s="189">
        <v>538900000</v>
      </c>
      <c r="Y44" s="189">
        <v>508900000</v>
      </c>
      <c r="Z44" s="189">
        <v>511300000</v>
      </c>
      <c r="AA44" s="189">
        <v>474300000</v>
      </c>
      <c r="AB44" s="189">
        <v>380000000</v>
      </c>
      <c r="AC44" s="189">
        <v>340000000</v>
      </c>
      <c r="AD44" s="189">
        <v>267370835.80000001</v>
      </c>
      <c r="AE44" s="189">
        <v>200000000</v>
      </c>
      <c r="AF44" s="189">
        <v>70000000</v>
      </c>
      <c r="AG44" s="189">
        <v>70000000</v>
      </c>
      <c r="AH44" s="189">
        <v>26200000</v>
      </c>
      <c r="AI44" s="189">
        <v>95500000</v>
      </c>
      <c r="AJ44" s="189">
        <v>40000000</v>
      </c>
      <c r="AK44" s="189">
        <v>0</v>
      </c>
      <c r="AL44" s="189">
        <v>0</v>
      </c>
      <c r="AM44" s="189">
        <v>0</v>
      </c>
    </row>
    <row r="45" spans="1:39" x14ac:dyDescent="0.25">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row>
    <row r="46" spans="1:39" x14ac:dyDescent="0.25">
      <c r="A46" s="189" t="s">
        <v>150</v>
      </c>
      <c r="B46" s="189">
        <v>0</v>
      </c>
      <c r="C46" s="189">
        <v>0</v>
      </c>
      <c r="D46" s="189">
        <v>0</v>
      </c>
      <c r="E46" s="189">
        <v>0</v>
      </c>
      <c r="F46" s="189">
        <v>0</v>
      </c>
      <c r="G46" s="189">
        <v>0</v>
      </c>
      <c r="H46" s="189">
        <v>125000000</v>
      </c>
      <c r="I46" s="189">
        <v>226884006.72</v>
      </c>
      <c r="J46" s="189">
        <v>750884006.72000003</v>
      </c>
      <c r="K46" s="189">
        <v>562500000</v>
      </c>
      <c r="L46" s="189">
        <v>150000000</v>
      </c>
      <c r="M46" s="189">
        <v>0</v>
      </c>
      <c r="N46" s="189">
        <v>120000000</v>
      </c>
      <c r="O46" s="189">
        <v>0</v>
      </c>
      <c r="P46" s="189">
        <v>0</v>
      </c>
      <c r="Q46" s="189">
        <v>20000000</v>
      </c>
      <c r="R46" s="189">
        <v>199485187.69999999</v>
      </c>
      <c r="S46" s="189">
        <v>0</v>
      </c>
      <c r="T46" s="189">
        <v>22500000</v>
      </c>
      <c r="U46" s="189">
        <v>22500000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row>
    <row r="47" spans="1:39" x14ac:dyDescent="0.25">
      <c r="A47" s="189" t="s">
        <v>151</v>
      </c>
      <c r="B47" s="189">
        <v>0</v>
      </c>
      <c r="C47" s="189">
        <v>5216518269.04</v>
      </c>
      <c r="D47" s="189">
        <v>5895382904.5200005</v>
      </c>
      <c r="E47" s="189">
        <v>6514482975.3299999</v>
      </c>
      <c r="F47" s="189">
        <v>5361457344.2799997</v>
      </c>
      <c r="G47" s="189">
        <v>5840327241.1000004</v>
      </c>
      <c r="H47" s="189">
        <v>4835548546.5</v>
      </c>
      <c r="I47" s="189">
        <v>5421247492.0900002</v>
      </c>
      <c r="J47" s="189">
        <v>4383290066.5299997</v>
      </c>
      <c r="K47" s="189">
        <v>4793307600.3000002</v>
      </c>
      <c r="L47" s="189">
        <v>4188829138.9200001</v>
      </c>
      <c r="M47" s="189">
        <v>3230743322.8600001</v>
      </c>
      <c r="N47" s="189">
        <v>3040545966.21</v>
      </c>
      <c r="O47" s="189">
        <v>1620104887.8900001</v>
      </c>
      <c r="P47" s="189">
        <v>1475839417.04</v>
      </c>
      <c r="Q47" s="189">
        <v>1605289561.49</v>
      </c>
      <c r="R47" s="189">
        <v>1447035743.21</v>
      </c>
      <c r="S47" s="189">
        <v>1845550685.5899999</v>
      </c>
      <c r="T47" s="189">
        <v>930991633.62</v>
      </c>
      <c r="U47" s="189">
        <v>782182977.60000002</v>
      </c>
      <c r="V47" s="189">
        <v>593393819.10000002</v>
      </c>
      <c r="W47" s="189">
        <v>416593439.36000001</v>
      </c>
      <c r="X47" s="189">
        <v>319612524.98000002</v>
      </c>
      <c r="Y47" s="189">
        <v>327451670.45999998</v>
      </c>
      <c r="Z47" s="189">
        <v>336293521.31999999</v>
      </c>
      <c r="AA47" s="189">
        <v>320227812.19999999</v>
      </c>
      <c r="AB47" s="189">
        <v>343757432</v>
      </c>
      <c r="AC47" s="189">
        <v>237108804.13999999</v>
      </c>
      <c r="AD47" s="189">
        <v>92347342.159999996</v>
      </c>
      <c r="AE47" s="189">
        <v>44560198.869999997</v>
      </c>
      <c r="AF47" s="189">
        <v>35934238.07</v>
      </c>
      <c r="AG47" s="189">
        <v>15101702.130000001</v>
      </c>
      <c r="AH47" s="189">
        <v>13055619</v>
      </c>
      <c r="AI47" s="189">
        <v>9254616.6099999994</v>
      </c>
      <c r="AJ47" s="189">
        <v>4731201</v>
      </c>
      <c r="AK47" s="189">
        <v>344263</v>
      </c>
      <c r="AL47" s="189">
        <v>1221338</v>
      </c>
      <c r="AM47" s="189">
        <v>0</v>
      </c>
    </row>
    <row r="48" spans="1:39" x14ac:dyDescent="0.25">
      <c r="A48" s="189" t="s">
        <v>152</v>
      </c>
      <c r="B48" s="189">
        <v>588545849.28999996</v>
      </c>
      <c r="C48" s="189">
        <v>627138192.55999994</v>
      </c>
      <c r="D48" s="189">
        <v>537212757.44000006</v>
      </c>
      <c r="E48" s="189">
        <v>456754864.86000001</v>
      </c>
      <c r="F48" s="189">
        <v>810863767.57000005</v>
      </c>
      <c r="G48" s="189">
        <v>313500523.68000001</v>
      </c>
      <c r="H48" s="189">
        <v>203648054.13999999</v>
      </c>
      <c r="I48" s="189">
        <v>182669921.06</v>
      </c>
      <c r="J48" s="189">
        <v>446079041.25</v>
      </c>
      <c r="K48" s="189">
        <v>387246046.50999999</v>
      </c>
      <c r="L48" s="189">
        <v>398467102.31999999</v>
      </c>
      <c r="M48" s="189">
        <v>1733076250.8099999</v>
      </c>
      <c r="N48" s="189">
        <v>195998956.41</v>
      </c>
      <c r="O48" s="189">
        <v>683471202.92999995</v>
      </c>
      <c r="P48" s="189">
        <v>347482309.56999999</v>
      </c>
      <c r="Q48" s="189">
        <v>323395607.04000002</v>
      </c>
      <c r="R48" s="189">
        <v>306876208.01999998</v>
      </c>
      <c r="S48" s="189">
        <v>250027578.94999999</v>
      </c>
      <c r="T48" s="189">
        <v>255387535.33000001</v>
      </c>
      <c r="U48" s="189">
        <v>44327746.549999997</v>
      </c>
      <c r="V48" s="189">
        <v>12499516.51</v>
      </c>
      <c r="W48" s="189">
        <v>8551745</v>
      </c>
      <c r="X48" s="189">
        <v>8328095.5700000003</v>
      </c>
      <c r="Y48" s="189">
        <v>6828378.5899999999</v>
      </c>
      <c r="Z48" s="189">
        <v>13734880.539999999</v>
      </c>
      <c r="AA48" s="189">
        <v>17275407.02</v>
      </c>
      <c r="AB48" s="189">
        <v>20068640.670000002</v>
      </c>
      <c r="AC48" s="189">
        <v>15187309.35</v>
      </c>
      <c r="AD48" s="189">
        <v>11544600.699999999</v>
      </c>
      <c r="AE48" s="189">
        <v>11544402.4</v>
      </c>
      <c r="AF48" s="189">
        <v>501340.13</v>
      </c>
      <c r="AG48" s="189">
        <v>2094686.67</v>
      </c>
      <c r="AH48" s="189">
        <v>0</v>
      </c>
      <c r="AI48" s="189">
        <v>51666.67</v>
      </c>
      <c r="AJ48" s="189">
        <v>177777.88</v>
      </c>
      <c r="AK48" s="189">
        <v>0</v>
      </c>
      <c r="AL48" s="189">
        <v>3000</v>
      </c>
      <c r="AM48" s="189">
        <v>0</v>
      </c>
    </row>
    <row r="49" spans="1:39"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row>
    <row r="50" spans="1:39" x14ac:dyDescent="0.25">
      <c r="A50" s="189" t="s">
        <v>154</v>
      </c>
      <c r="B50" s="189">
        <v>3273561.91</v>
      </c>
      <c r="C50" s="189">
        <v>2319006.9900000002</v>
      </c>
      <c r="D50" s="189">
        <v>7503991.7199999997</v>
      </c>
      <c r="E50" s="189">
        <v>1228870.1200000001</v>
      </c>
      <c r="F50" s="189">
        <v>16211406.52</v>
      </c>
      <c r="G50" s="189">
        <v>2309638.58</v>
      </c>
      <c r="H50" s="189">
        <v>16383631.17</v>
      </c>
      <c r="I50" s="189">
        <v>9609937.0899999999</v>
      </c>
      <c r="J50" s="189">
        <v>11528714.699999999</v>
      </c>
      <c r="K50" s="189">
        <v>5023090.3499999996</v>
      </c>
      <c r="L50" s="189">
        <v>5226501.03</v>
      </c>
      <c r="M50" s="189">
        <v>5157677.1100000003</v>
      </c>
      <c r="N50" s="189">
        <v>4769448.74</v>
      </c>
      <c r="O50" s="189">
        <v>3795638.7</v>
      </c>
      <c r="P50" s="189">
        <v>3352592.7</v>
      </c>
      <c r="Q50" s="189">
        <v>3009132.52</v>
      </c>
      <c r="R50" s="189">
        <v>3985096.17</v>
      </c>
      <c r="S50" s="189">
        <v>1934243.46</v>
      </c>
      <c r="T50" s="189">
        <v>1280818.83</v>
      </c>
      <c r="U50" s="189">
        <v>2948210.24</v>
      </c>
      <c r="V50" s="189">
        <v>3249311.81</v>
      </c>
      <c r="W50" s="189">
        <v>1369704.78</v>
      </c>
      <c r="X50" s="189">
        <v>2921004.35</v>
      </c>
      <c r="Y50" s="189">
        <v>5154888.46</v>
      </c>
      <c r="Z50" s="189">
        <v>445534.22</v>
      </c>
      <c r="AA50" s="189">
        <v>974573.45</v>
      </c>
      <c r="AB50" s="189">
        <v>1187239.74</v>
      </c>
      <c r="AC50" s="189">
        <v>3940065.46</v>
      </c>
      <c r="AD50" s="189">
        <v>527033.43999999994</v>
      </c>
      <c r="AE50" s="189">
        <v>1658388.52</v>
      </c>
      <c r="AF50" s="189">
        <v>674718.14</v>
      </c>
      <c r="AG50" s="189">
        <v>955802.28</v>
      </c>
      <c r="AH50" s="189">
        <v>732395.19</v>
      </c>
      <c r="AI50" s="189">
        <v>1138613.44</v>
      </c>
      <c r="AJ50" s="189">
        <v>241613.11</v>
      </c>
      <c r="AK50" s="189">
        <v>234124.89</v>
      </c>
      <c r="AL50" s="189">
        <v>480249.38</v>
      </c>
      <c r="AM50" s="189">
        <v>0</v>
      </c>
    </row>
    <row r="51" spans="1:39" x14ac:dyDescent="0.25">
      <c r="A51" s="189" t="s">
        <v>155</v>
      </c>
      <c r="B51" s="189">
        <v>402482596.38999999</v>
      </c>
      <c r="C51" s="189">
        <v>542203253.13999999</v>
      </c>
      <c r="D51" s="189">
        <v>575392428.00999999</v>
      </c>
      <c r="E51" s="189">
        <v>564668668.24000001</v>
      </c>
      <c r="F51" s="189">
        <v>787057960.91999996</v>
      </c>
      <c r="G51" s="189">
        <v>1015498145.02</v>
      </c>
      <c r="H51" s="189">
        <v>940127783.90999997</v>
      </c>
      <c r="I51" s="189">
        <v>774198911.49000001</v>
      </c>
      <c r="J51" s="189">
        <v>354320707.68000001</v>
      </c>
      <c r="K51" s="189">
        <v>617712901.53999996</v>
      </c>
      <c r="L51" s="189">
        <v>612101084.05999994</v>
      </c>
      <c r="M51" s="189">
        <v>577549772.36000001</v>
      </c>
      <c r="N51" s="189">
        <v>443822744.31</v>
      </c>
      <c r="O51" s="189">
        <v>415521741.92000002</v>
      </c>
      <c r="P51" s="189">
        <v>427276894.93000001</v>
      </c>
      <c r="Q51" s="189">
        <v>409757631.22000003</v>
      </c>
      <c r="R51" s="189">
        <v>245916235.71000001</v>
      </c>
      <c r="S51" s="189">
        <v>247700490.47</v>
      </c>
      <c r="T51" s="189">
        <v>189661285.83000001</v>
      </c>
      <c r="U51" s="189">
        <v>155624444.69</v>
      </c>
      <c r="V51" s="189">
        <v>108802099.34999999</v>
      </c>
      <c r="W51" s="189">
        <v>99444583.890000001</v>
      </c>
      <c r="X51" s="189">
        <v>104325792.34</v>
      </c>
      <c r="Y51" s="189">
        <v>86195713.290000007</v>
      </c>
      <c r="Z51" s="189">
        <v>66345065.899999999</v>
      </c>
      <c r="AA51" s="189">
        <v>65050326.990000002</v>
      </c>
      <c r="AB51" s="189">
        <v>58895347.829999998</v>
      </c>
      <c r="AC51" s="189">
        <v>41230586.950000003</v>
      </c>
      <c r="AD51" s="189">
        <v>26653689.199999999</v>
      </c>
      <c r="AE51" s="189">
        <v>14265285.310000001</v>
      </c>
      <c r="AF51" s="189">
        <v>11778912.24</v>
      </c>
      <c r="AG51" s="189">
        <v>4180059</v>
      </c>
      <c r="AH51" s="189">
        <v>5811819.0300000003</v>
      </c>
      <c r="AI51" s="189">
        <v>4851772.05</v>
      </c>
      <c r="AJ51" s="189">
        <v>4304542.5199999996</v>
      </c>
      <c r="AK51" s="189">
        <v>4605335.51</v>
      </c>
      <c r="AL51" s="189">
        <v>1347778.72</v>
      </c>
      <c r="AM51" s="189">
        <v>0</v>
      </c>
    </row>
    <row r="52" spans="1:39" x14ac:dyDescent="0.25">
      <c r="A52" s="189" t="s">
        <v>156</v>
      </c>
      <c r="B52" s="189">
        <v>0</v>
      </c>
      <c r="C52" s="189">
        <v>346128957.52999997</v>
      </c>
      <c r="D52" s="189">
        <v>233429300.46000001</v>
      </c>
      <c r="E52" s="189">
        <v>111768418.02</v>
      </c>
      <c r="F52" s="189">
        <v>210238795.94</v>
      </c>
      <c r="G52" s="189">
        <v>259698626.40000001</v>
      </c>
      <c r="H52" s="189">
        <v>112643447.69</v>
      </c>
      <c r="I52" s="189">
        <v>81875727.030000001</v>
      </c>
      <c r="J52" s="189">
        <v>24051053.300000001</v>
      </c>
      <c r="K52" s="189">
        <v>117550745.66</v>
      </c>
      <c r="L52" s="189">
        <v>91336763.569999993</v>
      </c>
      <c r="M52" s="189">
        <v>52645206.380000003</v>
      </c>
      <c r="N52" s="189">
        <v>13024193.550000001</v>
      </c>
      <c r="O52" s="189">
        <v>10488925.08</v>
      </c>
      <c r="P52" s="189">
        <v>25333798.460000001</v>
      </c>
      <c r="Q52" s="189">
        <v>15200173.460000001</v>
      </c>
      <c r="R52" s="189">
        <v>8605437.3499999996</v>
      </c>
      <c r="S52" s="189">
        <v>31597654.640000001</v>
      </c>
      <c r="T52" s="189">
        <v>38980645.219999999</v>
      </c>
      <c r="U52" s="189">
        <v>25835645.210000001</v>
      </c>
      <c r="V52" s="189">
        <v>12690645.199999999</v>
      </c>
      <c r="W52" s="189">
        <v>19405645.190000001</v>
      </c>
      <c r="X52" s="189">
        <v>30140645.190000001</v>
      </c>
      <c r="Y52" s="189">
        <v>20895645.18</v>
      </c>
      <c r="Z52" s="189">
        <v>11650645.17</v>
      </c>
      <c r="AA52" s="189">
        <v>2954032.26</v>
      </c>
      <c r="AB52" s="189">
        <v>0</v>
      </c>
      <c r="AC52" s="189">
        <v>0</v>
      </c>
      <c r="AD52" s="189">
        <v>0</v>
      </c>
      <c r="AE52" s="189">
        <v>0</v>
      </c>
      <c r="AF52" s="189">
        <v>0</v>
      </c>
      <c r="AG52" s="189">
        <v>0</v>
      </c>
      <c r="AH52" s="189">
        <v>130304.9</v>
      </c>
      <c r="AI52" s="189">
        <v>0</v>
      </c>
      <c r="AJ52" s="189">
        <v>0</v>
      </c>
      <c r="AK52" s="189">
        <v>0</v>
      </c>
      <c r="AL52" s="189">
        <v>0</v>
      </c>
      <c r="AM52" s="189">
        <v>0</v>
      </c>
    </row>
    <row r="53" spans="1:39" x14ac:dyDescent="0.25">
      <c r="A53" s="189" t="s">
        <v>157</v>
      </c>
      <c r="B53" s="189">
        <v>0</v>
      </c>
      <c r="C53" s="189">
        <v>43446153.899999999</v>
      </c>
      <c r="D53" s="189">
        <v>43446153.899999999</v>
      </c>
      <c r="E53" s="189">
        <v>43446153.899999999</v>
      </c>
      <c r="F53" s="189">
        <v>43446153.899999999</v>
      </c>
      <c r="G53" s="189">
        <v>25850903</v>
      </c>
      <c r="H53" s="189">
        <v>25850903</v>
      </c>
      <c r="I53" s="189">
        <v>25850903</v>
      </c>
      <c r="J53" s="189">
        <v>25850903</v>
      </c>
      <c r="K53" s="189">
        <v>25850903</v>
      </c>
      <c r="L53" s="189">
        <v>0</v>
      </c>
      <c r="M53" s="189">
        <v>0</v>
      </c>
      <c r="N53" s="189">
        <v>0</v>
      </c>
      <c r="O53" s="189">
        <v>28473899.09</v>
      </c>
      <c r="P53" s="189">
        <v>11118812.41</v>
      </c>
      <c r="Q53" s="189">
        <v>11118812.41</v>
      </c>
      <c r="R53" s="189">
        <v>14909412.4</v>
      </c>
      <c r="S53" s="189">
        <v>15012245.98</v>
      </c>
      <c r="T53" s="189">
        <v>0</v>
      </c>
      <c r="U53" s="189">
        <v>0</v>
      </c>
      <c r="V53" s="189">
        <v>13531856.57</v>
      </c>
      <c r="W53" s="189">
        <v>13531856.57</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row>
    <row r="54" spans="1:39" x14ac:dyDescent="0.25">
      <c r="A54" s="189" t="s">
        <v>158</v>
      </c>
      <c r="B54" s="189">
        <v>1027548623.21</v>
      </c>
      <c r="C54" s="189">
        <v>540628401.44000006</v>
      </c>
      <c r="D54" s="189">
        <v>702110605.01999998</v>
      </c>
      <c r="E54" s="189">
        <v>681851357.90999997</v>
      </c>
      <c r="F54" s="189">
        <v>470851508.80000001</v>
      </c>
      <c r="G54" s="189">
        <v>451204272.61000001</v>
      </c>
      <c r="H54" s="189">
        <v>945436802.45000005</v>
      </c>
      <c r="I54" s="189">
        <v>105029678.68000001</v>
      </c>
      <c r="J54" s="189">
        <v>856251086.01999998</v>
      </c>
      <c r="K54" s="189">
        <v>368596399.23000002</v>
      </c>
      <c r="L54" s="189">
        <v>23286697.329999998</v>
      </c>
      <c r="M54" s="189">
        <v>19370692.859999999</v>
      </c>
      <c r="N54" s="189">
        <v>20791940.129999999</v>
      </c>
      <c r="O54" s="189">
        <v>48902205.18</v>
      </c>
      <c r="P54" s="189">
        <v>48796789.119999997</v>
      </c>
      <c r="Q54" s="189">
        <v>27349670.91</v>
      </c>
      <c r="R54" s="189">
        <v>523593824.06</v>
      </c>
      <c r="S54" s="189">
        <v>162907685.24000001</v>
      </c>
      <c r="T54" s="189">
        <v>304470789.88</v>
      </c>
      <c r="U54" s="189">
        <v>12707190.76</v>
      </c>
      <c r="V54" s="189">
        <v>76636394.599999994</v>
      </c>
      <c r="W54" s="189">
        <v>18528639.190000001</v>
      </c>
      <c r="X54" s="189">
        <v>265147927.77000001</v>
      </c>
      <c r="Y54" s="189">
        <v>21828068.850000001</v>
      </c>
      <c r="Z54" s="189">
        <v>42867653.329999998</v>
      </c>
      <c r="AA54" s="189">
        <v>40055473.469999999</v>
      </c>
      <c r="AB54" s="189">
        <v>39349560.649999999</v>
      </c>
      <c r="AC54" s="189">
        <v>13613604.939999999</v>
      </c>
      <c r="AD54" s="189">
        <v>2001780.55</v>
      </c>
      <c r="AE54" s="189">
        <v>965674.37</v>
      </c>
      <c r="AF54" s="189">
        <v>219096.48</v>
      </c>
      <c r="AG54" s="189">
        <v>626519.18999999994</v>
      </c>
      <c r="AH54" s="189">
        <v>82703.55</v>
      </c>
      <c r="AI54" s="189">
        <v>73941.649999999994</v>
      </c>
      <c r="AJ54" s="189">
        <v>48421.15</v>
      </c>
      <c r="AK54" s="189">
        <v>306929.49</v>
      </c>
      <c r="AL54" s="189">
        <v>1669277.38</v>
      </c>
      <c r="AM54" s="189">
        <v>0</v>
      </c>
    </row>
    <row r="55" spans="1:39"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row>
    <row r="56" spans="1:39"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row>
    <row r="57" spans="1:39"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row>
    <row r="58" spans="1:39" x14ac:dyDescent="0.25">
      <c r="A58" s="189" t="s">
        <v>162</v>
      </c>
      <c r="B58" s="189">
        <v>1358050476.71</v>
      </c>
      <c r="C58" s="189">
        <v>1385994931.76</v>
      </c>
      <c r="D58" s="189">
        <v>1515222435.46</v>
      </c>
      <c r="E58" s="189">
        <v>1515222435.46</v>
      </c>
      <c r="F58" s="189">
        <v>505328224.81</v>
      </c>
      <c r="G58" s="189">
        <v>2358533252.6599998</v>
      </c>
      <c r="H58" s="189">
        <v>1979522171.3900001</v>
      </c>
      <c r="I58" s="189">
        <v>2646401713.5</v>
      </c>
      <c r="J58" s="189">
        <v>60368095.329999998</v>
      </c>
      <c r="K58" s="189">
        <v>77654514.040000007</v>
      </c>
      <c r="L58" s="189">
        <v>82933759.019999996</v>
      </c>
      <c r="M58" s="189">
        <v>98975701.569999993</v>
      </c>
      <c r="N58" s="189">
        <v>111087567.87</v>
      </c>
      <c r="O58" s="189">
        <v>237564733.74000001</v>
      </c>
      <c r="P58" s="189">
        <v>405799651.26999998</v>
      </c>
      <c r="Q58" s="189">
        <v>401148171</v>
      </c>
      <c r="R58" s="189">
        <v>405112077.06</v>
      </c>
      <c r="S58" s="189">
        <v>494228382.88</v>
      </c>
      <c r="T58" s="189">
        <v>264636721.49000001</v>
      </c>
      <c r="U58" s="189">
        <v>283165347.81</v>
      </c>
      <c r="V58" s="189">
        <v>264463261.55000001</v>
      </c>
      <c r="W58" s="189">
        <v>97594322.290000007</v>
      </c>
      <c r="X58" s="189">
        <v>113913921.36</v>
      </c>
      <c r="Y58" s="189">
        <v>127327059.20999999</v>
      </c>
      <c r="Z58" s="189">
        <v>0</v>
      </c>
      <c r="AA58" s="189">
        <v>45000000</v>
      </c>
      <c r="AB58" s="189">
        <v>0</v>
      </c>
      <c r="AC58" s="189">
        <v>0</v>
      </c>
      <c r="AD58" s="189">
        <v>0</v>
      </c>
      <c r="AE58" s="189">
        <v>0</v>
      </c>
      <c r="AF58" s="189">
        <v>0</v>
      </c>
      <c r="AG58" s="189">
        <v>0</v>
      </c>
      <c r="AH58" s="189">
        <v>0</v>
      </c>
      <c r="AI58" s="189">
        <v>0</v>
      </c>
      <c r="AJ58" s="189">
        <v>0</v>
      </c>
      <c r="AK58" s="189">
        <v>0</v>
      </c>
      <c r="AL58" s="189">
        <v>0</v>
      </c>
      <c r="AM58" s="189">
        <v>0</v>
      </c>
    </row>
    <row r="59" spans="1:39" x14ac:dyDescent="0.25">
      <c r="A59" s="189" t="s">
        <v>163</v>
      </c>
      <c r="B59" s="189">
        <v>2742950000</v>
      </c>
      <c r="C59" s="189">
        <v>2742950000</v>
      </c>
      <c r="D59" s="189">
        <v>1790000000</v>
      </c>
      <c r="E59" s="189">
        <v>1790000000</v>
      </c>
      <c r="F59" s="189">
        <v>1290000000</v>
      </c>
      <c r="G59" s="189">
        <v>0</v>
      </c>
      <c r="H59" s="189">
        <v>2267490.4500000002</v>
      </c>
      <c r="I59" s="189">
        <v>0</v>
      </c>
      <c r="J59" s="189">
        <v>4636000</v>
      </c>
      <c r="K59" s="189">
        <v>0</v>
      </c>
      <c r="L59" s="189">
        <v>0</v>
      </c>
      <c r="M59" s="189">
        <v>0</v>
      </c>
      <c r="N59" s="189">
        <v>0</v>
      </c>
      <c r="O59" s="189">
        <v>0</v>
      </c>
      <c r="P59" s="189">
        <v>199806666.59</v>
      </c>
      <c r="Q59" s="189">
        <v>199606666.61000001</v>
      </c>
      <c r="R59" s="189">
        <v>208754575.46000001</v>
      </c>
      <c r="S59" s="189">
        <v>402427106.43000001</v>
      </c>
      <c r="T59" s="189">
        <v>205265177.37</v>
      </c>
      <c r="U59" s="189">
        <v>207309914.97</v>
      </c>
      <c r="V59" s="189">
        <v>208978950.44</v>
      </c>
      <c r="W59" s="189">
        <v>8978950.4399999995</v>
      </c>
      <c r="X59" s="189">
        <v>9654029.1400000006</v>
      </c>
      <c r="Y59" s="189">
        <v>8978950.4399999995</v>
      </c>
      <c r="Z59" s="189">
        <v>1200000</v>
      </c>
      <c r="AA59" s="189">
        <v>1200000</v>
      </c>
      <c r="AB59" s="189">
        <v>1200000</v>
      </c>
      <c r="AC59" s="189">
        <v>1200000</v>
      </c>
      <c r="AD59" s="189">
        <v>0</v>
      </c>
      <c r="AE59" s="189">
        <v>0</v>
      </c>
      <c r="AF59" s="189">
        <v>0</v>
      </c>
      <c r="AG59" s="189">
        <v>0</v>
      </c>
      <c r="AH59" s="189">
        <v>0</v>
      </c>
      <c r="AI59" s="189">
        <v>0</v>
      </c>
      <c r="AJ59" s="189">
        <v>0</v>
      </c>
      <c r="AK59" s="189">
        <v>0</v>
      </c>
      <c r="AL59" s="189">
        <v>0</v>
      </c>
      <c r="AM59" s="189">
        <v>0</v>
      </c>
    </row>
    <row r="60" spans="1:39" x14ac:dyDescent="0.25">
      <c r="A60" s="189" t="s">
        <v>164</v>
      </c>
      <c r="B60" s="189">
        <v>13269803872.559999</v>
      </c>
      <c r="C60" s="189">
        <v>13624072668.16</v>
      </c>
      <c r="D60" s="189">
        <v>14674676078.33</v>
      </c>
      <c r="E60" s="189">
        <v>14494250335.85</v>
      </c>
      <c r="F60" s="189">
        <v>12652160572.719999</v>
      </c>
      <c r="G60" s="189">
        <v>12580174511.23</v>
      </c>
      <c r="H60" s="189">
        <v>11629031738.879999</v>
      </c>
      <c r="I60" s="189">
        <v>12483269997.280001</v>
      </c>
      <c r="J60" s="189">
        <v>10236237965.530001</v>
      </c>
      <c r="K60" s="189">
        <v>8621124491.6299992</v>
      </c>
      <c r="L60" s="189">
        <v>7480981046.25</v>
      </c>
      <c r="M60" s="189">
        <v>7452518623.9499998</v>
      </c>
      <c r="N60" s="189">
        <v>5296850230.2200003</v>
      </c>
      <c r="O60" s="189">
        <v>4423323234.5299997</v>
      </c>
      <c r="P60" s="189">
        <v>3998806932.0900002</v>
      </c>
      <c r="Q60" s="189">
        <v>4403875426.6599998</v>
      </c>
      <c r="R60" s="189">
        <v>4753273797.1400003</v>
      </c>
      <c r="S60" s="189">
        <v>4690386073.6400003</v>
      </c>
      <c r="T60" s="189">
        <v>3363174607.5700002</v>
      </c>
      <c r="U60" s="189">
        <v>2506601477.8299999</v>
      </c>
      <c r="V60" s="189">
        <v>1859245855.1300001</v>
      </c>
      <c r="W60" s="189">
        <v>1368998886.71</v>
      </c>
      <c r="X60" s="189">
        <v>1392943940.7</v>
      </c>
      <c r="Y60" s="189">
        <v>1113560374.48</v>
      </c>
      <c r="Z60" s="189">
        <v>983837300.48000002</v>
      </c>
      <c r="AA60" s="189">
        <v>967037625.38999999</v>
      </c>
      <c r="AB60" s="189">
        <v>844458220.88999999</v>
      </c>
      <c r="AC60" s="189">
        <v>652280370.84000003</v>
      </c>
      <c r="AD60" s="189">
        <v>400445281.85000002</v>
      </c>
      <c r="AE60" s="189">
        <v>272993949.47000003</v>
      </c>
      <c r="AF60" s="189">
        <v>119108305.06</v>
      </c>
      <c r="AG60" s="189">
        <v>92958769.269999996</v>
      </c>
      <c r="AH60" s="189">
        <v>46012841.670000002</v>
      </c>
      <c r="AI60" s="189">
        <v>110870610.42</v>
      </c>
      <c r="AJ60" s="189">
        <v>49503555.659999996</v>
      </c>
      <c r="AK60" s="189">
        <v>5490652.8899999997</v>
      </c>
      <c r="AL60" s="189">
        <v>4721643.4800000004</v>
      </c>
      <c r="AM60" s="189">
        <v>0</v>
      </c>
    </row>
    <row r="61" spans="1:39" x14ac:dyDescent="0.25">
      <c r="A61" s="189" t="s">
        <v>165</v>
      </c>
    </row>
    <row r="62" spans="1:39" x14ac:dyDescent="0.25">
      <c r="A62" s="189" t="s">
        <v>166</v>
      </c>
      <c r="B62" s="189">
        <v>512700000</v>
      </c>
      <c r="C62" s="189">
        <v>344500000</v>
      </c>
      <c r="D62" s="189">
        <v>0</v>
      </c>
      <c r="E62" s="189">
        <v>0</v>
      </c>
      <c r="F62" s="189">
        <v>1000000000</v>
      </c>
      <c r="G62" s="189">
        <v>2976950288.4000001</v>
      </c>
      <c r="H62" s="189">
        <v>3013443703.2199998</v>
      </c>
      <c r="I62" s="189">
        <v>3024445808.8899999</v>
      </c>
      <c r="J62" s="189">
        <v>2248802684.5300002</v>
      </c>
      <c r="K62" s="189">
        <v>2238002685.1500001</v>
      </c>
      <c r="L62" s="189">
        <v>300000000</v>
      </c>
      <c r="M62" s="189">
        <v>300000000</v>
      </c>
      <c r="N62" s="189">
        <v>0</v>
      </c>
      <c r="O62" s="189">
        <v>0</v>
      </c>
      <c r="P62" s="189">
        <v>0</v>
      </c>
      <c r="Q62" s="189">
        <v>0</v>
      </c>
      <c r="R62" s="189">
        <v>0</v>
      </c>
      <c r="S62" s="189">
        <v>0</v>
      </c>
      <c r="T62" s="189">
        <v>16700000</v>
      </c>
      <c r="U62" s="189">
        <v>16700000</v>
      </c>
      <c r="V62" s="189">
        <v>31700000</v>
      </c>
      <c r="W62" s="189">
        <v>211700000</v>
      </c>
      <c r="X62" s="189">
        <v>213700000</v>
      </c>
      <c r="Y62" s="189">
        <v>33700000</v>
      </c>
      <c r="Z62" s="189">
        <v>100700000</v>
      </c>
      <c r="AA62" s="189">
        <v>55700000</v>
      </c>
      <c r="AB62" s="189">
        <v>65000000</v>
      </c>
      <c r="AC62" s="189">
        <v>65000000</v>
      </c>
      <c r="AD62" s="189">
        <v>12629164.199999999</v>
      </c>
      <c r="AE62" s="189">
        <v>0</v>
      </c>
      <c r="AF62" s="189">
        <v>0</v>
      </c>
      <c r="AG62" s="189">
        <v>0</v>
      </c>
      <c r="AH62" s="189">
        <v>0</v>
      </c>
      <c r="AI62" s="189">
        <v>0</v>
      </c>
      <c r="AJ62" s="189">
        <v>0</v>
      </c>
      <c r="AK62" s="189">
        <v>0</v>
      </c>
      <c r="AL62" s="189">
        <v>0</v>
      </c>
      <c r="AM62" s="189">
        <v>0</v>
      </c>
    </row>
    <row r="63" spans="1:39" x14ac:dyDescent="0.25">
      <c r="A63" s="189" t="s">
        <v>167</v>
      </c>
      <c r="B63" s="189">
        <v>0</v>
      </c>
      <c r="C63" s="189">
        <v>0</v>
      </c>
      <c r="D63" s="189">
        <v>0</v>
      </c>
      <c r="E63" s="189">
        <v>0</v>
      </c>
      <c r="F63" s="189">
        <v>0</v>
      </c>
      <c r="G63" s="189">
        <v>0</v>
      </c>
      <c r="H63" s="189">
        <v>0</v>
      </c>
      <c r="I63" s="189">
        <v>0</v>
      </c>
      <c r="J63" s="189">
        <v>1913147880.3499999</v>
      </c>
      <c r="K63" s="189">
        <v>1907482838.2</v>
      </c>
      <c r="L63" s="189">
        <v>1904713043.1600001</v>
      </c>
      <c r="M63" s="189">
        <v>1900558350.5999999</v>
      </c>
      <c r="N63" s="189">
        <v>983316306.22000003</v>
      </c>
      <c r="O63" s="189">
        <v>0</v>
      </c>
      <c r="P63" s="189">
        <v>0</v>
      </c>
      <c r="Q63" s="189">
        <v>0</v>
      </c>
      <c r="R63" s="189">
        <v>0</v>
      </c>
      <c r="S63" s="189">
        <v>130000000</v>
      </c>
      <c r="T63" s="189">
        <v>399396569.94</v>
      </c>
      <c r="U63" s="189">
        <v>398610488.94</v>
      </c>
      <c r="V63" s="189">
        <v>397077741.26999998</v>
      </c>
      <c r="W63" s="189">
        <v>397042652.08999997</v>
      </c>
      <c r="X63" s="189">
        <v>396305880.24000001</v>
      </c>
      <c r="Y63" s="189">
        <v>395591961.24000001</v>
      </c>
      <c r="Z63" s="189">
        <v>394878042.24000001</v>
      </c>
      <c r="AA63" s="189">
        <v>197133228.86000001</v>
      </c>
      <c r="AB63" s="189">
        <v>0</v>
      </c>
      <c r="AC63" s="189">
        <v>0</v>
      </c>
      <c r="AD63" s="189">
        <v>0</v>
      </c>
      <c r="AE63" s="189">
        <v>0</v>
      </c>
      <c r="AF63" s="189">
        <v>0</v>
      </c>
      <c r="AG63" s="189">
        <v>0</v>
      </c>
      <c r="AH63" s="189">
        <v>0</v>
      </c>
      <c r="AI63" s="189">
        <v>0</v>
      </c>
      <c r="AJ63" s="189">
        <v>0</v>
      </c>
      <c r="AK63" s="189">
        <v>0</v>
      </c>
      <c r="AL63" s="189">
        <v>0</v>
      </c>
      <c r="AM63" s="189">
        <v>0</v>
      </c>
    </row>
    <row r="64" spans="1:39" x14ac:dyDescent="0.25">
      <c r="A64" s="189" t="s">
        <v>168</v>
      </c>
      <c r="B64" s="189">
        <v>36741664.229999997</v>
      </c>
      <c r="C64" s="189">
        <v>55818008.579999998</v>
      </c>
      <c r="D64" s="189">
        <v>109809526.37</v>
      </c>
      <c r="E64" s="189">
        <v>131586823.62</v>
      </c>
      <c r="F64" s="189">
        <v>167902999.18000001</v>
      </c>
      <c r="G64" s="189">
        <v>180468394.36000001</v>
      </c>
      <c r="H64" s="189">
        <v>172245672.69</v>
      </c>
      <c r="I64" s="189">
        <v>142094227.63</v>
      </c>
      <c r="J64" s="189">
        <v>210714622.34</v>
      </c>
      <c r="K64" s="189">
        <v>71343757.359999999</v>
      </c>
      <c r="L64" s="189">
        <v>40848419.25</v>
      </c>
      <c r="M64" s="189">
        <v>34559489.869999997</v>
      </c>
      <c r="N64" s="189">
        <v>19858748.530000001</v>
      </c>
      <c r="O64" s="189">
        <v>42502463.509999998</v>
      </c>
      <c r="P64" s="189">
        <v>63240115.899999999</v>
      </c>
      <c r="Q64" s="189">
        <v>81873823.680000007</v>
      </c>
      <c r="R64" s="189">
        <v>104923909.15000001</v>
      </c>
      <c r="S64" s="189">
        <v>34541030.460000001</v>
      </c>
      <c r="T64" s="189">
        <v>17907560.690000001</v>
      </c>
      <c r="U64" s="189">
        <v>18887248.920000002</v>
      </c>
      <c r="V64" s="189">
        <v>31432508.890000001</v>
      </c>
      <c r="W64" s="189">
        <v>39380856.25</v>
      </c>
      <c r="X64" s="189">
        <v>58387809.219999999</v>
      </c>
      <c r="Y64" s="189">
        <v>77013376.280000001</v>
      </c>
      <c r="Z64" s="189">
        <v>0</v>
      </c>
      <c r="AA64" s="189">
        <v>0</v>
      </c>
      <c r="AB64" s="189">
        <v>0</v>
      </c>
      <c r="AC64" s="189">
        <v>0</v>
      </c>
      <c r="AD64" s="189">
        <v>0</v>
      </c>
      <c r="AE64" s="189">
        <v>0</v>
      </c>
      <c r="AF64" s="189">
        <v>0</v>
      </c>
      <c r="AG64" s="189">
        <v>0</v>
      </c>
      <c r="AH64" s="189">
        <v>0</v>
      </c>
      <c r="AI64" s="189">
        <v>0</v>
      </c>
      <c r="AJ64" s="189">
        <v>0</v>
      </c>
      <c r="AK64" s="189">
        <v>0</v>
      </c>
      <c r="AL64" s="189">
        <v>0</v>
      </c>
      <c r="AM64" s="189">
        <v>0</v>
      </c>
    </row>
    <row r="65" spans="1:39" x14ac:dyDescent="0.25">
      <c r="A65" s="189" t="s">
        <v>169</v>
      </c>
      <c r="B65" s="189">
        <v>0</v>
      </c>
      <c r="C65" s="189">
        <v>0</v>
      </c>
      <c r="D65" s="189">
        <v>0</v>
      </c>
      <c r="E65" s="189">
        <v>0</v>
      </c>
      <c r="F65" s="189">
        <v>0</v>
      </c>
      <c r="G65" s="189">
        <v>0</v>
      </c>
      <c r="H65" s="189">
        <v>0</v>
      </c>
      <c r="I65" s="189">
        <v>0</v>
      </c>
      <c r="J65" s="189">
        <v>0</v>
      </c>
      <c r="K65" s="189">
        <v>0</v>
      </c>
      <c r="L65" s="189">
        <v>0</v>
      </c>
      <c r="M65" s="189">
        <v>0</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row>
    <row r="66" spans="1:39" x14ac:dyDescent="0.25">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row>
    <row r="67" spans="1:39" x14ac:dyDescent="0.25">
      <c r="A67" s="189" t="s">
        <v>171</v>
      </c>
      <c r="B67" s="189">
        <v>266182627.94</v>
      </c>
      <c r="C67" s="189">
        <v>299698723.07999998</v>
      </c>
      <c r="D67" s="189">
        <v>340331755.54000002</v>
      </c>
      <c r="E67" s="189">
        <v>340331755.54000002</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row>
    <row r="68" spans="1:39" x14ac:dyDescent="0.25">
      <c r="A68" s="189" t="s">
        <v>172</v>
      </c>
      <c r="B68" s="189">
        <v>3037852.42</v>
      </c>
      <c r="C68" s="189">
        <v>3037852.42</v>
      </c>
      <c r="D68" s="189">
        <v>3037852.42</v>
      </c>
      <c r="E68" s="189">
        <v>3037852.42</v>
      </c>
      <c r="F68" s="189">
        <v>3037852.42</v>
      </c>
      <c r="G68" s="189">
        <v>3037852.42</v>
      </c>
      <c r="H68" s="189">
        <v>3037852.42</v>
      </c>
      <c r="I68" s="189">
        <v>3037852.42</v>
      </c>
      <c r="J68" s="189">
        <v>7738542.96</v>
      </c>
      <c r="K68" s="189">
        <v>7738542.96</v>
      </c>
      <c r="L68" s="189">
        <v>6489861.7300000004</v>
      </c>
      <c r="M68" s="189">
        <v>6489861.7300000004</v>
      </c>
      <c r="N68" s="189">
        <v>0</v>
      </c>
      <c r="O68" s="189">
        <v>0</v>
      </c>
      <c r="P68" s="189">
        <v>0</v>
      </c>
      <c r="Q68" s="189">
        <v>0</v>
      </c>
      <c r="R68" s="189">
        <v>0</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0</v>
      </c>
      <c r="AJ68" s="189">
        <v>0</v>
      </c>
      <c r="AK68" s="189">
        <v>0</v>
      </c>
      <c r="AL68" s="189">
        <v>0</v>
      </c>
      <c r="AM68" s="189">
        <v>0</v>
      </c>
    </row>
    <row r="69" spans="1:39" x14ac:dyDescent="0.25">
      <c r="A69" s="189" t="s">
        <v>173</v>
      </c>
      <c r="B69" s="189">
        <v>170521138.94</v>
      </c>
      <c r="C69" s="189">
        <v>220954782.47</v>
      </c>
      <c r="D69" s="189">
        <v>177066542.19</v>
      </c>
      <c r="E69" s="189">
        <v>245989784.81</v>
      </c>
      <c r="F69" s="189">
        <v>240377461.41999999</v>
      </c>
      <c r="G69" s="189">
        <v>261542663.12</v>
      </c>
      <c r="H69" s="189">
        <v>612687389.63999999</v>
      </c>
      <c r="I69" s="189">
        <v>483948010.67000002</v>
      </c>
      <c r="J69" s="189">
        <v>242081428.00999999</v>
      </c>
      <c r="K69" s="189">
        <v>125860410.83</v>
      </c>
      <c r="L69" s="189">
        <v>1011661.18</v>
      </c>
      <c r="M69" s="189">
        <v>557580.44999999995</v>
      </c>
      <c r="N69" s="189">
        <v>0</v>
      </c>
      <c r="O69" s="189">
        <v>1706476.39</v>
      </c>
      <c r="P69" s="189">
        <v>4021770.2400000002</v>
      </c>
      <c r="Q69" s="189">
        <v>6231939.2699999996</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row>
    <row r="70" spans="1:39" x14ac:dyDescent="0.25">
      <c r="A70" s="189" t="s">
        <v>174</v>
      </c>
      <c r="B70" s="189">
        <v>3048941000</v>
      </c>
      <c r="C70" s="189">
        <v>4515169604.8100004</v>
      </c>
      <c r="D70" s="189">
        <v>3348941000</v>
      </c>
      <c r="E70" s="189">
        <v>3348941000</v>
      </c>
      <c r="F70" s="189">
        <v>3348941000</v>
      </c>
      <c r="G70" s="189">
        <v>3348941000</v>
      </c>
      <c r="H70" s="189">
        <v>3355277372.6199999</v>
      </c>
      <c r="I70" s="189">
        <v>5615277372.6199999</v>
      </c>
      <c r="J70" s="189">
        <v>4113035085.5</v>
      </c>
      <c r="K70" s="189">
        <v>6828405085.5</v>
      </c>
      <c r="L70" s="189">
        <v>3177336372.6199999</v>
      </c>
      <c r="M70" s="189">
        <v>3472336372.6199999</v>
      </c>
      <c r="N70" s="189">
        <v>4884831539.3100004</v>
      </c>
      <c r="O70" s="189">
        <v>3273705654.6199999</v>
      </c>
      <c r="P70" s="189">
        <v>2547585404.6199999</v>
      </c>
      <c r="Q70" s="189">
        <v>1015568661.5</v>
      </c>
      <c r="R70" s="189">
        <v>8568916.4399999995</v>
      </c>
      <c r="S70" s="189">
        <v>0</v>
      </c>
      <c r="T70" s="189">
        <v>0</v>
      </c>
      <c r="U70" s="189">
        <v>0</v>
      </c>
      <c r="V70" s="189">
        <v>1122368.8</v>
      </c>
      <c r="W70" s="189">
        <v>3367106.41</v>
      </c>
      <c r="X70" s="189">
        <v>5611844.0199999996</v>
      </c>
      <c r="Y70" s="189">
        <v>7856581.6299999999</v>
      </c>
      <c r="Z70" s="189">
        <v>0</v>
      </c>
      <c r="AA70" s="189">
        <v>0</v>
      </c>
      <c r="AB70" s="189">
        <v>0</v>
      </c>
      <c r="AC70" s="189">
        <v>0</v>
      </c>
      <c r="AD70" s="189">
        <v>0</v>
      </c>
      <c r="AE70" s="189">
        <v>0</v>
      </c>
      <c r="AF70" s="189">
        <v>0</v>
      </c>
      <c r="AG70" s="189">
        <v>0</v>
      </c>
      <c r="AH70" s="189">
        <v>0</v>
      </c>
      <c r="AI70" s="189">
        <v>0</v>
      </c>
      <c r="AJ70" s="189">
        <v>0</v>
      </c>
      <c r="AK70" s="189">
        <v>0</v>
      </c>
      <c r="AL70" s="189">
        <v>0</v>
      </c>
      <c r="AM70" s="189">
        <v>0</v>
      </c>
    </row>
    <row r="71" spans="1:39" x14ac:dyDescent="0.25">
      <c r="A71" s="189" t="s">
        <v>175</v>
      </c>
      <c r="B71" s="189">
        <v>4038124283.5300002</v>
      </c>
      <c r="C71" s="189">
        <v>5439178971.3599997</v>
      </c>
      <c r="D71" s="189">
        <v>3979186676.52</v>
      </c>
      <c r="E71" s="189">
        <v>4069887216.3899999</v>
      </c>
      <c r="F71" s="189">
        <v>4760259313.0200005</v>
      </c>
      <c r="G71" s="189">
        <v>6770940198.3000002</v>
      </c>
      <c r="H71" s="189">
        <v>7156691990.5900002</v>
      </c>
      <c r="I71" s="189">
        <v>9268803272.2299995</v>
      </c>
      <c r="J71" s="189">
        <v>8735520243.6900005</v>
      </c>
      <c r="K71" s="189">
        <v>11178833320</v>
      </c>
      <c r="L71" s="189">
        <v>5430399357.9399996</v>
      </c>
      <c r="M71" s="189">
        <v>5714501655.2700005</v>
      </c>
      <c r="N71" s="189">
        <v>5888006594.0600004</v>
      </c>
      <c r="O71" s="189">
        <v>3317914594.52</v>
      </c>
      <c r="P71" s="189">
        <v>2614847290.7600002</v>
      </c>
      <c r="Q71" s="189">
        <v>1103674424.45</v>
      </c>
      <c r="R71" s="189">
        <v>113492825.59</v>
      </c>
      <c r="S71" s="189">
        <v>164541030.46000001</v>
      </c>
      <c r="T71" s="189">
        <v>434004130.63</v>
      </c>
      <c r="U71" s="189">
        <v>434197737.86000001</v>
      </c>
      <c r="V71" s="189">
        <v>461332618.95999998</v>
      </c>
      <c r="W71" s="189">
        <v>651490614.75</v>
      </c>
      <c r="X71" s="189">
        <v>674005533.48000002</v>
      </c>
      <c r="Y71" s="189">
        <v>514161919.14999998</v>
      </c>
      <c r="Z71" s="189">
        <v>495578042.24000001</v>
      </c>
      <c r="AA71" s="189">
        <v>252833228.86000001</v>
      </c>
      <c r="AB71" s="189">
        <v>65000000</v>
      </c>
      <c r="AC71" s="189">
        <v>65000000</v>
      </c>
      <c r="AD71" s="189">
        <v>12629164.199999999</v>
      </c>
      <c r="AE71" s="189">
        <v>0</v>
      </c>
      <c r="AF71" s="189">
        <v>0</v>
      </c>
      <c r="AG71" s="189">
        <v>0</v>
      </c>
      <c r="AH71" s="189">
        <v>0</v>
      </c>
      <c r="AI71" s="189">
        <v>0</v>
      </c>
      <c r="AJ71" s="189">
        <v>0</v>
      </c>
      <c r="AK71" s="189">
        <v>0</v>
      </c>
      <c r="AL71" s="189">
        <v>0</v>
      </c>
      <c r="AM71" s="189">
        <v>0</v>
      </c>
    </row>
    <row r="72" spans="1:39" x14ac:dyDescent="0.25">
      <c r="A72" s="189" t="s">
        <v>176</v>
      </c>
      <c r="B72" s="189">
        <v>17307928156.09</v>
      </c>
      <c r="C72" s="189">
        <v>19063251639.52</v>
      </c>
      <c r="D72" s="189">
        <v>18653862754.849998</v>
      </c>
      <c r="E72" s="189">
        <v>18564137552.240002</v>
      </c>
      <c r="F72" s="189">
        <v>17412419885.740002</v>
      </c>
      <c r="G72" s="189">
        <v>19351114709.529999</v>
      </c>
      <c r="H72" s="189">
        <v>18785723729.470001</v>
      </c>
      <c r="I72" s="189">
        <v>21752073269.509998</v>
      </c>
      <c r="J72" s="189">
        <v>18971758209.220001</v>
      </c>
      <c r="K72" s="189">
        <v>19799957811.630001</v>
      </c>
      <c r="L72" s="189">
        <v>12911380404.190001</v>
      </c>
      <c r="M72" s="189">
        <v>13167020279.219999</v>
      </c>
      <c r="N72" s="189">
        <v>11184856824.280001</v>
      </c>
      <c r="O72" s="189">
        <v>7741237829.0500002</v>
      </c>
      <c r="P72" s="189">
        <v>6613654222.8500004</v>
      </c>
      <c r="Q72" s="189">
        <v>5507549851.1099997</v>
      </c>
      <c r="R72" s="189">
        <v>4866766622.7299995</v>
      </c>
      <c r="S72" s="189">
        <v>4854927104.1000004</v>
      </c>
      <c r="T72" s="189">
        <v>3797178738.1999998</v>
      </c>
      <c r="U72" s="189">
        <v>2940799215.6900001</v>
      </c>
      <c r="V72" s="189">
        <v>2320578474.0900002</v>
      </c>
      <c r="W72" s="189">
        <v>2020489501.46</v>
      </c>
      <c r="X72" s="189">
        <v>2066949474.1800001</v>
      </c>
      <c r="Y72" s="189">
        <v>1627722293.6300001</v>
      </c>
      <c r="Z72" s="189">
        <v>1479415342.72</v>
      </c>
      <c r="AA72" s="189">
        <v>1219870854.25</v>
      </c>
      <c r="AB72" s="189">
        <v>909458220.88999999</v>
      </c>
      <c r="AC72" s="189">
        <v>717280370.84000003</v>
      </c>
      <c r="AD72" s="189">
        <v>413074446.05000001</v>
      </c>
      <c r="AE72" s="189">
        <v>272993949.47000003</v>
      </c>
      <c r="AF72" s="189">
        <v>119108305.06</v>
      </c>
      <c r="AG72" s="189">
        <v>92958769.269999996</v>
      </c>
      <c r="AH72" s="189">
        <v>46012841.670000002</v>
      </c>
      <c r="AI72" s="189">
        <v>110870610.42</v>
      </c>
      <c r="AJ72" s="189">
        <v>49503555.659999996</v>
      </c>
      <c r="AK72" s="189">
        <v>5490652.8899999997</v>
      </c>
      <c r="AL72" s="189">
        <v>4721643.4800000004</v>
      </c>
      <c r="AM72" s="189">
        <v>0</v>
      </c>
    </row>
    <row r="73" spans="1:39" x14ac:dyDescent="0.25">
      <c r="A73" s="189" t="s">
        <v>177</v>
      </c>
    </row>
    <row r="74" spans="1:39" x14ac:dyDescent="0.25">
      <c r="A74" s="189" t="s">
        <v>178</v>
      </c>
      <c r="B74" s="189">
        <v>3989440192</v>
      </c>
      <c r="C74" s="189">
        <v>3989440192</v>
      </c>
      <c r="D74" s="189">
        <v>3989440192</v>
      </c>
      <c r="E74" s="189">
        <v>3989440192</v>
      </c>
      <c r="F74" s="189">
        <v>3989440192</v>
      </c>
      <c r="G74" s="189">
        <v>1994720096</v>
      </c>
      <c r="H74" s="189">
        <v>1994720096</v>
      </c>
      <c r="I74" s="189">
        <v>1981680127</v>
      </c>
      <c r="J74" s="189">
        <v>1981680127</v>
      </c>
      <c r="K74" s="189">
        <v>1873136387</v>
      </c>
      <c r="L74" s="189">
        <v>1856015158</v>
      </c>
      <c r="M74" s="189">
        <v>1856015158</v>
      </c>
      <c r="N74" s="189">
        <v>1856015158</v>
      </c>
      <c r="O74" s="189">
        <v>1855174135</v>
      </c>
      <c r="P74" s="189">
        <v>841190063</v>
      </c>
      <c r="Q74" s="189">
        <v>841190063</v>
      </c>
      <c r="R74" s="189">
        <v>841190063</v>
      </c>
      <c r="S74" s="189">
        <v>837165635</v>
      </c>
      <c r="T74" s="189">
        <v>798466298</v>
      </c>
      <c r="U74" s="189">
        <v>798466298</v>
      </c>
      <c r="V74" s="189">
        <v>798466298</v>
      </c>
      <c r="W74" s="189">
        <v>794200000</v>
      </c>
      <c r="X74" s="189">
        <v>418000000</v>
      </c>
      <c r="Y74" s="189">
        <v>418000000</v>
      </c>
      <c r="Z74" s="189">
        <v>418000000</v>
      </c>
      <c r="AA74" s="189">
        <v>418000000</v>
      </c>
      <c r="AB74" s="189">
        <v>220000000</v>
      </c>
      <c r="AC74" s="189">
        <v>220000000</v>
      </c>
      <c r="AD74" s="189">
        <v>220000000</v>
      </c>
      <c r="AE74" s="189">
        <v>220000000</v>
      </c>
      <c r="AF74" s="189">
        <v>100000000</v>
      </c>
      <c r="AG74" s="189">
        <v>100000000</v>
      </c>
      <c r="AH74" s="189">
        <v>100000000</v>
      </c>
      <c r="AI74" s="189">
        <v>75000000</v>
      </c>
      <c r="AJ74" s="189">
        <v>75000000</v>
      </c>
      <c r="AK74" s="189">
        <v>59523800</v>
      </c>
      <c r="AL74" s="189">
        <v>50000000</v>
      </c>
      <c r="AM74" s="189">
        <v>0</v>
      </c>
    </row>
    <row r="75" spans="1:39" x14ac:dyDescent="0.25">
      <c r="A75" s="189" t="s">
        <v>179</v>
      </c>
      <c r="B75" s="189">
        <v>9083180625.3299999</v>
      </c>
      <c r="C75" s="189">
        <v>8643234323.0200005</v>
      </c>
      <c r="D75" s="189">
        <v>8643234323.0200005</v>
      </c>
      <c r="E75" s="189">
        <v>8643234323.0200005</v>
      </c>
      <c r="F75" s="189">
        <v>8204961738.1700001</v>
      </c>
      <c r="G75" s="189">
        <v>10180810300.99</v>
      </c>
      <c r="H75" s="189">
        <v>9455543478.2299995</v>
      </c>
      <c r="I75" s="189">
        <v>6197235638.1899996</v>
      </c>
      <c r="J75" s="189">
        <v>5880177441.5200005</v>
      </c>
      <c r="K75" s="189">
        <v>1213337978.02</v>
      </c>
      <c r="L75" s="189">
        <v>591041426.15999997</v>
      </c>
      <c r="M75" s="189">
        <v>549148989.29999995</v>
      </c>
      <c r="N75" s="189">
        <v>405428514.01999998</v>
      </c>
      <c r="O75" s="189">
        <v>389080848.12</v>
      </c>
      <c r="P75" s="189">
        <v>1382305554.78</v>
      </c>
      <c r="Q75" s="189">
        <v>1366018527.78</v>
      </c>
      <c r="R75" s="189">
        <v>1464543924.96</v>
      </c>
      <c r="S75" s="189">
        <v>1412682989.8299999</v>
      </c>
      <c r="T75" s="189">
        <v>207057993.19999999</v>
      </c>
      <c r="U75" s="189">
        <v>179633637.80000001</v>
      </c>
      <c r="V75" s="189">
        <v>152928705.75</v>
      </c>
      <c r="W75" s="189">
        <v>111938976</v>
      </c>
      <c r="X75" s="189">
        <v>439463754.61000001</v>
      </c>
      <c r="Y75" s="189">
        <v>438158704.60000002</v>
      </c>
      <c r="Z75" s="189">
        <v>436406255.99000001</v>
      </c>
      <c r="AA75" s="189">
        <v>431366734.24000001</v>
      </c>
      <c r="AB75" s="189">
        <v>627607309.24000001</v>
      </c>
      <c r="AC75" s="189">
        <v>625847884.24000001</v>
      </c>
      <c r="AD75" s="189">
        <v>624381684.24000001</v>
      </c>
      <c r="AE75" s="189">
        <v>624381684.24000001</v>
      </c>
      <c r="AF75" s="189">
        <v>724381684.24000001</v>
      </c>
      <c r="AG75" s="189">
        <v>724381684.24000001</v>
      </c>
      <c r="AH75" s="189">
        <v>724381684.24000001</v>
      </c>
      <c r="AI75" s="189">
        <v>67824588.579999998</v>
      </c>
      <c r="AJ75" s="189">
        <v>67824588.579999998</v>
      </c>
      <c r="AK75" s="189">
        <v>66750500</v>
      </c>
      <c r="AL75" s="189">
        <v>23474300</v>
      </c>
      <c r="AM75" s="189">
        <v>0</v>
      </c>
    </row>
    <row r="76" spans="1:39"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row>
    <row r="77" spans="1:39" x14ac:dyDescent="0.25">
      <c r="A77" s="189" t="s">
        <v>181</v>
      </c>
      <c r="B77" s="189">
        <v>-5912031.1399999997</v>
      </c>
      <c r="C77" s="189">
        <v>-63265242.990000002</v>
      </c>
      <c r="D77" s="189">
        <v>-79045666.099999994</v>
      </c>
      <c r="E77" s="189">
        <v>-27671446.75</v>
      </c>
      <c r="F77" s="189">
        <v>4513025.7</v>
      </c>
      <c r="G77" s="189">
        <v>33648851.130000003</v>
      </c>
      <c r="H77" s="189">
        <v>51649762.289999999</v>
      </c>
      <c r="I77" s="189">
        <v>54771627.689999998</v>
      </c>
      <c r="J77" s="189">
        <v>27852597.199999999</v>
      </c>
      <c r="K77" s="189">
        <v>21490164.43</v>
      </c>
      <c r="L77" s="189">
        <v>19778656.859999999</v>
      </c>
      <c r="M77" s="189">
        <v>27837143.239999998</v>
      </c>
      <c r="N77" s="189">
        <v>15572539.35</v>
      </c>
      <c r="O77" s="189">
        <v>-2593054.6</v>
      </c>
      <c r="P77" s="189">
        <v>-364648.94</v>
      </c>
      <c r="Q77" s="189">
        <v>-706643.49</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row>
    <row r="78" spans="1:39"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row>
    <row r="79" spans="1:39" x14ac:dyDescent="0.25">
      <c r="A79" s="189" t="s">
        <v>183</v>
      </c>
      <c r="B79" s="189">
        <v>286311762.58999997</v>
      </c>
      <c r="C79" s="189">
        <v>286311762.58999997</v>
      </c>
      <c r="D79" s="189">
        <v>286311762.58999997</v>
      </c>
      <c r="E79" s="189">
        <v>286311762.58999997</v>
      </c>
      <c r="F79" s="189">
        <v>286311762.58999997</v>
      </c>
      <c r="G79" s="189">
        <v>286311762.58999997</v>
      </c>
      <c r="H79" s="189">
        <v>286311762.58999997</v>
      </c>
      <c r="I79" s="189">
        <v>286311762.58999997</v>
      </c>
      <c r="J79" s="189">
        <v>179165369.15000001</v>
      </c>
      <c r="K79" s="189">
        <v>179165369.15000001</v>
      </c>
      <c r="L79" s="189">
        <v>179165369.15000001</v>
      </c>
      <c r="M79" s="189">
        <v>179165369.15000001</v>
      </c>
      <c r="N79" s="189">
        <v>116965360.22</v>
      </c>
      <c r="O79" s="189">
        <v>116965360.22</v>
      </c>
      <c r="P79" s="189">
        <v>116965360.22</v>
      </c>
      <c r="Q79" s="189">
        <v>116965360.22</v>
      </c>
      <c r="R79" s="189">
        <v>63605357.829999998</v>
      </c>
      <c r="S79" s="189">
        <v>63605357.829999998</v>
      </c>
      <c r="T79" s="189">
        <v>63605357.829999998</v>
      </c>
      <c r="U79" s="189">
        <v>63605357.829999998</v>
      </c>
      <c r="V79" s="189">
        <v>34741115.729999997</v>
      </c>
      <c r="W79" s="189">
        <v>34741115.729999997</v>
      </c>
      <c r="X79" s="189">
        <v>34741115.729999997</v>
      </c>
      <c r="Y79" s="189">
        <v>34741115.729999997</v>
      </c>
      <c r="Z79" s="189">
        <v>16554677.15</v>
      </c>
      <c r="AA79" s="189">
        <v>16554677.15</v>
      </c>
      <c r="AB79" s="189">
        <v>16554677.15</v>
      </c>
      <c r="AC79" s="189">
        <v>16554677.15</v>
      </c>
      <c r="AD79" s="189">
        <v>11463461.77</v>
      </c>
      <c r="AE79" s="189">
        <v>11463461.77</v>
      </c>
      <c r="AF79" s="189">
        <v>11463461.77</v>
      </c>
      <c r="AG79" s="189">
        <v>11463461.77</v>
      </c>
      <c r="AH79" s="189">
        <v>4412430.67</v>
      </c>
      <c r="AI79" s="189">
        <v>4412430.67</v>
      </c>
      <c r="AJ79" s="189">
        <v>4412430.67</v>
      </c>
      <c r="AK79" s="189">
        <v>1655028.86</v>
      </c>
      <c r="AL79" s="189">
        <v>0</v>
      </c>
      <c r="AM79" s="189">
        <v>0</v>
      </c>
    </row>
    <row r="80" spans="1:39"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row>
    <row r="81" spans="1:39" x14ac:dyDescent="0.25">
      <c r="A81" s="189" t="s">
        <v>185</v>
      </c>
      <c r="B81" s="189">
        <v>-13717811515.73</v>
      </c>
      <c r="C81" s="189">
        <v>-13332234304.389999</v>
      </c>
      <c r="D81" s="189">
        <v>-12535569609.700001</v>
      </c>
      <c r="E81" s="189">
        <v>-12228327856.33</v>
      </c>
      <c r="F81" s="189">
        <v>-1890927.83</v>
      </c>
      <c r="G81" s="189">
        <v>1068803575.86</v>
      </c>
      <c r="H81" s="189">
        <v>1830361153.21</v>
      </c>
      <c r="I81" s="189">
        <v>1705569136.3699999</v>
      </c>
      <c r="J81" s="189">
        <v>1750946115.8800001</v>
      </c>
      <c r="K81" s="189">
        <v>1542340221.24</v>
      </c>
      <c r="L81" s="189">
        <v>1430232044.96</v>
      </c>
      <c r="M81" s="189">
        <v>1315492772.28</v>
      </c>
      <c r="N81" s="189">
        <v>1181713262.6400001</v>
      </c>
      <c r="O81" s="189">
        <v>1059396510.96</v>
      </c>
      <c r="P81" s="189">
        <v>938743143.29999995</v>
      </c>
      <c r="Q81" s="189">
        <v>843360350.77999997</v>
      </c>
      <c r="R81" s="189">
        <v>750841943.32000005</v>
      </c>
      <c r="S81" s="189">
        <v>684583621.10000002</v>
      </c>
      <c r="T81" s="189">
        <v>644802325.87</v>
      </c>
      <c r="U81" s="189">
        <v>559040213.83000004</v>
      </c>
      <c r="V81" s="189">
        <v>517203705.23000002</v>
      </c>
      <c r="W81" s="189">
        <v>449593604.64999998</v>
      </c>
      <c r="X81" s="189">
        <v>424913978.23000002</v>
      </c>
      <c r="Y81" s="189">
        <v>353794761.11000001</v>
      </c>
      <c r="Z81" s="189">
        <v>311881251.19999999</v>
      </c>
      <c r="AA81" s="189">
        <v>268463360.25999999</v>
      </c>
      <c r="AB81" s="189">
        <v>245036250.97</v>
      </c>
      <c r="AC81" s="189">
        <v>193847057.30000001</v>
      </c>
      <c r="AD81" s="189">
        <v>155216493.38</v>
      </c>
      <c r="AE81" s="189">
        <v>126212278.12</v>
      </c>
      <c r="AF81" s="189">
        <v>131881305.39</v>
      </c>
      <c r="AG81" s="189">
        <v>102817141.93000001</v>
      </c>
      <c r="AH81" s="189">
        <v>90292965.140000001</v>
      </c>
      <c r="AI81" s="189">
        <v>70955274</v>
      </c>
      <c r="AJ81" s="189">
        <v>39768743.659999996</v>
      </c>
      <c r="AK81" s="189">
        <v>14606430.289999999</v>
      </c>
      <c r="AL81" s="189">
        <v>-13992339.789999999</v>
      </c>
      <c r="AM81" s="189">
        <v>0</v>
      </c>
    </row>
    <row r="82" spans="1:39" x14ac:dyDescent="0.25">
      <c r="A82" s="189" t="s">
        <v>186</v>
      </c>
      <c r="B82" s="189">
        <v>-364790966.94999999</v>
      </c>
      <c r="C82" s="189">
        <v>-476513269.76999998</v>
      </c>
      <c r="D82" s="189">
        <v>304371001.81</v>
      </c>
      <c r="E82" s="189">
        <v>662986974.52999997</v>
      </c>
      <c r="F82" s="189">
        <v>12483335790.629999</v>
      </c>
      <c r="G82" s="189">
        <v>13564294586.57</v>
      </c>
      <c r="H82" s="189">
        <v>13618586252.32</v>
      </c>
      <c r="I82" s="189">
        <v>10225568291.84</v>
      </c>
      <c r="J82" s="189">
        <v>9819821650.75</v>
      </c>
      <c r="K82" s="189">
        <v>4829470119.8400002</v>
      </c>
      <c r="L82" s="189">
        <v>4076232655.1300001</v>
      </c>
      <c r="M82" s="189">
        <v>3927659431.9699998</v>
      </c>
      <c r="N82" s="189">
        <v>3575694834.23</v>
      </c>
      <c r="O82" s="189">
        <v>3418023799.6999998</v>
      </c>
      <c r="P82" s="189">
        <v>3278839472.3600001</v>
      </c>
      <c r="Q82" s="189">
        <v>3166827658.29</v>
      </c>
      <c r="R82" s="189">
        <v>3120620846.0599999</v>
      </c>
      <c r="S82" s="189">
        <v>2997833495.7800002</v>
      </c>
      <c r="T82" s="189">
        <v>1713925064.0799999</v>
      </c>
      <c r="U82" s="189">
        <v>1599540144.51</v>
      </c>
      <c r="V82" s="189">
        <v>1502559337.1400001</v>
      </c>
      <c r="W82" s="189">
        <v>1389917554.3299999</v>
      </c>
      <c r="X82" s="189">
        <v>1317123699.22</v>
      </c>
      <c r="Y82" s="189">
        <v>1244591583.0599999</v>
      </c>
      <c r="Z82" s="189">
        <v>1182854939.9000001</v>
      </c>
      <c r="AA82" s="189">
        <v>1134383938.03</v>
      </c>
      <c r="AB82" s="189">
        <v>1109197186.4000001</v>
      </c>
      <c r="AC82" s="189">
        <v>1056249618.6900001</v>
      </c>
      <c r="AD82" s="189">
        <v>1011061639.39</v>
      </c>
      <c r="AE82" s="189">
        <v>982057424.13</v>
      </c>
      <c r="AF82" s="189">
        <v>967726451.39999998</v>
      </c>
      <c r="AG82" s="189">
        <v>938662287.94000006</v>
      </c>
      <c r="AH82" s="189">
        <v>919087080.04999995</v>
      </c>
      <c r="AI82" s="189">
        <v>218192293.25</v>
      </c>
      <c r="AJ82" s="189">
        <v>187005762.91</v>
      </c>
      <c r="AK82" s="189">
        <v>142535759.15000001</v>
      </c>
      <c r="AL82" s="189">
        <v>59481960.210000001</v>
      </c>
      <c r="AM82" s="189">
        <v>0</v>
      </c>
    </row>
    <row r="83" spans="1:39" x14ac:dyDescent="0.25">
      <c r="A83" s="189" t="s">
        <v>187</v>
      </c>
      <c r="B83" s="189">
        <v>-571190017.30999994</v>
      </c>
      <c r="C83" s="189">
        <v>-1578704692.2</v>
      </c>
      <c r="D83" s="189">
        <v>-1506600999.8800001</v>
      </c>
      <c r="E83" s="189">
        <v>-1329475389.6900001</v>
      </c>
      <c r="F83" s="189">
        <v>2392306805.4200001</v>
      </c>
      <c r="G83" s="189">
        <v>2827511853.1999998</v>
      </c>
      <c r="H83" s="189">
        <v>1178575602.71</v>
      </c>
      <c r="I83" s="189">
        <v>256184447.72</v>
      </c>
      <c r="J83" s="189">
        <v>76927253.670000002</v>
      </c>
      <c r="K83" s="189">
        <v>221667351.61000001</v>
      </c>
      <c r="L83" s="189">
        <v>859569670.96000004</v>
      </c>
      <c r="M83" s="189">
        <v>-112525152.28</v>
      </c>
      <c r="N83" s="189">
        <v>11743814.67</v>
      </c>
      <c r="O83" s="189">
        <v>74698153.370000005</v>
      </c>
      <c r="P83" s="189">
        <v>104467431.56999999</v>
      </c>
      <c r="Q83" s="189">
        <v>176645737.72999999</v>
      </c>
      <c r="R83" s="189">
        <v>51056682.090000004</v>
      </c>
      <c r="S83" s="189">
        <v>107436748.26000001</v>
      </c>
      <c r="T83" s="189">
        <v>444159075.79000002</v>
      </c>
      <c r="U83" s="189">
        <v>479985606.01999998</v>
      </c>
      <c r="V83" s="189">
        <v>486572067.39999998</v>
      </c>
      <c r="W83" s="189">
        <v>194782317.19</v>
      </c>
      <c r="X83" s="189">
        <v>27823037.870000001</v>
      </c>
      <c r="Y83" s="189">
        <v>28835655.350000001</v>
      </c>
      <c r="Z83" s="189">
        <v>27209051.079999998</v>
      </c>
      <c r="AA83" s="189">
        <v>641780.73</v>
      </c>
      <c r="AB83" s="189">
        <v>694971.84</v>
      </c>
      <c r="AC83" s="189">
        <v>857103.84</v>
      </c>
      <c r="AD83" s="189">
        <v>0</v>
      </c>
      <c r="AE83" s="189">
        <v>0</v>
      </c>
      <c r="AF83" s="189">
        <v>0</v>
      </c>
      <c r="AG83" s="189">
        <v>0</v>
      </c>
      <c r="AH83" s="189">
        <v>0</v>
      </c>
      <c r="AI83" s="189">
        <v>0</v>
      </c>
      <c r="AJ83" s="189">
        <v>0</v>
      </c>
      <c r="AK83" s="189">
        <v>134798.45000000001</v>
      </c>
      <c r="AL83" s="189">
        <v>133852.54999999999</v>
      </c>
      <c r="AM83" s="189">
        <v>0</v>
      </c>
    </row>
    <row r="84" spans="1:39" x14ac:dyDescent="0.25">
      <c r="A84" s="189" t="s">
        <v>188</v>
      </c>
      <c r="B84" s="189">
        <v>-935980984.25999999</v>
      </c>
      <c r="C84" s="189">
        <v>-2055217961.97</v>
      </c>
      <c r="D84" s="189">
        <v>-1202229998.0699999</v>
      </c>
      <c r="E84" s="189">
        <v>-666488415.15999997</v>
      </c>
      <c r="F84" s="189">
        <v>14875642596.049999</v>
      </c>
      <c r="G84" s="189">
        <v>16391806439.77</v>
      </c>
      <c r="H84" s="189">
        <v>14797161855.030001</v>
      </c>
      <c r="I84" s="189">
        <v>10481752739.559999</v>
      </c>
      <c r="J84" s="189">
        <v>9896748904.4200001</v>
      </c>
      <c r="K84" s="189">
        <v>5051137471.4499998</v>
      </c>
      <c r="L84" s="189">
        <v>4935802326.0900002</v>
      </c>
      <c r="M84" s="189">
        <v>3815134279.6900001</v>
      </c>
      <c r="N84" s="189">
        <v>3587438648.9000001</v>
      </c>
      <c r="O84" s="189">
        <v>3492721953.0700002</v>
      </c>
      <c r="P84" s="189">
        <v>3383306903.9299998</v>
      </c>
      <c r="Q84" s="189">
        <v>3343473396.02</v>
      </c>
      <c r="R84" s="189">
        <v>3171677528.1500001</v>
      </c>
      <c r="S84" s="189">
        <v>3105270244.04</v>
      </c>
      <c r="T84" s="189">
        <v>2158084139.8699999</v>
      </c>
      <c r="U84" s="189">
        <v>2079525750.53</v>
      </c>
      <c r="V84" s="189">
        <v>1989131404.54</v>
      </c>
      <c r="W84" s="189">
        <v>1584699871.52</v>
      </c>
      <c r="X84" s="189">
        <v>1344946737.0899999</v>
      </c>
      <c r="Y84" s="189">
        <v>1273427238.4100001</v>
      </c>
      <c r="Z84" s="189">
        <v>1210063990.98</v>
      </c>
      <c r="AA84" s="189">
        <v>1135025718.76</v>
      </c>
      <c r="AB84" s="189">
        <v>1109892158.24</v>
      </c>
      <c r="AC84" s="189">
        <v>1057106722.53</v>
      </c>
      <c r="AD84" s="189">
        <v>1011061639.39</v>
      </c>
      <c r="AE84" s="189">
        <v>982057424.13</v>
      </c>
      <c r="AF84" s="189">
        <v>967726451.39999998</v>
      </c>
      <c r="AG84" s="189">
        <v>938662287.94000006</v>
      </c>
      <c r="AH84" s="189">
        <v>919087080.04999995</v>
      </c>
      <c r="AI84" s="189">
        <v>218192293.25</v>
      </c>
      <c r="AJ84" s="189">
        <v>187005762.91</v>
      </c>
      <c r="AK84" s="189">
        <v>142670557.59999999</v>
      </c>
      <c r="AL84" s="189">
        <v>59615812.759999998</v>
      </c>
      <c r="AM84" s="189">
        <v>0</v>
      </c>
    </row>
    <row r="85" spans="1:39" x14ac:dyDescent="0.25">
      <c r="A85" s="189" t="s">
        <v>189</v>
      </c>
      <c r="B85" s="189">
        <v>16371947171.83</v>
      </c>
      <c r="C85" s="189">
        <v>17008033677.549999</v>
      </c>
      <c r="D85" s="189">
        <v>17451632756.779999</v>
      </c>
      <c r="E85" s="189">
        <v>17897649137.080002</v>
      </c>
      <c r="F85" s="189">
        <v>32288062481.790001</v>
      </c>
      <c r="G85" s="189">
        <v>35742921149.300003</v>
      </c>
      <c r="H85" s="189">
        <v>33582885584.5</v>
      </c>
      <c r="I85" s="189">
        <v>32233826009.07</v>
      </c>
      <c r="J85" s="189">
        <v>28868507113.639999</v>
      </c>
      <c r="K85" s="189">
        <v>24851095283.080002</v>
      </c>
      <c r="L85" s="189">
        <v>17847182730.279999</v>
      </c>
      <c r="M85" s="189">
        <v>16982154558.91</v>
      </c>
      <c r="N85" s="189">
        <v>14772295473.18</v>
      </c>
      <c r="O85" s="189">
        <v>11233959782.120001</v>
      </c>
      <c r="P85" s="189">
        <v>9996961126.7800007</v>
      </c>
      <c r="Q85" s="189">
        <v>8851023247.1299992</v>
      </c>
      <c r="R85" s="189">
        <v>8038444150.8800001</v>
      </c>
      <c r="S85" s="189">
        <v>7960197348.1400003</v>
      </c>
      <c r="T85" s="189">
        <v>5955262878.0699997</v>
      </c>
      <c r="U85" s="189">
        <v>5020324966.2200003</v>
      </c>
      <c r="V85" s="189">
        <v>4309709878.6300001</v>
      </c>
      <c r="W85" s="189">
        <v>3605189372.98</v>
      </c>
      <c r="X85" s="189">
        <v>3411896211.27</v>
      </c>
      <c r="Y85" s="189">
        <v>2901149532.04</v>
      </c>
      <c r="Z85" s="189">
        <v>2689479333.6999998</v>
      </c>
      <c r="AA85" s="189">
        <v>2354896573.0100002</v>
      </c>
      <c r="AB85" s="189">
        <v>2019350379.1300001</v>
      </c>
      <c r="AC85" s="189">
        <v>1774387093.3699999</v>
      </c>
      <c r="AD85" s="189">
        <v>1424136085.4400001</v>
      </c>
      <c r="AE85" s="189">
        <v>1255051373.5999999</v>
      </c>
      <c r="AF85" s="189">
        <v>1086834756.46</v>
      </c>
      <c r="AG85" s="189">
        <v>1031621057.21</v>
      </c>
      <c r="AH85" s="189">
        <v>965099921.72000003</v>
      </c>
      <c r="AI85" s="189">
        <v>329062903.67000002</v>
      </c>
      <c r="AJ85" s="189">
        <v>236509318.56999999</v>
      </c>
      <c r="AK85" s="189">
        <v>148161210.49000001</v>
      </c>
      <c r="AL85" s="189">
        <v>64337456.240000002</v>
      </c>
      <c r="AM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P31"/>
  <sheetViews>
    <sheetView workbookViewId="0">
      <selection activeCell="A2" sqref="A2"/>
    </sheetView>
  </sheetViews>
  <sheetFormatPr defaultRowHeight="14.4" x14ac:dyDescent="0.25"/>
  <cols>
    <col min="1" max="1" width="39.109375" style="189" bestFit="1" customWidth="1"/>
    <col min="2" max="4" width="13.886718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19" width="13.88671875" style="189" hidden="1" customWidth="1"/>
    <col min="20" max="20" width="12.77734375" style="189" hidden="1" customWidth="1"/>
    <col min="21" max="21" width="13.88671875" style="189" bestFit="1" customWidth="1"/>
    <col min="22" max="22" width="13.88671875" style="189" hidden="1" customWidth="1"/>
    <col min="23"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39" width="12.77734375" style="189" hidden="1" customWidth="1"/>
    <col min="40" max="41" width="12.77734375" style="189" bestFit="1" customWidth="1"/>
    <col min="42" max="42" width="9.5546875" style="189" hidden="1" customWidth="1"/>
    <col min="43" max="16384" width="8.88671875" style="189"/>
  </cols>
  <sheetData>
    <row r="1" spans="1:42" x14ac:dyDescent="0.25">
      <c r="A1" s="189">
        <v>300104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20081231</v>
      </c>
      <c r="AO1" s="189">
        <v>20071231</v>
      </c>
      <c r="AP1" s="189">
        <v>19700101</v>
      </c>
    </row>
    <row r="2" spans="1:42"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row>
    <row r="3" spans="1:42" x14ac:dyDescent="0.25">
      <c r="A3" s="189" t="s">
        <v>190</v>
      </c>
      <c r="B3" s="189">
        <v>1370681989.95</v>
      </c>
      <c r="C3" s="189">
        <v>1004409997.22</v>
      </c>
      <c r="D3" s="189">
        <v>437441448.42000002</v>
      </c>
      <c r="E3" s="189">
        <v>7096077561</v>
      </c>
      <c r="F3" s="189">
        <v>6152053263.54</v>
      </c>
      <c r="G3" s="189">
        <v>5578705425.3900003</v>
      </c>
      <c r="H3" s="189">
        <v>4132457522.02</v>
      </c>
      <c r="I3" s="189">
        <v>21986878491.369999</v>
      </c>
      <c r="J3" s="189">
        <v>16795372832.26</v>
      </c>
      <c r="K3" s="189">
        <v>10063138447.610001</v>
      </c>
      <c r="L3" s="189">
        <v>4634512164.1999998</v>
      </c>
      <c r="M3" s="189">
        <v>13016725124.120001</v>
      </c>
      <c r="N3" s="189">
        <v>8374974349.1499996</v>
      </c>
      <c r="O3" s="189">
        <v>4460713020.0600004</v>
      </c>
      <c r="P3" s="189">
        <v>2133457686.29</v>
      </c>
      <c r="Q3" s="189">
        <v>6818938622.3800001</v>
      </c>
      <c r="R3" s="189">
        <v>4745146054.6599998</v>
      </c>
      <c r="S3" s="189">
        <v>2938801853.1599998</v>
      </c>
      <c r="T3" s="189">
        <v>1026947707.76</v>
      </c>
      <c r="U3" s="189">
        <v>2361244730.8600001</v>
      </c>
      <c r="V3" s="189">
        <v>1365272776.9200001</v>
      </c>
      <c r="W3" s="189">
        <v>751920231.09000003</v>
      </c>
      <c r="X3" s="189">
        <v>341886400.31999999</v>
      </c>
      <c r="Y3" s="189">
        <v>1167307146.72</v>
      </c>
      <c r="Z3" s="189">
        <v>828735210.47000003</v>
      </c>
      <c r="AA3" s="189">
        <v>552975255.67999995</v>
      </c>
      <c r="AB3" s="189">
        <v>275808462.04000002</v>
      </c>
      <c r="AC3" s="189">
        <v>598555886.30999994</v>
      </c>
      <c r="AD3" s="189">
        <v>355895566.29000002</v>
      </c>
      <c r="AE3" s="189">
        <v>223103383.88</v>
      </c>
      <c r="AF3" s="189">
        <v>104751988.97</v>
      </c>
      <c r="AG3" s="189">
        <v>238258165.65000001</v>
      </c>
      <c r="AH3" s="189">
        <v>173053150.27000001</v>
      </c>
      <c r="AI3" s="189">
        <v>101973355.54000001</v>
      </c>
      <c r="AJ3" s="189">
        <v>45153520.600000001</v>
      </c>
      <c r="AK3" s="189">
        <v>145731415.40000001</v>
      </c>
      <c r="AL3" s="189">
        <v>103650975.34999999</v>
      </c>
      <c r="AM3" s="189">
        <v>59792579.990000002</v>
      </c>
      <c r="AN3" s="189">
        <v>73607120.709999993</v>
      </c>
      <c r="AO3" s="189">
        <v>36916305.039999999</v>
      </c>
      <c r="AP3" s="189">
        <v>0</v>
      </c>
    </row>
    <row r="4" spans="1:42" x14ac:dyDescent="0.25">
      <c r="A4" s="189" t="s">
        <v>191</v>
      </c>
      <c r="B4" s="189">
        <v>1347916027.52</v>
      </c>
      <c r="C4" s="189">
        <v>983775013.65999997</v>
      </c>
      <c r="D4" s="189">
        <v>428543205.74000001</v>
      </c>
      <c r="E4" s="189">
        <v>7025215802.2200003</v>
      </c>
      <c r="F4" s="189">
        <v>6094642044.2700005</v>
      </c>
      <c r="G4" s="189">
        <v>5540886553.04</v>
      </c>
      <c r="H4" s="189">
        <v>4116467940.2800002</v>
      </c>
      <c r="I4" s="189">
        <v>21950951410.470001</v>
      </c>
      <c r="J4" s="189">
        <v>16773829590.549999</v>
      </c>
      <c r="K4" s="189">
        <v>10063138447.610001</v>
      </c>
      <c r="L4" s="189">
        <v>4634512164.1999998</v>
      </c>
      <c r="M4" s="189">
        <v>13016725124.120001</v>
      </c>
      <c r="N4" s="189">
        <v>8374974349.1499996</v>
      </c>
      <c r="O4" s="189">
        <v>4460713020.0600004</v>
      </c>
      <c r="P4" s="189">
        <v>2133457686.29</v>
      </c>
      <c r="Q4" s="189">
        <v>6818938622.3800001</v>
      </c>
      <c r="R4" s="189">
        <v>4745146054.6599998</v>
      </c>
      <c r="S4" s="189">
        <v>2938801853.1599998</v>
      </c>
      <c r="T4" s="189">
        <v>1026947707.76</v>
      </c>
      <c r="U4" s="189">
        <v>2361244730.8600001</v>
      </c>
      <c r="V4" s="189">
        <v>1365272776.9200001</v>
      </c>
      <c r="W4" s="189">
        <v>751920231.09000003</v>
      </c>
      <c r="X4" s="189">
        <v>341886400.31999999</v>
      </c>
      <c r="Y4" s="189">
        <v>1167307146.72</v>
      </c>
      <c r="Z4" s="189">
        <v>828735210.47000003</v>
      </c>
      <c r="AA4" s="189">
        <v>552975255.67999995</v>
      </c>
      <c r="AB4" s="189">
        <v>275808462.04000002</v>
      </c>
      <c r="AC4" s="189">
        <v>598555886.30999994</v>
      </c>
      <c r="AD4" s="189">
        <v>355895566.29000002</v>
      </c>
      <c r="AE4" s="189">
        <v>223103383.88</v>
      </c>
      <c r="AF4" s="189">
        <v>104751988.97</v>
      </c>
      <c r="AG4" s="189">
        <v>238258165.65000001</v>
      </c>
      <c r="AH4" s="189">
        <v>173053150.27000001</v>
      </c>
      <c r="AI4" s="189">
        <v>101973355.54000001</v>
      </c>
      <c r="AJ4" s="189">
        <v>45153520.600000001</v>
      </c>
      <c r="AK4" s="189">
        <v>145731415.40000001</v>
      </c>
      <c r="AL4" s="189">
        <v>103650975.34999999</v>
      </c>
      <c r="AM4" s="189">
        <v>59792579.990000002</v>
      </c>
      <c r="AN4" s="189">
        <v>73607120.709999993</v>
      </c>
      <c r="AO4" s="189">
        <v>36916305.039999999</v>
      </c>
      <c r="AP4" s="189">
        <v>0</v>
      </c>
    </row>
    <row r="5" spans="1:42" x14ac:dyDescent="0.25">
      <c r="A5" s="189" t="s">
        <v>192</v>
      </c>
      <c r="B5" s="189">
        <v>3311049497.2399998</v>
      </c>
      <c r="C5" s="189">
        <v>2387561091.6399999</v>
      </c>
      <c r="D5" s="189">
        <v>887897132.39999998</v>
      </c>
      <c r="E5" s="189">
        <v>24624182382.130001</v>
      </c>
      <c r="F5" s="189">
        <v>9380653297.8099995</v>
      </c>
      <c r="G5" s="189">
        <v>6981249388.1400003</v>
      </c>
      <c r="H5" s="189">
        <v>3907406382.6399999</v>
      </c>
      <c r="I5" s="189">
        <v>22361014855.09</v>
      </c>
      <c r="J5" s="189">
        <v>16797018173.25</v>
      </c>
      <c r="K5" s="189">
        <v>10049840283.42</v>
      </c>
      <c r="L5" s="189">
        <v>4511663722.9499998</v>
      </c>
      <c r="M5" s="189">
        <v>13026051728.75</v>
      </c>
      <c r="N5" s="189">
        <v>8406071272.5200005</v>
      </c>
      <c r="O5" s="189">
        <v>4472613563.8100004</v>
      </c>
      <c r="P5" s="189">
        <v>2131088954.49</v>
      </c>
      <c r="Q5" s="189">
        <v>6771077207.46</v>
      </c>
      <c r="R5" s="189">
        <v>4731804886.8199997</v>
      </c>
      <c r="S5" s="189">
        <v>2885577037.6700001</v>
      </c>
      <c r="T5" s="189">
        <v>982796213.87</v>
      </c>
      <c r="U5" s="189">
        <v>2123181947.21</v>
      </c>
      <c r="V5" s="189">
        <v>1182195798.9200001</v>
      </c>
      <c r="W5" s="189">
        <v>619589114.82000005</v>
      </c>
      <c r="X5" s="189">
        <v>259843433.59</v>
      </c>
      <c r="Y5" s="189">
        <v>969895918.13</v>
      </c>
      <c r="Z5" s="189">
        <v>694996776.77999997</v>
      </c>
      <c r="AA5" s="189">
        <v>450948024.61000001</v>
      </c>
      <c r="AB5" s="189">
        <v>217047157.88</v>
      </c>
      <c r="AC5" s="189">
        <v>437194116.19</v>
      </c>
      <c r="AD5" s="189">
        <v>246568117.03999999</v>
      </c>
      <c r="AE5" s="189">
        <v>151904702.49000001</v>
      </c>
      <c r="AF5" s="189">
        <v>70059524.060000002</v>
      </c>
      <c r="AG5" s="189">
        <v>165332063.83000001</v>
      </c>
      <c r="AH5" s="189">
        <v>118777614.40000001</v>
      </c>
      <c r="AI5" s="189">
        <v>69259988.909999996</v>
      </c>
      <c r="AJ5" s="189">
        <v>29180757.5</v>
      </c>
      <c r="AK5" s="189">
        <v>98307596.030000001</v>
      </c>
      <c r="AL5" s="189">
        <v>70472607.730000004</v>
      </c>
      <c r="AM5" s="189">
        <v>40044877.619999997</v>
      </c>
      <c r="AN5" s="189">
        <v>41919885.950000003</v>
      </c>
      <c r="AO5" s="189">
        <v>21995821.350000001</v>
      </c>
      <c r="AP5" s="189">
        <v>0</v>
      </c>
    </row>
    <row r="6" spans="1:42" x14ac:dyDescent="0.25">
      <c r="A6" s="189" t="s">
        <v>193</v>
      </c>
      <c r="B6" s="189">
        <v>1879330786.6400001</v>
      </c>
      <c r="C6" s="189">
        <v>1472461188.5999999</v>
      </c>
      <c r="D6" s="189">
        <v>530487372.88</v>
      </c>
      <c r="E6" s="189">
        <v>9706710025.6100006</v>
      </c>
      <c r="F6" s="189">
        <v>7081314648.3400002</v>
      </c>
      <c r="G6" s="189">
        <v>5614535512.1999998</v>
      </c>
      <c r="H6" s="189">
        <v>3242219844.21</v>
      </c>
      <c r="I6" s="189">
        <v>18229220564.66</v>
      </c>
      <c r="J6" s="189">
        <v>14245707962.32</v>
      </c>
      <c r="K6" s="189">
        <v>8560174309.6099997</v>
      </c>
      <c r="L6" s="189">
        <v>3909094399</v>
      </c>
      <c r="M6" s="189">
        <v>11112009123.84</v>
      </c>
      <c r="N6" s="189">
        <v>7370724878.0900002</v>
      </c>
      <c r="O6" s="189">
        <v>3787893148.04</v>
      </c>
      <c r="P6" s="189">
        <v>1866500640.98</v>
      </c>
      <c r="Q6" s="189">
        <v>5828133468.4200001</v>
      </c>
      <c r="R6" s="189">
        <v>4081610878.5500002</v>
      </c>
      <c r="S6" s="189">
        <v>2487947546.4200001</v>
      </c>
      <c r="T6" s="189">
        <v>803278083.25999999</v>
      </c>
      <c r="U6" s="189">
        <v>1668684007.47</v>
      </c>
      <c r="V6" s="189">
        <v>910887880.78999996</v>
      </c>
      <c r="W6" s="189">
        <v>453704141.85000002</v>
      </c>
      <c r="X6" s="189">
        <v>186947889.81999999</v>
      </c>
      <c r="Y6" s="189">
        <v>684246822.49000001</v>
      </c>
      <c r="Z6" s="189">
        <v>504623220.58999997</v>
      </c>
      <c r="AA6" s="189">
        <v>320848865.30000001</v>
      </c>
      <c r="AB6" s="189">
        <v>153294269.00999999</v>
      </c>
      <c r="AC6" s="189">
        <v>275090733.32999998</v>
      </c>
      <c r="AD6" s="189">
        <v>139195015.02000001</v>
      </c>
      <c r="AE6" s="189">
        <v>86194524.370000005</v>
      </c>
      <c r="AF6" s="189">
        <v>38086681.520000003</v>
      </c>
      <c r="AG6" s="189">
        <v>80214851.969999999</v>
      </c>
      <c r="AH6" s="189">
        <v>58881275.32</v>
      </c>
      <c r="AI6" s="189">
        <v>34992303.469999999</v>
      </c>
      <c r="AJ6" s="189">
        <v>15770790.029999999</v>
      </c>
      <c r="AK6" s="189">
        <v>49551009.369999997</v>
      </c>
      <c r="AL6" s="189">
        <v>33338174.170000002</v>
      </c>
      <c r="AM6" s="189">
        <v>21134492.460000001</v>
      </c>
      <c r="AN6" s="189">
        <v>14850092.140000001</v>
      </c>
      <c r="AO6" s="189">
        <v>11821791.91</v>
      </c>
      <c r="AP6" s="189">
        <v>0</v>
      </c>
    </row>
    <row r="7" spans="1:42" x14ac:dyDescent="0.25">
      <c r="A7" s="189" t="s">
        <v>194</v>
      </c>
      <c r="B7" s="189">
        <v>1613015.7</v>
      </c>
      <c r="C7" s="189">
        <v>1537354.09</v>
      </c>
      <c r="D7" s="189">
        <v>333775.21999999997</v>
      </c>
      <c r="E7" s="189">
        <v>19761340.579999998</v>
      </c>
      <c r="F7" s="189">
        <v>23019783.329999998</v>
      </c>
      <c r="G7" s="189">
        <v>21550676.539999999</v>
      </c>
      <c r="H7" s="189">
        <v>15417466.24</v>
      </c>
      <c r="I7" s="189">
        <v>152575155.84</v>
      </c>
      <c r="J7" s="189">
        <v>48600322.079999998</v>
      </c>
      <c r="K7" s="189">
        <v>29996246.609999999</v>
      </c>
      <c r="L7" s="189">
        <v>12013744.15</v>
      </c>
      <c r="M7" s="189">
        <v>94680829.109999999</v>
      </c>
      <c r="N7" s="189">
        <v>27586610.780000001</v>
      </c>
      <c r="O7" s="189">
        <v>16782339.68</v>
      </c>
      <c r="P7" s="189">
        <v>8617821.9499999993</v>
      </c>
      <c r="Q7" s="189">
        <v>56848870.420000002</v>
      </c>
      <c r="R7" s="189">
        <v>14287081.27</v>
      </c>
      <c r="S7" s="189">
        <v>14729224.539999999</v>
      </c>
      <c r="T7" s="189">
        <v>5062057.6900000004</v>
      </c>
      <c r="U7" s="189">
        <v>25921973.190000001</v>
      </c>
      <c r="V7" s="189">
        <v>11531587.32</v>
      </c>
      <c r="W7" s="189">
        <v>6793318.6900000004</v>
      </c>
      <c r="X7" s="189">
        <v>4961597.5599999996</v>
      </c>
      <c r="Y7" s="189">
        <v>45132765.549999997</v>
      </c>
      <c r="Z7" s="189">
        <v>39552084.32</v>
      </c>
      <c r="AA7" s="189">
        <v>31744242.460000001</v>
      </c>
      <c r="AB7" s="189">
        <v>14292110.83</v>
      </c>
      <c r="AC7" s="189">
        <v>29951803.73</v>
      </c>
      <c r="AD7" s="189">
        <v>15694669.810000001</v>
      </c>
      <c r="AE7" s="189">
        <v>9580628.7100000009</v>
      </c>
      <c r="AF7" s="189">
        <v>6384579.96</v>
      </c>
      <c r="AG7" s="189">
        <v>10159858.869999999</v>
      </c>
      <c r="AH7" s="189">
        <v>7701217.5999999996</v>
      </c>
      <c r="AI7" s="189">
        <v>4624116.79</v>
      </c>
      <c r="AJ7" s="189">
        <v>1546969.92</v>
      </c>
      <c r="AK7" s="189">
        <v>6468272.5099999998</v>
      </c>
      <c r="AL7" s="189">
        <v>4530224.2699999996</v>
      </c>
      <c r="AM7" s="189">
        <v>2684574.54</v>
      </c>
      <c r="AN7" s="189">
        <v>2991417.66</v>
      </c>
      <c r="AO7" s="189">
        <v>1218238.06</v>
      </c>
      <c r="AP7" s="189">
        <v>0</v>
      </c>
    </row>
    <row r="8" spans="1:42" x14ac:dyDescent="0.25">
      <c r="A8" s="189" t="s">
        <v>195</v>
      </c>
      <c r="B8" s="189">
        <v>387045431.08999997</v>
      </c>
      <c r="C8" s="189">
        <v>189301680.41999999</v>
      </c>
      <c r="D8" s="189">
        <v>65440122.640000001</v>
      </c>
      <c r="E8" s="189">
        <v>1714570749.99</v>
      </c>
      <c r="F8" s="189">
        <v>741217973.05999994</v>
      </c>
      <c r="G8" s="189">
        <v>501612381.30000001</v>
      </c>
      <c r="H8" s="189">
        <v>371057809.00999999</v>
      </c>
      <c r="I8" s="189">
        <v>2365883026.2800002</v>
      </c>
      <c r="J8" s="189">
        <v>1636940879.8299999</v>
      </c>
      <c r="K8" s="189">
        <v>909152985.83000004</v>
      </c>
      <c r="L8" s="189">
        <v>386692167.42000002</v>
      </c>
      <c r="M8" s="189">
        <v>1040736778.35</v>
      </c>
      <c r="N8" s="189">
        <v>629421133.10000002</v>
      </c>
      <c r="O8" s="189">
        <v>442883846.04000002</v>
      </c>
      <c r="P8" s="189">
        <v>161772442.53</v>
      </c>
      <c r="Q8" s="189">
        <v>489035465.49000001</v>
      </c>
      <c r="R8" s="189">
        <v>355894549.89999998</v>
      </c>
      <c r="S8" s="189">
        <v>204615005.91</v>
      </c>
      <c r="T8" s="189">
        <v>102396489.15000001</v>
      </c>
      <c r="U8" s="189">
        <v>194520082.59999999</v>
      </c>
      <c r="V8" s="189">
        <v>110849982.05</v>
      </c>
      <c r="W8" s="189">
        <v>65765728.310000002</v>
      </c>
      <c r="X8" s="189">
        <v>30762528.91</v>
      </c>
      <c r="Y8" s="189">
        <v>133586195.97</v>
      </c>
      <c r="Z8" s="189">
        <v>85521702.730000004</v>
      </c>
      <c r="AA8" s="189">
        <v>56930976.700000003</v>
      </c>
      <c r="AB8" s="189">
        <v>27073627.390000001</v>
      </c>
      <c r="AC8" s="189">
        <v>96315718.620000005</v>
      </c>
      <c r="AD8" s="189">
        <v>69280089.890000001</v>
      </c>
      <c r="AE8" s="189">
        <v>40216453.469999999</v>
      </c>
      <c r="AF8" s="189">
        <v>19704291.260000002</v>
      </c>
      <c r="AG8" s="189">
        <v>57919042.57</v>
      </c>
      <c r="AH8" s="189">
        <v>40609138.75</v>
      </c>
      <c r="AI8" s="189">
        <v>22455248.260000002</v>
      </c>
      <c r="AJ8" s="189">
        <v>9053275.0299999993</v>
      </c>
      <c r="AK8" s="189">
        <v>28920126.140000001</v>
      </c>
      <c r="AL8" s="189">
        <v>22303917.510000002</v>
      </c>
      <c r="AM8" s="189">
        <v>12341828.9</v>
      </c>
      <c r="AN8" s="189">
        <v>18297251.940000001</v>
      </c>
      <c r="AO8" s="189">
        <v>5805870.9699999997</v>
      </c>
      <c r="AP8" s="189">
        <v>0</v>
      </c>
    </row>
    <row r="9" spans="1:42" x14ac:dyDescent="0.25">
      <c r="A9" s="189" t="s">
        <v>196</v>
      </c>
      <c r="B9" s="189">
        <v>247593860</v>
      </c>
      <c r="C9" s="189">
        <v>206497432.30000001</v>
      </c>
      <c r="D9" s="189">
        <v>109685402.58</v>
      </c>
      <c r="E9" s="189">
        <v>1402733564.9300001</v>
      </c>
      <c r="F9" s="189">
        <v>609795815.60000002</v>
      </c>
      <c r="G9" s="189">
        <v>311220682.38</v>
      </c>
      <c r="H9" s="189">
        <v>148010853.75999999</v>
      </c>
      <c r="I9" s="189">
        <v>596273473.80999994</v>
      </c>
      <c r="J9" s="189">
        <v>399556960.00999999</v>
      </c>
      <c r="K9" s="189">
        <v>242190634.81</v>
      </c>
      <c r="L9" s="189">
        <v>116448872.38</v>
      </c>
      <c r="M9" s="189">
        <v>309492095.22000003</v>
      </c>
      <c r="N9" s="189">
        <v>212487633.71000001</v>
      </c>
      <c r="O9" s="189">
        <v>121086828.08</v>
      </c>
      <c r="P9" s="189">
        <v>58801948.579999998</v>
      </c>
      <c r="Q9" s="189">
        <v>175454652.59999999</v>
      </c>
      <c r="R9" s="189">
        <v>127952076.22</v>
      </c>
      <c r="S9" s="189">
        <v>75868697.719999999</v>
      </c>
      <c r="T9" s="189">
        <v>31782878.27</v>
      </c>
      <c r="U9" s="189">
        <v>89988324.290000007</v>
      </c>
      <c r="V9" s="189">
        <v>59066883.990000002</v>
      </c>
      <c r="W9" s="189">
        <v>32803373.32</v>
      </c>
      <c r="X9" s="189">
        <v>14387067.869999999</v>
      </c>
      <c r="Y9" s="189">
        <v>57784961.579999998</v>
      </c>
      <c r="Z9" s="189">
        <v>41471732.219999999</v>
      </c>
      <c r="AA9" s="189">
        <v>26539044.109999999</v>
      </c>
      <c r="AB9" s="189">
        <v>15175757.869999999</v>
      </c>
      <c r="AC9" s="189">
        <v>30508708.300000001</v>
      </c>
      <c r="AD9" s="189">
        <v>16762454.029999999</v>
      </c>
      <c r="AE9" s="189">
        <v>10401581.449999999</v>
      </c>
      <c r="AF9" s="189">
        <v>5232047.01</v>
      </c>
      <c r="AG9" s="189">
        <v>11602932.65</v>
      </c>
      <c r="AH9" s="189">
        <v>7957713.0099999998</v>
      </c>
      <c r="AI9" s="189">
        <v>5048625.24</v>
      </c>
      <c r="AJ9" s="189">
        <v>2053328.21</v>
      </c>
      <c r="AK9" s="189">
        <v>8754562.6699999999</v>
      </c>
      <c r="AL9" s="189">
        <v>7175104.9400000004</v>
      </c>
      <c r="AM9" s="189">
        <v>4486200.49</v>
      </c>
      <c r="AN9" s="189">
        <v>5647441.3499999996</v>
      </c>
      <c r="AO9" s="189">
        <v>2916798.09</v>
      </c>
      <c r="AP9" s="189">
        <v>0</v>
      </c>
    </row>
    <row r="10" spans="1:42" x14ac:dyDescent="0.25">
      <c r="A10" s="189" t="s">
        <v>197</v>
      </c>
      <c r="B10" s="189">
        <v>565797171.29999995</v>
      </c>
      <c r="C10" s="189">
        <v>376728888.02999997</v>
      </c>
      <c r="D10" s="189">
        <v>171976275.22999999</v>
      </c>
      <c r="E10" s="189">
        <v>872710484.28999996</v>
      </c>
      <c r="F10" s="189">
        <v>643255226.46000004</v>
      </c>
      <c r="G10" s="189">
        <v>278983760.60000002</v>
      </c>
      <c r="H10" s="189">
        <v>123811195.20999999</v>
      </c>
      <c r="I10" s="189">
        <v>648027100.04999995</v>
      </c>
      <c r="J10" s="189">
        <v>406344201.27999997</v>
      </c>
      <c r="K10" s="189">
        <v>258462644.16999999</v>
      </c>
      <c r="L10" s="189">
        <v>87414540</v>
      </c>
      <c r="M10" s="189">
        <v>348979599.07999998</v>
      </c>
      <c r="N10" s="189">
        <v>136395602.56</v>
      </c>
      <c r="O10" s="189">
        <v>74511987.689999998</v>
      </c>
      <c r="P10" s="189">
        <v>35396100.450000003</v>
      </c>
      <c r="Q10" s="189">
        <v>167915495.78</v>
      </c>
      <c r="R10" s="189">
        <v>132012251.84999999</v>
      </c>
      <c r="S10" s="189">
        <v>82368514.049999997</v>
      </c>
      <c r="T10" s="189">
        <v>40276705.5</v>
      </c>
      <c r="U10" s="189">
        <v>116298019.88</v>
      </c>
      <c r="V10" s="189">
        <v>81479619.599999994</v>
      </c>
      <c r="W10" s="189">
        <v>52145669.759999998</v>
      </c>
      <c r="X10" s="189">
        <v>22784349.43</v>
      </c>
      <c r="Y10" s="189">
        <v>42240407.810000002</v>
      </c>
      <c r="Z10" s="189">
        <v>20353558.109999999</v>
      </c>
      <c r="AA10" s="189">
        <v>11405739.23</v>
      </c>
      <c r="AB10" s="189">
        <v>7211392.7800000003</v>
      </c>
      <c r="AC10" s="189">
        <v>1390063.24</v>
      </c>
      <c r="AD10" s="189">
        <v>2962267.06</v>
      </c>
      <c r="AE10" s="189">
        <v>2837893.25</v>
      </c>
      <c r="AF10" s="189">
        <v>651924.31000000006</v>
      </c>
      <c r="AG10" s="189">
        <v>3712978.86</v>
      </c>
      <c r="AH10" s="189">
        <v>3628269.72</v>
      </c>
      <c r="AI10" s="189">
        <v>2139695.15</v>
      </c>
      <c r="AJ10" s="189">
        <v>756394.31</v>
      </c>
      <c r="AK10" s="189">
        <v>509841.19</v>
      </c>
      <c r="AL10" s="189">
        <v>38258.120000000003</v>
      </c>
      <c r="AM10" s="189">
        <v>1645.71</v>
      </c>
      <c r="AN10" s="189">
        <v>-828544.9</v>
      </c>
      <c r="AO10" s="189">
        <v>132391.67000000001</v>
      </c>
      <c r="AP10" s="189">
        <v>0</v>
      </c>
    </row>
    <row r="11" spans="1:42" x14ac:dyDescent="0.25">
      <c r="A11" s="189" t="s">
        <v>198</v>
      </c>
      <c r="B11" s="189">
        <v>145945929.81999999</v>
      </c>
      <c r="C11" s="189">
        <v>139263714.81999999</v>
      </c>
      <c r="D11" s="189">
        <v>8699183.8699999992</v>
      </c>
      <c r="E11" s="189">
        <v>10881535091.540001</v>
      </c>
      <c r="F11" s="189">
        <v>259699177.62</v>
      </c>
      <c r="G11" s="189">
        <v>239159932.38</v>
      </c>
      <c r="H11" s="189">
        <v>-1169275.46</v>
      </c>
      <c r="I11" s="189">
        <v>351968232.14999998</v>
      </c>
      <c r="J11" s="189">
        <v>50449061.07</v>
      </c>
      <c r="K11" s="189">
        <v>49863462.390000001</v>
      </c>
      <c r="L11" s="189">
        <v>0</v>
      </c>
      <c r="M11" s="189">
        <v>120153303.15000001</v>
      </c>
      <c r="N11" s="189">
        <v>29455414.280000001</v>
      </c>
      <c r="O11" s="189">
        <v>29455414.280000001</v>
      </c>
      <c r="P11" s="189">
        <v>0</v>
      </c>
      <c r="Q11" s="189">
        <v>53689254.75</v>
      </c>
      <c r="R11" s="189">
        <v>20048049.030000001</v>
      </c>
      <c r="S11" s="189">
        <v>20048049.030000001</v>
      </c>
      <c r="T11" s="189">
        <v>0</v>
      </c>
      <c r="U11" s="189">
        <v>27769539.780000001</v>
      </c>
      <c r="V11" s="189">
        <v>8379845.1699999999</v>
      </c>
      <c r="W11" s="189">
        <v>8376882.8899999997</v>
      </c>
      <c r="X11" s="189">
        <v>0</v>
      </c>
      <c r="Y11" s="189">
        <v>6904764.7300000004</v>
      </c>
      <c r="Z11" s="189">
        <v>3474478.81</v>
      </c>
      <c r="AA11" s="189">
        <v>3479156.81</v>
      </c>
      <c r="AB11" s="189">
        <v>0</v>
      </c>
      <c r="AC11" s="189">
        <v>3937088.97</v>
      </c>
      <c r="AD11" s="189">
        <v>2673621.2400000002</v>
      </c>
      <c r="AE11" s="189">
        <v>2673621.2400000002</v>
      </c>
      <c r="AF11" s="189">
        <v>0</v>
      </c>
      <c r="AG11" s="189">
        <v>1722398.91</v>
      </c>
      <c r="AH11" s="189">
        <v>0</v>
      </c>
      <c r="AI11" s="189">
        <v>0</v>
      </c>
      <c r="AJ11" s="189">
        <v>0</v>
      </c>
      <c r="AK11" s="189">
        <v>4103784.15</v>
      </c>
      <c r="AL11" s="189">
        <v>3086928.72</v>
      </c>
      <c r="AM11" s="189">
        <v>-603864.48</v>
      </c>
      <c r="AN11" s="189">
        <v>962227.76</v>
      </c>
      <c r="AO11" s="189">
        <v>100730.65</v>
      </c>
      <c r="AP11" s="189">
        <v>0</v>
      </c>
    </row>
    <row r="12" spans="1:42" x14ac:dyDescent="0.25">
      <c r="A12" s="189" t="s">
        <v>199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row>
    <row r="13" spans="1:42" x14ac:dyDescent="0.25">
      <c r="A13" s="189" t="s">
        <v>200</v>
      </c>
      <c r="B13" s="189">
        <v>83220062.180000007</v>
      </c>
      <c r="C13" s="189">
        <v>73967293.170000002</v>
      </c>
      <c r="D13" s="189">
        <v>0</v>
      </c>
      <c r="E13" s="189">
        <v>173646711.81999999</v>
      </c>
      <c r="F13" s="189">
        <v>318860923.18000001</v>
      </c>
      <c r="G13" s="189">
        <v>259104358.03999999</v>
      </c>
      <c r="H13" s="189">
        <v>14093627.93</v>
      </c>
      <c r="I13" s="189">
        <v>36637102.640000001</v>
      </c>
      <c r="J13" s="189">
        <v>26124141.59</v>
      </c>
      <c r="K13" s="189">
        <v>15074133.289999999</v>
      </c>
      <c r="L13" s="189">
        <v>-20.79</v>
      </c>
      <c r="M13" s="189">
        <v>78749437.599999994</v>
      </c>
      <c r="N13" s="189">
        <v>85263558.980000004</v>
      </c>
      <c r="O13" s="189">
        <v>85263558.980000004</v>
      </c>
      <c r="P13" s="189">
        <v>20739306.109999999</v>
      </c>
      <c r="Q13" s="189">
        <v>5038.4399999999996</v>
      </c>
      <c r="R13" s="189">
        <v>-712463.13</v>
      </c>
      <c r="S13" s="189">
        <v>-712463.13</v>
      </c>
      <c r="T13" s="189">
        <v>-380220.32</v>
      </c>
      <c r="U13" s="189">
        <v>-1355138.81</v>
      </c>
      <c r="V13" s="189">
        <v>-1345009.11</v>
      </c>
      <c r="W13" s="189">
        <v>-1345009.11</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row>
    <row r="14" spans="1:42" x14ac:dyDescent="0.25">
      <c r="A14" s="189" t="s">
        <v>201</v>
      </c>
      <c r="B14" s="189">
        <v>72593128.640000001</v>
      </c>
      <c r="C14" s="189">
        <v>70115418.170000002</v>
      </c>
      <c r="D14" s="189">
        <v>0</v>
      </c>
      <c r="E14" s="189">
        <v>135941516.66999999</v>
      </c>
      <c r="F14" s="189">
        <v>86100130.670000002</v>
      </c>
      <c r="G14" s="189">
        <v>26343565.530000001</v>
      </c>
      <c r="H14" s="189">
        <v>14093627.93</v>
      </c>
      <c r="I14" s="189">
        <v>35828908.5</v>
      </c>
      <c r="J14" s="189">
        <v>26124141.59</v>
      </c>
      <c r="K14" s="189">
        <v>15074133.289999999</v>
      </c>
      <c r="L14" s="189">
        <v>-20.79</v>
      </c>
      <c r="M14" s="189">
        <v>45254.04</v>
      </c>
      <c r="N14" s="189">
        <v>0</v>
      </c>
      <c r="O14" s="189">
        <v>0</v>
      </c>
      <c r="P14" s="189">
        <v>0</v>
      </c>
      <c r="Q14" s="189">
        <v>-318733.87</v>
      </c>
      <c r="R14" s="189">
        <v>-80695.41</v>
      </c>
      <c r="S14" s="189">
        <v>-80695.41</v>
      </c>
      <c r="T14" s="189">
        <v>-29100.32</v>
      </c>
      <c r="U14" s="189">
        <v>-90791.38</v>
      </c>
      <c r="V14" s="189">
        <v>-671136.43</v>
      </c>
      <c r="W14" s="189">
        <v>-671136.43</v>
      </c>
      <c r="X14" s="189">
        <v>0</v>
      </c>
      <c r="Y14" s="189">
        <v>0</v>
      </c>
      <c r="Z14" s="189">
        <v>0</v>
      </c>
      <c r="AA14" s="189">
        <v>0</v>
      </c>
      <c r="AB14" s="189">
        <v>0</v>
      </c>
      <c r="AC14" s="189">
        <v>0</v>
      </c>
      <c r="AD14" s="189">
        <v>0</v>
      </c>
      <c r="AE14" s="189">
        <v>0</v>
      </c>
      <c r="AF14" s="189">
        <v>0</v>
      </c>
      <c r="AG14" s="189">
        <v>0</v>
      </c>
      <c r="AH14" s="189">
        <v>0</v>
      </c>
      <c r="AI14" s="189">
        <v>0</v>
      </c>
      <c r="AJ14" s="189">
        <v>0</v>
      </c>
      <c r="AK14" s="189">
        <v>0</v>
      </c>
      <c r="AL14" s="189">
        <v>0</v>
      </c>
      <c r="AM14" s="189">
        <v>0</v>
      </c>
      <c r="AN14" s="189">
        <v>0</v>
      </c>
      <c r="AO14" s="189">
        <v>0</v>
      </c>
      <c r="AP14" s="189">
        <v>0</v>
      </c>
    </row>
    <row r="15" spans="1:42"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row>
    <row r="16" spans="1:42" x14ac:dyDescent="0.25">
      <c r="A16" s="189" t="s">
        <v>203</v>
      </c>
      <c r="B16" s="189">
        <v>-1858413883.5999999</v>
      </c>
      <c r="C16" s="189">
        <v>-1309541050.8</v>
      </c>
      <c r="D16" s="189">
        <v>-445053694.47000003</v>
      </c>
      <c r="E16" s="189">
        <v>-17408447243.490002</v>
      </c>
      <c r="F16" s="189">
        <v>-2860726216.5900002</v>
      </c>
      <c r="G16" s="189">
        <v>-1094426710.21</v>
      </c>
      <c r="H16" s="189">
        <v>239144767.31</v>
      </c>
      <c r="I16" s="189">
        <v>-337499261.07999998</v>
      </c>
      <c r="J16" s="189">
        <v>24478800.600000001</v>
      </c>
      <c r="K16" s="189">
        <v>28372297.48</v>
      </c>
      <c r="L16" s="189">
        <v>122848420.45999999</v>
      </c>
      <c r="M16" s="189">
        <v>69422832.969999999</v>
      </c>
      <c r="N16" s="189">
        <v>54166635.609999999</v>
      </c>
      <c r="O16" s="189">
        <v>73363015.230000004</v>
      </c>
      <c r="P16" s="189">
        <v>23108037.91</v>
      </c>
      <c r="Q16" s="189">
        <v>47866453.359999999</v>
      </c>
      <c r="R16" s="189">
        <v>12628704.710000001</v>
      </c>
      <c r="S16" s="189">
        <v>52512352.359999999</v>
      </c>
      <c r="T16" s="189">
        <v>43771273.57</v>
      </c>
      <c r="U16" s="189">
        <v>236707644.84</v>
      </c>
      <c r="V16" s="189">
        <v>181731968.88999999</v>
      </c>
      <c r="W16" s="189">
        <v>130986107.16</v>
      </c>
      <c r="X16" s="189">
        <v>82042966.730000004</v>
      </c>
      <c r="Y16" s="189">
        <v>197411228.59</v>
      </c>
      <c r="Z16" s="189">
        <v>133738433.69</v>
      </c>
      <c r="AA16" s="189">
        <v>102027231.06999999</v>
      </c>
      <c r="AB16" s="189">
        <v>58761304.159999996</v>
      </c>
      <c r="AC16" s="189">
        <v>161361770.12</v>
      </c>
      <c r="AD16" s="189">
        <v>109327449.25</v>
      </c>
      <c r="AE16" s="189">
        <v>71198681.390000001</v>
      </c>
      <c r="AF16" s="189">
        <v>34692464.909999996</v>
      </c>
      <c r="AG16" s="189">
        <v>72926101.819999993</v>
      </c>
      <c r="AH16" s="189">
        <v>54275535.869999997</v>
      </c>
      <c r="AI16" s="189">
        <v>32713366.629999999</v>
      </c>
      <c r="AJ16" s="189">
        <v>15972763.1</v>
      </c>
      <c r="AK16" s="189">
        <v>47423819.369999997</v>
      </c>
      <c r="AL16" s="189">
        <v>33178367.620000001</v>
      </c>
      <c r="AM16" s="189">
        <v>19747702.370000001</v>
      </c>
      <c r="AN16" s="189">
        <v>31687234.760000002</v>
      </c>
      <c r="AO16" s="189">
        <v>14920483.689999999</v>
      </c>
      <c r="AP16" s="189">
        <v>0</v>
      </c>
    </row>
    <row r="17" spans="1:42" x14ac:dyDescent="0.25">
      <c r="A17" s="189" t="s">
        <v>204</v>
      </c>
      <c r="B17" s="189">
        <v>26093279.710000001</v>
      </c>
      <c r="C17" s="189">
        <v>15787023.390000001</v>
      </c>
      <c r="D17" s="189">
        <v>70291.899999999994</v>
      </c>
      <c r="E17" s="189">
        <v>18062969.489999998</v>
      </c>
      <c r="F17" s="189">
        <v>3741492.32</v>
      </c>
      <c r="G17" s="189">
        <v>548060.43000000005</v>
      </c>
      <c r="H17" s="189">
        <v>23824799.300000001</v>
      </c>
      <c r="I17" s="189">
        <v>46601816.719999999</v>
      </c>
      <c r="J17" s="189">
        <v>24612814.719999999</v>
      </c>
      <c r="K17" s="189">
        <v>17973441.379999999</v>
      </c>
      <c r="L17" s="189">
        <v>102963.92</v>
      </c>
      <c r="M17" s="189">
        <v>44987912.960000001</v>
      </c>
      <c r="N17" s="189">
        <v>34641709.789999999</v>
      </c>
      <c r="O17" s="189">
        <v>50635.8</v>
      </c>
      <c r="P17" s="189">
        <v>276.56</v>
      </c>
      <c r="Q17" s="189">
        <v>27556349.09</v>
      </c>
      <c r="R17" s="189">
        <v>13511172.300000001</v>
      </c>
      <c r="S17" s="189">
        <v>13364106.699999999</v>
      </c>
      <c r="T17" s="189">
        <v>0</v>
      </c>
      <c r="U17" s="189">
        <v>10694405.720000001</v>
      </c>
      <c r="V17" s="189">
        <v>9483070</v>
      </c>
      <c r="W17" s="189">
        <v>2558700</v>
      </c>
      <c r="X17" s="189">
        <v>158700</v>
      </c>
      <c r="Y17" s="189">
        <v>31100500</v>
      </c>
      <c r="Z17" s="189">
        <v>23032800</v>
      </c>
      <c r="AA17" s="189">
        <v>6814800</v>
      </c>
      <c r="AB17" s="189">
        <v>4111800</v>
      </c>
      <c r="AC17" s="189">
        <v>2887700</v>
      </c>
      <c r="AD17" s="189">
        <v>2537700</v>
      </c>
      <c r="AE17" s="189">
        <v>0</v>
      </c>
      <c r="AF17" s="189">
        <v>0</v>
      </c>
      <c r="AG17" s="189">
        <v>2000000</v>
      </c>
      <c r="AH17" s="189">
        <v>0</v>
      </c>
      <c r="AI17" s="189">
        <v>0</v>
      </c>
      <c r="AJ17" s="189">
        <v>0</v>
      </c>
      <c r="AK17" s="189">
        <v>343823.63</v>
      </c>
      <c r="AL17" s="189">
        <v>343023.24</v>
      </c>
      <c r="AM17" s="189">
        <v>0</v>
      </c>
      <c r="AN17" s="189">
        <v>0.77</v>
      </c>
      <c r="AO17" s="189">
        <v>216</v>
      </c>
      <c r="AP17" s="189">
        <v>0</v>
      </c>
    </row>
    <row r="18" spans="1:42" x14ac:dyDescent="0.25">
      <c r="A18" s="189" t="s">
        <v>205</v>
      </c>
      <c r="B18" s="189">
        <v>534302.59</v>
      </c>
      <c r="C18" s="189">
        <v>271300.95</v>
      </c>
      <c r="D18" s="189">
        <v>200000.78</v>
      </c>
      <c r="E18" s="189">
        <v>71345250.060000002</v>
      </c>
      <c r="F18" s="189">
        <v>1867193.02</v>
      </c>
      <c r="G18" s="189">
        <v>1748261.95</v>
      </c>
      <c r="H18" s="189">
        <v>783312.27</v>
      </c>
      <c r="I18" s="189">
        <v>37811076.509999998</v>
      </c>
      <c r="J18" s="189">
        <v>865733.48</v>
      </c>
      <c r="K18" s="189">
        <v>303832.65000000002</v>
      </c>
      <c r="L18" s="189">
        <v>136303</v>
      </c>
      <c r="M18" s="189">
        <v>40241523.840000004</v>
      </c>
      <c r="N18" s="189">
        <v>566441.5</v>
      </c>
      <c r="O18" s="189">
        <v>3624.98</v>
      </c>
      <c r="P18" s="189">
        <v>3624.98</v>
      </c>
      <c r="Q18" s="189">
        <v>2523697.61</v>
      </c>
      <c r="R18" s="189">
        <v>483458.66</v>
      </c>
      <c r="S18" s="189">
        <v>361293</v>
      </c>
      <c r="T18" s="189">
        <v>0</v>
      </c>
      <c r="U18" s="189">
        <v>1001167.33</v>
      </c>
      <c r="V18" s="189">
        <v>1000000</v>
      </c>
      <c r="W18" s="189">
        <v>1000000</v>
      </c>
      <c r="X18" s="189">
        <v>0</v>
      </c>
      <c r="Y18" s="189">
        <v>500000</v>
      </c>
      <c r="Z18" s="189">
        <v>0</v>
      </c>
      <c r="AA18" s="189">
        <v>0</v>
      </c>
      <c r="AB18" s="189">
        <v>0.09</v>
      </c>
      <c r="AC18" s="189">
        <v>5000</v>
      </c>
      <c r="AD18" s="189">
        <v>0</v>
      </c>
      <c r="AE18" s="189">
        <v>0</v>
      </c>
      <c r="AF18" s="189">
        <v>0</v>
      </c>
      <c r="AG18" s="189">
        <v>89481.25</v>
      </c>
      <c r="AH18" s="189">
        <v>50000</v>
      </c>
      <c r="AI18" s="189">
        <v>50000</v>
      </c>
      <c r="AJ18" s="189">
        <v>0</v>
      </c>
      <c r="AK18" s="189">
        <v>65356.9</v>
      </c>
      <c r="AL18" s="189">
        <v>65356.9</v>
      </c>
      <c r="AM18" s="189">
        <v>65356.9</v>
      </c>
      <c r="AN18" s="189">
        <v>10000</v>
      </c>
      <c r="AO18" s="189">
        <v>237222.3</v>
      </c>
      <c r="AP18" s="189">
        <v>0</v>
      </c>
    </row>
    <row r="19" spans="1:42" x14ac:dyDescent="0.25">
      <c r="A19" s="189" t="s">
        <v>206</v>
      </c>
      <c r="B19" s="189">
        <v>0</v>
      </c>
      <c r="C19" s="189">
        <v>0</v>
      </c>
      <c r="D19" s="189">
        <v>0</v>
      </c>
      <c r="E19" s="189">
        <v>0</v>
      </c>
      <c r="F19" s="189">
        <v>0</v>
      </c>
      <c r="G19" s="189">
        <v>0</v>
      </c>
      <c r="H19" s="189">
        <v>0</v>
      </c>
      <c r="I19" s="189">
        <v>35423474.439999998</v>
      </c>
      <c r="J19" s="189">
        <v>0</v>
      </c>
      <c r="K19" s="189">
        <v>0</v>
      </c>
      <c r="L19" s="189">
        <v>0</v>
      </c>
      <c r="M19" s="189">
        <v>37634806.939999998</v>
      </c>
      <c r="N19" s="189">
        <v>0</v>
      </c>
      <c r="O19" s="189">
        <v>0</v>
      </c>
      <c r="P19" s="189">
        <v>0</v>
      </c>
      <c r="Q19" s="189">
        <v>474357.08</v>
      </c>
      <c r="R19" s="189">
        <v>0</v>
      </c>
      <c r="S19" s="189">
        <v>0</v>
      </c>
      <c r="T19" s="189">
        <v>0</v>
      </c>
      <c r="U19" s="189">
        <v>1167.33</v>
      </c>
      <c r="V19" s="189">
        <v>0</v>
      </c>
      <c r="W19" s="189">
        <v>0</v>
      </c>
      <c r="X19" s="189">
        <v>0</v>
      </c>
      <c r="Y19" s="189">
        <v>0</v>
      </c>
      <c r="Z19" s="189">
        <v>0</v>
      </c>
      <c r="AA19" s="189">
        <v>0</v>
      </c>
      <c r="AB19" s="189">
        <v>0</v>
      </c>
      <c r="AC19" s="189">
        <v>0</v>
      </c>
      <c r="AD19" s="189">
        <v>0</v>
      </c>
      <c r="AE19" s="189">
        <v>0</v>
      </c>
      <c r="AF19" s="189">
        <v>0</v>
      </c>
      <c r="AG19" s="189">
        <v>39481.25</v>
      </c>
      <c r="AH19" s="189">
        <v>0</v>
      </c>
      <c r="AI19" s="189">
        <v>0</v>
      </c>
      <c r="AJ19" s="189">
        <v>0</v>
      </c>
      <c r="AK19" s="189">
        <v>65356.9</v>
      </c>
      <c r="AL19" s="189">
        <v>0</v>
      </c>
      <c r="AM19" s="189">
        <v>65356.9</v>
      </c>
      <c r="AN19" s="189">
        <v>0</v>
      </c>
      <c r="AO19" s="189">
        <v>11352.3</v>
      </c>
      <c r="AP19" s="189">
        <v>0</v>
      </c>
    </row>
    <row r="20" spans="1:42" x14ac:dyDescent="0.25">
      <c r="A20" s="189" t="s">
        <v>207</v>
      </c>
      <c r="B20" s="189">
        <v>-1832854906.48</v>
      </c>
      <c r="C20" s="189">
        <v>-1294025328.3599999</v>
      </c>
      <c r="D20" s="189">
        <v>-445183403.35000002</v>
      </c>
      <c r="E20" s="189">
        <v>-17461729524.060001</v>
      </c>
      <c r="F20" s="189">
        <v>-2858851917.29</v>
      </c>
      <c r="G20" s="189">
        <v>-1095626911.73</v>
      </c>
      <c r="H20" s="189">
        <v>262186254.34</v>
      </c>
      <c r="I20" s="189">
        <v>-328708520.87</v>
      </c>
      <c r="J20" s="189">
        <v>48225881.840000004</v>
      </c>
      <c r="K20" s="189">
        <v>46041906.210000001</v>
      </c>
      <c r="L20" s="189">
        <v>122815081.38</v>
      </c>
      <c r="M20" s="189">
        <v>74169222.090000004</v>
      </c>
      <c r="N20" s="189">
        <v>88241903.900000006</v>
      </c>
      <c r="O20" s="189">
        <v>73410026.049999997</v>
      </c>
      <c r="P20" s="189">
        <v>23104689.489999998</v>
      </c>
      <c r="Q20" s="189">
        <v>72899104.840000004</v>
      </c>
      <c r="R20" s="189">
        <v>25656418.350000001</v>
      </c>
      <c r="S20" s="189">
        <v>65515166.060000002</v>
      </c>
      <c r="T20" s="189">
        <v>43771273.57</v>
      </c>
      <c r="U20" s="189">
        <v>246400883.22999999</v>
      </c>
      <c r="V20" s="189">
        <v>190215038.88999999</v>
      </c>
      <c r="W20" s="189">
        <v>132544807.16</v>
      </c>
      <c r="X20" s="189">
        <v>82201666.730000004</v>
      </c>
      <c r="Y20" s="189">
        <v>228011728.59</v>
      </c>
      <c r="Z20" s="189">
        <v>156771233.69</v>
      </c>
      <c r="AA20" s="189">
        <v>108842031.06999999</v>
      </c>
      <c r="AB20" s="189">
        <v>62873104.07</v>
      </c>
      <c r="AC20" s="189">
        <v>164244470.12</v>
      </c>
      <c r="AD20" s="189">
        <v>111865149.25</v>
      </c>
      <c r="AE20" s="189">
        <v>71198681.390000001</v>
      </c>
      <c r="AF20" s="189">
        <v>34692464.909999996</v>
      </c>
      <c r="AG20" s="189">
        <v>74836620.569999993</v>
      </c>
      <c r="AH20" s="189">
        <v>54225535.869999997</v>
      </c>
      <c r="AI20" s="189">
        <v>32663366.629999999</v>
      </c>
      <c r="AJ20" s="189">
        <v>15972763.1</v>
      </c>
      <c r="AK20" s="189">
        <v>47702286.100000001</v>
      </c>
      <c r="AL20" s="189">
        <v>33456033.960000001</v>
      </c>
      <c r="AM20" s="189">
        <v>19682345.469999999</v>
      </c>
      <c r="AN20" s="189">
        <v>31677235.530000001</v>
      </c>
      <c r="AO20" s="189">
        <v>14683477.390000001</v>
      </c>
      <c r="AP20" s="189">
        <v>0</v>
      </c>
    </row>
    <row r="21" spans="1:42" x14ac:dyDescent="0.25">
      <c r="A21" s="189" t="s">
        <v>208</v>
      </c>
      <c r="B21" s="189">
        <v>15133569.76</v>
      </c>
      <c r="C21" s="189">
        <v>14500196.6</v>
      </c>
      <c r="D21" s="189">
        <v>744594.92</v>
      </c>
      <c r="E21" s="189">
        <v>722577953.07000005</v>
      </c>
      <c r="F21" s="189">
        <v>-576560183.99000001</v>
      </c>
      <c r="G21" s="189">
        <v>-265614435.97999999</v>
      </c>
      <c r="H21" s="189">
        <v>262534959.41</v>
      </c>
      <c r="I21" s="189">
        <v>-106815889.16</v>
      </c>
      <c r="J21" s="189">
        <v>-90689967.890000001</v>
      </c>
      <c r="K21" s="189">
        <v>-34256201.93</v>
      </c>
      <c r="L21" s="189">
        <v>43785111.240000002</v>
      </c>
      <c r="M21" s="189">
        <v>-142947603.47</v>
      </c>
      <c r="N21" s="189">
        <v>-62594034.560000002</v>
      </c>
      <c r="O21" s="189">
        <v>-35831209.189999998</v>
      </c>
      <c r="P21" s="189">
        <v>2402370.3199999998</v>
      </c>
      <c r="Q21" s="189">
        <v>-55897456.039999999</v>
      </c>
      <c r="R21" s="189">
        <v>-47476042.93</v>
      </c>
      <c r="S21" s="189">
        <v>-779889.63</v>
      </c>
      <c r="T21" s="189">
        <v>1824771.94</v>
      </c>
      <c r="U21" s="189">
        <v>14020132.73</v>
      </c>
      <c r="V21" s="189">
        <v>17232109.739999998</v>
      </c>
      <c r="W21" s="189">
        <v>20461778.809999999</v>
      </c>
      <c r="X21" s="189">
        <v>12095067.09</v>
      </c>
      <c r="Y21" s="189">
        <v>38045914.329999998</v>
      </c>
      <c r="Z21" s="189">
        <v>24605092.129999999</v>
      </c>
      <c r="AA21" s="189">
        <v>18381051.219999999</v>
      </c>
      <c r="AB21" s="189">
        <v>11846042.4</v>
      </c>
      <c r="AC21" s="189">
        <v>33366594.960000001</v>
      </c>
      <c r="AD21" s="189">
        <v>24465797.800000001</v>
      </c>
      <c r="AE21" s="189">
        <v>12803545.199999999</v>
      </c>
      <c r="AF21" s="189">
        <v>5628301.4500000002</v>
      </c>
      <c r="AG21" s="189">
        <v>4737191.2</v>
      </c>
      <c r="AH21" s="189">
        <v>3701314.39</v>
      </c>
      <c r="AI21" s="189">
        <v>1476836.29</v>
      </c>
      <c r="AJ21" s="189">
        <v>155235.70000000001</v>
      </c>
      <c r="AK21" s="189">
        <v>3224077.55</v>
      </c>
      <c r="AL21" s="189">
        <v>2900052.84</v>
      </c>
      <c r="AM21" s="189">
        <v>1720415.1</v>
      </c>
      <c r="AN21" s="189">
        <v>1422490.69</v>
      </c>
      <c r="AO21" s="189">
        <v>0</v>
      </c>
      <c r="AP21" s="189">
        <v>0</v>
      </c>
    </row>
    <row r="22" spans="1:42" x14ac:dyDescent="0.25">
      <c r="A22" s="189" t="s">
        <v>209</v>
      </c>
      <c r="B22" s="189">
        <v>-1847988476.24</v>
      </c>
      <c r="C22" s="189">
        <v>-1308525524.96</v>
      </c>
      <c r="D22" s="189">
        <v>-445927998.26999998</v>
      </c>
      <c r="E22" s="189">
        <v>-18184307477.130001</v>
      </c>
      <c r="F22" s="189">
        <v>-2282291733.3000002</v>
      </c>
      <c r="G22" s="189">
        <v>-830012475.75</v>
      </c>
      <c r="H22" s="189">
        <v>-348705.07</v>
      </c>
      <c r="I22" s="189">
        <v>-221892631.71000001</v>
      </c>
      <c r="J22" s="189">
        <v>138915849.72999999</v>
      </c>
      <c r="K22" s="189">
        <v>80298108.140000001</v>
      </c>
      <c r="L22" s="189">
        <v>79029970.140000001</v>
      </c>
      <c r="M22" s="189">
        <v>217116825.56</v>
      </c>
      <c r="N22" s="189">
        <v>150835938.46000001</v>
      </c>
      <c r="O22" s="189">
        <v>109241235.23999999</v>
      </c>
      <c r="P22" s="189">
        <v>20702319.170000002</v>
      </c>
      <c r="Q22" s="189">
        <v>128796560.88</v>
      </c>
      <c r="R22" s="189">
        <v>73132461.280000001</v>
      </c>
      <c r="S22" s="189">
        <v>66295055.689999998</v>
      </c>
      <c r="T22" s="189">
        <v>41946501.630000003</v>
      </c>
      <c r="U22" s="189">
        <v>232380750.5</v>
      </c>
      <c r="V22" s="189">
        <v>172982929.15000001</v>
      </c>
      <c r="W22" s="189">
        <v>112083028.34999999</v>
      </c>
      <c r="X22" s="189">
        <v>70106599.640000001</v>
      </c>
      <c r="Y22" s="189">
        <v>189965814.25999999</v>
      </c>
      <c r="Z22" s="189">
        <v>132166141.56</v>
      </c>
      <c r="AA22" s="189">
        <v>90460979.849999994</v>
      </c>
      <c r="AB22" s="189">
        <v>51027061.670000002</v>
      </c>
      <c r="AC22" s="189">
        <v>130877875.16</v>
      </c>
      <c r="AD22" s="189">
        <v>87399351.450000003</v>
      </c>
      <c r="AE22" s="189">
        <v>58395136.189999998</v>
      </c>
      <c r="AF22" s="189">
        <v>29064163.460000001</v>
      </c>
      <c r="AG22" s="189">
        <v>70099429.370000005</v>
      </c>
      <c r="AH22" s="189">
        <v>50524221.479999997</v>
      </c>
      <c r="AI22" s="189">
        <v>31186530.34</v>
      </c>
      <c r="AJ22" s="189">
        <v>15817527.4</v>
      </c>
      <c r="AK22" s="189">
        <v>44478208.549999997</v>
      </c>
      <c r="AL22" s="189">
        <v>30555981.120000001</v>
      </c>
      <c r="AM22" s="189">
        <v>17961930.370000001</v>
      </c>
      <c r="AN22" s="189">
        <v>30254744.84</v>
      </c>
      <c r="AO22" s="189">
        <v>14683477.390000001</v>
      </c>
      <c r="AP22" s="189">
        <v>0</v>
      </c>
    </row>
    <row r="23" spans="1:42" x14ac:dyDescent="0.25">
      <c r="A23" s="189" t="s">
        <v>210</v>
      </c>
      <c r="B23" s="189">
        <v>-1489483659.4000001</v>
      </c>
      <c r="C23" s="189">
        <v>-1103906448.0599999</v>
      </c>
      <c r="D23" s="189">
        <v>-307241753.37</v>
      </c>
      <c r="E23" s="189">
        <v>-13878044830.01</v>
      </c>
      <c r="F23" s="189">
        <v>-1651607901.51</v>
      </c>
      <c r="G23" s="189">
        <v>-636765560.50999999</v>
      </c>
      <c r="H23" s="189">
        <v>124792016.84</v>
      </c>
      <c r="I23" s="189">
        <v>554759227.42999995</v>
      </c>
      <c r="J23" s="189">
        <v>492989813.5</v>
      </c>
      <c r="K23" s="189">
        <v>284383918.86000001</v>
      </c>
      <c r="L23" s="189">
        <v>114739272.68000001</v>
      </c>
      <c r="M23" s="189">
        <v>573027173.33000004</v>
      </c>
      <c r="N23" s="189">
        <v>377047654.75999999</v>
      </c>
      <c r="O23" s="189">
        <v>254730903.08000001</v>
      </c>
      <c r="P23" s="189">
        <v>95382792.519999996</v>
      </c>
      <c r="Q23" s="189">
        <v>364029509.12</v>
      </c>
      <c r="R23" s="189">
        <v>218151099.27000001</v>
      </c>
      <c r="S23" s="189">
        <v>151892777.05000001</v>
      </c>
      <c r="T23" s="189">
        <v>85710345.329999998</v>
      </c>
      <c r="U23" s="189">
        <v>255009694.81999999</v>
      </c>
      <c r="V23" s="189">
        <v>184308944.12</v>
      </c>
      <c r="W23" s="189">
        <v>116698843.54000001</v>
      </c>
      <c r="X23" s="189">
        <v>71119217.120000005</v>
      </c>
      <c r="Y23" s="189">
        <v>194194142.38999999</v>
      </c>
      <c r="Z23" s="189">
        <v>134094193.90000001</v>
      </c>
      <c r="AA23" s="189">
        <v>90676302.959999993</v>
      </c>
      <c r="AB23" s="189">
        <v>51189193.670000002</v>
      </c>
      <c r="AC23" s="189">
        <v>131121130.75</v>
      </c>
      <c r="AD23" s="189">
        <v>87399351.450000003</v>
      </c>
      <c r="AE23" s="189">
        <v>58395136.189999998</v>
      </c>
      <c r="AF23" s="189">
        <v>29064163.460000001</v>
      </c>
      <c r="AG23" s="189">
        <v>70099429.370000005</v>
      </c>
      <c r="AH23" s="189">
        <v>50524221.479999997</v>
      </c>
      <c r="AI23" s="189">
        <v>31186530.34</v>
      </c>
      <c r="AJ23" s="189">
        <v>15817527.4</v>
      </c>
      <c r="AK23" s="189">
        <v>44470003.759999998</v>
      </c>
      <c r="AL23" s="189">
        <v>30547776.329999998</v>
      </c>
      <c r="AM23" s="189">
        <v>17954357.43</v>
      </c>
      <c r="AN23" s="189">
        <v>30253798.940000001</v>
      </c>
      <c r="AO23" s="189">
        <v>14691721.76</v>
      </c>
      <c r="AP23" s="189">
        <v>0</v>
      </c>
    </row>
    <row r="24" spans="1:42" x14ac:dyDescent="0.25">
      <c r="A24" s="189" t="s">
        <v>211</v>
      </c>
      <c r="B24" s="189">
        <v>-358504816.83999997</v>
      </c>
      <c r="C24" s="189">
        <v>-204619076.90000001</v>
      </c>
      <c r="D24" s="189">
        <v>-138686244.90000001</v>
      </c>
      <c r="E24" s="189">
        <v>-4306262647.1199999</v>
      </c>
      <c r="F24" s="189">
        <v>-630683831.78999996</v>
      </c>
      <c r="G24" s="189">
        <v>-193246915.24000001</v>
      </c>
      <c r="H24" s="189">
        <v>-125140721.91</v>
      </c>
      <c r="I24" s="189">
        <v>-776651859.13999999</v>
      </c>
      <c r="J24" s="189">
        <v>-354073963.76999998</v>
      </c>
      <c r="K24" s="189">
        <v>-204085810.72</v>
      </c>
      <c r="L24" s="189">
        <v>-35709302.539999999</v>
      </c>
      <c r="M24" s="189">
        <v>-355910347.76999998</v>
      </c>
      <c r="N24" s="189">
        <v>-226211716.30000001</v>
      </c>
      <c r="O24" s="189">
        <v>-145489667.84</v>
      </c>
      <c r="P24" s="189">
        <v>-74680473.349999994</v>
      </c>
      <c r="Q24" s="189">
        <v>-235232948.24000001</v>
      </c>
      <c r="R24" s="189">
        <v>-145018637.99000001</v>
      </c>
      <c r="S24" s="189">
        <v>-85597721.359999999</v>
      </c>
      <c r="T24" s="189">
        <v>-43763843.700000003</v>
      </c>
      <c r="U24" s="189">
        <v>-22628944.32</v>
      </c>
      <c r="V24" s="189">
        <v>-11326014.970000001</v>
      </c>
      <c r="W24" s="189">
        <v>-4615815.1900000004</v>
      </c>
      <c r="X24" s="189">
        <v>-1012617.48</v>
      </c>
      <c r="Y24" s="189">
        <v>-4228328.13</v>
      </c>
      <c r="Z24" s="189">
        <v>-1928052.34</v>
      </c>
      <c r="AA24" s="189">
        <v>-215323.11</v>
      </c>
      <c r="AB24" s="189">
        <v>-162132</v>
      </c>
      <c r="AC24" s="189">
        <v>-243255.59</v>
      </c>
      <c r="AD24" s="189">
        <v>0</v>
      </c>
      <c r="AE24" s="189">
        <v>0</v>
      </c>
      <c r="AF24" s="189">
        <v>0</v>
      </c>
      <c r="AG24" s="189">
        <v>0</v>
      </c>
      <c r="AH24" s="189">
        <v>0</v>
      </c>
      <c r="AI24" s="189">
        <v>0</v>
      </c>
      <c r="AJ24" s="189">
        <v>0</v>
      </c>
      <c r="AK24" s="189">
        <v>8204.7900000000009</v>
      </c>
      <c r="AL24" s="189">
        <v>8204.7900000000009</v>
      </c>
      <c r="AM24" s="189">
        <v>7572.94</v>
      </c>
      <c r="AN24" s="189">
        <v>945.9</v>
      </c>
      <c r="AO24" s="189">
        <v>-8244.3700000000008</v>
      </c>
      <c r="AP24" s="189">
        <v>0</v>
      </c>
    </row>
    <row r="25" spans="1:42" x14ac:dyDescent="0.25">
      <c r="A25" s="189" t="s">
        <v>212</v>
      </c>
    </row>
    <row r="26" spans="1:42" x14ac:dyDescent="0.25">
      <c r="A26" s="189" t="s">
        <v>213</v>
      </c>
      <c r="B26" s="189">
        <v>-0.37340000000000001</v>
      </c>
      <c r="C26" s="189">
        <v>-0.2767</v>
      </c>
      <c r="D26" s="189">
        <v>-0.08</v>
      </c>
      <c r="E26" s="189">
        <v>-3.4815</v>
      </c>
      <c r="F26" s="189">
        <v>-0.41439999999999999</v>
      </c>
      <c r="G26" s="189">
        <v>-0.32</v>
      </c>
      <c r="H26" s="189">
        <v>0.06</v>
      </c>
      <c r="I26" s="189">
        <v>0.28999999999999998</v>
      </c>
      <c r="J26" s="189">
        <v>0.26</v>
      </c>
      <c r="K26" s="189">
        <v>0.15</v>
      </c>
      <c r="L26" s="189">
        <v>0.06</v>
      </c>
      <c r="M26" s="189">
        <v>0.31</v>
      </c>
      <c r="N26" s="189">
        <v>0.2</v>
      </c>
      <c r="O26" s="189">
        <v>0.1376</v>
      </c>
      <c r="P26" s="189">
        <v>0.11</v>
      </c>
      <c r="Q26" s="189">
        <v>0.44</v>
      </c>
      <c r="R26" s="189">
        <v>0.27</v>
      </c>
      <c r="S26" s="189">
        <v>0.18870000000000001</v>
      </c>
      <c r="T26" s="189">
        <v>0.10730000000000001</v>
      </c>
      <c r="U26" s="189">
        <v>0.32</v>
      </c>
      <c r="V26" s="189">
        <v>0.23</v>
      </c>
      <c r="W26" s="189">
        <v>0.15</v>
      </c>
      <c r="X26" s="189">
        <v>0.17</v>
      </c>
      <c r="Y26" s="189">
        <v>0.46</v>
      </c>
      <c r="Z26" s="189">
        <v>0.32</v>
      </c>
      <c r="AA26" s="189">
        <v>0.22</v>
      </c>
      <c r="AB26" s="189">
        <v>0.23</v>
      </c>
      <c r="AC26" s="189">
        <v>0.6</v>
      </c>
      <c r="AD26" s="189">
        <v>0.4</v>
      </c>
      <c r="AE26" s="189">
        <v>0.27</v>
      </c>
      <c r="AF26" s="189">
        <v>0.28999999999999998</v>
      </c>
      <c r="AG26" s="189">
        <v>0.84</v>
      </c>
      <c r="AH26" s="189">
        <v>0.65</v>
      </c>
      <c r="AI26" s="189">
        <v>0.42</v>
      </c>
      <c r="AJ26" s="189">
        <v>0.21</v>
      </c>
      <c r="AK26" s="189">
        <v>0.59</v>
      </c>
      <c r="AL26" s="189">
        <v>0.45</v>
      </c>
      <c r="AM26" s="189">
        <v>0.24</v>
      </c>
      <c r="AN26" s="189">
        <v>0.56999999999999995</v>
      </c>
      <c r="AO26" s="189">
        <v>0.28999999999999998</v>
      </c>
      <c r="AP26" s="189">
        <v>0</v>
      </c>
    </row>
    <row r="27" spans="1:42" x14ac:dyDescent="0.25">
      <c r="A27" s="189" t="s">
        <v>214</v>
      </c>
      <c r="B27" s="189">
        <v>-0.37340000000000001</v>
      </c>
      <c r="C27" s="189">
        <v>-0.2767</v>
      </c>
      <c r="D27" s="189">
        <v>-0.08</v>
      </c>
      <c r="E27" s="189">
        <v>-3.4815</v>
      </c>
      <c r="F27" s="189">
        <v>-0.41439999999999999</v>
      </c>
      <c r="G27" s="189">
        <v>-0.32</v>
      </c>
      <c r="H27" s="189">
        <v>0.06</v>
      </c>
      <c r="I27" s="189">
        <v>0.28999999999999998</v>
      </c>
      <c r="J27" s="189">
        <v>0.26</v>
      </c>
      <c r="K27" s="189">
        <v>0.15</v>
      </c>
      <c r="L27" s="189">
        <v>0.06</v>
      </c>
      <c r="M27" s="189">
        <v>0.3</v>
      </c>
      <c r="N27" s="189">
        <v>0.2</v>
      </c>
      <c r="O27" s="189">
        <v>0.1361</v>
      </c>
      <c r="P27" s="189">
        <v>0.11</v>
      </c>
      <c r="Q27" s="189">
        <v>0.43</v>
      </c>
      <c r="R27" s="189">
        <v>0.26</v>
      </c>
      <c r="S27" s="189">
        <v>0.18429999999999999</v>
      </c>
      <c r="T27" s="189">
        <v>0.1043</v>
      </c>
      <c r="U27" s="189">
        <v>0.31</v>
      </c>
      <c r="V27" s="189">
        <v>0.23</v>
      </c>
      <c r="W27" s="189">
        <v>0.14000000000000001</v>
      </c>
      <c r="X27" s="189">
        <v>0.17</v>
      </c>
      <c r="Y27" s="189">
        <v>0.46</v>
      </c>
      <c r="Z27" s="189">
        <v>0.32</v>
      </c>
      <c r="AA27" s="189">
        <v>0.22</v>
      </c>
      <c r="AB27" s="189">
        <v>0.23</v>
      </c>
      <c r="AC27" s="189">
        <v>0.6</v>
      </c>
      <c r="AD27" s="189">
        <v>0.4</v>
      </c>
      <c r="AE27" s="189">
        <v>0.27</v>
      </c>
      <c r="AF27" s="189">
        <v>0.28999999999999998</v>
      </c>
      <c r="AG27" s="189">
        <v>0.84</v>
      </c>
      <c r="AH27" s="189">
        <v>0.65</v>
      </c>
      <c r="AI27" s="189">
        <v>0.42</v>
      </c>
      <c r="AJ27" s="189">
        <v>0.21</v>
      </c>
      <c r="AK27" s="189">
        <v>0.59</v>
      </c>
      <c r="AL27" s="189">
        <v>0.45</v>
      </c>
      <c r="AM27" s="189">
        <v>0.24</v>
      </c>
      <c r="AN27" s="189">
        <v>0.56999999999999995</v>
      </c>
      <c r="AO27" s="189">
        <v>0.28999999999999998</v>
      </c>
      <c r="AP27" s="189">
        <v>0</v>
      </c>
    </row>
    <row r="28" spans="1:42" x14ac:dyDescent="0.25">
      <c r="A28" s="189" t="s">
        <v>215</v>
      </c>
      <c r="B28" s="189">
        <v>88495907.140000001</v>
      </c>
      <c r="C28" s="189">
        <v>-80204021.849999994</v>
      </c>
      <c r="D28" s="189">
        <v>-89813584.640000001</v>
      </c>
      <c r="E28" s="189">
        <v>-118301794.40000001</v>
      </c>
      <c r="F28" s="189">
        <v>-51802138.450000003</v>
      </c>
      <c r="G28" s="189">
        <v>-22308673.710000001</v>
      </c>
      <c r="H28" s="189">
        <v>-3121865.4</v>
      </c>
      <c r="I28" s="189">
        <v>26934484.449999999</v>
      </c>
      <c r="J28" s="189">
        <v>15453.96</v>
      </c>
      <c r="K28" s="189">
        <v>-6346978.8099999996</v>
      </c>
      <c r="L28" s="189">
        <v>-8058486.3799999999</v>
      </c>
      <c r="M28" s="189">
        <v>28543786.73</v>
      </c>
      <c r="N28" s="189">
        <v>16279182.84</v>
      </c>
      <c r="O28" s="189">
        <v>-1886411.11</v>
      </c>
      <c r="P28" s="189">
        <v>341994.55</v>
      </c>
      <c r="Q28" s="189">
        <v>498719.46</v>
      </c>
      <c r="R28" s="189">
        <v>1644919.9</v>
      </c>
      <c r="S28" s="189">
        <v>1001254.97</v>
      </c>
      <c r="T28" s="189">
        <v>1198452.1299999999</v>
      </c>
      <c r="U28" s="189">
        <v>-1102364.57</v>
      </c>
      <c r="V28" s="189">
        <v>-780487.57</v>
      </c>
      <c r="W28" s="189">
        <v>-556142.05000000005</v>
      </c>
      <c r="X28" s="189">
        <v>107849.03</v>
      </c>
      <c r="Y28" s="189">
        <v>-102998.38</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row>
    <row r="29" spans="1:42" x14ac:dyDescent="0.25">
      <c r="A29" s="189" t="s">
        <v>216</v>
      </c>
      <c r="B29" s="189">
        <v>-1759492569.0999999</v>
      </c>
      <c r="C29" s="189">
        <v>-1388729546.8099999</v>
      </c>
      <c r="D29" s="189">
        <v>-535741582.91000003</v>
      </c>
      <c r="E29" s="189">
        <v>-18302609271.529999</v>
      </c>
      <c r="F29" s="189">
        <v>-2334093871.75</v>
      </c>
      <c r="G29" s="189">
        <v>-852321149.46000004</v>
      </c>
      <c r="H29" s="189">
        <v>-3470570.47</v>
      </c>
      <c r="I29" s="189">
        <v>-194958147.25999999</v>
      </c>
      <c r="J29" s="189">
        <v>138931303.69</v>
      </c>
      <c r="K29" s="189">
        <v>73951129.329999998</v>
      </c>
      <c r="L29" s="189">
        <v>70971483.760000005</v>
      </c>
      <c r="M29" s="189">
        <v>245660612.28999999</v>
      </c>
      <c r="N29" s="189">
        <v>167115121.30000001</v>
      </c>
      <c r="O29" s="189">
        <v>107354824.13</v>
      </c>
      <c r="P29" s="189">
        <v>21044313.719999999</v>
      </c>
      <c r="Q29" s="189">
        <v>129295280.34</v>
      </c>
      <c r="R29" s="189">
        <v>74777381.180000007</v>
      </c>
      <c r="S29" s="189">
        <v>67296310.659999996</v>
      </c>
      <c r="T29" s="189">
        <v>43144953.759999998</v>
      </c>
      <c r="U29" s="189">
        <v>231278385.93000001</v>
      </c>
      <c r="V29" s="189">
        <v>172202441.58000001</v>
      </c>
      <c r="W29" s="189">
        <v>111526886.3</v>
      </c>
      <c r="X29" s="189">
        <v>70214448.670000002</v>
      </c>
      <c r="Y29" s="189">
        <v>189862815.88</v>
      </c>
      <c r="Z29" s="189">
        <v>132166141.56</v>
      </c>
      <c r="AA29" s="189">
        <v>90460979.849999994</v>
      </c>
      <c r="AB29" s="189">
        <v>51027061.670000002</v>
      </c>
      <c r="AC29" s="189">
        <v>130877875.16</v>
      </c>
      <c r="AD29" s="189">
        <v>87399351.450000003</v>
      </c>
      <c r="AE29" s="189">
        <v>58395136.189999998</v>
      </c>
      <c r="AF29" s="189">
        <v>29064163.460000001</v>
      </c>
      <c r="AG29" s="189">
        <v>70099429.370000005</v>
      </c>
      <c r="AH29" s="189">
        <v>50524221.479999997</v>
      </c>
      <c r="AI29" s="189">
        <v>0</v>
      </c>
      <c r="AJ29" s="189">
        <v>15817527.4</v>
      </c>
      <c r="AK29" s="189">
        <v>44478208.549999997</v>
      </c>
      <c r="AL29" s="189">
        <v>30555981.120000001</v>
      </c>
      <c r="AM29" s="189">
        <v>0</v>
      </c>
      <c r="AN29" s="189">
        <v>30254744.84</v>
      </c>
      <c r="AO29" s="189">
        <v>14683477.390000001</v>
      </c>
      <c r="AP29" s="189">
        <v>0</v>
      </c>
    </row>
    <row r="30" spans="1:42" x14ac:dyDescent="0.25">
      <c r="A30" s="189" t="s">
        <v>217</v>
      </c>
      <c r="B30" s="189">
        <v>-1467724243.79</v>
      </c>
      <c r="C30" s="189">
        <v>-1139500244.3</v>
      </c>
      <c r="D30" s="189">
        <v>-358615972.72000003</v>
      </c>
      <c r="E30" s="189">
        <v>-13960487904.450001</v>
      </c>
      <c r="F30" s="189">
        <v>-1701866503.5</v>
      </c>
      <c r="G30" s="189">
        <v>-657888337.07000005</v>
      </c>
      <c r="H30" s="189">
        <v>121670151.44</v>
      </c>
      <c r="I30" s="189">
        <v>581693711.88</v>
      </c>
      <c r="J30" s="189">
        <v>493005267.45999998</v>
      </c>
      <c r="K30" s="189">
        <v>278036940.05000001</v>
      </c>
      <c r="L30" s="189">
        <v>106680786.3</v>
      </c>
      <c r="M30" s="189">
        <v>601570960.05999994</v>
      </c>
      <c r="N30" s="189">
        <v>393326837.60000002</v>
      </c>
      <c r="O30" s="189">
        <v>252844491.97</v>
      </c>
      <c r="P30" s="189">
        <v>95724787.069999993</v>
      </c>
      <c r="Q30" s="189">
        <v>364528228.57999998</v>
      </c>
      <c r="R30" s="189">
        <v>219796019.16999999</v>
      </c>
      <c r="S30" s="189">
        <v>152894032.02000001</v>
      </c>
      <c r="T30" s="189">
        <v>86908797.459999993</v>
      </c>
      <c r="U30" s="189">
        <v>253907330.25</v>
      </c>
      <c r="V30" s="189">
        <v>183528456.55000001</v>
      </c>
      <c r="W30" s="189">
        <v>116142701.48999999</v>
      </c>
      <c r="X30" s="189">
        <v>71227066.150000006</v>
      </c>
      <c r="Y30" s="189">
        <v>194091144.00999999</v>
      </c>
      <c r="Z30" s="189">
        <v>134094193.90000001</v>
      </c>
      <c r="AA30" s="189">
        <v>90676302.959999993</v>
      </c>
      <c r="AB30" s="189">
        <v>51189193.670000002</v>
      </c>
      <c r="AC30" s="189">
        <v>131121130.75</v>
      </c>
      <c r="AD30" s="189">
        <v>87399351.450000003</v>
      </c>
      <c r="AE30" s="189">
        <v>58395136.189999998</v>
      </c>
      <c r="AF30" s="189">
        <v>29064163.460000001</v>
      </c>
      <c r="AG30" s="189">
        <v>70099429.370000005</v>
      </c>
      <c r="AH30" s="189">
        <v>50524221.479999997</v>
      </c>
      <c r="AI30" s="189">
        <v>0</v>
      </c>
      <c r="AJ30" s="189">
        <v>15817527.4</v>
      </c>
      <c r="AK30" s="189">
        <v>44470003.759999998</v>
      </c>
      <c r="AL30" s="189">
        <v>30547776.329999998</v>
      </c>
      <c r="AM30" s="189">
        <v>0</v>
      </c>
      <c r="AN30" s="189">
        <v>30253798.940000001</v>
      </c>
      <c r="AO30" s="189">
        <v>14691721.76</v>
      </c>
      <c r="AP30" s="189">
        <v>0</v>
      </c>
    </row>
    <row r="31" spans="1:42" x14ac:dyDescent="0.25">
      <c r="A31" s="189" t="s">
        <v>218</v>
      </c>
      <c r="B31" s="189">
        <v>-291768325.31</v>
      </c>
      <c r="C31" s="189">
        <v>-249229302.50999999</v>
      </c>
      <c r="D31" s="189">
        <v>-177125610.19</v>
      </c>
      <c r="E31" s="189">
        <v>-4342121367.0799999</v>
      </c>
      <c r="F31" s="189">
        <v>-632227368.25</v>
      </c>
      <c r="G31" s="189">
        <v>-194432812.38999999</v>
      </c>
      <c r="H31" s="189">
        <v>-125140721.91</v>
      </c>
      <c r="I31" s="189">
        <v>-776651859.13999999</v>
      </c>
      <c r="J31" s="189">
        <v>-354073963.76999998</v>
      </c>
      <c r="K31" s="189">
        <v>-204085810.72</v>
      </c>
      <c r="L31" s="189">
        <v>-35709302.539999999</v>
      </c>
      <c r="M31" s="189">
        <v>-355910347.76999998</v>
      </c>
      <c r="N31" s="189">
        <v>-226211716.30000001</v>
      </c>
      <c r="O31" s="189">
        <v>-145489667.84</v>
      </c>
      <c r="P31" s="189">
        <v>-74680473.349999994</v>
      </c>
      <c r="Q31" s="189">
        <v>-235232948.24000001</v>
      </c>
      <c r="R31" s="189">
        <v>-145018637.99000001</v>
      </c>
      <c r="S31" s="189">
        <v>-85597721.359999999</v>
      </c>
      <c r="T31" s="189">
        <v>-43763843.700000003</v>
      </c>
      <c r="U31" s="189">
        <v>-22628944.32</v>
      </c>
      <c r="V31" s="189">
        <v>-11326014.970000001</v>
      </c>
      <c r="W31" s="189">
        <v>-4615815.1900000004</v>
      </c>
      <c r="X31" s="189">
        <v>-1012617.48</v>
      </c>
      <c r="Y31" s="189">
        <v>-4228328.13</v>
      </c>
      <c r="Z31" s="189">
        <v>-1928052.34</v>
      </c>
      <c r="AA31" s="189">
        <v>-215323.11</v>
      </c>
      <c r="AB31" s="189">
        <v>-162132</v>
      </c>
      <c r="AC31" s="189">
        <v>-243255.59</v>
      </c>
      <c r="AD31" s="189">
        <v>0</v>
      </c>
      <c r="AE31" s="189">
        <v>0</v>
      </c>
      <c r="AF31" s="189">
        <v>0</v>
      </c>
      <c r="AG31" s="189">
        <v>0</v>
      </c>
      <c r="AH31" s="189">
        <v>0</v>
      </c>
      <c r="AI31" s="189">
        <v>0</v>
      </c>
      <c r="AJ31" s="189">
        <v>0</v>
      </c>
      <c r="AK31" s="189">
        <v>8204.7900000000009</v>
      </c>
      <c r="AL31" s="189">
        <v>8204.7900000000009</v>
      </c>
      <c r="AM31" s="189">
        <v>0</v>
      </c>
      <c r="AN31" s="189">
        <v>945.9</v>
      </c>
      <c r="AO31" s="189">
        <v>-8244.3700000000008</v>
      </c>
      <c r="AP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P77"/>
  <sheetViews>
    <sheetView workbookViewId="0">
      <selection activeCell="A31" sqref="A31"/>
    </sheetView>
  </sheetViews>
  <sheetFormatPr defaultRowHeight="14.4" x14ac:dyDescent="0.25"/>
  <cols>
    <col min="1" max="1" width="57.77734375" style="189" bestFit="1" customWidth="1"/>
    <col min="2" max="4" width="13.88671875" style="189" hidden="1" customWidth="1"/>
    <col min="5" max="5" width="13.88671875" style="189" bestFit="1" customWidth="1"/>
    <col min="6" max="8" width="13.88671875" style="189" hidden="1" customWidth="1"/>
    <col min="9" max="9" width="13.88671875" style="189" bestFit="1" customWidth="1"/>
    <col min="10" max="10" width="12.77734375" style="189" hidden="1" customWidth="1"/>
    <col min="11" max="12" width="13.88671875" style="189" hidden="1" customWidth="1"/>
    <col min="13" max="13" width="13.88671875" style="189" bestFit="1" customWidth="1"/>
    <col min="14" max="14" width="12.77734375" style="189" hidden="1" customWidth="1"/>
    <col min="15" max="16" width="13.88671875" style="189" hidden="1" customWidth="1"/>
    <col min="17" max="17" width="13.88671875" style="189" bestFit="1" customWidth="1"/>
    <col min="18" max="20" width="13.88671875" style="189" hidden="1" customWidth="1"/>
    <col min="21" max="21" width="13.88671875" style="189" bestFit="1" customWidth="1"/>
    <col min="22" max="22" width="12.77734375" style="189" hidden="1" customWidth="1"/>
    <col min="23" max="24" width="13.88671875" style="189" hidden="1" customWidth="1"/>
    <col min="25" max="25" width="13.88671875" style="189" bestFit="1" customWidth="1"/>
    <col min="26" max="28" width="13.88671875" style="189" hidden="1" customWidth="1"/>
    <col min="29" max="29" width="13.88671875" style="189" bestFit="1" customWidth="1"/>
    <col min="30" max="32" width="13.88671875" style="189" hidden="1" customWidth="1"/>
    <col min="33" max="33" width="13.88671875" style="189" bestFit="1" customWidth="1"/>
    <col min="34" max="35" width="13.88671875" style="189" hidden="1" customWidth="1"/>
    <col min="36" max="36" width="12.77734375" style="189" hidden="1" customWidth="1"/>
    <col min="37" max="37" width="13.88671875" style="189" bestFit="1" customWidth="1"/>
    <col min="38" max="39" width="13.88671875" style="189" hidden="1" customWidth="1"/>
    <col min="40" max="40" width="13.88671875" style="189" bestFit="1" customWidth="1"/>
    <col min="41" max="41" width="12.77734375" style="189" bestFit="1" customWidth="1"/>
    <col min="42" max="42" width="9.5546875" style="189" hidden="1" customWidth="1"/>
    <col min="43" max="16384" width="8.88671875" style="189"/>
  </cols>
  <sheetData>
    <row r="1" spans="1:42" x14ac:dyDescent="0.25">
      <c r="A1" s="189">
        <v>300104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20081231</v>
      </c>
      <c r="AO1" s="189">
        <v>20071231</v>
      </c>
      <c r="AP1" s="189">
        <v>19700101</v>
      </c>
    </row>
    <row r="2" spans="1:42"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row>
    <row r="3" spans="1:42" x14ac:dyDescent="0.25">
      <c r="A3" s="189" t="s">
        <v>219</v>
      </c>
    </row>
    <row r="4" spans="1:42" x14ac:dyDescent="0.25">
      <c r="A4" s="189" t="s">
        <v>220</v>
      </c>
      <c r="B4" s="189">
        <v>1315751551.51</v>
      </c>
      <c r="C4" s="189">
        <v>958568433.19000006</v>
      </c>
      <c r="D4" s="189">
        <v>377926049.86000001</v>
      </c>
      <c r="E4" s="189">
        <v>5453436883.5900002</v>
      </c>
      <c r="F4" s="189">
        <v>4476235969.6300001</v>
      </c>
      <c r="G4" s="189">
        <v>3583676403.3600001</v>
      </c>
      <c r="H4" s="189">
        <v>2630848829.8299999</v>
      </c>
      <c r="I4" s="189">
        <v>14634188704.16</v>
      </c>
      <c r="J4" s="189">
        <v>11833407221.01</v>
      </c>
      <c r="K4" s="189">
        <v>7889998858.8400002</v>
      </c>
      <c r="L4" s="189">
        <v>2821414626.2600002</v>
      </c>
      <c r="M4" s="189">
        <v>10044744599.42</v>
      </c>
      <c r="N4" s="189">
        <v>5934236703.9200001</v>
      </c>
      <c r="O4" s="189">
        <v>3472644595.0900002</v>
      </c>
      <c r="P4" s="189">
        <v>1385540490.95</v>
      </c>
      <c r="Q4" s="189">
        <v>5829074513.6499996</v>
      </c>
      <c r="R4" s="189">
        <v>4047776079.9099998</v>
      </c>
      <c r="S4" s="189">
        <v>2289819189.4899998</v>
      </c>
      <c r="T4" s="189">
        <v>857350832.60000002</v>
      </c>
      <c r="U4" s="189">
        <v>1458402367.0699999</v>
      </c>
      <c r="V4" s="189">
        <v>802194781.51999998</v>
      </c>
      <c r="W4" s="189">
        <v>417553109.73000002</v>
      </c>
      <c r="X4" s="189">
        <v>132711309.73</v>
      </c>
      <c r="Y4" s="189">
        <v>543325957.38999999</v>
      </c>
      <c r="Z4" s="189">
        <v>332605024.97000003</v>
      </c>
      <c r="AA4" s="189">
        <v>239635028.49000001</v>
      </c>
      <c r="AB4" s="189">
        <v>159788004.53999999</v>
      </c>
      <c r="AC4" s="189">
        <v>381821132.93000001</v>
      </c>
      <c r="AD4" s="189">
        <v>267816515.18000001</v>
      </c>
      <c r="AE4" s="189">
        <v>161003561.84</v>
      </c>
      <c r="AF4" s="189">
        <v>44988308.93</v>
      </c>
      <c r="AG4" s="189">
        <v>184126602.47999999</v>
      </c>
      <c r="AH4" s="189">
        <v>102349288.7</v>
      </c>
      <c r="AI4" s="189">
        <v>77791983.689999998</v>
      </c>
      <c r="AJ4" s="189">
        <v>26411448.510000002</v>
      </c>
      <c r="AK4" s="189">
        <v>151211920.25</v>
      </c>
      <c r="AL4" s="189">
        <v>106072152.17</v>
      </c>
      <c r="AM4" s="189">
        <v>72838105.950000003</v>
      </c>
      <c r="AN4" s="189">
        <v>55148859.439999998</v>
      </c>
      <c r="AO4" s="189">
        <v>20703695.34</v>
      </c>
      <c r="AP4" s="189">
        <v>0</v>
      </c>
    </row>
    <row r="5" spans="1:42" x14ac:dyDescent="0.25">
      <c r="A5" s="189" t="s">
        <v>221</v>
      </c>
      <c r="B5" s="189">
        <v>118997517.25</v>
      </c>
      <c r="C5" s="189">
        <v>0</v>
      </c>
      <c r="D5" s="189">
        <v>0</v>
      </c>
      <c r="E5" s="189">
        <v>20404575.710000001</v>
      </c>
      <c r="F5" s="189">
        <v>20404575.710000001</v>
      </c>
      <c r="G5" s="189">
        <v>20404575.710000001</v>
      </c>
      <c r="H5" s="189">
        <v>4935395.8099999996</v>
      </c>
      <c r="I5" s="189">
        <v>30288787.690000001</v>
      </c>
      <c r="J5" s="189">
        <v>919803.41</v>
      </c>
      <c r="K5" s="189">
        <v>0</v>
      </c>
      <c r="L5" s="189">
        <v>0</v>
      </c>
      <c r="M5" s="189">
        <v>1127498.5</v>
      </c>
      <c r="N5" s="189">
        <v>0</v>
      </c>
      <c r="O5" s="189">
        <v>0</v>
      </c>
      <c r="P5" s="189">
        <v>0</v>
      </c>
      <c r="Q5" s="189">
        <v>186020.67</v>
      </c>
      <c r="R5" s="189">
        <v>12137715.6</v>
      </c>
      <c r="S5" s="189">
        <v>12043090</v>
      </c>
      <c r="T5" s="189">
        <v>0</v>
      </c>
      <c r="U5" s="189">
        <v>4507690.3499999996</v>
      </c>
      <c r="V5" s="189">
        <v>4050690.35</v>
      </c>
      <c r="W5" s="189">
        <v>174690.35</v>
      </c>
      <c r="X5" s="189">
        <v>174690.35</v>
      </c>
      <c r="Y5" s="189">
        <v>12190500</v>
      </c>
      <c r="Z5" s="189">
        <v>12172800</v>
      </c>
      <c r="AA5" s="189">
        <v>6814800</v>
      </c>
      <c r="AB5" s="189">
        <v>4111800</v>
      </c>
      <c r="AC5" s="189">
        <v>1537700</v>
      </c>
      <c r="AD5" s="189">
        <v>1537700</v>
      </c>
      <c r="AE5" s="189">
        <v>0</v>
      </c>
      <c r="AF5" s="189">
        <v>0</v>
      </c>
      <c r="AG5" s="189">
        <v>0</v>
      </c>
      <c r="AH5" s="189">
        <v>0</v>
      </c>
      <c r="AI5" s="189">
        <v>0</v>
      </c>
      <c r="AJ5" s="189">
        <v>0</v>
      </c>
      <c r="AK5" s="189">
        <v>0</v>
      </c>
      <c r="AL5" s="189">
        <v>0</v>
      </c>
      <c r="AM5" s="189">
        <v>0</v>
      </c>
      <c r="AN5" s="189">
        <v>0</v>
      </c>
      <c r="AO5" s="189">
        <v>0</v>
      </c>
      <c r="AP5" s="189">
        <v>0</v>
      </c>
    </row>
    <row r="6" spans="1:42" x14ac:dyDescent="0.25">
      <c r="A6" s="189" t="s">
        <v>222</v>
      </c>
      <c r="B6" s="189">
        <v>156739552.81</v>
      </c>
      <c r="C6" s="189">
        <v>172393232.74000001</v>
      </c>
      <c r="D6" s="189">
        <v>64387459.619999997</v>
      </c>
      <c r="E6" s="189">
        <v>1162302902.6300001</v>
      </c>
      <c r="F6" s="189">
        <v>858171870.33000004</v>
      </c>
      <c r="G6" s="189">
        <v>374225110.23000002</v>
      </c>
      <c r="H6" s="189">
        <v>778797096.79999995</v>
      </c>
      <c r="I6" s="189">
        <v>682734841.98000002</v>
      </c>
      <c r="J6" s="189">
        <v>1210361330.01</v>
      </c>
      <c r="K6" s="189">
        <v>326061122.76999998</v>
      </c>
      <c r="L6" s="189">
        <v>6673057.4699999997</v>
      </c>
      <c r="M6" s="189">
        <v>113285059.83</v>
      </c>
      <c r="N6" s="189">
        <v>253869228.66</v>
      </c>
      <c r="O6" s="189">
        <v>183112104.02000001</v>
      </c>
      <c r="P6" s="189">
        <v>78702023.219999999</v>
      </c>
      <c r="Q6" s="189">
        <v>139137661.24000001</v>
      </c>
      <c r="R6" s="189">
        <v>469630977.11000001</v>
      </c>
      <c r="S6" s="189">
        <v>81722926.719999999</v>
      </c>
      <c r="T6" s="189">
        <v>8238293.1900000004</v>
      </c>
      <c r="U6" s="189">
        <v>146426905.84</v>
      </c>
      <c r="V6" s="189">
        <v>193150184.37</v>
      </c>
      <c r="W6" s="189">
        <v>86510473.909999996</v>
      </c>
      <c r="X6" s="189">
        <v>151896449.80000001</v>
      </c>
      <c r="Y6" s="189">
        <v>109221818.91</v>
      </c>
      <c r="Z6" s="189">
        <v>84443750.650000006</v>
      </c>
      <c r="AA6" s="189">
        <v>81227728.739999995</v>
      </c>
      <c r="AB6" s="189">
        <v>59588271.689999998</v>
      </c>
      <c r="AC6" s="189">
        <v>23731303.149999999</v>
      </c>
      <c r="AD6" s="189">
        <v>21999435.829999998</v>
      </c>
      <c r="AE6" s="189">
        <v>9733777.9900000002</v>
      </c>
      <c r="AF6" s="189">
        <v>3616840.34</v>
      </c>
      <c r="AG6" s="189">
        <v>9908117.4199999999</v>
      </c>
      <c r="AH6" s="189">
        <v>6856519</v>
      </c>
      <c r="AI6" s="189">
        <v>2113491.69</v>
      </c>
      <c r="AJ6" s="189">
        <v>1416440.78</v>
      </c>
      <c r="AK6" s="189">
        <v>8863806.6300000008</v>
      </c>
      <c r="AL6" s="189">
        <v>8551397.5199999996</v>
      </c>
      <c r="AM6" s="189">
        <v>7963479.7800000003</v>
      </c>
      <c r="AN6" s="189">
        <v>843142.66</v>
      </c>
      <c r="AO6" s="189">
        <v>3578962.43</v>
      </c>
      <c r="AP6" s="189">
        <v>0</v>
      </c>
    </row>
    <row r="7" spans="1:42" x14ac:dyDescent="0.25">
      <c r="A7" s="189" t="s">
        <v>223</v>
      </c>
      <c r="B7" s="189">
        <v>1610065753.0899999</v>
      </c>
      <c r="C7" s="189">
        <v>1145916081.73</v>
      </c>
      <c r="D7" s="189">
        <v>452972279.19999999</v>
      </c>
      <c r="E7" s="189">
        <v>6686190978.7799997</v>
      </c>
      <c r="F7" s="189">
        <v>5399875744.6999998</v>
      </c>
      <c r="G7" s="189">
        <v>4019234054.0900002</v>
      </c>
      <c r="H7" s="189">
        <v>3283611843.3099999</v>
      </c>
      <c r="I7" s="189">
        <v>15777018767.950001</v>
      </c>
      <c r="J7" s="189">
        <v>13113995720.83</v>
      </c>
      <c r="K7" s="189">
        <v>8277506262.1899996</v>
      </c>
      <c r="L7" s="189">
        <v>2828087683.73</v>
      </c>
      <c r="M7" s="189">
        <v>10159157157.75</v>
      </c>
      <c r="N7" s="189">
        <v>6188105932.5799999</v>
      </c>
      <c r="O7" s="189">
        <v>3655756699.1100001</v>
      </c>
      <c r="P7" s="189">
        <v>1464242514.1700001</v>
      </c>
      <c r="Q7" s="189">
        <v>5968398195.5600004</v>
      </c>
      <c r="R7" s="189">
        <v>4529544772.6199999</v>
      </c>
      <c r="S7" s="189">
        <v>2383585206.21</v>
      </c>
      <c r="T7" s="189">
        <v>865589125.78999996</v>
      </c>
      <c r="U7" s="189">
        <v>1609336963.26</v>
      </c>
      <c r="V7" s="189">
        <v>999395656.24000001</v>
      </c>
      <c r="W7" s="189">
        <v>504238273.99000001</v>
      </c>
      <c r="X7" s="189">
        <v>284782449.88</v>
      </c>
      <c r="Y7" s="189">
        <v>664738276.29999995</v>
      </c>
      <c r="Z7" s="189">
        <v>429221575.62</v>
      </c>
      <c r="AA7" s="189">
        <v>327677557.23000002</v>
      </c>
      <c r="AB7" s="189">
        <v>223488076.22999999</v>
      </c>
      <c r="AC7" s="189">
        <v>407090136.07999998</v>
      </c>
      <c r="AD7" s="189">
        <v>291353651.00999999</v>
      </c>
      <c r="AE7" s="189">
        <v>170737339.83000001</v>
      </c>
      <c r="AF7" s="189">
        <v>48605149.270000003</v>
      </c>
      <c r="AG7" s="189">
        <v>194034719.90000001</v>
      </c>
      <c r="AH7" s="189">
        <v>109205807.7</v>
      </c>
      <c r="AI7" s="189">
        <v>79905475.379999995</v>
      </c>
      <c r="AJ7" s="189">
        <v>27827889.289999999</v>
      </c>
      <c r="AK7" s="189">
        <v>160075726.88</v>
      </c>
      <c r="AL7" s="189">
        <v>114623549.69</v>
      </c>
      <c r="AM7" s="189">
        <v>80801585.730000004</v>
      </c>
      <c r="AN7" s="189">
        <v>55992002.100000001</v>
      </c>
      <c r="AO7" s="189">
        <v>24282657.77</v>
      </c>
      <c r="AP7" s="189">
        <v>0</v>
      </c>
    </row>
    <row r="8" spans="1:42" x14ac:dyDescent="0.25">
      <c r="A8" s="189" t="s">
        <v>224</v>
      </c>
      <c r="B8" s="189">
        <v>1572239784.29</v>
      </c>
      <c r="C8" s="189">
        <v>1369524082.5999999</v>
      </c>
      <c r="D8" s="189">
        <v>695489706.69000006</v>
      </c>
      <c r="E8" s="189">
        <v>6883536068.8599997</v>
      </c>
      <c r="F8" s="189">
        <v>6400620812.7700005</v>
      </c>
      <c r="G8" s="189">
        <v>4856930049.8900003</v>
      </c>
      <c r="H8" s="189">
        <v>3226163987.21</v>
      </c>
      <c r="I8" s="189">
        <v>12721979030.65</v>
      </c>
      <c r="J8" s="189">
        <v>9859277182.4200001</v>
      </c>
      <c r="K8" s="189">
        <v>6100175876.6300001</v>
      </c>
      <c r="L8" s="189">
        <v>2158124310.1599998</v>
      </c>
      <c r="M8" s="189">
        <v>7562564647.71</v>
      </c>
      <c r="N8" s="189">
        <v>4320795613.9799995</v>
      </c>
      <c r="O8" s="189">
        <v>2450536318.8499999</v>
      </c>
      <c r="P8" s="189">
        <v>1357487093.24</v>
      </c>
      <c r="Q8" s="189">
        <v>4813753614.6199999</v>
      </c>
      <c r="R8" s="189">
        <v>3411004897.8099999</v>
      </c>
      <c r="S8" s="189">
        <v>1448256114.3099999</v>
      </c>
      <c r="T8" s="189">
        <v>521552124.00999999</v>
      </c>
      <c r="U8" s="189">
        <v>841089485.95000005</v>
      </c>
      <c r="V8" s="189">
        <v>356492827.24000001</v>
      </c>
      <c r="W8" s="189">
        <v>165158304.59999999</v>
      </c>
      <c r="X8" s="189">
        <v>74038001.140000001</v>
      </c>
      <c r="Y8" s="189">
        <v>247139262.31999999</v>
      </c>
      <c r="Z8" s="189">
        <v>178091340.78</v>
      </c>
      <c r="AA8" s="189">
        <v>88748929.980000004</v>
      </c>
      <c r="AB8" s="189">
        <v>35253037.789999999</v>
      </c>
      <c r="AC8" s="189">
        <v>72257891.370000005</v>
      </c>
      <c r="AD8" s="189">
        <v>69340493.969999999</v>
      </c>
      <c r="AE8" s="189">
        <v>38793568.270000003</v>
      </c>
      <c r="AF8" s="189">
        <v>12382402.16</v>
      </c>
      <c r="AG8" s="189">
        <v>21652705.170000002</v>
      </c>
      <c r="AH8" s="189">
        <v>20324480.210000001</v>
      </c>
      <c r="AI8" s="189">
        <v>13613789.18</v>
      </c>
      <c r="AJ8" s="189">
        <v>5075904.2699999996</v>
      </c>
      <c r="AK8" s="189">
        <v>18813125.079999998</v>
      </c>
      <c r="AL8" s="189">
        <v>11133500.42</v>
      </c>
      <c r="AM8" s="189">
        <v>8330506.8300000001</v>
      </c>
      <c r="AN8" s="189">
        <v>2162417.2000000002</v>
      </c>
      <c r="AO8" s="189">
        <v>2057419.7</v>
      </c>
      <c r="AP8" s="189">
        <v>0</v>
      </c>
    </row>
    <row r="9" spans="1:42" x14ac:dyDescent="0.25">
      <c r="A9" s="189" t="s">
        <v>225</v>
      </c>
      <c r="B9" s="189">
        <v>390822548.32999998</v>
      </c>
      <c r="C9" s="189">
        <v>269368739.95999998</v>
      </c>
      <c r="D9" s="189">
        <v>138366140.36000001</v>
      </c>
      <c r="E9" s="189">
        <v>1076404820.24</v>
      </c>
      <c r="F9" s="189">
        <v>749330501.59000003</v>
      </c>
      <c r="G9" s="189">
        <v>509291781.55000001</v>
      </c>
      <c r="H9" s="189">
        <v>261428176.31</v>
      </c>
      <c r="I9" s="189">
        <v>1098193418.77</v>
      </c>
      <c r="J9" s="189">
        <v>756657743.03999996</v>
      </c>
      <c r="K9" s="189">
        <v>459197574.50999999</v>
      </c>
      <c r="L9" s="189">
        <v>232441726.80000001</v>
      </c>
      <c r="M9" s="189">
        <v>595428336.04999995</v>
      </c>
      <c r="N9" s="189">
        <v>539646348.51999998</v>
      </c>
      <c r="O9" s="189">
        <v>286442983.83999997</v>
      </c>
      <c r="P9" s="189">
        <v>156351924.96000001</v>
      </c>
      <c r="Q9" s="189">
        <v>354345989.41000003</v>
      </c>
      <c r="R9" s="189">
        <v>237955524.22</v>
      </c>
      <c r="S9" s="189">
        <v>142928553.86000001</v>
      </c>
      <c r="T9" s="189">
        <v>67721022.340000004</v>
      </c>
      <c r="U9" s="189">
        <v>213450656.34999999</v>
      </c>
      <c r="V9" s="189">
        <v>139194837.38</v>
      </c>
      <c r="W9" s="189">
        <v>92832836.489999995</v>
      </c>
      <c r="X9" s="189">
        <v>46819114.950000003</v>
      </c>
      <c r="Y9" s="189">
        <v>123010909.59999999</v>
      </c>
      <c r="Z9" s="189">
        <v>96461181.109999999</v>
      </c>
      <c r="AA9" s="189">
        <v>63784447.700000003</v>
      </c>
      <c r="AB9" s="189">
        <v>35632997.799999997</v>
      </c>
      <c r="AC9" s="189">
        <v>64729605.990000002</v>
      </c>
      <c r="AD9" s="189">
        <v>54034847.109999999</v>
      </c>
      <c r="AE9" s="189">
        <v>30880606.510000002</v>
      </c>
      <c r="AF9" s="189">
        <v>13010331.09</v>
      </c>
      <c r="AG9" s="189">
        <v>28056164.039999999</v>
      </c>
      <c r="AH9" s="189">
        <v>17928666.629999999</v>
      </c>
      <c r="AI9" s="189">
        <v>10743889.789999999</v>
      </c>
      <c r="AJ9" s="189">
        <v>4752167.93</v>
      </c>
      <c r="AK9" s="189">
        <v>15422594.58</v>
      </c>
      <c r="AL9" s="189">
        <v>10896170.359999999</v>
      </c>
      <c r="AM9" s="189">
        <v>6458942.8099999996</v>
      </c>
      <c r="AN9" s="189">
        <v>6640624.7999999998</v>
      </c>
      <c r="AO9" s="189">
        <v>5294020.55</v>
      </c>
      <c r="AP9" s="189">
        <v>0</v>
      </c>
    </row>
    <row r="10" spans="1:42" x14ac:dyDescent="0.25">
      <c r="A10" s="189" t="s">
        <v>226</v>
      </c>
      <c r="B10" s="189">
        <v>42774973.729999997</v>
      </c>
      <c r="C10" s="189">
        <v>24369547.789999999</v>
      </c>
      <c r="D10" s="189">
        <v>18417124.379999999</v>
      </c>
      <c r="E10" s="189">
        <v>176840386.59</v>
      </c>
      <c r="F10" s="189">
        <v>165136004.59</v>
      </c>
      <c r="G10" s="189">
        <v>136215690.09</v>
      </c>
      <c r="H10" s="189">
        <v>66178271.240000002</v>
      </c>
      <c r="I10" s="189">
        <v>404567218.99000001</v>
      </c>
      <c r="J10" s="189">
        <v>341692556.95999998</v>
      </c>
      <c r="K10" s="189">
        <v>266228152.25</v>
      </c>
      <c r="L10" s="189">
        <v>106527170.68000001</v>
      </c>
      <c r="M10" s="189">
        <v>257620152.08000001</v>
      </c>
      <c r="N10" s="189">
        <v>218563281.84</v>
      </c>
      <c r="O10" s="189">
        <v>178866757.56999999</v>
      </c>
      <c r="P10" s="189">
        <v>54459316.240000002</v>
      </c>
      <c r="Q10" s="189">
        <v>144100574.77000001</v>
      </c>
      <c r="R10" s="189">
        <v>112178098.02</v>
      </c>
      <c r="S10" s="189">
        <v>85776354.230000004</v>
      </c>
      <c r="T10" s="189">
        <v>16208059.41</v>
      </c>
      <c r="U10" s="189">
        <v>61874503.840000004</v>
      </c>
      <c r="V10" s="189">
        <v>46624454.880000003</v>
      </c>
      <c r="W10" s="189">
        <v>35703015.369999997</v>
      </c>
      <c r="X10" s="189">
        <v>9323488.1699999999</v>
      </c>
      <c r="Y10" s="189">
        <v>47854755.829999998</v>
      </c>
      <c r="Z10" s="189">
        <v>39798717.840000004</v>
      </c>
      <c r="AA10" s="189">
        <v>28941815.129999999</v>
      </c>
      <c r="AB10" s="189">
        <v>10173717.119999999</v>
      </c>
      <c r="AC10" s="189">
        <v>37300168.57</v>
      </c>
      <c r="AD10" s="189">
        <v>18770827.010000002</v>
      </c>
      <c r="AE10" s="189">
        <v>13762239.02</v>
      </c>
      <c r="AF10" s="189">
        <v>4278026.2699999996</v>
      </c>
      <c r="AG10" s="189">
        <v>16689802.85</v>
      </c>
      <c r="AH10" s="189">
        <v>7813697.2000000002</v>
      </c>
      <c r="AI10" s="189">
        <v>2980797.39</v>
      </c>
      <c r="AJ10" s="189">
        <v>4185760.19</v>
      </c>
      <c r="AK10" s="189">
        <v>12810001.029999999</v>
      </c>
      <c r="AL10" s="189">
        <v>10043505.4</v>
      </c>
      <c r="AM10" s="189">
        <v>8211582.8200000003</v>
      </c>
      <c r="AN10" s="189">
        <v>1269233.1399999999</v>
      </c>
      <c r="AO10" s="189">
        <v>195713.93</v>
      </c>
      <c r="AP10" s="189">
        <v>0</v>
      </c>
    </row>
    <row r="11" spans="1:42" x14ac:dyDescent="0.25">
      <c r="A11" s="189" t="s">
        <v>227</v>
      </c>
      <c r="B11" s="189">
        <v>524708311.67000002</v>
      </c>
      <c r="C11" s="189">
        <v>292728150.75</v>
      </c>
      <c r="D11" s="189">
        <v>237108495.46000001</v>
      </c>
      <c r="E11" s="189">
        <v>1166220140.52</v>
      </c>
      <c r="F11" s="189">
        <v>858881227.28999996</v>
      </c>
      <c r="G11" s="189">
        <v>662557068.69000006</v>
      </c>
      <c r="H11" s="189">
        <v>590961188.50999999</v>
      </c>
      <c r="I11" s="189">
        <v>1889108245.05</v>
      </c>
      <c r="J11" s="189">
        <v>1038054897.72</v>
      </c>
      <c r="K11" s="189">
        <v>641396565.49000001</v>
      </c>
      <c r="L11" s="189">
        <v>236422018.37</v>
      </c>
      <c r="M11" s="189">
        <v>867842145.45000005</v>
      </c>
      <c r="N11" s="189">
        <v>299377170.94999999</v>
      </c>
      <c r="O11" s="189">
        <v>274829032.76999998</v>
      </c>
      <c r="P11" s="189">
        <v>176194616.05000001</v>
      </c>
      <c r="Q11" s="189">
        <v>422015282.80000001</v>
      </c>
      <c r="R11" s="189">
        <v>424704984.32999998</v>
      </c>
      <c r="S11" s="189">
        <v>245286729.65000001</v>
      </c>
      <c r="T11" s="189">
        <v>113120761.53</v>
      </c>
      <c r="U11" s="189">
        <v>317070920.52999997</v>
      </c>
      <c r="V11" s="189">
        <v>236425912.96000001</v>
      </c>
      <c r="W11" s="189">
        <v>148783400.19</v>
      </c>
      <c r="X11" s="189">
        <v>65754642.450000003</v>
      </c>
      <c r="Y11" s="189">
        <v>140533427.13</v>
      </c>
      <c r="Z11" s="189">
        <v>66173434.380000003</v>
      </c>
      <c r="AA11" s="189">
        <v>53834583.399999999</v>
      </c>
      <c r="AB11" s="189">
        <v>44936160.909999996</v>
      </c>
      <c r="AC11" s="189">
        <v>85897714.170000002</v>
      </c>
      <c r="AD11" s="189">
        <v>39624493.619999997</v>
      </c>
      <c r="AE11" s="189">
        <v>22523413.52</v>
      </c>
      <c r="AF11" s="189">
        <v>12073337.949999999</v>
      </c>
      <c r="AG11" s="189">
        <v>62150960.840000004</v>
      </c>
      <c r="AH11" s="189">
        <v>36175666.420000002</v>
      </c>
      <c r="AI11" s="189">
        <v>22017255.559999999</v>
      </c>
      <c r="AJ11" s="189">
        <v>8999279.0199999996</v>
      </c>
      <c r="AK11" s="189">
        <v>29626882.34</v>
      </c>
      <c r="AL11" s="189">
        <v>19843444.050000001</v>
      </c>
      <c r="AM11" s="189">
        <v>10701301.58</v>
      </c>
      <c r="AN11" s="189">
        <v>29425193.600000001</v>
      </c>
      <c r="AO11" s="189">
        <v>7276536.5199999996</v>
      </c>
      <c r="AP11" s="189">
        <v>0</v>
      </c>
    </row>
    <row r="12" spans="1:42" x14ac:dyDescent="0.25">
      <c r="A12" s="189" t="s">
        <v>228</v>
      </c>
      <c r="B12" s="189">
        <v>2569033492.1700001</v>
      </c>
      <c r="C12" s="189">
        <v>1998617074.78</v>
      </c>
      <c r="D12" s="189">
        <v>1108490546.54</v>
      </c>
      <c r="E12" s="189">
        <v>9326736362.0200005</v>
      </c>
      <c r="F12" s="189">
        <v>8214526257.0900002</v>
      </c>
      <c r="G12" s="189">
        <v>6204675458.1099997</v>
      </c>
      <c r="H12" s="189">
        <v>4024785747.9499998</v>
      </c>
      <c r="I12" s="189">
        <v>16845079536.91</v>
      </c>
      <c r="J12" s="189">
        <v>12570560725.57</v>
      </c>
      <c r="K12" s="189">
        <v>7988316646.75</v>
      </c>
      <c r="L12" s="189">
        <v>2763515226.0100002</v>
      </c>
      <c r="M12" s="189">
        <v>9283455281.2900009</v>
      </c>
      <c r="N12" s="189">
        <v>5378382415.29</v>
      </c>
      <c r="O12" s="189">
        <v>3190675093.0300002</v>
      </c>
      <c r="P12" s="189">
        <v>1744492950.49</v>
      </c>
      <c r="Q12" s="189">
        <v>5734215461.6000004</v>
      </c>
      <c r="R12" s="189">
        <v>4185843504.3800001</v>
      </c>
      <c r="S12" s="189">
        <v>1922247752.05</v>
      </c>
      <c r="T12" s="189">
        <v>718601967.28999996</v>
      </c>
      <c r="U12" s="189">
        <v>1433485566.6700001</v>
      </c>
      <c r="V12" s="189">
        <v>778738032.46000004</v>
      </c>
      <c r="W12" s="189">
        <v>442477556.64999998</v>
      </c>
      <c r="X12" s="189">
        <v>195935246.71000001</v>
      </c>
      <c r="Y12" s="189">
        <v>558538354.88</v>
      </c>
      <c r="Z12" s="189">
        <v>380524674.11000001</v>
      </c>
      <c r="AA12" s="189">
        <v>235309776.21000001</v>
      </c>
      <c r="AB12" s="189">
        <v>125995913.62</v>
      </c>
      <c r="AC12" s="189">
        <v>260185380.09999999</v>
      </c>
      <c r="AD12" s="189">
        <v>181770661.71000001</v>
      </c>
      <c r="AE12" s="189">
        <v>105959827.31999999</v>
      </c>
      <c r="AF12" s="189">
        <v>41744097.469999999</v>
      </c>
      <c r="AG12" s="189">
        <v>128549632.90000001</v>
      </c>
      <c r="AH12" s="189">
        <v>82242510.459999993</v>
      </c>
      <c r="AI12" s="189">
        <v>49355731.920000002</v>
      </c>
      <c r="AJ12" s="189">
        <v>23013111.41</v>
      </c>
      <c r="AK12" s="189">
        <v>76672603.030000001</v>
      </c>
      <c r="AL12" s="189">
        <v>51916620.229999997</v>
      </c>
      <c r="AM12" s="189">
        <v>33702334.039999999</v>
      </c>
      <c r="AN12" s="189">
        <v>39497468.740000002</v>
      </c>
      <c r="AO12" s="189">
        <v>14823690.699999999</v>
      </c>
      <c r="AP12" s="189">
        <v>0</v>
      </c>
    </row>
    <row r="13" spans="1:42" x14ac:dyDescent="0.25">
      <c r="A13" s="189" t="s">
        <v>229</v>
      </c>
      <c r="B13" s="189">
        <v>-958967739.08000004</v>
      </c>
      <c r="C13" s="189">
        <v>-852700993.04999995</v>
      </c>
      <c r="D13" s="189">
        <v>-655518267.34000003</v>
      </c>
      <c r="E13" s="189">
        <v>-2640545383.2399998</v>
      </c>
      <c r="F13" s="189">
        <v>-2814650512.3899999</v>
      </c>
      <c r="G13" s="189">
        <v>-2185441404.02</v>
      </c>
      <c r="H13" s="189">
        <v>-741173904.63999999</v>
      </c>
      <c r="I13" s="189">
        <v>-1068060768.96</v>
      </c>
      <c r="J13" s="189">
        <v>543434995.25999999</v>
      </c>
      <c r="K13" s="189">
        <v>289189615.44</v>
      </c>
      <c r="L13" s="189">
        <v>64572457.719999999</v>
      </c>
      <c r="M13" s="189">
        <v>875701876.46000004</v>
      </c>
      <c r="N13" s="189">
        <v>809723517.28999996</v>
      </c>
      <c r="O13" s="189">
        <v>465081606.07999998</v>
      </c>
      <c r="P13" s="189">
        <v>-280250436.31999999</v>
      </c>
      <c r="Q13" s="189">
        <v>234182733.96000001</v>
      </c>
      <c r="R13" s="189">
        <v>343701268.24000001</v>
      </c>
      <c r="S13" s="189">
        <v>461337454.16000003</v>
      </c>
      <c r="T13" s="189">
        <v>146987158.5</v>
      </c>
      <c r="U13" s="189">
        <v>175851396.59</v>
      </c>
      <c r="V13" s="189">
        <v>220657623.78</v>
      </c>
      <c r="W13" s="189">
        <v>61760717.340000004</v>
      </c>
      <c r="X13" s="189">
        <v>88847203.170000002</v>
      </c>
      <c r="Y13" s="189">
        <v>106199921.42</v>
      </c>
      <c r="Z13" s="189">
        <v>48696901.509999998</v>
      </c>
      <c r="AA13" s="189">
        <v>92367781.019999996</v>
      </c>
      <c r="AB13" s="189">
        <v>97492162.609999999</v>
      </c>
      <c r="AC13" s="189">
        <v>146904755.97999999</v>
      </c>
      <c r="AD13" s="189">
        <v>109582989.3</v>
      </c>
      <c r="AE13" s="189">
        <v>64777512.509999998</v>
      </c>
      <c r="AF13" s="189">
        <v>6861051.7999999998</v>
      </c>
      <c r="AG13" s="189">
        <v>65485087</v>
      </c>
      <c r="AH13" s="189">
        <v>26963297.239999998</v>
      </c>
      <c r="AI13" s="189">
        <v>30549743.460000001</v>
      </c>
      <c r="AJ13" s="189">
        <v>4814777.88</v>
      </c>
      <c r="AK13" s="189">
        <v>83403123.849999994</v>
      </c>
      <c r="AL13" s="189">
        <v>62706929.460000001</v>
      </c>
      <c r="AM13" s="189">
        <v>47099251.689999998</v>
      </c>
      <c r="AN13" s="189">
        <v>16494533.359999999</v>
      </c>
      <c r="AO13" s="189">
        <v>9458967.0700000003</v>
      </c>
      <c r="AP13" s="189">
        <v>0</v>
      </c>
    </row>
    <row r="14" spans="1:42" x14ac:dyDescent="0.25">
      <c r="A14" s="189" t="s">
        <v>230</v>
      </c>
    </row>
    <row r="15" spans="1:42" x14ac:dyDescent="0.25">
      <c r="A15" s="189" t="s">
        <v>231</v>
      </c>
      <c r="B15" s="189">
        <v>0</v>
      </c>
      <c r="C15" s="189">
        <v>0</v>
      </c>
      <c r="D15" s="189">
        <v>0</v>
      </c>
      <c r="E15" s="189">
        <v>27609163</v>
      </c>
      <c r="F15" s="189">
        <v>0</v>
      </c>
      <c r="G15" s="189">
        <v>0</v>
      </c>
      <c r="H15" s="189">
        <v>760000000</v>
      </c>
      <c r="I15" s="189">
        <v>0</v>
      </c>
      <c r="J15" s="189">
        <v>60000000</v>
      </c>
      <c r="K15" s="189">
        <v>60000000</v>
      </c>
      <c r="L15" s="189">
        <v>0</v>
      </c>
      <c r="M15" s="189">
        <v>56556521.109999999</v>
      </c>
      <c r="N15" s="189">
        <v>56556521.109999999</v>
      </c>
      <c r="O15" s="189">
        <v>56556521.109999999</v>
      </c>
      <c r="P15" s="189">
        <v>56556521.109999999</v>
      </c>
      <c r="Q15" s="189">
        <v>76548880</v>
      </c>
      <c r="R15" s="189">
        <v>4048880</v>
      </c>
      <c r="S15" s="189">
        <v>4048880</v>
      </c>
      <c r="T15" s="189">
        <v>4048880</v>
      </c>
      <c r="U15" s="189">
        <v>7000000</v>
      </c>
      <c r="V15" s="189">
        <v>7000000</v>
      </c>
      <c r="W15" s="189">
        <v>6000000</v>
      </c>
      <c r="X15" s="189">
        <v>0</v>
      </c>
      <c r="Y15" s="189">
        <v>10000000</v>
      </c>
      <c r="Z15" s="189">
        <v>10000000</v>
      </c>
      <c r="AA15" s="189">
        <v>10000000</v>
      </c>
      <c r="AB15" s="189">
        <v>0</v>
      </c>
      <c r="AC15" s="189">
        <v>50000000</v>
      </c>
      <c r="AD15" s="189">
        <v>0</v>
      </c>
      <c r="AE15" s="189">
        <v>0</v>
      </c>
      <c r="AF15" s="189">
        <v>0</v>
      </c>
      <c r="AG15" s="189">
        <v>0</v>
      </c>
      <c r="AH15" s="189">
        <v>0</v>
      </c>
      <c r="AI15" s="189">
        <v>0</v>
      </c>
      <c r="AJ15" s="189">
        <v>0</v>
      </c>
      <c r="AK15" s="189">
        <v>0</v>
      </c>
      <c r="AL15" s="189">
        <v>0</v>
      </c>
      <c r="AM15" s="189">
        <v>0</v>
      </c>
      <c r="AN15" s="189">
        <v>0</v>
      </c>
      <c r="AO15" s="189">
        <v>0</v>
      </c>
      <c r="AP15" s="189">
        <v>0</v>
      </c>
    </row>
    <row r="16" spans="1:42" x14ac:dyDescent="0.25">
      <c r="A16" s="189" t="s">
        <v>232</v>
      </c>
      <c r="B16" s="189">
        <v>68328072.590000004</v>
      </c>
      <c r="C16" s="189">
        <v>15339222.17</v>
      </c>
      <c r="D16" s="189">
        <v>1054824</v>
      </c>
      <c r="E16" s="189">
        <v>39334461.049999997</v>
      </c>
      <c r="F16" s="189">
        <v>2975990.56</v>
      </c>
      <c r="G16" s="189">
        <v>0</v>
      </c>
      <c r="H16" s="189">
        <v>0</v>
      </c>
      <c r="I16" s="189">
        <v>1085270.8500000001</v>
      </c>
      <c r="J16" s="189">
        <v>808194.14</v>
      </c>
      <c r="K16" s="189">
        <v>808194.14</v>
      </c>
      <c r="L16" s="189">
        <v>0</v>
      </c>
      <c r="M16" s="189">
        <v>0</v>
      </c>
      <c r="N16" s="189">
        <v>0</v>
      </c>
      <c r="O16" s="189">
        <v>0</v>
      </c>
      <c r="P16" s="189">
        <v>0</v>
      </c>
      <c r="Q16" s="189">
        <v>355399.71</v>
      </c>
      <c r="R16" s="189">
        <v>0</v>
      </c>
      <c r="S16" s="189">
        <v>0</v>
      </c>
      <c r="T16" s="189">
        <v>0</v>
      </c>
      <c r="U16" s="189">
        <v>3010000</v>
      </c>
      <c r="V16" s="189">
        <v>2110000</v>
      </c>
      <c r="W16" s="189">
        <v>2110000</v>
      </c>
      <c r="X16" s="189">
        <v>560000</v>
      </c>
      <c r="Y16" s="189">
        <v>1500000</v>
      </c>
      <c r="Z16" s="189">
        <v>1500000</v>
      </c>
      <c r="AA16" s="189">
        <v>1500000</v>
      </c>
      <c r="AB16" s="189">
        <v>0</v>
      </c>
      <c r="AC16" s="189">
        <v>7500000</v>
      </c>
      <c r="AD16" s="189">
        <v>0</v>
      </c>
      <c r="AE16" s="189">
        <v>0</v>
      </c>
      <c r="AF16" s="189">
        <v>0</v>
      </c>
      <c r="AG16" s="189">
        <v>0</v>
      </c>
      <c r="AH16" s="189">
        <v>0</v>
      </c>
      <c r="AI16" s="189">
        <v>0</v>
      </c>
      <c r="AJ16" s="189">
        <v>0</v>
      </c>
      <c r="AK16" s="189">
        <v>0</v>
      </c>
      <c r="AL16" s="189">
        <v>0</v>
      </c>
      <c r="AM16" s="189">
        <v>0</v>
      </c>
      <c r="AN16" s="189">
        <v>0</v>
      </c>
      <c r="AO16" s="189">
        <v>0</v>
      </c>
      <c r="AP16" s="189">
        <v>0</v>
      </c>
    </row>
    <row r="17" spans="1:42" x14ac:dyDescent="0.25">
      <c r="A17" s="189" t="s">
        <v>233</v>
      </c>
      <c r="B17" s="189">
        <v>979616.67</v>
      </c>
      <c r="C17" s="189">
        <v>267660.48</v>
      </c>
      <c r="D17" s="189">
        <v>109678.26</v>
      </c>
      <c r="E17" s="189">
        <v>789056.01</v>
      </c>
      <c r="F17" s="189">
        <v>586079.16</v>
      </c>
      <c r="G17" s="189">
        <v>70620.820000000007</v>
      </c>
      <c r="H17" s="189">
        <v>21326.84</v>
      </c>
      <c r="I17" s="189">
        <v>37510.839999999997</v>
      </c>
      <c r="J17" s="189">
        <v>20020.88</v>
      </c>
      <c r="K17" s="189">
        <v>12631.58</v>
      </c>
      <c r="L17" s="189">
        <v>5134.58</v>
      </c>
      <c r="M17" s="189">
        <v>4350.68</v>
      </c>
      <c r="N17" s="189">
        <v>0</v>
      </c>
      <c r="O17" s="189">
        <v>0</v>
      </c>
      <c r="P17" s="189">
        <v>106600</v>
      </c>
      <c r="Q17" s="189">
        <v>2687.17</v>
      </c>
      <c r="R17" s="189">
        <v>0</v>
      </c>
      <c r="S17" s="189">
        <v>0</v>
      </c>
      <c r="T17" s="189">
        <v>0</v>
      </c>
      <c r="U17" s="189">
        <v>7500</v>
      </c>
      <c r="V17" s="189">
        <v>0</v>
      </c>
      <c r="W17" s="189">
        <v>0</v>
      </c>
      <c r="X17" s="189">
        <v>0</v>
      </c>
      <c r="Y17" s="189">
        <v>0</v>
      </c>
      <c r="Z17" s="189">
        <v>0</v>
      </c>
      <c r="AA17" s="189">
        <v>0</v>
      </c>
      <c r="AB17" s="189">
        <v>0</v>
      </c>
      <c r="AC17" s="189">
        <v>0</v>
      </c>
      <c r="AD17" s="189">
        <v>0</v>
      </c>
      <c r="AE17" s="189">
        <v>0</v>
      </c>
      <c r="AF17" s="189">
        <v>0</v>
      </c>
      <c r="AG17" s="189">
        <v>1900000</v>
      </c>
      <c r="AH17" s="189">
        <v>0</v>
      </c>
      <c r="AI17" s="189">
        <v>0</v>
      </c>
      <c r="AJ17" s="189">
        <v>0</v>
      </c>
      <c r="AK17" s="189">
        <v>0</v>
      </c>
      <c r="AL17" s="189">
        <v>0</v>
      </c>
      <c r="AM17" s="189">
        <v>0</v>
      </c>
      <c r="AN17" s="189">
        <v>0</v>
      </c>
      <c r="AO17" s="189">
        <v>0</v>
      </c>
      <c r="AP17" s="189">
        <v>0</v>
      </c>
    </row>
    <row r="18" spans="1:42" x14ac:dyDescent="0.25">
      <c r="A18" s="189" t="s">
        <v>234</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row>
    <row r="19" spans="1:42" x14ac:dyDescent="0.25">
      <c r="A19" s="189" t="s">
        <v>235</v>
      </c>
      <c r="B19" s="189">
        <v>419644760</v>
      </c>
      <c r="C19" s="189">
        <v>19644760</v>
      </c>
      <c r="D19" s="189">
        <v>0</v>
      </c>
      <c r="E19" s="189">
        <v>693875613</v>
      </c>
      <c r="F19" s="189">
        <v>693875613</v>
      </c>
      <c r="G19" s="189">
        <v>693875613</v>
      </c>
      <c r="H19" s="189">
        <v>670114206.30999994</v>
      </c>
      <c r="I19" s="189">
        <v>122100000</v>
      </c>
      <c r="J19" s="189">
        <v>0</v>
      </c>
      <c r="K19" s="189">
        <v>0</v>
      </c>
      <c r="L19" s="189">
        <v>60000000</v>
      </c>
      <c r="M19" s="189">
        <v>0</v>
      </c>
      <c r="N19" s="189">
        <v>0</v>
      </c>
      <c r="O19" s="189">
        <v>0</v>
      </c>
      <c r="P19" s="189">
        <v>0</v>
      </c>
      <c r="Q19" s="189">
        <v>0</v>
      </c>
      <c r="R19" s="189">
        <v>0</v>
      </c>
      <c r="S19" s="189">
        <v>0</v>
      </c>
      <c r="T19" s="189">
        <v>0</v>
      </c>
      <c r="U19" s="189">
        <v>0</v>
      </c>
      <c r="V19" s="189">
        <v>0</v>
      </c>
      <c r="W19" s="189">
        <v>0</v>
      </c>
      <c r="X19" s="189">
        <v>0</v>
      </c>
      <c r="Y19" s="189">
        <v>0</v>
      </c>
      <c r="Z19" s="189">
        <v>0</v>
      </c>
      <c r="AA19" s="189">
        <v>0</v>
      </c>
      <c r="AB19" s="189">
        <v>0</v>
      </c>
      <c r="AC19" s="189">
        <v>179239.26</v>
      </c>
      <c r="AD19" s="189">
        <v>0</v>
      </c>
      <c r="AE19" s="189">
        <v>0</v>
      </c>
      <c r="AF19" s="189">
        <v>0</v>
      </c>
      <c r="AG19" s="189">
        <v>0</v>
      </c>
      <c r="AH19" s="189">
        <v>0</v>
      </c>
      <c r="AI19" s="189">
        <v>0</v>
      </c>
      <c r="AJ19" s="189">
        <v>0</v>
      </c>
      <c r="AK19" s="189">
        <v>0</v>
      </c>
      <c r="AL19" s="189">
        <v>0</v>
      </c>
      <c r="AM19" s="189">
        <v>0</v>
      </c>
      <c r="AN19" s="189">
        <v>0</v>
      </c>
      <c r="AO19" s="189">
        <v>0</v>
      </c>
      <c r="AP19" s="189">
        <v>0</v>
      </c>
    </row>
    <row r="20" spans="1:42" x14ac:dyDescent="0.25">
      <c r="A20" s="189" t="s">
        <v>236</v>
      </c>
      <c r="B20" s="189">
        <v>488952449.25999999</v>
      </c>
      <c r="C20" s="189">
        <v>35251642.649999999</v>
      </c>
      <c r="D20" s="189">
        <v>1164502.26</v>
      </c>
      <c r="E20" s="189">
        <v>761608293.05999994</v>
      </c>
      <c r="F20" s="189">
        <v>697437682.72000003</v>
      </c>
      <c r="G20" s="189">
        <v>693946233.82000005</v>
      </c>
      <c r="H20" s="189">
        <v>1430135533.1500001</v>
      </c>
      <c r="I20" s="189">
        <v>123222781.69</v>
      </c>
      <c r="J20" s="189">
        <v>60828215.020000003</v>
      </c>
      <c r="K20" s="189">
        <v>60820825.719999999</v>
      </c>
      <c r="L20" s="189">
        <v>60005134.579999998</v>
      </c>
      <c r="M20" s="189">
        <v>56560871.789999999</v>
      </c>
      <c r="N20" s="189">
        <v>56556521.109999999</v>
      </c>
      <c r="O20" s="189">
        <v>56556521.109999999</v>
      </c>
      <c r="P20" s="189">
        <v>56663121.109999999</v>
      </c>
      <c r="Q20" s="189">
        <v>76906966.879999995</v>
      </c>
      <c r="R20" s="189">
        <v>4048880</v>
      </c>
      <c r="S20" s="189">
        <v>4048880</v>
      </c>
      <c r="T20" s="189">
        <v>4048880</v>
      </c>
      <c r="U20" s="189">
        <v>10017500</v>
      </c>
      <c r="V20" s="189">
        <v>9110000</v>
      </c>
      <c r="W20" s="189">
        <v>8110000</v>
      </c>
      <c r="X20" s="189">
        <v>560000</v>
      </c>
      <c r="Y20" s="189">
        <v>11500000</v>
      </c>
      <c r="Z20" s="189">
        <v>11500000</v>
      </c>
      <c r="AA20" s="189">
        <v>11500000</v>
      </c>
      <c r="AB20" s="189">
        <v>0</v>
      </c>
      <c r="AC20" s="189">
        <v>57679239.259999998</v>
      </c>
      <c r="AD20" s="189">
        <v>0</v>
      </c>
      <c r="AE20" s="189">
        <v>0</v>
      </c>
      <c r="AF20" s="189">
        <v>0</v>
      </c>
      <c r="AG20" s="189">
        <v>1900000</v>
      </c>
      <c r="AH20" s="189">
        <v>0</v>
      </c>
      <c r="AI20" s="189">
        <v>0</v>
      </c>
      <c r="AJ20" s="189">
        <v>0</v>
      </c>
      <c r="AK20" s="189">
        <v>0</v>
      </c>
      <c r="AL20" s="189">
        <v>0</v>
      </c>
      <c r="AM20" s="189">
        <v>0</v>
      </c>
      <c r="AN20" s="189">
        <v>0</v>
      </c>
      <c r="AO20" s="189">
        <v>0</v>
      </c>
      <c r="AP20" s="189">
        <v>0</v>
      </c>
    </row>
    <row r="21" spans="1:42" x14ac:dyDescent="0.25">
      <c r="A21" s="189" t="s">
        <v>237</v>
      </c>
      <c r="B21" s="189">
        <v>190164523.75999999</v>
      </c>
      <c r="C21" s="189">
        <v>148010491.93000001</v>
      </c>
      <c r="D21" s="189">
        <v>89313205.489999995</v>
      </c>
      <c r="E21" s="189">
        <v>2611446833.04</v>
      </c>
      <c r="F21" s="189">
        <v>2479707689.0900002</v>
      </c>
      <c r="G21" s="189">
        <v>2028424526.6600001</v>
      </c>
      <c r="H21" s="189">
        <v>1659425243.74</v>
      </c>
      <c r="I21" s="189">
        <v>5469946151.5600004</v>
      </c>
      <c r="J21" s="189">
        <v>4051981602.1799998</v>
      </c>
      <c r="K21" s="189">
        <v>1804143859.76</v>
      </c>
      <c r="L21" s="189">
        <v>1078517312.6600001</v>
      </c>
      <c r="M21" s="189">
        <v>2809349736.5599999</v>
      </c>
      <c r="N21" s="189">
        <v>2073229029.45</v>
      </c>
      <c r="O21" s="189">
        <v>1283046297.51</v>
      </c>
      <c r="P21" s="189">
        <v>601945760.24000001</v>
      </c>
      <c r="Q21" s="189">
        <v>1273869838.3499999</v>
      </c>
      <c r="R21" s="189">
        <v>888843400.29999995</v>
      </c>
      <c r="S21" s="189">
        <v>563107983</v>
      </c>
      <c r="T21" s="189">
        <v>293118665.63</v>
      </c>
      <c r="U21" s="189">
        <v>906831359.38</v>
      </c>
      <c r="V21" s="189">
        <v>693691201.27999997</v>
      </c>
      <c r="W21" s="189">
        <v>489038838.73000002</v>
      </c>
      <c r="X21" s="189">
        <v>267335551.09999999</v>
      </c>
      <c r="Y21" s="189">
        <v>775253154.04999995</v>
      </c>
      <c r="Z21" s="189">
        <v>555431604.5</v>
      </c>
      <c r="AA21" s="189">
        <v>347815403.56</v>
      </c>
      <c r="AB21" s="189">
        <v>161412496.66999999</v>
      </c>
      <c r="AC21" s="189">
        <v>811852178.50999999</v>
      </c>
      <c r="AD21" s="189">
        <v>707613826.58000004</v>
      </c>
      <c r="AE21" s="189">
        <v>404703338.69</v>
      </c>
      <c r="AF21" s="189">
        <v>174637418.38999999</v>
      </c>
      <c r="AG21" s="189">
        <v>265381351.34</v>
      </c>
      <c r="AH21" s="189">
        <v>158210373.40000001</v>
      </c>
      <c r="AI21" s="189">
        <v>96941210.640000001</v>
      </c>
      <c r="AJ21" s="189">
        <v>29223049</v>
      </c>
      <c r="AK21" s="189">
        <v>128176988.84999999</v>
      </c>
      <c r="AL21" s="189">
        <v>103754261.84999999</v>
      </c>
      <c r="AM21" s="189">
        <v>66596111.850000001</v>
      </c>
      <c r="AN21" s="189">
        <v>31885885</v>
      </c>
      <c r="AO21" s="189">
        <v>4970367</v>
      </c>
      <c r="AP21" s="189">
        <v>0</v>
      </c>
    </row>
    <row r="22" spans="1:42" x14ac:dyDescent="0.25">
      <c r="A22" s="189" t="s">
        <v>238</v>
      </c>
      <c r="B22" s="189">
        <v>0</v>
      </c>
      <c r="C22" s="189">
        <v>0</v>
      </c>
      <c r="D22" s="189">
        <v>0</v>
      </c>
      <c r="E22" s="189">
        <v>0</v>
      </c>
      <c r="F22" s="189">
        <v>0</v>
      </c>
      <c r="G22" s="189">
        <v>0</v>
      </c>
      <c r="H22" s="189">
        <v>0</v>
      </c>
      <c r="I22" s="189">
        <v>3658780609.3899999</v>
      </c>
      <c r="J22" s="189">
        <v>3266138152.21</v>
      </c>
      <c r="K22" s="189">
        <v>2237985591.75</v>
      </c>
      <c r="L22" s="189">
        <v>4000000</v>
      </c>
      <c r="M22" s="189">
        <v>142228000</v>
      </c>
      <c r="N22" s="189">
        <v>89281000</v>
      </c>
      <c r="O22" s="189">
        <v>6200000</v>
      </c>
      <c r="P22" s="189">
        <v>0</v>
      </c>
      <c r="Q22" s="189">
        <v>89506119</v>
      </c>
      <c r="R22" s="189">
        <v>0</v>
      </c>
      <c r="S22" s="189">
        <v>0</v>
      </c>
      <c r="T22" s="189">
        <v>0</v>
      </c>
      <c r="U22" s="189">
        <v>0</v>
      </c>
      <c r="V22" s="189">
        <v>0</v>
      </c>
      <c r="W22" s="189">
        <v>0</v>
      </c>
      <c r="X22" s="189">
        <v>0</v>
      </c>
      <c r="Y22" s="189">
        <v>0</v>
      </c>
      <c r="Z22" s="189">
        <v>0</v>
      </c>
      <c r="AA22" s="189">
        <v>0</v>
      </c>
      <c r="AB22" s="189">
        <v>0</v>
      </c>
      <c r="AC22" s="189">
        <v>110000000</v>
      </c>
      <c r="AD22" s="189">
        <v>22000000</v>
      </c>
      <c r="AE22" s="189">
        <v>0</v>
      </c>
      <c r="AF22" s="189">
        <v>0</v>
      </c>
      <c r="AG22" s="189">
        <v>0</v>
      </c>
      <c r="AH22" s="189">
        <v>0</v>
      </c>
      <c r="AI22" s="189">
        <v>0</v>
      </c>
      <c r="AJ22" s="189">
        <v>0</v>
      </c>
      <c r="AK22" s="189">
        <v>0</v>
      </c>
      <c r="AL22" s="189">
        <v>0</v>
      </c>
      <c r="AM22" s="189">
        <v>0</v>
      </c>
      <c r="AN22" s="189">
        <v>0</v>
      </c>
      <c r="AO22" s="189">
        <v>0</v>
      </c>
      <c r="AP22" s="189">
        <v>0</v>
      </c>
    </row>
    <row r="23" spans="1:42" x14ac:dyDescent="0.25">
      <c r="A23" s="189" t="s">
        <v>239</v>
      </c>
      <c r="B23" s="189">
        <v>0</v>
      </c>
      <c r="C23" s="189">
        <v>0</v>
      </c>
      <c r="D23" s="189">
        <v>0</v>
      </c>
      <c r="E23" s="189">
        <v>0</v>
      </c>
      <c r="F23" s="189">
        <v>0</v>
      </c>
      <c r="G23" s="189">
        <v>0</v>
      </c>
      <c r="H23" s="189">
        <v>0</v>
      </c>
      <c r="I23" s="189">
        <v>0</v>
      </c>
      <c r="J23" s="189">
        <v>0</v>
      </c>
      <c r="K23" s="189">
        <v>0</v>
      </c>
      <c r="L23" s="189">
        <v>0</v>
      </c>
      <c r="M23" s="189">
        <v>0</v>
      </c>
      <c r="N23" s="189">
        <v>0</v>
      </c>
      <c r="O23" s="189">
        <v>0</v>
      </c>
      <c r="P23" s="189">
        <v>0</v>
      </c>
      <c r="Q23" s="189">
        <v>239204736.97</v>
      </c>
      <c r="R23" s="189">
        <v>204970429.15000001</v>
      </c>
      <c r="S23" s="189">
        <v>204970429.15000001</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row>
    <row r="24" spans="1:42" x14ac:dyDescent="0.25">
      <c r="A24" s="189" t="s">
        <v>240</v>
      </c>
      <c r="B24" s="189">
        <v>669960003.75999999</v>
      </c>
      <c r="C24" s="189">
        <v>404000000</v>
      </c>
      <c r="D24" s="189">
        <v>0</v>
      </c>
      <c r="E24" s="189">
        <v>100000000</v>
      </c>
      <c r="F24" s="189">
        <v>136000000</v>
      </c>
      <c r="G24" s="189">
        <v>0</v>
      </c>
      <c r="H24" s="189">
        <v>67000000</v>
      </c>
      <c r="I24" s="189">
        <v>669875613</v>
      </c>
      <c r="J24" s="189">
        <v>0</v>
      </c>
      <c r="K24" s="189">
        <v>0</v>
      </c>
      <c r="L24" s="189">
        <v>0</v>
      </c>
      <c r="M24" s="189">
        <v>89733291.829999998</v>
      </c>
      <c r="N24" s="189">
        <v>4540439.83</v>
      </c>
      <c r="O24" s="189">
        <v>4533291.83</v>
      </c>
      <c r="P24" s="189">
        <v>0</v>
      </c>
      <c r="Q24" s="189">
        <v>3912.09</v>
      </c>
      <c r="R24" s="189">
        <v>3912.09</v>
      </c>
      <c r="S24" s="189">
        <v>3912.09</v>
      </c>
      <c r="T24" s="189">
        <v>2606.44</v>
      </c>
      <c r="U24" s="189">
        <v>853176.75</v>
      </c>
      <c r="V24" s="189">
        <v>649936.75</v>
      </c>
      <c r="W24" s="189">
        <v>646494.55000000005</v>
      </c>
      <c r="X24" s="189">
        <v>4320</v>
      </c>
      <c r="Y24" s="189">
        <v>54116</v>
      </c>
      <c r="Z24" s="189">
        <v>54116</v>
      </c>
      <c r="AA24" s="189">
        <v>4116</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row>
    <row r="25" spans="1:42" x14ac:dyDescent="0.25">
      <c r="A25" s="189" t="s">
        <v>241</v>
      </c>
      <c r="B25" s="189">
        <v>860124527.51999998</v>
      </c>
      <c r="C25" s="189">
        <v>552010491.92999995</v>
      </c>
      <c r="D25" s="189">
        <v>89313205.489999995</v>
      </c>
      <c r="E25" s="189">
        <v>2711446833.04</v>
      </c>
      <c r="F25" s="189">
        <v>2615707689.0900002</v>
      </c>
      <c r="G25" s="189">
        <v>2028424526.6600001</v>
      </c>
      <c r="H25" s="189">
        <v>1726425243.74</v>
      </c>
      <c r="I25" s="189">
        <v>9798602373.9500008</v>
      </c>
      <c r="J25" s="189">
        <v>7318119754.3900003</v>
      </c>
      <c r="K25" s="189">
        <v>4042129451.5100002</v>
      </c>
      <c r="L25" s="189">
        <v>1082517312.6600001</v>
      </c>
      <c r="M25" s="189">
        <v>3041311028.3899999</v>
      </c>
      <c r="N25" s="189">
        <v>2167050469.2800002</v>
      </c>
      <c r="O25" s="189">
        <v>1293779589.3399999</v>
      </c>
      <c r="P25" s="189">
        <v>601945760.24000001</v>
      </c>
      <c r="Q25" s="189">
        <v>1602584606.4100001</v>
      </c>
      <c r="R25" s="189">
        <v>1093817741.54</v>
      </c>
      <c r="S25" s="189">
        <v>768082324.24000001</v>
      </c>
      <c r="T25" s="189">
        <v>293121272.06999999</v>
      </c>
      <c r="U25" s="189">
        <v>907684536.13</v>
      </c>
      <c r="V25" s="189">
        <v>694341138.02999997</v>
      </c>
      <c r="W25" s="189">
        <v>489685333.27999997</v>
      </c>
      <c r="X25" s="189">
        <v>267339871.09999999</v>
      </c>
      <c r="Y25" s="189">
        <v>775307270.04999995</v>
      </c>
      <c r="Z25" s="189">
        <v>555485720.5</v>
      </c>
      <c r="AA25" s="189">
        <v>347819519.56</v>
      </c>
      <c r="AB25" s="189">
        <v>161412496.66999999</v>
      </c>
      <c r="AC25" s="189">
        <v>921852178.50999999</v>
      </c>
      <c r="AD25" s="189">
        <v>729613826.58000004</v>
      </c>
      <c r="AE25" s="189">
        <v>404703338.69</v>
      </c>
      <c r="AF25" s="189">
        <v>174637418.38999999</v>
      </c>
      <c r="AG25" s="189">
        <v>265381351.34</v>
      </c>
      <c r="AH25" s="189">
        <v>158210373.40000001</v>
      </c>
      <c r="AI25" s="189">
        <v>96941210.640000001</v>
      </c>
      <c r="AJ25" s="189">
        <v>29223049</v>
      </c>
      <c r="AK25" s="189">
        <v>128176988.84999999</v>
      </c>
      <c r="AL25" s="189">
        <v>103754261.84999999</v>
      </c>
      <c r="AM25" s="189">
        <v>66596111.850000001</v>
      </c>
      <c r="AN25" s="189">
        <v>31885885</v>
      </c>
      <c r="AO25" s="189">
        <v>4970367</v>
      </c>
      <c r="AP25" s="189">
        <v>0</v>
      </c>
    </row>
    <row r="26" spans="1:42" x14ac:dyDescent="0.25">
      <c r="A26" s="189" t="s">
        <v>242</v>
      </c>
      <c r="B26" s="189">
        <v>-371172078.25999999</v>
      </c>
      <c r="C26" s="189">
        <v>-516758849.27999997</v>
      </c>
      <c r="D26" s="189">
        <v>-88148703.230000004</v>
      </c>
      <c r="E26" s="189">
        <v>-1949838539.98</v>
      </c>
      <c r="F26" s="189">
        <v>-1918270006.3699999</v>
      </c>
      <c r="G26" s="189">
        <v>-1334478292.8399999</v>
      </c>
      <c r="H26" s="189">
        <v>-296289710.58999997</v>
      </c>
      <c r="I26" s="189">
        <v>-9675379592.2600002</v>
      </c>
      <c r="J26" s="189">
        <v>-7257291539.3699999</v>
      </c>
      <c r="K26" s="189">
        <v>-3981308625.79</v>
      </c>
      <c r="L26" s="189">
        <v>-1022512178.08</v>
      </c>
      <c r="M26" s="189">
        <v>-2984750156.5999999</v>
      </c>
      <c r="N26" s="189">
        <v>-2110493948.1700001</v>
      </c>
      <c r="O26" s="189">
        <v>-1237223068.23</v>
      </c>
      <c r="P26" s="189">
        <v>-545282639.13</v>
      </c>
      <c r="Q26" s="189">
        <v>-1525677639.53</v>
      </c>
      <c r="R26" s="189">
        <v>-1089768861.54</v>
      </c>
      <c r="S26" s="189">
        <v>-764033444.24000001</v>
      </c>
      <c r="T26" s="189">
        <v>-289072392.06999999</v>
      </c>
      <c r="U26" s="189">
        <v>-897667036.13</v>
      </c>
      <c r="V26" s="189">
        <v>-685231138.02999997</v>
      </c>
      <c r="W26" s="189">
        <v>-481575333.27999997</v>
      </c>
      <c r="X26" s="189">
        <v>-266779871.09999999</v>
      </c>
      <c r="Y26" s="189">
        <v>-763807270.04999995</v>
      </c>
      <c r="Z26" s="189">
        <v>-543985720.5</v>
      </c>
      <c r="AA26" s="189">
        <v>-336319519.56</v>
      </c>
      <c r="AB26" s="189">
        <v>-161412496.66999999</v>
      </c>
      <c r="AC26" s="189">
        <v>-864172939.25</v>
      </c>
      <c r="AD26" s="189">
        <v>-729613826.58000004</v>
      </c>
      <c r="AE26" s="189">
        <v>-404703338.69</v>
      </c>
      <c r="AF26" s="189">
        <v>-174637418.38999999</v>
      </c>
      <c r="AG26" s="189">
        <v>-263481351.34</v>
      </c>
      <c r="AH26" s="189">
        <v>-158210373.40000001</v>
      </c>
      <c r="AI26" s="189">
        <v>-96941210.640000001</v>
      </c>
      <c r="AJ26" s="189">
        <v>-29223049</v>
      </c>
      <c r="AK26" s="189">
        <v>-128176988.84999999</v>
      </c>
      <c r="AL26" s="189">
        <v>-103754261.84999999</v>
      </c>
      <c r="AM26" s="189">
        <v>-66596111.850000001</v>
      </c>
      <c r="AN26" s="189">
        <v>-31885885</v>
      </c>
      <c r="AO26" s="189">
        <v>-4970367</v>
      </c>
      <c r="AP26" s="189">
        <v>0</v>
      </c>
    </row>
    <row r="27" spans="1:42" x14ac:dyDescent="0.25">
      <c r="A27" s="189" t="s">
        <v>243</v>
      </c>
    </row>
    <row r="28" spans="1:42" x14ac:dyDescent="0.25">
      <c r="A28" s="189" t="s">
        <v>244</v>
      </c>
      <c r="B28" s="189">
        <v>730000000</v>
      </c>
      <c r="C28" s="189">
        <v>610000000</v>
      </c>
      <c r="D28" s="189">
        <v>110000000</v>
      </c>
      <c r="E28" s="189">
        <v>3157649859.4400001</v>
      </c>
      <c r="F28" s="189">
        <v>5459495251.8199997</v>
      </c>
      <c r="G28" s="189">
        <v>4257135251.8200002</v>
      </c>
      <c r="H28" s="189">
        <v>2187735251.8200002</v>
      </c>
      <c r="I28" s="189">
        <v>11144513209.84</v>
      </c>
      <c r="J28" s="189">
        <v>8817329587.3799992</v>
      </c>
      <c r="K28" s="189">
        <v>3951783125.1599998</v>
      </c>
      <c r="L28" s="189">
        <v>1002250000</v>
      </c>
      <c r="M28" s="189">
        <v>47910284.840000004</v>
      </c>
      <c r="N28" s="189">
        <v>153694981.81</v>
      </c>
      <c r="O28" s="189">
        <v>0</v>
      </c>
      <c r="P28" s="189">
        <v>0</v>
      </c>
      <c r="Q28" s="189">
        <v>420397521.88</v>
      </c>
      <c r="R28" s="189">
        <v>415591396.75999999</v>
      </c>
      <c r="S28" s="189">
        <v>415591396.75999999</v>
      </c>
      <c r="T28" s="189">
        <v>288399997.04000002</v>
      </c>
      <c r="U28" s="189">
        <v>551478022.94000006</v>
      </c>
      <c r="V28" s="189">
        <v>551135649.67999995</v>
      </c>
      <c r="W28" s="189">
        <v>218526800.00999999</v>
      </c>
      <c r="X28" s="189">
        <v>131277930</v>
      </c>
      <c r="Y28" s="189">
        <v>35480000</v>
      </c>
      <c r="Z28" s="189">
        <v>28280000</v>
      </c>
      <c r="AA28" s="189">
        <v>0</v>
      </c>
      <c r="AB28" s="189">
        <v>0</v>
      </c>
      <c r="AC28" s="189">
        <v>0</v>
      </c>
      <c r="AD28" s="189">
        <v>0</v>
      </c>
      <c r="AE28" s="189">
        <v>0</v>
      </c>
      <c r="AF28" s="189">
        <v>0</v>
      </c>
      <c r="AG28" s="189">
        <v>684960000</v>
      </c>
      <c r="AH28" s="189">
        <v>681557095.65999997</v>
      </c>
      <c r="AI28" s="189">
        <v>0</v>
      </c>
      <c r="AJ28" s="189">
        <v>0</v>
      </c>
      <c r="AK28" s="189">
        <v>0</v>
      </c>
      <c r="AL28" s="189">
        <v>0</v>
      </c>
      <c r="AM28" s="189">
        <v>0</v>
      </c>
      <c r="AN28" s="189">
        <v>52800000</v>
      </c>
      <c r="AO28" s="189">
        <v>0</v>
      </c>
      <c r="AP28" s="189">
        <v>0</v>
      </c>
    </row>
    <row r="29" spans="1:42" x14ac:dyDescent="0.25">
      <c r="A29" s="189" t="s">
        <v>245</v>
      </c>
      <c r="B29" s="189">
        <v>730000000</v>
      </c>
      <c r="C29" s="189">
        <v>610000000</v>
      </c>
      <c r="D29" s="189">
        <v>110000000</v>
      </c>
      <c r="E29" s="189">
        <v>3111000000</v>
      </c>
      <c r="F29" s="189">
        <v>3111000000</v>
      </c>
      <c r="G29" s="189">
        <v>3201000000</v>
      </c>
      <c r="H29" s="189">
        <v>0</v>
      </c>
      <c r="I29" s="189">
        <v>0</v>
      </c>
      <c r="J29" s="189">
        <v>4004379000</v>
      </c>
      <c r="K29" s="189">
        <v>3951783125.1599998</v>
      </c>
      <c r="L29" s="189">
        <v>1002250000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row>
    <row r="30" spans="1:42" x14ac:dyDescent="0.25">
      <c r="A30" s="189" t="s">
        <v>246</v>
      </c>
      <c r="B30" s="189">
        <v>770700000</v>
      </c>
      <c r="C30" s="189">
        <v>492500000</v>
      </c>
      <c r="D30" s="189">
        <v>750000000</v>
      </c>
      <c r="E30" s="189">
        <v>3746200489.1799998</v>
      </c>
      <c r="F30" s="189">
        <v>4245640489.1799998</v>
      </c>
      <c r="G30" s="189">
        <v>486314908.18000001</v>
      </c>
      <c r="H30" s="189">
        <v>13114908.18</v>
      </c>
      <c r="I30" s="189">
        <v>6289562680.8000002</v>
      </c>
      <c r="J30" s="189">
        <v>3116539214.5599999</v>
      </c>
      <c r="K30" s="189">
        <v>3166133728.0100002</v>
      </c>
      <c r="L30" s="189">
        <v>263287179.49000001</v>
      </c>
      <c r="M30" s="189">
        <v>9046574441.0400009</v>
      </c>
      <c r="N30" s="189">
        <v>6605899700.1800003</v>
      </c>
      <c r="O30" s="189">
        <v>3924090287.1799998</v>
      </c>
      <c r="P30" s="189">
        <v>1913769713.96</v>
      </c>
      <c r="Q30" s="189">
        <v>2660600000</v>
      </c>
      <c r="R30" s="189">
        <v>1265792526.1900001</v>
      </c>
      <c r="S30" s="189">
        <v>629000000</v>
      </c>
      <c r="T30" s="189">
        <v>180000000</v>
      </c>
      <c r="U30" s="189">
        <v>1350000000</v>
      </c>
      <c r="V30" s="189">
        <v>920000000</v>
      </c>
      <c r="W30" s="189">
        <v>510000000</v>
      </c>
      <c r="X30" s="189">
        <v>-164000000</v>
      </c>
      <c r="Y30" s="189">
        <v>783000000</v>
      </c>
      <c r="Z30" s="189">
        <v>802000000</v>
      </c>
      <c r="AA30" s="189">
        <v>455000000</v>
      </c>
      <c r="AB30" s="189">
        <v>68000000</v>
      </c>
      <c r="AC30" s="189">
        <v>442000000</v>
      </c>
      <c r="AD30" s="189">
        <v>230000000</v>
      </c>
      <c r="AE30" s="189">
        <v>150000000</v>
      </c>
      <c r="AF30" s="189">
        <v>0</v>
      </c>
      <c r="AG30" s="189">
        <v>203500000</v>
      </c>
      <c r="AH30" s="189">
        <v>138500000</v>
      </c>
      <c r="AI30" s="189">
        <v>98500000</v>
      </c>
      <c r="AJ30" s="189">
        <v>48500000</v>
      </c>
      <c r="AK30" s="189">
        <v>40450000</v>
      </c>
      <c r="AL30" s="189">
        <v>35450000</v>
      </c>
      <c r="AM30" s="189">
        <v>8450000</v>
      </c>
      <c r="AN30" s="189">
        <v>0</v>
      </c>
      <c r="AO30" s="189">
        <v>0</v>
      </c>
      <c r="AP30" s="189">
        <v>0</v>
      </c>
    </row>
    <row r="31" spans="1:42" x14ac:dyDescent="0.25">
      <c r="A31" s="189" t="s">
        <v>247</v>
      </c>
      <c r="B31" s="189">
        <v>0</v>
      </c>
      <c r="C31" s="189">
        <v>0</v>
      </c>
      <c r="D31" s="189">
        <v>0</v>
      </c>
      <c r="E31" s="189">
        <v>0</v>
      </c>
      <c r="F31" s="189">
        <v>0</v>
      </c>
      <c r="G31" s="189">
        <v>0</v>
      </c>
      <c r="H31" s="189">
        <v>0</v>
      </c>
      <c r="I31" s="189">
        <v>0</v>
      </c>
      <c r="J31" s="189">
        <v>0</v>
      </c>
      <c r="K31" s="189">
        <v>0</v>
      </c>
      <c r="L31" s="189">
        <v>0</v>
      </c>
      <c r="M31" s="189">
        <v>1895260000</v>
      </c>
      <c r="N31" s="189">
        <v>982000000</v>
      </c>
      <c r="O31" s="189">
        <v>0</v>
      </c>
      <c r="P31" s="189">
        <v>0</v>
      </c>
      <c r="Q31" s="189">
        <v>0</v>
      </c>
      <c r="R31" s="189">
        <v>0</v>
      </c>
      <c r="S31" s="189">
        <v>0</v>
      </c>
      <c r="T31" s="189">
        <v>0</v>
      </c>
      <c r="U31" s="189">
        <v>200000000</v>
      </c>
      <c r="V31" s="189">
        <v>0</v>
      </c>
      <c r="W31" s="189">
        <v>0</v>
      </c>
      <c r="X31" s="189">
        <v>394000000</v>
      </c>
      <c r="Y31" s="189">
        <v>394000000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row>
    <row r="32" spans="1:42" x14ac:dyDescent="0.25">
      <c r="A32" s="189" t="s">
        <v>248</v>
      </c>
      <c r="B32" s="189">
        <v>1005000000</v>
      </c>
      <c r="C32" s="189">
        <v>1005000000</v>
      </c>
      <c r="D32" s="189">
        <v>0</v>
      </c>
      <c r="E32" s="189">
        <v>2689158216.6999998</v>
      </c>
      <c r="F32" s="189">
        <v>387398216.69999999</v>
      </c>
      <c r="G32" s="189">
        <v>384048216.69999999</v>
      </c>
      <c r="H32" s="189">
        <v>87762422.719999999</v>
      </c>
      <c r="I32" s="189">
        <v>272457387.25999999</v>
      </c>
      <c r="J32" s="189">
        <v>467194875.35000002</v>
      </c>
      <c r="K32" s="189">
        <v>250972432.59999999</v>
      </c>
      <c r="L32" s="189">
        <v>0</v>
      </c>
      <c r="M32" s="189">
        <v>400933888.88999999</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row>
    <row r="33" spans="1:42" x14ac:dyDescent="0.25">
      <c r="A33" s="189" t="s">
        <v>249</v>
      </c>
      <c r="B33" s="189">
        <v>2505700000</v>
      </c>
      <c r="C33" s="189">
        <v>2107500000</v>
      </c>
      <c r="D33" s="189">
        <v>860000000</v>
      </c>
      <c r="E33" s="189">
        <v>9593008565.3199997</v>
      </c>
      <c r="F33" s="189">
        <v>10092533957.700001</v>
      </c>
      <c r="G33" s="189">
        <v>5127498376.6999998</v>
      </c>
      <c r="H33" s="189">
        <v>2288612582.7199998</v>
      </c>
      <c r="I33" s="189">
        <v>17706533277.900002</v>
      </c>
      <c r="J33" s="189">
        <v>12401063677.290001</v>
      </c>
      <c r="K33" s="189">
        <v>7368889285.7700005</v>
      </c>
      <c r="L33" s="189">
        <v>1265537179.49</v>
      </c>
      <c r="M33" s="189">
        <v>11390678614.77</v>
      </c>
      <c r="N33" s="189">
        <v>7741594681.9899998</v>
      </c>
      <c r="O33" s="189">
        <v>3924090287.1799998</v>
      </c>
      <c r="P33" s="189">
        <v>1913769713.96</v>
      </c>
      <c r="Q33" s="189">
        <v>3080997521.8800001</v>
      </c>
      <c r="R33" s="189">
        <v>1681383922.95</v>
      </c>
      <c r="S33" s="189">
        <v>1044591396.76</v>
      </c>
      <c r="T33" s="189">
        <v>468399997.04000002</v>
      </c>
      <c r="U33" s="189">
        <v>2101478022.9400001</v>
      </c>
      <c r="V33" s="189">
        <v>1471135649.6800001</v>
      </c>
      <c r="W33" s="189">
        <v>728526800.00999999</v>
      </c>
      <c r="X33" s="189">
        <v>361277930</v>
      </c>
      <c r="Y33" s="189">
        <v>1212480000</v>
      </c>
      <c r="Z33" s="189">
        <v>830280000</v>
      </c>
      <c r="AA33" s="189">
        <v>455000000</v>
      </c>
      <c r="AB33" s="189">
        <v>68000000</v>
      </c>
      <c r="AC33" s="189">
        <v>442000000</v>
      </c>
      <c r="AD33" s="189">
        <v>230000000</v>
      </c>
      <c r="AE33" s="189">
        <v>150000000</v>
      </c>
      <c r="AF33" s="189">
        <v>0</v>
      </c>
      <c r="AG33" s="189">
        <v>888460000</v>
      </c>
      <c r="AH33" s="189">
        <v>820057095.65999997</v>
      </c>
      <c r="AI33" s="189">
        <v>98500000</v>
      </c>
      <c r="AJ33" s="189">
        <v>48500000</v>
      </c>
      <c r="AK33" s="189">
        <v>40450000</v>
      </c>
      <c r="AL33" s="189">
        <v>35450000</v>
      </c>
      <c r="AM33" s="189">
        <v>8450000</v>
      </c>
      <c r="AN33" s="189">
        <v>52800000</v>
      </c>
      <c r="AO33" s="189">
        <v>0</v>
      </c>
      <c r="AP33" s="189">
        <v>0</v>
      </c>
    </row>
    <row r="34" spans="1:42" x14ac:dyDescent="0.25">
      <c r="A34" s="189" t="s">
        <v>250</v>
      </c>
      <c r="B34" s="189">
        <v>1018864524.21</v>
      </c>
      <c r="C34" s="189">
        <v>726081090.21000004</v>
      </c>
      <c r="D34" s="189">
        <v>204851090.21000001</v>
      </c>
      <c r="E34" s="189">
        <v>4435341637.0100002</v>
      </c>
      <c r="F34" s="189">
        <v>5166055591.1000004</v>
      </c>
      <c r="G34" s="189">
        <v>1652676521.27</v>
      </c>
      <c r="H34" s="189">
        <v>1191455412.4200001</v>
      </c>
      <c r="I34" s="189">
        <v>4947098220.1499996</v>
      </c>
      <c r="J34" s="189">
        <v>1973547510.1700001</v>
      </c>
      <c r="K34" s="189">
        <v>764485569.02999997</v>
      </c>
      <c r="L34" s="189">
        <v>368819321.57999998</v>
      </c>
      <c r="M34" s="189">
        <v>6746926238.5</v>
      </c>
      <c r="N34" s="189">
        <v>3460066166.21</v>
      </c>
      <c r="O34" s="189">
        <v>2318878824.8499999</v>
      </c>
      <c r="P34" s="189">
        <v>826106870.21000004</v>
      </c>
      <c r="Q34" s="189">
        <v>1738406600.96</v>
      </c>
      <c r="R34" s="189">
        <v>977807244.15999997</v>
      </c>
      <c r="S34" s="189">
        <v>247275143.80000001</v>
      </c>
      <c r="T34" s="189">
        <v>20137572</v>
      </c>
      <c r="U34" s="189">
        <v>846450287.20000005</v>
      </c>
      <c r="V34" s="189">
        <v>599312715.39999998</v>
      </c>
      <c r="W34" s="189">
        <v>229175143.59999999</v>
      </c>
      <c r="X34" s="189">
        <v>55137571.799999997</v>
      </c>
      <c r="Y34" s="189">
        <v>438400000</v>
      </c>
      <c r="Z34" s="189">
        <v>201000000</v>
      </c>
      <c r="AA34" s="189">
        <v>88000000</v>
      </c>
      <c r="AB34" s="189">
        <v>28000000</v>
      </c>
      <c r="AC34" s="189">
        <v>107000000</v>
      </c>
      <c r="AD34" s="189">
        <v>20000000</v>
      </c>
      <c r="AE34" s="189">
        <v>20000000</v>
      </c>
      <c r="AF34" s="189">
        <v>0</v>
      </c>
      <c r="AG34" s="189">
        <v>173500000</v>
      </c>
      <c r="AH34" s="189">
        <v>152300000</v>
      </c>
      <c r="AI34" s="189">
        <v>43000000</v>
      </c>
      <c r="AJ34" s="189">
        <v>15000000</v>
      </c>
      <c r="AK34" s="189">
        <v>450000</v>
      </c>
      <c r="AL34" s="189">
        <v>450000</v>
      </c>
      <c r="AM34" s="189">
        <v>450000</v>
      </c>
      <c r="AN34" s="189">
        <v>0</v>
      </c>
      <c r="AO34" s="189">
        <v>3000000</v>
      </c>
      <c r="AP34" s="189">
        <v>0</v>
      </c>
    </row>
    <row r="35" spans="1:42" x14ac:dyDescent="0.25">
      <c r="A35" s="189" t="s">
        <v>550</v>
      </c>
      <c r="B35" s="189">
        <v>201536700.91999999</v>
      </c>
      <c r="C35" s="189">
        <v>132059336.2</v>
      </c>
      <c r="D35" s="189">
        <v>72558433.760000005</v>
      </c>
      <c r="E35" s="189">
        <v>681273776.38</v>
      </c>
      <c r="F35" s="189">
        <v>325206080.32999998</v>
      </c>
      <c r="G35" s="189">
        <v>103001605.97</v>
      </c>
      <c r="H35" s="189">
        <v>78580140.780000001</v>
      </c>
      <c r="I35" s="189">
        <v>436124661.05000001</v>
      </c>
      <c r="J35" s="189">
        <v>259944743.59999999</v>
      </c>
      <c r="K35" s="189">
        <v>80322251.299999997</v>
      </c>
      <c r="L35" s="189">
        <v>23284510.079999998</v>
      </c>
      <c r="M35" s="189">
        <v>144106767.40000001</v>
      </c>
      <c r="N35" s="189">
        <v>126140212.2</v>
      </c>
      <c r="O35" s="189">
        <v>80531494.730000004</v>
      </c>
      <c r="P35" s="189">
        <v>25053315.800000001</v>
      </c>
      <c r="Q35" s="189">
        <v>161794712.41999999</v>
      </c>
      <c r="R35" s="189">
        <v>154137393.90000001</v>
      </c>
      <c r="S35" s="189">
        <v>94541764.280000001</v>
      </c>
      <c r="T35" s="189">
        <v>20076729.109999999</v>
      </c>
      <c r="U35" s="189">
        <v>114793470.72</v>
      </c>
      <c r="V35" s="189">
        <v>84461677.950000003</v>
      </c>
      <c r="W35" s="189">
        <v>52297411.119999997</v>
      </c>
      <c r="X35" s="189">
        <v>10635471.4</v>
      </c>
      <c r="Y35" s="189">
        <v>51425148.350000001</v>
      </c>
      <c r="Z35" s="189">
        <v>31607599.780000001</v>
      </c>
      <c r="AA35" s="189">
        <v>20134415.050000001</v>
      </c>
      <c r="AB35" s="189">
        <v>7362578.21</v>
      </c>
      <c r="AC35" s="189">
        <v>27686640.329999998</v>
      </c>
      <c r="AD35" s="189">
        <v>22236835.98</v>
      </c>
      <c r="AE35" s="189">
        <v>18593934.399999999</v>
      </c>
      <c r="AF35" s="189">
        <v>920861.11</v>
      </c>
      <c r="AG35" s="189">
        <v>4478749.76</v>
      </c>
      <c r="AH35" s="189">
        <v>3978684.65</v>
      </c>
      <c r="AI35" s="189">
        <v>2163431.25</v>
      </c>
      <c r="AJ35" s="189">
        <v>773628.75</v>
      </c>
      <c r="AK35" s="189">
        <v>744944.11</v>
      </c>
      <c r="AL35" s="189">
        <v>260890.36</v>
      </c>
      <c r="AM35" s="189">
        <v>6670.36</v>
      </c>
      <c r="AN35" s="189">
        <v>0</v>
      </c>
      <c r="AO35" s="189">
        <v>132165</v>
      </c>
      <c r="AP35" s="189">
        <v>0</v>
      </c>
    </row>
    <row r="36" spans="1:42" x14ac:dyDescent="0.25">
      <c r="A36" s="189" t="s">
        <v>251</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row>
    <row r="37" spans="1:42" x14ac:dyDescent="0.25">
      <c r="A37" s="189" t="s">
        <v>252</v>
      </c>
      <c r="B37" s="189">
        <v>461529529.50999999</v>
      </c>
      <c r="C37" s="189">
        <v>135788847.36000001</v>
      </c>
      <c r="D37" s="189">
        <v>18112724.68</v>
      </c>
      <c r="E37" s="189">
        <v>622789903.48000002</v>
      </c>
      <c r="F37" s="189">
        <v>576967419.57000005</v>
      </c>
      <c r="G37" s="189">
        <v>516545943.57999998</v>
      </c>
      <c r="H37" s="189">
        <v>4788793.7699999996</v>
      </c>
      <c r="I37" s="189">
        <v>2845810622.6999998</v>
      </c>
      <c r="J37" s="189">
        <v>2961284594.6799998</v>
      </c>
      <c r="K37" s="189">
        <v>2220837885.9400001</v>
      </c>
      <c r="L37" s="189">
        <v>24469380.170000002</v>
      </c>
      <c r="M37" s="189">
        <v>134296501.87</v>
      </c>
      <c r="N37" s="189">
        <v>99450579.560000002</v>
      </c>
      <c r="O37" s="189">
        <v>89169144.5</v>
      </c>
      <c r="P37" s="189">
        <v>34012300.740000002</v>
      </c>
      <c r="Q37" s="189">
        <v>27529193.629999999</v>
      </c>
      <c r="R37" s="189">
        <v>17792896.129999999</v>
      </c>
      <c r="S37" s="189">
        <v>5899459.9000000004</v>
      </c>
      <c r="T37" s="189">
        <v>1841774.54</v>
      </c>
      <c r="U37" s="189">
        <v>25574278.989999998</v>
      </c>
      <c r="V37" s="189">
        <v>1353973.99</v>
      </c>
      <c r="W37" s="189">
        <v>548858.55000000005</v>
      </c>
      <c r="X37" s="189">
        <v>100000</v>
      </c>
      <c r="Y37" s="189">
        <v>4831790.5999999996</v>
      </c>
      <c r="Z37" s="189">
        <v>481790.6</v>
      </c>
      <c r="AA37" s="189">
        <v>257631.02</v>
      </c>
      <c r="AB37" s="189">
        <v>0</v>
      </c>
      <c r="AC37" s="189">
        <v>0</v>
      </c>
      <c r="AD37" s="189">
        <v>0</v>
      </c>
      <c r="AE37" s="189">
        <v>0</v>
      </c>
      <c r="AF37" s="189">
        <v>0</v>
      </c>
      <c r="AG37" s="189">
        <v>2692904.34</v>
      </c>
      <c r="AH37" s="189">
        <v>0</v>
      </c>
      <c r="AI37" s="189">
        <v>0</v>
      </c>
      <c r="AJ37" s="189">
        <v>0</v>
      </c>
      <c r="AK37" s="189">
        <v>0</v>
      </c>
      <c r="AL37" s="189">
        <v>0</v>
      </c>
      <c r="AM37" s="189">
        <v>0</v>
      </c>
      <c r="AN37" s="189">
        <v>0</v>
      </c>
      <c r="AO37" s="189">
        <v>0</v>
      </c>
      <c r="AP37" s="189">
        <v>0</v>
      </c>
    </row>
    <row r="38" spans="1:42" x14ac:dyDescent="0.25">
      <c r="A38" s="189" t="s">
        <v>253</v>
      </c>
      <c r="B38" s="189">
        <v>1681930754.6400001</v>
      </c>
      <c r="C38" s="189">
        <v>993929273.76999998</v>
      </c>
      <c r="D38" s="189">
        <v>295522248.64999998</v>
      </c>
      <c r="E38" s="189">
        <v>5739405316.8699999</v>
      </c>
      <c r="F38" s="189">
        <v>6068229091</v>
      </c>
      <c r="G38" s="189">
        <v>2272224070.8200002</v>
      </c>
      <c r="H38" s="189">
        <v>1274824346.97</v>
      </c>
      <c r="I38" s="189">
        <v>8229033503.8999996</v>
      </c>
      <c r="J38" s="189">
        <v>5194776848.4499998</v>
      </c>
      <c r="K38" s="189">
        <v>3065645706.27</v>
      </c>
      <c r="L38" s="189">
        <v>416573211.82999998</v>
      </c>
      <c r="M38" s="189">
        <v>7025329507.7700005</v>
      </c>
      <c r="N38" s="189">
        <v>3685656957.9699998</v>
      </c>
      <c r="O38" s="189">
        <v>2488579464.0799999</v>
      </c>
      <c r="P38" s="189">
        <v>885172486.75</v>
      </c>
      <c r="Q38" s="189">
        <v>1927730507.01</v>
      </c>
      <c r="R38" s="189">
        <v>1149737534.1900001</v>
      </c>
      <c r="S38" s="189">
        <v>347716367.98000002</v>
      </c>
      <c r="T38" s="189">
        <v>42056075.649999999</v>
      </c>
      <c r="U38" s="189">
        <v>986818036.90999997</v>
      </c>
      <c r="V38" s="189">
        <v>685128367.34000003</v>
      </c>
      <c r="W38" s="189">
        <v>282021413.26999998</v>
      </c>
      <c r="X38" s="189">
        <v>65873043.200000003</v>
      </c>
      <c r="Y38" s="189">
        <v>494656938.94999999</v>
      </c>
      <c r="Z38" s="189">
        <v>233089390.38</v>
      </c>
      <c r="AA38" s="189">
        <v>108392046.06999999</v>
      </c>
      <c r="AB38" s="189">
        <v>35362578.210000001</v>
      </c>
      <c r="AC38" s="189">
        <v>134686640.33000001</v>
      </c>
      <c r="AD38" s="189">
        <v>42236835.979999997</v>
      </c>
      <c r="AE38" s="189">
        <v>38593934.399999999</v>
      </c>
      <c r="AF38" s="189">
        <v>920861.11</v>
      </c>
      <c r="AG38" s="189">
        <v>180671654.09999999</v>
      </c>
      <c r="AH38" s="189">
        <v>156278684.65000001</v>
      </c>
      <c r="AI38" s="189">
        <v>45163431.25</v>
      </c>
      <c r="AJ38" s="189">
        <v>15773628.75</v>
      </c>
      <c r="AK38" s="189">
        <v>1194944.1100000001</v>
      </c>
      <c r="AL38" s="189">
        <v>710890.36</v>
      </c>
      <c r="AM38" s="189">
        <v>456670.36</v>
      </c>
      <c r="AN38" s="189">
        <v>0</v>
      </c>
      <c r="AO38" s="189">
        <v>3132165</v>
      </c>
      <c r="AP38" s="189">
        <v>0</v>
      </c>
    </row>
    <row r="39" spans="1:42" x14ac:dyDescent="0.25">
      <c r="A39" s="189" t="s">
        <v>254</v>
      </c>
      <c r="B39" s="189">
        <v>823769245.36000001</v>
      </c>
      <c r="C39" s="189">
        <v>1113570726.23</v>
      </c>
      <c r="D39" s="189">
        <v>564477751.35000002</v>
      </c>
      <c r="E39" s="189">
        <v>3853603248.4499998</v>
      </c>
      <c r="F39" s="189">
        <v>4024304866.6999998</v>
      </c>
      <c r="G39" s="189">
        <v>2855274305.8800001</v>
      </c>
      <c r="H39" s="189">
        <v>1013788235.75</v>
      </c>
      <c r="I39" s="189">
        <v>9477499774</v>
      </c>
      <c r="J39" s="189">
        <v>7206286828.8400002</v>
      </c>
      <c r="K39" s="189">
        <v>4303243579.5</v>
      </c>
      <c r="L39" s="189">
        <v>848963967.65999997</v>
      </c>
      <c r="M39" s="189">
        <v>4365349107</v>
      </c>
      <c r="N39" s="189">
        <v>4055937724.02</v>
      </c>
      <c r="O39" s="189">
        <v>1435510823.0999999</v>
      </c>
      <c r="P39" s="189">
        <v>1028597227.21</v>
      </c>
      <c r="Q39" s="189">
        <v>1153267014.8699999</v>
      </c>
      <c r="R39" s="189">
        <v>531646388.75999999</v>
      </c>
      <c r="S39" s="189">
        <v>696875028.77999997</v>
      </c>
      <c r="T39" s="189">
        <v>426343921.38999999</v>
      </c>
      <c r="U39" s="189">
        <v>1114659986.03</v>
      </c>
      <c r="V39" s="189">
        <v>786007282.34000003</v>
      </c>
      <c r="W39" s="189">
        <v>446505386.74000001</v>
      </c>
      <c r="X39" s="189">
        <v>295404886.80000001</v>
      </c>
      <c r="Y39" s="189">
        <v>717823061.04999995</v>
      </c>
      <c r="Z39" s="189">
        <v>597190609.62</v>
      </c>
      <c r="AA39" s="189">
        <v>346607953.93000001</v>
      </c>
      <c r="AB39" s="189">
        <v>32637421.789999999</v>
      </c>
      <c r="AC39" s="189">
        <v>307313359.67000002</v>
      </c>
      <c r="AD39" s="189">
        <v>187763164.02000001</v>
      </c>
      <c r="AE39" s="189">
        <v>111406065.59999999</v>
      </c>
      <c r="AF39" s="189">
        <v>-920861.11</v>
      </c>
      <c r="AG39" s="189">
        <v>707788345.89999998</v>
      </c>
      <c r="AH39" s="189">
        <v>663778411.00999999</v>
      </c>
      <c r="AI39" s="189">
        <v>53336568.75</v>
      </c>
      <c r="AJ39" s="189">
        <v>32726371.25</v>
      </c>
      <c r="AK39" s="189">
        <v>39255055.890000001</v>
      </c>
      <c r="AL39" s="189">
        <v>34739109.640000001</v>
      </c>
      <c r="AM39" s="189">
        <v>7993329.6399999997</v>
      </c>
      <c r="AN39" s="189">
        <v>52800000</v>
      </c>
      <c r="AO39" s="189">
        <v>-3132165</v>
      </c>
      <c r="AP39" s="189">
        <v>0</v>
      </c>
    </row>
    <row r="40" spans="1:42" x14ac:dyDescent="0.25">
      <c r="A40" s="189" t="s">
        <v>255</v>
      </c>
      <c r="B40" s="189">
        <v>188357.41</v>
      </c>
      <c r="C40" s="189">
        <v>57776.88</v>
      </c>
      <c r="D40" s="189">
        <v>-103272.24</v>
      </c>
      <c r="E40" s="189">
        <v>-6987364.3200000003</v>
      </c>
      <c r="F40" s="189">
        <v>-5827992.54</v>
      </c>
      <c r="G40" s="189">
        <v>-2415949.16</v>
      </c>
      <c r="H40" s="189">
        <v>16995.95</v>
      </c>
      <c r="I40" s="189">
        <v>20370447.079999998</v>
      </c>
      <c r="J40" s="189">
        <v>1206785.98</v>
      </c>
      <c r="K40" s="189">
        <v>1706390.06</v>
      </c>
      <c r="L40" s="189">
        <v>-1805115.12</v>
      </c>
      <c r="M40" s="189">
        <v>11128692.65</v>
      </c>
      <c r="N40" s="189">
        <v>-263497.7</v>
      </c>
      <c r="O40" s="189">
        <v>-2845449.28</v>
      </c>
      <c r="P40" s="189">
        <v>305797.2</v>
      </c>
      <c r="Q40" s="189">
        <v>-141618.96</v>
      </c>
      <c r="R40" s="189">
        <v>808312.18</v>
      </c>
      <c r="S40" s="189">
        <v>-46975.97</v>
      </c>
      <c r="T40" s="189">
        <v>163347.51999999999</v>
      </c>
      <c r="U40" s="189">
        <v>-646637.66</v>
      </c>
      <c r="V40" s="189">
        <v>-2865.4</v>
      </c>
      <c r="W40" s="189">
        <v>-2225.4899999999998</v>
      </c>
      <c r="X40" s="189">
        <v>147960.75</v>
      </c>
      <c r="Y40" s="189">
        <v>-93771.46</v>
      </c>
      <c r="Z40" s="189">
        <v>16647.91</v>
      </c>
      <c r="AA40" s="189">
        <v>4606.45</v>
      </c>
      <c r="AB40" s="189">
        <v>-11937.44</v>
      </c>
      <c r="AC40" s="189">
        <v>0</v>
      </c>
      <c r="AD40" s="189">
        <v>0</v>
      </c>
      <c r="AE40" s="189">
        <v>0</v>
      </c>
      <c r="AF40" s="189">
        <v>0</v>
      </c>
      <c r="AG40" s="189">
        <v>0</v>
      </c>
      <c r="AH40" s="189">
        <v>0</v>
      </c>
      <c r="AI40" s="189">
        <v>0</v>
      </c>
      <c r="AJ40" s="189">
        <v>0</v>
      </c>
      <c r="AK40" s="189">
        <v>14967.57</v>
      </c>
      <c r="AL40" s="189">
        <v>0</v>
      </c>
      <c r="AM40" s="189">
        <v>0</v>
      </c>
      <c r="AN40" s="189">
        <v>0</v>
      </c>
      <c r="AO40" s="189">
        <v>0</v>
      </c>
      <c r="AP40" s="189">
        <v>0</v>
      </c>
    </row>
    <row r="41" spans="1:42" x14ac:dyDescent="0.25">
      <c r="A41" s="189" t="s">
        <v>256</v>
      </c>
      <c r="B41" s="189">
        <v>-506182214.56999999</v>
      </c>
      <c r="C41" s="189">
        <v>-255831339.22</v>
      </c>
      <c r="D41" s="189">
        <v>-179292491.46000001</v>
      </c>
      <c r="E41" s="189">
        <v>-743768039.09000003</v>
      </c>
      <c r="F41" s="189">
        <v>-714443644.60000002</v>
      </c>
      <c r="G41" s="189">
        <v>-667061340.13999999</v>
      </c>
      <c r="H41" s="189">
        <v>-23658383.530000001</v>
      </c>
      <c r="I41" s="189">
        <v>-1245570140.1400001</v>
      </c>
      <c r="J41" s="189">
        <v>493637070.70999998</v>
      </c>
      <c r="K41" s="189">
        <v>612830959.21000004</v>
      </c>
      <c r="L41" s="189">
        <v>-110780867.81999999</v>
      </c>
      <c r="M41" s="189">
        <v>2267429519.5100002</v>
      </c>
      <c r="N41" s="189">
        <v>2754903795.4400001</v>
      </c>
      <c r="O41" s="189">
        <v>660523911.66999996</v>
      </c>
      <c r="P41" s="189">
        <v>203369948.96000001</v>
      </c>
      <c r="Q41" s="189">
        <v>-138369509.66</v>
      </c>
      <c r="R41" s="189">
        <v>-213612892.36000001</v>
      </c>
      <c r="S41" s="189">
        <v>394132062.73000002</v>
      </c>
      <c r="T41" s="189">
        <v>284422035.33999997</v>
      </c>
      <c r="U41" s="189">
        <v>392197708.82999998</v>
      </c>
      <c r="V41" s="189">
        <v>321430902.69</v>
      </c>
      <c r="W41" s="189">
        <v>26688545.309999999</v>
      </c>
      <c r="X41" s="189">
        <v>117620179.62</v>
      </c>
      <c r="Y41" s="189">
        <v>60121940.960000001</v>
      </c>
      <c r="Z41" s="189">
        <v>101918438.54000001</v>
      </c>
      <c r="AA41" s="189">
        <v>102660821.84</v>
      </c>
      <c r="AB41" s="189">
        <v>-31294849.710000001</v>
      </c>
      <c r="AC41" s="189">
        <v>-409954823.60000002</v>
      </c>
      <c r="AD41" s="189">
        <v>-432267673.25999999</v>
      </c>
      <c r="AE41" s="189">
        <v>-228519760.58000001</v>
      </c>
      <c r="AF41" s="189">
        <v>-168697227.69999999</v>
      </c>
      <c r="AG41" s="189">
        <v>509792081.56</v>
      </c>
      <c r="AH41" s="189">
        <v>532531334.85000002</v>
      </c>
      <c r="AI41" s="189">
        <v>-13054898.43</v>
      </c>
      <c r="AJ41" s="189">
        <v>8318100.1299999999</v>
      </c>
      <c r="AK41" s="189">
        <v>-5503841.54</v>
      </c>
      <c r="AL41" s="189">
        <v>-6308222.75</v>
      </c>
      <c r="AM41" s="189">
        <v>-11503530.52</v>
      </c>
      <c r="AN41" s="189">
        <v>37408648.359999999</v>
      </c>
      <c r="AO41" s="189">
        <v>1356435.07</v>
      </c>
      <c r="AP41" s="189">
        <v>0</v>
      </c>
    </row>
    <row r="42" spans="1:42" x14ac:dyDescent="0.25">
      <c r="A42" s="189" t="s">
        <v>257</v>
      </c>
      <c r="B42" s="189">
        <v>725439935.90999997</v>
      </c>
      <c r="C42" s="189">
        <v>725439935.90999997</v>
      </c>
      <c r="D42" s="189">
        <v>725439935.90999997</v>
      </c>
      <c r="E42" s="189">
        <v>1469207975</v>
      </c>
      <c r="F42" s="189">
        <v>1469207975</v>
      </c>
      <c r="G42" s="189">
        <v>1469207975</v>
      </c>
      <c r="H42" s="189">
        <v>1460574051.6099999</v>
      </c>
      <c r="I42" s="189">
        <v>2714778115.1399999</v>
      </c>
      <c r="J42" s="189">
        <v>2714778115.1399999</v>
      </c>
      <c r="K42" s="189">
        <v>2714778115.1399999</v>
      </c>
      <c r="L42" s="189">
        <v>2714778115.1399999</v>
      </c>
      <c r="M42" s="189">
        <v>447348595.63</v>
      </c>
      <c r="N42" s="189">
        <v>447348595.63</v>
      </c>
      <c r="O42" s="189">
        <v>447348595.63</v>
      </c>
      <c r="P42" s="189">
        <v>499850156.29000002</v>
      </c>
      <c r="Q42" s="189">
        <v>585718105.28999996</v>
      </c>
      <c r="R42" s="189">
        <v>585718105.28999996</v>
      </c>
      <c r="S42" s="189">
        <v>585718105.28999996</v>
      </c>
      <c r="T42" s="189">
        <v>585553907.99000001</v>
      </c>
      <c r="U42" s="189">
        <v>193520396.46000001</v>
      </c>
      <c r="V42" s="189">
        <v>193520396.46000001</v>
      </c>
      <c r="W42" s="189">
        <v>193520396.46000001</v>
      </c>
      <c r="X42" s="189">
        <v>193520396.46000001</v>
      </c>
      <c r="Y42" s="189">
        <v>133398455.5</v>
      </c>
      <c r="Z42" s="189">
        <v>133398455.5</v>
      </c>
      <c r="AA42" s="189">
        <v>133398455.5</v>
      </c>
      <c r="AB42" s="189">
        <v>133398455.5</v>
      </c>
      <c r="AC42" s="189">
        <v>543353279.10000002</v>
      </c>
      <c r="AD42" s="189">
        <v>543353279.10000002</v>
      </c>
      <c r="AE42" s="189">
        <v>543353279.10000002</v>
      </c>
      <c r="AF42" s="189">
        <v>543353279.10000002</v>
      </c>
      <c r="AG42" s="189">
        <v>33561197.539999999</v>
      </c>
      <c r="AH42" s="189">
        <v>33561197.539999999</v>
      </c>
      <c r="AI42" s="189">
        <v>33561197.539999999</v>
      </c>
      <c r="AJ42" s="189">
        <v>33561197.539999999</v>
      </c>
      <c r="AK42" s="189">
        <v>39065039.079999998</v>
      </c>
      <c r="AL42" s="189">
        <v>39065039.079999998</v>
      </c>
      <c r="AM42" s="189">
        <v>39065039.079999998</v>
      </c>
      <c r="AN42" s="189">
        <v>1656390.72</v>
      </c>
      <c r="AO42" s="189">
        <v>299955.65000000002</v>
      </c>
      <c r="AP42" s="189">
        <v>0</v>
      </c>
    </row>
    <row r="43" spans="1:42" x14ac:dyDescent="0.25">
      <c r="A43" s="189" t="s">
        <v>258</v>
      </c>
      <c r="B43" s="189">
        <v>219257721.34</v>
      </c>
      <c r="C43" s="189">
        <v>469608596.69</v>
      </c>
      <c r="D43" s="189">
        <v>546147444.45000005</v>
      </c>
      <c r="E43" s="189">
        <v>725439935.90999997</v>
      </c>
      <c r="F43" s="189">
        <v>754764330.39999998</v>
      </c>
      <c r="G43" s="189">
        <v>802146634.86000001</v>
      </c>
      <c r="H43" s="189">
        <v>1436915668.0799999</v>
      </c>
      <c r="I43" s="189">
        <v>1469207975</v>
      </c>
      <c r="J43" s="189">
        <v>3208415185.8499999</v>
      </c>
      <c r="K43" s="189">
        <v>3327609074.3499999</v>
      </c>
      <c r="L43" s="189">
        <v>2603997247.3200002</v>
      </c>
      <c r="M43" s="189">
        <v>2714778115.1399999</v>
      </c>
      <c r="N43" s="189">
        <v>3202252391.0700002</v>
      </c>
      <c r="O43" s="189">
        <v>1107872507.3</v>
      </c>
      <c r="P43" s="189">
        <v>703220105.25</v>
      </c>
      <c r="Q43" s="189">
        <v>447348595.63</v>
      </c>
      <c r="R43" s="189">
        <v>372105212.93000001</v>
      </c>
      <c r="S43" s="189">
        <v>979850168.01999998</v>
      </c>
      <c r="T43" s="189">
        <v>869975943.33000004</v>
      </c>
      <c r="U43" s="189">
        <v>585718105.28999996</v>
      </c>
      <c r="V43" s="189">
        <v>514951299.14999998</v>
      </c>
      <c r="W43" s="189">
        <v>220208941.77000001</v>
      </c>
      <c r="X43" s="189">
        <v>311140576.07999998</v>
      </c>
      <c r="Y43" s="189">
        <v>193520396.46000001</v>
      </c>
      <c r="Z43" s="189">
        <v>235316894.03999999</v>
      </c>
      <c r="AA43" s="189">
        <v>236059277.34</v>
      </c>
      <c r="AB43" s="189">
        <v>102103605.79000001</v>
      </c>
      <c r="AC43" s="189">
        <v>133398455.5</v>
      </c>
      <c r="AD43" s="189">
        <v>111085605.84</v>
      </c>
      <c r="AE43" s="189">
        <v>314833518.51999998</v>
      </c>
      <c r="AF43" s="189">
        <v>374656051.39999998</v>
      </c>
      <c r="AG43" s="189">
        <v>543353279.10000002</v>
      </c>
      <c r="AH43" s="189">
        <v>566092532.38999999</v>
      </c>
      <c r="AI43" s="189">
        <v>20506299.109999999</v>
      </c>
      <c r="AJ43" s="189">
        <v>41879297.670000002</v>
      </c>
      <c r="AK43" s="189">
        <v>33561197.539999999</v>
      </c>
      <c r="AL43" s="189">
        <v>32756816.329999998</v>
      </c>
      <c r="AM43" s="189">
        <v>27561508.559999999</v>
      </c>
      <c r="AN43" s="189">
        <v>39065039.079999998</v>
      </c>
      <c r="AO43" s="189">
        <v>1656390.72</v>
      </c>
      <c r="AP43" s="189">
        <v>0</v>
      </c>
    </row>
    <row r="44" spans="1:42" x14ac:dyDescent="0.25">
      <c r="A44" s="189" t="s">
        <v>259</v>
      </c>
    </row>
    <row r="45" spans="1:42" x14ac:dyDescent="0.25">
      <c r="A45" s="189" t="s">
        <v>260</v>
      </c>
      <c r="B45" s="189">
        <v>0</v>
      </c>
      <c r="C45" s="189">
        <v>-1308525524.96</v>
      </c>
      <c r="D45" s="189">
        <v>0</v>
      </c>
      <c r="E45" s="189">
        <v>-18184307477.130001</v>
      </c>
      <c r="F45" s="189">
        <v>0</v>
      </c>
      <c r="G45" s="189">
        <v>-830012475.75</v>
      </c>
      <c r="H45" s="189">
        <v>0</v>
      </c>
      <c r="I45" s="189">
        <v>-221892631.71000001</v>
      </c>
      <c r="J45" s="189">
        <v>0</v>
      </c>
      <c r="K45" s="189">
        <v>80298108.140000001</v>
      </c>
      <c r="L45" s="189">
        <v>0</v>
      </c>
      <c r="M45" s="189">
        <v>217116825.56</v>
      </c>
      <c r="N45" s="189">
        <v>0</v>
      </c>
      <c r="O45" s="189">
        <v>109241235.23999999</v>
      </c>
      <c r="P45" s="189">
        <v>0</v>
      </c>
      <c r="Q45" s="189">
        <v>128796560.88</v>
      </c>
      <c r="R45" s="189">
        <v>0</v>
      </c>
      <c r="S45" s="189">
        <v>66295055.689999998</v>
      </c>
      <c r="T45" s="189">
        <v>0</v>
      </c>
      <c r="U45" s="189">
        <v>232380750.5</v>
      </c>
      <c r="V45" s="189">
        <v>0</v>
      </c>
      <c r="W45" s="189">
        <v>112083028.34999999</v>
      </c>
      <c r="X45" s="189">
        <v>0</v>
      </c>
      <c r="Y45" s="189">
        <v>189965814.25999999</v>
      </c>
      <c r="Z45" s="189">
        <v>0</v>
      </c>
      <c r="AA45" s="189">
        <v>90460979.849999994</v>
      </c>
      <c r="AB45" s="189">
        <v>0</v>
      </c>
      <c r="AC45" s="189">
        <v>130877875.16</v>
      </c>
      <c r="AD45" s="189">
        <v>0</v>
      </c>
      <c r="AE45" s="189">
        <v>58395136.189999998</v>
      </c>
      <c r="AF45" s="189">
        <v>0</v>
      </c>
      <c r="AG45" s="189">
        <v>70099429.370000005</v>
      </c>
      <c r="AH45" s="189">
        <v>0</v>
      </c>
      <c r="AI45" s="189">
        <v>0</v>
      </c>
      <c r="AJ45" s="189">
        <v>0</v>
      </c>
      <c r="AK45" s="189">
        <v>44478208.549999997</v>
      </c>
      <c r="AL45" s="189">
        <v>0</v>
      </c>
      <c r="AM45" s="189">
        <v>0</v>
      </c>
      <c r="AN45" s="189">
        <v>30254744.84</v>
      </c>
      <c r="AO45" s="189">
        <v>14683477.390000001</v>
      </c>
      <c r="AP45" s="189">
        <v>0</v>
      </c>
    </row>
    <row r="46" spans="1:42"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row>
    <row r="47" spans="1:42"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row>
    <row r="48" spans="1:42" x14ac:dyDescent="0.25">
      <c r="A48" s="189" t="s">
        <v>262</v>
      </c>
      <c r="B48" s="189">
        <v>0</v>
      </c>
      <c r="C48" s="189">
        <v>139263714.81999999</v>
      </c>
      <c r="D48" s="189">
        <v>0</v>
      </c>
      <c r="E48" s="189">
        <v>10881535091.540001</v>
      </c>
      <c r="F48" s="189">
        <v>0</v>
      </c>
      <c r="G48" s="189">
        <v>239159932.38</v>
      </c>
      <c r="H48" s="189">
        <v>0</v>
      </c>
      <c r="I48" s="189">
        <v>351968232.14999998</v>
      </c>
      <c r="J48" s="189">
        <v>0</v>
      </c>
      <c r="K48" s="189">
        <v>49863462.390000001</v>
      </c>
      <c r="L48" s="189">
        <v>0</v>
      </c>
      <c r="M48" s="189">
        <v>120153303.15000001</v>
      </c>
      <c r="N48" s="189">
        <v>0</v>
      </c>
      <c r="O48" s="189">
        <v>29455414.280000001</v>
      </c>
      <c r="P48" s="189">
        <v>0</v>
      </c>
      <c r="Q48" s="189">
        <v>53689254.75</v>
      </c>
      <c r="R48" s="189">
        <v>0</v>
      </c>
      <c r="S48" s="189">
        <v>20048049.030000001</v>
      </c>
      <c r="T48" s="189">
        <v>0</v>
      </c>
      <c r="U48" s="189">
        <v>27769539.780000001</v>
      </c>
      <c r="V48" s="189">
        <v>0</v>
      </c>
      <c r="W48" s="189">
        <v>8376882.8899999997</v>
      </c>
      <c r="X48" s="189">
        <v>0</v>
      </c>
      <c r="Y48" s="189">
        <v>6904764.7300000004</v>
      </c>
      <c r="Z48" s="189">
        <v>0</v>
      </c>
      <c r="AA48" s="189">
        <v>3479156.81</v>
      </c>
      <c r="AB48" s="189">
        <v>0</v>
      </c>
      <c r="AC48" s="189">
        <v>3937088.97</v>
      </c>
      <c r="AD48" s="189">
        <v>0</v>
      </c>
      <c r="AE48" s="189">
        <v>2673621.2400000002</v>
      </c>
      <c r="AF48" s="189">
        <v>0</v>
      </c>
      <c r="AG48" s="189">
        <v>1722398.91</v>
      </c>
      <c r="AH48" s="189">
        <v>0</v>
      </c>
      <c r="AI48" s="189">
        <v>0</v>
      </c>
      <c r="AJ48" s="189">
        <v>0</v>
      </c>
      <c r="AK48" s="189">
        <v>4103784.15</v>
      </c>
      <c r="AL48" s="189">
        <v>0</v>
      </c>
      <c r="AM48" s="189">
        <v>0</v>
      </c>
      <c r="AN48" s="189">
        <v>962227.76</v>
      </c>
      <c r="AO48" s="189">
        <v>100730.65</v>
      </c>
      <c r="AP48" s="189">
        <v>0</v>
      </c>
    </row>
    <row r="49" spans="1:42" x14ac:dyDescent="0.25">
      <c r="A49" s="189" t="s">
        <v>263</v>
      </c>
      <c r="B49" s="189">
        <v>0</v>
      </c>
      <c r="C49" s="189">
        <v>79157177.329999998</v>
      </c>
      <c r="D49" s="189">
        <v>0</v>
      </c>
      <c r="E49" s="189">
        <v>322727542.98000002</v>
      </c>
      <c r="F49" s="189">
        <v>0</v>
      </c>
      <c r="G49" s="189">
        <v>168410310.96000001</v>
      </c>
      <c r="H49" s="189">
        <v>0</v>
      </c>
      <c r="I49" s="189">
        <v>209272104.38999999</v>
      </c>
      <c r="J49" s="189">
        <v>0</v>
      </c>
      <c r="K49" s="189">
        <v>91393572.840000004</v>
      </c>
      <c r="L49" s="189">
        <v>0</v>
      </c>
      <c r="M49" s="189">
        <v>113574965.70999999</v>
      </c>
      <c r="N49" s="189">
        <v>0</v>
      </c>
      <c r="O49" s="189">
        <v>37914906.990000002</v>
      </c>
      <c r="P49" s="189">
        <v>0</v>
      </c>
      <c r="Q49" s="189">
        <v>46692204.240000002</v>
      </c>
      <c r="R49" s="189">
        <v>0</v>
      </c>
      <c r="S49" s="189">
        <v>21718030.260000002</v>
      </c>
      <c r="T49" s="189">
        <v>0</v>
      </c>
      <c r="U49" s="189">
        <v>38929442.439999998</v>
      </c>
      <c r="V49" s="189">
        <v>0</v>
      </c>
      <c r="W49" s="189">
        <v>31226277.329999998</v>
      </c>
      <c r="X49" s="189">
        <v>0</v>
      </c>
      <c r="Y49" s="189">
        <v>47893619.409999996</v>
      </c>
      <c r="Z49" s="189">
        <v>0</v>
      </c>
      <c r="AA49" s="189">
        <v>0</v>
      </c>
      <c r="AB49" s="189">
        <v>0</v>
      </c>
      <c r="AC49" s="189">
        <v>36926475.149999999</v>
      </c>
      <c r="AD49" s="189">
        <v>0</v>
      </c>
      <c r="AE49" s="189">
        <v>16852676.739999998</v>
      </c>
      <c r="AF49" s="189">
        <v>0</v>
      </c>
      <c r="AG49" s="189">
        <v>21308959.489999998</v>
      </c>
      <c r="AH49" s="189">
        <v>0</v>
      </c>
      <c r="AI49" s="189">
        <v>0</v>
      </c>
      <c r="AJ49" s="189">
        <v>0</v>
      </c>
      <c r="AK49" s="189">
        <v>9516243.9800000004</v>
      </c>
      <c r="AL49" s="189">
        <v>0</v>
      </c>
      <c r="AM49" s="189">
        <v>0</v>
      </c>
      <c r="AN49" s="189">
        <v>1237915.47</v>
      </c>
      <c r="AO49" s="189">
        <v>551064.29</v>
      </c>
      <c r="AP49" s="189">
        <v>0</v>
      </c>
    </row>
    <row r="50" spans="1:42" x14ac:dyDescent="0.25">
      <c r="A50" s="189" t="s">
        <v>264</v>
      </c>
      <c r="B50" s="189">
        <v>0</v>
      </c>
      <c r="C50" s="189">
        <v>336895834.36000001</v>
      </c>
      <c r="D50" s="189">
        <v>0</v>
      </c>
      <c r="E50" s="189">
        <v>3084091100.48</v>
      </c>
      <c r="F50" s="189">
        <v>0</v>
      </c>
      <c r="G50" s="189">
        <v>1107234579.5999999</v>
      </c>
      <c r="H50" s="189">
        <v>0</v>
      </c>
      <c r="I50" s="189">
        <v>2071436289.1199999</v>
      </c>
      <c r="J50" s="189">
        <v>0</v>
      </c>
      <c r="K50" s="189">
        <v>904121875.49000001</v>
      </c>
      <c r="L50" s="189">
        <v>0</v>
      </c>
      <c r="M50" s="189">
        <v>1526123746.1099999</v>
      </c>
      <c r="N50" s="189">
        <v>0</v>
      </c>
      <c r="O50" s="189">
        <v>655098591.13</v>
      </c>
      <c r="P50" s="189">
        <v>0</v>
      </c>
      <c r="Q50" s="189">
        <v>1032639064.9400001</v>
      </c>
      <c r="R50" s="189">
        <v>0</v>
      </c>
      <c r="S50" s="189">
        <v>462359714.06</v>
      </c>
      <c r="T50" s="189">
        <v>0</v>
      </c>
      <c r="U50" s="189">
        <v>587085449.21000004</v>
      </c>
      <c r="V50" s="189">
        <v>0</v>
      </c>
      <c r="W50" s="189">
        <v>242694855.28999999</v>
      </c>
      <c r="X50" s="189">
        <v>0</v>
      </c>
      <c r="Y50" s="189">
        <v>381190902.93000001</v>
      </c>
      <c r="Z50" s="189">
        <v>0</v>
      </c>
      <c r="AA50" s="189">
        <v>0</v>
      </c>
      <c r="AB50" s="189">
        <v>0</v>
      </c>
      <c r="AC50" s="189">
        <v>127101986.55</v>
      </c>
      <c r="AD50" s="189">
        <v>0</v>
      </c>
      <c r="AE50" s="189">
        <v>28109971.34</v>
      </c>
      <c r="AF50" s="189">
        <v>0</v>
      </c>
      <c r="AG50" s="189">
        <v>30806720.140000001</v>
      </c>
      <c r="AH50" s="189">
        <v>0</v>
      </c>
      <c r="AI50" s="189">
        <v>0</v>
      </c>
      <c r="AJ50" s="189">
        <v>0</v>
      </c>
      <c r="AK50" s="189">
        <v>16659913.460000001</v>
      </c>
      <c r="AL50" s="189">
        <v>0</v>
      </c>
      <c r="AM50" s="189">
        <v>0</v>
      </c>
      <c r="AN50" s="189">
        <v>8535867.9399999995</v>
      </c>
      <c r="AO50" s="189">
        <v>6729869.3300000001</v>
      </c>
      <c r="AP50" s="189">
        <v>0</v>
      </c>
    </row>
    <row r="51" spans="1:42" x14ac:dyDescent="0.25">
      <c r="A51" s="189" t="s">
        <v>265</v>
      </c>
      <c r="B51" s="189">
        <v>0</v>
      </c>
      <c r="C51" s="189">
        <v>806666.67</v>
      </c>
      <c r="D51" s="189">
        <v>0</v>
      </c>
      <c r="E51" s="189">
        <v>739736.49</v>
      </c>
      <c r="F51" s="189">
        <v>0</v>
      </c>
      <c r="G51" s="189">
        <v>282204</v>
      </c>
      <c r="H51" s="189">
        <v>0</v>
      </c>
      <c r="I51" s="189">
        <v>678802.12</v>
      </c>
      <c r="J51" s="189">
        <v>0</v>
      </c>
      <c r="K51" s="189">
        <v>621658.09</v>
      </c>
      <c r="L51" s="189">
        <v>0</v>
      </c>
      <c r="M51" s="189">
        <v>943669.21</v>
      </c>
      <c r="N51" s="189">
        <v>0</v>
      </c>
      <c r="O51" s="189">
        <v>406784.44</v>
      </c>
      <c r="P51" s="189">
        <v>0</v>
      </c>
      <c r="Q51" s="189">
        <v>317023.31</v>
      </c>
      <c r="R51" s="189">
        <v>0</v>
      </c>
      <c r="S51" s="189">
        <v>0</v>
      </c>
      <c r="T51" s="189">
        <v>0</v>
      </c>
      <c r="U51" s="189">
        <v>0</v>
      </c>
      <c r="V51" s="189">
        <v>0</v>
      </c>
      <c r="W51" s="189">
        <v>0</v>
      </c>
      <c r="X51" s="189">
        <v>0</v>
      </c>
      <c r="Y51" s="189">
        <v>0</v>
      </c>
      <c r="Z51" s="189">
        <v>0</v>
      </c>
      <c r="AA51" s="189">
        <v>0</v>
      </c>
      <c r="AB51" s="189">
        <v>0</v>
      </c>
      <c r="AC51" s="189">
        <v>0</v>
      </c>
      <c r="AD51" s="189">
        <v>0</v>
      </c>
      <c r="AE51" s="189">
        <v>0</v>
      </c>
      <c r="AF51" s="189">
        <v>0</v>
      </c>
      <c r="AG51" s="189">
        <v>0</v>
      </c>
      <c r="AH51" s="189">
        <v>0</v>
      </c>
      <c r="AI51" s="189">
        <v>0</v>
      </c>
      <c r="AJ51" s="189">
        <v>0</v>
      </c>
      <c r="AK51" s="189">
        <v>0</v>
      </c>
      <c r="AL51" s="189">
        <v>0</v>
      </c>
      <c r="AM51" s="189">
        <v>0</v>
      </c>
      <c r="AN51" s="189">
        <v>0</v>
      </c>
      <c r="AO51" s="189">
        <v>0</v>
      </c>
      <c r="AP51" s="189">
        <v>0</v>
      </c>
    </row>
    <row r="52" spans="1:42"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row>
    <row r="53" spans="1:42"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row>
    <row r="54" spans="1:42" x14ac:dyDescent="0.25">
      <c r="A54" s="189" t="s">
        <v>268</v>
      </c>
      <c r="B54" s="189">
        <v>0</v>
      </c>
      <c r="C54" s="189">
        <v>6307249.5499999998</v>
      </c>
      <c r="D54" s="189">
        <v>0</v>
      </c>
      <c r="E54" s="189">
        <v>107972709.81999999</v>
      </c>
      <c r="F54" s="189">
        <v>0</v>
      </c>
      <c r="G54" s="189">
        <v>0</v>
      </c>
      <c r="H54" s="189">
        <v>0</v>
      </c>
      <c r="I54" s="189">
        <v>35423474.439999998</v>
      </c>
      <c r="J54" s="189">
        <v>0</v>
      </c>
      <c r="K54" s="189">
        <v>0</v>
      </c>
      <c r="L54" s="189">
        <v>0</v>
      </c>
      <c r="M54" s="189">
        <v>37634806.939999998</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39481.25</v>
      </c>
      <c r="AH54" s="189">
        <v>0</v>
      </c>
      <c r="AI54" s="189">
        <v>0</v>
      </c>
      <c r="AJ54" s="189">
        <v>0</v>
      </c>
      <c r="AK54" s="189">
        <v>0</v>
      </c>
      <c r="AL54" s="189">
        <v>0</v>
      </c>
      <c r="AM54" s="189">
        <v>0</v>
      </c>
      <c r="AN54" s="189">
        <v>0</v>
      </c>
      <c r="AO54" s="189">
        <v>11352.3</v>
      </c>
      <c r="AP54" s="189">
        <v>0</v>
      </c>
    </row>
    <row r="55" spans="1:42" x14ac:dyDescent="0.25">
      <c r="A55" s="189" t="s">
        <v>269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1167.33</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row>
    <row r="56" spans="1:42" x14ac:dyDescent="0.25">
      <c r="A56" s="189" t="s">
        <v>270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row>
    <row r="57" spans="1:42" x14ac:dyDescent="0.2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row>
    <row r="58" spans="1:42"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row>
    <row r="59" spans="1:42" x14ac:dyDescent="0.25">
      <c r="A59" s="189" t="s">
        <v>197</v>
      </c>
      <c r="B59" s="189">
        <v>0</v>
      </c>
      <c r="C59" s="189">
        <v>385116000.42000002</v>
      </c>
      <c r="D59" s="189">
        <v>0</v>
      </c>
      <c r="E59" s="189">
        <v>883395657.80999994</v>
      </c>
      <c r="F59" s="189">
        <v>0</v>
      </c>
      <c r="G59" s="189">
        <v>300807172.68000001</v>
      </c>
      <c r="H59" s="189">
        <v>0</v>
      </c>
      <c r="I59" s="189">
        <v>550138357.40999997</v>
      </c>
      <c r="J59" s="189">
        <v>0</v>
      </c>
      <c r="K59" s="189">
        <v>194692937.87</v>
      </c>
      <c r="L59" s="189">
        <v>0</v>
      </c>
      <c r="M59" s="189">
        <v>284322482.31999999</v>
      </c>
      <c r="N59" s="189">
        <v>0</v>
      </c>
      <c r="O59" s="189">
        <v>57921526.770000003</v>
      </c>
      <c r="P59" s="189">
        <v>0</v>
      </c>
      <c r="Q59" s="189">
        <v>151285869.65000001</v>
      </c>
      <c r="R59" s="189">
        <v>0</v>
      </c>
      <c r="S59" s="189">
        <v>75657187.950000003</v>
      </c>
      <c r="T59" s="189">
        <v>0</v>
      </c>
      <c r="U59" s="189">
        <v>114181126.34999999</v>
      </c>
      <c r="V59" s="189">
        <v>0</v>
      </c>
      <c r="W59" s="189">
        <v>46076202.259999998</v>
      </c>
      <c r="X59" s="189">
        <v>0</v>
      </c>
      <c r="Y59" s="189">
        <v>58480325.060000002</v>
      </c>
      <c r="Z59" s="189">
        <v>0</v>
      </c>
      <c r="AA59" s="189">
        <v>0</v>
      </c>
      <c r="AB59" s="189">
        <v>0</v>
      </c>
      <c r="AC59" s="189">
        <v>12686640.33</v>
      </c>
      <c r="AD59" s="189">
        <v>0</v>
      </c>
      <c r="AE59" s="189">
        <v>2837893.25</v>
      </c>
      <c r="AF59" s="189">
        <v>0</v>
      </c>
      <c r="AG59" s="189">
        <v>4579038.6500000004</v>
      </c>
      <c r="AH59" s="189">
        <v>0</v>
      </c>
      <c r="AI59" s="189">
        <v>0</v>
      </c>
      <c r="AJ59" s="189">
        <v>0</v>
      </c>
      <c r="AK59" s="189">
        <v>759911.68</v>
      </c>
      <c r="AL59" s="189">
        <v>0</v>
      </c>
      <c r="AM59" s="189">
        <v>0</v>
      </c>
      <c r="AN59" s="189">
        <v>0</v>
      </c>
      <c r="AO59" s="189">
        <v>132165</v>
      </c>
      <c r="AP59" s="189">
        <v>0</v>
      </c>
    </row>
    <row r="60" spans="1:42" x14ac:dyDescent="0.25">
      <c r="A60" s="189" t="s">
        <v>273</v>
      </c>
      <c r="B60" s="189">
        <v>0</v>
      </c>
      <c r="C60" s="189">
        <v>-73967293.170000002</v>
      </c>
      <c r="D60" s="189">
        <v>0</v>
      </c>
      <c r="E60" s="189">
        <v>-173646711.81999999</v>
      </c>
      <c r="F60" s="189">
        <v>0</v>
      </c>
      <c r="G60" s="189">
        <v>-259104358.03999999</v>
      </c>
      <c r="H60" s="189">
        <v>0</v>
      </c>
      <c r="I60" s="189">
        <v>-36637102.640000001</v>
      </c>
      <c r="J60" s="189">
        <v>0</v>
      </c>
      <c r="K60" s="189">
        <v>-15074133.289999999</v>
      </c>
      <c r="L60" s="189">
        <v>0</v>
      </c>
      <c r="M60" s="189">
        <v>-78749437.599999994</v>
      </c>
      <c r="N60" s="189">
        <v>0</v>
      </c>
      <c r="O60" s="189">
        <v>-85263558.980000004</v>
      </c>
      <c r="P60" s="189">
        <v>0</v>
      </c>
      <c r="Q60" s="189">
        <v>-5038.4399999999996</v>
      </c>
      <c r="R60" s="189">
        <v>0</v>
      </c>
      <c r="S60" s="189">
        <v>712463.13</v>
      </c>
      <c r="T60" s="189">
        <v>0</v>
      </c>
      <c r="U60" s="189">
        <v>1355138.81</v>
      </c>
      <c r="V60" s="189">
        <v>0</v>
      </c>
      <c r="W60" s="189">
        <v>1345009.11</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row>
    <row r="61" spans="1:42" x14ac:dyDescent="0.25">
      <c r="A61" s="189" t="s">
        <v>274</v>
      </c>
      <c r="B61" s="189">
        <v>0</v>
      </c>
      <c r="C61" s="189">
        <v>2490826.7400000002</v>
      </c>
      <c r="D61" s="189">
        <v>0</v>
      </c>
      <c r="E61" s="189">
        <v>708172476.67999995</v>
      </c>
      <c r="F61" s="189">
        <v>0</v>
      </c>
      <c r="G61" s="189">
        <v>-149320311.49000001</v>
      </c>
      <c r="H61" s="189">
        <v>0</v>
      </c>
      <c r="I61" s="189">
        <v>-256091967.74000001</v>
      </c>
      <c r="J61" s="189">
        <v>0</v>
      </c>
      <c r="K61" s="189">
        <v>-124558326.84999999</v>
      </c>
      <c r="L61" s="189">
        <v>0</v>
      </c>
      <c r="M61" s="189">
        <v>-311032872.18000001</v>
      </c>
      <c r="N61" s="189">
        <v>0</v>
      </c>
      <c r="O61" s="189">
        <v>-121321079.06</v>
      </c>
      <c r="P61" s="189">
        <v>0</v>
      </c>
      <c r="Q61" s="189">
        <v>-169126784.83000001</v>
      </c>
      <c r="R61" s="189">
        <v>0</v>
      </c>
      <c r="S61" s="189">
        <v>-61862283.780000001</v>
      </c>
      <c r="T61" s="189">
        <v>0</v>
      </c>
      <c r="U61" s="189">
        <v>-24376444.449999999</v>
      </c>
      <c r="V61" s="189">
        <v>0</v>
      </c>
      <c r="W61" s="189">
        <v>-1166311.54</v>
      </c>
      <c r="X61" s="189">
        <v>0</v>
      </c>
      <c r="Y61" s="189">
        <v>-632731.56000000006</v>
      </c>
      <c r="Z61" s="189">
        <v>0</v>
      </c>
      <c r="AA61" s="189">
        <v>0</v>
      </c>
      <c r="AB61" s="189">
        <v>0</v>
      </c>
      <c r="AC61" s="189">
        <v>-672881.86</v>
      </c>
      <c r="AD61" s="189">
        <v>0</v>
      </c>
      <c r="AE61" s="189">
        <v>-469794.55</v>
      </c>
      <c r="AF61" s="189">
        <v>0</v>
      </c>
      <c r="AG61" s="189">
        <v>-261029.01</v>
      </c>
      <c r="AH61" s="189">
        <v>0</v>
      </c>
      <c r="AI61" s="189">
        <v>0</v>
      </c>
      <c r="AJ61" s="189">
        <v>0</v>
      </c>
      <c r="AK61" s="189">
        <v>-727787.21</v>
      </c>
      <c r="AL61" s="189">
        <v>0</v>
      </c>
      <c r="AM61" s="189">
        <v>0</v>
      </c>
      <c r="AN61" s="189">
        <v>-86091.39</v>
      </c>
      <c r="AO61" s="189">
        <v>0</v>
      </c>
      <c r="AP61" s="189">
        <v>0</v>
      </c>
    </row>
    <row r="62" spans="1:42" x14ac:dyDescent="0.25">
      <c r="A62" s="189" t="s">
        <v>275</v>
      </c>
      <c r="B62" s="189">
        <v>0</v>
      </c>
      <c r="C62" s="189">
        <v>0</v>
      </c>
      <c r="D62" s="189">
        <v>0</v>
      </c>
      <c r="E62" s="189">
        <v>0</v>
      </c>
      <c r="F62" s="189">
        <v>0</v>
      </c>
      <c r="G62" s="189">
        <v>0</v>
      </c>
      <c r="H62" s="189">
        <v>0</v>
      </c>
      <c r="I62" s="189">
        <v>-3452009.31</v>
      </c>
      <c r="J62" s="189">
        <v>0</v>
      </c>
      <c r="K62" s="189">
        <v>1248681.23</v>
      </c>
      <c r="L62" s="189">
        <v>0</v>
      </c>
      <c r="M62" s="189">
        <v>6489861.7300000004</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row>
    <row r="63" spans="1:42" x14ac:dyDescent="0.25">
      <c r="A63" s="189" t="s">
        <v>276</v>
      </c>
      <c r="B63" s="189">
        <v>0</v>
      </c>
      <c r="C63" s="189">
        <v>-80215199.670000002</v>
      </c>
      <c r="D63" s="189">
        <v>0</v>
      </c>
      <c r="E63" s="189">
        <v>97325072.930000007</v>
      </c>
      <c r="F63" s="189">
        <v>0</v>
      </c>
      <c r="G63" s="189">
        <v>-496491762.32999998</v>
      </c>
      <c r="H63" s="189">
        <v>0</v>
      </c>
      <c r="I63" s="189">
        <v>167064614.56</v>
      </c>
      <c r="J63" s="189">
        <v>0</v>
      </c>
      <c r="K63" s="189">
        <v>-904945030.94000006</v>
      </c>
      <c r="L63" s="189">
        <v>0</v>
      </c>
      <c r="M63" s="189">
        <v>-403711270.52999997</v>
      </c>
      <c r="N63" s="189">
        <v>0</v>
      </c>
      <c r="O63" s="189">
        <v>46223495.57</v>
      </c>
      <c r="P63" s="189">
        <v>0</v>
      </c>
      <c r="Q63" s="189">
        <v>-471152317.73000002</v>
      </c>
      <c r="R63" s="189">
        <v>0</v>
      </c>
      <c r="S63" s="189">
        <v>-491912436.08999997</v>
      </c>
      <c r="T63" s="189">
        <v>0</v>
      </c>
      <c r="U63" s="189">
        <v>-123162887.31999999</v>
      </c>
      <c r="V63" s="189">
        <v>0</v>
      </c>
      <c r="W63" s="189">
        <v>-31965105.120000001</v>
      </c>
      <c r="X63" s="189">
        <v>0</v>
      </c>
      <c r="Y63" s="189">
        <v>-21371696.09</v>
      </c>
      <c r="Z63" s="189">
        <v>0</v>
      </c>
      <c r="AA63" s="189">
        <v>0</v>
      </c>
      <c r="AB63" s="189">
        <v>0</v>
      </c>
      <c r="AC63" s="189">
        <v>-1636590.57</v>
      </c>
      <c r="AD63" s="189">
        <v>0</v>
      </c>
      <c r="AE63" s="189">
        <v>-867093.91</v>
      </c>
      <c r="AF63" s="189">
        <v>0</v>
      </c>
      <c r="AG63" s="189">
        <v>-2459274.5699999998</v>
      </c>
      <c r="AH63" s="189">
        <v>0</v>
      </c>
      <c r="AI63" s="189">
        <v>0</v>
      </c>
      <c r="AJ63" s="189">
        <v>0</v>
      </c>
      <c r="AK63" s="189">
        <v>-762462.8</v>
      </c>
      <c r="AL63" s="189">
        <v>0</v>
      </c>
      <c r="AM63" s="189">
        <v>0</v>
      </c>
      <c r="AN63" s="189">
        <v>12500</v>
      </c>
      <c r="AO63" s="189">
        <v>-12500</v>
      </c>
      <c r="AP63" s="189">
        <v>0</v>
      </c>
    </row>
    <row r="64" spans="1:42" x14ac:dyDescent="0.25">
      <c r="A64" s="189" t="s">
        <v>277</v>
      </c>
      <c r="B64" s="189">
        <v>0</v>
      </c>
      <c r="C64" s="189">
        <v>172867146.78999999</v>
      </c>
      <c r="D64" s="189">
        <v>0</v>
      </c>
      <c r="E64" s="189">
        <v>-1513069125.0599999</v>
      </c>
      <c r="F64" s="189">
        <v>0</v>
      </c>
      <c r="G64" s="189">
        <v>-1747055537.02</v>
      </c>
      <c r="H64" s="189">
        <v>0</v>
      </c>
      <c r="I64" s="189">
        <v>-4806681102.21</v>
      </c>
      <c r="J64" s="189">
        <v>0</v>
      </c>
      <c r="K64" s="189">
        <v>-632196555.16999996</v>
      </c>
      <c r="L64" s="189">
        <v>0</v>
      </c>
      <c r="M64" s="189">
        <v>-4226975861.1500001</v>
      </c>
      <c r="N64" s="189">
        <v>0</v>
      </c>
      <c r="O64" s="189">
        <v>-568495438.92999995</v>
      </c>
      <c r="P64" s="189">
        <v>0</v>
      </c>
      <c r="Q64" s="189">
        <v>-1602441439.73</v>
      </c>
      <c r="R64" s="189">
        <v>0</v>
      </c>
      <c r="S64" s="189">
        <v>-957647972.02999997</v>
      </c>
      <c r="T64" s="189">
        <v>0</v>
      </c>
      <c r="U64" s="189">
        <v>-978264760.88</v>
      </c>
      <c r="V64" s="189">
        <v>0</v>
      </c>
      <c r="W64" s="189">
        <v>-192028691.41</v>
      </c>
      <c r="X64" s="189">
        <v>0</v>
      </c>
      <c r="Y64" s="189">
        <v>-774187165.78999996</v>
      </c>
      <c r="Z64" s="189">
        <v>0</v>
      </c>
      <c r="AA64" s="189">
        <v>0</v>
      </c>
      <c r="AB64" s="189">
        <v>0</v>
      </c>
      <c r="AC64" s="189">
        <v>-216455338.78999999</v>
      </c>
      <c r="AD64" s="189">
        <v>0</v>
      </c>
      <c r="AE64" s="189">
        <v>-78543863.640000001</v>
      </c>
      <c r="AF64" s="189">
        <v>0</v>
      </c>
      <c r="AG64" s="189">
        <v>-47368358.840000004</v>
      </c>
      <c r="AH64" s="189">
        <v>0</v>
      </c>
      <c r="AI64" s="189">
        <v>0</v>
      </c>
      <c r="AJ64" s="189">
        <v>0</v>
      </c>
      <c r="AK64" s="189">
        <v>12744608.029999999</v>
      </c>
      <c r="AL64" s="189">
        <v>0</v>
      </c>
      <c r="AM64" s="189">
        <v>0</v>
      </c>
      <c r="AN64" s="189">
        <v>-25840520.670000002</v>
      </c>
      <c r="AO64" s="189">
        <v>-4063470.53</v>
      </c>
      <c r="AP64" s="189">
        <v>0</v>
      </c>
    </row>
    <row r="65" spans="1:42" x14ac:dyDescent="0.25">
      <c r="A65" s="189" t="s">
        <v>278</v>
      </c>
      <c r="B65" s="189">
        <v>0</v>
      </c>
      <c r="C65" s="189">
        <v>-512897591.93000001</v>
      </c>
      <c r="D65" s="189">
        <v>0</v>
      </c>
      <c r="E65" s="189">
        <v>1210946652.6500001</v>
      </c>
      <c r="F65" s="189">
        <v>0</v>
      </c>
      <c r="G65" s="189">
        <v>-485058039.63999999</v>
      </c>
      <c r="H65" s="189">
        <v>0</v>
      </c>
      <c r="I65" s="189">
        <v>734982836.75</v>
      </c>
      <c r="J65" s="189">
        <v>0</v>
      </c>
      <c r="K65" s="189">
        <v>579675765.70000005</v>
      </c>
      <c r="L65" s="189">
        <v>0</v>
      </c>
      <c r="M65" s="189">
        <v>3555649118.0999999</v>
      </c>
      <c r="N65" s="189">
        <v>0</v>
      </c>
      <c r="O65" s="189">
        <v>297159207.14999998</v>
      </c>
      <c r="P65" s="189">
        <v>0</v>
      </c>
      <c r="Q65" s="189">
        <v>994837302.92999995</v>
      </c>
      <c r="R65" s="189">
        <v>0</v>
      </c>
      <c r="S65" s="189">
        <v>1294433688.1300001</v>
      </c>
      <c r="T65" s="189">
        <v>0</v>
      </c>
      <c r="U65" s="189">
        <v>271839256.32999998</v>
      </c>
      <c r="V65" s="189">
        <v>0</v>
      </c>
      <c r="W65" s="189">
        <v>-157491529.84</v>
      </c>
      <c r="X65" s="189">
        <v>0</v>
      </c>
      <c r="Y65" s="189">
        <v>210918388.47</v>
      </c>
      <c r="Z65" s="189">
        <v>0</v>
      </c>
      <c r="AA65" s="189">
        <v>0</v>
      </c>
      <c r="AB65" s="189">
        <v>0</v>
      </c>
      <c r="AC65" s="189">
        <v>52673301.039999999</v>
      </c>
      <c r="AD65" s="189">
        <v>0</v>
      </c>
      <c r="AE65" s="189">
        <v>35788965.850000001</v>
      </c>
      <c r="AF65" s="189">
        <v>0</v>
      </c>
      <c r="AG65" s="189">
        <v>-12982278.390000001</v>
      </c>
      <c r="AH65" s="189">
        <v>0</v>
      </c>
      <c r="AI65" s="189">
        <v>0</v>
      </c>
      <c r="AJ65" s="189">
        <v>0</v>
      </c>
      <c r="AK65" s="189">
        <v>-3434652.98</v>
      </c>
      <c r="AL65" s="189">
        <v>0</v>
      </c>
      <c r="AM65" s="189">
        <v>0</v>
      </c>
      <c r="AN65" s="189">
        <v>1417889.41</v>
      </c>
      <c r="AO65" s="189">
        <v>-8673721.3599999994</v>
      </c>
      <c r="AP65" s="189">
        <v>0</v>
      </c>
    </row>
    <row r="66" spans="1:42"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row>
    <row r="67" spans="1:42"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row>
    <row r="68" spans="1:42" x14ac:dyDescent="0.25">
      <c r="A68" s="189" t="s">
        <v>281</v>
      </c>
      <c r="B68" s="189">
        <v>0</v>
      </c>
      <c r="C68" s="189">
        <v>0</v>
      </c>
      <c r="D68" s="189">
        <v>0</v>
      </c>
      <c r="E68" s="189">
        <v>-66428110.609999999</v>
      </c>
      <c r="F68" s="189">
        <v>0</v>
      </c>
      <c r="G68" s="189">
        <v>-34293119.369999997</v>
      </c>
      <c r="H68" s="189">
        <v>0</v>
      </c>
      <c r="I68" s="189">
        <v>135729333.71000001</v>
      </c>
      <c r="J68" s="189">
        <v>0</v>
      </c>
      <c r="K68" s="189">
        <v>64047599.939999998</v>
      </c>
      <c r="L68" s="189">
        <v>0</v>
      </c>
      <c r="M68" s="189">
        <v>34162539.090000004</v>
      </c>
      <c r="N68" s="189">
        <v>0</v>
      </c>
      <c r="O68" s="189">
        <v>6740521.4800000004</v>
      </c>
      <c r="P68" s="189">
        <v>0</v>
      </c>
      <c r="Q68" s="189">
        <v>68651033.989999995</v>
      </c>
      <c r="R68" s="189">
        <v>0</v>
      </c>
      <c r="S68" s="189">
        <v>31535957.809999999</v>
      </c>
      <c r="T68" s="189">
        <v>0</v>
      </c>
      <c r="U68" s="189">
        <v>28113618.489999998</v>
      </c>
      <c r="V68" s="189">
        <v>0</v>
      </c>
      <c r="W68" s="189">
        <v>2610100.02</v>
      </c>
      <c r="X68" s="189">
        <v>0</v>
      </c>
      <c r="Y68" s="189">
        <v>7037700</v>
      </c>
      <c r="Z68" s="189">
        <v>0</v>
      </c>
      <c r="AA68" s="189">
        <v>0</v>
      </c>
      <c r="AB68" s="189">
        <v>0</v>
      </c>
      <c r="AC68" s="189">
        <v>1466200</v>
      </c>
      <c r="AD68" s="189">
        <v>0</v>
      </c>
      <c r="AE68" s="189">
        <v>0</v>
      </c>
      <c r="AF68" s="189">
        <v>0</v>
      </c>
      <c r="AG68" s="189">
        <v>0</v>
      </c>
      <c r="AH68" s="189">
        <v>0</v>
      </c>
      <c r="AI68" s="189">
        <v>0</v>
      </c>
      <c r="AJ68" s="189">
        <v>0</v>
      </c>
      <c r="AK68" s="189">
        <v>0</v>
      </c>
      <c r="AL68" s="189">
        <v>0</v>
      </c>
      <c r="AM68" s="189">
        <v>0</v>
      </c>
      <c r="AN68" s="189">
        <v>0</v>
      </c>
      <c r="AO68" s="189">
        <v>0</v>
      </c>
      <c r="AP68" s="189">
        <v>0</v>
      </c>
    </row>
    <row r="69" spans="1:42" x14ac:dyDescent="0.25">
      <c r="A69" s="189" t="s">
        <v>282</v>
      </c>
      <c r="B69" s="189">
        <v>0</v>
      </c>
      <c r="C69" s="189">
        <v>-852700993.04999995</v>
      </c>
      <c r="D69" s="189">
        <v>0</v>
      </c>
      <c r="E69" s="189">
        <v>-2640545383.2399998</v>
      </c>
      <c r="F69" s="189">
        <v>0</v>
      </c>
      <c r="G69" s="189">
        <v>-2185441404.02</v>
      </c>
      <c r="H69" s="189">
        <v>0</v>
      </c>
      <c r="I69" s="189">
        <v>-1068060768.96</v>
      </c>
      <c r="J69" s="189">
        <v>0</v>
      </c>
      <c r="K69" s="189">
        <v>289189615.44</v>
      </c>
      <c r="L69" s="189">
        <v>0</v>
      </c>
      <c r="M69" s="189">
        <v>875701876.46000004</v>
      </c>
      <c r="N69" s="189">
        <v>0</v>
      </c>
      <c r="O69" s="189">
        <v>465081606.07999998</v>
      </c>
      <c r="P69" s="189">
        <v>0</v>
      </c>
      <c r="Q69" s="189">
        <v>234182733.96000001</v>
      </c>
      <c r="R69" s="189">
        <v>0</v>
      </c>
      <c r="S69" s="189">
        <v>461337454.16000003</v>
      </c>
      <c r="T69" s="189">
        <v>0</v>
      </c>
      <c r="U69" s="189">
        <v>175851396.59</v>
      </c>
      <c r="V69" s="189">
        <v>0</v>
      </c>
      <c r="W69" s="189">
        <v>61760717.340000004</v>
      </c>
      <c r="X69" s="189">
        <v>0</v>
      </c>
      <c r="Y69" s="189">
        <v>106199921.42</v>
      </c>
      <c r="Z69" s="189">
        <v>0</v>
      </c>
      <c r="AA69" s="189">
        <v>92367781.019999996</v>
      </c>
      <c r="AB69" s="189">
        <v>0</v>
      </c>
      <c r="AC69" s="189">
        <v>146904755.97999999</v>
      </c>
      <c r="AD69" s="189">
        <v>0</v>
      </c>
      <c r="AE69" s="189">
        <v>64777512.509999998</v>
      </c>
      <c r="AF69" s="189">
        <v>0</v>
      </c>
      <c r="AG69" s="189">
        <v>65485087</v>
      </c>
      <c r="AH69" s="189">
        <v>0</v>
      </c>
      <c r="AI69" s="189">
        <v>0</v>
      </c>
      <c r="AJ69" s="189">
        <v>0</v>
      </c>
      <c r="AK69" s="189">
        <v>83403123.849999994</v>
      </c>
      <c r="AL69" s="189">
        <v>0</v>
      </c>
      <c r="AM69" s="189">
        <v>0</v>
      </c>
      <c r="AN69" s="189">
        <v>16494533.359999999</v>
      </c>
      <c r="AO69" s="189">
        <v>9458967.0700000003</v>
      </c>
      <c r="AP69" s="189">
        <v>0</v>
      </c>
    </row>
    <row r="70" spans="1:42"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row>
    <row r="71" spans="1:42"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row>
    <row r="72" spans="1:42" x14ac:dyDescent="0.25">
      <c r="A72" s="189" t="s">
        <v>285</v>
      </c>
      <c r="B72" s="189">
        <v>0</v>
      </c>
      <c r="C72" s="189">
        <v>0</v>
      </c>
      <c r="D72" s="189">
        <v>0</v>
      </c>
      <c r="E72" s="189">
        <v>0</v>
      </c>
      <c r="F72" s="189">
        <v>0</v>
      </c>
      <c r="G72" s="189">
        <v>0</v>
      </c>
      <c r="H72" s="189">
        <v>0</v>
      </c>
      <c r="I72" s="189">
        <v>257630871.91</v>
      </c>
      <c r="J72" s="189">
        <v>0</v>
      </c>
      <c r="K72" s="189">
        <v>75131042.859999999</v>
      </c>
      <c r="L72" s="189">
        <v>0</v>
      </c>
      <c r="M72" s="189">
        <v>48273329.93</v>
      </c>
      <c r="N72" s="189">
        <v>0</v>
      </c>
      <c r="O72" s="189">
        <v>11617257.18</v>
      </c>
      <c r="P72" s="189">
        <v>0</v>
      </c>
      <c r="Q72" s="189">
        <v>198488283.63</v>
      </c>
      <c r="R72" s="189">
        <v>0</v>
      </c>
      <c r="S72" s="189">
        <v>32138991.780000001</v>
      </c>
      <c r="T72" s="189">
        <v>0</v>
      </c>
      <c r="U72" s="189">
        <v>34702328.210000001</v>
      </c>
      <c r="V72" s="189">
        <v>0</v>
      </c>
      <c r="W72" s="189">
        <v>0</v>
      </c>
      <c r="X72" s="189">
        <v>0</v>
      </c>
      <c r="Y72" s="189">
        <v>145650000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row>
    <row r="73" spans="1:42" x14ac:dyDescent="0.25">
      <c r="A73" s="189" t="s">
        <v>286</v>
      </c>
      <c r="B73" s="189">
        <v>0</v>
      </c>
      <c r="C73" s="189">
        <v>469608596.69</v>
      </c>
      <c r="D73" s="189">
        <v>0</v>
      </c>
      <c r="E73" s="189">
        <v>725439935.90999997</v>
      </c>
      <c r="F73" s="189">
        <v>0</v>
      </c>
      <c r="G73" s="189">
        <v>802146634.86000001</v>
      </c>
      <c r="H73" s="189">
        <v>0</v>
      </c>
      <c r="I73" s="189">
        <v>1469207975.01</v>
      </c>
      <c r="J73" s="189">
        <v>0</v>
      </c>
      <c r="K73" s="189">
        <v>3327609074.3499999</v>
      </c>
      <c r="L73" s="189">
        <v>0</v>
      </c>
      <c r="M73" s="189">
        <v>2714778115.1399999</v>
      </c>
      <c r="N73" s="189">
        <v>0</v>
      </c>
      <c r="O73" s="189">
        <v>1107872507.3</v>
      </c>
      <c r="P73" s="189">
        <v>0</v>
      </c>
      <c r="Q73" s="189">
        <v>447348595.63</v>
      </c>
      <c r="R73" s="189">
        <v>0</v>
      </c>
      <c r="S73" s="189">
        <v>979850168.01999998</v>
      </c>
      <c r="T73" s="189">
        <v>0</v>
      </c>
      <c r="U73" s="189">
        <v>585718105.28999996</v>
      </c>
      <c r="V73" s="189">
        <v>0</v>
      </c>
      <c r="W73" s="189">
        <v>220208941.77000001</v>
      </c>
      <c r="X73" s="189">
        <v>0</v>
      </c>
      <c r="Y73" s="189">
        <v>193520396.46000001</v>
      </c>
      <c r="Z73" s="189">
        <v>0</v>
      </c>
      <c r="AA73" s="189">
        <v>236059277.34</v>
      </c>
      <c r="AB73" s="189">
        <v>0</v>
      </c>
      <c r="AC73" s="189">
        <v>133398455.5</v>
      </c>
      <c r="AD73" s="189">
        <v>0</v>
      </c>
      <c r="AE73" s="189">
        <v>314833518.51999998</v>
      </c>
      <c r="AF73" s="189">
        <v>374656051.39999998</v>
      </c>
      <c r="AG73" s="189">
        <v>543353279.10000002</v>
      </c>
      <c r="AH73" s="189">
        <v>566092532.38999999</v>
      </c>
      <c r="AI73" s="189">
        <v>20506299.109999999</v>
      </c>
      <c r="AJ73" s="189">
        <v>41879297.670000002</v>
      </c>
      <c r="AK73" s="189">
        <v>33561197.539999999</v>
      </c>
      <c r="AL73" s="189">
        <v>32756816.329999998</v>
      </c>
      <c r="AM73" s="189">
        <v>27561508.559999999</v>
      </c>
      <c r="AN73" s="189">
        <v>39065039.079999998</v>
      </c>
      <c r="AO73" s="189">
        <v>1656390.72</v>
      </c>
      <c r="AP73" s="189">
        <v>0</v>
      </c>
    </row>
    <row r="74" spans="1:42" x14ac:dyDescent="0.25">
      <c r="A74" s="189" t="s">
        <v>287</v>
      </c>
      <c r="B74" s="189">
        <v>0</v>
      </c>
      <c r="C74" s="189">
        <v>725439935.90999997</v>
      </c>
      <c r="D74" s="189">
        <v>0</v>
      </c>
      <c r="E74" s="189">
        <v>1469207975</v>
      </c>
      <c r="F74" s="189">
        <v>0</v>
      </c>
      <c r="G74" s="189">
        <v>1469207975</v>
      </c>
      <c r="H74" s="189">
        <v>0</v>
      </c>
      <c r="I74" s="189">
        <v>2714778115.1500001</v>
      </c>
      <c r="J74" s="189">
        <v>0</v>
      </c>
      <c r="K74" s="189">
        <v>2714778115.1399999</v>
      </c>
      <c r="L74" s="189">
        <v>0</v>
      </c>
      <c r="M74" s="189">
        <v>447348595.63</v>
      </c>
      <c r="N74" s="189">
        <v>0</v>
      </c>
      <c r="O74" s="189">
        <v>447348595.63</v>
      </c>
      <c r="P74" s="189">
        <v>0</v>
      </c>
      <c r="Q74" s="189">
        <v>585718105.28999996</v>
      </c>
      <c r="R74" s="189">
        <v>0</v>
      </c>
      <c r="S74" s="189">
        <v>585718105.28999996</v>
      </c>
      <c r="T74" s="189">
        <v>0</v>
      </c>
      <c r="U74" s="189">
        <v>193520396.46000001</v>
      </c>
      <c r="V74" s="189">
        <v>0</v>
      </c>
      <c r="W74" s="189">
        <v>193520396.46000001</v>
      </c>
      <c r="X74" s="189">
        <v>0</v>
      </c>
      <c r="Y74" s="189">
        <v>133398455.5</v>
      </c>
      <c r="Z74" s="189">
        <v>0</v>
      </c>
      <c r="AA74" s="189">
        <v>133398455.5</v>
      </c>
      <c r="AB74" s="189">
        <v>0</v>
      </c>
      <c r="AC74" s="189">
        <v>543353279.10000002</v>
      </c>
      <c r="AD74" s="189">
        <v>0</v>
      </c>
      <c r="AE74" s="189">
        <v>543353279.10000002</v>
      </c>
      <c r="AF74" s="189">
        <v>543353279.10000002</v>
      </c>
      <c r="AG74" s="189">
        <v>33561197.539999999</v>
      </c>
      <c r="AH74" s="189">
        <v>33561197.539999999</v>
      </c>
      <c r="AI74" s="189">
        <v>33561197.539999999</v>
      </c>
      <c r="AJ74" s="189">
        <v>33561197.539999999</v>
      </c>
      <c r="AK74" s="189">
        <v>39065039.079999998</v>
      </c>
      <c r="AL74" s="189">
        <v>39065039.079999998</v>
      </c>
      <c r="AM74" s="189">
        <v>39065039.079999998</v>
      </c>
      <c r="AN74" s="189">
        <v>1656390.72</v>
      </c>
      <c r="AO74" s="189">
        <v>299955.65000000002</v>
      </c>
      <c r="AP74" s="189">
        <v>0</v>
      </c>
    </row>
    <row r="75" spans="1:42" x14ac:dyDescent="0.25">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row>
    <row r="76" spans="1:42" x14ac:dyDescent="0.25">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row>
    <row r="77" spans="1:42" x14ac:dyDescent="0.25">
      <c r="A77" s="189" t="s">
        <v>290</v>
      </c>
      <c r="B77" s="189">
        <v>0</v>
      </c>
      <c r="C77" s="189">
        <v>-255831339.22</v>
      </c>
      <c r="D77" s="189">
        <v>0</v>
      </c>
      <c r="E77" s="189">
        <v>-743768039.09000003</v>
      </c>
      <c r="F77" s="189">
        <v>0</v>
      </c>
      <c r="G77" s="189">
        <v>-667061340.13999999</v>
      </c>
      <c r="H77" s="189">
        <v>0</v>
      </c>
      <c r="I77" s="189">
        <v>-1245570140.1400001</v>
      </c>
      <c r="J77" s="189">
        <v>0</v>
      </c>
      <c r="K77" s="189">
        <v>612830959.21000004</v>
      </c>
      <c r="L77" s="189">
        <v>0</v>
      </c>
      <c r="M77" s="189">
        <v>2267429519.5100002</v>
      </c>
      <c r="N77" s="189">
        <v>0</v>
      </c>
      <c r="O77" s="189">
        <v>660523911.66999996</v>
      </c>
      <c r="P77" s="189">
        <v>0</v>
      </c>
      <c r="Q77" s="189">
        <v>-138369509.66</v>
      </c>
      <c r="R77" s="189">
        <v>0</v>
      </c>
      <c r="S77" s="189">
        <v>394132062.73000002</v>
      </c>
      <c r="T77" s="189">
        <v>0</v>
      </c>
      <c r="U77" s="189">
        <v>392197708.82999998</v>
      </c>
      <c r="V77" s="189">
        <v>0</v>
      </c>
      <c r="W77" s="189">
        <v>26688545.309999999</v>
      </c>
      <c r="X77" s="189">
        <v>0</v>
      </c>
      <c r="Y77" s="189">
        <v>60121940.960000001</v>
      </c>
      <c r="Z77" s="189">
        <v>0</v>
      </c>
      <c r="AA77" s="189">
        <v>102660821.84</v>
      </c>
      <c r="AB77" s="189">
        <v>0</v>
      </c>
      <c r="AC77" s="189">
        <v>-409954823.60000002</v>
      </c>
      <c r="AD77" s="189">
        <v>0</v>
      </c>
      <c r="AE77" s="189">
        <v>-228519760.58000001</v>
      </c>
      <c r="AF77" s="189">
        <v>-168697227.69999999</v>
      </c>
      <c r="AG77" s="189">
        <v>509792081.56</v>
      </c>
      <c r="AH77" s="189">
        <v>532531334.85000002</v>
      </c>
      <c r="AI77" s="189">
        <v>-13054898.43</v>
      </c>
      <c r="AJ77" s="189">
        <v>8318100.1299999999</v>
      </c>
      <c r="AK77" s="189">
        <v>-5503841.54</v>
      </c>
      <c r="AL77" s="189">
        <v>-6308222.75</v>
      </c>
      <c r="AM77" s="189">
        <v>-11503530.52</v>
      </c>
      <c r="AN77" s="189">
        <v>37408648.359999999</v>
      </c>
      <c r="AO77" s="189">
        <v>1356435.07</v>
      </c>
      <c r="AP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0" width="21.44140625" hidden="1" customWidth="1"/>
    <col min="11" max="11" width="22.6640625" hidden="1" customWidth="1"/>
    <col min="12"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5" width="17.77734375" hidden="1" customWidth="1"/>
    <col min="36" max="36" width="17.77734375" bestFit="1" customWidth="1"/>
    <col min="37" max="37" width="17.21875" bestFit="1" customWidth="1"/>
    <col min="38" max="38" width="16.109375" bestFit="1" customWidth="1"/>
    <col min="39" max="39" width="9.5546875" hidden="1" customWidth="1"/>
    <col min="40"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300104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20091231</v>
      </c>
      <c r="AK1" s="189">
        <v>20081231</v>
      </c>
      <c r="AL1" s="189">
        <v>20071231</v>
      </c>
      <c r="AM1" s="189">
        <v>19700101</v>
      </c>
      <c r="AN1" s="189"/>
      <c r="AO1" s="189"/>
      <c r="AP1" s="189"/>
      <c r="AQ1" s="189"/>
      <c r="AR1" s="189"/>
      <c r="AS1" s="189"/>
      <c r="AT1" s="189"/>
      <c r="AU1" s="189"/>
      <c r="AV1" s="189"/>
      <c r="AW1" s="189"/>
      <c r="AX1" s="189"/>
      <c r="AY1" s="189"/>
      <c r="AZ1" s="189"/>
      <c r="BA1" s="189"/>
      <c r="BB1" s="189"/>
      <c r="BC1" s="189"/>
      <c r="BD1" s="189"/>
      <c r="BE1" s="189"/>
      <c r="BF1" s="189"/>
      <c r="BG1" s="189"/>
      <c r="BH1" s="189"/>
      <c r="BI1" s="189"/>
      <c r="BJ1" s="189"/>
      <c r="BK1" s="189"/>
      <c r="BL1" s="189"/>
      <c r="BM1" s="189"/>
      <c r="BN1" s="189"/>
      <c r="BO1" s="189"/>
      <c r="BP1" s="189"/>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342861234.79000002</v>
      </c>
      <c r="C4" s="189">
        <v>587460955.24000001</v>
      </c>
      <c r="D4" s="189">
        <v>689653335.11000001</v>
      </c>
      <c r="E4" s="189">
        <v>853110169.67999995</v>
      </c>
      <c r="F4" s="189">
        <v>833747348.38999999</v>
      </c>
      <c r="G4" s="189">
        <v>2982416829.2199998</v>
      </c>
      <c r="H4" s="189">
        <v>3657615668.0799999</v>
      </c>
      <c r="I4" s="189">
        <v>3669146356.0799999</v>
      </c>
      <c r="J4" s="189">
        <v>5610655751.3699999</v>
      </c>
      <c r="K4" s="189">
        <v>5557284437.8500004</v>
      </c>
      <c r="L4" s="189">
        <v>2618997247.3200002</v>
      </c>
      <c r="M4" s="189">
        <v>2729778115.1399999</v>
      </c>
      <c r="N4" s="189">
        <v>3254753951.73</v>
      </c>
      <c r="O4" s="189">
        <v>1156372507.3</v>
      </c>
      <c r="P4" s="189">
        <v>703220105.25</v>
      </c>
      <c r="Q4" s="189">
        <v>499850156.29000002</v>
      </c>
      <c r="R4" s="189">
        <v>420605212.93000001</v>
      </c>
      <c r="S4" s="189">
        <v>1028350168.02</v>
      </c>
      <c r="T4" s="189">
        <v>892475943.33000004</v>
      </c>
      <c r="U4" s="189">
        <v>608218105.28999996</v>
      </c>
      <c r="V4" s="189">
        <v>514951299.14999998</v>
      </c>
      <c r="W4" s="189">
        <v>220208941.77000001</v>
      </c>
      <c r="X4" s="189">
        <v>311140576.07999998</v>
      </c>
      <c r="Y4" s="189">
        <v>193520396.46000001</v>
      </c>
      <c r="Z4" s="189">
        <v>235316894.03999999</v>
      </c>
      <c r="AA4" s="189">
        <v>236059277.34</v>
      </c>
      <c r="AB4" s="189">
        <v>102103605.79000001</v>
      </c>
      <c r="AC4" s="189">
        <v>133398455.5</v>
      </c>
      <c r="AD4" s="189">
        <v>111085605.84</v>
      </c>
      <c r="AE4" s="189">
        <v>314833518.51999998</v>
      </c>
      <c r="AF4" s="189">
        <v>374656051.39999998</v>
      </c>
      <c r="AG4" s="189">
        <v>543353279.10000002</v>
      </c>
      <c r="AH4" s="189">
        <v>566092532.38999999</v>
      </c>
      <c r="AI4" s="189">
        <v>20506299.109999999</v>
      </c>
      <c r="AJ4" s="189">
        <v>33561197.539999999</v>
      </c>
      <c r="AK4" s="189">
        <v>39065039.079999998</v>
      </c>
      <c r="AL4" s="189">
        <v>1656390.72</v>
      </c>
      <c r="AM4" s="189">
        <v>0</v>
      </c>
      <c r="AN4" s="189"/>
      <c r="AO4" s="189"/>
      <c r="AP4" s="189"/>
      <c r="AQ4" s="189"/>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189"/>
      <c r="BP4" s="189"/>
      <c r="BQ4" s="189"/>
      <c r="BR4" s="189"/>
      <c r="BS4" s="189"/>
      <c r="BT4" s="189"/>
      <c r="BU4" s="189"/>
      <c r="BV4" s="189"/>
      <c r="BW4" s="189"/>
      <c r="BX4" s="189"/>
      <c r="BY4" s="189"/>
      <c r="BZ4" s="189"/>
      <c r="CA4" s="189"/>
      <c r="CB4" s="189"/>
      <c r="CC4" s="189"/>
      <c r="CD4" s="189"/>
      <c r="CE4" s="189"/>
      <c r="CF4" s="189"/>
      <c r="CG4" s="189"/>
      <c r="CH4" s="189"/>
      <c r="CI4" s="189"/>
      <c r="CJ4" s="189"/>
      <c r="CK4" s="189"/>
      <c r="CL4" s="189"/>
    </row>
    <row r="5" spans="1:90" x14ac:dyDescent="0.25">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c r="AO5" s="189"/>
      <c r="AP5" s="189"/>
      <c r="AQ5" s="189"/>
      <c r="AR5" s="189"/>
      <c r="AS5" s="189"/>
      <c r="AT5" s="189"/>
      <c r="AU5" s="189"/>
      <c r="AV5" s="189"/>
      <c r="AW5" s="189"/>
      <c r="AX5" s="189"/>
      <c r="AY5" s="189"/>
      <c r="AZ5" s="189"/>
      <c r="BA5" s="189"/>
      <c r="BB5" s="189"/>
      <c r="BC5" s="189"/>
      <c r="BD5" s="189"/>
      <c r="BE5" s="189"/>
      <c r="BF5" s="189"/>
      <c r="BG5" s="189"/>
      <c r="BH5" s="189"/>
      <c r="BI5" s="189"/>
      <c r="BJ5" s="189"/>
      <c r="BK5" s="189"/>
      <c r="BL5" s="189"/>
      <c r="BM5" s="189"/>
      <c r="BN5" s="189"/>
      <c r="BO5" s="189"/>
      <c r="BP5" s="189"/>
      <c r="BQ5" s="189"/>
      <c r="BR5" s="189"/>
      <c r="BS5" s="189"/>
      <c r="BT5" s="189"/>
      <c r="BU5" s="189"/>
      <c r="BV5" s="189"/>
      <c r="BW5" s="189"/>
      <c r="BX5" s="189"/>
      <c r="BY5" s="189"/>
      <c r="BZ5" s="189"/>
      <c r="CA5" s="189"/>
      <c r="CB5" s="189"/>
      <c r="CC5" s="189"/>
      <c r="CD5" s="189"/>
      <c r="CE5" s="189"/>
      <c r="CF5" s="189"/>
      <c r="CG5" s="189"/>
      <c r="CH5" s="189"/>
      <c r="CI5" s="189"/>
      <c r="CJ5" s="189"/>
      <c r="CK5" s="189"/>
      <c r="CL5" s="189"/>
    </row>
    <row r="6" spans="1:90" x14ac:dyDescent="0.25">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c r="AO6" s="189"/>
      <c r="AP6" s="189"/>
      <c r="AQ6" s="189"/>
      <c r="AR6" s="189"/>
      <c r="AS6" s="189"/>
      <c r="AT6" s="189"/>
      <c r="AU6" s="189"/>
      <c r="AV6" s="189"/>
      <c r="AW6" s="189"/>
      <c r="AX6" s="189"/>
      <c r="AY6" s="189"/>
      <c r="AZ6" s="189"/>
      <c r="BA6" s="189"/>
      <c r="BB6" s="189"/>
      <c r="BC6" s="189"/>
      <c r="BD6" s="189"/>
      <c r="BE6" s="189"/>
      <c r="BF6" s="189"/>
      <c r="BG6" s="189"/>
      <c r="BH6" s="189"/>
      <c r="BI6" s="189"/>
      <c r="BJ6" s="189"/>
      <c r="BK6" s="189"/>
      <c r="BL6" s="189"/>
      <c r="BM6" s="189"/>
      <c r="BN6" s="189"/>
      <c r="BO6" s="189"/>
      <c r="BP6" s="189"/>
      <c r="BQ6" s="189"/>
      <c r="BR6" s="189"/>
      <c r="BS6" s="189"/>
      <c r="BT6" s="189"/>
      <c r="BU6" s="189"/>
      <c r="BV6" s="189"/>
      <c r="BW6" s="189"/>
      <c r="BX6" s="189"/>
      <c r="BY6" s="189"/>
      <c r="BZ6" s="189"/>
      <c r="CA6" s="189"/>
      <c r="CB6" s="189"/>
      <c r="CC6" s="189"/>
      <c r="CD6" s="189"/>
      <c r="CE6" s="189"/>
      <c r="CF6" s="189"/>
      <c r="CG6" s="189"/>
      <c r="CH6" s="189"/>
      <c r="CI6" s="189"/>
      <c r="CJ6" s="189"/>
      <c r="CK6" s="189"/>
      <c r="CL6" s="189"/>
    </row>
    <row r="7" spans="1:90" x14ac:dyDescent="0.25">
      <c r="A7" s="17" t="s">
        <v>4</v>
      </c>
      <c r="B7" s="189">
        <v>20280876.329999998</v>
      </c>
      <c r="C7" s="189">
        <v>20227937.579999998</v>
      </c>
      <c r="D7" s="189">
        <v>40708713.219999999</v>
      </c>
      <c r="E7" s="189">
        <v>58669581.25</v>
      </c>
      <c r="F7" s="189">
        <v>762355935.38</v>
      </c>
      <c r="G7" s="189">
        <v>756200118.73000002</v>
      </c>
      <c r="H7" s="189">
        <v>590840160.85000002</v>
      </c>
      <c r="I7" s="189">
        <v>714141820.24000001</v>
      </c>
      <c r="J7" s="189">
        <v>568331665.05999994</v>
      </c>
      <c r="K7" s="189">
        <v>510357396.18000001</v>
      </c>
      <c r="L7" s="189">
        <v>30000000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c r="AO7" s="189"/>
      <c r="AP7" s="189"/>
      <c r="AQ7" s="189"/>
      <c r="AR7" s="189"/>
      <c r="AS7" s="189"/>
      <c r="AT7" s="189"/>
      <c r="AU7" s="189"/>
      <c r="AV7" s="189"/>
      <c r="AW7" s="189"/>
      <c r="AX7" s="189"/>
      <c r="AY7" s="189"/>
      <c r="AZ7" s="189"/>
      <c r="BA7" s="189"/>
      <c r="BB7" s="189"/>
      <c r="BC7" s="189"/>
      <c r="BD7" s="189"/>
      <c r="BE7" s="189"/>
      <c r="BF7" s="189"/>
      <c r="BG7" s="189"/>
      <c r="BH7" s="189"/>
      <c r="BI7" s="189"/>
      <c r="BJ7" s="189"/>
      <c r="BK7" s="189"/>
      <c r="BL7" s="189"/>
      <c r="BM7" s="189"/>
      <c r="BN7" s="189"/>
      <c r="BO7" s="189"/>
      <c r="BP7" s="189"/>
      <c r="BQ7" s="189"/>
      <c r="BR7" s="189"/>
      <c r="BS7" s="189"/>
      <c r="BT7" s="189"/>
      <c r="BU7" s="189"/>
      <c r="BV7" s="189"/>
      <c r="BW7" s="189"/>
      <c r="BX7" s="189"/>
      <c r="BY7" s="189"/>
      <c r="BZ7" s="189"/>
      <c r="CA7" s="189"/>
      <c r="CB7" s="189"/>
      <c r="CC7" s="189"/>
      <c r="CD7" s="189"/>
      <c r="CE7" s="189"/>
      <c r="CF7" s="189"/>
      <c r="CG7" s="189"/>
      <c r="CH7" s="189"/>
      <c r="CI7" s="189"/>
      <c r="CJ7" s="189"/>
      <c r="CK7" s="189"/>
      <c r="CL7" s="189"/>
    </row>
    <row r="8" spans="1:90" x14ac:dyDescent="0.25">
      <c r="A8" s="17" t="s">
        <v>5</v>
      </c>
      <c r="B8" s="189">
        <v>777286465.23000002</v>
      </c>
      <c r="C8" s="189">
        <v>791509462.37</v>
      </c>
      <c r="D8" s="189">
        <v>795309685.64999998</v>
      </c>
      <c r="E8" s="189">
        <v>797618603.45000005</v>
      </c>
      <c r="F8" s="189">
        <v>1678177028.6700001</v>
      </c>
      <c r="G8" s="189">
        <v>1688080583.9100001</v>
      </c>
      <c r="H8" s="189">
        <v>1692631521.49</v>
      </c>
      <c r="I8" s="189">
        <v>1690529135.8599999</v>
      </c>
      <c r="J8" s="189">
        <v>1367611967.3</v>
      </c>
      <c r="K8" s="189">
        <v>455032405.51999998</v>
      </c>
      <c r="L8" s="189">
        <v>159142495.86000001</v>
      </c>
      <c r="M8" s="189">
        <v>159529787.22999999</v>
      </c>
      <c r="N8" s="189">
        <v>158382693.03999999</v>
      </c>
      <c r="O8" s="189">
        <v>76465137.379999995</v>
      </c>
      <c r="P8" s="189">
        <v>34182785</v>
      </c>
      <c r="Q8" s="189">
        <v>20000000</v>
      </c>
      <c r="R8" s="189">
        <v>0</v>
      </c>
      <c r="S8" s="189">
        <v>0</v>
      </c>
      <c r="T8" s="189">
        <v>0</v>
      </c>
      <c r="U8" s="189">
        <v>0</v>
      </c>
      <c r="V8" s="189">
        <v>0</v>
      </c>
      <c r="W8" s="189">
        <v>0</v>
      </c>
      <c r="X8" s="189">
        <v>0</v>
      </c>
      <c r="Y8" s="189">
        <v>0</v>
      </c>
      <c r="Z8" s="189">
        <v>0</v>
      </c>
      <c r="AA8" s="189">
        <v>0</v>
      </c>
      <c r="AB8" s="189">
        <v>0</v>
      </c>
      <c r="AC8" s="189">
        <v>0</v>
      </c>
      <c r="AD8" s="189">
        <v>0</v>
      </c>
      <c r="AE8" s="189">
        <v>0</v>
      </c>
      <c r="AF8" s="189">
        <v>0</v>
      </c>
      <c r="AG8" s="189">
        <v>0</v>
      </c>
      <c r="AH8" s="189">
        <v>0</v>
      </c>
      <c r="AI8" s="189">
        <v>0</v>
      </c>
      <c r="AJ8" s="189">
        <v>0</v>
      </c>
      <c r="AK8" s="189">
        <v>0</v>
      </c>
      <c r="AL8" s="189">
        <v>0</v>
      </c>
      <c r="AM8" s="189">
        <v>0</v>
      </c>
      <c r="AN8" s="189"/>
      <c r="AO8" s="189"/>
      <c r="AP8" s="189"/>
      <c r="AQ8" s="189"/>
      <c r="AR8" s="189"/>
      <c r="AS8" s="189"/>
      <c r="AT8" s="189"/>
      <c r="AU8" s="189"/>
      <c r="AV8" s="189"/>
      <c r="AW8" s="189"/>
      <c r="AX8" s="189"/>
      <c r="AY8" s="189"/>
      <c r="AZ8" s="189"/>
      <c r="BA8" s="189"/>
      <c r="BB8" s="189"/>
      <c r="BC8" s="189"/>
      <c r="BD8" s="189"/>
      <c r="BE8" s="189"/>
      <c r="BF8" s="189"/>
      <c r="BG8" s="189"/>
      <c r="BH8" s="189"/>
      <c r="BI8" s="189"/>
      <c r="BJ8" s="189"/>
      <c r="BK8" s="189"/>
      <c r="BL8" s="189"/>
      <c r="BM8" s="189"/>
      <c r="BN8" s="189"/>
      <c r="BO8" s="189"/>
      <c r="BP8" s="189"/>
      <c r="BQ8" s="189"/>
      <c r="BR8" s="189"/>
      <c r="BS8" s="189"/>
      <c r="BT8" s="189"/>
      <c r="BU8" s="189"/>
      <c r="BV8" s="189"/>
      <c r="BW8" s="189"/>
      <c r="BX8" s="189"/>
      <c r="BY8" s="189"/>
      <c r="BZ8" s="189"/>
      <c r="CA8" s="189"/>
      <c r="CB8" s="189"/>
      <c r="CC8" s="189"/>
      <c r="CD8" s="189"/>
      <c r="CE8" s="189"/>
      <c r="CF8" s="189"/>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c r="AO9" s="189"/>
      <c r="AP9" s="189"/>
      <c r="AQ9" s="189"/>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189"/>
      <c r="BP9" s="189"/>
      <c r="BQ9" s="189"/>
      <c r="BR9" s="189"/>
      <c r="BS9" s="189"/>
      <c r="BT9" s="189"/>
      <c r="BU9" s="189"/>
      <c r="BV9" s="189"/>
      <c r="BW9" s="189"/>
      <c r="BX9" s="189"/>
      <c r="BY9" s="189"/>
      <c r="BZ9" s="189"/>
      <c r="CA9" s="189"/>
      <c r="CB9" s="189"/>
      <c r="CC9" s="189"/>
      <c r="CD9" s="189"/>
      <c r="CE9" s="189"/>
      <c r="CF9" s="189"/>
      <c r="CG9" s="189"/>
      <c r="CH9" s="189"/>
      <c r="CI9" s="189"/>
      <c r="CJ9" s="189"/>
      <c r="CK9" s="189"/>
      <c r="CL9" s="189"/>
    </row>
    <row r="10" spans="1:90" x14ac:dyDescent="0.25">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189"/>
      <c r="BJ10" s="189"/>
      <c r="BK10" s="189"/>
      <c r="BL10" s="189"/>
      <c r="BM10" s="189"/>
      <c r="BN10" s="189"/>
      <c r="BO10" s="189"/>
      <c r="BP10" s="189"/>
      <c r="BQ10" s="189"/>
      <c r="BR10" s="189"/>
      <c r="BS10" s="189"/>
      <c r="BT10" s="189"/>
      <c r="BU10" s="189"/>
      <c r="BV10" s="189"/>
      <c r="BW10" s="189"/>
      <c r="BX10" s="189"/>
      <c r="BY10" s="189"/>
      <c r="BZ10" s="189"/>
      <c r="CA10" s="189"/>
      <c r="CB10" s="189"/>
      <c r="CC10" s="189"/>
      <c r="CD10" s="189"/>
      <c r="CE10" s="189"/>
      <c r="CF10" s="189"/>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5000000</v>
      </c>
      <c r="K12" s="189">
        <v>5000000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c r="AO12" s="189"/>
      <c r="AP12" s="189"/>
      <c r="AQ12" s="189"/>
      <c r="AR12" s="189"/>
      <c r="AS12" s="189"/>
      <c r="AT12" s="189"/>
      <c r="AU12" s="189"/>
      <c r="AV12" s="189"/>
      <c r="AW12" s="189"/>
      <c r="AX12" s="189"/>
      <c r="AY12" s="189"/>
      <c r="AZ12" s="189"/>
      <c r="BA12" s="189"/>
      <c r="BB12" s="189"/>
      <c r="BC12" s="189"/>
      <c r="BD12" s="189"/>
      <c r="BE12" s="189"/>
      <c r="BF12" s="189"/>
      <c r="BG12" s="189"/>
      <c r="BH12" s="189"/>
      <c r="BI12" s="189"/>
      <c r="BJ12" s="189"/>
      <c r="BK12" s="189"/>
      <c r="BL12" s="189"/>
      <c r="BM12" s="189"/>
      <c r="BN12" s="189"/>
      <c r="BO12" s="189"/>
      <c r="BP12" s="189"/>
      <c r="BQ12" s="189"/>
      <c r="BR12" s="189"/>
      <c r="BS12" s="189"/>
      <c r="BT12" s="189"/>
      <c r="BU12" s="189"/>
      <c r="BV12" s="189"/>
      <c r="BW12" s="189"/>
      <c r="BX12" s="189"/>
      <c r="BY12" s="189"/>
      <c r="BZ12" s="189"/>
      <c r="CA12" s="189"/>
      <c r="CB12" s="189"/>
      <c r="CC12" s="189"/>
      <c r="CD12" s="189"/>
      <c r="CE12" s="189"/>
      <c r="CF12" s="189"/>
      <c r="CG12" s="189"/>
      <c r="CH12" s="189"/>
      <c r="CI12" s="189"/>
      <c r="CJ12" s="189"/>
      <c r="CK12" s="189"/>
      <c r="CL12" s="189"/>
    </row>
    <row r="13" spans="1:90" x14ac:dyDescent="0.25">
      <c r="A13" s="17" t="s">
        <v>10</v>
      </c>
      <c r="B13" s="189">
        <v>0</v>
      </c>
      <c r="C13" s="189">
        <v>30711562.359999999</v>
      </c>
      <c r="D13" s="189">
        <v>30580358.16</v>
      </c>
      <c r="E13" s="189">
        <v>24332680.530000001</v>
      </c>
      <c r="F13" s="189">
        <v>25166043.57</v>
      </c>
      <c r="G13" s="189">
        <v>14607597.23</v>
      </c>
      <c r="H13" s="189">
        <v>21814398.289999999</v>
      </c>
      <c r="I13" s="189">
        <v>18110043.989999998</v>
      </c>
      <c r="J13" s="189">
        <v>11223272</v>
      </c>
      <c r="K13" s="189">
        <v>4635588.92</v>
      </c>
      <c r="L13" s="189">
        <v>92247.39</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1140428576.3499999</v>
      </c>
      <c r="C17" s="33">
        <f t="shared" ref="C17:BN17" si="0">SUM(C4:C13)</f>
        <v>1429909917.55</v>
      </c>
      <c r="D17" s="33">
        <f t="shared" si="0"/>
        <v>1556252092.1400001</v>
      </c>
      <c r="E17" s="33">
        <f t="shared" si="0"/>
        <v>1733731034.9100001</v>
      </c>
      <c r="F17" s="33">
        <f t="shared" si="0"/>
        <v>3299446356.0100002</v>
      </c>
      <c r="G17" s="33">
        <f t="shared" si="0"/>
        <v>5441305129.0899992</v>
      </c>
      <c r="H17" s="33">
        <f t="shared" si="0"/>
        <v>5962901748.71</v>
      </c>
      <c r="I17" s="33">
        <f t="shared" si="0"/>
        <v>6091927356.1699991</v>
      </c>
      <c r="J17" s="33">
        <f t="shared" si="0"/>
        <v>7562822655.7300005</v>
      </c>
      <c r="K17" s="33">
        <f t="shared" si="0"/>
        <v>6532309828.4700012</v>
      </c>
      <c r="L17" s="33">
        <f t="shared" si="0"/>
        <v>2808231990.5700002</v>
      </c>
      <c r="M17" s="33">
        <f t="shared" si="0"/>
        <v>2889307902.3699999</v>
      </c>
      <c r="N17" s="33">
        <f t="shared" si="0"/>
        <v>3413136644.77</v>
      </c>
      <c r="O17" s="33">
        <f t="shared" si="0"/>
        <v>1232837644.6799998</v>
      </c>
      <c r="P17" s="33">
        <f t="shared" si="0"/>
        <v>737402890.25</v>
      </c>
      <c r="Q17" s="33">
        <f t="shared" si="0"/>
        <v>519850156.29000002</v>
      </c>
      <c r="R17" s="33">
        <f t="shared" si="0"/>
        <v>420605212.93000001</v>
      </c>
      <c r="S17" s="33">
        <f t="shared" si="0"/>
        <v>1028350168.02</v>
      </c>
      <c r="T17" s="33">
        <f t="shared" si="0"/>
        <v>892475943.33000004</v>
      </c>
      <c r="U17" s="33">
        <f t="shared" si="0"/>
        <v>608218105.28999996</v>
      </c>
      <c r="V17" s="33">
        <f t="shared" si="0"/>
        <v>514951299.14999998</v>
      </c>
      <c r="W17" s="33">
        <f t="shared" si="0"/>
        <v>220208941.77000001</v>
      </c>
      <c r="X17" s="33">
        <f t="shared" si="0"/>
        <v>311140576.07999998</v>
      </c>
      <c r="Y17" s="33">
        <f t="shared" si="0"/>
        <v>193520396.46000001</v>
      </c>
      <c r="Z17" s="33">
        <f t="shared" si="0"/>
        <v>235316894.03999999</v>
      </c>
      <c r="AA17" s="33">
        <f t="shared" si="0"/>
        <v>236059277.34</v>
      </c>
      <c r="AB17" s="33">
        <f t="shared" si="0"/>
        <v>102103605.79000001</v>
      </c>
      <c r="AC17" s="33">
        <f t="shared" si="0"/>
        <v>133398455.5</v>
      </c>
      <c r="AD17" s="33">
        <f t="shared" si="0"/>
        <v>111085605.84</v>
      </c>
      <c r="AE17" s="33">
        <f t="shared" si="0"/>
        <v>314833518.51999998</v>
      </c>
      <c r="AF17" s="33">
        <f t="shared" si="0"/>
        <v>374656051.39999998</v>
      </c>
      <c r="AG17" s="33">
        <f t="shared" si="0"/>
        <v>543353279.10000002</v>
      </c>
      <c r="AH17" s="33">
        <f t="shared" si="0"/>
        <v>566092532.38999999</v>
      </c>
      <c r="AI17" s="33">
        <f t="shared" si="0"/>
        <v>20506299.109999999</v>
      </c>
      <c r="AJ17" s="33">
        <f t="shared" si="0"/>
        <v>33561197.539999999</v>
      </c>
      <c r="AK17" s="33">
        <f t="shared" si="0"/>
        <v>39065039.079999998</v>
      </c>
      <c r="AL17" s="33">
        <f t="shared" si="0"/>
        <v>1656390.72</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2212112683.6100001</v>
      </c>
      <c r="C19" s="189">
        <v>2076345232.54</v>
      </c>
      <c r="D19" s="189">
        <v>2025823356.26</v>
      </c>
      <c r="E19" s="189">
        <v>2089964469.5799999</v>
      </c>
      <c r="F19" s="189">
        <v>2054173290.46</v>
      </c>
      <c r="G19" s="189">
        <v>2048530442.8599999</v>
      </c>
      <c r="H19" s="189">
        <v>2073200290.8199999</v>
      </c>
      <c r="I19" s="189">
        <v>2070302115.5899999</v>
      </c>
      <c r="J19" s="189">
        <v>1984954891.5</v>
      </c>
      <c r="K19" s="189">
        <v>1963104979.0799999</v>
      </c>
      <c r="L19" s="189">
        <v>14045233.25</v>
      </c>
      <c r="M19" s="189">
        <v>10045254.039999999</v>
      </c>
      <c r="N19" s="189">
        <v>0</v>
      </c>
      <c r="O19" s="189">
        <v>0</v>
      </c>
      <c r="P19" s="189">
        <v>0</v>
      </c>
      <c r="Q19" s="189">
        <v>0</v>
      </c>
      <c r="R19" s="189">
        <v>20000000</v>
      </c>
      <c r="S19" s="189">
        <v>20000000</v>
      </c>
      <c r="T19" s="189">
        <v>20289633.550000001</v>
      </c>
      <c r="U19" s="189">
        <v>20318733.870000001</v>
      </c>
      <c r="V19" s="189">
        <v>20328863.57</v>
      </c>
      <c r="W19" s="189">
        <v>20328863.57</v>
      </c>
      <c r="X19" s="189">
        <v>20000000</v>
      </c>
      <c r="Y19" s="189">
        <v>20000000</v>
      </c>
      <c r="Z19" s="189">
        <v>20000000</v>
      </c>
      <c r="AA19" s="189">
        <v>20000000</v>
      </c>
      <c r="AB19" s="189">
        <v>20000000</v>
      </c>
      <c r="AC19" s="189">
        <v>20000000</v>
      </c>
      <c r="AD19" s="189">
        <v>22000000</v>
      </c>
      <c r="AE19" s="189">
        <v>0</v>
      </c>
      <c r="AF19" s="189">
        <v>0</v>
      </c>
      <c r="AG19" s="189">
        <v>0</v>
      </c>
      <c r="AH19" s="189">
        <v>0</v>
      </c>
      <c r="AI19" s="189">
        <v>0</v>
      </c>
      <c r="AJ19" s="189">
        <v>0</v>
      </c>
      <c r="AK19" s="189">
        <v>0</v>
      </c>
      <c r="AL19" s="189">
        <v>0</v>
      </c>
      <c r="AM19" s="189">
        <v>0</v>
      </c>
      <c r="AN19" s="189"/>
      <c r="AO19" s="189"/>
      <c r="AP19" s="189"/>
      <c r="AQ19" s="189"/>
      <c r="AR19" s="189"/>
      <c r="AS19" s="189"/>
      <c r="AT19" s="189"/>
      <c r="AU19" s="189"/>
      <c r="AV19" s="189"/>
      <c r="AW19" s="189"/>
      <c r="AX19" s="189"/>
      <c r="AY19" s="189"/>
      <c r="AZ19" s="189"/>
      <c r="BA19" s="189"/>
      <c r="BB19" s="189"/>
      <c r="BC19" s="189"/>
      <c r="BD19" s="189"/>
      <c r="BE19" s="189"/>
      <c r="BF19" s="189"/>
      <c r="BG19" s="189"/>
      <c r="BH19" s="189"/>
      <c r="BI19" s="189"/>
      <c r="BJ19" s="189"/>
      <c r="BK19" s="189"/>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2000000</v>
      </c>
      <c r="C22" s="189">
        <v>2000000</v>
      </c>
      <c r="D22" s="189">
        <v>15270000</v>
      </c>
      <c r="E22" s="189">
        <v>2000000</v>
      </c>
      <c r="F22" s="189">
        <v>2104312.83</v>
      </c>
      <c r="G22" s="189">
        <v>5966102.4699999997</v>
      </c>
      <c r="H22" s="189">
        <v>202873904.34</v>
      </c>
      <c r="I22" s="189">
        <v>5884729.4500000002</v>
      </c>
      <c r="J22" s="189">
        <v>16546044.08</v>
      </c>
      <c r="K22" s="189">
        <v>15981858.24</v>
      </c>
      <c r="L22" s="189">
        <v>244056118</v>
      </c>
      <c r="M22" s="189">
        <v>909130941.24000001</v>
      </c>
      <c r="N22" s="189">
        <v>504044758.00999999</v>
      </c>
      <c r="O22" s="189">
        <v>409937733.48000002</v>
      </c>
      <c r="P22" s="189">
        <v>68173510</v>
      </c>
      <c r="Q22" s="189">
        <v>11337263.640000001</v>
      </c>
      <c r="R22" s="189">
        <v>6182806.4000000004</v>
      </c>
      <c r="S22" s="189">
        <v>74930777.230000004</v>
      </c>
      <c r="T22" s="189">
        <v>150270806.22999999</v>
      </c>
      <c r="U22" s="189">
        <v>54363352.840000004</v>
      </c>
      <c r="V22" s="189">
        <v>1345724.88</v>
      </c>
      <c r="W22" s="189">
        <v>2179064.88</v>
      </c>
      <c r="X22" s="189">
        <v>2271856.19</v>
      </c>
      <c r="Y22" s="189">
        <v>4867634.38</v>
      </c>
      <c r="Z22" s="189">
        <v>946990.76</v>
      </c>
      <c r="AA22" s="189">
        <v>1404314.8</v>
      </c>
      <c r="AB22" s="189">
        <v>1154338.3999999999</v>
      </c>
      <c r="AC22" s="189">
        <v>929916.62</v>
      </c>
      <c r="AD22" s="189">
        <v>275578.21999999997</v>
      </c>
      <c r="AE22" s="189">
        <v>0</v>
      </c>
      <c r="AF22" s="189">
        <v>0</v>
      </c>
      <c r="AG22" s="189">
        <v>0</v>
      </c>
      <c r="AH22" s="189">
        <v>0</v>
      </c>
      <c r="AI22" s="189">
        <v>0</v>
      </c>
      <c r="AJ22" s="189">
        <v>0</v>
      </c>
      <c r="AK22" s="189">
        <v>0</v>
      </c>
      <c r="AL22" s="189">
        <v>0</v>
      </c>
      <c r="AM22" s="189">
        <v>0</v>
      </c>
      <c r="AN22" s="189"/>
      <c r="AO22" s="189"/>
      <c r="AP22" s="189"/>
      <c r="AQ22" s="189"/>
      <c r="AR22" s="189"/>
      <c r="AS22" s="189"/>
      <c r="AT22" s="189"/>
      <c r="AU22" s="189"/>
      <c r="AV22" s="189"/>
      <c r="AW22" s="189"/>
      <c r="AX22" s="189"/>
      <c r="AY22" s="189"/>
      <c r="AZ22" s="189"/>
      <c r="BA22" s="189"/>
      <c r="BB22" s="189"/>
      <c r="BC22" s="189"/>
      <c r="BD22" s="189"/>
      <c r="BE22" s="189"/>
      <c r="BF22" s="189"/>
      <c r="BG22" s="189"/>
      <c r="BH22" s="189"/>
      <c r="BI22" s="189"/>
      <c r="BJ22" s="189"/>
      <c r="BK22" s="189"/>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row>
    <row r="23" spans="1:90" x14ac:dyDescent="0.25">
      <c r="A23" s="17" t="s">
        <v>15</v>
      </c>
      <c r="B23" s="189">
        <v>3124301979.8200002</v>
      </c>
      <c r="C23" s="189">
        <v>3282856798.96</v>
      </c>
      <c r="D23" s="189">
        <v>3566788696.3499999</v>
      </c>
      <c r="E23" s="189">
        <v>3614408001.3299999</v>
      </c>
      <c r="F23" s="189">
        <v>9739917280.2099991</v>
      </c>
      <c r="G23" s="189">
        <v>9542445522.4200001</v>
      </c>
      <c r="H23" s="189">
        <v>9537282766.5300007</v>
      </c>
      <c r="I23" s="189">
        <v>8685855147.6399994</v>
      </c>
      <c r="J23" s="189">
        <v>5060957392.8900003</v>
      </c>
      <c r="K23" s="189">
        <v>4096673674.5999999</v>
      </c>
      <c r="L23" s="189">
        <v>3896024960.6900001</v>
      </c>
      <c r="M23" s="189">
        <v>3359683070.3400002</v>
      </c>
      <c r="N23" s="189">
        <v>3183695721.02</v>
      </c>
      <c r="O23" s="189">
        <v>2492999499.8200002</v>
      </c>
      <c r="P23" s="189">
        <v>2419121945.0900002</v>
      </c>
      <c r="Q23" s="189">
        <v>1892606343.05</v>
      </c>
      <c r="R23" s="189">
        <v>1744608980.8099999</v>
      </c>
      <c r="S23" s="189">
        <v>1548656947.5899999</v>
      </c>
      <c r="T23" s="189">
        <v>1251663311.05</v>
      </c>
      <c r="U23" s="189">
        <v>950248021.05999994</v>
      </c>
      <c r="V23" s="189">
        <v>759973679.08000004</v>
      </c>
      <c r="W23" s="189">
        <v>604064896.14999998</v>
      </c>
      <c r="X23" s="189">
        <v>553705157.15999997</v>
      </c>
      <c r="Y23" s="189">
        <v>370951795.99000001</v>
      </c>
      <c r="Z23" s="189">
        <v>382419849.87</v>
      </c>
      <c r="AA23" s="189">
        <v>283730755.01999998</v>
      </c>
      <c r="AB23" s="189">
        <v>234719457.94</v>
      </c>
      <c r="AC23" s="189">
        <v>177323658.56999999</v>
      </c>
      <c r="AD23" s="189">
        <v>133484133.58</v>
      </c>
      <c r="AE23" s="189">
        <v>144812995.15000001</v>
      </c>
      <c r="AF23" s="189">
        <v>128128624.69</v>
      </c>
      <c r="AG23" s="189">
        <v>69797443.260000005</v>
      </c>
      <c r="AH23" s="189">
        <v>94493125.650000006</v>
      </c>
      <c r="AI23" s="189">
        <v>47534040.899999999</v>
      </c>
      <c r="AJ23" s="189">
        <v>20378780.260000002</v>
      </c>
      <c r="AK23" s="189">
        <v>25451987.379999999</v>
      </c>
      <c r="AL23" s="189">
        <v>7563591.4900000002</v>
      </c>
      <c r="AM23" s="189">
        <v>0</v>
      </c>
      <c r="AN23" s="189"/>
      <c r="AO23" s="189"/>
      <c r="AP23" s="189"/>
      <c r="AQ23" s="189"/>
      <c r="AR23" s="189"/>
      <c r="AS23" s="189"/>
      <c r="AT23" s="189"/>
      <c r="AU23" s="189"/>
      <c r="AV23" s="189"/>
      <c r="AW23" s="189"/>
      <c r="AX23" s="189"/>
      <c r="AY23" s="189"/>
      <c r="AZ23" s="189"/>
      <c r="BA23" s="189"/>
      <c r="BB23" s="189"/>
      <c r="BC23" s="189"/>
      <c r="BD23" s="189"/>
      <c r="BE23" s="189"/>
      <c r="BF23" s="189"/>
      <c r="BG23" s="189"/>
      <c r="BH23" s="189"/>
      <c r="BI23" s="189"/>
      <c r="BJ23" s="189"/>
      <c r="BK23" s="189"/>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row>
    <row r="24" spans="1:90" x14ac:dyDescent="0.25">
      <c r="A24" s="17" t="s">
        <v>16</v>
      </c>
      <c r="B24" s="189">
        <v>606196480.15999997</v>
      </c>
      <c r="C24" s="189">
        <v>613096871.70000005</v>
      </c>
      <c r="D24" s="189">
        <v>612402312.39999998</v>
      </c>
      <c r="E24" s="189">
        <v>574386058.86000001</v>
      </c>
      <c r="F24" s="189">
        <v>580625170.21000004</v>
      </c>
      <c r="G24" s="189">
        <v>747581773.46000004</v>
      </c>
      <c r="H24" s="189">
        <v>635962170.60000002</v>
      </c>
      <c r="I24" s="189">
        <v>619331275.53999996</v>
      </c>
      <c r="J24" s="189">
        <v>1104115806.47</v>
      </c>
      <c r="K24" s="189">
        <v>383935803.06999999</v>
      </c>
      <c r="L24" s="189">
        <v>382015361.10000002</v>
      </c>
      <c r="M24" s="189">
        <v>518179809.88999999</v>
      </c>
      <c r="N24" s="189">
        <v>289513608.83999997</v>
      </c>
      <c r="O24" s="189">
        <v>339991757.61000001</v>
      </c>
      <c r="P24" s="189">
        <v>324178817.25999999</v>
      </c>
      <c r="Q24" s="189">
        <v>298718272.51999998</v>
      </c>
      <c r="R24" s="189">
        <v>482844863.25</v>
      </c>
      <c r="S24" s="189">
        <v>302263092.55000001</v>
      </c>
      <c r="T24" s="189">
        <v>349411357.24000001</v>
      </c>
      <c r="U24" s="189">
        <v>270742918.73000002</v>
      </c>
      <c r="V24" s="189">
        <v>294410169.70999998</v>
      </c>
      <c r="W24" s="189">
        <v>245056651.22</v>
      </c>
      <c r="X24" s="189">
        <v>329133720.55000001</v>
      </c>
      <c r="Y24" s="189">
        <v>246774685.94999999</v>
      </c>
      <c r="Z24" s="189">
        <v>285633081.91000003</v>
      </c>
      <c r="AA24" s="189">
        <v>229099043.55000001</v>
      </c>
      <c r="AB24" s="189">
        <v>268187271.38999999</v>
      </c>
      <c r="AC24" s="189">
        <v>301434319.26999998</v>
      </c>
      <c r="AD24" s="189">
        <v>375739490.64999998</v>
      </c>
      <c r="AE24" s="189">
        <v>232956199.68000001</v>
      </c>
      <c r="AF24" s="189">
        <v>141228360.50999999</v>
      </c>
      <c r="AG24" s="189">
        <v>54211845.130000003</v>
      </c>
      <c r="AH24" s="189">
        <v>30514199.859999999</v>
      </c>
      <c r="AI24" s="189">
        <v>29690924.960000001</v>
      </c>
      <c r="AJ24" s="189">
        <v>9402601.1999999993</v>
      </c>
      <c r="AK24" s="189">
        <v>11386641.800000001</v>
      </c>
      <c r="AL24" s="189">
        <v>602666.68000000005</v>
      </c>
      <c r="AM24" s="189">
        <v>0</v>
      </c>
      <c r="AN24" s="189"/>
      <c r="AO24" s="189"/>
      <c r="AP24" s="189"/>
      <c r="AQ24" s="189"/>
      <c r="AR24" s="189"/>
      <c r="AS24" s="189"/>
      <c r="AT24" s="189"/>
      <c r="AU24" s="189"/>
      <c r="AV24" s="189"/>
      <c r="AW24" s="189"/>
      <c r="AX24" s="189"/>
      <c r="AY24" s="189"/>
      <c r="AZ24" s="189"/>
      <c r="BA24" s="189"/>
      <c r="BB24" s="189"/>
      <c r="BC24" s="189"/>
      <c r="BD24" s="189"/>
      <c r="BE24" s="189"/>
      <c r="BF24" s="189"/>
      <c r="BG24" s="189"/>
      <c r="BH24" s="189"/>
      <c r="BI24" s="189"/>
      <c r="BJ24" s="189"/>
      <c r="BK24" s="189"/>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row>
    <row r="25" spans="1:90" x14ac:dyDescent="0.25">
      <c r="A25" s="17" t="s">
        <v>17</v>
      </c>
      <c r="B25" s="189">
        <v>1290666308.5799999</v>
      </c>
      <c r="C25" s="189">
        <v>1163442955.0599999</v>
      </c>
      <c r="D25" s="189">
        <v>994066302.05999994</v>
      </c>
      <c r="E25" s="189">
        <v>1220388753.5599999</v>
      </c>
      <c r="F25" s="189">
        <v>755520166.75</v>
      </c>
      <c r="G25" s="189">
        <v>2273839692.8099999</v>
      </c>
      <c r="H25" s="189">
        <v>283440706.18000001</v>
      </c>
      <c r="I25" s="189">
        <v>696016127.28999996</v>
      </c>
      <c r="J25" s="189">
        <v>212430474.75999999</v>
      </c>
      <c r="K25" s="189">
        <v>376897420.92000002</v>
      </c>
      <c r="L25" s="189">
        <v>183823661.59999999</v>
      </c>
      <c r="M25" s="189">
        <v>165620378.93000001</v>
      </c>
      <c r="N25" s="189">
        <v>71591651.989999995</v>
      </c>
      <c r="O25" s="189">
        <v>94978238.030000001</v>
      </c>
      <c r="P25" s="189">
        <v>82765087.640000001</v>
      </c>
      <c r="Q25" s="189">
        <v>75839386.689999998</v>
      </c>
      <c r="R25" s="189">
        <v>65713604.490000002</v>
      </c>
      <c r="S25" s="189">
        <v>51824907.219999999</v>
      </c>
      <c r="T25" s="189">
        <v>34656739.590000004</v>
      </c>
      <c r="U25" s="189">
        <v>33148535.629999999</v>
      </c>
      <c r="V25" s="189">
        <v>10000487.15</v>
      </c>
      <c r="W25" s="189">
        <v>12608116.34</v>
      </c>
      <c r="X25" s="189">
        <v>13089203.65</v>
      </c>
      <c r="Y25" s="189">
        <v>9254098.1999999993</v>
      </c>
      <c r="Z25" s="189">
        <v>14009665.859999999</v>
      </c>
      <c r="AA25" s="189">
        <v>9123440.7100000009</v>
      </c>
      <c r="AB25" s="189">
        <v>5106261.17</v>
      </c>
      <c r="AC25" s="189">
        <v>5357250.3899999997</v>
      </c>
      <c r="AD25" s="189">
        <v>1393012.02</v>
      </c>
      <c r="AE25" s="189">
        <v>5814132.75</v>
      </c>
      <c r="AF25" s="189">
        <v>3382555.2</v>
      </c>
      <c r="AG25" s="189">
        <v>2648277.5299999998</v>
      </c>
      <c r="AH25" s="189">
        <v>2626065.73</v>
      </c>
      <c r="AI25" s="189">
        <v>3210187.65</v>
      </c>
      <c r="AJ25" s="189">
        <v>2161357.98</v>
      </c>
      <c r="AK25" s="189">
        <v>9149439.3300000001</v>
      </c>
      <c r="AL25" s="189">
        <v>1055770.43</v>
      </c>
      <c r="AM25" s="189">
        <v>0</v>
      </c>
      <c r="AN25" s="189"/>
      <c r="AO25" s="189"/>
      <c r="AP25" s="189"/>
      <c r="AQ25" s="189"/>
      <c r="AR25" s="189"/>
      <c r="AS25" s="189"/>
      <c r="AT25" s="189"/>
      <c r="AU25" s="189"/>
      <c r="AV25" s="189"/>
      <c r="AW25" s="189"/>
      <c r="AX25" s="189"/>
      <c r="AY25" s="189"/>
      <c r="AZ25" s="189"/>
      <c r="BA25" s="189"/>
      <c r="BB25" s="189"/>
      <c r="BC25" s="189"/>
      <c r="BD25" s="189"/>
      <c r="BE25" s="189"/>
      <c r="BF25" s="189"/>
      <c r="BG25" s="189"/>
      <c r="BH25" s="189"/>
      <c r="BI25" s="189"/>
      <c r="BJ25" s="189"/>
      <c r="BK25" s="189"/>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row>
    <row r="26" spans="1:90" x14ac:dyDescent="0.25">
      <c r="A26" s="17" t="s">
        <v>18</v>
      </c>
      <c r="B26" s="189">
        <v>841145212</v>
      </c>
      <c r="C26" s="189">
        <v>733373050.24000001</v>
      </c>
      <c r="D26" s="189">
        <v>720489211.70000005</v>
      </c>
      <c r="E26" s="189">
        <v>653157850.57000005</v>
      </c>
      <c r="F26" s="189">
        <v>1230734555.5599999</v>
      </c>
      <c r="G26" s="189">
        <v>1439652075.0699999</v>
      </c>
      <c r="H26" s="189">
        <v>1368837455.3900001</v>
      </c>
      <c r="I26" s="189">
        <v>945179396.74000001</v>
      </c>
      <c r="J26" s="189">
        <v>1847968181.4000001</v>
      </c>
      <c r="K26" s="189">
        <v>2041560593.3599999</v>
      </c>
      <c r="L26" s="189">
        <v>1594583576.05</v>
      </c>
      <c r="M26" s="189">
        <v>1138787425.0699999</v>
      </c>
      <c r="N26" s="189">
        <v>539875123.75</v>
      </c>
      <c r="O26" s="189">
        <v>662120213.14999998</v>
      </c>
      <c r="P26" s="189">
        <v>775454398.95000005</v>
      </c>
      <c r="Q26" s="189">
        <v>733526978.69000006</v>
      </c>
      <c r="R26" s="189">
        <v>688523485.73000002</v>
      </c>
      <c r="S26" s="189">
        <v>759085383.42999995</v>
      </c>
      <c r="T26" s="189">
        <v>165607246.90000001</v>
      </c>
      <c r="U26" s="189">
        <v>146626151.46000001</v>
      </c>
      <c r="V26" s="189">
        <v>146709027.59999999</v>
      </c>
      <c r="W26" s="189">
        <v>58625539.149999999</v>
      </c>
      <c r="X26" s="189">
        <v>21839774.710000001</v>
      </c>
      <c r="Y26" s="189">
        <v>26660434.030000001</v>
      </c>
      <c r="Z26" s="189">
        <v>12245837.550000001</v>
      </c>
      <c r="AA26" s="189">
        <v>7092733.96</v>
      </c>
      <c r="AB26" s="189">
        <v>6168316.7400000002</v>
      </c>
      <c r="AC26" s="189">
        <v>5288737.9400000004</v>
      </c>
      <c r="AD26" s="189">
        <v>6809425.4699999997</v>
      </c>
      <c r="AE26" s="189">
        <v>4519241.28</v>
      </c>
      <c r="AF26" s="189">
        <v>3648387.61</v>
      </c>
      <c r="AG26" s="189">
        <v>3652147.37</v>
      </c>
      <c r="AH26" s="189">
        <v>2171934.36</v>
      </c>
      <c r="AI26" s="189">
        <v>1390574.82</v>
      </c>
      <c r="AJ26" s="189">
        <v>1192872.8</v>
      </c>
      <c r="AK26" s="189">
        <v>430410</v>
      </c>
      <c r="AL26" s="189">
        <v>442910</v>
      </c>
      <c r="AM26" s="189">
        <v>0</v>
      </c>
      <c r="AN26" s="189"/>
      <c r="AO26" s="189"/>
      <c r="AP26" s="189"/>
      <c r="AQ26" s="189"/>
      <c r="AR26" s="189"/>
      <c r="AS26" s="189"/>
      <c r="AT26" s="189"/>
      <c r="AU26" s="189"/>
      <c r="AV26" s="189"/>
      <c r="AW26" s="189"/>
      <c r="AX26" s="189"/>
      <c r="AY26" s="189"/>
      <c r="AZ26" s="189"/>
      <c r="BA26" s="189"/>
      <c r="BB26" s="189"/>
      <c r="BC26" s="189"/>
      <c r="BD26" s="189"/>
      <c r="BE26" s="189"/>
      <c r="BF26" s="189"/>
      <c r="BG26" s="189"/>
      <c r="BH26" s="189"/>
      <c r="BI26" s="189"/>
      <c r="BJ26" s="189"/>
      <c r="BK26" s="189"/>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row>
    <row r="27" spans="1:90" x14ac:dyDescent="0.25">
      <c r="A27" s="17" t="s">
        <v>19</v>
      </c>
      <c r="B27" s="189">
        <v>1187517710.1199999</v>
      </c>
      <c r="C27" s="189">
        <v>1429030169.4100001</v>
      </c>
      <c r="D27" s="189">
        <v>1113041823.8399999</v>
      </c>
      <c r="E27" s="189">
        <v>972216181.26999998</v>
      </c>
      <c r="F27" s="189">
        <v>937621261.49000001</v>
      </c>
      <c r="G27" s="189">
        <v>898846724.62</v>
      </c>
      <c r="H27" s="189">
        <v>428238298.17000002</v>
      </c>
      <c r="I27" s="189">
        <v>1229643291.4000001</v>
      </c>
      <c r="J27" s="189">
        <v>277659991.29000002</v>
      </c>
      <c r="K27" s="189">
        <v>452488271.35000002</v>
      </c>
      <c r="L27" s="189">
        <v>447812228.37</v>
      </c>
      <c r="M27" s="189">
        <v>290616467.32999998</v>
      </c>
      <c r="N27" s="189">
        <v>29000000</v>
      </c>
      <c r="O27" s="189">
        <v>29000000</v>
      </c>
      <c r="P27" s="189">
        <v>23000000</v>
      </c>
      <c r="Q27" s="189">
        <v>73000000</v>
      </c>
      <c r="R27" s="189">
        <v>23000000</v>
      </c>
      <c r="S27" s="189">
        <v>23000000</v>
      </c>
      <c r="T27" s="189">
        <v>23000000</v>
      </c>
      <c r="U27" s="189">
        <v>23000000</v>
      </c>
      <c r="V27" s="189">
        <v>23414234.699999999</v>
      </c>
      <c r="W27" s="189">
        <v>24414234.699999999</v>
      </c>
      <c r="X27" s="189">
        <v>30530929.940000001</v>
      </c>
      <c r="Y27" s="189">
        <v>39377223.960000001</v>
      </c>
      <c r="Z27" s="189">
        <v>30000000</v>
      </c>
      <c r="AA27" s="189">
        <v>30000000</v>
      </c>
      <c r="AB27" s="189">
        <v>40000000</v>
      </c>
      <c r="AC27" s="189">
        <v>40000000</v>
      </c>
      <c r="AD27" s="189">
        <v>90000000</v>
      </c>
      <c r="AE27" s="189">
        <v>60000000</v>
      </c>
      <c r="AF27" s="189">
        <v>30000000</v>
      </c>
      <c r="AG27" s="189">
        <v>0</v>
      </c>
      <c r="AH27" s="189">
        <v>0</v>
      </c>
      <c r="AI27" s="189">
        <v>0</v>
      </c>
      <c r="AJ27" s="189">
        <v>0</v>
      </c>
      <c r="AK27" s="189">
        <v>0</v>
      </c>
      <c r="AL27" s="189">
        <v>0</v>
      </c>
      <c r="AM27" s="189">
        <v>0</v>
      </c>
      <c r="AN27" s="189"/>
      <c r="AO27" s="189"/>
      <c r="AP27" s="189"/>
      <c r="AQ27" s="189"/>
      <c r="AR27" s="189"/>
      <c r="AS27" s="189"/>
      <c r="AT27" s="189"/>
      <c r="AU27" s="189"/>
      <c r="AV27" s="189"/>
      <c r="AW27" s="189"/>
      <c r="AX27" s="189"/>
      <c r="AY27" s="189"/>
      <c r="AZ27" s="189"/>
      <c r="BA27" s="189"/>
      <c r="BB27" s="189"/>
      <c r="BC27" s="189"/>
      <c r="BD27" s="189"/>
      <c r="BE27" s="189"/>
      <c r="BF27" s="189"/>
      <c r="BG27" s="189"/>
      <c r="BH27" s="189"/>
      <c r="BI27" s="189"/>
      <c r="BJ27" s="189"/>
      <c r="BK27" s="189"/>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c r="AO28" s="189"/>
      <c r="AP28" s="189"/>
      <c r="AQ28" s="189"/>
      <c r="AR28" s="189"/>
      <c r="AS28" s="189"/>
      <c r="AT28" s="189"/>
      <c r="AU28" s="189"/>
      <c r="AV28" s="189"/>
      <c r="AW28" s="189"/>
      <c r="AX28" s="189"/>
      <c r="AY28" s="189"/>
      <c r="AZ28" s="189"/>
      <c r="BA28" s="189"/>
      <c r="BB28" s="189"/>
      <c r="BC28" s="189"/>
      <c r="BD28" s="189"/>
      <c r="BE28" s="189"/>
      <c r="BF28" s="189"/>
      <c r="BG28" s="189"/>
      <c r="BH28" s="189"/>
      <c r="BI28" s="189"/>
      <c r="BJ28" s="189"/>
      <c r="BK28" s="189"/>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c r="AO29" s="189"/>
      <c r="AP29" s="189"/>
      <c r="AQ29" s="189"/>
      <c r="AR29" s="189"/>
      <c r="AS29" s="189"/>
      <c r="AT29" s="189"/>
      <c r="AU29" s="189"/>
      <c r="AV29" s="189"/>
      <c r="AW29" s="189"/>
      <c r="AX29" s="189"/>
      <c r="AY29" s="189"/>
      <c r="AZ29" s="189"/>
      <c r="BA29" s="189"/>
      <c r="BB29" s="189"/>
      <c r="BC29" s="189"/>
      <c r="BD29" s="189"/>
      <c r="BE29" s="189"/>
      <c r="BF29" s="189"/>
      <c r="BG29" s="189"/>
      <c r="BH29" s="189"/>
      <c r="BI29" s="189"/>
      <c r="BJ29" s="189"/>
      <c r="BK29" s="189"/>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7051827690.6799994</v>
      </c>
      <c r="C33" s="35">
        <f t="shared" ref="C33:BN33" si="2">SUM(C22:C29)</f>
        <v>7223799845.3699989</v>
      </c>
      <c r="D33" s="35">
        <f t="shared" si="2"/>
        <v>7022058346.3499994</v>
      </c>
      <c r="E33" s="35">
        <f t="shared" si="2"/>
        <v>7036556845.5900002</v>
      </c>
      <c r="F33" s="35">
        <f t="shared" si="2"/>
        <v>13246522747.049999</v>
      </c>
      <c r="G33" s="35">
        <f t="shared" si="2"/>
        <v>14908331890.849998</v>
      </c>
      <c r="H33" s="35">
        <f t="shared" si="2"/>
        <v>12456635301.210001</v>
      </c>
      <c r="I33" s="35">
        <f t="shared" si="2"/>
        <v>12181909968.060001</v>
      </c>
      <c r="J33" s="35">
        <f t="shared" si="2"/>
        <v>8519677890.8900003</v>
      </c>
      <c r="K33" s="35">
        <f t="shared" si="2"/>
        <v>7367537621.54</v>
      </c>
      <c r="L33" s="35">
        <f t="shared" si="2"/>
        <v>6748315905.8100004</v>
      </c>
      <c r="M33" s="35">
        <f t="shared" si="2"/>
        <v>6382018092.8000002</v>
      </c>
      <c r="N33" s="35">
        <f t="shared" si="2"/>
        <v>4617720863.6099997</v>
      </c>
      <c r="O33" s="35">
        <f t="shared" si="2"/>
        <v>4029027442.0900006</v>
      </c>
      <c r="P33" s="35">
        <f t="shared" si="2"/>
        <v>3692693758.9400005</v>
      </c>
      <c r="Q33" s="35">
        <f t="shared" si="2"/>
        <v>3085028244.5900002</v>
      </c>
      <c r="R33" s="35">
        <f t="shared" si="2"/>
        <v>3010873740.6799998</v>
      </c>
      <c r="S33" s="35">
        <f t="shared" si="2"/>
        <v>2759761108.02</v>
      </c>
      <c r="T33" s="35">
        <f t="shared" si="2"/>
        <v>1974609461.01</v>
      </c>
      <c r="U33" s="35">
        <f t="shared" si="2"/>
        <v>1478128979.7200003</v>
      </c>
      <c r="V33" s="35">
        <f t="shared" si="2"/>
        <v>1235853323.1200001</v>
      </c>
      <c r="W33" s="35">
        <f t="shared" si="2"/>
        <v>946948502.44000006</v>
      </c>
      <c r="X33" s="35">
        <f t="shared" si="2"/>
        <v>950570642.20000017</v>
      </c>
      <c r="Y33" s="35">
        <f t="shared" si="2"/>
        <v>697885872.50999999</v>
      </c>
      <c r="Z33" s="35">
        <f t="shared" si="2"/>
        <v>725255425.94999993</v>
      </c>
      <c r="AA33" s="35">
        <f t="shared" si="2"/>
        <v>560450288.03999996</v>
      </c>
      <c r="AB33" s="35">
        <f t="shared" si="2"/>
        <v>555335645.6400001</v>
      </c>
      <c r="AC33" s="35">
        <f t="shared" si="2"/>
        <v>530333882.78999996</v>
      </c>
      <c r="AD33" s="35">
        <f t="shared" si="2"/>
        <v>607701639.94000006</v>
      </c>
      <c r="AE33" s="35">
        <f t="shared" si="2"/>
        <v>448102568.86000001</v>
      </c>
      <c r="AF33" s="35">
        <f t="shared" si="2"/>
        <v>306387928.00999999</v>
      </c>
      <c r="AG33" s="35">
        <f t="shared" si="2"/>
        <v>130309713.29000002</v>
      </c>
      <c r="AH33" s="35">
        <f t="shared" si="2"/>
        <v>129805325.60000001</v>
      </c>
      <c r="AI33" s="35">
        <f t="shared" si="2"/>
        <v>81825728.329999998</v>
      </c>
      <c r="AJ33" s="35">
        <f t="shared" si="2"/>
        <v>33135612.240000002</v>
      </c>
      <c r="AK33" s="35">
        <f t="shared" si="2"/>
        <v>46418478.509999998</v>
      </c>
      <c r="AL33" s="35">
        <f t="shared" si="2"/>
        <v>9664938.5999999996</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0</v>
      </c>
      <c r="D35" s="189">
        <v>0</v>
      </c>
      <c r="E35" s="189">
        <v>0</v>
      </c>
      <c r="F35" s="189">
        <v>0</v>
      </c>
      <c r="G35" s="189">
        <v>0</v>
      </c>
      <c r="H35" s="189">
        <v>125000000</v>
      </c>
      <c r="I35" s="189">
        <v>226884006.72</v>
      </c>
      <c r="J35" s="189">
        <v>750884006.72000003</v>
      </c>
      <c r="K35" s="189">
        <v>562500000</v>
      </c>
      <c r="L35" s="189">
        <v>150000000</v>
      </c>
      <c r="M35" s="189">
        <v>0</v>
      </c>
      <c r="N35" s="189">
        <v>120000000</v>
      </c>
      <c r="O35" s="189">
        <v>0</v>
      </c>
      <c r="P35" s="189">
        <v>0</v>
      </c>
      <c r="Q35" s="189">
        <v>20000000</v>
      </c>
      <c r="R35" s="189">
        <v>199485187.69999999</v>
      </c>
      <c r="S35" s="189">
        <v>0</v>
      </c>
      <c r="T35" s="189">
        <v>22500000</v>
      </c>
      <c r="U35" s="189">
        <v>22500000</v>
      </c>
      <c r="V35" s="189">
        <v>0</v>
      </c>
      <c r="W35" s="189">
        <v>0</v>
      </c>
      <c r="X35" s="189">
        <v>0</v>
      </c>
      <c r="Y35" s="189">
        <v>0</v>
      </c>
      <c r="Z35" s="189">
        <v>0</v>
      </c>
      <c r="AA35" s="189">
        <v>0</v>
      </c>
      <c r="AB35" s="189">
        <v>0</v>
      </c>
      <c r="AC35" s="189">
        <v>0</v>
      </c>
      <c r="AD35" s="189">
        <v>0</v>
      </c>
      <c r="AE35" s="189">
        <v>0</v>
      </c>
      <c r="AF35" s="189">
        <v>0</v>
      </c>
      <c r="AG35" s="189">
        <v>0</v>
      </c>
      <c r="AH35" s="189">
        <v>0</v>
      </c>
      <c r="AI35" s="189">
        <v>0</v>
      </c>
      <c r="AJ35" s="189">
        <v>0</v>
      </c>
      <c r="AK35" s="189">
        <v>0</v>
      </c>
      <c r="AL35" s="189">
        <v>0</v>
      </c>
      <c r="AM35" s="189">
        <v>0</v>
      </c>
      <c r="AN35" s="189"/>
      <c r="AO35" s="189"/>
      <c r="AP35" s="189"/>
      <c r="AQ35" s="189"/>
      <c r="AR35" s="189"/>
      <c r="AS35" s="189"/>
      <c r="AT35" s="189"/>
      <c r="AU35" s="189"/>
      <c r="AV35" s="189"/>
      <c r="AW35" s="189"/>
      <c r="AX35" s="189"/>
      <c r="AY35" s="189"/>
      <c r="AZ35" s="189"/>
      <c r="BA35" s="189"/>
      <c r="BB35" s="189"/>
      <c r="BC35" s="189"/>
      <c r="BD35" s="189"/>
      <c r="BE35" s="189"/>
      <c r="BF35" s="189"/>
      <c r="BG35" s="189"/>
      <c r="BH35" s="189"/>
      <c r="BI35" s="189"/>
      <c r="BJ35" s="189"/>
      <c r="BK35" s="189"/>
      <c r="BL35" s="189"/>
      <c r="BM35" s="189"/>
      <c r="BN35" s="189"/>
      <c r="BO35" s="189"/>
      <c r="BP35" s="189"/>
      <c r="BQ35" s="189"/>
      <c r="BR35" s="189"/>
      <c r="BS35" s="189"/>
      <c r="BT35" s="189"/>
      <c r="BU35" s="189"/>
      <c r="BV35" s="189"/>
      <c r="BW35" s="189"/>
      <c r="BX35" s="189"/>
      <c r="BY35" s="189"/>
      <c r="BZ35" s="189"/>
      <c r="CA35" s="189"/>
      <c r="CB35" s="189"/>
      <c r="CC35" s="189"/>
      <c r="CD35" s="189"/>
      <c r="CE35" s="189"/>
      <c r="CF35" s="189"/>
      <c r="CG35" s="189"/>
      <c r="CH35" s="189"/>
      <c r="CI35" s="189"/>
      <c r="CJ35" s="189"/>
      <c r="CK35" s="189"/>
      <c r="CL35" s="189"/>
    </row>
    <row r="36" spans="1:90" x14ac:dyDescent="0.25">
      <c r="A36" s="17" t="s">
        <v>22</v>
      </c>
      <c r="B36" s="189">
        <v>0</v>
      </c>
      <c r="C36" s="189">
        <v>5216518269.04</v>
      </c>
      <c r="D36" s="189">
        <v>5895382904.5200005</v>
      </c>
      <c r="E36" s="189">
        <v>6514482975.3299999</v>
      </c>
      <c r="F36" s="189">
        <v>5361457344.2799997</v>
      </c>
      <c r="G36" s="189">
        <v>5840327241.1000004</v>
      </c>
      <c r="H36" s="189">
        <v>4835548546.5</v>
      </c>
      <c r="I36" s="189">
        <v>5421247492.0900002</v>
      </c>
      <c r="J36" s="189">
        <v>4383290066.5299997</v>
      </c>
      <c r="K36" s="189">
        <v>4793307600.3000002</v>
      </c>
      <c r="L36" s="189">
        <v>4188829138.9200001</v>
      </c>
      <c r="M36" s="189">
        <v>3230743322.8600001</v>
      </c>
      <c r="N36" s="189">
        <v>3040545966.21</v>
      </c>
      <c r="O36" s="189">
        <v>1620104887.8900001</v>
      </c>
      <c r="P36" s="189">
        <v>1475839417.04</v>
      </c>
      <c r="Q36" s="189">
        <v>1605289561.49</v>
      </c>
      <c r="R36" s="189">
        <v>1447035743.21</v>
      </c>
      <c r="S36" s="189">
        <v>1845550685.5899999</v>
      </c>
      <c r="T36" s="189">
        <v>930991633.62</v>
      </c>
      <c r="U36" s="189">
        <v>782182977.60000002</v>
      </c>
      <c r="V36" s="189">
        <v>593393819.10000002</v>
      </c>
      <c r="W36" s="189">
        <v>416593439.36000001</v>
      </c>
      <c r="X36" s="189">
        <v>319612524.98000002</v>
      </c>
      <c r="Y36" s="189">
        <v>327451670.45999998</v>
      </c>
      <c r="Z36" s="189">
        <v>336293521.31999999</v>
      </c>
      <c r="AA36" s="189">
        <v>320227812.19999999</v>
      </c>
      <c r="AB36" s="189">
        <v>343757432</v>
      </c>
      <c r="AC36" s="189">
        <v>237108804.13999999</v>
      </c>
      <c r="AD36" s="189">
        <v>92347342.159999996</v>
      </c>
      <c r="AE36" s="189">
        <v>44560198.869999997</v>
      </c>
      <c r="AF36" s="189">
        <v>35934238.07</v>
      </c>
      <c r="AG36" s="189">
        <v>15101702.130000001</v>
      </c>
      <c r="AH36" s="189">
        <v>13055619</v>
      </c>
      <c r="AI36" s="189">
        <v>9254616.6099999994</v>
      </c>
      <c r="AJ36" s="189">
        <v>4731201</v>
      </c>
      <c r="AK36" s="189">
        <v>344263</v>
      </c>
      <c r="AL36" s="189">
        <v>1221338</v>
      </c>
      <c r="AM36" s="189">
        <v>0</v>
      </c>
      <c r="AN36" s="189"/>
      <c r="AO36" s="189"/>
      <c r="AP36" s="189"/>
      <c r="AQ36" s="189"/>
      <c r="AR36" s="189"/>
      <c r="AS36" s="189"/>
      <c r="AT36" s="189"/>
      <c r="AU36" s="189"/>
      <c r="AV36" s="189"/>
      <c r="AW36" s="189"/>
      <c r="AX36" s="189"/>
      <c r="AY36" s="189"/>
      <c r="AZ36" s="189"/>
      <c r="BA36" s="189"/>
      <c r="BB36" s="189"/>
      <c r="BC36" s="189"/>
      <c r="BD36" s="189"/>
      <c r="BE36" s="189"/>
      <c r="BF36" s="189"/>
      <c r="BG36" s="189"/>
      <c r="BH36" s="189"/>
      <c r="BI36" s="189"/>
      <c r="BJ36" s="189"/>
      <c r="BK36" s="189"/>
      <c r="BL36" s="189"/>
      <c r="BM36" s="189"/>
      <c r="BN36" s="189"/>
      <c r="BO36" s="189"/>
      <c r="BP36" s="189"/>
      <c r="BQ36" s="189"/>
      <c r="BR36" s="189"/>
      <c r="BS36" s="189"/>
      <c r="BT36" s="189"/>
      <c r="BU36" s="189"/>
      <c r="BV36" s="189"/>
      <c r="BW36" s="189"/>
      <c r="BX36" s="189"/>
      <c r="BY36" s="189"/>
      <c r="BZ36" s="189"/>
      <c r="CA36" s="189"/>
      <c r="CB36" s="189"/>
      <c r="CC36" s="189"/>
      <c r="CD36" s="189"/>
      <c r="CE36" s="189"/>
      <c r="CF36" s="189"/>
      <c r="CG36" s="189"/>
      <c r="CH36" s="189"/>
      <c r="CI36" s="189"/>
      <c r="CJ36" s="189"/>
      <c r="CK36" s="189"/>
      <c r="CL36" s="189"/>
    </row>
    <row r="37" spans="1:90" x14ac:dyDescent="0.25">
      <c r="A37" s="17" t="s">
        <v>23</v>
      </c>
      <c r="B37" s="189">
        <v>588545849.28999996</v>
      </c>
      <c r="C37" s="189">
        <v>627138192.55999994</v>
      </c>
      <c r="D37" s="189">
        <v>537212757.44000006</v>
      </c>
      <c r="E37" s="189">
        <v>456754864.86000001</v>
      </c>
      <c r="F37" s="189">
        <v>810863767.57000005</v>
      </c>
      <c r="G37" s="189">
        <v>313500523.68000001</v>
      </c>
      <c r="H37" s="189">
        <v>203648054.13999999</v>
      </c>
      <c r="I37" s="189">
        <v>182669921.06</v>
      </c>
      <c r="J37" s="189">
        <v>446079041.25</v>
      </c>
      <c r="K37" s="189">
        <v>387246046.50999999</v>
      </c>
      <c r="L37" s="189">
        <v>398467102.31999999</v>
      </c>
      <c r="M37" s="189">
        <v>1733076250.8099999</v>
      </c>
      <c r="N37" s="189">
        <v>195998956.41</v>
      </c>
      <c r="O37" s="189">
        <v>683471202.92999995</v>
      </c>
      <c r="P37" s="189">
        <v>347482309.56999999</v>
      </c>
      <c r="Q37" s="189">
        <v>323395607.04000002</v>
      </c>
      <c r="R37" s="189">
        <v>306876208.01999998</v>
      </c>
      <c r="S37" s="189">
        <v>250027578.94999999</v>
      </c>
      <c r="T37" s="189">
        <v>255387535.33000001</v>
      </c>
      <c r="U37" s="189">
        <v>44327746.549999997</v>
      </c>
      <c r="V37" s="189">
        <v>12499516.51</v>
      </c>
      <c r="W37" s="189">
        <v>8551745</v>
      </c>
      <c r="X37" s="189">
        <v>8328095.5700000003</v>
      </c>
      <c r="Y37" s="189">
        <v>6828378.5899999999</v>
      </c>
      <c r="Z37" s="189">
        <v>13734880.539999999</v>
      </c>
      <c r="AA37" s="189">
        <v>17275407.02</v>
      </c>
      <c r="AB37" s="189">
        <v>20068640.670000002</v>
      </c>
      <c r="AC37" s="189">
        <v>15187309.35</v>
      </c>
      <c r="AD37" s="189">
        <v>11544600.699999999</v>
      </c>
      <c r="AE37" s="189">
        <v>11544402.4</v>
      </c>
      <c r="AF37" s="189">
        <v>501340.13</v>
      </c>
      <c r="AG37" s="189">
        <v>2094686.67</v>
      </c>
      <c r="AH37" s="189">
        <v>0</v>
      </c>
      <c r="AI37" s="189">
        <v>51666.67</v>
      </c>
      <c r="AJ37" s="189">
        <v>177777.88</v>
      </c>
      <c r="AK37" s="189">
        <v>0</v>
      </c>
      <c r="AL37" s="189">
        <v>3000</v>
      </c>
      <c r="AM37" s="189">
        <v>0</v>
      </c>
      <c r="AN37" s="189"/>
      <c r="AO37" s="189"/>
      <c r="AP37" s="189"/>
      <c r="AQ37" s="189"/>
      <c r="AR37" s="189"/>
      <c r="AS37" s="189"/>
      <c r="AT37" s="189"/>
      <c r="AU37" s="189"/>
      <c r="AV37" s="189"/>
      <c r="AW37" s="189"/>
      <c r="AX37" s="189"/>
      <c r="AY37" s="189"/>
      <c r="AZ37" s="189"/>
      <c r="BA37" s="189"/>
      <c r="BB37" s="189"/>
      <c r="BC37" s="189"/>
      <c r="BD37" s="189"/>
      <c r="BE37" s="189"/>
      <c r="BF37" s="189"/>
      <c r="BG37" s="189"/>
      <c r="BH37" s="189"/>
      <c r="BI37" s="189"/>
      <c r="BJ37" s="189"/>
      <c r="BK37" s="189"/>
      <c r="BL37" s="189"/>
      <c r="BM37" s="189"/>
      <c r="BN37" s="189"/>
      <c r="BO37" s="189"/>
      <c r="BP37" s="189"/>
      <c r="BQ37" s="189"/>
      <c r="BR37" s="189"/>
      <c r="BS37" s="189"/>
      <c r="BT37" s="189"/>
      <c r="BU37" s="189"/>
      <c r="BV37" s="189"/>
      <c r="BW37" s="189"/>
      <c r="BX37" s="189"/>
      <c r="BY37" s="189"/>
      <c r="BZ37" s="189"/>
      <c r="CA37" s="189"/>
      <c r="CB37" s="189"/>
      <c r="CC37" s="189"/>
      <c r="CD37" s="189"/>
      <c r="CE37" s="189"/>
      <c r="CF37" s="189"/>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c r="AO38" s="189"/>
      <c r="AP38" s="189"/>
      <c r="AQ38" s="189"/>
      <c r="AR38" s="189"/>
      <c r="AS38" s="189"/>
      <c r="AT38" s="189"/>
      <c r="AU38" s="189"/>
      <c r="AV38" s="189"/>
      <c r="AW38" s="189"/>
      <c r="AX38" s="189"/>
      <c r="AY38" s="189"/>
      <c r="AZ38" s="189"/>
      <c r="BA38" s="189"/>
      <c r="BB38" s="189"/>
      <c r="BC38" s="189"/>
      <c r="BD38" s="189"/>
      <c r="BE38" s="189"/>
      <c r="BF38" s="189"/>
      <c r="BG38" s="189"/>
      <c r="BH38" s="189"/>
      <c r="BI38" s="189"/>
      <c r="BJ38" s="189"/>
      <c r="BK38" s="189"/>
      <c r="BL38" s="189"/>
      <c r="BM38" s="189"/>
      <c r="BN38" s="189"/>
      <c r="BO38" s="189"/>
      <c r="BP38" s="189"/>
      <c r="BQ38" s="189"/>
      <c r="BR38" s="189"/>
      <c r="BS38" s="189"/>
      <c r="BT38" s="189"/>
      <c r="BU38" s="189"/>
      <c r="BV38" s="189"/>
      <c r="BW38" s="189"/>
      <c r="BX38" s="189"/>
      <c r="BY38" s="189"/>
      <c r="BZ38" s="189"/>
      <c r="CA38" s="189"/>
      <c r="CB38" s="189"/>
      <c r="CC38" s="189"/>
      <c r="CD38" s="189"/>
      <c r="CE38" s="189"/>
      <c r="CF38" s="189"/>
      <c r="CG38" s="189"/>
      <c r="CH38" s="189"/>
      <c r="CI38" s="189"/>
      <c r="CJ38" s="189"/>
      <c r="CK38" s="189"/>
      <c r="CL38" s="189"/>
    </row>
    <row r="39" spans="1:90" x14ac:dyDescent="0.25">
      <c r="A39" s="17" t="s">
        <v>25</v>
      </c>
      <c r="B39" s="189">
        <v>3273561.91</v>
      </c>
      <c r="C39" s="189">
        <v>2319006.9900000002</v>
      </c>
      <c r="D39" s="189">
        <v>7503991.7199999997</v>
      </c>
      <c r="E39" s="189">
        <v>1228870.1200000001</v>
      </c>
      <c r="F39" s="189">
        <v>16211406.52</v>
      </c>
      <c r="G39" s="189">
        <v>2309638.58</v>
      </c>
      <c r="H39" s="189">
        <v>16383631.17</v>
      </c>
      <c r="I39" s="189">
        <v>9609937.0899999999</v>
      </c>
      <c r="J39" s="189">
        <v>11528714.699999999</v>
      </c>
      <c r="K39" s="189">
        <v>5023090.3499999996</v>
      </c>
      <c r="L39" s="189">
        <v>5226501.03</v>
      </c>
      <c r="M39" s="189">
        <v>5157677.1100000003</v>
      </c>
      <c r="N39" s="189">
        <v>4769448.74</v>
      </c>
      <c r="O39" s="189">
        <v>3795638.7</v>
      </c>
      <c r="P39" s="189">
        <v>3352592.7</v>
      </c>
      <c r="Q39" s="189">
        <v>3009132.52</v>
      </c>
      <c r="R39" s="189">
        <v>3985096.17</v>
      </c>
      <c r="S39" s="189">
        <v>1934243.46</v>
      </c>
      <c r="T39" s="189">
        <v>1280818.83</v>
      </c>
      <c r="U39" s="189">
        <v>2948210.24</v>
      </c>
      <c r="V39" s="189">
        <v>3249311.81</v>
      </c>
      <c r="W39" s="189">
        <v>1369704.78</v>
      </c>
      <c r="X39" s="189">
        <v>2921004.35</v>
      </c>
      <c r="Y39" s="189">
        <v>5154888.46</v>
      </c>
      <c r="Z39" s="189">
        <v>445534.22</v>
      </c>
      <c r="AA39" s="189">
        <v>974573.45</v>
      </c>
      <c r="AB39" s="189">
        <v>1187239.74</v>
      </c>
      <c r="AC39" s="189">
        <v>3940065.46</v>
      </c>
      <c r="AD39" s="189">
        <v>527033.43999999994</v>
      </c>
      <c r="AE39" s="189">
        <v>1658388.52</v>
      </c>
      <c r="AF39" s="189">
        <v>674718.14</v>
      </c>
      <c r="AG39" s="189">
        <v>955802.28</v>
      </c>
      <c r="AH39" s="189">
        <v>732395.19</v>
      </c>
      <c r="AI39" s="189">
        <v>1138613.44</v>
      </c>
      <c r="AJ39" s="189">
        <v>241613.11</v>
      </c>
      <c r="AK39" s="189">
        <v>234124.89</v>
      </c>
      <c r="AL39" s="189">
        <v>480249.38</v>
      </c>
      <c r="AM39" s="189">
        <v>0</v>
      </c>
      <c r="AN39" s="189"/>
      <c r="AO39" s="189"/>
      <c r="AP39" s="189"/>
      <c r="AQ39" s="189"/>
      <c r="AR39" s="189"/>
      <c r="AS39" s="189"/>
      <c r="AT39" s="189"/>
      <c r="AU39" s="189"/>
      <c r="AV39" s="189"/>
      <c r="AW39" s="189"/>
      <c r="AX39" s="189"/>
      <c r="AY39" s="189"/>
      <c r="AZ39" s="189"/>
      <c r="BA39" s="189"/>
      <c r="BB39" s="189"/>
      <c r="BC39" s="189"/>
      <c r="BD39" s="189"/>
      <c r="BE39" s="189"/>
      <c r="BF39" s="189"/>
      <c r="BG39" s="189"/>
      <c r="BH39" s="189"/>
      <c r="BI39" s="189"/>
      <c r="BJ39" s="189"/>
      <c r="BK39" s="189"/>
      <c r="BL39" s="189"/>
      <c r="BM39" s="189"/>
      <c r="BN39" s="189"/>
      <c r="BO39" s="189"/>
      <c r="BP39" s="189"/>
      <c r="BQ39" s="189"/>
      <c r="BR39" s="189"/>
      <c r="BS39" s="189"/>
      <c r="BT39" s="189"/>
      <c r="BU39" s="189"/>
      <c r="BV39" s="189"/>
      <c r="BW39" s="189"/>
      <c r="BX39" s="189"/>
      <c r="BY39" s="189"/>
      <c r="BZ39" s="189"/>
      <c r="CA39" s="189"/>
      <c r="CB39" s="189"/>
      <c r="CC39" s="189"/>
      <c r="CD39" s="189"/>
      <c r="CE39" s="189"/>
      <c r="CF39" s="189"/>
      <c r="CG39" s="189"/>
      <c r="CH39" s="189"/>
      <c r="CI39" s="189"/>
      <c r="CJ39" s="189"/>
      <c r="CK39" s="189"/>
      <c r="CL39" s="189"/>
    </row>
    <row r="40" spans="1:90" x14ac:dyDescent="0.25">
      <c r="A40" s="17" t="s">
        <v>26</v>
      </c>
      <c r="B40" s="189">
        <v>402482596.38999999</v>
      </c>
      <c r="C40" s="189">
        <v>542203253.13999999</v>
      </c>
      <c r="D40" s="189">
        <v>575392428.00999999</v>
      </c>
      <c r="E40" s="189">
        <v>564668668.24000001</v>
      </c>
      <c r="F40" s="189">
        <v>787057960.91999996</v>
      </c>
      <c r="G40" s="189">
        <v>1015498145.02</v>
      </c>
      <c r="H40" s="189">
        <v>940127783.90999997</v>
      </c>
      <c r="I40" s="189">
        <v>774198911.49000001</v>
      </c>
      <c r="J40" s="189">
        <v>354320707.68000001</v>
      </c>
      <c r="K40" s="189">
        <v>617712901.53999996</v>
      </c>
      <c r="L40" s="189">
        <v>612101084.05999994</v>
      </c>
      <c r="M40" s="189">
        <v>577549772.36000001</v>
      </c>
      <c r="N40" s="189">
        <v>443822744.31</v>
      </c>
      <c r="O40" s="189">
        <v>415521741.92000002</v>
      </c>
      <c r="P40" s="189">
        <v>427276894.93000001</v>
      </c>
      <c r="Q40" s="189">
        <v>409757631.22000003</v>
      </c>
      <c r="R40" s="189">
        <v>245916235.71000001</v>
      </c>
      <c r="S40" s="189">
        <v>247700490.47</v>
      </c>
      <c r="T40" s="189">
        <v>189661285.83000001</v>
      </c>
      <c r="U40" s="189">
        <v>155624444.69</v>
      </c>
      <c r="V40" s="189">
        <v>108802099.34999999</v>
      </c>
      <c r="W40" s="189">
        <v>99444583.890000001</v>
      </c>
      <c r="X40" s="189">
        <v>104325792.34</v>
      </c>
      <c r="Y40" s="189">
        <v>86195713.290000007</v>
      </c>
      <c r="Z40" s="189">
        <v>66345065.899999999</v>
      </c>
      <c r="AA40" s="189">
        <v>65050326.990000002</v>
      </c>
      <c r="AB40" s="189">
        <v>58895347.829999998</v>
      </c>
      <c r="AC40" s="189">
        <v>41230586.950000003</v>
      </c>
      <c r="AD40" s="189">
        <v>26653689.199999999</v>
      </c>
      <c r="AE40" s="189">
        <v>14265285.310000001</v>
      </c>
      <c r="AF40" s="189">
        <v>11778912.24</v>
      </c>
      <c r="AG40" s="189">
        <v>4180059</v>
      </c>
      <c r="AH40" s="189">
        <v>5811819.0300000003</v>
      </c>
      <c r="AI40" s="189">
        <v>4851772.05</v>
      </c>
      <c r="AJ40" s="189">
        <v>4304542.5199999996</v>
      </c>
      <c r="AK40" s="189">
        <v>4605335.51</v>
      </c>
      <c r="AL40" s="189">
        <v>1347778.72</v>
      </c>
      <c r="AM40" s="189">
        <v>0</v>
      </c>
      <c r="AN40" s="189"/>
      <c r="AO40" s="189"/>
      <c r="AP40" s="189"/>
      <c r="AQ40" s="189"/>
      <c r="AR40" s="189"/>
      <c r="AS40" s="189"/>
      <c r="AT40" s="189"/>
      <c r="AU40" s="189"/>
      <c r="AV40" s="189"/>
      <c r="AW40" s="189"/>
      <c r="AX40" s="189"/>
      <c r="AY40" s="189"/>
      <c r="AZ40" s="189"/>
      <c r="BA40" s="189"/>
      <c r="BB40" s="189"/>
      <c r="BC40" s="189"/>
      <c r="BD40" s="189"/>
      <c r="BE40" s="189"/>
      <c r="BF40" s="189"/>
      <c r="BG40" s="189"/>
      <c r="BH40" s="189"/>
      <c r="BI40" s="189"/>
      <c r="BJ40" s="189"/>
      <c r="BK40" s="189"/>
      <c r="BL40" s="189"/>
      <c r="BM40" s="189"/>
      <c r="BN40" s="189"/>
      <c r="BO40" s="189"/>
      <c r="BP40" s="189"/>
      <c r="BQ40" s="189"/>
      <c r="BR40" s="189"/>
      <c r="BS40" s="189"/>
      <c r="BT40" s="189"/>
      <c r="BU40" s="189"/>
      <c r="BV40" s="189"/>
      <c r="BW40" s="189"/>
      <c r="BX40" s="189"/>
      <c r="BY40" s="189"/>
      <c r="BZ40" s="189"/>
      <c r="CA40" s="189"/>
      <c r="CB40" s="189"/>
      <c r="CC40" s="189"/>
      <c r="CD40" s="189"/>
      <c r="CE40" s="189"/>
      <c r="CF40" s="189"/>
      <c r="CG40" s="189"/>
      <c r="CH40" s="189"/>
      <c r="CI40" s="189"/>
      <c r="CJ40" s="189"/>
      <c r="CK40" s="189"/>
      <c r="CL40" s="189"/>
    </row>
    <row r="41" spans="1:90" x14ac:dyDescent="0.25">
      <c r="A41" s="17" t="s">
        <v>27</v>
      </c>
      <c r="B41" s="189">
        <v>1027548623.21</v>
      </c>
      <c r="C41" s="189">
        <v>540628401.44000006</v>
      </c>
      <c r="D41" s="189">
        <v>702110605.01999998</v>
      </c>
      <c r="E41" s="189">
        <v>681851357.90999997</v>
      </c>
      <c r="F41" s="189">
        <v>470851508.80000001</v>
      </c>
      <c r="G41" s="189">
        <v>451204272.61000001</v>
      </c>
      <c r="H41" s="189">
        <v>945436802.45000005</v>
      </c>
      <c r="I41" s="189">
        <v>105029678.68000001</v>
      </c>
      <c r="J41" s="189">
        <v>856251086.01999998</v>
      </c>
      <c r="K41" s="189">
        <v>368596399.23000002</v>
      </c>
      <c r="L41" s="189">
        <v>23286697.329999998</v>
      </c>
      <c r="M41" s="189">
        <v>19370692.859999999</v>
      </c>
      <c r="N41" s="189">
        <v>20791940.129999999</v>
      </c>
      <c r="O41" s="189">
        <v>48902205.18</v>
      </c>
      <c r="P41" s="189">
        <v>48796789.119999997</v>
      </c>
      <c r="Q41" s="189">
        <v>27349670.91</v>
      </c>
      <c r="R41" s="189">
        <v>523593824.06</v>
      </c>
      <c r="S41" s="189">
        <v>162907685.24000001</v>
      </c>
      <c r="T41" s="189">
        <v>304470789.88</v>
      </c>
      <c r="U41" s="189">
        <v>12707190.76</v>
      </c>
      <c r="V41" s="189">
        <v>76636394.599999994</v>
      </c>
      <c r="W41" s="189">
        <v>18528639.190000001</v>
      </c>
      <c r="X41" s="189">
        <v>265147927.77000001</v>
      </c>
      <c r="Y41" s="189">
        <v>21828068.850000001</v>
      </c>
      <c r="Z41" s="189">
        <v>42867653.329999998</v>
      </c>
      <c r="AA41" s="189">
        <v>40055473.469999999</v>
      </c>
      <c r="AB41" s="189">
        <v>39349560.649999999</v>
      </c>
      <c r="AC41" s="189">
        <v>13613604.939999999</v>
      </c>
      <c r="AD41" s="189">
        <v>2001780.55</v>
      </c>
      <c r="AE41" s="189">
        <v>965674.37</v>
      </c>
      <c r="AF41" s="189">
        <v>219096.48</v>
      </c>
      <c r="AG41" s="189">
        <v>626519.18999999994</v>
      </c>
      <c r="AH41" s="189">
        <v>82703.55</v>
      </c>
      <c r="AI41" s="189">
        <v>73941.649999999994</v>
      </c>
      <c r="AJ41" s="189">
        <v>48421.15</v>
      </c>
      <c r="AK41" s="189">
        <v>306929.49</v>
      </c>
      <c r="AL41" s="189">
        <v>1669277.38</v>
      </c>
      <c r="AM41" s="189">
        <v>0</v>
      </c>
      <c r="AN41" s="189"/>
      <c r="AO41" s="189"/>
      <c r="AP41" s="189"/>
      <c r="AQ41" s="189"/>
      <c r="AR41" s="189"/>
      <c r="AS41" s="189"/>
      <c r="AT41" s="189"/>
      <c r="AU41" s="189"/>
      <c r="AV41" s="189"/>
      <c r="AW41" s="189"/>
      <c r="AX41" s="189"/>
      <c r="AY41" s="189"/>
      <c r="AZ41" s="189"/>
      <c r="BA41" s="189"/>
      <c r="BB41" s="189"/>
      <c r="BC41" s="189"/>
      <c r="BD41" s="189"/>
      <c r="BE41" s="189"/>
      <c r="BF41" s="189"/>
      <c r="BG41" s="189"/>
      <c r="BH41" s="189"/>
      <c r="BI41" s="189"/>
      <c r="BJ41" s="189"/>
      <c r="BK41" s="189"/>
      <c r="BL41" s="189"/>
      <c r="BM41" s="189"/>
      <c r="BN41" s="189"/>
      <c r="BO41" s="189"/>
      <c r="BP41" s="189"/>
      <c r="BQ41" s="189"/>
      <c r="BR41" s="189"/>
      <c r="BS41" s="189"/>
      <c r="BT41" s="189"/>
      <c r="BU41" s="189"/>
      <c r="BV41" s="189"/>
      <c r="BW41" s="189"/>
      <c r="BX41" s="189"/>
      <c r="BY41" s="189"/>
      <c r="BZ41" s="189"/>
      <c r="CA41" s="189"/>
      <c r="CB41" s="189"/>
      <c r="CC41" s="189"/>
      <c r="CD41" s="189"/>
      <c r="CE41" s="189"/>
      <c r="CF41" s="189"/>
      <c r="CG41" s="189"/>
      <c r="CH41" s="189"/>
      <c r="CI41" s="189"/>
      <c r="CJ41" s="189"/>
      <c r="CK41" s="189"/>
      <c r="CL41" s="189"/>
    </row>
    <row r="42" spans="1:90" s="39" customFormat="1" x14ac:dyDescent="0.25">
      <c r="A42" s="124" t="s">
        <v>28</v>
      </c>
      <c r="B42" s="189">
        <v>0</v>
      </c>
      <c r="C42" s="189">
        <v>0</v>
      </c>
      <c r="D42" s="189">
        <v>0</v>
      </c>
      <c r="E42" s="189">
        <v>0</v>
      </c>
      <c r="F42" s="189">
        <v>0</v>
      </c>
      <c r="G42" s="189">
        <v>0</v>
      </c>
      <c r="H42" s="189">
        <v>0</v>
      </c>
      <c r="I42" s="189">
        <v>0</v>
      </c>
      <c r="J42" s="189">
        <v>0</v>
      </c>
      <c r="K42" s="189">
        <v>0</v>
      </c>
      <c r="L42" s="189">
        <v>0</v>
      </c>
      <c r="M42" s="189">
        <v>0</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c r="AO42" s="189"/>
      <c r="AP42" s="189"/>
      <c r="AQ42" s="189"/>
      <c r="AR42" s="189"/>
      <c r="AS42" s="189"/>
      <c r="AT42" s="189"/>
      <c r="AU42" s="189"/>
      <c r="AV42" s="189"/>
      <c r="AW42" s="189"/>
      <c r="AX42" s="189"/>
      <c r="AY42" s="189"/>
      <c r="AZ42" s="189"/>
      <c r="BA42" s="189"/>
      <c r="BB42" s="189"/>
      <c r="BC42" s="189"/>
      <c r="BD42" s="189"/>
      <c r="BE42" s="189"/>
      <c r="BF42" s="189"/>
      <c r="BG42" s="189"/>
      <c r="BH42" s="189"/>
      <c r="BI42" s="189"/>
      <c r="BJ42" s="189"/>
      <c r="BK42" s="189"/>
      <c r="BL42" s="189"/>
      <c r="BM42" s="189"/>
      <c r="BN42" s="189"/>
      <c r="BO42" s="189"/>
      <c r="BP42" s="189"/>
      <c r="BQ42" s="189"/>
      <c r="BR42" s="189"/>
      <c r="BS42" s="189"/>
      <c r="BT42" s="189"/>
      <c r="BU42" s="189"/>
      <c r="BV42" s="189"/>
      <c r="BW42" s="189"/>
      <c r="BX42" s="189"/>
      <c r="BY42" s="189"/>
      <c r="BZ42" s="189"/>
      <c r="CA42" s="189"/>
      <c r="CB42" s="189"/>
      <c r="CC42" s="189"/>
      <c r="CD42" s="189"/>
      <c r="CE42" s="189"/>
      <c r="CF42" s="189"/>
      <c r="CG42" s="189"/>
      <c r="CH42" s="189"/>
      <c r="CI42" s="189"/>
      <c r="CJ42" s="189"/>
      <c r="CK42" s="189"/>
      <c r="CL42" s="189"/>
    </row>
    <row r="43" spans="1:90" x14ac:dyDescent="0.25">
      <c r="A43" s="17" t="s">
        <v>29</v>
      </c>
      <c r="B43" s="189">
        <v>170521138.94</v>
      </c>
      <c r="C43" s="189">
        <v>220954782.47</v>
      </c>
      <c r="D43" s="189">
        <v>177066542.19</v>
      </c>
      <c r="E43" s="189">
        <v>245989784.81</v>
      </c>
      <c r="F43" s="189">
        <v>240377461.41999999</v>
      </c>
      <c r="G43" s="189">
        <v>261542663.12</v>
      </c>
      <c r="H43" s="189">
        <v>612687389.63999999</v>
      </c>
      <c r="I43" s="189">
        <v>483948010.67000002</v>
      </c>
      <c r="J43" s="189">
        <v>242081428.00999999</v>
      </c>
      <c r="K43" s="189">
        <v>125860410.83</v>
      </c>
      <c r="L43" s="189">
        <v>1011661.18</v>
      </c>
      <c r="M43" s="189">
        <v>557580.44999999995</v>
      </c>
      <c r="N43" s="189">
        <v>0</v>
      </c>
      <c r="O43" s="189">
        <v>1706476.39</v>
      </c>
      <c r="P43" s="189">
        <v>4021770.2400000002</v>
      </c>
      <c r="Q43" s="189">
        <v>6231939.2699999996</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c r="AO43" s="189"/>
      <c r="AP43" s="189"/>
      <c r="AQ43" s="189"/>
      <c r="AR43" s="189"/>
      <c r="AS43" s="189"/>
      <c r="AT43" s="189"/>
      <c r="AU43" s="189"/>
      <c r="AV43" s="189"/>
      <c r="AW43" s="189"/>
      <c r="AX43" s="189"/>
      <c r="AY43" s="189"/>
      <c r="AZ43" s="189"/>
      <c r="BA43" s="189"/>
      <c r="BB43" s="189"/>
      <c r="BC43" s="189"/>
      <c r="BD43" s="189"/>
      <c r="BE43" s="189"/>
      <c r="BF43" s="189"/>
      <c r="BG43" s="189"/>
      <c r="BH43" s="189"/>
      <c r="BI43" s="189"/>
      <c r="BJ43" s="189"/>
      <c r="BK43" s="189"/>
      <c r="BL43" s="189"/>
      <c r="BM43" s="189"/>
      <c r="BN43" s="189"/>
      <c r="BO43" s="189"/>
      <c r="BP43" s="189"/>
      <c r="BQ43" s="189"/>
      <c r="BR43" s="189"/>
      <c r="BS43" s="189"/>
      <c r="BT43" s="189"/>
      <c r="BU43" s="189"/>
      <c r="BV43" s="189"/>
      <c r="BW43" s="189"/>
      <c r="BX43" s="189"/>
      <c r="BY43" s="189"/>
      <c r="BZ43" s="189"/>
      <c r="CA43" s="189"/>
      <c r="CB43" s="189"/>
      <c r="CC43" s="189"/>
      <c r="CD43" s="189"/>
      <c r="CE43" s="189"/>
      <c r="CF43" s="189"/>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c r="AO44" s="189"/>
      <c r="AP44" s="189"/>
      <c r="AQ44" s="189"/>
      <c r="AR44" s="189"/>
      <c r="AS44" s="189"/>
      <c r="AT44" s="189"/>
      <c r="AU44" s="189"/>
      <c r="AV44" s="189"/>
      <c r="AW44" s="189"/>
      <c r="AX44" s="189"/>
      <c r="AY44" s="189"/>
      <c r="AZ44" s="189"/>
      <c r="BA44" s="189"/>
      <c r="BB44" s="189"/>
      <c r="BC44" s="189"/>
      <c r="BD44" s="189"/>
      <c r="BE44" s="189"/>
      <c r="BF44" s="189"/>
      <c r="BG44" s="189"/>
      <c r="BH44" s="189"/>
      <c r="BI44" s="189"/>
      <c r="BJ44" s="189"/>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row>
    <row r="45" spans="1:90" x14ac:dyDescent="0.25">
      <c r="A45" s="17" t="s">
        <v>31</v>
      </c>
      <c r="B45" s="189">
        <v>2742950000</v>
      </c>
      <c r="C45" s="189">
        <v>2742950000</v>
      </c>
      <c r="D45" s="189">
        <v>1790000000</v>
      </c>
      <c r="E45" s="189">
        <v>1790000000</v>
      </c>
      <c r="F45" s="189">
        <v>1290000000</v>
      </c>
      <c r="G45" s="189">
        <v>0</v>
      </c>
      <c r="H45" s="189">
        <v>2267490.4500000002</v>
      </c>
      <c r="I45" s="189">
        <v>0</v>
      </c>
      <c r="J45" s="189">
        <v>4636000</v>
      </c>
      <c r="K45" s="189">
        <v>0</v>
      </c>
      <c r="L45" s="189">
        <v>0</v>
      </c>
      <c r="M45" s="189">
        <v>0</v>
      </c>
      <c r="N45" s="189">
        <v>0</v>
      </c>
      <c r="O45" s="189">
        <v>0</v>
      </c>
      <c r="P45" s="189">
        <v>199806666.59</v>
      </c>
      <c r="Q45" s="189">
        <v>199606666.61000001</v>
      </c>
      <c r="R45" s="189">
        <v>208754575.46000001</v>
      </c>
      <c r="S45" s="189">
        <v>402427106.43000001</v>
      </c>
      <c r="T45" s="189">
        <v>205265177.37</v>
      </c>
      <c r="U45" s="189">
        <v>207309914.97</v>
      </c>
      <c r="V45" s="189">
        <v>208978950.44</v>
      </c>
      <c r="W45" s="189">
        <v>8978950.4399999995</v>
      </c>
      <c r="X45" s="189">
        <v>9654029.1400000006</v>
      </c>
      <c r="Y45" s="189">
        <v>8978950.4399999995</v>
      </c>
      <c r="Z45" s="189">
        <v>1200000</v>
      </c>
      <c r="AA45" s="189">
        <v>1200000</v>
      </c>
      <c r="AB45" s="189">
        <v>1200000</v>
      </c>
      <c r="AC45" s="189">
        <v>1200000</v>
      </c>
      <c r="AD45" s="189">
        <v>0</v>
      </c>
      <c r="AE45" s="189">
        <v>0</v>
      </c>
      <c r="AF45" s="189">
        <v>0</v>
      </c>
      <c r="AG45" s="189">
        <v>0</v>
      </c>
      <c r="AH45" s="189">
        <v>0</v>
      </c>
      <c r="AI45" s="189">
        <v>0</v>
      </c>
      <c r="AJ45" s="189">
        <v>0</v>
      </c>
      <c r="AK45" s="189">
        <v>0</v>
      </c>
      <c r="AL45" s="189">
        <v>0</v>
      </c>
      <c r="AM45" s="189">
        <v>0</v>
      </c>
      <c r="AN45" s="189"/>
      <c r="AO45" s="189"/>
      <c r="AP45" s="189"/>
      <c r="AQ45" s="189"/>
      <c r="AR45" s="189"/>
      <c r="AS45" s="189"/>
      <c r="AT45" s="189"/>
      <c r="AU45" s="189"/>
      <c r="AV45" s="189"/>
      <c r="AW45" s="189"/>
      <c r="AX45" s="189"/>
      <c r="AY45" s="189"/>
      <c r="AZ45" s="189"/>
      <c r="BA45" s="189"/>
      <c r="BB45" s="189"/>
      <c r="BC45" s="189"/>
      <c r="BD45" s="189"/>
      <c r="BE45" s="189"/>
      <c r="BF45" s="189"/>
      <c r="BG45" s="189"/>
      <c r="BH45" s="189"/>
      <c r="BI45" s="189"/>
      <c r="BJ45" s="189"/>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4935321769.7399998</v>
      </c>
      <c r="C49" s="35">
        <f>SUM(C35:C41)+SUM(C43:C45)</f>
        <v>9892711905.6399994</v>
      </c>
      <c r="D49" s="35">
        <f>SUM(D35:D41)+SUM(D43:D45)</f>
        <v>9684669228.9000015</v>
      </c>
      <c r="E49" s="35">
        <f>SUM(E35:E45)</f>
        <v>10254976521.27</v>
      </c>
      <c r="F49" s="35">
        <f t="shared" ref="F49:BQ49" si="4">SUM(F35:F45)</f>
        <v>8976819449.5100002</v>
      </c>
      <c r="G49" s="35">
        <f t="shared" si="4"/>
        <v>7884382484.1100006</v>
      </c>
      <c r="H49" s="35">
        <f t="shared" si="4"/>
        <v>7681099698.2600002</v>
      </c>
      <c r="I49" s="35">
        <f t="shared" si="4"/>
        <v>7203587957.8000011</v>
      </c>
      <c r="J49" s="35">
        <f t="shared" si="4"/>
        <v>7049071050.9099998</v>
      </c>
      <c r="K49" s="35">
        <f t="shared" si="4"/>
        <v>6860246448.7600002</v>
      </c>
      <c r="L49" s="35">
        <f t="shared" si="4"/>
        <v>5378922184.8400002</v>
      </c>
      <c r="M49" s="35">
        <f t="shared" si="4"/>
        <v>5566455296.4499989</v>
      </c>
      <c r="N49" s="35">
        <f t="shared" si="4"/>
        <v>3825929055.7999997</v>
      </c>
      <c r="O49" s="35">
        <f t="shared" si="4"/>
        <v>2773502153.0099998</v>
      </c>
      <c r="P49" s="35">
        <f t="shared" si="4"/>
        <v>2506576440.1899996</v>
      </c>
      <c r="Q49" s="35">
        <f t="shared" si="4"/>
        <v>2594640209.0599999</v>
      </c>
      <c r="R49" s="35">
        <f t="shared" si="4"/>
        <v>2935646870.3299999</v>
      </c>
      <c r="S49" s="35">
        <f t="shared" si="4"/>
        <v>2910547790.1399999</v>
      </c>
      <c r="T49" s="35">
        <f t="shared" si="4"/>
        <v>1909557240.8599997</v>
      </c>
      <c r="U49" s="35">
        <f t="shared" si="4"/>
        <v>1227600484.8099999</v>
      </c>
      <c r="V49" s="35">
        <f t="shared" si="4"/>
        <v>1003560091.8099999</v>
      </c>
      <c r="W49" s="35">
        <f t="shared" si="4"/>
        <v>553467062.66000009</v>
      </c>
      <c r="X49" s="35">
        <f t="shared" si="4"/>
        <v>709989374.14999998</v>
      </c>
      <c r="Y49" s="35">
        <f t="shared" si="4"/>
        <v>456437670.08999997</v>
      </c>
      <c r="Z49" s="35">
        <f t="shared" si="4"/>
        <v>460886655.31</v>
      </c>
      <c r="AA49" s="35">
        <f t="shared" si="4"/>
        <v>444783593.13</v>
      </c>
      <c r="AB49" s="35">
        <f t="shared" si="4"/>
        <v>464458220.88999999</v>
      </c>
      <c r="AC49" s="35">
        <f t="shared" si="4"/>
        <v>312280370.83999997</v>
      </c>
      <c r="AD49" s="35">
        <f t="shared" si="4"/>
        <v>133074446.05</v>
      </c>
      <c r="AE49" s="35">
        <f t="shared" si="4"/>
        <v>72993949.469999999</v>
      </c>
      <c r="AF49" s="35">
        <f t="shared" si="4"/>
        <v>49108305.060000002</v>
      </c>
      <c r="AG49" s="35">
        <f t="shared" si="4"/>
        <v>22958769.270000003</v>
      </c>
      <c r="AH49" s="35">
        <f t="shared" si="4"/>
        <v>19682536.77</v>
      </c>
      <c r="AI49" s="35">
        <f t="shared" si="4"/>
        <v>15370610.42</v>
      </c>
      <c r="AJ49" s="35">
        <f t="shared" si="4"/>
        <v>9503555.6600000001</v>
      </c>
      <c r="AK49" s="35">
        <f t="shared" si="4"/>
        <v>5490652.8899999997</v>
      </c>
      <c r="AL49" s="35">
        <f t="shared" si="4"/>
        <v>4721643.4799999995</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2116505920.9399996</v>
      </c>
      <c r="C50" s="36">
        <f t="shared" ref="C50:BN50" si="6">C33-C49</f>
        <v>-2668912060.2700005</v>
      </c>
      <c r="D50" s="36">
        <f t="shared" si="6"/>
        <v>-2662610882.5500021</v>
      </c>
      <c r="E50" s="36">
        <f t="shared" si="6"/>
        <v>-3218419675.6800003</v>
      </c>
      <c r="F50" s="36">
        <f t="shared" si="6"/>
        <v>4269703297.539999</v>
      </c>
      <c r="G50" s="36">
        <f t="shared" si="6"/>
        <v>7023949406.7399979</v>
      </c>
      <c r="H50" s="36">
        <f t="shared" si="6"/>
        <v>4775535602.9500008</v>
      </c>
      <c r="I50" s="36">
        <f t="shared" si="6"/>
        <v>4978322010.2600002</v>
      </c>
      <c r="J50" s="36">
        <f t="shared" si="6"/>
        <v>1470606839.9800005</v>
      </c>
      <c r="K50" s="36">
        <f t="shared" si="6"/>
        <v>507291172.77999973</v>
      </c>
      <c r="L50" s="36">
        <f t="shared" si="6"/>
        <v>1369393720.9700003</v>
      </c>
      <c r="M50" s="36">
        <f t="shared" si="6"/>
        <v>815562796.35000134</v>
      </c>
      <c r="N50" s="36">
        <f t="shared" si="6"/>
        <v>791791807.80999994</v>
      </c>
      <c r="O50" s="36">
        <f t="shared" si="6"/>
        <v>1255525289.0800009</v>
      </c>
      <c r="P50" s="36">
        <f t="shared" si="6"/>
        <v>1186117318.750001</v>
      </c>
      <c r="Q50" s="36">
        <f t="shared" si="6"/>
        <v>490388035.53000021</v>
      </c>
      <c r="R50" s="36">
        <f t="shared" si="6"/>
        <v>75226870.349999905</v>
      </c>
      <c r="S50" s="36">
        <f t="shared" si="6"/>
        <v>-150786682.11999989</v>
      </c>
      <c r="T50" s="36">
        <f t="shared" si="6"/>
        <v>65052220.150000334</v>
      </c>
      <c r="U50" s="36">
        <f t="shared" si="6"/>
        <v>250528494.91000032</v>
      </c>
      <c r="V50" s="36">
        <f t="shared" si="6"/>
        <v>232293231.31000018</v>
      </c>
      <c r="W50" s="36">
        <f t="shared" si="6"/>
        <v>393481439.77999997</v>
      </c>
      <c r="X50" s="36">
        <f t="shared" si="6"/>
        <v>240581268.05000019</v>
      </c>
      <c r="Y50" s="36">
        <f t="shared" si="6"/>
        <v>241448202.42000002</v>
      </c>
      <c r="Z50" s="36">
        <f t="shared" si="6"/>
        <v>264368770.63999993</v>
      </c>
      <c r="AA50" s="36">
        <f t="shared" si="6"/>
        <v>115666694.90999997</v>
      </c>
      <c r="AB50" s="36">
        <f t="shared" si="6"/>
        <v>90877424.750000119</v>
      </c>
      <c r="AC50" s="36">
        <f t="shared" si="6"/>
        <v>218053511.94999999</v>
      </c>
      <c r="AD50" s="36">
        <f t="shared" si="6"/>
        <v>474627193.89000005</v>
      </c>
      <c r="AE50" s="36">
        <f t="shared" si="6"/>
        <v>375108619.38999999</v>
      </c>
      <c r="AF50" s="36">
        <f t="shared" si="6"/>
        <v>257279622.94999999</v>
      </c>
      <c r="AG50" s="36">
        <f t="shared" si="6"/>
        <v>107350944.02000001</v>
      </c>
      <c r="AH50" s="36">
        <f t="shared" si="6"/>
        <v>110122788.83000001</v>
      </c>
      <c r="AI50" s="36">
        <f t="shared" si="6"/>
        <v>66455117.909999996</v>
      </c>
      <c r="AJ50" s="36">
        <f t="shared" si="6"/>
        <v>23632056.580000002</v>
      </c>
      <c r="AK50" s="36">
        <f t="shared" si="6"/>
        <v>40927825.619999997</v>
      </c>
      <c r="AL50" s="36">
        <f t="shared" si="6"/>
        <v>4943295.12</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415609563.54000002</v>
      </c>
      <c r="C52" s="189">
        <v>450313388.37</v>
      </c>
      <c r="D52" s="189">
        <v>491770738.64999998</v>
      </c>
      <c r="E52" s="189">
        <v>546878880.96000004</v>
      </c>
      <c r="F52" s="189">
        <v>1040742800.64</v>
      </c>
      <c r="G52" s="189">
        <v>1120317724.46</v>
      </c>
      <c r="H52" s="189">
        <v>1178101662.29</v>
      </c>
      <c r="I52" s="189">
        <v>1140315635.02</v>
      </c>
      <c r="J52" s="189">
        <v>1126868064.77</v>
      </c>
      <c r="K52" s="189">
        <v>873118019.52999997</v>
      </c>
      <c r="L52" s="189">
        <v>793118188.00999999</v>
      </c>
      <c r="M52" s="189">
        <v>629348189.65999997</v>
      </c>
      <c r="N52" s="189">
        <v>461722138.61000001</v>
      </c>
      <c r="O52" s="189">
        <v>356339897.06</v>
      </c>
      <c r="P52" s="189">
        <v>326101690.06999999</v>
      </c>
      <c r="Q52" s="189">
        <v>343015085.10000002</v>
      </c>
      <c r="R52" s="189">
        <v>270458033.24000001</v>
      </c>
      <c r="S52" s="189">
        <v>195820447.78</v>
      </c>
      <c r="T52" s="189">
        <v>167388132.22999999</v>
      </c>
      <c r="U52" s="189">
        <v>179456277.56999999</v>
      </c>
      <c r="V52" s="189">
        <v>166824429.72999999</v>
      </c>
      <c r="W52" s="189">
        <v>176670585.90000001</v>
      </c>
      <c r="X52" s="189">
        <v>168204917.50999999</v>
      </c>
      <c r="Y52" s="189">
        <v>178687224.06</v>
      </c>
      <c r="Z52" s="189">
        <v>161694463.22</v>
      </c>
      <c r="AA52" s="189">
        <v>166682355.94</v>
      </c>
      <c r="AB52" s="189">
        <v>161246894.71000001</v>
      </c>
      <c r="AC52" s="189">
        <v>165596635.18000001</v>
      </c>
      <c r="AD52" s="189">
        <v>163072237.41999999</v>
      </c>
      <c r="AE52" s="189">
        <v>150876761.75</v>
      </c>
      <c r="AF52" s="189">
        <v>145212564.61000001</v>
      </c>
      <c r="AG52" s="189">
        <v>140596521.28999999</v>
      </c>
      <c r="AH52" s="189">
        <v>142594656.53</v>
      </c>
      <c r="AI52" s="189">
        <v>114899751.97</v>
      </c>
      <c r="AJ52" s="189">
        <v>80495671.409999996</v>
      </c>
      <c r="AK52" s="189">
        <v>12119848.289999999</v>
      </c>
      <c r="AL52" s="189">
        <v>2472205.7599999998</v>
      </c>
      <c r="AM52" s="189">
        <v>0</v>
      </c>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c r="BW52" s="189"/>
      <c r="BX52" s="189"/>
      <c r="BY52" s="189"/>
      <c r="BZ52" s="189"/>
      <c r="CA52" s="189"/>
      <c r="CB52" s="189"/>
      <c r="CC52" s="189"/>
      <c r="CD52" s="189"/>
      <c r="CE52" s="189"/>
      <c r="CF52" s="189"/>
      <c r="CG52" s="189"/>
      <c r="CH52" s="189"/>
      <c r="CI52" s="189"/>
      <c r="CJ52" s="189"/>
      <c r="CK52" s="189"/>
      <c r="CL52" s="189"/>
    </row>
    <row r="53" spans="1:90" s="192" customFormat="1" x14ac:dyDescent="0.25">
      <c r="A53" s="192" t="s">
        <v>35</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2500</v>
      </c>
      <c r="AI53" s="189">
        <v>0</v>
      </c>
      <c r="AJ53" s="189">
        <v>0</v>
      </c>
      <c r="AK53" s="189">
        <v>0</v>
      </c>
      <c r="AL53" s="189">
        <v>0</v>
      </c>
      <c r="AM53" s="189">
        <v>0</v>
      </c>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c r="BW53" s="189"/>
      <c r="BX53" s="189"/>
      <c r="BY53" s="189"/>
      <c r="BZ53" s="189"/>
      <c r="CA53" s="189"/>
      <c r="CB53" s="189"/>
      <c r="CC53" s="189"/>
      <c r="CD53" s="189"/>
      <c r="CE53" s="189"/>
      <c r="CF53" s="189"/>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c r="BW54" s="189"/>
      <c r="BX54" s="189"/>
      <c r="BY54" s="189"/>
      <c r="BZ54" s="189"/>
      <c r="CA54" s="189"/>
      <c r="CB54" s="189"/>
      <c r="CC54" s="189"/>
      <c r="CD54" s="189"/>
      <c r="CE54" s="189"/>
      <c r="CF54" s="189"/>
      <c r="CG54" s="189"/>
      <c r="CH54" s="189"/>
      <c r="CI54" s="189"/>
      <c r="CJ54" s="189"/>
      <c r="CK54" s="189"/>
      <c r="CL54" s="189"/>
    </row>
    <row r="55" spans="1:90" s="192" customFormat="1" x14ac:dyDescent="0.25">
      <c r="A55" s="192" t="s">
        <v>37</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c r="AO55" s="189"/>
      <c r="AP55" s="189"/>
      <c r="AQ55" s="189"/>
      <c r="AR55" s="189"/>
      <c r="AS55" s="189"/>
      <c r="AT55" s="189"/>
      <c r="AU55" s="189"/>
      <c r="AV55" s="189"/>
      <c r="AW55" s="189"/>
      <c r="AX55" s="189"/>
      <c r="AY55" s="189"/>
      <c r="AZ55" s="189"/>
      <c r="BA55" s="189"/>
      <c r="BB55" s="189"/>
      <c r="BC55" s="189"/>
      <c r="BD55" s="189"/>
      <c r="BE55" s="189"/>
      <c r="BF55" s="189"/>
      <c r="BG55" s="189"/>
      <c r="BH55" s="189"/>
      <c r="BI55" s="189"/>
      <c r="BJ55" s="189"/>
      <c r="BK55" s="189"/>
      <c r="BL55" s="189"/>
      <c r="BM55" s="189"/>
      <c r="BN55" s="189"/>
      <c r="BO55" s="189"/>
      <c r="BP55" s="189"/>
      <c r="BQ55" s="189"/>
      <c r="BR55" s="189"/>
      <c r="BS55" s="189"/>
      <c r="BT55" s="189"/>
      <c r="BU55" s="189"/>
      <c r="BV55" s="189"/>
      <c r="BW55" s="189"/>
      <c r="BX55" s="189"/>
      <c r="BY55" s="189"/>
      <c r="BZ55" s="189"/>
      <c r="CA55" s="189"/>
      <c r="CB55" s="189"/>
      <c r="CC55" s="189"/>
      <c r="CD55" s="189"/>
      <c r="CE55" s="189"/>
      <c r="CF55" s="189"/>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c r="AO56" s="189"/>
      <c r="AP56" s="189"/>
      <c r="AQ56" s="189"/>
      <c r="AR56" s="189"/>
      <c r="AS56" s="189"/>
      <c r="AT56" s="189"/>
      <c r="AU56" s="189"/>
      <c r="AV56" s="189"/>
      <c r="AW56" s="189"/>
      <c r="AX56" s="189"/>
      <c r="AY56" s="189"/>
      <c r="AZ56" s="189"/>
      <c r="BA56" s="189"/>
      <c r="BB56" s="189"/>
      <c r="BC56" s="189"/>
      <c r="BD56" s="189"/>
      <c r="BE56" s="189"/>
      <c r="BF56" s="189"/>
      <c r="BG56" s="189"/>
      <c r="BH56" s="189"/>
      <c r="BI56" s="189"/>
      <c r="BJ56" s="189"/>
      <c r="BK56" s="189"/>
      <c r="BL56" s="189"/>
      <c r="BM56" s="189"/>
      <c r="BN56" s="189"/>
      <c r="BO56" s="189"/>
      <c r="BP56" s="189"/>
      <c r="BQ56" s="189"/>
      <c r="BR56" s="189"/>
      <c r="BS56" s="189"/>
      <c r="BT56" s="189"/>
      <c r="BU56" s="189"/>
      <c r="BV56" s="189"/>
      <c r="BW56" s="189"/>
      <c r="BX56" s="189"/>
      <c r="BY56" s="189"/>
      <c r="BZ56" s="189"/>
      <c r="CA56" s="189"/>
      <c r="CB56" s="189"/>
      <c r="CC56" s="189"/>
      <c r="CD56" s="189"/>
      <c r="CE56" s="189"/>
      <c r="CF56" s="189"/>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c r="AO57" s="189"/>
      <c r="AP57" s="189"/>
      <c r="AQ57" s="189"/>
      <c r="AR57" s="189"/>
      <c r="AS57" s="189"/>
      <c r="AT57" s="189"/>
      <c r="AU57" s="189"/>
      <c r="AV57" s="189"/>
      <c r="AW57" s="189"/>
      <c r="AX57" s="189"/>
      <c r="AY57" s="189"/>
      <c r="AZ57" s="189"/>
      <c r="BA57" s="189"/>
      <c r="BB57" s="189"/>
      <c r="BC57" s="189"/>
      <c r="BD57" s="189"/>
      <c r="BE57" s="189"/>
      <c r="BF57" s="189"/>
      <c r="BG57" s="189"/>
      <c r="BH57" s="189"/>
      <c r="BI57" s="189"/>
      <c r="BJ57" s="189"/>
      <c r="BK57" s="189"/>
      <c r="BL57" s="189"/>
      <c r="BM57" s="189"/>
      <c r="BN57" s="189"/>
      <c r="BO57" s="189"/>
      <c r="BP57" s="189"/>
      <c r="BQ57" s="189"/>
      <c r="BR57" s="189"/>
      <c r="BS57" s="189"/>
      <c r="BT57" s="189"/>
      <c r="BU57" s="189"/>
      <c r="BV57" s="189"/>
      <c r="BW57" s="189"/>
      <c r="BX57" s="189"/>
      <c r="BY57" s="189"/>
      <c r="BZ57" s="189"/>
      <c r="CA57" s="189"/>
      <c r="CB57" s="189"/>
      <c r="CC57" s="189"/>
      <c r="CD57" s="189"/>
      <c r="CE57" s="189"/>
      <c r="CF57" s="189"/>
      <c r="CG57" s="189"/>
      <c r="CH57" s="189"/>
      <c r="CI57" s="189"/>
      <c r="CJ57" s="189"/>
      <c r="CK57" s="189"/>
      <c r="CL57" s="189"/>
    </row>
    <row r="58" spans="1:90" s="192" customFormat="1" x14ac:dyDescent="0.25">
      <c r="A58" s="192" t="s">
        <v>40</v>
      </c>
      <c r="B58" s="189">
        <v>3887347524.1500001</v>
      </c>
      <c r="C58" s="189">
        <v>3934997604.6599998</v>
      </c>
      <c r="D58" s="189">
        <v>4394468475.2399998</v>
      </c>
      <c r="E58" s="189">
        <v>4567035177.6099997</v>
      </c>
      <c r="F58" s="189">
        <v>8600096549.9599991</v>
      </c>
      <c r="G58" s="189">
        <v>8628405917.8500004</v>
      </c>
      <c r="H58" s="189">
        <v>7904165566.4799995</v>
      </c>
      <c r="I58" s="189">
        <v>6882018054.4799995</v>
      </c>
      <c r="J58" s="189">
        <v>6137808794.4799995</v>
      </c>
      <c r="K58" s="189">
        <v>5486098788.3400002</v>
      </c>
      <c r="L58" s="189">
        <v>5079504494.9499998</v>
      </c>
      <c r="M58" s="189">
        <v>4879832445.9799995</v>
      </c>
      <c r="N58" s="189">
        <v>4206455153.2199998</v>
      </c>
      <c r="O58" s="189">
        <v>3789601099.2800002</v>
      </c>
      <c r="P58" s="189">
        <v>3581581508.8499999</v>
      </c>
      <c r="Q58" s="189">
        <v>3338541906.0599999</v>
      </c>
      <c r="R58" s="189">
        <v>3157881794.0700002</v>
      </c>
      <c r="S58" s="189">
        <v>2907783900.3400002</v>
      </c>
      <c r="T58" s="189">
        <v>2725462267.8499999</v>
      </c>
      <c r="U58" s="189">
        <v>2641514257.4000001</v>
      </c>
      <c r="V58" s="189">
        <v>2270650638.7399998</v>
      </c>
      <c r="W58" s="189">
        <v>2150645574.6999998</v>
      </c>
      <c r="X58" s="189">
        <v>1891354882.9000001</v>
      </c>
      <c r="Y58" s="189">
        <v>1751115466.5799999</v>
      </c>
      <c r="Z58" s="189">
        <v>1492026311.6400001</v>
      </c>
      <c r="AA58" s="189">
        <v>1300136646.25</v>
      </c>
      <c r="AB58" s="189">
        <v>1134224399.76</v>
      </c>
      <c r="AC58" s="189">
        <v>886051083.40999997</v>
      </c>
      <c r="AD58" s="189">
        <v>509088085.60000002</v>
      </c>
      <c r="AE58" s="189">
        <v>337207867.27999997</v>
      </c>
      <c r="AF58" s="189">
        <v>257340271.84</v>
      </c>
      <c r="AG58" s="189">
        <v>214363920.68000001</v>
      </c>
      <c r="AH58" s="189">
        <v>125791028.59999999</v>
      </c>
      <c r="AI58" s="189">
        <v>111017245.66</v>
      </c>
      <c r="AJ58" s="189">
        <v>88502958.780000001</v>
      </c>
      <c r="AK58" s="189">
        <v>50471753.219999999</v>
      </c>
      <c r="AL58" s="189">
        <v>50543921.159999996</v>
      </c>
      <c r="AM58" s="189">
        <v>0</v>
      </c>
      <c r="AN58" s="189"/>
      <c r="AO58" s="189"/>
      <c r="AP58" s="189"/>
      <c r="AQ58" s="189"/>
      <c r="AR58" s="189"/>
      <c r="AS58" s="189"/>
      <c r="AT58" s="189"/>
      <c r="AU58" s="189"/>
      <c r="AV58" s="189"/>
      <c r="AW58" s="189"/>
      <c r="AX58" s="189"/>
      <c r="AY58" s="189"/>
      <c r="AZ58" s="189"/>
      <c r="BA58" s="189"/>
      <c r="BB58" s="189"/>
      <c r="BC58" s="189"/>
      <c r="BD58" s="189"/>
      <c r="BE58" s="189"/>
      <c r="BF58" s="189"/>
      <c r="BG58" s="189"/>
      <c r="BH58" s="189"/>
      <c r="BI58" s="189"/>
      <c r="BJ58" s="189"/>
      <c r="BK58" s="189"/>
      <c r="BL58" s="189"/>
      <c r="BM58" s="189"/>
      <c r="BN58" s="189"/>
      <c r="BO58" s="189"/>
      <c r="BP58" s="189"/>
      <c r="BQ58" s="189"/>
      <c r="BR58" s="189"/>
      <c r="BS58" s="189"/>
      <c r="BT58" s="189"/>
      <c r="BU58" s="189"/>
      <c r="BV58" s="189"/>
      <c r="BW58" s="189"/>
      <c r="BX58" s="189"/>
      <c r="BY58" s="189"/>
      <c r="BZ58" s="189"/>
      <c r="CA58" s="189"/>
      <c r="CB58" s="189"/>
      <c r="CC58" s="189"/>
      <c r="CD58" s="189"/>
      <c r="CE58" s="189"/>
      <c r="CF58" s="189"/>
      <c r="CG58" s="189"/>
      <c r="CH58" s="189"/>
      <c r="CI58" s="189"/>
      <c r="CJ58" s="189"/>
      <c r="CK58" s="189"/>
      <c r="CL58" s="189"/>
    </row>
    <row r="59" spans="1:90" s="192" customFormat="1" x14ac:dyDescent="0.25">
      <c r="A59" s="192" t="s">
        <v>41</v>
      </c>
      <c r="B59" s="189">
        <v>38462526.25</v>
      </c>
      <c r="C59" s="189">
        <v>180905063.43000001</v>
      </c>
      <c r="D59" s="189">
        <v>187608614.06</v>
      </c>
      <c r="E59" s="189">
        <v>148085237.30000001</v>
      </c>
      <c r="F59" s="189">
        <v>805531300.78999996</v>
      </c>
      <c r="G59" s="189">
        <v>816890420</v>
      </c>
      <c r="H59" s="189">
        <v>757836243.44000006</v>
      </c>
      <c r="I59" s="189">
        <v>696578154.59000003</v>
      </c>
      <c r="J59" s="189">
        <v>696024803.49000001</v>
      </c>
      <c r="K59" s="189">
        <v>676291066.61000001</v>
      </c>
      <c r="L59" s="189">
        <v>580983818.11000001</v>
      </c>
      <c r="M59" s="189">
        <v>424155254.98000002</v>
      </c>
      <c r="N59" s="189">
        <v>450987468.44999999</v>
      </c>
      <c r="O59" s="189">
        <v>435841236.36000001</v>
      </c>
      <c r="P59" s="189">
        <v>416911304.18000001</v>
      </c>
      <c r="Q59" s="189">
        <v>388056048.72000003</v>
      </c>
      <c r="R59" s="189">
        <v>268854572.16000003</v>
      </c>
      <c r="S59" s="189">
        <v>210435958.15000001</v>
      </c>
      <c r="T59" s="189">
        <v>128621168.22</v>
      </c>
      <c r="U59" s="189">
        <v>65931646.890000001</v>
      </c>
      <c r="V59" s="189">
        <v>97554491.75</v>
      </c>
      <c r="W59" s="189">
        <v>86840072.030000001</v>
      </c>
      <c r="X59" s="189">
        <v>67389778.640000001</v>
      </c>
      <c r="Y59" s="189">
        <v>56705158.490000002</v>
      </c>
      <c r="Z59" s="189">
        <v>52051866.549999997</v>
      </c>
      <c r="AA59" s="189">
        <v>68433633.140000001</v>
      </c>
      <c r="AB59" s="189">
        <v>43837150.850000001</v>
      </c>
      <c r="AC59" s="189">
        <v>36404354.109999999</v>
      </c>
      <c r="AD59" s="189">
        <v>9700688.4700000007</v>
      </c>
      <c r="AE59" s="189">
        <v>2542829.0299999998</v>
      </c>
      <c r="AF59" s="189">
        <v>2163032.9900000002</v>
      </c>
      <c r="AG59" s="189">
        <v>1922715.24</v>
      </c>
      <c r="AH59" s="189">
        <v>0</v>
      </c>
      <c r="AI59" s="189">
        <v>0</v>
      </c>
      <c r="AJ59" s="189">
        <v>0</v>
      </c>
      <c r="AK59" s="189">
        <v>0</v>
      </c>
      <c r="AL59" s="189">
        <v>0</v>
      </c>
      <c r="AM59" s="189">
        <v>0</v>
      </c>
      <c r="AN59" s="189"/>
      <c r="AO59" s="189"/>
      <c r="AP59" s="189"/>
      <c r="AQ59" s="189"/>
      <c r="AR59" s="189"/>
      <c r="AS59" s="189"/>
      <c r="AT59" s="189"/>
      <c r="AU59" s="189"/>
      <c r="AV59" s="189"/>
      <c r="AW59" s="189"/>
      <c r="AX59" s="189"/>
      <c r="AY59" s="189"/>
      <c r="AZ59" s="189"/>
      <c r="BA59" s="189"/>
      <c r="BB59" s="189"/>
      <c r="BC59" s="189"/>
      <c r="BD59" s="189"/>
      <c r="BE59" s="189"/>
      <c r="BF59" s="189"/>
      <c r="BG59" s="189"/>
      <c r="BH59" s="189"/>
      <c r="BI59" s="189"/>
      <c r="BJ59" s="189"/>
      <c r="BK59" s="189"/>
      <c r="BL59" s="189"/>
      <c r="BM59" s="189"/>
      <c r="BN59" s="189"/>
      <c r="BO59" s="189"/>
      <c r="BP59" s="189"/>
      <c r="BQ59" s="189"/>
      <c r="BR59" s="189"/>
      <c r="BS59" s="189"/>
      <c r="BT59" s="189"/>
      <c r="BU59" s="189"/>
      <c r="BV59" s="189"/>
      <c r="BW59" s="189"/>
      <c r="BX59" s="189"/>
      <c r="BY59" s="189"/>
      <c r="BZ59" s="189"/>
      <c r="CA59" s="189"/>
      <c r="CB59" s="189"/>
      <c r="CC59" s="189"/>
      <c r="CD59" s="189"/>
      <c r="CE59" s="189"/>
      <c r="CF59" s="189"/>
      <c r="CG59" s="189"/>
      <c r="CH59" s="189"/>
      <c r="CI59" s="189"/>
      <c r="CJ59" s="189"/>
      <c r="CK59" s="189"/>
      <c r="CL59" s="189"/>
    </row>
    <row r="60" spans="1:90" s="192" customFormat="1" x14ac:dyDescent="0.25">
      <c r="A60" s="192" t="s">
        <v>42</v>
      </c>
      <c r="B60" s="189">
        <v>747585265.47000003</v>
      </c>
      <c r="C60" s="189">
        <v>747585265.47000003</v>
      </c>
      <c r="D60" s="189">
        <v>747585265.47000003</v>
      </c>
      <c r="E60" s="189">
        <v>747585265.47000003</v>
      </c>
      <c r="F60" s="189">
        <v>747585265.47000003</v>
      </c>
      <c r="G60" s="189">
        <v>747585265.47000003</v>
      </c>
      <c r="H60" s="189">
        <v>747585265.47000003</v>
      </c>
      <c r="I60" s="189">
        <v>747585265.47000003</v>
      </c>
      <c r="J60" s="189">
        <v>747585265.47000003</v>
      </c>
      <c r="K60" s="189">
        <v>747585265.47000003</v>
      </c>
      <c r="L60" s="189">
        <v>747585265.47000003</v>
      </c>
      <c r="M60" s="189">
        <v>747585265.47000003</v>
      </c>
      <c r="N60" s="189">
        <v>747585265.47000003</v>
      </c>
      <c r="O60" s="189">
        <v>747585265.47000003</v>
      </c>
      <c r="P60" s="189">
        <v>747585265.47000003</v>
      </c>
      <c r="Q60" s="189">
        <v>747585265.47000003</v>
      </c>
      <c r="R60" s="189">
        <v>749091684.70000005</v>
      </c>
      <c r="S60" s="189">
        <v>749091684.70000005</v>
      </c>
      <c r="T60" s="189">
        <v>0</v>
      </c>
      <c r="U60" s="189">
        <v>0</v>
      </c>
      <c r="V60" s="189">
        <v>0</v>
      </c>
      <c r="W60" s="189">
        <v>0</v>
      </c>
      <c r="X60" s="189">
        <v>854892.91</v>
      </c>
      <c r="Y60" s="189">
        <v>854892.91</v>
      </c>
      <c r="Z60" s="189">
        <v>854892.91</v>
      </c>
      <c r="AA60" s="189">
        <v>854892.91</v>
      </c>
      <c r="AB60" s="189">
        <v>854892.91</v>
      </c>
      <c r="AC60" s="189">
        <v>854892.91</v>
      </c>
      <c r="AD60" s="189">
        <v>0</v>
      </c>
      <c r="AE60" s="189">
        <v>0</v>
      </c>
      <c r="AF60" s="189">
        <v>0</v>
      </c>
      <c r="AG60" s="189">
        <v>0</v>
      </c>
      <c r="AH60" s="189">
        <v>0</v>
      </c>
      <c r="AI60" s="189">
        <v>0</v>
      </c>
      <c r="AJ60" s="189">
        <v>0</v>
      </c>
      <c r="AK60" s="189">
        <v>0</v>
      </c>
      <c r="AL60" s="189">
        <v>0</v>
      </c>
      <c r="AM60" s="189">
        <v>0</v>
      </c>
      <c r="AN60" s="189"/>
      <c r="AO60" s="189"/>
      <c r="AP60" s="189"/>
      <c r="AQ60" s="189"/>
      <c r="AR60" s="189"/>
      <c r="AS60" s="189"/>
      <c r="AT60" s="189"/>
      <c r="AU60" s="189"/>
      <c r="AV60" s="189"/>
      <c r="AW60" s="189"/>
      <c r="AX60" s="189"/>
      <c r="AY60" s="189"/>
      <c r="AZ60" s="189"/>
      <c r="BA60" s="189"/>
      <c r="BB60" s="189"/>
      <c r="BC60" s="189"/>
      <c r="BD60" s="189"/>
      <c r="BE60" s="189"/>
      <c r="BF60" s="189"/>
      <c r="BG60" s="189"/>
      <c r="BH60" s="189"/>
      <c r="BI60" s="189"/>
      <c r="BJ60" s="189"/>
      <c r="BK60" s="189"/>
      <c r="BL60" s="189"/>
      <c r="BM60" s="189"/>
      <c r="BN60" s="189"/>
      <c r="BO60" s="189"/>
      <c r="BP60" s="189"/>
      <c r="BQ60" s="189"/>
      <c r="BR60" s="189"/>
      <c r="BS60" s="189"/>
      <c r="BT60" s="189"/>
      <c r="BU60" s="189"/>
      <c r="BV60" s="189"/>
      <c r="BW60" s="189"/>
      <c r="BX60" s="189"/>
      <c r="BY60" s="189"/>
      <c r="BZ60" s="189"/>
      <c r="CA60" s="189"/>
      <c r="CB60" s="189"/>
      <c r="CC60" s="189"/>
      <c r="CD60" s="189"/>
      <c r="CE60" s="189"/>
      <c r="CF60" s="189"/>
      <c r="CG60" s="189"/>
      <c r="CH60" s="189"/>
      <c r="CI60" s="189"/>
      <c r="CJ60" s="189"/>
      <c r="CK60" s="189"/>
      <c r="CL60" s="189"/>
    </row>
    <row r="61" spans="1:90" s="192" customFormat="1" x14ac:dyDescent="0.25">
      <c r="A61" s="192" t="s">
        <v>43</v>
      </c>
      <c r="B61" s="189">
        <v>0</v>
      </c>
      <c r="C61" s="189">
        <v>0</v>
      </c>
      <c r="D61" s="189">
        <v>786475.89</v>
      </c>
      <c r="E61" s="189">
        <v>806666.67</v>
      </c>
      <c r="F61" s="189">
        <v>1484671.89</v>
      </c>
      <c r="G61" s="189">
        <v>1264199.1599999999</v>
      </c>
      <c r="H61" s="189">
        <v>1544969.26</v>
      </c>
      <c r="I61" s="189">
        <v>1546403.16</v>
      </c>
      <c r="J61" s="189">
        <v>460415.06</v>
      </c>
      <c r="K61" s="189">
        <v>460415.06</v>
      </c>
      <c r="L61" s="189">
        <v>460415.06</v>
      </c>
      <c r="M61" s="189">
        <v>1082073.1499999999</v>
      </c>
      <c r="N61" s="189">
        <v>1382058.87</v>
      </c>
      <c r="O61" s="189">
        <v>1523898.56</v>
      </c>
      <c r="P61" s="189">
        <v>1700506.61</v>
      </c>
      <c r="Q61" s="189">
        <v>1930683</v>
      </c>
      <c r="R61" s="189">
        <v>0</v>
      </c>
      <c r="S61" s="189">
        <v>0</v>
      </c>
      <c r="T61" s="189">
        <v>0</v>
      </c>
      <c r="U61" s="189">
        <v>0</v>
      </c>
      <c r="V61" s="189">
        <v>0</v>
      </c>
      <c r="W61" s="189">
        <v>0</v>
      </c>
      <c r="X61" s="189">
        <v>0</v>
      </c>
      <c r="Y61" s="189">
        <v>0</v>
      </c>
      <c r="Z61" s="189">
        <v>0</v>
      </c>
      <c r="AA61" s="189">
        <v>0</v>
      </c>
      <c r="AB61" s="189">
        <v>0</v>
      </c>
      <c r="AC61" s="189">
        <v>0</v>
      </c>
      <c r="AD61" s="189">
        <v>0</v>
      </c>
      <c r="AE61" s="189">
        <v>0</v>
      </c>
      <c r="AF61" s="189">
        <v>0</v>
      </c>
      <c r="AG61" s="189">
        <v>0</v>
      </c>
      <c r="AH61" s="189">
        <v>0</v>
      </c>
      <c r="AI61" s="189">
        <v>0</v>
      </c>
      <c r="AJ61" s="189">
        <v>0</v>
      </c>
      <c r="AK61" s="189">
        <v>0</v>
      </c>
      <c r="AL61" s="189">
        <v>0</v>
      </c>
      <c r="AM61" s="189">
        <v>0</v>
      </c>
      <c r="AN61" s="189"/>
      <c r="AO61" s="189"/>
      <c r="AP61" s="189"/>
      <c r="AQ61" s="189"/>
      <c r="AR61" s="189"/>
      <c r="AS61" s="189"/>
      <c r="AT61" s="189"/>
      <c r="AU61" s="189"/>
      <c r="AV61" s="189"/>
      <c r="AW61" s="189"/>
      <c r="AX61" s="189"/>
      <c r="AY61" s="189"/>
      <c r="AZ61" s="189"/>
      <c r="BA61" s="189"/>
      <c r="BB61" s="189"/>
      <c r="BC61" s="189"/>
      <c r="BD61" s="189"/>
      <c r="BE61" s="189"/>
      <c r="BF61" s="189"/>
      <c r="BG61" s="189"/>
      <c r="BH61" s="189"/>
      <c r="BI61" s="189"/>
      <c r="BJ61" s="189"/>
      <c r="BK61" s="189"/>
      <c r="BL61" s="189"/>
      <c r="BM61" s="189"/>
      <c r="BN61" s="189"/>
      <c r="BO61" s="189"/>
      <c r="BP61" s="189"/>
      <c r="BQ61" s="189"/>
      <c r="BR61" s="189"/>
      <c r="BS61" s="189"/>
      <c r="BT61" s="189"/>
      <c r="BU61" s="189"/>
      <c r="BV61" s="189"/>
      <c r="BW61" s="189"/>
      <c r="BX61" s="189"/>
      <c r="BY61" s="189"/>
      <c r="BZ61" s="189"/>
      <c r="CA61" s="189"/>
      <c r="CB61" s="189"/>
      <c r="CC61" s="189"/>
      <c r="CD61" s="189"/>
      <c r="CE61" s="189"/>
      <c r="CF61" s="189"/>
      <c r="CG61" s="189"/>
      <c r="CH61" s="189"/>
      <c r="CI61" s="189"/>
      <c r="CJ61" s="189"/>
      <c r="CK61" s="189"/>
      <c r="CL61" s="189"/>
    </row>
    <row r="62" spans="1:90" s="192" customFormat="1" x14ac:dyDescent="0.25">
      <c r="A62" s="192" t="s">
        <v>44</v>
      </c>
      <c r="B62" s="189">
        <v>52046745.939999998</v>
      </c>
      <c r="C62" s="189">
        <v>52680118.689999998</v>
      </c>
      <c r="D62" s="189">
        <v>54426350.509999998</v>
      </c>
      <c r="E62" s="189">
        <v>55170945.43</v>
      </c>
      <c r="F62" s="189">
        <v>1116874483.6500001</v>
      </c>
      <c r="G62" s="189">
        <v>912663733.60000002</v>
      </c>
      <c r="H62" s="189">
        <v>838852706.37</v>
      </c>
      <c r="I62" s="189">
        <v>763343422.11000001</v>
      </c>
      <c r="J62" s="189">
        <v>710151450.64999998</v>
      </c>
      <c r="K62" s="189">
        <v>631809781.22000003</v>
      </c>
      <c r="L62" s="189">
        <v>530833720.98000002</v>
      </c>
      <c r="M62" s="189">
        <v>507251454.37</v>
      </c>
      <c r="N62" s="189">
        <v>346289271.63999999</v>
      </c>
      <c r="O62" s="189">
        <v>281692854.08999997</v>
      </c>
      <c r="P62" s="189">
        <v>234994985.59</v>
      </c>
      <c r="Q62" s="189">
        <v>196218582.19</v>
      </c>
      <c r="R62" s="189">
        <v>140679113.09999999</v>
      </c>
      <c r="S62" s="189">
        <v>88954081.129999995</v>
      </c>
      <c r="T62" s="189">
        <v>46416271.880000003</v>
      </c>
      <c r="U62" s="189">
        <v>26756965.48</v>
      </c>
      <c r="V62" s="189">
        <v>3546832.57</v>
      </c>
      <c r="W62" s="189">
        <v>3546832.57</v>
      </c>
      <c r="X62" s="189">
        <v>2380521.0299999998</v>
      </c>
      <c r="Y62" s="189">
        <v>2380521.0299999998</v>
      </c>
      <c r="Z62" s="189">
        <v>2279479.39</v>
      </c>
      <c r="AA62" s="189">
        <v>2279479.39</v>
      </c>
      <c r="AB62" s="189">
        <v>1747789.47</v>
      </c>
      <c r="AC62" s="189">
        <v>1747789.47</v>
      </c>
      <c r="AD62" s="189">
        <v>1487828.17</v>
      </c>
      <c r="AE62" s="189">
        <v>1487828.16</v>
      </c>
      <c r="AF62" s="189">
        <v>1074907.6100000001</v>
      </c>
      <c r="AG62" s="189">
        <v>1074907.6100000001</v>
      </c>
      <c r="AH62" s="189">
        <v>813878.6</v>
      </c>
      <c r="AI62" s="189">
        <v>813878.6</v>
      </c>
      <c r="AJ62" s="189">
        <v>813878.6</v>
      </c>
      <c r="AK62" s="189">
        <v>86091.39</v>
      </c>
      <c r="AL62" s="189">
        <v>0</v>
      </c>
      <c r="AM62" s="189">
        <v>0</v>
      </c>
      <c r="AN62" s="189"/>
      <c r="AO62" s="189"/>
      <c r="AP62" s="189"/>
      <c r="AQ62" s="189"/>
      <c r="AR62" s="189"/>
      <c r="AS62" s="189"/>
      <c r="AT62" s="189"/>
      <c r="AU62" s="189"/>
      <c r="AV62" s="189"/>
      <c r="AW62" s="189"/>
      <c r="AX62" s="189"/>
      <c r="AY62" s="189"/>
      <c r="AZ62" s="189"/>
      <c r="BA62" s="189"/>
      <c r="BB62" s="189"/>
      <c r="BC62" s="189"/>
      <c r="BD62" s="189"/>
      <c r="BE62" s="189"/>
      <c r="BF62" s="189"/>
      <c r="BG62" s="189"/>
      <c r="BH62" s="189"/>
      <c r="BI62" s="189"/>
      <c r="BJ62" s="189"/>
      <c r="BK62" s="189"/>
      <c r="BL62" s="189"/>
      <c r="BM62" s="189"/>
      <c r="BN62" s="189"/>
      <c r="BO62" s="189"/>
      <c r="BP62" s="189"/>
      <c r="BQ62" s="189"/>
      <c r="BR62" s="189"/>
      <c r="BS62" s="189"/>
      <c r="BT62" s="189"/>
      <c r="BU62" s="189"/>
      <c r="BV62" s="189"/>
      <c r="BW62" s="189"/>
      <c r="BX62" s="189"/>
      <c r="BY62" s="189"/>
      <c r="BZ62" s="189"/>
      <c r="CA62" s="189"/>
      <c r="CB62" s="189"/>
      <c r="CC62" s="189"/>
      <c r="CD62" s="189"/>
      <c r="CE62" s="189"/>
      <c r="CF62" s="189"/>
      <c r="CG62" s="189"/>
      <c r="CH62" s="189"/>
      <c r="CI62" s="189"/>
      <c r="CJ62" s="189"/>
      <c r="CK62" s="189"/>
      <c r="CL62" s="189"/>
    </row>
    <row r="63" spans="1:90" s="192" customFormat="1" x14ac:dyDescent="0.25">
      <c r="A63" s="192" t="s">
        <v>45</v>
      </c>
      <c r="B63" s="189">
        <v>3037852.42</v>
      </c>
      <c r="C63" s="189">
        <v>3037852.42</v>
      </c>
      <c r="D63" s="189">
        <v>3037852.42</v>
      </c>
      <c r="E63" s="189">
        <v>3037852.42</v>
      </c>
      <c r="F63" s="189">
        <v>3037852.42</v>
      </c>
      <c r="G63" s="189">
        <v>3037852.42</v>
      </c>
      <c r="H63" s="189">
        <v>3037852.42</v>
      </c>
      <c r="I63" s="189">
        <v>3037852.42</v>
      </c>
      <c r="J63" s="189">
        <v>7738542.96</v>
      </c>
      <c r="K63" s="189">
        <v>7738542.96</v>
      </c>
      <c r="L63" s="189">
        <v>6489861.7300000004</v>
      </c>
      <c r="M63" s="189">
        <v>6489861.7300000004</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c r="AO63" s="189"/>
      <c r="AP63" s="189"/>
      <c r="AQ63" s="189"/>
      <c r="AR63" s="189"/>
      <c r="AS63" s="189"/>
      <c r="AT63" s="189"/>
      <c r="AU63" s="189"/>
      <c r="AV63" s="189"/>
      <c r="AW63" s="189"/>
      <c r="AX63" s="189"/>
      <c r="AY63" s="189"/>
      <c r="AZ63" s="189"/>
      <c r="BA63" s="189"/>
      <c r="BB63" s="189"/>
      <c r="BC63" s="189"/>
      <c r="BD63" s="189"/>
      <c r="BE63" s="189"/>
      <c r="BF63" s="189"/>
      <c r="BG63" s="189"/>
      <c r="BH63" s="189"/>
      <c r="BI63" s="189"/>
      <c r="BJ63" s="189"/>
      <c r="BK63" s="189"/>
      <c r="BL63" s="189"/>
      <c r="BM63" s="189"/>
      <c r="BN63" s="189"/>
      <c r="BO63" s="189"/>
      <c r="BP63" s="189"/>
      <c r="BQ63" s="189"/>
      <c r="BR63" s="189"/>
      <c r="BS63" s="189"/>
      <c r="BT63" s="189"/>
      <c r="BU63" s="189"/>
      <c r="BV63" s="189"/>
      <c r="BW63" s="189"/>
      <c r="BX63" s="189"/>
      <c r="BY63" s="189"/>
      <c r="BZ63" s="189"/>
      <c r="CA63" s="189"/>
      <c r="CB63" s="189"/>
      <c r="CC63" s="189"/>
      <c r="CD63" s="189"/>
      <c r="CE63" s="189"/>
      <c r="CF63" s="189"/>
      <c r="CG63" s="189"/>
      <c r="CH63" s="189"/>
      <c r="CI63" s="189"/>
      <c r="CJ63" s="189"/>
      <c r="CK63" s="189"/>
      <c r="CL63" s="189"/>
    </row>
    <row r="64" spans="1:90" s="192" customFormat="1" x14ac:dyDescent="0.25">
      <c r="A64" s="192" t="s">
        <v>46</v>
      </c>
      <c r="B64" s="189">
        <v>826526595.84000003</v>
      </c>
      <c r="C64" s="189">
        <v>911497241.47000003</v>
      </c>
      <c r="D64" s="189">
        <v>970853042.21000004</v>
      </c>
      <c r="E64" s="189">
        <v>971834613.55999994</v>
      </c>
      <c r="F64" s="189">
        <v>1375605015.8699999</v>
      </c>
      <c r="G64" s="189">
        <v>1117626425.96</v>
      </c>
      <c r="H64" s="189">
        <v>1662061830.45</v>
      </c>
      <c r="I64" s="189">
        <v>1658299634.4200001</v>
      </c>
      <c r="J64" s="189">
        <v>1382152881.5999999</v>
      </c>
      <c r="K64" s="189">
        <v>572779517.75999999</v>
      </c>
      <c r="L64" s="189">
        <v>544103698.07000005</v>
      </c>
      <c r="M64" s="189">
        <v>511528626.08999997</v>
      </c>
      <c r="N64" s="189">
        <v>527016608.54000002</v>
      </c>
      <c r="O64" s="189">
        <v>359510444.52999997</v>
      </c>
      <c r="P64" s="189">
        <v>257989216.81999999</v>
      </c>
      <c r="Q64" s="189">
        <v>230797275.71000001</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c r="AO64" s="189"/>
      <c r="AP64" s="189"/>
      <c r="AQ64" s="189"/>
      <c r="AR64" s="189"/>
      <c r="AS64" s="189"/>
      <c r="AT64" s="189"/>
      <c r="AU64" s="189"/>
      <c r="AV64" s="189"/>
      <c r="AW64" s="189"/>
      <c r="AX64" s="189"/>
      <c r="AY64" s="189"/>
      <c r="AZ64" s="189"/>
      <c r="BA64" s="189"/>
      <c r="BB64" s="189"/>
      <c r="BC64" s="189"/>
      <c r="BD64" s="189"/>
      <c r="BE64" s="189"/>
      <c r="BF64" s="189"/>
      <c r="BG64" s="189"/>
      <c r="BH64" s="189"/>
      <c r="BI64" s="189"/>
      <c r="BJ64" s="189"/>
      <c r="BK64" s="189"/>
      <c r="BL64" s="189"/>
      <c r="BM64" s="189"/>
      <c r="BN64" s="189"/>
      <c r="BO64" s="189"/>
      <c r="BP64" s="189"/>
      <c r="BQ64" s="189"/>
      <c r="BR64" s="189"/>
      <c r="BS64" s="189"/>
      <c r="BT64" s="189"/>
      <c r="BU64" s="189"/>
      <c r="BV64" s="189"/>
      <c r="BW64" s="189"/>
      <c r="BX64" s="189"/>
      <c r="BY64" s="189"/>
      <c r="BZ64" s="189"/>
      <c r="CA64" s="189"/>
      <c r="CB64" s="189"/>
      <c r="CC64" s="189"/>
      <c r="CD64" s="189"/>
      <c r="CE64" s="189"/>
      <c r="CF64" s="189"/>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5964540368.7700005</v>
      </c>
      <c r="C68" s="36">
        <f t="shared" ref="C68:BN68" si="8">SUM(C52:C64)-2*C63</f>
        <v>6274940829.6700001</v>
      </c>
      <c r="D68" s="36">
        <f t="shared" si="8"/>
        <v>6844461109.6100006</v>
      </c>
      <c r="E68" s="36">
        <f t="shared" si="8"/>
        <v>7034358934.5799999</v>
      </c>
      <c r="F68" s="36">
        <f t="shared" si="8"/>
        <v>13684882235.849998</v>
      </c>
      <c r="G68" s="36">
        <f t="shared" si="8"/>
        <v>13341715834.080002</v>
      </c>
      <c r="H68" s="36">
        <f t="shared" si="8"/>
        <v>13087110391.340002</v>
      </c>
      <c r="I68" s="36">
        <f t="shared" si="8"/>
        <v>11886648716.83</v>
      </c>
      <c r="J68" s="36">
        <f t="shared" si="8"/>
        <v>10793313132.559998</v>
      </c>
      <c r="K68" s="36">
        <f t="shared" si="8"/>
        <v>8980404311.0300007</v>
      </c>
      <c r="L68" s="36">
        <f t="shared" si="8"/>
        <v>8270099738.9199991</v>
      </c>
      <c r="M68" s="36">
        <f t="shared" si="8"/>
        <v>7694293447.9699984</v>
      </c>
      <c r="N68" s="36">
        <f t="shared" si="8"/>
        <v>6741437964.8000002</v>
      </c>
      <c r="O68" s="36">
        <f t="shared" si="8"/>
        <v>5972094695.3500004</v>
      </c>
      <c r="P68" s="36">
        <f t="shared" si="8"/>
        <v>5566864477.5900002</v>
      </c>
      <c r="Q68" s="36">
        <f t="shared" si="8"/>
        <v>5246144846.25</v>
      </c>
      <c r="R68" s="36">
        <f t="shared" si="8"/>
        <v>4586965197.2700005</v>
      </c>
      <c r="S68" s="36">
        <f t="shared" si="8"/>
        <v>4152086072.1000004</v>
      </c>
      <c r="T68" s="36">
        <f t="shared" si="8"/>
        <v>3067887840.1799998</v>
      </c>
      <c r="U68" s="36">
        <f t="shared" si="8"/>
        <v>2913659147.3400002</v>
      </c>
      <c r="V68" s="36">
        <f t="shared" si="8"/>
        <v>2538576392.79</v>
      </c>
      <c r="W68" s="36">
        <f t="shared" si="8"/>
        <v>2417703065.2000003</v>
      </c>
      <c r="X68" s="36">
        <f t="shared" si="8"/>
        <v>2130184992.9900002</v>
      </c>
      <c r="Y68" s="36">
        <f t="shared" si="8"/>
        <v>1989743263.0699999</v>
      </c>
      <c r="Z68" s="36">
        <f t="shared" si="8"/>
        <v>1708907013.7100003</v>
      </c>
      <c r="AA68" s="36">
        <f t="shared" si="8"/>
        <v>1538387007.6300004</v>
      </c>
      <c r="AB68" s="36">
        <f t="shared" si="8"/>
        <v>1341911127.7</v>
      </c>
      <c r="AC68" s="36">
        <f t="shared" si="8"/>
        <v>1090654755.0799999</v>
      </c>
      <c r="AD68" s="36">
        <f t="shared" si="8"/>
        <v>683348839.65999997</v>
      </c>
      <c r="AE68" s="36">
        <f t="shared" si="8"/>
        <v>492115286.21999997</v>
      </c>
      <c r="AF68" s="36">
        <f t="shared" si="8"/>
        <v>405790777.05000007</v>
      </c>
      <c r="AG68" s="36">
        <f t="shared" si="8"/>
        <v>357958064.82000005</v>
      </c>
      <c r="AH68" s="36">
        <f t="shared" si="8"/>
        <v>269202063.73000002</v>
      </c>
      <c r="AI68" s="36">
        <f t="shared" si="8"/>
        <v>226730876.22999999</v>
      </c>
      <c r="AJ68" s="36">
        <f t="shared" si="8"/>
        <v>169812508.78999999</v>
      </c>
      <c r="AK68" s="36">
        <f t="shared" si="8"/>
        <v>62677692.899999999</v>
      </c>
      <c r="AL68" s="36">
        <f t="shared" si="8"/>
        <v>53016126.919999994</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8081046289.71</v>
      </c>
      <c r="C69" s="33">
        <f t="shared" ref="C69:BN69" si="10">C50+C68</f>
        <v>3606028769.3999996</v>
      </c>
      <c r="D69" s="33">
        <f t="shared" si="10"/>
        <v>4181850227.0599985</v>
      </c>
      <c r="E69" s="33">
        <f t="shared" si="10"/>
        <v>3815939258.8999996</v>
      </c>
      <c r="F69" s="33">
        <f t="shared" si="10"/>
        <v>17954585533.389999</v>
      </c>
      <c r="G69" s="33">
        <f t="shared" si="10"/>
        <v>20365665240.82</v>
      </c>
      <c r="H69" s="33">
        <f t="shared" si="10"/>
        <v>17862645994.290001</v>
      </c>
      <c r="I69" s="33">
        <f t="shared" si="10"/>
        <v>16864970727.09</v>
      </c>
      <c r="J69" s="33">
        <f t="shared" si="10"/>
        <v>12263919972.539997</v>
      </c>
      <c r="K69" s="33">
        <f t="shared" si="10"/>
        <v>9487695483.8100014</v>
      </c>
      <c r="L69" s="33">
        <f t="shared" si="10"/>
        <v>9639493459.8899994</v>
      </c>
      <c r="M69" s="33">
        <f t="shared" si="10"/>
        <v>8509856244.3199997</v>
      </c>
      <c r="N69" s="33">
        <f t="shared" si="10"/>
        <v>7533229772.6100006</v>
      </c>
      <c r="O69" s="33">
        <f t="shared" si="10"/>
        <v>7227619984.4300013</v>
      </c>
      <c r="P69" s="33">
        <f t="shared" si="10"/>
        <v>6752981796.3400011</v>
      </c>
      <c r="Q69" s="33">
        <f t="shared" si="10"/>
        <v>5736532881.7800007</v>
      </c>
      <c r="R69" s="33">
        <f t="shared" si="10"/>
        <v>4662192067.6200008</v>
      </c>
      <c r="S69" s="33">
        <f t="shared" si="10"/>
        <v>4001299389.9800005</v>
      </c>
      <c r="T69" s="33">
        <f t="shared" si="10"/>
        <v>3132940060.3299999</v>
      </c>
      <c r="U69" s="33">
        <f t="shared" si="10"/>
        <v>3164187642.2500005</v>
      </c>
      <c r="V69" s="33">
        <f t="shared" si="10"/>
        <v>2770869624.1000004</v>
      </c>
      <c r="W69" s="33">
        <f t="shared" si="10"/>
        <v>2811184504.9800005</v>
      </c>
      <c r="X69" s="33">
        <f t="shared" si="10"/>
        <v>2370766261.0400004</v>
      </c>
      <c r="Y69" s="33">
        <f t="shared" si="10"/>
        <v>2231191465.4899998</v>
      </c>
      <c r="Z69" s="33">
        <f t="shared" si="10"/>
        <v>1973275784.3500001</v>
      </c>
      <c r="AA69" s="33">
        <f t="shared" si="10"/>
        <v>1654053702.5400004</v>
      </c>
      <c r="AB69" s="33">
        <f t="shared" si="10"/>
        <v>1432788552.4500003</v>
      </c>
      <c r="AC69" s="33">
        <f t="shared" si="10"/>
        <v>1308708267.03</v>
      </c>
      <c r="AD69" s="33">
        <f t="shared" si="10"/>
        <v>1157976033.55</v>
      </c>
      <c r="AE69" s="33">
        <f t="shared" si="10"/>
        <v>867223905.6099999</v>
      </c>
      <c r="AF69" s="33">
        <f t="shared" si="10"/>
        <v>663070400</v>
      </c>
      <c r="AG69" s="33">
        <f t="shared" si="10"/>
        <v>465309008.84000003</v>
      </c>
      <c r="AH69" s="33">
        <f t="shared" si="10"/>
        <v>379324852.56000006</v>
      </c>
      <c r="AI69" s="33">
        <f t="shared" si="10"/>
        <v>293185994.13999999</v>
      </c>
      <c r="AJ69" s="33">
        <f t="shared" si="10"/>
        <v>193444565.37</v>
      </c>
      <c r="AK69" s="33">
        <f t="shared" si="10"/>
        <v>103605518.52</v>
      </c>
      <c r="AL69" s="33">
        <f t="shared" si="10"/>
        <v>57959422.039999992</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11433587549.67</v>
      </c>
      <c r="C70" s="37">
        <f t="shared" ref="C70:BN70" si="12">C17+C19+C69</f>
        <v>7112283919.4899998</v>
      </c>
      <c r="D70" s="37">
        <f t="shared" si="12"/>
        <v>7763925675.4599991</v>
      </c>
      <c r="E70" s="37">
        <f t="shared" si="12"/>
        <v>7639634763.3899994</v>
      </c>
      <c r="F70" s="37">
        <f t="shared" si="12"/>
        <v>23308205179.860001</v>
      </c>
      <c r="G70" s="37">
        <f t="shared" si="12"/>
        <v>27855500812.769997</v>
      </c>
      <c r="H70" s="37">
        <f t="shared" si="12"/>
        <v>25898748033.82</v>
      </c>
      <c r="I70" s="37">
        <f t="shared" si="12"/>
        <v>25027200198.849998</v>
      </c>
      <c r="J70" s="37">
        <f t="shared" si="12"/>
        <v>21811697519.769997</v>
      </c>
      <c r="K70" s="37">
        <f t="shared" si="12"/>
        <v>17983110291.360001</v>
      </c>
      <c r="L70" s="37">
        <f t="shared" si="12"/>
        <v>12461770683.709999</v>
      </c>
      <c r="M70" s="37">
        <f t="shared" si="12"/>
        <v>11409209400.73</v>
      </c>
      <c r="N70" s="37">
        <f t="shared" si="12"/>
        <v>10946366417.380001</v>
      </c>
      <c r="O70" s="37">
        <f t="shared" si="12"/>
        <v>8460457629.1100006</v>
      </c>
      <c r="P70" s="37">
        <f t="shared" si="12"/>
        <v>7490384686.5900011</v>
      </c>
      <c r="Q70" s="37">
        <f t="shared" si="12"/>
        <v>6256383038.0700006</v>
      </c>
      <c r="R70" s="37">
        <f t="shared" si="12"/>
        <v>5102797280.5500011</v>
      </c>
      <c r="S70" s="37">
        <f t="shared" si="12"/>
        <v>5049649558</v>
      </c>
      <c r="T70" s="37">
        <f t="shared" si="12"/>
        <v>4045705637.21</v>
      </c>
      <c r="U70" s="37">
        <f t="shared" si="12"/>
        <v>3792724481.4100003</v>
      </c>
      <c r="V70" s="37">
        <f t="shared" si="12"/>
        <v>3306149786.8200002</v>
      </c>
      <c r="W70" s="37">
        <f t="shared" si="12"/>
        <v>3051722310.3200006</v>
      </c>
      <c r="X70" s="37">
        <f t="shared" si="12"/>
        <v>2701906837.1200004</v>
      </c>
      <c r="Y70" s="37">
        <f t="shared" si="12"/>
        <v>2444711861.9499998</v>
      </c>
      <c r="Z70" s="37">
        <f t="shared" si="12"/>
        <v>2228592678.3900003</v>
      </c>
      <c r="AA70" s="37">
        <f t="shared" si="12"/>
        <v>1910112979.8800004</v>
      </c>
      <c r="AB70" s="37">
        <f t="shared" si="12"/>
        <v>1554892158.2400002</v>
      </c>
      <c r="AC70" s="37">
        <f t="shared" si="12"/>
        <v>1462106722.53</v>
      </c>
      <c r="AD70" s="37">
        <f t="shared" si="12"/>
        <v>1291061639.3899999</v>
      </c>
      <c r="AE70" s="37">
        <f t="shared" si="12"/>
        <v>1182057424.1299999</v>
      </c>
      <c r="AF70" s="37">
        <f t="shared" si="12"/>
        <v>1037726451.4</v>
      </c>
      <c r="AG70" s="37">
        <f t="shared" si="12"/>
        <v>1008662287.9400001</v>
      </c>
      <c r="AH70" s="37">
        <f t="shared" si="12"/>
        <v>945417384.95000005</v>
      </c>
      <c r="AI70" s="37">
        <f t="shared" si="12"/>
        <v>313692293.25</v>
      </c>
      <c r="AJ70" s="37">
        <f t="shared" si="12"/>
        <v>227005762.91</v>
      </c>
      <c r="AK70" s="37">
        <f t="shared" si="12"/>
        <v>142670557.59999999</v>
      </c>
      <c r="AL70" s="37">
        <f t="shared" si="12"/>
        <v>59615812.75999999</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4381817445.4899998</v>
      </c>
      <c r="F72" s="28">
        <f t="shared" ref="F72:BQ72" si="14">SUM(F73:F77)</f>
        <v>3723922430.73</v>
      </c>
      <c r="G72" s="28">
        <f t="shared" si="14"/>
        <v>4728907787.2399998</v>
      </c>
      <c r="H72" s="28">
        <f t="shared" si="14"/>
        <v>4269841527.2600002</v>
      </c>
      <c r="I72" s="28">
        <f t="shared" si="14"/>
        <v>5328638440.5300007</v>
      </c>
      <c r="J72" s="28">
        <f t="shared" si="14"/>
        <v>3070905148.6300001</v>
      </c>
      <c r="K72" s="28">
        <f t="shared" si="14"/>
        <v>1688205259.7</v>
      </c>
      <c r="L72" s="28">
        <f t="shared" si="14"/>
        <v>2103070522.5899999</v>
      </c>
      <c r="M72" s="28">
        <f t="shared" si="14"/>
        <v>1886620907.95</v>
      </c>
      <c r="N72" s="28">
        <f t="shared" si="14"/>
        <v>1470921174.4200001</v>
      </c>
      <c r="O72" s="28">
        <f t="shared" si="14"/>
        <v>1623053658.8199999</v>
      </c>
      <c r="P72" s="28">
        <f t="shared" si="14"/>
        <v>1485133449.73</v>
      </c>
      <c r="Q72" s="28">
        <f t="shared" si="14"/>
        <v>1804348344.46</v>
      </c>
      <c r="R72" s="28">
        <f t="shared" si="14"/>
        <v>1802717514.4099998</v>
      </c>
      <c r="S72" s="28">
        <f t="shared" si="14"/>
        <v>1764826037.52</v>
      </c>
      <c r="T72" s="28">
        <f t="shared" si="14"/>
        <v>1453617366.71</v>
      </c>
      <c r="U72" s="28">
        <f t="shared" si="14"/>
        <v>1279000993.02</v>
      </c>
      <c r="V72" s="28">
        <f t="shared" si="14"/>
        <v>842153906.75</v>
      </c>
      <c r="W72" s="28">
        <f t="shared" si="14"/>
        <v>801999967.48000002</v>
      </c>
      <c r="X72" s="28">
        <f t="shared" si="14"/>
        <v>682954566.55000007</v>
      </c>
      <c r="Y72" s="28">
        <f t="shared" si="14"/>
        <v>657122704.38999999</v>
      </c>
      <c r="Z72" s="28">
        <f t="shared" si="14"/>
        <v>522950645.17000002</v>
      </c>
      <c r="AA72" s="28">
        <f t="shared" si="14"/>
        <v>522254032.25999999</v>
      </c>
      <c r="AB72" s="28">
        <f t="shared" si="14"/>
        <v>380000000</v>
      </c>
      <c r="AC72" s="28">
        <f t="shared" si="14"/>
        <v>340000000</v>
      </c>
      <c r="AD72" s="28">
        <f t="shared" si="14"/>
        <v>267370835.80000001</v>
      </c>
      <c r="AE72" s="28">
        <f t="shared" si="14"/>
        <v>200000000</v>
      </c>
      <c r="AF72" s="28">
        <f t="shared" si="14"/>
        <v>70000000</v>
      </c>
      <c r="AG72" s="28">
        <f t="shared" si="14"/>
        <v>70000000</v>
      </c>
      <c r="AH72" s="28">
        <f t="shared" si="14"/>
        <v>26330304.899999999</v>
      </c>
      <c r="AI72" s="28">
        <f t="shared" si="14"/>
        <v>95500000</v>
      </c>
      <c r="AJ72" s="28">
        <f t="shared" si="14"/>
        <v>40000000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1956295824.03</v>
      </c>
      <c r="C73" s="189">
        <v>2176745501.8000002</v>
      </c>
      <c r="D73" s="189">
        <v>3314975501.8000002</v>
      </c>
      <c r="E73" s="189">
        <v>2754826592.0100002</v>
      </c>
      <c r="F73" s="189">
        <v>3008355409.98</v>
      </c>
      <c r="G73" s="189">
        <v>2110675908.1800001</v>
      </c>
      <c r="H73" s="189">
        <v>2177675908.1799998</v>
      </c>
      <c r="I73" s="189">
        <v>2600361000</v>
      </c>
      <c r="J73" s="189">
        <v>2986486000</v>
      </c>
      <c r="K73" s="189">
        <v>1493000000</v>
      </c>
      <c r="L73" s="189">
        <v>1928800000</v>
      </c>
      <c r="M73" s="189">
        <v>1735000000</v>
      </c>
      <c r="N73" s="189">
        <v>1346809413</v>
      </c>
      <c r="O73" s="189">
        <v>1375000000</v>
      </c>
      <c r="P73" s="189">
        <v>1054000000</v>
      </c>
      <c r="Q73" s="189">
        <v>1388000000</v>
      </c>
      <c r="R73" s="189">
        <v>1389000000</v>
      </c>
      <c r="S73" s="189">
        <v>1239000000</v>
      </c>
      <c r="T73" s="189">
        <v>1150000000</v>
      </c>
      <c r="U73" s="189">
        <v>970000000</v>
      </c>
      <c r="V73" s="189">
        <v>565000000</v>
      </c>
      <c r="W73" s="189">
        <v>685000000</v>
      </c>
      <c r="X73" s="189">
        <v>538900000</v>
      </c>
      <c r="Y73" s="189">
        <v>508900000</v>
      </c>
      <c r="Z73" s="189">
        <v>511300000</v>
      </c>
      <c r="AA73" s="189">
        <v>474300000</v>
      </c>
      <c r="AB73" s="189">
        <v>380000000</v>
      </c>
      <c r="AC73" s="189">
        <v>340000000</v>
      </c>
      <c r="AD73" s="189">
        <v>267370835.80000001</v>
      </c>
      <c r="AE73" s="189">
        <v>200000000</v>
      </c>
      <c r="AF73" s="189">
        <v>70000000</v>
      </c>
      <c r="AG73" s="189">
        <v>70000000</v>
      </c>
      <c r="AH73" s="189">
        <v>26200000</v>
      </c>
      <c r="AI73" s="189">
        <v>95500000</v>
      </c>
      <c r="AJ73" s="189">
        <v>40000000</v>
      </c>
      <c r="AK73" s="189">
        <v>0</v>
      </c>
      <c r="AL73" s="189">
        <v>0</v>
      </c>
      <c r="AM73" s="189">
        <v>0</v>
      </c>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9"/>
      <c r="BJ73" s="189"/>
      <c r="BK73" s="189"/>
      <c r="BL73" s="189"/>
      <c r="BM73" s="189"/>
      <c r="BN73" s="189"/>
      <c r="BO73" s="189"/>
      <c r="BP73" s="189"/>
      <c r="BQ73" s="189"/>
      <c r="BR73" s="189"/>
      <c r="BS73" s="189"/>
      <c r="BT73" s="189"/>
      <c r="BU73" s="189"/>
      <c r="BV73" s="189"/>
      <c r="BW73" s="189"/>
      <c r="BX73" s="189"/>
      <c r="BY73" s="189"/>
      <c r="BZ73" s="189"/>
      <c r="CA73" s="189"/>
      <c r="CB73" s="189"/>
      <c r="CC73" s="189"/>
      <c r="CD73" s="189"/>
      <c r="CE73" s="189"/>
      <c r="CF73" s="189"/>
      <c r="CG73" s="189"/>
      <c r="CH73" s="189"/>
      <c r="CI73" s="189"/>
      <c r="CJ73" s="189"/>
      <c r="CK73" s="189"/>
      <c r="CL73" s="189"/>
    </row>
    <row r="74" spans="1:90" x14ac:dyDescent="0.25">
      <c r="A74" s="128" t="s">
        <v>77</v>
      </c>
      <c r="B74" s="189">
        <v>0</v>
      </c>
      <c r="C74" s="189">
        <v>346128957.52999997</v>
      </c>
      <c r="D74" s="189">
        <v>233429300.46000001</v>
      </c>
      <c r="E74" s="189">
        <v>111768418.02</v>
      </c>
      <c r="F74" s="189">
        <v>210238795.94</v>
      </c>
      <c r="G74" s="189">
        <v>259698626.40000001</v>
      </c>
      <c r="H74" s="189">
        <v>112643447.69</v>
      </c>
      <c r="I74" s="189">
        <v>81875727.030000001</v>
      </c>
      <c r="J74" s="189">
        <v>24051053.300000001</v>
      </c>
      <c r="K74" s="189">
        <v>117550745.66</v>
      </c>
      <c r="L74" s="189">
        <v>91336763.569999993</v>
      </c>
      <c r="M74" s="189">
        <v>52645206.380000003</v>
      </c>
      <c r="N74" s="189">
        <v>13024193.550000001</v>
      </c>
      <c r="O74" s="189">
        <v>10488925.08</v>
      </c>
      <c r="P74" s="189">
        <v>25333798.460000001</v>
      </c>
      <c r="Q74" s="189">
        <v>15200173.460000001</v>
      </c>
      <c r="R74" s="189">
        <v>8605437.3499999996</v>
      </c>
      <c r="S74" s="189">
        <v>31597654.640000001</v>
      </c>
      <c r="T74" s="189">
        <v>38980645.219999999</v>
      </c>
      <c r="U74" s="189">
        <v>25835645.210000001</v>
      </c>
      <c r="V74" s="189">
        <v>12690645.199999999</v>
      </c>
      <c r="W74" s="189">
        <v>19405645.190000001</v>
      </c>
      <c r="X74" s="189">
        <v>30140645.190000001</v>
      </c>
      <c r="Y74" s="189">
        <v>20895645.18</v>
      </c>
      <c r="Z74" s="189">
        <v>11650645.17</v>
      </c>
      <c r="AA74" s="189">
        <v>2954032.26</v>
      </c>
      <c r="AB74" s="189">
        <v>0</v>
      </c>
      <c r="AC74" s="189">
        <v>0</v>
      </c>
      <c r="AD74" s="189">
        <v>0</v>
      </c>
      <c r="AE74" s="189">
        <v>0</v>
      </c>
      <c r="AF74" s="189">
        <v>0</v>
      </c>
      <c r="AG74" s="189">
        <v>0</v>
      </c>
      <c r="AH74" s="189">
        <v>130304.9</v>
      </c>
      <c r="AI74" s="189">
        <v>0</v>
      </c>
      <c r="AJ74" s="189">
        <v>0</v>
      </c>
      <c r="AK74" s="189">
        <v>0</v>
      </c>
      <c r="AL74" s="189">
        <v>0</v>
      </c>
      <c r="AM74" s="189">
        <v>0</v>
      </c>
      <c r="AN74" s="189"/>
      <c r="AO74" s="189"/>
      <c r="AP74" s="189"/>
      <c r="AQ74" s="189"/>
      <c r="AR74" s="189"/>
      <c r="AS74" s="189"/>
      <c r="AT74" s="189"/>
      <c r="AU74" s="189"/>
      <c r="AV74" s="189"/>
      <c r="AW74" s="189"/>
      <c r="AX74" s="189"/>
      <c r="AY74" s="189"/>
      <c r="AZ74" s="189"/>
      <c r="BA74" s="189"/>
      <c r="BB74" s="189"/>
      <c r="BC74" s="189"/>
      <c r="BD74" s="189"/>
      <c r="BE74" s="189"/>
      <c r="BF74" s="189"/>
      <c r="BG74" s="189"/>
      <c r="BH74" s="189"/>
      <c r="BI74" s="189"/>
      <c r="BJ74" s="189"/>
      <c r="BK74" s="189"/>
      <c r="BL74" s="189"/>
      <c r="BM74" s="189"/>
      <c r="BN74" s="189"/>
      <c r="BO74" s="189"/>
      <c r="BP74" s="189"/>
      <c r="BQ74" s="189"/>
      <c r="BR74" s="189"/>
      <c r="BS74" s="189"/>
      <c r="BT74" s="189"/>
      <c r="BU74" s="189"/>
      <c r="BV74" s="189"/>
      <c r="BW74" s="189"/>
      <c r="BX74" s="189"/>
      <c r="BY74" s="189"/>
      <c r="BZ74" s="189"/>
      <c r="CA74" s="189"/>
      <c r="CB74" s="189"/>
      <c r="CC74" s="189"/>
      <c r="CD74" s="189"/>
      <c r="CE74" s="189"/>
      <c r="CF74" s="189"/>
      <c r="CG74" s="189"/>
      <c r="CH74" s="189"/>
      <c r="CI74" s="189"/>
      <c r="CJ74" s="189"/>
      <c r="CK74" s="189"/>
      <c r="CL74" s="189"/>
    </row>
    <row r="75" spans="1:90" x14ac:dyDescent="0.25">
      <c r="A75" s="128"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c r="AO75" s="189"/>
      <c r="AP75" s="189"/>
      <c r="AQ75" s="189"/>
      <c r="AR75" s="189"/>
      <c r="AS75" s="189"/>
      <c r="AT75" s="189"/>
      <c r="AU75" s="189"/>
      <c r="AV75" s="189"/>
      <c r="AW75" s="189"/>
      <c r="AX75" s="189"/>
      <c r="AY75" s="189"/>
      <c r="AZ75" s="189"/>
      <c r="BA75" s="189"/>
      <c r="BB75" s="189"/>
      <c r="BC75" s="189"/>
      <c r="BD75" s="189"/>
      <c r="BE75" s="189"/>
      <c r="BF75" s="189"/>
      <c r="BG75" s="189"/>
      <c r="BH75" s="189"/>
      <c r="BI75" s="189"/>
      <c r="BJ75" s="189"/>
      <c r="BK75" s="189"/>
      <c r="BL75" s="189"/>
      <c r="BM75" s="189"/>
      <c r="BN75" s="189"/>
      <c r="BO75" s="189"/>
      <c r="BP75" s="189"/>
      <c r="BQ75" s="189"/>
      <c r="BR75" s="189"/>
      <c r="BS75" s="189"/>
      <c r="BT75" s="189"/>
      <c r="BU75" s="189"/>
      <c r="BV75" s="189"/>
      <c r="BW75" s="189"/>
      <c r="BX75" s="189"/>
      <c r="BY75" s="189"/>
      <c r="BZ75" s="189"/>
      <c r="CA75" s="189"/>
      <c r="CB75" s="189"/>
      <c r="CC75" s="189"/>
      <c r="CD75" s="189"/>
      <c r="CE75" s="189"/>
      <c r="CF75" s="189"/>
      <c r="CG75" s="189"/>
      <c r="CH75" s="189"/>
      <c r="CI75" s="189"/>
      <c r="CJ75" s="189"/>
      <c r="CK75" s="189"/>
      <c r="CL75" s="189"/>
    </row>
    <row r="76" spans="1:90" x14ac:dyDescent="0.25">
      <c r="A76" s="128" t="s">
        <v>54</v>
      </c>
      <c r="B76" s="189">
        <v>1358050476.71</v>
      </c>
      <c r="C76" s="189">
        <v>1385994931.76</v>
      </c>
      <c r="D76" s="189">
        <v>1515222435.46</v>
      </c>
      <c r="E76" s="189">
        <v>1515222435.46</v>
      </c>
      <c r="F76" s="189">
        <v>505328224.81</v>
      </c>
      <c r="G76" s="189">
        <v>2358533252.6599998</v>
      </c>
      <c r="H76" s="189">
        <v>1979522171.3900001</v>
      </c>
      <c r="I76" s="189">
        <v>2646401713.5</v>
      </c>
      <c r="J76" s="189">
        <v>60368095.329999998</v>
      </c>
      <c r="K76" s="189">
        <v>77654514.040000007</v>
      </c>
      <c r="L76" s="189">
        <v>82933759.019999996</v>
      </c>
      <c r="M76" s="189">
        <v>98975701.569999993</v>
      </c>
      <c r="N76" s="189">
        <v>111087567.87</v>
      </c>
      <c r="O76" s="189">
        <v>237564733.74000001</v>
      </c>
      <c r="P76" s="189">
        <v>405799651.26999998</v>
      </c>
      <c r="Q76" s="189">
        <v>401148171</v>
      </c>
      <c r="R76" s="189">
        <v>405112077.06</v>
      </c>
      <c r="S76" s="189">
        <v>494228382.88</v>
      </c>
      <c r="T76" s="189">
        <v>264636721.49000001</v>
      </c>
      <c r="U76" s="189">
        <v>283165347.81</v>
      </c>
      <c r="V76" s="189">
        <v>264463261.55000001</v>
      </c>
      <c r="W76" s="189">
        <v>97594322.290000007</v>
      </c>
      <c r="X76" s="189">
        <v>113913921.36</v>
      </c>
      <c r="Y76" s="189">
        <v>127327059.20999999</v>
      </c>
      <c r="Z76" s="189">
        <v>0</v>
      </c>
      <c r="AA76" s="189">
        <v>45000000</v>
      </c>
      <c r="AB76" s="189">
        <v>0</v>
      </c>
      <c r="AC76" s="189">
        <v>0</v>
      </c>
      <c r="AD76" s="189">
        <v>0</v>
      </c>
      <c r="AE76" s="189">
        <v>0</v>
      </c>
      <c r="AF76" s="189">
        <v>0</v>
      </c>
      <c r="AG76" s="189">
        <v>0</v>
      </c>
      <c r="AH76" s="189">
        <v>0</v>
      </c>
      <c r="AI76" s="189">
        <v>0</v>
      </c>
      <c r="AJ76" s="189">
        <v>0</v>
      </c>
      <c r="AK76" s="189">
        <v>0</v>
      </c>
      <c r="AL76" s="189">
        <v>0</v>
      </c>
      <c r="AM76" s="189">
        <v>0</v>
      </c>
      <c r="AN76" s="189"/>
      <c r="AO76" s="189"/>
      <c r="AP76" s="189"/>
      <c r="AQ76" s="189"/>
      <c r="AR76" s="189"/>
      <c r="AS76" s="189"/>
      <c r="AT76" s="189"/>
      <c r="AU76" s="189"/>
      <c r="AV76" s="189"/>
      <c r="AW76" s="189"/>
      <c r="AX76" s="189"/>
      <c r="AY76" s="189"/>
      <c r="AZ76" s="189"/>
      <c r="BA76" s="189"/>
      <c r="BB76" s="189"/>
      <c r="BC76" s="189"/>
      <c r="BD76" s="189"/>
      <c r="BE76" s="189"/>
      <c r="BF76" s="189"/>
      <c r="BG76" s="189"/>
      <c r="BH76" s="189"/>
      <c r="BI76" s="189"/>
      <c r="BJ76" s="189"/>
      <c r="BK76" s="189"/>
      <c r="BL76" s="189"/>
      <c r="BM76" s="189"/>
      <c r="BN76" s="189"/>
      <c r="BO76" s="189"/>
      <c r="BP76" s="189"/>
      <c r="BQ76" s="189"/>
      <c r="BR76" s="189"/>
      <c r="BS76" s="189"/>
      <c r="BT76" s="189"/>
      <c r="BU76" s="189"/>
      <c r="BV76" s="189"/>
      <c r="BW76" s="189"/>
      <c r="BX76" s="189"/>
      <c r="BY76" s="189"/>
      <c r="BZ76" s="189"/>
      <c r="CA76" s="189"/>
      <c r="CB76" s="189"/>
      <c r="CC76" s="189"/>
      <c r="CD76" s="189"/>
      <c r="CE76" s="189"/>
      <c r="CF76" s="189"/>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c r="AO77" s="189"/>
      <c r="AP77" s="189"/>
      <c r="AQ77" s="189"/>
      <c r="AR77" s="189"/>
      <c r="AS77" s="189"/>
      <c r="AT77" s="189"/>
      <c r="AU77" s="189"/>
      <c r="AV77" s="189"/>
      <c r="AW77" s="189"/>
      <c r="AX77" s="189"/>
      <c r="AY77" s="189"/>
      <c r="AZ77" s="189"/>
      <c r="BA77" s="189"/>
      <c r="BB77" s="189"/>
      <c r="BC77" s="189"/>
      <c r="BD77" s="189"/>
      <c r="BE77" s="189"/>
      <c r="BF77" s="189"/>
      <c r="BG77" s="189"/>
      <c r="BH77" s="189"/>
      <c r="BI77" s="189"/>
      <c r="BJ77" s="189"/>
      <c r="BK77" s="189"/>
      <c r="BL77" s="189"/>
      <c r="BM77" s="189"/>
      <c r="BN77" s="189"/>
      <c r="BO77" s="189"/>
      <c r="BP77" s="189"/>
      <c r="BQ77" s="189"/>
      <c r="BR77" s="189"/>
      <c r="BS77" s="189"/>
      <c r="BT77" s="189"/>
      <c r="BU77" s="189"/>
      <c r="BV77" s="189"/>
      <c r="BW77" s="189"/>
      <c r="BX77" s="189"/>
      <c r="BY77" s="189"/>
      <c r="BZ77" s="189"/>
      <c r="CA77" s="189"/>
      <c r="CB77" s="189"/>
      <c r="CC77" s="189"/>
      <c r="CD77" s="189"/>
      <c r="CE77" s="189"/>
      <c r="CF77" s="189"/>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3480527823.6199999</v>
      </c>
      <c r="F81" s="28">
        <f t="shared" ref="F81:BQ81" si="16">SUM(F82:F85)</f>
        <v>4516843999.1800003</v>
      </c>
      <c r="G81" s="28">
        <f t="shared" si="16"/>
        <v>6506359682.7600002</v>
      </c>
      <c r="H81" s="28">
        <f t="shared" si="16"/>
        <v>6540966748.5299997</v>
      </c>
      <c r="I81" s="28">
        <f t="shared" si="16"/>
        <v>8781817409.1399994</v>
      </c>
      <c r="J81" s="28">
        <f t="shared" si="16"/>
        <v>8485700272.7200003</v>
      </c>
      <c r="K81" s="28">
        <f t="shared" si="16"/>
        <v>11045234366.210001</v>
      </c>
      <c r="L81" s="28">
        <f t="shared" si="16"/>
        <v>5422897835.0299997</v>
      </c>
      <c r="M81" s="28">
        <f t="shared" si="16"/>
        <v>5707454213.0900002</v>
      </c>
      <c r="N81" s="28">
        <f t="shared" si="16"/>
        <v>5888006594.0600004</v>
      </c>
      <c r="O81" s="28">
        <f t="shared" si="16"/>
        <v>3316208118.1300001</v>
      </c>
      <c r="P81" s="28">
        <f t="shared" si="16"/>
        <v>2610825520.52</v>
      </c>
      <c r="Q81" s="28">
        <f t="shared" si="16"/>
        <v>1097442485.1800001</v>
      </c>
      <c r="R81" s="28">
        <f t="shared" si="16"/>
        <v>113492825.59</v>
      </c>
      <c r="S81" s="28">
        <f t="shared" si="16"/>
        <v>164541030.46000001</v>
      </c>
      <c r="T81" s="28">
        <f t="shared" si="16"/>
        <v>434004130.63</v>
      </c>
      <c r="U81" s="28">
        <f t="shared" si="16"/>
        <v>434197737.86000001</v>
      </c>
      <c r="V81" s="28">
        <f t="shared" si="16"/>
        <v>461332618.95999998</v>
      </c>
      <c r="W81" s="28">
        <f t="shared" si="16"/>
        <v>651490614.74999988</v>
      </c>
      <c r="X81" s="28">
        <f t="shared" si="16"/>
        <v>674005533.48000002</v>
      </c>
      <c r="Y81" s="28">
        <f t="shared" si="16"/>
        <v>514161919.14999998</v>
      </c>
      <c r="Z81" s="28">
        <f t="shared" si="16"/>
        <v>495578042.24000001</v>
      </c>
      <c r="AA81" s="28">
        <f t="shared" si="16"/>
        <v>252833228.86000001</v>
      </c>
      <c r="AB81" s="28">
        <f t="shared" si="16"/>
        <v>65000000</v>
      </c>
      <c r="AC81" s="28">
        <f t="shared" si="16"/>
        <v>65000000</v>
      </c>
      <c r="AD81" s="28">
        <f t="shared" si="16"/>
        <v>12629164.199999999</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512700000</v>
      </c>
      <c r="C82" s="189">
        <v>344500000</v>
      </c>
      <c r="D82" s="189">
        <v>0</v>
      </c>
      <c r="E82" s="189">
        <v>0</v>
      </c>
      <c r="F82" s="189">
        <v>1000000000</v>
      </c>
      <c r="G82" s="189">
        <v>2976950288.4000001</v>
      </c>
      <c r="H82" s="189">
        <v>3013443703.2199998</v>
      </c>
      <c r="I82" s="189">
        <v>3024445808.8899999</v>
      </c>
      <c r="J82" s="189">
        <v>2248802684.5300002</v>
      </c>
      <c r="K82" s="189">
        <v>2238002685.1500001</v>
      </c>
      <c r="L82" s="189">
        <v>300000000</v>
      </c>
      <c r="M82" s="189">
        <v>300000000</v>
      </c>
      <c r="N82" s="189">
        <v>0</v>
      </c>
      <c r="O82" s="189">
        <v>0</v>
      </c>
      <c r="P82" s="189">
        <v>0</v>
      </c>
      <c r="Q82" s="189">
        <v>0</v>
      </c>
      <c r="R82" s="189">
        <v>0</v>
      </c>
      <c r="S82" s="189">
        <v>0</v>
      </c>
      <c r="T82" s="189">
        <v>16700000</v>
      </c>
      <c r="U82" s="189">
        <v>16700000</v>
      </c>
      <c r="V82" s="189">
        <v>31700000</v>
      </c>
      <c r="W82" s="189">
        <v>211700000</v>
      </c>
      <c r="X82" s="189">
        <v>213700000</v>
      </c>
      <c r="Y82" s="189">
        <v>33700000</v>
      </c>
      <c r="Z82" s="189">
        <v>100700000</v>
      </c>
      <c r="AA82" s="189">
        <v>55700000</v>
      </c>
      <c r="AB82" s="189">
        <v>65000000</v>
      </c>
      <c r="AC82" s="189">
        <v>65000000</v>
      </c>
      <c r="AD82" s="189">
        <v>12629164.199999999</v>
      </c>
      <c r="AE82" s="189">
        <v>0</v>
      </c>
      <c r="AF82" s="189">
        <v>0</v>
      </c>
      <c r="AG82" s="189">
        <v>0</v>
      </c>
      <c r="AH82" s="189">
        <v>0</v>
      </c>
      <c r="AI82" s="189">
        <v>0</v>
      </c>
      <c r="AJ82" s="189">
        <v>0</v>
      </c>
      <c r="AK82" s="189">
        <v>0</v>
      </c>
      <c r="AL82" s="189">
        <v>0</v>
      </c>
      <c r="AM82" s="189">
        <v>0</v>
      </c>
      <c r="AN82" s="189"/>
      <c r="AO82" s="189"/>
      <c r="AP82" s="189"/>
      <c r="AQ82" s="189"/>
      <c r="AR82" s="189"/>
      <c r="AS82" s="189"/>
      <c r="AT82" s="189"/>
      <c r="AU82" s="189"/>
      <c r="AV82" s="189"/>
      <c r="AW82" s="189"/>
      <c r="AX82" s="189"/>
      <c r="AY82" s="189"/>
      <c r="AZ82" s="189"/>
      <c r="BA82" s="189"/>
      <c r="BB82" s="189"/>
      <c r="BC82" s="189"/>
      <c r="BD82" s="189"/>
      <c r="BE82" s="189"/>
      <c r="BF82" s="189"/>
      <c r="BG82" s="189"/>
      <c r="BH82" s="189"/>
      <c r="BI82" s="189"/>
      <c r="BJ82" s="189"/>
      <c r="BK82" s="189"/>
      <c r="BL82" s="189"/>
      <c r="BM82" s="189"/>
      <c r="BN82" s="189"/>
      <c r="BO82" s="189"/>
      <c r="BP82" s="189"/>
      <c r="BQ82" s="189"/>
      <c r="BR82" s="189"/>
      <c r="BS82" s="189"/>
      <c r="BT82" s="189"/>
      <c r="BU82" s="189"/>
      <c r="BV82" s="189"/>
      <c r="BW82" s="189"/>
      <c r="BX82" s="189"/>
      <c r="BY82" s="189"/>
      <c r="BZ82" s="189"/>
      <c r="CA82" s="189"/>
      <c r="CB82" s="189"/>
      <c r="CC82" s="189"/>
      <c r="CD82" s="189"/>
      <c r="CE82" s="189"/>
      <c r="CF82" s="189"/>
      <c r="CG82" s="189"/>
      <c r="CH82" s="189"/>
      <c r="CI82" s="189"/>
      <c r="CJ82" s="189"/>
      <c r="CK82" s="189"/>
      <c r="CL82" s="189"/>
    </row>
    <row r="83" spans="1:90" x14ac:dyDescent="0.25">
      <c r="A83" s="128" t="s">
        <v>58</v>
      </c>
      <c r="B83" s="189">
        <v>0</v>
      </c>
      <c r="C83" s="189">
        <v>0</v>
      </c>
      <c r="D83" s="189">
        <v>0</v>
      </c>
      <c r="E83" s="189">
        <v>0</v>
      </c>
      <c r="F83" s="189">
        <v>0</v>
      </c>
      <c r="G83" s="189">
        <v>0</v>
      </c>
      <c r="H83" s="189">
        <v>0</v>
      </c>
      <c r="I83" s="189">
        <v>0</v>
      </c>
      <c r="J83" s="189">
        <v>1913147880.3499999</v>
      </c>
      <c r="K83" s="189">
        <v>1907482838.2</v>
      </c>
      <c r="L83" s="189">
        <v>1904713043.1600001</v>
      </c>
      <c r="M83" s="189">
        <v>1900558350.5999999</v>
      </c>
      <c r="N83" s="189">
        <v>983316306.22000003</v>
      </c>
      <c r="O83" s="189">
        <v>0</v>
      </c>
      <c r="P83" s="189">
        <v>0</v>
      </c>
      <c r="Q83" s="189">
        <v>0</v>
      </c>
      <c r="R83" s="189">
        <v>0</v>
      </c>
      <c r="S83" s="189">
        <v>130000000</v>
      </c>
      <c r="T83" s="189">
        <v>399396569.94</v>
      </c>
      <c r="U83" s="189">
        <v>398610488.94</v>
      </c>
      <c r="V83" s="189">
        <v>397077741.26999998</v>
      </c>
      <c r="W83" s="189">
        <v>397042652.08999997</v>
      </c>
      <c r="X83" s="189">
        <v>396305880.24000001</v>
      </c>
      <c r="Y83" s="189">
        <v>395591961.24000001</v>
      </c>
      <c r="Z83" s="189">
        <v>394878042.24000001</v>
      </c>
      <c r="AA83" s="189">
        <v>197133228.86000001</v>
      </c>
      <c r="AB83" s="189">
        <v>0</v>
      </c>
      <c r="AC83" s="189">
        <v>0</v>
      </c>
      <c r="AD83" s="189">
        <v>0</v>
      </c>
      <c r="AE83" s="189">
        <v>0</v>
      </c>
      <c r="AF83" s="189">
        <v>0</v>
      </c>
      <c r="AG83" s="189">
        <v>0</v>
      </c>
      <c r="AH83" s="189">
        <v>0</v>
      </c>
      <c r="AI83" s="189">
        <v>0</v>
      </c>
      <c r="AJ83" s="189">
        <v>0</v>
      </c>
      <c r="AK83" s="189">
        <v>0</v>
      </c>
      <c r="AL83" s="189">
        <v>0</v>
      </c>
      <c r="AM83" s="189">
        <v>0</v>
      </c>
      <c r="AN83" s="189"/>
      <c r="AO83" s="189"/>
      <c r="AP83" s="189"/>
      <c r="AQ83" s="189"/>
      <c r="AR83" s="189"/>
      <c r="AS83" s="189"/>
      <c r="AT83" s="189"/>
      <c r="AU83" s="189"/>
      <c r="AV83" s="189"/>
      <c r="AW83" s="189"/>
      <c r="AX83" s="189"/>
      <c r="AY83" s="189"/>
      <c r="AZ83" s="189"/>
      <c r="BA83" s="189"/>
      <c r="BB83" s="189"/>
      <c r="BC83" s="189"/>
      <c r="BD83" s="189"/>
      <c r="BE83" s="189"/>
      <c r="BF83" s="189"/>
      <c r="BG83" s="189"/>
      <c r="BH83" s="189"/>
      <c r="BI83" s="189"/>
      <c r="BJ83" s="189"/>
      <c r="BK83" s="189"/>
      <c r="BL83" s="189"/>
      <c r="BM83" s="189"/>
      <c r="BN83" s="189"/>
      <c r="BO83" s="189"/>
      <c r="BP83" s="189"/>
      <c r="BQ83" s="189"/>
      <c r="BR83" s="189"/>
      <c r="BS83" s="189"/>
      <c r="BT83" s="189"/>
      <c r="BU83" s="189"/>
      <c r="BV83" s="189"/>
      <c r="BW83" s="189"/>
      <c r="BX83" s="189"/>
      <c r="BY83" s="189"/>
      <c r="BZ83" s="189"/>
      <c r="CA83" s="189"/>
      <c r="CB83" s="189"/>
      <c r="CC83" s="189"/>
      <c r="CD83" s="189"/>
      <c r="CE83" s="189"/>
      <c r="CF83" s="189"/>
      <c r="CG83" s="189"/>
      <c r="CH83" s="189"/>
      <c r="CI83" s="189"/>
      <c r="CJ83" s="189"/>
      <c r="CK83" s="189"/>
      <c r="CL83" s="189"/>
    </row>
    <row r="84" spans="1:90" x14ac:dyDescent="0.25">
      <c r="A84" s="128" t="s">
        <v>59</v>
      </c>
      <c r="B84" s="189">
        <v>36741664.229999997</v>
      </c>
      <c r="C84" s="189">
        <v>55818008.579999998</v>
      </c>
      <c r="D84" s="189">
        <v>109809526.37</v>
      </c>
      <c r="E84" s="189">
        <v>131586823.62</v>
      </c>
      <c r="F84" s="189">
        <v>167902999.18000001</v>
      </c>
      <c r="G84" s="189">
        <v>180468394.36000001</v>
      </c>
      <c r="H84" s="189">
        <v>172245672.69</v>
      </c>
      <c r="I84" s="189">
        <v>142094227.63</v>
      </c>
      <c r="J84" s="189">
        <v>210714622.34</v>
      </c>
      <c r="K84" s="189">
        <v>71343757.359999999</v>
      </c>
      <c r="L84" s="189">
        <v>40848419.25</v>
      </c>
      <c r="M84" s="189">
        <v>34559489.869999997</v>
      </c>
      <c r="N84" s="189">
        <v>19858748.530000001</v>
      </c>
      <c r="O84" s="189">
        <v>42502463.509999998</v>
      </c>
      <c r="P84" s="189">
        <v>63240115.899999999</v>
      </c>
      <c r="Q84" s="189">
        <v>81873823.680000007</v>
      </c>
      <c r="R84" s="189">
        <v>104923909.15000001</v>
      </c>
      <c r="S84" s="189">
        <v>34541030.460000001</v>
      </c>
      <c r="T84" s="189">
        <v>17907560.690000001</v>
      </c>
      <c r="U84" s="189">
        <v>18887248.920000002</v>
      </c>
      <c r="V84" s="189">
        <v>31432508.890000001</v>
      </c>
      <c r="W84" s="189">
        <v>39380856.25</v>
      </c>
      <c r="X84" s="189">
        <v>58387809.219999999</v>
      </c>
      <c r="Y84" s="189">
        <v>77013376.280000001</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c r="AO84" s="189"/>
      <c r="AP84" s="189"/>
      <c r="AQ84" s="189"/>
      <c r="AR84" s="189"/>
      <c r="AS84" s="189"/>
      <c r="AT84" s="189"/>
      <c r="AU84" s="189"/>
      <c r="AV84" s="189"/>
      <c r="AW84" s="189"/>
      <c r="AX84" s="189"/>
      <c r="AY84" s="189"/>
      <c r="AZ84" s="189"/>
      <c r="BA84" s="189"/>
      <c r="BB84" s="189"/>
      <c r="BC84" s="189"/>
      <c r="BD84" s="189"/>
      <c r="BE84" s="189"/>
      <c r="BF84" s="189"/>
      <c r="BG84" s="189"/>
      <c r="BH84" s="189"/>
      <c r="BI84" s="189"/>
      <c r="BJ84" s="189"/>
      <c r="BK84" s="189"/>
      <c r="BL84" s="189"/>
      <c r="BM84" s="189"/>
      <c r="BN84" s="189"/>
      <c r="BO84" s="189"/>
      <c r="BP84" s="189"/>
      <c r="BQ84" s="189"/>
      <c r="BR84" s="189"/>
      <c r="BS84" s="189"/>
      <c r="BT84" s="189"/>
      <c r="BU84" s="189"/>
      <c r="BV84" s="189"/>
      <c r="BW84" s="189"/>
      <c r="BX84" s="189"/>
      <c r="BY84" s="189"/>
      <c r="BZ84" s="189"/>
      <c r="CA84" s="189"/>
      <c r="CB84" s="189"/>
      <c r="CC84" s="189"/>
      <c r="CD84" s="189"/>
      <c r="CE84" s="189"/>
      <c r="CF84" s="189"/>
      <c r="CG84" s="189"/>
      <c r="CH84" s="189"/>
      <c r="CI84" s="189"/>
      <c r="CJ84" s="189"/>
      <c r="CK84" s="189"/>
      <c r="CL84" s="189"/>
    </row>
    <row r="85" spans="1:90" x14ac:dyDescent="0.25">
      <c r="A85" s="128" t="s">
        <v>83</v>
      </c>
      <c r="B85" s="189">
        <v>3048941000</v>
      </c>
      <c r="C85" s="189">
        <v>4515169604.8100004</v>
      </c>
      <c r="D85" s="189">
        <v>3348941000</v>
      </c>
      <c r="E85" s="189">
        <v>3348941000</v>
      </c>
      <c r="F85" s="189">
        <v>3348941000</v>
      </c>
      <c r="G85" s="189">
        <v>3348941000</v>
      </c>
      <c r="H85" s="189">
        <v>3355277372.6199999</v>
      </c>
      <c r="I85" s="189">
        <v>5615277372.6199999</v>
      </c>
      <c r="J85" s="189">
        <v>4113035085.5</v>
      </c>
      <c r="K85" s="189">
        <v>6828405085.5</v>
      </c>
      <c r="L85" s="189">
        <v>3177336372.6199999</v>
      </c>
      <c r="M85" s="189">
        <v>3472336372.6199999</v>
      </c>
      <c r="N85" s="189">
        <v>4884831539.3100004</v>
      </c>
      <c r="O85" s="189">
        <v>3273705654.6199999</v>
      </c>
      <c r="P85" s="189">
        <v>2547585404.6199999</v>
      </c>
      <c r="Q85" s="189">
        <v>1015568661.5</v>
      </c>
      <c r="R85" s="189">
        <v>8568916.4399999995</v>
      </c>
      <c r="S85" s="189">
        <v>0</v>
      </c>
      <c r="T85" s="189">
        <v>0</v>
      </c>
      <c r="U85" s="189">
        <v>0</v>
      </c>
      <c r="V85" s="189">
        <v>1122368.8</v>
      </c>
      <c r="W85" s="189">
        <v>3367106.41</v>
      </c>
      <c r="X85" s="189">
        <v>5611844.0199999996</v>
      </c>
      <c r="Y85" s="189">
        <v>7856581.6299999999</v>
      </c>
      <c r="Z85" s="189">
        <v>0</v>
      </c>
      <c r="AA85" s="189">
        <v>0</v>
      </c>
      <c r="AB85" s="189">
        <v>0</v>
      </c>
      <c r="AC85" s="189">
        <v>0</v>
      </c>
      <c r="AD85" s="189">
        <v>0</v>
      </c>
      <c r="AE85" s="189">
        <v>0</v>
      </c>
      <c r="AF85" s="189">
        <v>0</v>
      </c>
      <c r="AG85" s="189">
        <v>0</v>
      </c>
      <c r="AH85" s="189">
        <v>0</v>
      </c>
      <c r="AI85" s="189">
        <v>0</v>
      </c>
      <c r="AJ85" s="189">
        <v>0</v>
      </c>
      <c r="AK85" s="189">
        <v>0</v>
      </c>
      <c r="AL85" s="189">
        <v>0</v>
      </c>
      <c r="AM85" s="189">
        <v>0</v>
      </c>
      <c r="AN85" s="189"/>
      <c r="AO85" s="189"/>
      <c r="AP85" s="189"/>
      <c r="AQ85" s="189"/>
      <c r="AR85" s="189"/>
      <c r="AS85" s="189"/>
      <c r="AT85" s="189"/>
      <c r="AU85" s="189"/>
      <c r="AV85" s="189"/>
      <c r="AW85" s="189"/>
      <c r="AX85" s="189"/>
      <c r="AY85" s="189"/>
      <c r="AZ85" s="189"/>
      <c r="BA85" s="189"/>
      <c r="BB85" s="189"/>
      <c r="BC85" s="189"/>
      <c r="BD85" s="189"/>
      <c r="BE85" s="189"/>
      <c r="BF85" s="189"/>
      <c r="BG85" s="189"/>
      <c r="BH85" s="189"/>
      <c r="BI85" s="189"/>
      <c r="BJ85" s="189"/>
      <c r="BK85" s="189"/>
      <c r="BL85" s="189"/>
      <c r="BM85" s="189"/>
      <c r="BN85" s="189"/>
      <c r="BO85" s="189"/>
      <c r="BP85" s="189"/>
      <c r="BQ85" s="189"/>
      <c r="BR85" s="189"/>
      <c r="BS85" s="189"/>
      <c r="BT85" s="189"/>
      <c r="BU85" s="189"/>
      <c r="BV85" s="189"/>
      <c r="BW85" s="189"/>
      <c r="BX85" s="189"/>
      <c r="BY85" s="189"/>
      <c r="BZ85" s="189"/>
      <c r="CA85" s="189"/>
      <c r="CB85" s="189"/>
      <c r="CC85" s="189"/>
      <c r="CD85" s="189"/>
      <c r="CE85" s="189"/>
      <c r="CF85" s="189"/>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6912728964.9699993</v>
      </c>
      <c r="C89" s="33">
        <f>SUM(C73:C85)</f>
        <v>8824357004.4799995</v>
      </c>
      <c r="D89" s="33">
        <f>SUM(D73:D85)</f>
        <v>8522377764.0900002</v>
      </c>
      <c r="E89" s="33">
        <f>E72+E81</f>
        <v>7862345269.1099997</v>
      </c>
      <c r="F89" s="33">
        <f t="shared" ref="F89:BQ89" si="18">F72+F81</f>
        <v>8240766429.9099998</v>
      </c>
      <c r="G89" s="33">
        <f t="shared" si="18"/>
        <v>11235267470</v>
      </c>
      <c r="H89" s="33">
        <f t="shared" si="18"/>
        <v>10810808275.790001</v>
      </c>
      <c r="I89" s="33">
        <f t="shared" si="18"/>
        <v>14110455849.67</v>
      </c>
      <c r="J89" s="33">
        <f t="shared" si="18"/>
        <v>11556605421.35</v>
      </c>
      <c r="K89" s="33">
        <f t="shared" si="18"/>
        <v>12733439625.910002</v>
      </c>
      <c r="L89" s="33">
        <f t="shared" si="18"/>
        <v>7525968357.6199999</v>
      </c>
      <c r="M89" s="33">
        <f t="shared" si="18"/>
        <v>7594075121.04</v>
      </c>
      <c r="N89" s="33">
        <f t="shared" si="18"/>
        <v>7358927768.4800005</v>
      </c>
      <c r="O89" s="33">
        <f t="shared" si="18"/>
        <v>4939261776.9499998</v>
      </c>
      <c r="P89" s="33">
        <f t="shared" si="18"/>
        <v>4095958970.25</v>
      </c>
      <c r="Q89" s="33">
        <f t="shared" si="18"/>
        <v>2901790829.6400003</v>
      </c>
      <c r="R89" s="33">
        <f t="shared" si="18"/>
        <v>1916210339.9999998</v>
      </c>
      <c r="S89" s="33">
        <f t="shared" si="18"/>
        <v>1929367067.98</v>
      </c>
      <c r="T89" s="33">
        <f t="shared" si="18"/>
        <v>1887621497.3400002</v>
      </c>
      <c r="U89" s="33">
        <f t="shared" si="18"/>
        <v>1713198730.8800001</v>
      </c>
      <c r="V89" s="33">
        <f t="shared" si="18"/>
        <v>1303486525.71</v>
      </c>
      <c r="W89" s="33">
        <f t="shared" si="18"/>
        <v>1453490582.23</v>
      </c>
      <c r="X89" s="33">
        <f t="shared" si="18"/>
        <v>1356960100.0300002</v>
      </c>
      <c r="Y89" s="33">
        <f t="shared" si="18"/>
        <v>1171284623.54</v>
      </c>
      <c r="Z89" s="33">
        <f t="shared" si="18"/>
        <v>1018528687.4100001</v>
      </c>
      <c r="AA89" s="33">
        <f t="shared" si="18"/>
        <v>775087261.12</v>
      </c>
      <c r="AB89" s="33">
        <f t="shared" si="18"/>
        <v>445000000</v>
      </c>
      <c r="AC89" s="33">
        <f t="shared" si="18"/>
        <v>405000000</v>
      </c>
      <c r="AD89" s="33">
        <f t="shared" si="18"/>
        <v>280000000</v>
      </c>
      <c r="AE89" s="33">
        <f t="shared" si="18"/>
        <v>200000000</v>
      </c>
      <c r="AF89" s="33">
        <f t="shared" si="18"/>
        <v>70000000</v>
      </c>
      <c r="AG89" s="33">
        <f t="shared" si="18"/>
        <v>70000000</v>
      </c>
      <c r="AH89" s="33">
        <f t="shared" si="18"/>
        <v>26330304.899999999</v>
      </c>
      <c r="AI89" s="33">
        <f t="shared" si="18"/>
        <v>95500000</v>
      </c>
      <c r="AJ89" s="33">
        <f t="shared" si="18"/>
        <v>40000000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3989440192</v>
      </c>
      <c r="C91" s="189">
        <v>3989440192</v>
      </c>
      <c r="D91" s="189">
        <v>3989440192</v>
      </c>
      <c r="E91" s="189">
        <v>3989440192</v>
      </c>
      <c r="F91" s="189">
        <v>3989440192</v>
      </c>
      <c r="G91" s="189">
        <v>1994720096</v>
      </c>
      <c r="H91" s="189">
        <v>1994720096</v>
      </c>
      <c r="I91" s="189">
        <v>1981680127</v>
      </c>
      <c r="J91" s="189">
        <v>1981680127</v>
      </c>
      <c r="K91" s="189">
        <v>1873136387</v>
      </c>
      <c r="L91" s="189">
        <v>1856015158</v>
      </c>
      <c r="M91" s="189">
        <v>1856015158</v>
      </c>
      <c r="N91" s="189">
        <v>1856015158</v>
      </c>
      <c r="O91" s="189">
        <v>1855174135</v>
      </c>
      <c r="P91" s="189">
        <v>841190063</v>
      </c>
      <c r="Q91" s="189">
        <v>841190063</v>
      </c>
      <c r="R91" s="189">
        <v>841190063</v>
      </c>
      <c r="S91" s="189">
        <v>837165635</v>
      </c>
      <c r="T91" s="189">
        <v>798466298</v>
      </c>
      <c r="U91" s="189">
        <v>798466298</v>
      </c>
      <c r="V91" s="189">
        <v>798466298</v>
      </c>
      <c r="W91" s="189">
        <v>794200000</v>
      </c>
      <c r="X91" s="189">
        <v>418000000</v>
      </c>
      <c r="Y91" s="189">
        <v>418000000</v>
      </c>
      <c r="Z91" s="189">
        <v>418000000</v>
      </c>
      <c r="AA91" s="189">
        <v>418000000</v>
      </c>
      <c r="AB91" s="189">
        <v>220000000</v>
      </c>
      <c r="AC91" s="189">
        <v>220000000</v>
      </c>
      <c r="AD91" s="189">
        <v>220000000</v>
      </c>
      <c r="AE91" s="189">
        <v>220000000</v>
      </c>
      <c r="AF91" s="189">
        <v>100000000</v>
      </c>
      <c r="AG91" s="189">
        <v>100000000</v>
      </c>
      <c r="AH91" s="189">
        <v>100000000</v>
      </c>
      <c r="AI91" s="189">
        <v>75000000</v>
      </c>
      <c r="AJ91" s="189">
        <v>75000000</v>
      </c>
      <c r="AK91" s="189">
        <v>59523800</v>
      </c>
      <c r="AL91" s="189">
        <v>50000000</v>
      </c>
      <c r="AM91" s="189">
        <v>0</v>
      </c>
      <c r="AN91" s="189"/>
      <c r="AO91" s="189"/>
      <c r="AP91" s="189"/>
      <c r="AQ91" s="189"/>
      <c r="AR91" s="189"/>
      <c r="AS91" s="189"/>
      <c r="AT91" s="189"/>
      <c r="AU91" s="189"/>
      <c r="AV91" s="189"/>
      <c r="AW91" s="189"/>
      <c r="AX91" s="189"/>
      <c r="AY91" s="189"/>
      <c r="AZ91" s="189"/>
      <c r="BA91" s="189"/>
      <c r="BB91" s="189"/>
      <c r="BC91" s="189"/>
      <c r="BD91" s="189"/>
      <c r="BE91" s="189"/>
      <c r="BF91" s="189"/>
      <c r="BG91" s="189"/>
      <c r="BH91" s="189"/>
      <c r="BI91" s="189"/>
      <c r="BJ91" s="189"/>
      <c r="BK91" s="189"/>
      <c r="BL91" s="189"/>
      <c r="BM91" s="189"/>
      <c r="BN91" s="189"/>
      <c r="BO91" s="189"/>
      <c r="BP91" s="189"/>
      <c r="BQ91" s="189"/>
      <c r="BR91" s="189"/>
      <c r="BS91" s="189"/>
      <c r="BT91" s="189"/>
      <c r="BU91" s="189"/>
      <c r="BV91" s="189"/>
      <c r="BW91" s="189"/>
      <c r="BX91" s="189"/>
      <c r="BY91" s="189"/>
      <c r="BZ91" s="189"/>
      <c r="CA91" s="189"/>
      <c r="CB91" s="189"/>
      <c r="CC91" s="189"/>
      <c r="CD91" s="189"/>
      <c r="CE91" s="189"/>
      <c r="CF91" s="189"/>
      <c r="CG91" s="189"/>
      <c r="CH91" s="189"/>
      <c r="CI91" s="189"/>
      <c r="CJ91" s="189"/>
      <c r="CK91" s="189"/>
      <c r="CL91" s="189"/>
    </row>
    <row r="92" spans="1:90" x14ac:dyDescent="0.25">
      <c r="A92" s="128" t="s">
        <v>63</v>
      </c>
      <c r="B92" s="189">
        <v>9083180625.3299999</v>
      </c>
      <c r="C92" s="189">
        <v>8643234323.0200005</v>
      </c>
      <c r="D92" s="189">
        <v>8643234323.0200005</v>
      </c>
      <c r="E92" s="189">
        <v>8643234323.0200005</v>
      </c>
      <c r="F92" s="189">
        <v>8204961738.1700001</v>
      </c>
      <c r="G92" s="189">
        <v>10180810300.99</v>
      </c>
      <c r="H92" s="189">
        <v>9455543478.2299995</v>
      </c>
      <c r="I92" s="189">
        <v>6197235638.1899996</v>
      </c>
      <c r="J92" s="189">
        <v>5880177441.5200005</v>
      </c>
      <c r="K92" s="189">
        <v>1213337978.02</v>
      </c>
      <c r="L92" s="189">
        <v>591041426.15999997</v>
      </c>
      <c r="M92" s="189">
        <v>549148989.29999995</v>
      </c>
      <c r="N92" s="189">
        <v>405428514.01999998</v>
      </c>
      <c r="O92" s="189">
        <v>389080848.12</v>
      </c>
      <c r="P92" s="189">
        <v>1382305554.78</v>
      </c>
      <c r="Q92" s="189">
        <v>1366018527.78</v>
      </c>
      <c r="R92" s="189">
        <v>1464543924.96</v>
      </c>
      <c r="S92" s="189">
        <v>1412682989.8299999</v>
      </c>
      <c r="T92" s="189">
        <v>207057993.19999999</v>
      </c>
      <c r="U92" s="189">
        <v>179633637.80000001</v>
      </c>
      <c r="V92" s="189">
        <v>152928705.75</v>
      </c>
      <c r="W92" s="189">
        <v>111938976</v>
      </c>
      <c r="X92" s="189">
        <v>439463754.61000001</v>
      </c>
      <c r="Y92" s="189">
        <v>438158704.60000002</v>
      </c>
      <c r="Z92" s="189">
        <v>436406255.99000001</v>
      </c>
      <c r="AA92" s="189">
        <v>431366734.24000001</v>
      </c>
      <c r="AB92" s="189">
        <v>627607309.24000001</v>
      </c>
      <c r="AC92" s="189">
        <v>625847884.24000001</v>
      </c>
      <c r="AD92" s="189">
        <v>624381684.24000001</v>
      </c>
      <c r="AE92" s="189">
        <v>624381684.24000001</v>
      </c>
      <c r="AF92" s="189">
        <v>724381684.24000001</v>
      </c>
      <c r="AG92" s="189">
        <v>724381684.24000001</v>
      </c>
      <c r="AH92" s="189">
        <v>724381684.24000001</v>
      </c>
      <c r="AI92" s="189">
        <v>67824588.579999998</v>
      </c>
      <c r="AJ92" s="189">
        <v>67824588.579999998</v>
      </c>
      <c r="AK92" s="189">
        <v>66750500</v>
      </c>
      <c r="AL92" s="189">
        <v>23474300</v>
      </c>
      <c r="AM92" s="189">
        <v>0</v>
      </c>
      <c r="AN92" s="189"/>
      <c r="AO92" s="189"/>
      <c r="AP92" s="189"/>
      <c r="AQ92" s="189"/>
      <c r="AR92" s="189"/>
      <c r="AS92" s="189"/>
      <c r="AT92" s="189"/>
      <c r="AU92" s="189"/>
      <c r="AV92" s="189"/>
      <c r="AW92" s="189"/>
      <c r="AX92" s="189"/>
      <c r="AY92" s="189"/>
      <c r="AZ92" s="189"/>
      <c r="BA92" s="189"/>
      <c r="BB92" s="189"/>
      <c r="BC92" s="189"/>
      <c r="BD92" s="189"/>
      <c r="BE92" s="189"/>
      <c r="BF92" s="189"/>
      <c r="BG92" s="189"/>
      <c r="BH92" s="189"/>
      <c r="BI92" s="189"/>
      <c r="BJ92" s="189"/>
      <c r="BK92" s="189"/>
      <c r="BL92" s="189"/>
      <c r="BM92" s="189"/>
      <c r="BN92" s="189"/>
      <c r="BO92" s="189"/>
      <c r="BP92" s="189"/>
      <c r="BQ92" s="189"/>
      <c r="BR92" s="189"/>
      <c r="BS92" s="189"/>
      <c r="BT92" s="189"/>
      <c r="BU92" s="189"/>
      <c r="BV92" s="189"/>
      <c r="BW92" s="189"/>
      <c r="BX92" s="189"/>
      <c r="BY92" s="189"/>
      <c r="BZ92" s="189"/>
      <c r="CA92" s="189"/>
      <c r="CB92" s="189"/>
      <c r="CC92" s="189"/>
      <c r="CD92" s="189"/>
      <c r="CE92" s="189"/>
      <c r="CF92" s="189"/>
      <c r="CG92" s="189"/>
      <c r="CH92" s="189"/>
      <c r="CI92" s="189"/>
      <c r="CJ92" s="189"/>
      <c r="CK92" s="189"/>
      <c r="CL92" s="189"/>
    </row>
    <row r="93" spans="1:90" x14ac:dyDescent="0.25">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-5912031.1399999997</v>
      </c>
      <c r="C94" s="189">
        <v>-63265242.990000002</v>
      </c>
      <c r="D94" s="189">
        <v>-79045666.099999994</v>
      </c>
      <c r="E94" s="189">
        <v>-27671446.75</v>
      </c>
      <c r="F94" s="189">
        <v>4513025.7</v>
      </c>
      <c r="G94" s="189">
        <v>33648851.130000003</v>
      </c>
      <c r="H94" s="189">
        <v>51649762.289999999</v>
      </c>
      <c r="I94" s="189">
        <v>54771627.689999998</v>
      </c>
      <c r="J94" s="189">
        <v>27852597.199999999</v>
      </c>
      <c r="K94" s="189">
        <v>21490164.43</v>
      </c>
      <c r="L94" s="189">
        <v>19778656.859999999</v>
      </c>
      <c r="M94" s="189">
        <v>27837143.239999998</v>
      </c>
      <c r="N94" s="189">
        <v>15572539.35</v>
      </c>
      <c r="O94" s="189">
        <v>-2593054.6</v>
      </c>
      <c r="P94" s="189">
        <v>-364648.94</v>
      </c>
      <c r="Q94" s="189">
        <v>-706643.49</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286311762.58999997</v>
      </c>
      <c r="C96" s="189">
        <v>286311762.58999997</v>
      </c>
      <c r="D96" s="189">
        <v>286311762.58999997</v>
      </c>
      <c r="E96" s="189">
        <v>286311762.58999997</v>
      </c>
      <c r="F96" s="189">
        <v>286311762.58999997</v>
      </c>
      <c r="G96" s="189">
        <v>286311762.58999997</v>
      </c>
      <c r="H96" s="189">
        <v>286311762.58999997</v>
      </c>
      <c r="I96" s="189">
        <v>286311762.58999997</v>
      </c>
      <c r="J96" s="189">
        <v>179165369.15000001</v>
      </c>
      <c r="K96" s="189">
        <v>179165369.15000001</v>
      </c>
      <c r="L96" s="189">
        <v>179165369.15000001</v>
      </c>
      <c r="M96" s="189">
        <v>179165369.15000001</v>
      </c>
      <c r="N96" s="189">
        <v>116965360.22</v>
      </c>
      <c r="O96" s="189">
        <v>116965360.22</v>
      </c>
      <c r="P96" s="189">
        <v>116965360.22</v>
      </c>
      <c r="Q96" s="189">
        <v>116965360.22</v>
      </c>
      <c r="R96" s="189">
        <v>63605357.829999998</v>
      </c>
      <c r="S96" s="189">
        <v>63605357.829999998</v>
      </c>
      <c r="T96" s="189">
        <v>63605357.829999998</v>
      </c>
      <c r="U96" s="189">
        <v>63605357.829999998</v>
      </c>
      <c r="V96" s="189">
        <v>34741115.729999997</v>
      </c>
      <c r="W96" s="189">
        <v>34741115.729999997</v>
      </c>
      <c r="X96" s="189">
        <v>34741115.729999997</v>
      </c>
      <c r="Y96" s="189">
        <v>34741115.729999997</v>
      </c>
      <c r="Z96" s="189">
        <v>16554677.15</v>
      </c>
      <c r="AA96" s="189">
        <v>16554677.15</v>
      </c>
      <c r="AB96" s="189">
        <v>16554677.15</v>
      </c>
      <c r="AC96" s="189">
        <v>16554677.15</v>
      </c>
      <c r="AD96" s="189">
        <v>11463461.77</v>
      </c>
      <c r="AE96" s="189">
        <v>11463461.77</v>
      </c>
      <c r="AF96" s="189">
        <v>11463461.77</v>
      </c>
      <c r="AG96" s="189">
        <v>11463461.77</v>
      </c>
      <c r="AH96" s="189">
        <v>4412430.67</v>
      </c>
      <c r="AI96" s="189">
        <v>4412430.67</v>
      </c>
      <c r="AJ96" s="189">
        <v>4412430.67</v>
      </c>
      <c r="AK96" s="189">
        <v>1655028.86</v>
      </c>
      <c r="AL96" s="189">
        <v>0</v>
      </c>
      <c r="AM96" s="189">
        <v>0</v>
      </c>
      <c r="AN96" s="189">
        <v>2100990527.9000001</v>
      </c>
      <c r="AO96" s="189">
        <v>1985197516.3199999</v>
      </c>
      <c r="AP96" s="189">
        <v>1960895723.9000001</v>
      </c>
      <c r="AQ96" s="189">
        <v>1931960377.45</v>
      </c>
      <c r="AR96" s="189">
        <v>1904071967.1600001</v>
      </c>
      <c r="AS96" s="189">
        <v>1803743654.97</v>
      </c>
      <c r="AT96" s="189">
        <v>1784842154.0899999</v>
      </c>
      <c r="AU96" s="189">
        <v>1769499231.54</v>
      </c>
      <c r="AV96" s="189">
        <v>1728597077.04</v>
      </c>
      <c r="AW96" s="189">
        <v>1656111478.8599999</v>
      </c>
      <c r="AX96" s="189">
        <v>1605045274.6500001</v>
      </c>
      <c r="AY96" s="189">
        <v>1586050475.99</v>
      </c>
      <c r="AZ96" s="189">
        <v>1503840551.3499999</v>
      </c>
      <c r="BA96" s="189">
        <v>1421686339.5</v>
      </c>
      <c r="BB96" s="189">
        <v>1389360858.45</v>
      </c>
      <c r="BC96" s="189">
        <v>1382274938.1900001</v>
      </c>
      <c r="BD96" s="189">
        <v>1254574026.6800001</v>
      </c>
      <c r="BE96" s="189">
        <v>1187372649.6400001</v>
      </c>
      <c r="BF96" s="189">
        <v>1118260147.0599999</v>
      </c>
      <c r="BG96" s="189">
        <v>1098510367.5599999</v>
      </c>
      <c r="BH96" s="189">
        <v>994296939.84000003</v>
      </c>
      <c r="BI96" s="189">
        <v>939688251.88</v>
      </c>
      <c r="BJ96" s="189">
        <v>870801644.83000004</v>
      </c>
      <c r="BK96" s="189">
        <v>854086763.44000006</v>
      </c>
      <c r="BL96" s="189">
        <v>772450547.37</v>
      </c>
      <c r="BM96" s="189">
        <v>719760715.63</v>
      </c>
      <c r="BN96" s="189">
        <v>664546335.02999997</v>
      </c>
      <c r="BO96" s="189">
        <v>643227764.61000001</v>
      </c>
      <c r="BP96" s="189">
        <v>576048176.03999996</v>
      </c>
      <c r="BQ96" s="189">
        <v>532864074.19999999</v>
      </c>
      <c r="BR96" s="189">
        <v>0</v>
      </c>
      <c r="BS96" s="189">
        <v>381752149.10000002</v>
      </c>
      <c r="BT96" s="189">
        <v>352223969.88999999</v>
      </c>
      <c r="BU96" s="189">
        <v>309989497.47000003</v>
      </c>
      <c r="BV96" s="189">
        <v>259244599.52000001</v>
      </c>
      <c r="BW96" s="189">
        <v>194772679.46000001</v>
      </c>
      <c r="BX96" s="189">
        <v>144007744.87</v>
      </c>
      <c r="BY96" s="189">
        <v>96446307.129999995</v>
      </c>
      <c r="BZ96" s="189">
        <v>51390553.909999996</v>
      </c>
      <c r="CA96" s="189">
        <v>13452642.869999999</v>
      </c>
      <c r="CB96" s="189">
        <v>0</v>
      </c>
      <c r="CC96" s="189">
        <v>0</v>
      </c>
      <c r="CD96" s="189">
        <v>0</v>
      </c>
      <c r="CE96" s="189">
        <v>34778000</v>
      </c>
      <c r="CF96" s="189">
        <v>10546287.800000001</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-13717811515.73</v>
      </c>
      <c r="C98" s="189">
        <v>-13332234304.389999</v>
      </c>
      <c r="D98" s="189">
        <v>-12535569609.700001</v>
      </c>
      <c r="E98" s="189">
        <v>-12228327856.33</v>
      </c>
      <c r="F98" s="189">
        <v>-1890927.83</v>
      </c>
      <c r="G98" s="189">
        <v>1068803575.86</v>
      </c>
      <c r="H98" s="189">
        <v>1830361153.21</v>
      </c>
      <c r="I98" s="189">
        <v>1705569136.3699999</v>
      </c>
      <c r="J98" s="189">
        <v>1750946115.8800001</v>
      </c>
      <c r="K98" s="189">
        <v>1542340221.24</v>
      </c>
      <c r="L98" s="189">
        <v>1430232044.96</v>
      </c>
      <c r="M98" s="189">
        <v>1315492772.28</v>
      </c>
      <c r="N98" s="189">
        <v>1181713262.6400001</v>
      </c>
      <c r="O98" s="189">
        <v>1059396510.96</v>
      </c>
      <c r="P98" s="189">
        <v>938743143.29999995</v>
      </c>
      <c r="Q98" s="189">
        <v>843360350.77999997</v>
      </c>
      <c r="R98" s="189">
        <v>750841943.32000005</v>
      </c>
      <c r="S98" s="189">
        <v>684583621.10000002</v>
      </c>
      <c r="T98" s="189">
        <v>644802325.87</v>
      </c>
      <c r="U98" s="189">
        <v>559040213.83000004</v>
      </c>
      <c r="V98" s="189">
        <v>517203705.23000002</v>
      </c>
      <c r="W98" s="189">
        <v>449593604.64999998</v>
      </c>
      <c r="X98" s="189">
        <v>424913978.23000002</v>
      </c>
      <c r="Y98" s="189">
        <v>353794761.11000001</v>
      </c>
      <c r="Z98" s="189">
        <v>311881251.19999999</v>
      </c>
      <c r="AA98" s="189">
        <v>268463360.25999999</v>
      </c>
      <c r="AB98" s="189">
        <v>245036250.97</v>
      </c>
      <c r="AC98" s="189">
        <v>193847057.30000001</v>
      </c>
      <c r="AD98" s="189">
        <v>155216493.38</v>
      </c>
      <c r="AE98" s="189">
        <v>126212278.12</v>
      </c>
      <c r="AF98" s="189">
        <v>131881305.39</v>
      </c>
      <c r="AG98" s="189">
        <v>102817141.93000001</v>
      </c>
      <c r="AH98" s="189">
        <v>90292965.140000001</v>
      </c>
      <c r="AI98" s="189">
        <v>70955274</v>
      </c>
      <c r="AJ98" s="189">
        <v>39768743.659999996</v>
      </c>
      <c r="AK98" s="189">
        <v>14606430.289999999</v>
      </c>
      <c r="AL98" s="189">
        <v>-13992339.789999999</v>
      </c>
      <c r="AM98" s="189">
        <v>0</v>
      </c>
      <c r="AN98" s="189">
        <v>5790565954.8900003</v>
      </c>
      <c r="AO98" s="189">
        <v>4645699661.0799999</v>
      </c>
      <c r="AP98" s="189">
        <v>4448660799.4700003</v>
      </c>
      <c r="AQ98" s="189">
        <v>4184001582.1900001</v>
      </c>
      <c r="AR98" s="189">
        <v>3939446493.21</v>
      </c>
      <c r="AS98" s="189">
        <v>3016465972.27</v>
      </c>
      <c r="AT98" s="189">
        <v>2895687323</v>
      </c>
      <c r="AU98" s="189">
        <v>2731195492.8200002</v>
      </c>
      <c r="AV98" s="189">
        <v>3619192723.04</v>
      </c>
      <c r="AW98" s="189">
        <v>2936492710.1799998</v>
      </c>
      <c r="AX98" s="189">
        <v>2836202850</v>
      </c>
      <c r="AY98" s="189">
        <v>2655440755.9699998</v>
      </c>
      <c r="AZ98" s="189">
        <v>2735881568.3699999</v>
      </c>
      <c r="BA98" s="189">
        <v>2271940792.2399998</v>
      </c>
      <c r="BB98" s="189">
        <v>2281862701.6399999</v>
      </c>
      <c r="BC98" s="189">
        <v>2108410721.51</v>
      </c>
      <c r="BD98" s="189">
        <v>2060554311.6199999</v>
      </c>
      <c r="BE98" s="189">
        <v>1714905685.0599999</v>
      </c>
      <c r="BF98" s="189">
        <v>1634285513.4000001</v>
      </c>
      <c r="BG98" s="189">
        <v>1512716042.76</v>
      </c>
      <c r="BH98" s="189">
        <v>2819154405.8699999</v>
      </c>
      <c r="BI98" s="189">
        <v>2490295331.4000001</v>
      </c>
      <c r="BJ98" s="189">
        <v>2403776470.8899999</v>
      </c>
      <c r="BK98" s="189">
        <v>2262549503.6999998</v>
      </c>
      <c r="BL98" s="189">
        <v>2243103077.8499999</v>
      </c>
      <c r="BM98" s="189">
        <v>2007248389.73</v>
      </c>
      <c r="BN98" s="189">
        <v>1951462497.3</v>
      </c>
      <c r="BO98" s="189">
        <v>1830539949.02</v>
      </c>
      <c r="BP98" s="189">
        <v>1872926600.26</v>
      </c>
      <c r="BQ98" s="189">
        <v>1667814393.3199999</v>
      </c>
      <c r="BR98" s="189">
        <v>0</v>
      </c>
      <c r="BS98" s="189">
        <v>1712342274.8299999</v>
      </c>
      <c r="BT98" s="189">
        <v>1595935829.22</v>
      </c>
      <c r="BU98" s="189">
        <v>1356607152.1700001</v>
      </c>
      <c r="BV98" s="189">
        <v>1069052730.5</v>
      </c>
      <c r="BW98" s="189">
        <v>703711850.11000001</v>
      </c>
      <c r="BX98" s="189">
        <v>423675870.94999999</v>
      </c>
      <c r="BY98" s="189">
        <v>146529073.66</v>
      </c>
      <c r="BZ98" s="189">
        <v>291213138.67000002</v>
      </c>
      <c r="CA98" s="189">
        <v>76231642.829999998</v>
      </c>
      <c r="CB98" s="189">
        <v>0</v>
      </c>
      <c r="CC98" s="189">
        <v>0</v>
      </c>
      <c r="CD98" s="189">
        <v>0</v>
      </c>
      <c r="CE98" s="189">
        <v>129889000</v>
      </c>
      <c r="CF98" s="189">
        <v>81321459.170000002</v>
      </c>
      <c r="CG98" s="189">
        <v>12975517.09</v>
      </c>
      <c r="CH98" s="189">
        <v>0</v>
      </c>
      <c r="CI98" s="189">
        <v>0</v>
      </c>
      <c r="CJ98" s="189">
        <v>0</v>
      </c>
      <c r="CK98" s="189">
        <v>0</v>
      </c>
      <c r="CL98" s="189">
        <v>0</v>
      </c>
    </row>
    <row r="99" spans="1:90" x14ac:dyDescent="0.25">
      <c r="A99" s="128" t="s">
        <v>70</v>
      </c>
      <c r="B99" s="189">
        <v>0</v>
      </c>
      <c r="C99" s="189">
        <v>43446153.899999999</v>
      </c>
      <c r="D99" s="189">
        <v>43446153.899999999</v>
      </c>
      <c r="E99" s="189">
        <v>43446153.899999999</v>
      </c>
      <c r="F99" s="189">
        <v>43446153.899999999</v>
      </c>
      <c r="G99" s="189">
        <v>25850903</v>
      </c>
      <c r="H99" s="189">
        <v>25850903</v>
      </c>
      <c r="I99" s="189">
        <v>25850903</v>
      </c>
      <c r="J99" s="189">
        <v>25850903</v>
      </c>
      <c r="K99" s="189">
        <v>25850903</v>
      </c>
      <c r="L99" s="189">
        <v>0</v>
      </c>
      <c r="M99" s="189">
        <v>0</v>
      </c>
      <c r="N99" s="189">
        <v>0</v>
      </c>
      <c r="O99" s="189">
        <v>28473899.09</v>
      </c>
      <c r="P99" s="189">
        <v>11118812.41</v>
      </c>
      <c r="Q99" s="189">
        <v>11118812.41</v>
      </c>
      <c r="R99" s="189">
        <v>14909412.4</v>
      </c>
      <c r="S99" s="189">
        <v>15012245.98</v>
      </c>
      <c r="T99" s="189">
        <v>0</v>
      </c>
      <c r="U99" s="189">
        <v>0</v>
      </c>
      <c r="V99" s="189">
        <v>13531856.57</v>
      </c>
      <c r="W99" s="189">
        <v>13531856.57</v>
      </c>
      <c r="X99" s="189">
        <v>0</v>
      </c>
      <c r="Y99" s="189">
        <v>0</v>
      </c>
      <c r="Z99" s="189">
        <v>0</v>
      </c>
      <c r="AA99" s="189">
        <v>0</v>
      </c>
      <c r="AB99" s="189">
        <v>0</v>
      </c>
      <c r="AC99" s="189">
        <v>0</v>
      </c>
      <c r="AD99" s="189">
        <v>0</v>
      </c>
      <c r="AE99" s="189">
        <v>0</v>
      </c>
      <c r="AF99" s="189">
        <v>0</v>
      </c>
      <c r="AG99" s="189">
        <v>0</v>
      </c>
      <c r="AH99" s="189">
        <v>0</v>
      </c>
      <c r="AI99" s="189">
        <v>0</v>
      </c>
      <c r="AJ99" s="189">
        <v>0</v>
      </c>
      <c r="AK99" s="189">
        <v>0</v>
      </c>
      <c r="AL99" s="189">
        <v>0</v>
      </c>
      <c r="AM99" s="189">
        <v>0</v>
      </c>
      <c r="AN99" s="189">
        <v>0</v>
      </c>
      <c r="AO99" s="189">
        <v>0</v>
      </c>
      <c r="AP99" s="189">
        <v>0</v>
      </c>
      <c r="AQ99" s="189">
        <v>0</v>
      </c>
      <c r="AR99" s="189">
        <v>0</v>
      </c>
      <c r="AS99" s="189">
        <v>0</v>
      </c>
      <c r="AT99" s="189">
        <v>100000000</v>
      </c>
      <c r="AU99" s="189">
        <v>100000000</v>
      </c>
      <c r="AV99" s="189">
        <v>0</v>
      </c>
      <c r="AW99" s="189">
        <v>0</v>
      </c>
      <c r="AX99" s="189">
        <v>0</v>
      </c>
      <c r="AY99" s="189">
        <v>41778688</v>
      </c>
      <c r="AZ99" s="189">
        <v>0</v>
      </c>
      <c r="BA99" s="189">
        <v>0</v>
      </c>
      <c r="BB99" s="189">
        <v>0</v>
      </c>
      <c r="BC99" s="189">
        <v>0</v>
      </c>
      <c r="BD99" s="189">
        <v>0</v>
      </c>
      <c r="BE99" s="189">
        <v>0</v>
      </c>
      <c r="BF99" s="189">
        <v>0</v>
      </c>
      <c r="BG99" s="189">
        <v>0</v>
      </c>
      <c r="BH99" s="189">
        <v>0</v>
      </c>
      <c r="BI99" s="189">
        <v>0</v>
      </c>
      <c r="BJ99" s="189">
        <v>15606000</v>
      </c>
      <c r="BK99" s="189">
        <v>15606000</v>
      </c>
      <c r="BL99" s="189">
        <v>15606000</v>
      </c>
      <c r="BM99" s="189">
        <v>15606000</v>
      </c>
      <c r="BN99" s="189">
        <v>15606000</v>
      </c>
      <c r="BO99" s="189">
        <v>15606000</v>
      </c>
      <c r="BP99" s="189">
        <v>21726000</v>
      </c>
      <c r="BQ99" s="189">
        <v>21726000</v>
      </c>
      <c r="BR99" s="189">
        <v>0</v>
      </c>
      <c r="BS99" s="189">
        <v>51120000</v>
      </c>
      <c r="BT99" s="189">
        <v>0</v>
      </c>
      <c r="BU99" s="189">
        <v>0</v>
      </c>
      <c r="BV99" s="189">
        <v>0</v>
      </c>
      <c r="BW99" s="189">
        <v>0</v>
      </c>
      <c r="BX99" s="189">
        <v>0</v>
      </c>
      <c r="BY99" s="189">
        <v>400000000</v>
      </c>
      <c r="BZ99" s="189">
        <v>0</v>
      </c>
      <c r="CA99" s="189">
        <v>0</v>
      </c>
      <c r="CB99" s="189">
        <v>0</v>
      </c>
      <c r="CC99" s="189">
        <v>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-364790966.94999999</v>
      </c>
      <c r="C102" s="189">
        <v>-476513269.76999998</v>
      </c>
      <c r="D102" s="189">
        <v>304371001.81</v>
      </c>
      <c r="E102" s="189">
        <v>662986974.52999997</v>
      </c>
      <c r="F102" s="189">
        <v>12483335790.629999</v>
      </c>
      <c r="G102" s="189">
        <v>13564294586.57</v>
      </c>
      <c r="H102" s="189">
        <v>13618586252.32</v>
      </c>
      <c r="I102" s="189">
        <v>10225568291.84</v>
      </c>
      <c r="J102" s="189">
        <v>9819821650.75</v>
      </c>
      <c r="K102" s="189">
        <v>4829470119.8400002</v>
      </c>
      <c r="L102" s="189">
        <v>4076232655.1300001</v>
      </c>
      <c r="M102" s="189">
        <v>3927659431.9699998</v>
      </c>
      <c r="N102" s="189">
        <v>3575694834.23</v>
      </c>
      <c r="O102" s="189">
        <v>3418023799.6999998</v>
      </c>
      <c r="P102" s="189">
        <v>3278839472.3600001</v>
      </c>
      <c r="Q102" s="189">
        <v>3166827658.29</v>
      </c>
      <c r="R102" s="189">
        <v>3120620846.0599999</v>
      </c>
      <c r="S102" s="189">
        <v>2997833495.7800002</v>
      </c>
      <c r="T102" s="189">
        <v>1713925064.0799999</v>
      </c>
      <c r="U102" s="189">
        <v>1599540144.51</v>
      </c>
      <c r="V102" s="189">
        <v>1502559337.1400001</v>
      </c>
      <c r="W102" s="189">
        <v>1389917554.3299999</v>
      </c>
      <c r="X102" s="189">
        <v>1317123699.22</v>
      </c>
      <c r="Y102" s="189">
        <v>1244591583.0599999</v>
      </c>
      <c r="Z102" s="189">
        <v>1182854939.9000001</v>
      </c>
      <c r="AA102" s="189">
        <v>1134383938.03</v>
      </c>
      <c r="AB102" s="189">
        <v>1109197186.4000001</v>
      </c>
      <c r="AC102" s="189">
        <v>1056249618.6900001</v>
      </c>
      <c r="AD102" s="189">
        <v>1011061639.39</v>
      </c>
      <c r="AE102" s="189">
        <v>982057424.13</v>
      </c>
      <c r="AF102" s="189">
        <v>967726451.39999998</v>
      </c>
      <c r="AG102" s="189">
        <v>938662287.94000006</v>
      </c>
      <c r="AH102" s="189">
        <v>919087080.04999995</v>
      </c>
      <c r="AI102" s="189">
        <v>218192293.25</v>
      </c>
      <c r="AJ102" s="189">
        <v>187005762.91</v>
      </c>
      <c r="AK102" s="189">
        <v>142535759.15000001</v>
      </c>
      <c r="AL102" s="189">
        <v>59481960.210000001</v>
      </c>
      <c r="AM102" s="189">
        <v>0</v>
      </c>
      <c r="AN102" s="189">
        <v>12640726671.110001</v>
      </c>
      <c r="AO102" s="189">
        <v>11380067365.719999</v>
      </c>
      <c r="AP102" s="189">
        <v>11158726711.690001</v>
      </c>
      <c r="AQ102" s="189">
        <v>10865132147.959999</v>
      </c>
      <c r="AR102" s="189">
        <v>10592688648.690001</v>
      </c>
      <c r="AS102" s="189">
        <v>9569379815.5599995</v>
      </c>
      <c r="AT102" s="189">
        <v>9444699665.4099998</v>
      </c>
      <c r="AU102" s="189">
        <v>9264864912.6800003</v>
      </c>
      <c r="AV102" s="189">
        <v>9012398068.3999996</v>
      </c>
      <c r="AW102" s="189">
        <v>8257212457.3599997</v>
      </c>
      <c r="AX102" s="189">
        <v>8106355261.6899996</v>
      </c>
      <c r="AY102" s="189">
        <v>7906099500.2799997</v>
      </c>
      <c r="AZ102" s="189">
        <v>7904330388.04</v>
      </c>
      <c r="BA102" s="189">
        <v>7358235400.0600004</v>
      </c>
      <c r="BB102" s="189">
        <v>7335831828.4099998</v>
      </c>
      <c r="BC102" s="189">
        <v>7155293928.0200005</v>
      </c>
      <c r="BD102" s="189">
        <v>6979736606.6199999</v>
      </c>
      <c r="BE102" s="189">
        <v>6566886603.0200005</v>
      </c>
      <c r="BF102" s="189">
        <v>6417153928.7799997</v>
      </c>
      <c r="BG102" s="189">
        <v>6275834678.6400003</v>
      </c>
      <c r="BH102" s="189">
        <v>6393497694.0299997</v>
      </c>
      <c r="BI102" s="189">
        <v>6010029931.6000004</v>
      </c>
      <c r="BJ102" s="189">
        <v>5854624464.04</v>
      </c>
      <c r="BK102" s="189">
        <v>5696682615.46</v>
      </c>
      <c r="BL102" s="189">
        <v>5595599973.54</v>
      </c>
      <c r="BM102" s="189">
        <v>5307055453.6800003</v>
      </c>
      <c r="BN102" s="189">
        <v>5196040467.4899998</v>
      </c>
      <c r="BO102" s="189">
        <v>5053742967.6300001</v>
      </c>
      <c r="BP102" s="189">
        <v>4942046030.3000002</v>
      </c>
      <c r="BQ102" s="189">
        <v>4693749721.5200005</v>
      </c>
      <c r="BR102" s="189">
        <v>4554380000</v>
      </c>
      <c r="BS102" s="189">
        <v>4382685677.9300003</v>
      </c>
      <c r="BT102" s="189">
        <v>4235751053.1100001</v>
      </c>
      <c r="BU102" s="189">
        <v>3188611486.52</v>
      </c>
      <c r="BV102" s="189">
        <v>2850312166.9000001</v>
      </c>
      <c r="BW102" s="189">
        <v>2420499366.4499998</v>
      </c>
      <c r="BX102" s="189">
        <v>2089698452.7</v>
      </c>
      <c r="BY102" s="189">
        <v>1764990217.6700001</v>
      </c>
      <c r="BZ102" s="189">
        <v>1864618529.46</v>
      </c>
      <c r="CA102" s="189">
        <v>392384778.43000001</v>
      </c>
      <c r="CB102" s="189">
        <v>264958379.21000001</v>
      </c>
      <c r="CC102" s="189">
        <v>225967479.94999999</v>
      </c>
      <c r="CD102" s="189">
        <v>0</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8" t="s">
        <v>73</v>
      </c>
      <c r="B103" s="189">
        <v>-571190017.30999994</v>
      </c>
      <c r="C103" s="189">
        <v>-1578704692.2</v>
      </c>
      <c r="D103" s="189">
        <v>-1506600999.8800001</v>
      </c>
      <c r="E103" s="189">
        <v>-1329475389.6900001</v>
      </c>
      <c r="F103" s="189">
        <v>2392306805.4200001</v>
      </c>
      <c r="G103" s="189">
        <v>2827511853.1999998</v>
      </c>
      <c r="H103" s="189">
        <v>1178575602.71</v>
      </c>
      <c r="I103" s="189">
        <v>256184447.72</v>
      </c>
      <c r="J103" s="189">
        <v>76927253.670000002</v>
      </c>
      <c r="K103" s="189">
        <v>221667351.61000001</v>
      </c>
      <c r="L103" s="189">
        <v>859569670.96000004</v>
      </c>
      <c r="M103" s="189">
        <v>-112525152.28</v>
      </c>
      <c r="N103" s="189">
        <v>11743814.67</v>
      </c>
      <c r="O103" s="189">
        <v>74698153.370000005</v>
      </c>
      <c r="P103" s="189">
        <v>104467431.56999999</v>
      </c>
      <c r="Q103" s="189">
        <v>176645737.72999999</v>
      </c>
      <c r="R103" s="189">
        <v>51056682.090000004</v>
      </c>
      <c r="S103" s="189">
        <v>107436748.26000001</v>
      </c>
      <c r="T103" s="189">
        <v>444159075.79000002</v>
      </c>
      <c r="U103" s="189">
        <v>479985606.01999998</v>
      </c>
      <c r="V103" s="189">
        <v>486572067.39999998</v>
      </c>
      <c r="W103" s="189">
        <v>194782317.19</v>
      </c>
      <c r="X103" s="189">
        <v>27823037.870000001</v>
      </c>
      <c r="Y103" s="189">
        <v>28835655.350000001</v>
      </c>
      <c r="Z103" s="189">
        <v>27209051.079999998</v>
      </c>
      <c r="AA103" s="189">
        <v>641780.73</v>
      </c>
      <c r="AB103" s="189">
        <v>694971.84</v>
      </c>
      <c r="AC103" s="189">
        <v>857103.84</v>
      </c>
      <c r="AD103" s="189">
        <v>0</v>
      </c>
      <c r="AE103" s="189">
        <v>0</v>
      </c>
      <c r="AF103" s="189">
        <v>0</v>
      </c>
      <c r="AG103" s="189">
        <v>0</v>
      </c>
      <c r="AH103" s="189">
        <v>0</v>
      </c>
      <c r="AI103" s="189">
        <v>0</v>
      </c>
      <c r="AJ103" s="189">
        <v>0</v>
      </c>
      <c r="AK103" s="189">
        <v>134798.45000000001</v>
      </c>
      <c r="AL103" s="189">
        <v>133852.54999999999</v>
      </c>
      <c r="AM103" s="189">
        <v>0</v>
      </c>
      <c r="AN103" s="189">
        <v>84490434.319999993</v>
      </c>
      <c r="AO103" s="189">
        <v>75869511</v>
      </c>
      <c r="AP103" s="189">
        <v>71596625.420000002</v>
      </c>
      <c r="AQ103" s="189">
        <v>69251602.510000005</v>
      </c>
      <c r="AR103" s="189">
        <v>49256028.789999999</v>
      </c>
      <c r="AS103" s="189">
        <v>56857168.609999999</v>
      </c>
      <c r="AT103" s="189">
        <v>40888487.079999998</v>
      </c>
      <c r="AU103" s="189">
        <v>39150237.640000001</v>
      </c>
      <c r="AV103" s="189">
        <v>39251320.369999997</v>
      </c>
      <c r="AW103" s="189">
        <v>37956057.280000001</v>
      </c>
      <c r="AX103" s="189">
        <v>33329921.27</v>
      </c>
      <c r="AY103" s="189">
        <v>32650863.870000001</v>
      </c>
      <c r="AZ103" s="189">
        <v>30454120.460000001</v>
      </c>
      <c r="BA103" s="189">
        <v>27733578.48</v>
      </c>
      <c r="BB103" s="189">
        <v>24884323.18</v>
      </c>
      <c r="BC103" s="189">
        <v>24132037.629999999</v>
      </c>
      <c r="BD103" s="189">
        <v>23728982.75</v>
      </c>
      <c r="BE103" s="189">
        <v>20075298.75</v>
      </c>
      <c r="BF103" s="189">
        <v>16762352.4</v>
      </c>
      <c r="BG103" s="189">
        <v>16880188.02</v>
      </c>
      <c r="BH103" s="189">
        <v>15789115.83</v>
      </c>
      <c r="BI103" s="189">
        <v>15862755.060000001</v>
      </c>
      <c r="BJ103" s="189">
        <v>15780686.800000001</v>
      </c>
      <c r="BK103" s="189">
        <v>15072018.689999999</v>
      </c>
      <c r="BL103" s="189">
        <v>16011767.529999999</v>
      </c>
      <c r="BM103" s="189">
        <v>15044502.029999999</v>
      </c>
      <c r="BN103" s="189">
        <v>18252665.030000001</v>
      </c>
      <c r="BO103" s="189">
        <v>21619133.460000001</v>
      </c>
      <c r="BP103" s="189">
        <v>12934639.26</v>
      </c>
      <c r="BQ103" s="189">
        <v>8493411.2799999993</v>
      </c>
      <c r="BR103" s="189">
        <v>7400000</v>
      </c>
      <c r="BS103" s="189">
        <v>2970143.71</v>
      </c>
      <c r="BT103" s="189">
        <v>2872138.39</v>
      </c>
      <c r="BU103" s="189">
        <v>2604712.4300000002</v>
      </c>
      <c r="BV103" s="189">
        <v>0</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-935980984.25999999</v>
      </c>
      <c r="C107" s="33">
        <f>C102+C103</f>
        <v>-2055217961.97</v>
      </c>
      <c r="D107" s="33">
        <f>D102+D103</f>
        <v>-1202229998.0700002</v>
      </c>
      <c r="E107" s="33">
        <f>E102+E103</f>
        <v>-666488415.16000009</v>
      </c>
      <c r="F107" s="33">
        <f t="shared" ref="F107:BQ107" si="20">F102+F103</f>
        <v>14875642596.049999</v>
      </c>
      <c r="G107" s="33">
        <f t="shared" si="20"/>
        <v>16391806439.77</v>
      </c>
      <c r="H107" s="33">
        <f t="shared" si="20"/>
        <v>14797161855.029999</v>
      </c>
      <c r="I107" s="33">
        <f t="shared" si="20"/>
        <v>10481752739.559999</v>
      </c>
      <c r="J107" s="33">
        <f t="shared" si="20"/>
        <v>9896748904.4200001</v>
      </c>
      <c r="K107" s="33">
        <f t="shared" si="20"/>
        <v>5051137471.4499998</v>
      </c>
      <c r="L107" s="33">
        <f t="shared" si="20"/>
        <v>4935802326.0900002</v>
      </c>
      <c r="M107" s="33">
        <f t="shared" si="20"/>
        <v>3815134279.6899996</v>
      </c>
      <c r="N107" s="33">
        <f t="shared" si="20"/>
        <v>3587438648.9000001</v>
      </c>
      <c r="O107" s="33">
        <f t="shared" si="20"/>
        <v>3492721953.0699997</v>
      </c>
      <c r="P107" s="33">
        <f t="shared" si="20"/>
        <v>3383306903.9300003</v>
      </c>
      <c r="Q107" s="33">
        <f t="shared" si="20"/>
        <v>3343473396.02</v>
      </c>
      <c r="R107" s="33">
        <f t="shared" si="20"/>
        <v>3171677528.1500001</v>
      </c>
      <c r="S107" s="33">
        <f t="shared" si="20"/>
        <v>3105270244.0400004</v>
      </c>
      <c r="T107" s="33">
        <f t="shared" si="20"/>
        <v>2158084139.8699999</v>
      </c>
      <c r="U107" s="33">
        <f t="shared" si="20"/>
        <v>2079525750.53</v>
      </c>
      <c r="V107" s="33">
        <f t="shared" si="20"/>
        <v>1989131404.54</v>
      </c>
      <c r="W107" s="33">
        <f t="shared" si="20"/>
        <v>1584699871.52</v>
      </c>
      <c r="X107" s="33">
        <f t="shared" si="20"/>
        <v>1344946737.0899999</v>
      </c>
      <c r="Y107" s="33">
        <f t="shared" si="20"/>
        <v>1273427238.4099998</v>
      </c>
      <c r="Z107" s="33">
        <f t="shared" si="20"/>
        <v>1210063990.98</v>
      </c>
      <c r="AA107" s="33">
        <f t="shared" si="20"/>
        <v>1135025718.76</v>
      </c>
      <c r="AB107" s="33">
        <f t="shared" si="20"/>
        <v>1109892158.24</v>
      </c>
      <c r="AC107" s="33">
        <f t="shared" si="20"/>
        <v>1057106722.5300001</v>
      </c>
      <c r="AD107" s="33">
        <f t="shared" si="20"/>
        <v>1011061639.39</v>
      </c>
      <c r="AE107" s="33">
        <f t="shared" si="20"/>
        <v>982057424.13</v>
      </c>
      <c r="AF107" s="33">
        <f t="shared" si="20"/>
        <v>967726451.39999998</v>
      </c>
      <c r="AG107" s="33">
        <f t="shared" si="20"/>
        <v>938662287.94000006</v>
      </c>
      <c r="AH107" s="33">
        <f t="shared" si="20"/>
        <v>919087080.04999995</v>
      </c>
      <c r="AI107" s="33">
        <f t="shared" si="20"/>
        <v>218192293.25</v>
      </c>
      <c r="AJ107" s="33">
        <f t="shared" si="20"/>
        <v>187005762.91</v>
      </c>
      <c r="AK107" s="33">
        <f t="shared" si="20"/>
        <v>142670557.59999999</v>
      </c>
      <c r="AL107" s="33">
        <f t="shared" si="20"/>
        <v>59615812.759999998</v>
      </c>
      <c r="AM107" s="33">
        <f t="shared" si="20"/>
        <v>0</v>
      </c>
      <c r="AN107" s="33">
        <f t="shared" si="20"/>
        <v>12725217105.43</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5976747980.7099991</v>
      </c>
      <c r="C108" s="38">
        <f t="shared" ref="C108:BN108" si="22">SUM(C89+C107)</f>
        <v>6769139042.5099993</v>
      </c>
      <c r="D108" s="38">
        <f t="shared" si="22"/>
        <v>7320147766.0200005</v>
      </c>
      <c r="E108" s="38">
        <f>SUM(E107+E89)</f>
        <v>7195856853.9499998</v>
      </c>
      <c r="F108" s="38">
        <f t="shared" si="22"/>
        <v>23116409025.959999</v>
      </c>
      <c r="G108" s="38">
        <f t="shared" si="22"/>
        <v>27627073909.77</v>
      </c>
      <c r="H108" s="38">
        <f t="shared" si="22"/>
        <v>25607970130.82</v>
      </c>
      <c r="I108" s="38">
        <f t="shared" si="22"/>
        <v>24592208589.23</v>
      </c>
      <c r="J108" s="38">
        <f t="shared" si="22"/>
        <v>21453354325.77</v>
      </c>
      <c r="K108" s="38">
        <f t="shared" si="22"/>
        <v>17784577097.360001</v>
      </c>
      <c r="L108" s="38">
        <f t="shared" si="22"/>
        <v>12461770683.709999</v>
      </c>
      <c r="M108" s="38">
        <f t="shared" si="22"/>
        <v>11409209400.73</v>
      </c>
      <c r="N108" s="38">
        <f t="shared" si="22"/>
        <v>10946366417.380001</v>
      </c>
      <c r="O108" s="38">
        <f t="shared" si="22"/>
        <v>8431983730.0199995</v>
      </c>
      <c r="P108" s="38">
        <f t="shared" si="22"/>
        <v>7479265874.1800003</v>
      </c>
      <c r="Q108" s="38">
        <f t="shared" si="22"/>
        <v>6245264225.6599998</v>
      </c>
      <c r="R108" s="38">
        <f t="shared" si="22"/>
        <v>5087887868.1499996</v>
      </c>
      <c r="S108" s="38">
        <f t="shared" si="22"/>
        <v>5034637312.0200005</v>
      </c>
      <c r="T108" s="38">
        <f t="shared" si="22"/>
        <v>4045705637.21</v>
      </c>
      <c r="U108" s="38">
        <f t="shared" si="22"/>
        <v>3792724481.4099998</v>
      </c>
      <c r="V108" s="38">
        <f t="shared" si="22"/>
        <v>3292617930.25</v>
      </c>
      <c r="W108" s="38">
        <f t="shared" si="22"/>
        <v>3038190453.75</v>
      </c>
      <c r="X108" s="38">
        <f t="shared" si="22"/>
        <v>2701906837.1199999</v>
      </c>
      <c r="Y108" s="38">
        <f t="shared" si="22"/>
        <v>2444711861.9499998</v>
      </c>
      <c r="Z108" s="38">
        <f t="shared" si="22"/>
        <v>2228592678.3900003</v>
      </c>
      <c r="AA108" s="38">
        <f t="shared" si="22"/>
        <v>1910112979.8800001</v>
      </c>
      <c r="AB108" s="38">
        <f t="shared" si="22"/>
        <v>1554892158.24</v>
      </c>
      <c r="AC108" s="38">
        <f t="shared" si="22"/>
        <v>1462106722.5300002</v>
      </c>
      <c r="AD108" s="38">
        <f t="shared" si="22"/>
        <v>1291061639.3899999</v>
      </c>
      <c r="AE108" s="38">
        <f t="shared" si="22"/>
        <v>1182057424.1300001</v>
      </c>
      <c r="AF108" s="38">
        <f t="shared" si="22"/>
        <v>1037726451.4</v>
      </c>
      <c r="AG108" s="38">
        <f t="shared" si="22"/>
        <v>1008662287.9400001</v>
      </c>
      <c r="AH108" s="38">
        <f t="shared" si="22"/>
        <v>945417384.94999993</v>
      </c>
      <c r="AI108" s="38">
        <f t="shared" si="22"/>
        <v>313692293.25</v>
      </c>
      <c r="AJ108" s="38">
        <f t="shared" si="22"/>
        <v>227005762.91</v>
      </c>
      <c r="AK108" s="38">
        <f t="shared" si="22"/>
        <v>142670557.59999999</v>
      </c>
      <c r="AL108" s="38">
        <f t="shared" si="22"/>
        <v>59615812.759999998</v>
      </c>
      <c r="AM108" s="38">
        <f t="shared" si="22"/>
        <v>0</v>
      </c>
      <c r="AN108" s="38">
        <f t="shared" si="22"/>
        <v>12725217105.43</v>
      </c>
      <c r="AO108" s="38">
        <f t="shared" si="22"/>
        <v>11455936876.719999</v>
      </c>
      <c r="AP108" s="38">
        <f t="shared" si="22"/>
        <v>11230323337.110001</v>
      </c>
      <c r="AQ108" s="38">
        <f t="shared" si="22"/>
        <v>10934383750.469999</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E31" workbookViewId="0">
      <selection activeCell="AG55" sqref="AG55"/>
    </sheetView>
  </sheetViews>
  <sheetFormatPr defaultRowHeight="14.4" x14ac:dyDescent="0.25"/>
  <cols>
    <col min="1" max="1" width="57.21875" style="17" bestFit="1" customWidth="1"/>
    <col min="2" max="3" width="22.6640625" hidden="1" customWidth="1"/>
    <col min="4" max="4" width="20.21875" hidden="1" customWidth="1"/>
    <col min="5" max="5" width="23.88671875" bestFit="1" customWidth="1"/>
    <col min="6" max="8" width="22.6640625" hidden="1" customWidth="1"/>
    <col min="9" max="9" width="22.6640625" bestFit="1" customWidth="1"/>
    <col min="10" max="10" width="20.44140625" hidden="1" customWidth="1"/>
    <col min="11" max="12" width="20.21875" hidden="1" customWidth="1"/>
    <col min="13" max="13" width="21.44140625" bestFit="1" customWidth="1"/>
    <col min="14" max="16" width="20.21875" hidden="1" customWidth="1"/>
    <col min="17" max="17" width="21.44140625" bestFit="1" customWidth="1"/>
    <col min="18" max="20" width="20.21875" hidden="1" customWidth="1"/>
    <col min="21" max="21" width="19.33203125" bestFit="1" customWidth="1"/>
    <col min="22" max="24" width="19" hidden="1" customWidth="1"/>
    <col min="25" max="25" width="19.33203125" bestFit="1" customWidth="1"/>
    <col min="26" max="28" width="19" hidden="1" customWidth="1"/>
    <col min="29" max="29" width="19" bestFit="1" customWidth="1"/>
    <col min="30" max="32" width="19" hidden="1" customWidth="1"/>
    <col min="33" max="33" width="19" bestFit="1" customWidth="1"/>
    <col min="34" max="34" width="19" hidden="1" customWidth="1"/>
    <col min="35" max="36" width="17.77734375" hidden="1" customWidth="1"/>
    <col min="37" max="37" width="17.77734375" bestFit="1" customWidth="1"/>
    <col min="38" max="39" width="17.77734375" hidden="1" customWidth="1"/>
    <col min="40" max="41" width="17.77734375" bestFit="1" customWidth="1"/>
    <col min="42" max="42" width="9.5546875" hidden="1" customWidth="1"/>
    <col min="43"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300104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9">
        <v>1347916027.52</v>
      </c>
      <c r="C4" s="189">
        <v>983775013.65999997</v>
      </c>
      <c r="D4" s="189">
        <v>428543205.74000001</v>
      </c>
      <c r="E4" s="189">
        <v>7025215802.2200003</v>
      </c>
      <c r="F4" s="189">
        <v>6094642044.2700005</v>
      </c>
      <c r="G4" s="189">
        <v>5540886553.04</v>
      </c>
      <c r="H4" s="189">
        <v>4116467940.2800002</v>
      </c>
      <c r="I4" s="189">
        <v>21950951410.470001</v>
      </c>
      <c r="J4" s="189">
        <v>16773829590.549999</v>
      </c>
      <c r="K4" s="189">
        <v>10063138447.610001</v>
      </c>
      <c r="L4" s="189">
        <v>4634512164.1999998</v>
      </c>
      <c r="M4" s="189">
        <v>13016725124.120001</v>
      </c>
      <c r="N4" s="189">
        <v>8374974349.1499996</v>
      </c>
      <c r="O4" s="189">
        <v>4460713020.0600004</v>
      </c>
      <c r="P4" s="189">
        <v>2133457686.29</v>
      </c>
      <c r="Q4" s="189">
        <v>6818938622.3800001</v>
      </c>
      <c r="R4" s="189">
        <v>4745146054.6599998</v>
      </c>
      <c r="S4" s="189">
        <v>2938801853.1599998</v>
      </c>
      <c r="T4" s="189">
        <v>1026947707.76</v>
      </c>
      <c r="U4" s="189">
        <v>2361244730.8600001</v>
      </c>
      <c r="V4" s="189">
        <v>1365272776.9200001</v>
      </c>
      <c r="W4" s="189">
        <v>751920231.09000003</v>
      </c>
      <c r="X4" s="189">
        <v>341886400.31999999</v>
      </c>
      <c r="Y4" s="189">
        <v>1167307146.72</v>
      </c>
      <c r="Z4" s="189">
        <v>828735210.47000003</v>
      </c>
      <c r="AA4" s="189">
        <v>552975255.67999995</v>
      </c>
      <c r="AB4" s="189">
        <v>275808462.04000002</v>
      </c>
      <c r="AC4" s="189">
        <v>598555886.30999994</v>
      </c>
      <c r="AD4" s="189">
        <v>355895566.29000002</v>
      </c>
      <c r="AE4" s="189">
        <v>223103383.88</v>
      </c>
      <c r="AF4" s="189">
        <v>104751988.97</v>
      </c>
      <c r="AG4" s="189">
        <v>238258165.65000001</v>
      </c>
      <c r="AH4" s="189">
        <v>173053150.27000001</v>
      </c>
      <c r="AI4" s="189">
        <v>101973355.54000001</v>
      </c>
      <c r="AJ4" s="189">
        <v>45153520.600000001</v>
      </c>
      <c r="AK4" s="189">
        <v>145731415.40000001</v>
      </c>
      <c r="AL4" s="189">
        <v>103650975.34999999</v>
      </c>
      <c r="AM4" s="189">
        <v>59792579.990000002</v>
      </c>
      <c r="AN4" s="189">
        <v>73607120.709999993</v>
      </c>
      <c r="AO4" s="189">
        <v>36916305.039999999</v>
      </c>
      <c r="AP4" s="189">
        <v>0</v>
      </c>
      <c r="AQ4" s="189"/>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189"/>
      <c r="BP4" s="189"/>
      <c r="BQ4" s="189"/>
      <c r="BR4" s="189"/>
      <c r="BS4" s="189"/>
      <c r="BT4" s="189"/>
      <c r="BU4" s="189"/>
      <c r="BV4" s="189"/>
      <c r="BW4" s="189"/>
      <c r="BX4" s="189"/>
      <c r="BY4" s="189"/>
      <c r="BZ4" s="189"/>
      <c r="CA4" s="189"/>
      <c r="CB4" s="189"/>
      <c r="CC4" s="189"/>
      <c r="CD4" s="189"/>
      <c r="CE4" s="189"/>
      <c r="CF4" s="189"/>
      <c r="CG4" s="189"/>
      <c r="CH4" s="189"/>
      <c r="CI4" s="189"/>
      <c r="CJ4" s="189"/>
      <c r="CK4" s="189"/>
    </row>
    <row r="5" spans="1:89" x14ac:dyDescent="0.25">
      <c r="A5" s="19" t="s">
        <v>385</v>
      </c>
      <c r="B5" s="189">
        <v>1879330786.6400001</v>
      </c>
      <c r="C5" s="189">
        <v>1472461188.5999999</v>
      </c>
      <c r="D5" s="189">
        <v>530487372.88</v>
      </c>
      <c r="E5" s="189">
        <v>9706710025.6100006</v>
      </c>
      <c r="F5" s="189">
        <v>7081314648.3400002</v>
      </c>
      <c r="G5" s="189">
        <v>5614535512.1999998</v>
      </c>
      <c r="H5" s="189">
        <v>3242219844.21</v>
      </c>
      <c r="I5" s="189">
        <v>18229220564.66</v>
      </c>
      <c r="J5" s="189">
        <v>14245707962.32</v>
      </c>
      <c r="K5" s="189">
        <v>8560174309.6099997</v>
      </c>
      <c r="L5" s="189">
        <v>3909094399</v>
      </c>
      <c r="M5" s="189">
        <v>11112009123.84</v>
      </c>
      <c r="N5" s="189">
        <v>7370724878.0900002</v>
      </c>
      <c r="O5" s="189">
        <v>3787893148.04</v>
      </c>
      <c r="P5" s="189">
        <v>1866500640.98</v>
      </c>
      <c r="Q5" s="189">
        <v>5828133468.4200001</v>
      </c>
      <c r="R5" s="189">
        <v>4081610878.5500002</v>
      </c>
      <c r="S5" s="189">
        <v>2487947546.4200001</v>
      </c>
      <c r="T5" s="189">
        <v>803278083.25999999</v>
      </c>
      <c r="U5" s="189">
        <v>1668684007.47</v>
      </c>
      <c r="V5" s="189">
        <v>910887880.78999996</v>
      </c>
      <c r="W5" s="189">
        <v>453704141.85000002</v>
      </c>
      <c r="X5" s="189">
        <v>186947889.81999999</v>
      </c>
      <c r="Y5" s="189">
        <v>684246822.49000001</v>
      </c>
      <c r="Z5" s="189">
        <v>504623220.58999997</v>
      </c>
      <c r="AA5" s="189">
        <v>320848865.30000001</v>
      </c>
      <c r="AB5" s="189">
        <v>153294269.00999999</v>
      </c>
      <c r="AC5" s="189">
        <v>275090733.32999998</v>
      </c>
      <c r="AD5" s="189">
        <v>139195015.02000001</v>
      </c>
      <c r="AE5" s="189">
        <v>86194524.370000005</v>
      </c>
      <c r="AF5" s="189">
        <v>38086681.520000003</v>
      </c>
      <c r="AG5" s="189">
        <v>80214851.969999999</v>
      </c>
      <c r="AH5" s="189">
        <v>58881275.32</v>
      </c>
      <c r="AI5" s="189">
        <v>34992303.469999999</v>
      </c>
      <c r="AJ5" s="189">
        <v>15770790.029999999</v>
      </c>
      <c r="AK5" s="189">
        <v>49551009.369999997</v>
      </c>
      <c r="AL5" s="189">
        <v>33338174.170000002</v>
      </c>
      <c r="AM5" s="189">
        <v>21134492.460000001</v>
      </c>
      <c r="AN5" s="189">
        <v>14850092.140000001</v>
      </c>
      <c r="AO5" s="189">
        <v>11821791.91</v>
      </c>
      <c r="AP5" s="189">
        <v>0</v>
      </c>
      <c r="AQ5" s="189"/>
      <c r="AR5" s="189"/>
      <c r="AS5" s="189"/>
      <c r="AT5" s="189"/>
      <c r="AU5" s="189"/>
      <c r="AV5" s="189"/>
      <c r="AW5" s="189"/>
      <c r="AX5" s="189"/>
      <c r="AY5" s="189"/>
      <c r="AZ5" s="189"/>
      <c r="BA5" s="189"/>
      <c r="BB5" s="189"/>
      <c r="BC5" s="189"/>
      <c r="BD5" s="189"/>
      <c r="BE5" s="189"/>
      <c r="BF5" s="189"/>
      <c r="BG5" s="189"/>
      <c r="BH5" s="189"/>
      <c r="BI5" s="189"/>
      <c r="BJ5" s="189"/>
      <c r="BK5" s="189"/>
      <c r="BL5" s="189"/>
      <c r="BM5" s="189"/>
      <c r="BN5" s="189"/>
      <c r="BO5" s="189"/>
      <c r="BP5" s="189"/>
      <c r="BQ5" s="189"/>
      <c r="BR5" s="189"/>
      <c r="BS5" s="189"/>
      <c r="BT5" s="189"/>
      <c r="BU5" s="189"/>
      <c r="BV5" s="189"/>
      <c r="BW5" s="189"/>
      <c r="BX5" s="189"/>
      <c r="BY5" s="189"/>
      <c r="BZ5" s="189"/>
      <c r="CA5" s="189"/>
      <c r="CB5" s="189"/>
      <c r="CC5" s="189"/>
      <c r="CD5" s="189"/>
      <c r="CE5" s="189"/>
      <c r="CF5" s="189"/>
      <c r="CG5" s="189"/>
      <c r="CH5" s="189"/>
      <c r="CI5" s="189"/>
      <c r="CJ5" s="189"/>
      <c r="CK5" s="189"/>
    </row>
    <row r="6" spans="1:89" s="3" customFormat="1" x14ac:dyDescent="0.25">
      <c r="A6" s="20" t="s">
        <v>386</v>
      </c>
      <c r="B6" s="27">
        <f>B4-B5</f>
        <v>-531414759.12000012</v>
      </c>
      <c r="C6" s="27">
        <f t="shared" ref="C6:BN6" si="0">C4-C5</f>
        <v>-488686174.93999994</v>
      </c>
      <c r="D6" s="27">
        <f t="shared" si="0"/>
        <v>-101944167.13999999</v>
      </c>
      <c r="E6" s="27">
        <f t="shared" si="0"/>
        <v>-2681494223.3900003</v>
      </c>
      <c r="F6" s="27">
        <f t="shared" si="0"/>
        <v>-986672604.06999969</v>
      </c>
      <c r="G6" s="27">
        <f t="shared" si="0"/>
        <v>-73648959.159999847</v>
      </c>
      <c r="H6" s="27">
        <f t="shared" si="0"/>
        <v>874248096.07000017</v>
      </c>
      <c r="I6" s="27">
        <f t="shared" si="0"/>
        <v>3721730845.8100014</v>
      </c>
      <c r="J6" s="27">
        <f t="shared" si="0"/>
        <v>2528121628.2299995</v>
      </c>
      <c r="K6" s="27">
        <f t="shared" si="0"/>
        <v>1502964138.000001</v>
      </c>
      <c r="L6" s="27">
        <f t="shared" si="0"/>
        <v>725417765.19999981</v>
      </c>
      <c r="M6" s="27">
        <f t="shared" si="0"/>
        <v>1904716000.2800007</v>
      </c>
      <c r="N6" s="27">
        <f t="shared" si="0"/>
        <v>1004249471.0599995</v>
      </c>
      <c r="O6" s="27">
        <f t="shared" si="0"/>
        <v>672819872.02000046</v>
      </c>
      <c r="P6" s="27">
        <f t="shared" si="0"/>
        <v>266957045.30999994</v>
      </c>
      <c r="Q6" s="27">
        <f t="shared" si="0"/>
        <v>990805153.96000004</v>
      </c>
      <c r="R6" s="27">
        <f t="shared" si="0"/>
        <v>663535176.10999966</v>
      </c>
      <c r="S6" s="27">
        <f t="shared" si="0"/>
        <v>450854306.73999977</v>
      </c>
      <c r="T6" s="27">
        <f t="shared" si="0"/>
        <v>223669624.5</v>
      </c>
      <c r="U6" s="27">
        <f t="shared" si="0"/>
        <v>692560723.3900001</v>
      </c>
      <c r="V6" s="27">
        <f t="shared" si="0"/>
        <v>454384896.13000011</v>
      </c>
      <c r="W6" s="27">
        <f t="shared" si="0"/>
        <v>298216089.24000001</v>
      </c>
      <c r="X6" s="27">
        <f t="shared" si="0"/>
        <v>154938510.5</v>
      </c>
      <c r="Y6" s="27">
        <f t="shared" si="0"/>
        <v>483060324.23000002</v>
      </c>
      <c r="Z6" s="27">
        <f t="shared" si="0"/>
        <v>324111989.88000005</v>
      </c>
      <c r="AA6" s="27">
        <f t="shared" si="0"/>
        <v>232126390.37999994</v>
      </c>
      <c r="AB6" s="27">
        <f t="shared" si="0"/>
        <v>122514193.03000003</v>
      </c>
      <c r="AC6" s="27">
        <f t="shared" si="0"/>
        <v>323465152.97999996</v>
      </c>
      <c r="AD6" s="27">
        <f t="shared" si="0"/>
        <v>216700551.27000001</v>
      </c>
      <c r="AE6" s="27">
        <f t="shared" si="0"/>
        <v>136908859.50999999</v>
      </c>
      <c r="AF6" s="27">
        <f t="shared" si="0"/>
        <v>66665307.449999996</v>
      </c>
      <c r="AG6" s="27">
        <f t="shared" si="0"/>
        <v>158043313.68000001</v>
      </c>
      <c r="AH6" s="27">
        <f t="shared" si="0"/>
        <v>114171874.95000002</v>
      </c>
      <c r="AI6" s="27">
        <f t="shared" si="0"/>
        <v>66981052.070000008</v>
      </c>
      <c r="AJ6" s="27">
        <f t="shared" si="0"/>
        <v>29382730.57</v>
      </c>
      <c r="AK6" s="27">
        <f t="shared" si="0"/>
        <v>96180406.030000001</v>
      </c>
      <c r="AL6" s="27">
        <f t="shared" si="0"/>
        <v>70312801.179999992</v>
      </c>
      <c r="AM6" s="27">
        <f t="shared" si="0"/>
        <v>38658087.530000001</v>
      </c>
      <c r="AN6" s="27">
        <f t="shared" si="0"/>
        <v>58757028.569999993</v>
      </c>
      <c r="AO6" s="27">
        <f t="shared" si="0"/>
        <v>25094513.129999999</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-39.424915815990261</v>
      </c>
      <c r="C7" s="57">
        <f t="shared" ref="C7:D7" si="2">C6/C4*100</f>
        <v>-49.674586989347297</v>
      </c>
      <c r="D7" s="57">
        <f t="shared" si="2"/>
        <v>-23.788538885820113</v>
      </c>
      <c r="E7" s="57">
        <f>E6/E4</f>
        <v>-0.38169563738421186</v>
      </c>
      <c r="F7" s="57">
        <f t="shared" ref="F7:BQ7" si="3">F6/F4</f>
        <v>-0.16189180544206688</v>
      </c>
      <c r="G7" s="57">
        <f t="shared" si="3"/>
        <v>-1.3291908876855175E-2</v>
      </c>
      <c r="H7" s="57">
        <f t="shared" si="3"/>
        <v>0.21237821082375155</v>
      </c>
      <c r="I7" s="57">
        <f t="shared" si="3"/>
        <v>0.16954758708248235</v>
      </c>
      <c r="J7" s="57">
        <f t="shared" si="3"/>
        <v>0.15071821342779629</v>
      </c>
      <c r="K7" s="57">
        <f t="shared" si="3"/>
        <v>0.14935341949478551</v>
      </c>
      <c r="L7" s="57">
        <f t="shared" si="3"/>
        <v>0.15652516154852297</v>
      </c>
      <c r="M7" s="57">
        <f t="shared" si="3"/>
        <v>0.14632835694982607</v>
      </c>
      <c r="N7" s="57">
        <f t="shared" si="3"/>
        <v>0.11991075186539808</v>
      </c>
      <c r="O7" s="57">
        <f t="shared" si="3"/>
        <v>0.15083235998242955</v>
      </c>
      <c r="P7" s="57">
        <f t="shared" si="3"/>
        <v>0.12512882117396379</v>
      </c>
      <c r="Q7" s="57">
        <f t="shared" si="3"/>
        <v>0.14530196102779722</v>
      </c>
      <c r="R7" s="57">
        <f t="shared" si="3"/>
        <v>0.13983451056440524</v>
      </c>
      <c r="S7" s="57">
        <f t="shared" si="3"/>
        <v>0.15341432640489541</v>
      </c>
      <c r="T7" s="57">
        <f t="shared" si="3"/>
        <v>0.21780040289283367</v>
      </c>
      <c r="U7" s="57">
        <f t="shared" si="3"/>
        <v>0.29330323720309975</v>
      </c>
      <c r="V7" s="57">
        <f t="shared" si="3"/>
        <v>0.33281619893943393</v>
      </c>
      <c r="W7" s="57">
        <f t="shared" si="3"/>
        <v>0.39660601870985629</v>
      </c>
      <c r="X7" s="57">
        <f t="shared" si="3"/>
        <v>0.45318711231268671</v>
      </c>
      <c r="Y7" s="57">
        <f t="shared" si="3"/>
        <v>0.41382452389445612</v>
      </c>
      <c r="Z7" s="57">
        <f t="shared" si="3"/>
        <v>0.39109233659347797</v>
      </c>
      <c r="AA7" s="57">
        <f t="shared" si="3"/>
        <v>0.41977717446787283</v>
      </c>
      <c r="AB7" s="57">
        <f t="shared" si="3"/>
        <v>0.44420026899766407</v>
      </c>
      <c r="AC7" s="57">
        <f t="shared" si="3"/>
        <v>0.54040927568870845</v>
      </c>
      <c r="AD7" s="57">
        <f t="shared" si="3"/>
        <v>0.60888803288272064</v>
      </c>
      <c r="AE7" s="57">
        <f t="shared" si="3"/>
        <v>0.61365657987347599</v>
      </c>
      <c r="AF7" s="57">
        <f t="shared" si="3"/>
        <v>0.63641089878581991</v>
      </c>
      <c r="AG7" s="57">
        <f t="shared" si="3"/>
        <v>0.66332800493463384</v>
      </c>
      <c r="AH7" s="57">
        <f t="shared" si="3"/>
        <v>0.65975034127877719</v>
      </c>
      <c r="AI7" s="57">
        <f t="shared" si="3"/>
        <v>0.6568485631889015</v>
      </c>
      <c r="AJ7" s="57">
        <f t="shared" si="3"/>
        <v>0.650729559501945</v>
      </c>
      <c r="AK7" s="57">
        <f t="shared" si="3"/>
        <v>0.65998402448783189</v>
      </c>
      <c r="AL7" s="57">
        <f t="shared" si="3"/>
        <v>0.67836121119529813</v>
      </c>
      <c r="AM7" s="57">
        <f t="shared" si="3"/>
        <v>0.64653653574516046</v>
      </c>
      <c r="AN7" s="57">
        <f t="shared" si="3"/>
        <v>0.79825196262591314</v>
      </c>
      <c r="AO7" s="57">
        <f t="shared" si="3"/>
        <v>0.67976773685257208</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9">
        <v>1613015.7</v>
      </c>
      <c r="C8" s="189">
        <v>1537354.09</v>
      </c>
      <c r="D8" s="189">
        <v>333775.21999999997</v>
      </c>
      <c r="E8" s="189">
        <v>19761340.579999998</v>
      </c>
      <c r="F8" s="189">
        <v>23019783.329999998</v>
      </c>
      <c r="G8" s="189">
        <v>21550676.539999999</v>
      </c>
      <c r="H8" s="189">
        <v>15417466.24</v>
      </c>
      <c r="I8" s="189">
        <v>152575155.84</v>
      </c>
      <c r="J8" s="189">
        <v>48600322.079999998</v>
      </c>
      <c r="K8" s="189">
        <v>29996246.609999999</v>
      </c>
      <c r="L8" s="189">
        <v>12013744.15</v>
      </c>
      <c r="M8" s="189">
        <v>94680829.109999999</v>
      </c>
      <c r="N8" s="189">
        <v>27586610.780000001</v>
      </c>
      <c r="O8" s="189">
        <v>16782339.68</v>
      </c>
      <c r="P8" s="189">
        <v>8617821.9499999993</v>
      </c>
      <c r="Q8" s="189">
        <v>56848870.420000002</v>
      </c>
      <c r="R8" s="189">
        <v>14287081.27</v>
      </c>
      <c r="S8" s="189">
        <v>14729224.539999999</v>
      </c>
      <c r="T8" s="189">
        <v>5062057.6900000004</v>
      </c>
      <c r="U8" s="189">
        <v>25921973.190000001</v>
      </c>
      <c r="V8" s="189">
        <v>11531587.32</v>
      </c>
      <c r="W8" s="189">
        <v>6793318.6900000004</v>
      </c>
      <c r="X8" s="189">
        <v>4961597.5599999996</v>
      </c>
      <c r="Y8" s="189">
        <v>45132765.549999997</v>
      </c>
      <c r="Z8" s="189">
        <v>39552084.32</v>
      </c>
      <c r="AA8" s="189">
        <v>31744242.460000001</v>
      </c>
      <c r="AB8" s="189">
        <v>14292110.83</v>
      </c>
      <c r="AC8" s="189">
        <v>29951803.73</v>
      </c>
      <c r="AD8" s="189">
        <v>15694669.810000001</v>
      </c>
      <c r="AE8" s="189">
        <v>9580628.7100000009</v>
      </c>
      <c r="AF8" s="189">
        <v>6384579.96</v>
      </c>
      <c r="AG8" s="189">
        <v>10159858.869999999</v>
      </c>
      <c r="AH8" s="189">
        <v>7701217.5999999996</v>
      </c>
      <c r="AI8" s="189">
        <v>4624116.79</v>
      </c>
      <c r="AJ8" s="189">
        <v>1546969.92</v>
      </c>
      <c r="AK8" s="189">
        <v>6468272.5099999998</v>
      </c>
      <c r="AL8" s="189">
        <v>4530224.2699999996</v>
      </c>
      <c r="AM8" s="189">
        <v>2684574.54</v>
      </c>
      <c r="AN8" s="189">
        <v>2991417.66</v>
      </c>
      <c r="AO8" s="189">
        <v>1218238.06</v>
      </c>
      <c r="AP8" s="189">
        <v>0</v>
      </c>
      <c r="AQ8" s="189"/>
      <c r="AR8" s="189"/>
      <c r="AS8" s="189"/>
      <c r="AT8" s="189"/>
      <c r="AU8" s="189"/>
      <c r="AV8" s="189"/>
      <c r="AW8" s="189"/>
      <c r="AX8" s="189"/>
      <c r="AY8" s="189"/>
      <c r="AZ8" s="189"/>
      <c r="BA8" s="189"/>
      <c r="BB8" s="189"/>
      <c r="BC8" s="189"/>
      <c r="BD8" s="189"/>
      <c r="BE8" s="189"/>
      <c r="BF8" s="189"/>
      <c r="BG8" s="189"/>
      <c r="BH8" s="189"/>
      <c r="BI8" s="189"/>
      <c r="BJ8" s="189"/>
      <c r="BK8" s="189"/>
      <c r="BL8" s="189"/>
      <c r="BM8" s="189"/>
      <c r="BN8" s="189"/>
      <c r="BO8" s="189"/>
      <c r="BP8" s="189"/>
      <c r="BQ8" s="189"/>
      <c r="BR8" s="189"/>
      <c r="BS8" s="189"/>
      <c r="BT8" s="189"/>
      <c r="BU8" s="189"/>
      <c r="BV8" s="189"/>
      <c r="BW8" s="189"/>
      <c r="BX8" s="189"/>
      <c r="BY8" s="189"/>
      <c r="BZ8" s="189"/>
      <c r="CA8" s="189"/>
      <c r="CB8" s="189"/>
      <c r="CC8" s="189"/>
      <c r="CD8" s="189"/>
      <c r="CE8" s="189"/>
      <c r="CF8" s="189"/>
      <c r="CG8" s="189"/>
      <c r="CH8" s="189"/>
      <c r="CI8" s="189"/>
      <c r="CJ8" s="189"/>
      <c r="CK8" s="189"/>
    </row>
    <row r="9" spans="1:89" x14ac:dyDescent="0.25">
      <c r="A9" s="17" t="s">
        <v>389</v>
      </c>
      <c r="B9" s="189">
        <v>387045431.08999997</v>
      </c>
      <c r="C9" s="189">
        <v>189301680.41999999</v>
      </c>
      <c r="D9" s="189">
        <v>65440122.640000001</v>
      </c>
      <c r="E9" s="189">
        <v>1714570749.99</v>
      </c>
      <c r="F9" s="189">
        <v>741217973.05999994</v>
      </c>
      <c r="G9" s="189">
        <v>501612381.30000001</v>
      </c>
      <c r="H9" s="189">
        <v>371057809.00999999</v>
      </c>
      <c r="I9" s="189">
        <v>2365883026.2800002</v>
      </c>
      <c r="J9" s="189">
        <v>1636940879.8299999</v>
      </c>
      <c r="K9" s="189">
        <v>909152985.83000004</v>
      </c>
      <c r="L9" s="189">
        <v>386692167.42000002</v>
      </c>
      <c r="M9" s="189">
        <v>1040736778.35</v>
      </c>
      <c r="N9" s="189">
        <v>629421133.10000002</v>
      </c>
      <c r="O9" s="189">
        <v>442883846.04000002</v>
      </c>
      <c r="P9" s="189">
        <v>161772442.53</v>
      </c>
      <c r="Q9" s="189">
        <v>489035465.49000001</v>
      </c>
      <c r="R9" s="189">
        <v>355894549.89999998</v>
      </c>
      <c r="S9" s="189">
        <v>204615005.91</v>
      </c>
      <c r="T9" s="189">
        <v>102396489.15000001</v>
      </c>
      <c r="U9" s="189">
        <v>194520082.59999999</v>
      </c>
      <c r="V9" s="189">
        <v>110849982.05</v>
      </c>
      <c r="W9" s="189">
        <v>65765728.310000002</v>
      </c>
      <c r="X9" s="189">
        <v>30762528.91</v>
      </c>
      <c r="Y9" s="189">
        <v>133586195.97</v>
      </c>
      <c r="Z9" s="189">
        <v>85521702.730000004</v>
      </c>
      <c r="AA9" s="189">
        <v>56930976.700000003</v>
      </c>
      <c r="AB9" s="189">
        <v>27073627.390000001</v>
      </c>
      <c r="AC9" s="189">
        <v>96315718.620000005</v>
      </c>
      <c r="AD9" s="189">
        <v>69280089.890000001</v>
      </c>
      <c r="AE9" s="189">
        <v>40216453.469999999</v>
      </c>
      <c r="AF9" s="189">
        <v>19704291.260000002</v>
      </c>
      <c r="AG9" s="189">
        <v>57919042.57</v>
      </c>
      <c r="AH9" s="189">
        <v>40609138.75</v>
      </c>
      <c r="AI9" s="189">
        <v>22455248.260000002</v>
      </c>
      <c r="AJ9" s="189">
        <v>9053275.0299999993</v>
      </c>
      <c r="AK9" s="189">
        <v>28920126.140000001</v>
      </c>
      <c r="AL9" s="189">
        <v>22303917.510000002</v>
      </c>
      <c r="AM9" s="189">
        <v>12341828.9</v>
      </c>
      <c r="AN9" s="189">
        <v>18297251.940000001</v>
      </c>
      <c r="AO9" s="189">
        <v>5805870.9699999997</v>
      </c>
      <c r="AP9" s="189">
        <v>0</v>
      </c>
      <c r="AQ9" s="189"/>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189"/>
      <c r="BP9" s="189"/>
      <c r="BQ9" s="189"/>
      <c r="BR9" s="189"/>
      <c r="BS9" s="189"/>
      <c r="BT9" s="189"/>
      <c r="BU9" s="189"/>
      <c r="BV9" s="189"/>
      <c r="BW9" s="189"/>
      <c r="BX9" s="189"/>
      <c r="BY9" s="189"/>
      <c r="BZ9" s="189"/>
      <c r="CA9" s="189"/>
      <c r="CB9" s="189"/>
      <c r="CC9" s="189"/>
      <c r="CD9" s="189"/>
      <c r="CE9" s="189"/>
      <c r="CF9" s="189"/>
      <c r="CG9" s="189"/>
      <c r="CH9" s="189"/>
      <c r="CI9" s="189"/>
      <c r="CJ9" s="189"/>
      <c r="CK9" s="189"/>
    </row>
    <row r="10" spans="1:89" x14ac:dyDescent="0.25">
      <c r="A10" s="17" t="s">
        <v>390</v>
      </c>
      <c r="B10" s="189">
        <v>247593860</v>
      </c>
      <c r="C10" s="189">
        <v>206497432.30000001</v>
      </c>
      <c r="D10" s="189">
        <v>109685402.58</v>
      </c>
      <c r="E10" s="189">
        <v>1402733564.9300001</v>
      </c>
      <c r="F10" s="189">
        <v>609795815.60000002</v>
      </c>
      <c r="G10" s="189">
        <v>311220682.38</v>
      </c>
      <c r="H10" s="189">
        <v>148010853.75999999</v>
      </c>
      <c r="I10" s="189">
        <v>596273473.80999994</v>
      </c>
      <c r="J10" s="189">
        <v>399556960.00999999</v>
      </c>
      <c r="K10" s="189">
        <v>242190634.81</v>
      </c>
      <c r="L10" s="189">
        <v>116448872.38</v>
      </c>
      <c r="M10" s="189">
        <v>309492095.22000003</v>
      </c>
      <c r="N10" s="189">
        <v>212487633.71000001</v>
      </c>
      <c r="O10" s="189">
        <v>121086828.08</v>
      </c>
      <c r="P10" s="189">
        <v>58801948.579999998</v>
      </c>
      <c r="Q10" s="189">
        <v>175454652.59999999</v>
      </c>
      <c r="R10" s="189">
        <v>127952076.22</v>
      </c>
      <c r="S10" s="189">
        <v>75868697.719999999</v>
      </c>
      <c r="T10" s="189">
        <v>31782878.27</v>
      </c>
      <c r="U10" s="189">
        <v>89988324.290000007</v>
      </c>
      <c r="V10" s="189">
        <v>59066883.990000002</v>
      </c>
      <c r="W10" s="189">
        <v>32803373.32</v>
      </c>
      <c r="X10" s="189">
        <v>14387067.869999999</v>
      </c>
      <c r="Y10" s="189">
        <v>57784961.579999998</v>
      </c>
      <c r="Z10" s="189">
        <v>41471732.219999999</v>
      </c>
      <c r="AA10" s="189">
        <v>26539044.109999999</v>
      </c>
      <c r="AB10" s="189">
        <v>15175757.869999999</v>
      </c>
      <c r="AC10" s="189">
        <v>30508708.300000001</v>
      </c>
      <c r="AD10" s="189">
        <v>16762454.029999999</v>
      </c>
      <c r="AE10" s="189">
        <v>10401581.449999999</v>
      </c>
      <c r="AF10" s="189">
        <v>5232047.01</v>
      </c>
      <c r="AG10" s="189">
        <v>11602932.65</v>
      </c>
      <c r="AH10" s="189">
        <v>7957713.0099999998</v>
      </c>
      <c r="AI10" s="189">
        <v>5048625.24</v>
      </c>
      <c r="AJ10" s="189">
        <v>2053328.21</v>
      </c>
      <c r="AK10" s="189">
        <v>8754562.6699999999</v>
      </c>
      <c r="AL10" s="189">
        <v>7175104.9400000004</v>
      </c>
      <c r="AM10" s="189">
        <v>4486200.49</v>
      </c>
      <c r="AN10" s="189">
        <v>5647441.3499999996</v>
      </c>
      <c r="AO10" s="189">
        <v>2916798.09</v>
      </c>
      <c r="AP10" s="189">
        <v>0</v>
      </c>
      <c r="AQ10" s="189"/>
      <c r="AR10" s="189"/>
      <c r="AS10" s="189"/>
      <c r="AT10" s="189"/>
      <c r="AU10" s="189"/>
      <c r="AV10" s="189"/>
      <c r="AW10" s="189"/>
      <c r="AX10" s="189"/>
      <c r="AY10" s="189"/>
      <c r="AZ10" s="189"/>
      <c r="BA10" s="189"/>
      <c r="BB10" s="189"/>
      <c r="BC10" s="189"/>
      <c r="BD10" s="189"/>
      <c r="BE10" s="189"/>
      <c r="BF10" s="189"/>
      <c r="BG10" s="189"/>
      <c r="BH10" s="189"/>
      <c r="BI10" s="189"/>
      <c r="BJ10" s="189"/>
      <c r="BK10" s="189"/>
      <c r="BL10" s="189"/>
      <c r="BM10" s="189"/>
      <c r="BN10" s="189"/>
      <c r="BO10" s="189"/>
      <c r="BP10" s="189"/>
      <c r="BQ10" s="189"/>
      <c r="BR10" s="189"/>
      <c r="BS10" s="189"/>
      <c r="BT10" s="189"/>
      <c r="BU10" s="189"/>
      <c r="BV10" s="189"/>
      <c r="BW10" s="189"/>
      <c r="BX10" s="189"/>
      <c r="BY10" s="189"/>
      <c r="BZ10" s="189"/>
      <c r="CA10" s="189"/>
      <c r="CB10" s="189"/>
      <c r="CC10" s="189"/>
      <c r="CD10" s="189"/>
      <c r="CE10" s="189"/>
      <c r="CF10" s="189"/>
      <c r="CG10" s="189"/>
      <c r="CH10" s="189"/>
      <c r="CI10" s="189"/>
      <c r="CJ10" s="189"/>
      <c r="CK10" s="189"/>
    </row>
    <row r="11" spans="1:89" x14ac:dyDescent="0.25">
      <c r="A11" s="17" t="s">
        <v>391</v>
      </c>
      <c r="B11" s="189">
        <v>145945929.81999999</v>
      </c>
      <c r="C11" s="189">
        <v>139263714.81999999</v>
      </c>
      <c r="D11" s="189">
        <v>8699183.8699999992</v>
      </c>
      <c r="E11" s="189">
        <v>10881535091.540001</v>
      </c>
      <c r="F11" s="189">
        <v>259699177.62</v>
      </c>
      <c r="G11" s="189">
        <v>239159932.38</v>
      </c>
      <c r="H11" s="189">
        <v>-1169275.46</v>
      </c>
      <c r="I11" s="189">
        <v>351968232.14999998</v>
      </c>
      <c r="J11" s="189">
        <v>50449061.07</v>
      </c>
      <c r="K11" s="189">
        <v>49863462.390000001</v>
      </c>
      <c r="L11" s="189">
        <v>0</v>
      </c>
      <c r="M11" s="189">
        <v>120153303.15000001</v>
      </c>
      <c r="N11" s="189">
        <v>29455414.280000001</v>
      </c>
      <c r="O11" s="189">
        <v>29455414.280000001</v>
      </c>
      <c r="P11" s="189">
        <v>0</v>
      </c>
      <c r="Q11" s="189">
        <v>53689254.75</v>
      </c>
      <c r="R11" s="189">
        <v>20048049.030000001</v>
      </c>
      <c r="S11" s="189">
        <v>20048049.030000001</v>
      </c>
      <c r="T11" s="189">
        <v>0</v>
      </c>
      <c r="U11" s="189">
        <v>27769539.780000001</v>
      </c>
      <c r="V11" s="189">
        <v>8379845.1699999999</v>
      </c>
      <c r="W11" s="189">
        <v>8376882.8899999997</v>
      </c>
      <c r="X11" s="189">
        <v>0</v>
      </c>
      <c r="Y11" s="189">
        <v>6904764.7300000004</v>
      </c>
      <c r="Z11" s="189">
        <v>3474478.81</v>
      </c>
      <c r="AA11" s="189">
        <v>3479156.81</v>
      </c>
      <c r="AB11" s="189">
        <v>0</v>
      </c>
      <c r="AC11" s="189">
        <v>3937088.97</v>
      </c>
      <c r="AD11" s="189">
        <v>2673621.2400000002</v>
      </c>
      <c r="AE11" s="189">
        <v>2673621.2400000002</v>
      </c>
      <c r="AF11" s="189">
        <v>0</v>
      </c>
      <c r="AG11" s="189">
        <v>1722398.91</v>
      </c>
      <c r="AH11" s="189">
        <v>0</v>
      </c>
      <c r="AI11" s="189">
        <v>0</v>
      </c>
      <c r="AJ11" s="189">
        <v>0</v>
      </c>
      <c r="AK11" s="189">
        <v>4103784.15</v>
      </c>
      <c r="AL11" s="189">
        <v>3086928.72</v>
      </c>
      <c r="AM11" s="189">
        <v>-603864.48</v>
      </c>
      <c r="AN11" s="189">
        <v>962227.76</v>
      </c>
      <c r="AO11" s="189">
        <v>100730.65</v>
      </c>
      <c r="AP11" s="189">
        <v>0</v>
      </c>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row>
    <row r="12" spans="1:89" s="7" customFormat="1" x14ac:dyDescent="0.25">
      <c r="A12" s="21" t="s">
        <v>392</v>
      </c>
      <c r="B12" s="29">
        <f>B55</f>
        <v>463</v>
      </c>
      <c r="C12" s="29">
        <f t="shared" ref="C12:BN12" si="5">C55</f>
        <v>603</v>
      </c>
      <c r="D12" s="29">
        <f t="shared" si="5"/>
        <v>653</v>
      </c>
      <c r="E12" s="29">
        <f t="shared" si="5"/>
        <v>4561131.75</v>
      </c>
      <c r="F12" s="29">
        <f t="shared" si="5"/>
        <v>1204</v>
      </c>
      <c r="G12" s="29">
        <f t="shared" si="5"/>
        <v>868</v>
      </c>
      <c r="H12" s="29">
        <f t="shared" si="5"/>
        <v>644</v>
      </c>
      <c r="I12" s="29">
        <f t="shared" si="5"/>
        <v>76529050.200000003</v>
      </c>
      <c r="J12" s="29">
        <f t="shared" si="5"/>
        <v>0</v>
      </c>
      <c r="K12" s="29">
        <f t="shared" si="5"/>
        <v>0</v>
      </c>
      <c r="L12" s="29">
        <f t="shared" si="5"/>
        <v>0</v>
      </c>
      <c r="M12" s="29">
        <f t="shared" si="5"/>
        <v>6189586.4500000002</v>
      </c>
      <c r="N12" s="29">
        <f t="shared" si="5"/>
        <v>0</v>
      </c>
      <c r="O12" s="29">
        <f t="shared" si="5"/>
        <v>0</v>
      </c>
      <c r="P12" s="29">
        <f t="shared" si="5"/>
        <v>0</v>
      </c>
      <c r="Q12" s="29">
        <f t="shared" si="5"/>
        <v>2188017.14</v>
      </c>
      <c r="R12" s="29">
        <f t="shared" si="5"/>
        <v>0</v>
      </c>
      <c r="S12" s="29">
        <f t="shared" si="5"/>
        <v>0</v>
      </c>
      <c r="T12" s="29">
        <f t="shared" si="5"/>
        <v>0</v>
      </c>
      <c r="U12" s="29">
        <f t="shared" si="5"/>
        <v>3939500.43</v>
      </c>
      <c r="V12" s="29">
        <f t="shared" si="5"/>
        <v>0</v>
      </c>
      <c r="W12" s="29">
        <f t="shared" si="5"/>
        <v>0</v>
      </c>
      <c r="X12" s="29">
        <f t="shared" si="5"/>
        <v>0</v>
      </c>
      <c r="Y12" s="29">
        <f t="shared" si="5"/>
        <v>2078562.2</v>
      </c>
      <c r="Z12" s="29">
        <f t="shared" si="5"/>
        <v>0</v>
      </c>
      <c r="AA12" s="29">
        <f t="shared" si="5"/>
        <v>0</v>
      </c>
      <c r="AB12" s="29">
        <f t="shared" si="5"/>
        <v>0</v>
      </c>
      <c r="AC12" s="29">
        <f t="shared" si="5"/>
        <v>195401.39</v>
      </c>
      <c r="AD12" s="29">
        <f t="shared" si="5"/>
        <v>0</v>
      </c>
      <c r="AE12" s="29">
        <f t="shared" si="5"/>
        <v>0</v>
      </c>
      <c r="AF12" s="29">
        <f t="shared" si="5"/>
        <v>0</v>
      </c>
      <c r="AG12" s="29">
        <f t="shared" si="5"/>
        <v>23224.41</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26093279.710000001</v>
      </c>
      <c r="C13" s="189">
        <v>15787023.390000001</v>
      </c>
      <c r="D13" s="189">
        <v>70291.899999999994</v>
      </c>
      <c r="E13" s="189">
        <v>18062969.489999998</v>
      </c>
      <c r="F13" s="189">
        <v>3741492.32</v>
      </c>
      <c r="G13" s="189">
        <v>548060.43000000005</v>
      </c>
      <c r="H13" s="189">
        <v>23824799.300000001</v>
      </c>
      <c r="I13" s="189">
        <v>46601816.719999999</v>
      </c>
      <c r="J13" s="189">
        <v>24612814.719999999</v>
      </c>
      <c r="K13" s="189">
        <v>17973441.379999999</v>
      </c>
      <c r="L13" s="189">
        <v>102963.92</v>
      </c>
      <c r="M13" s="189">
        <v>44987912.960000001</v>
      </c>
      <c r="N13" s="189">
        <v>34641709.789999999</v>
      </c>
      <c r="O13" s="189">
        <v>50635.8</v>
      </c>
      <c r="P13" s="189">
        <v>276.56</v>
      </c>
      <c r="Q13" s="189">
        <v>27556349.09</v>
      </c>
      <c r="R13" s="189">
        <v>13511172.300000001</v>
      </c>
      <c r="S13" s="189">
        <v>13364106.699999999</v>
      </c>
      <c r="T13" s="189">
        <v>0</v>
      </c>
      <c r="U13" s="189">
        <v>10694405.720000001</v>
      </c>
      <c r="V13" s="189">
        <v>9483070</v>
      </c>
      <c r="W13" s="189">
        <v>2558700</v>
      </c>
      <c r="X13" s="189">
        <v>158700</v>
      </c>
      <c r="Y13" s="189">
        <v>31100500</v>
      </c>
      <c r="Z13" s="189">
        <v>23032800</v>
      </c>
      <c r="AA13" s="189">
        <v>6814800</v>
      </c>
      <c r="AB13" s="189">
        <v>4111800</v>
      </c>
      <c r="AC13" s="189">
        <v>2887700</v>
      </c>
      <c r="AD13" s="189">
        <v>2537700</v>
      </c>
      <c r="AE13" s="189">
        <v>0</v>
      </c>
      <c r="AF13" s="189">
        <v>0</v>
      </c>
      <c r="AG13" s="189">
        <v>2000000</v>
      </c>
      <c r="AH13" s="189">
        <v>0</v>
      </c>
      <c r="AI13" s="189">
        <v>0</v>
      </c>
      <c r="AJ13" s="189">
        <v>0</v>
      </c>
      <c r="AK13" s="189">
        <v>343823.63</v>
      </c>
      <c r="AL13" s="189">
        <v>343023.24</v>
      </c>
      <c r="AM13" s="189">
        <v>0</v>
      </c>
      <c r="AN13" s="189">
        <v>0.77</v>
      </c>
      <c r="AO13" s="189">
        <v>216</v>
      </c>
      <c r="AP13" s="189">
        <v>0</v>
      </c>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row>
    <row r="14" spans="1:89" x14ac:dyDescent="0.25">
      <c r="A14" s="17" t="s">
        <v>394</v>
      </c>
      <c r="B14" s="189">
        <v>534302.59</v>
      </c>
      <c r="C14" s="189">
        <v>271300.95</v>
      </c>
      <c r="D14" s="189">
        <v>200000.78</v>
      </c>
      <c r="E14" s="189">
        <v>71345250.060000002</v>
      </c>
      <c r="F14" s="189">
        <v>1867193.02</v>
      </c>
      <c r="G14" s="189">
        <v>1748261.95</v>
      </c>
      <c r="H14" s="189">
        <v>783312.27</v>
      </c>
      <c r="I14" s="189">
        <v>37811076.509999998</v>
      </c>
      <c r="J14" s="189">
        <v>865733.48</v>
      </c>
      <c r="K14" s="189">
        <v>303832.65000000002</v>
      </c>
      <c r="L14" s="189">
        <v>136303</v>
      </c>
      <c r="M14" s="189">
        <v>40241523.840000004</v>
      </c>
      <c r="N14" s="189">
        <v>566441.5</v>
      </c>
      <c r="O14" s="189">
        <v>3624.98</v>
      </c>
      <c r="P14" s="189">
        <v>3624.98</v>
      </c>
      <c r="Q14" s="189">
        <v>2523697.61</v>
      </c>
      <c r="R14" s="189">
        <v>483458.66</v>
      </c>
      <c r="S14" s="189">
        <v>361293</v>
      </c>
      <c r="T14" s="189">
        <v>0</v>
      </c>
      <c r="U14" s="189">
        <v>1001167.33</v>
      </c>
      <c r="V14" s="189">
        <v>1000000</v>
      </c>
      <c r="W14" s="189">
        <v>1000000</v>
      </c>
      <c r="X14" s="189">
        <v>0</v>
      </c>
      <c r="Y14" s="189">
        <v>500000</v>
      </c>
      <c r="Z14" s="189">
        <v>0</v>
      </c>
      <c r="AA14" s="189">
        <v>0</v>
      </c>
      <c r="AB14" s="189">
        <v>0.09</v>
      </c>
      <c r="AC14" s="189">
        <v>5000</v>
      </c>
      <c r="AD14" s="189">
        <v>0</v>
      </c>
      <c r="AE14" s="189">
        <v>0</v>
      </c>
      <c r="AF14" s="189">
        <v>0</v>
      </c>
      <c r="AG14" s="189">
        <v>89481.25</v>
      </c>
      <c r="AH14" s="189">
        <v>50000</v>
      </c>
      <c r="AI14" s="189">
        <v>50000</v>
      </c>
      <c r="AJ14" s="189">
        <v>0</v>
      </c>
      <c r="AK14" s="189">
        <v>65356.9</v>
      </c>
      <c r="AL14" s="189">
        <v>65356.9</v>
      </c>
      <c r="AM14" s="189">
        <v>65356.9</v>
      </c>
      <c r="AN14" s="189">
        <v>10000</v>
      </c>
      <c r="AO14" s="189">
        <v>237222.3</v>
      </c>
      <c r="AP14" s="189">
        <v>0</v>
      </c>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c r="BO14" s="189"/>
      <c r="BP14" s="189"/>
      <c r="BQ14" s="189"/>
      <c r="BR14" s="189"/>
      <c r="BS14" s="189"/>
      <c r="BT14" s="189"/>
      <c r="BU14" s="189"/>
      <c r="BV14" s="189"/>
      <c r="BW14" s="189"/>
      <c r="BX14" s="189"/>
      <c r="BY14" s="189"/>
      <c r="BZ14" s="189"/>
      <c r="CA14" s="189"/>
      <c r="CB14" s="189"/>
      <c r="CC14" s="189"/>
      <c r="CD14" s="189"/>
      <c r="CE14" s="189"/>
      <c r="CF14" s="189"/>
      <c r="CG14" s="189"/>
      <c r="CH14" s="189"/>
      <c r="CI14" s="189"/>
      <c r="CJ14" s="189"/>
      <c r="CK14" s="189"/>
    </row>
    <row r="15" spans="1:89" s="2" customFormat="1" x14ac:dyDescent="0.25">
      <c r="A15" s="20" t="s">
        <v>397</v>
      </c>
      <c r="B15" s="28">
        <f>B6-(B8+B9+B10+B11+B12)+B13-B14</f>
        <v>-1288054481.6099999</v>
      </c>
      <c r="C15" s="28">
        <f t="shared" ref="C15:BN15" si="7">C6-(C8+C9+C10+C11+C12)+C13-C14</f>
        <v>-1009771237.13</v>
      </c>
      <c r="D15" s="28">
        <f t="shared" si="7"/>
        <v>-286233013.32999998</v>
      </c>
      <c r="E15" s="28">
        <f t="shared" si="7"/>
        <v>-16757938382.75</v>
      </c>
      <c r="F15" s="28">
        <f t="shared" si="7"/>
        <v>-2618532258.3799996</v>
      </c>
      <c r="G15" s="28">
        <f t="shared" si="7"/>
        <v>-1148393701.2799997</v>
      </c>
      <c r="H15" s="28">
        <f t="shared" si="7"/>
        <v>363972085.55000019</v>
      </c>
      <c r="I15" s="28">
        <f t="shared" si="7"/>
        <v>187292647.74000117</v>
      </c>
      <c r="J15" s="28">
        <f t="shared" si="7"/>
        <v>416321486.47999978</v>
      </c>
      <c r="K15" s="28">
        <f t="shared" si="7"/>
        <v>289430417.09000087</v>
      </c>
      <c r="L15" s="28">
        <f t="shared" si="7"/>
        <v>210229642.16999981</v>
      </c>
      <c r="M15" s="28">
        <f t="shared" si="7"/>
        <v>338209797.12000048</v>
      </c>
      <c r="N15" s="28">
        <f t="shared" si="7"/>
        <v>139373947.47999945</v>
      </c>
      <c r="O15" s="28">
        <f t="shared" si="7"/>
        <v>62658454.760000415</v>
      </c>
      <c r="P15" s="28">
        <f t="shared" si="7"/>
        <v>37761483.829999946</v>
      </c>
      <c r="Q15" s="28">
        <f t="shared" si="7"/>
        <v>238621545.04000005</v>
      </c>
      <c r="R15" s="28">
        <f t="shared" si="7"/>
        <v>158381133.32999972</v>
      </c>
      <c r="S15" s="28">
        <f t="shared" si="7"/>
        <v>148596143.23999983</v>
      </c>
      <c r="T15" s="28">
        <f t="shared" si="7"/>
        <v>84428199.389999986</v>
      </c>
      <c r="U15" s="28">
        <f t="shared" si="7"/>
        <v>360114541.49000013</v>
      </c>
      <c r="V15" s="28">
        <f t="shared" si="7"/>
        <v>273039667.60000014</v>
      </c>
      <c r="W15" s="28">
        <f t="shared" si="7"/>
        <v>186035486.03000003</v>
      </c>
      <c r="X15" s="28">
        <f t="shared" si="7"/>
        <v>104986016.16</v>
      </c>
      <c r="Y15" s="28">
        <f t="shared" si="7"/>
        <v>268173574.20000005</v>
      </c>
      <c r="Z15" s="28">
        <f t="shared" si="7"/>
        <v>177124791.80000004</v>
      </c>
      <c r="AA15" s="28">
        <f t="shared" si="7"/>
        <v>120247770.29999994</v>
      </c>
      <c r="AB15" s="28">
        <f t="shared" si="7"/>
        <v>70084496.850000024</v>
      </c>
      <c r="AC15" s="28">
        <f t="shared" si="7"/>
        <v>165439131.96999997</v>
      </c>
      <c r="AD15" s="28">
        <f t="shared" si="7"/>
        <v>114827416.30000001</v>
      </c>
      <c r="AE15" s="28">
        <f t="shared" si="7"/>
        <v>74036574.639999986</v>
      </c>
      <c r="AF15" s="28">
        <f t="shared" si="7"/>
        <v>35344389.219999991</v>
      </c>
      <c r="AG15" s="28">
        <f t="shared" si="7"/>
        <v>78526375.020000011</v>
      </c>
      <c r="AH15" s="28">
        <f t="shared" si="7"/>
        <v>57853805.590000018</v>
      </c>
      <c r="AI15" s="28">
        <f t="shared" si="7"/>
        <v>34803061.780000009</v>
      </c>
      <c r="AJ15" s="28">
        <f t="shared" si="7"/>
        <v>16729157.41</v>
      </c>
      <c r="AK15" s="28">
        <f t="shared" si="7"/>
        <v>48212127.290000007</v>
      </c>
      <c r="AL15" s="28">
        <f t="shared" si="7"/>
        <v>33494292.079999998</v>
      </c>
      <c r="AM15" s="28">
        <f t="shared" si="7"/>
        <v>19683991.180000003</v>
      </c>
      <c r="AN15" s="28">
        <f t="shared" si="7"/>
        <v>30848690.629999988</v>
      </c>
      <c r="AO15" s="28">
        <f t="shared" si="7"/>
        <v>14815869.059999999</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11588141.535011506</v>
      </c>
      <c r="C16" s="26">
        <f t="shared" ref="C16:BN16" si="9">C15*C41</f>
        <v>10513038.690408202</v>
      </c>
      <c r="D16" s="26">
        <f t="shared" si="9"/>
        <v>388903.07377932157</v>
      </c>
      <c r="E16" s="26">
        <f t="shared" si="9"/>
        <v>685236297.68820941</v>
      </c>
      <c r="F16" s="26">
        <f t="shared" si="9"/>
        <v>-504132507.07091409</v>
      </c>
      <c r="G16" s="26">
        <f t="shared" si="9"/>
        <v>-256202511.73717344</v>
      </c>
      <c r="H16" s="26">
        <f t="shared" si="9"/>
        <v>380499226.83263254</v>
      </c>
      <c r="I16" s="26">
        <f t="shared" si="9"/>
        <v>46551802.477899492</v>
      </c>
      <c r="J16" s="26">
        <f t="shared" si="9"/>
        <v>-1045388789.3070196</v>
      </c>
      <c r="K16" s="26">
        <f t="shared" si="9"/>
        <v>-249774655.40140951</v>
      </c>
      <c r="L16" s="26">
        <f t="shared" si="9"/>
        <v>80212629.769634172</v>
      </c>
      <c r="M16" s="26">
        <f t="shared" si="9"/>
        <v>-643990104.86999333</v>
      </c>
      <c r="N16" s="26">
        <f t="shared" si="9"/>
        <v>-83466197.658544883</v>
      </c>
      <c r="O16" s="26">
        <f t="shared" si="9"/>
        <v>-31390026.94300497</v>
      </c>
      <c r="P16" s="26">
        <f t="shared" si="9"/>
        <v>3869078.7932992503</v>
      </c>
      <c r="Q16" s="26">
        <f t="shared" si="9"/>
        <v>-190699600.51819199</v>
      </c>
      <c r="R16" s="26">
        <f t="shared" si="9"/>
        <v>-275419080.79459053</v>
      </c>
      <c r="S16" s="26">
        <f t="shared" si="9"/>
        <v>-1742255.3615535493</v>
      </c>
      <c r="T16" s="26">
        <f t="shared" si="9"/>
        <v>3425909.4711711155</v>
      </c>
      <c r="U16" s="26">
        <f t="shared" si="9"/>
        <v>20812371.503095929</v>
      </c>
      <c r="V16" s="26">
        <f t="shared" si="9"/>
        <v>24837335.547665607</v>
      </c>
      <c r="W16" s="26">
        <f t="shared" si="9"/>
        <v>28840483.861127399</v>
      </c>
      <c r="X16" s="26">
        <f t="shared" si="9"/>
        <v>15427291.695769103</v>
      </c>
      <c r="Y16" s="26">
        <f t="shared" si="9"/>
        <v>45143787.808491185</v>
      </c>
      <c r="Z16" s="26">
        <f t="shared" si="9"/>
        <v>27799563.211730111</v>
      </c>
      <c r="AA16" s="26">
        <f t="shared" si="9"/>
        <v>20307232.447303269</v>
      </c>
      <c r="AB16" s="26">
        <f t="shared" si="9"/>
        <v>13204754.776278162</v>
      </c>
      <c r="AC16" s="26">
        <f t="shared" si="9"/>
        <v>33734754.13890136</v>
      </c>
      <c r="AD16" s="26">
        <f t="shared" si="9"/>
        <v>25113669.164870497</v>
      </c>
      <c r="AE16" s="26">
        <f t="shared" si="9"/>
        <v>13313879.012224972</v>
      </c>
      <c r="AF16" s="26">
        <f t="shared" si="9"/>
        <v>5734065.8155122818</v>
      </c>
      <c r="AG16" s="26">
        <f t="shared" si="9"/>
        <v>4972887.4083667481</v>
      </c>
      <c r="AH16" s="26">
        <f t="shared" si="9"/>
        <v>3948972.0057335314</v>
      </c>
      <c r="AI16" s="26">
        <f t="shared" si="9"/>
        <v>1573580.1279164099</v>
      </c>
      <c r="AJ16" s="26">
        <f t="shared" si="9"/>
        <v>162586.92655070664</v>
      </c>
      <c r="AK16" s="26">
        <f t="shared" si="9"/>
        <v>3258536.4338215925</v>
      </c>
      <c r="AL16" s="26">
        <f t="shared" si="9"/>
        <v>2903369.1496884623</v>
      </c>
      <c r="AM16" s="26">
        <f t="shared" si="9"/>
        <v>1720558.9499460615</v>
      </c>
      <c r="AN16" s="26">
        <f t="shared" si="9"/>
        <v>1385284.2423167485</v>
      </c>
      <c r="AO16" s="26">
        <f t="shared" si="9"/>
        <v>0</v>
      </c>
      <c r="AP16" s="26" t="e">
        <f t="shared" si="9"/>
        <v>#DIV/0!</v>
      </c>
      <c r="AQ16" s="26">
        <f t="shared" si="9"/>
        <v>0</v>
      </c>
      <c r="AR16" s="26">
        <f t="shared" si="9"/>
        <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-1299642623.1450114</v>
      </c>
      <c r="C17" s="27">
        <f t="shared" ref="C17:BN17" si="11">C15-C16</f>
        <v>-1020284275.8204082</v>
      </c>
      <c r="D17" s="27">
        <f t="shared" si="11"/>
        <v>-286621916.40377933</v>
      </c>
      <c r="E17" s="27">
        <f t="shared" si="11"/>
        <v>-17443174680.43821</v>
      </c>
      <c r="F17" s="27">
        <f t="shared" si="11"/>
        <v>-2114399751.3090856</v>
      </c>
      <c r="G17" s="27">
        <f t="shared" si="11"/>
        <v>-892191189.54282629</v>
      </c>
      <c r="H17" s="27">
        <f t="shared" si="11"/>
        <v>-16527141.282632351</v>
      </c>
      <c r="I17" s="27">
        <f t="shared" si="11"/>
        <v>140740845.26210168</v>
      </c>
      <c r="J17" s="27">
        <f t="shared" si="11"/>
        <v>1461710275.7870193</v>
      </c>
      <c r="K17" s="27">
        <f t="shared" si="11"/>
        <v>539205072.49141037</v>
      </c>
      <c r="L17" s="27">
        <f t="shared" si="11"/>
        <v>130017012.40036564</v>
      </c>
      <c r="M17" s="27">
        <f t="shared" si="11"/>
        <v>982199901.98999381</v>
      </c>
      <c r="N17" s="27">
        <f t="shared" si="11"/>
        <v>222840145.13854432</v>
      </c>
      <c r="O17" s="27">
        <f t="shared" si="11"/>
        <v>94048481.703005388</v>
      </c>
      <c r="P17" s="27">
        <f t="shared" si="11"/>
        <v>33892405.036700696</v>
      </c>
      <c r="Q17" s="27">
        <f t="shared" si="11"/>
        <v>429321145.55819201</v>
      </c>
      <c r="R17" s="27">
        <f t="shared" si="11"/>
        <v>433800214.12459028</v>
      </c>
      <c r="S17" s="27">
        <f t="shared" si="11"/>
        <v>150338398.60155338</v>
      </c>
      <c r="T17" s="27">
        <f t="shared" si="11"/>
        <v>81002289.918828875</v>
      </c>
      <c r="U17" s="27">
        <f t="shared" si="11"/>
        <v>339302169.9869042</v>
      </c>
      <c r="V17" s="27">
        <f t="shared" si="11"/>
        <v>248202332.05233455</v>
      </c>
      <c r="W17" s="27">
        <f t="shared" si="11"/>
        <v>157195002.16887262</v>
      </c>
      <c r="X17" s="27">
        <f t="shared" si="11"/>
        <v>89558724.464230895</v>
      </c>
      <c r="Y17" s="27">
        <f t="shared" si="11"/>
        <v>223029786.39150888</v>
      </c>
      <c r="Z17" s="27">
        <f t="shared" si="11"/>
        <v>149325228.58826992</v>
      </c>
      <c r="AA17" s="27">
        <f t="shared" si="11"/>
        <v>99940537.852696672</v>
      </c>
      <c r="AB17" s="27">
        <f t="shared" si="11"/>
        <v>56879742.073721863</v>
      </c>
      <c r="AC17" s="27">
        <f t="shared" si="11"/>
        <v>131704377.83109862</v>
      </c>
      <c r="AD17" s="27">
        <f t="shared" si="11"/>
        <v>89713747.135129511</v>
      </c>
      <c r="AE17" s="27">
        <f t="shared" si="11"/>
        <v>60722695.627775013</v>
      </c>
      <c r="AF17" s="27">
        <f t="shared" si="11"/>
        <v>29610323.40448771</v>
      </c>
      <c r="AG17" s="27">
        <f t="shared" si="11"/>
        <v>73553487.611633256</v>
      </c>
      <c r="AH17" s="27">
        <f t="shared" si="11"/>
        <v>53904833.584266484</v>
      </c>
      <c r="AI17" s="27">
        <f t="shared" si="11"/>
        <v>33229481.652083598</v>
      </c>
      <c r="AJ17" s="27">
        <f t="shared" si="11"/>
        <v>16566570.483449293</v>
      </c>
      <c r="AK17" s="27">
        <f t="shared" si="11"/>
        <v>44953590.856178418</v>
      </c>
      <c r="AL17" s="27">
        <f t="shared" si="11"/>
        <v>30590922.930311535</v>
      </c>
      <c r="AM17" s="27">
        <f t="shared" si="11"/>
        <v>17963432.230053943</v>
      </c>
      <c r="AN17" s="27">
        <f t="shared" si="11"/>
        <v>29463406.387683239</v>
      </c>
      <c r="AO17" s="27">
        <f t="shared" si="11"/>
        <v>14815869.059999999</v>
      </c>
      <c r="AP17" s="27" t="e">
        <f t="shared" si="11"/>
        <v>#DIV/0!</v>
      </c>
      <c r="AQ17" s="27">
        <f t="shared" si="11"/>
        <v>0</v>
      </c>
      <c r="AR17" s="27">
        <f t="shared" si="11"/>
        <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-96.418663819599672</v>
      </c>
      <c r="C18" s="57">
        <f t="shared" ref="C18:D18" si="13">C17/C4*100</f>
        <v>-103.71113940214649</v>
      </c>
      <c r="D18" s="57">
        <f t="shared" si="13"/>
        <v>-66.882851615590596</v>
      </c>
      <c r="E18" s="57">
        <f>E17/E4</f>
        <v>-2.4829379155763567</v>
      </c>
      <c r="F18" s="57">
        <f t="shared" ref="F18:BQ18" si="14">F17/F4</f>
        <v>-0.34692763511796082</v>
      </c>
      <c r="G18" s="57">
        <f t="shared" si="14"/>
        <v>-0.16101957349286042</v>
      </c>
      <c r="H18" s="57">
        <f t="shared" si="14"/>
        <v>-4.0148840030825514E-3</v>
      </c>
      <c r="I18" s="57">
        <f t="shared" si="14"/>
        <v>6.411605703567462E-3</v>
      </c>
      <c r="J18" s="57">
        <f t="shared" si="14"/>
        <v>8.7142311056415775E-2</v>
      </c>
      <c r="K18" s="57">
        <f t="shared" si="14"/>
        <v>5.3582197571719961E-2</v>
      </c>
      <c r="L18" s="57">
        <f t="shared" si="14"/>
        <v>2.8054088066636656E-2</v>
      </c>
      <c r="M18" s="57">
        <f t="shared" si="14"/>
        <v>7.5456759870420609E-2</v>
      </c>
      <c r="N18" s="57">
        <f t="shared" si="14"/>
        <v>2.6607860018241253E-2</v>
      </c>
      <c r="O18" s="57">
        <f t="shared" si="14"/>
        <v>2.1083732865141896E-2</v>
      </c>
      <c r="P18" s="57">
        <f t="shared" si="14"/>
        <v>1.5886138850795897E-2</v>
      </c>
      <c r="Q18" s="57">
        <f t="shared" si="14"/>
        <v>6.2960112905129359E-2</v>
      </c>
      <c r="R18" s="57">
        <f t="shared" si="14"/>
        <v>9.1419781209595041E-2</v>
      </c>
      <c r="S18" s="57">
        <f t="shared" si="14"/>
        <v>5.1156357629181193E-2</v>
      </c>
      <c r="T18" s="57">
        <f t="shared" si="14"/>
        <v>7.8876742512540177E-2</v>
      </c>
      <c r="U18" s="57">
        <f t="shared" si="14"/>
        <v>0.14369631641838554</v>
      </c>
      <c r="V18" s="57">
        <f t="shared" si="14"/>
        <v>0.18179688062942917</v>
      </c>
      <c r="W18" s="57">
        <f t="shared" si="14"/>
        <v>0.20905808311740637</v>
      </c>
      <c r="X18" s="57">
        <f t="shared" si="14"/>
        <v>0.2619546269766958</v>
      </c>
      <c r="Y18" s="57">
        <f t="shared" si="14"/>
        <v>0.1910634977419586</v>
      </c>
      <c r="Z18" s="57">
        <f t="shared" si="14"/>
        <v>0.18018448679594923</v>
      </c>
      <c r="AA18" s="57">
        <f t="shared" si="14"/>
        <v>0.18073238689459742</v>
      </c>
      <c r="AB18" s="57">
        <f t="shared" si="14"/>
        <v>0.20622914051662669</v>
      </c>
      <c r="AC18" s="57">
        <f t="shared" si="14"/>
        <v>0.22003689353559744</v>
      </c>
      <c r="AD18" s="57">
        <f t="shared" si="14"/>
        <v>0.25207885580127354</v>
      </c>
      <c r="AE18" s="57">
        <f t="shared" si="14"/>
        <v>0.2721729028567122</v>
      </c>
      <c r="AF18" s="57">
        <f t="shared" si="14"/>
        <v>0.28267075112977408</v>
      </c>
      <c r="AG18" s="57">
        <f t="shared" si="14"/>
        <v>0.30871339670969744</v>
      </c>
      <c r="AH18" s="57">
        <f t="shared" si="14"/>
        <v>0.3114929343971109</v>
      </c>
      <c r="AI18" s="57">
        <f t="shared" si="14"/>
        <v>0.32586435423368038</v>
      </c>
      <c r="AJ18" s="57">
        <f t="shared" si="14"/>
        <v>0.3668943254770104</v>
      </c>
      <c r="AK18" s="57">
        <f t="shared" si="14"/>
        <v>0.3084687727268064</v>
      </c>
      <c r="AL18" s="57">
        <f t="shared" si="14"/>
        <v>0.29513396113268253</v>
      </c>
      <c r="AM18" s="57">
        <f t="shared" si="14"/>
        <v>0.30042912068785516</v>
      </c>
      <c r="AN18" s="57">
        <f t="shared" si="14"/>
        <v>0.40027929503946008</v>
      </c>
      <c r="AO18" s="57">
        <f t="shared" si="14"/>
        <v>0.40133672760441569</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72593128.640000001</v>
      </c>
      <c r="C20" s="189">
        <v>70115418.170000002</v>
      </c>
      <c r="D20" s="189">
        <v>0</v>
      </c>
      <c r="E20" s="189">
        <v>135941516.66999999</v>
      </c>
      <c r="F20" s="189">
        <v>86100130.670000002</v>
      </c>
      <c r="G20" s="189">
        <v>26343565.530000001</v>
      </c>
      <c r="H20" s="189">
        <v>14093627.93</v>
      </c>
      <c r="I20" s="189">
        <v>35828908.5</v>
      </c>
      <c r="J20" s="189">
        <v>26124141.59</v>
      </c>
      <c r="K20" s="189">
        <v>15074133.289999999</v>
      </c>
      <c r="L20" s="189">
        <v>-20.79</v>
      </c>
      <c r="M20" s="189">
        <v>45254.04</v>
      </c>
      <c r="N20" s="189">
        <v>0</v>
      </c>
      <c r="O20" s="189">
        <v>0</v>
      </c>
      <c r="P20" s="189">
        <v>0</v>
      </c>
      <c r="Q20" s="189">
        <v>-318733.87</v>
      </c>
      <c r="R20" s="189">
        <v>-80695.41</v>
      </c>
      <c r="S20" s="189">
        <v>-80695.41</v>
      </c>
      <c r="T20" s="189">
        <v>-29100.32</v>
      </c>
      <c r="U20" s="189">
        <v>-90791.38</v>
      </c>
      <c r="V20" s="189">
        <v>-671136.43</v>
      </c>
      <c r="W20" s="189">
        <v>-671136.43</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c r="AR20" s="189"/>
      <c r="AS20" s="189"/>
      <c r="AT20" s="189"/>
      <c r="AU20" s="189"/>
      <c r="AV20" s="189"/>
      <c r="AW20" s="189"/>
      <c r="AX20" s="189"/>
      <c r="AY20" s="189"/>
      <c r="AZ20" s="189"/>
      <c r="BA20" s="189"/>
      <c r="BB20" s="189"/>
      <c r="BC20" s="189"/>
      <c r="BD20" s="189"/>
      <c r="BE20" s="189"/>
      <c r="BF20" s="189"/>
      <c r="BG20" s="189"/>
      <c r="BH20" s="189"/>
      <c r="BI20" s="189"/>
      <c r="BJ20" s="189"/>
      <c r="BK20" s="189"/>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400</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c r="AR22" s="189"/>
      <c r="AS22" s="189"/>
      <c r="AT22" s="189"/>
      <c r="AU22" s="189"/>
      <c r="AV22" s="189"/>
      <c r="AW22" s="189"/>
      <c r="AX22" s="189"/>
      <c r="AY22" s="189"/>
      <c r="AZ22" s="189"/>
      <c r="BA22" s="189"/>
      <c r="BB22" s="189"/>
      <c r="BC22" s="189"/>
      <c r="BD22" s="189"/>
      <c r="BE22" s="189"/>
      <c r="BF22" s="189"/>
      <c r="BG22" s="189"/>
      <c r="BH22" s="189"/>
      <c r="BI22" s="189"/>
      <c r="BJ22" s="189"/>
      <c r="BK22" s="189"/>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row>
    <row r="23" spans="1:89" s="7" customFormat="1" x14ac:dyDescent="0.25">
      <c r="A23" s="21" t="s">
        <v>401</v>
      </c>
      <c r="B23" s="29">
        <f>-B52</f>
        <v>25636</v>
      </c>
      <c r="C23" s="29">
        <f t="shared" ref="C23:BN23" si="16">-C52</f>
        <v>27718</v>
      </c>
      <c r="D23" s="29">
        <f t="shared" si="16"/>
        <v>35317</v>
      </c>
      <c r="E23" s="29">
        <f t="shared" si="16"/>
        <v>15246305.27</v>
      </c>
      <c r="F23" s="29">
        <f t="shared" si="16"/>
        <v>34414</v>
      </c>
      <c r="G23" s="29">
        <f t="shared" si="16"/>
        <v>23309</v>
      </c>
      <c r="H23" s="29">
        <f t="shared" si="16"/>
        <v>16814</v>
      </c>
      <c r="I23" s="29">
        <f t="shared" si="16"/>
        <v>11231600.859999999</v>
      </c>
      <c r="J23" s="29">
        <f t="shared" si="16"/>
        <v>0</v>
      </c>
      <c r="K23" s="29">
        <f t="shared" si="16"/>
        <v>0</v>
      </c>
      <c r="L23" s="29">
        <f t="shared" si="16"/>
        <v>0</v>
      </c>
      <c r="M23" s="29">
        <f t="shared" si="16"/>
        <v>6185426.25</v>
      </c>
      <c r="N23" s="29">
        <f t="shared" si="16"/>
        <v>0</v>
      </c>
      <c r="O23" s="29">
        <f t="shared" si="16"/>
        <v>0</v>
      </c>
      <c r="P23" s="29">
        <f t="shared" si="16"/>
        <v>0</v>
      </c>
      <c r="Q23" s="29">
        <f t="shared" si="16"/>
        <v>3514224.9</v>
      </c>
      <c r="R23" s="29">
        <f t="shared" si="16"/>
        <v>0</v>
      </c>
      <c r="S23" s="29">
        <f t="shared" si="16"/>
        <v>0</v>
      </c>
      <c r="T23" s="29">
        <f t="shared" si="16"/>
        <v>0</v>
      </c>
      <c r="U23" s="29">
        <f t="shared" si="16"/>
        <v>1259079.8799999999</v>
      </c>
      <c r="V23" s="29">
        <f t="shared" si="16"/>
        <v>0</v>
      </c>
      <c r="W23" s="29">
        <f t="shared" si="16"/>
        <v>0</v>
      </c>
      <c r="X23" s="29">
        <f t="shared" si="16"/>
        <v>0</v>
      </c>
      <c r="Y23" s="29">
        <f t="shared" si="16"/>
        <v>18192702.02</v>
      </c>
      <c r="Z23" s="29">
        <f t="shared" si="16"/>
        <v>0</v>
      </c>
      <c r="AA23" s="29">
        <f t="shared" si="16"/>
        <v>0</v>
      </c>
      <c r="AB23" s="29">
        <f t="shared" si="16"/>
        <v>0</v>
      </c>
      <c r="AC23" s="29">
        <f t="shared" si="16"/>
        <v>11907410.390000001</v>
      </c>
      <c r="AD23" s="29">
        <f t="shared" si="16"/>
        <v>0</v>
      </c>
      <c r="AE23" s="29">
        <f t="shared" si="16"/>
        <v>0</v>
      </c>
      <c r="AF23" s="29">
        <f t="shared" si="16"/>
        <v>0</v>
      </c>
      <c r="AG23" s="29">
        <f t="shared" si="16"/>
        <v>899701.06</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10626933.540000007</v>
      </c>
      <c r="C24" s="26">
        <f t="shared" ref="C24:BN24" si="18">C67</f>
        <v>3851875</v>
      </c>
      <c r="D24" s="26">
        <f t="shared" si="18"/>
        <v>0</v>
      </c>
      <c r="E24" s="26">
        <f>E67</f>
        <v>37705195.150000006</v>
      </c>
      <c r="F24" s="26">
        <f t="shared" si="18"/>
        <v>232760792.50999999</v>
      </c>
      <c r="G24" s="26">
        <f t="shared" si="18"/>
        <v>232760792.50999999</v>
      </c>
      <c r="H24" s="26">
        <f t="shared" si="18"/>
        <v>0</v>
      </c>
      <c r="I24" s="26">
        <f t="shared" si="18"/>
        <v>808194.1400000006</v>
      </c>
      <c r="J24" s="26">
        <f t="shared" si="18"/>
        <v>0</v>
      </c>
      <c r="K24" s="26">
        <f t="shared" si="18"/>
        <v>0</v>
      </c>
      <c r="L24" s="26">
        <f t="shared" si="18"/>
        <v>0</v>
      </c>
      <c r="M24" s="26">
        <f t="shared" si="18"/>
        <v>78704183.559999987</v>
      </c>
      <c r="N24" s="26">
        <f t="shared" si="18"/>
        <v>85263558.980000004</v>
      </c>
      <c r="O24" s="26">
        <f t="shared" si="18"/>
        <v>85263558.980000004</v>
      </c>
      <c r="P24" s="26">
        <f t="shared" si="18"/>
        <v>20739306.109999999</v>
      </c>
      <c r="Q24" s="26">
        <f t="shared" si="18"/>
        <v>323772.31</v>
      </c>
      <c r="R24" s="26">
        <f t="shared" si="18"/>
        <v>-631767.72</v>
      </c>
      <c r="S24" s="26">
        <f t="shared" si="18"/>
        <v>-631767.72</v>
      </c>
      <c r="T24" s="26">
        <f t="shared" si="18"/>
        <v>-351120</v>
      </c>
      <c r="U24" s="26">
        <f t="shared" si="18"/>
        <v>-1264347.4300000002</v>
      </c>
      <c r="V24" s="26">
        <f t="shared" si="18"/>
        <v>-673872.68</v>
      </c>
      <c r="W24" s="26">
        <f t="shared" si="18"/>
        <v>-673872.68</v>
      </c>
      <c r="X24" s="26">
        <f t="shared" si="18"/>
        <v>0</v>
      </c>
      <c r="Y24" s="26">
        <f t="shared" si="18"/>
        <v>0</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0</v>
      </c>
      <c r="AQ24" s="26">
        <f t="shared" si="18"/>
        <v>-929569.49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-95851030.25</v>
      </c>
      <c r="F25" s="29">
        <f t="shared" si="20"/>
        <v>-2684</v>
      </c>
      <c r="G25" s="29">
        <f t="shared" si="20"/>
        <v>377</v>
      </c>
      <c r="H25" s="29">
        <f t="shared" si="20"/>
        <v>-1008</v>
      </c>
      <c r="I25" s="29">
        <f t="shared" si="20"/>
        <v>-32591293.300000001</v>
      </c>
      <c r="J25" s="29">
        <f t="shared" si="20"/>
        <v>0</v>
      </c>
      <c r="K25" s="29">
        <f t="shared" si="20"/>
        <v>0</v>
      </c>
      <c r="L25" s="29">
        <f t="shared" si="20"/>
        <v>0</v>
      </c>
      <c r="M25" s="29">
        <f t="shared" si="20"/>
        <v>-21450405.559999999</v>
      </c>
      <c r="N25" s="29">
        <f t="shared" si="20"/>
        <v>0</v>
      </c>
      <c r="O25" s="29">
        <f t="shared" si="20"/>
        <v>0</v>
      </c>
      <c r="P25" s="29">
        <f t="shared" si="20"/>
        <v>0</v>
      </c>
      <c r="Q25" s="29">
        <f t="shared" si="20"/>
        <v>-1265573.99</v>
      </c>
      <c r="R25" s="29">
        <f t="shared" si="20"/>
        <v>0</v>
      </c>
      <c r="S25" s="29">
        <f t="shared" si="20"/>
        <v>0</v>
      </c>
      <c r="T25" s="29">
        <f t="shared" si="20"/>
        <v>0</v>
      </c>
      <c r="U25" s="29">
        <f t="shared" si="20"/>
        <v>1230043.23</v>
      </c>
      <c r="V25" s="29">
        <f t="shared" si="20"/>
        <v>0</v>
      </c>
      <c r="W25" s="29">
        <f t="shared" si="20"/>
        <v>0</v>
      </c>
      <c r="X25" s="29">
        <f t="shared" si="20"/>
        <v>0</v>
      </c>
      <c r="Y25" s="29">
        <f t="shared" si="20"/>
        <v>178975.77</v>
      </c>
      <c r="Z25" s="29">
        <f t="shared" si="20"/>
        <v>0</v>
      </c>
      <c r="AA25" s="29">
        <f t="shared" si="20"/>
        <v>0</v>
      </c>
      <c r="AB25" s="29">
        <f t="shared" si="20"/>
        <v>0</v>
      </c>
      <c r="AC25" s="29">
        <f t="shared" si="20"/>
        <v>-415431.91</v>
      </c>
      <c r="AD25" s="29">
        <f t="shared" si="20"/>
        <v>0</v>
      </c>
      <c r="AE25" s="29">
        <f t="shared" si="20"/>
        <v>0</v>
      </c>
      <c r="AF25" s="29">
        <f t="shared" si="20"/>
        <v>0</v>
      </c>
      <c r="AG25" s="29">
        <f t="shared" si="20"/>
        <v>-8876.74</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88495907.140000001</v>
      </c>
      <c r="C26" s="189">
        <v>-80204021.849999994</v>
      </c>
      <c r="D26" s="189">
        <v>-89813584.640000001</v>
      </c>
      <c r="E26" s="189">
        <v>-118301794.40000001</v>
      </c>
      <c r="F26" s="189">
        <v>-51802138.450000003</v>
      </c>
      <c r="G26" s="189">
        <v>-22308673.710000001</v>
      </c>
      <c r="H26" s="189">
        <v>-3121865.4</v>
      </c>
      <c r="I26" s="189">
        <v>26934484.449999999</v>
      </c>
      <c r="J26" s="189">
        <v>15453.96</v>
      </c>
      <c r="K26" s="189">
        <v>-6346978.8099999996</v>
      </c>
      <c r="L26" s="189">
        <v>-8058486.3799999999</v>
      </c>
      <c r="M26" s="189">
        <v>28543786.73</v>
      </c>
      <c r="N26" s="189">
        <v>16279182.84</v>
      </c>
      <c r="O26" s="189">
        <v>-1886411.11</v>
      </c>
      <c r="P26" s="189">
        <v>341994.55</v>
      </c>
      <c r="Q26" s="189">
        <v>498719.46</v>
      </c>
      <c r="R26" s="189">
        <v>1644919.9</v>
      </c>
      <c r="S26" s="189">
        <v>1001254.97</v>
      </c>
      <c r="T26" s="189">
        <v>1198452.1299999999</v>
      </c>
      <c r="U26" s="189">
        <v>-1102364.57</v>
      </c>
      <c r="V26" s="189">
        <v>-780487.57</v>
      </c>
      <c r="W26" s="189">
        <v>-556142.05000000005</v>
      </c>
      <c r="X26" s="189">
        <v>107849.03</v>
      </c>
      <c r="Y26" s="189">
        <v>-102998.38</v>
      </c>
      <c r="Z26" s="189">
        <v>0</v>
      </c>
      <c r="AA26" s="189">
        <v>0</v>
      </c>
      <c r="AB26" s="189">
        <v>0</v>
      </c>
      <c r="AC26" s="189">
        <v>0</v>
      </c>
      <c r="AD26" s="189">
        <v>0</v>
      </c>
      <c r="AE26" s="189">
        <v>0</v>
      </c>
      <c r="AF26" s="189">
        <v>0</v>
      </c>
      <c r="AG26" s="189">
        <v>0</v>
      </c>
      <c r="AH26" s="189">
        <v>0</v>
      </c>
      <c r="AI26" s="189">
        <v>0</v>
      </c>
      <c r="AJ26" s="189">
        <v>0</v>
      </c>
      <c r="AK26" s="189">
        <v>0</v>
      </c>
      <c r="AL26" s="189">
        <v>0</v>
      </c>
      <c r="AM26" s="189">
        <v>0</v>
      </c>
      <c r="AN26" s="189">
        <v>0</v>
      </c>
      <c r="AO26" s="189">
        <v>0</v>
      </c>
      <c r="AP26" s="189">
        <v>0</v>
      </c>
      <c r="AQ26" s="189"/>
      <c r="AR26" s="189"/>
      <c r="AS26" s="189"/>
      <c r="AT26" s="189"/>
      <c r="AU26" s="189"/>
      <c r="AV26" s="189"/>
      <c r="AW26" s="189"/>
      <c r="AX26" s="189"/>
      <c r="AY26" s="189"/>
      <c r="AZ26" s="189"/>
      <c r="BA26" s="189"/>
      <c r="BB26" s="189"/>
      <c r="BC26" s="189"/>
      <c r="BD26" s="189"/>
      <c r="BE26" s="189"/>
      <c r="BF26" s="189"/>
      <c r="BG26" s="189"/>
      <c r="BH26" s="189"/>
      <c r="BI26" s="189"/>
      <c r="BJ26" s="189"/>
      <c r="BK26" s="189"/>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row>
    <row r="27" spans="1:89" x14ac:dyDescent="0.25">
      <c r="A27" s="17" t="s">
        <v>405</v>
      </c>
      <c r="B27" s="26">
        <f>SUM(B22:B26)</f>
        <v>99145372.680000007</v>
      </c>
      <c r="C27" s="26">
        <f t="shared" ref="C27:BN27" si="22">SUM(C22:C26)</f>
        <v>-76323004.849999994</v>
      </c>
      <c r="D27" s="26">
        <f t="shared" si="22"/>
        <v>-89777927.640000001</v>
      </c>
      <c r="E27" s="26">
        <f t="shared" si="22"/>
        <v>-161201324.23000002</v>
      </c>
      <c r="F27" s="26">
        <f t="shared" si="22"/>
        <v>180990384.06</v>
      </c>
      <c r="G27" s="26">
        <f t="shared" si="22"/>
        <v>210475804.79999998</v>
      </c>
      <c r="H27" s="26">
        <f t="shared" si="22"/>
        <v>-3106059.4</v>
      </c>
      <c r="I27" s="26">
        <f t="shared" si="22"/>
        <v>6382986.1499999985</v>
      </c>
      <c r="J27" s="26">
        <f t="shared" si="22"/>
        <v>15453.96</v>
      </c>
      <c r="K27" s="26">
        <f t="shared" si="22"/>
        <v>-6346978.8099999996</v>
      </c>
      <c r="L27" s="26">
        <f t="shared" si="22"/>
        <v>-8058486.3799999999</v>
      </c>
      <c r="M27" s="26">
        <f t="shared" si="22"/>
        <v>91982990.979999989</v>
      </c>
      <c r="N27" s="26">
        <f t="shared" si="22"/>
        <v>101542741.82000001</v>
      </c>
      <c r="O27" s="26">
        <f t="shared" si="22"/>
        <v>83377147.870000005</v>
      </c>
      <c r="P27" s="26">
        <f t="shared" si="22"/>
        <v>21081300.66</v>
      </c>
      <c r="Q27" s="26">
        <f t="shared" si="22"/>
        <v>3071142.6799999997</v>
      </c>
      <c r="R27" s="26">
        <f t="shared" si="22"/>
        <v>1013152.1799999999</v>
      </c>
      <c r="S27" s="26">
        <f t="shared" si="22"/>
        <v>369487.25</v>
      </c>
      <c r="T27" s="26">
        <f t="shared" si="22"/>
        <v>847332.12999999989</v>
      </c>
      <c r="U27" s="26">
        <f t="shared" si="22"/>
        <v>122411.10999999964</v>
      </c>
      <c r="V27" s="26">
        <f t="shared" si="22"/>
        <v>-1454360.25</v>
      </c>
      <c r="W27" s="26">
        <f t="shared" si="22"/>
        <v>-1230014.73</v>
      </c>
      <c r="X27" s="26">
        <f t="shared" si="22"/>
        <v>107849.03</v>
      </c>
      <c r="Y27" s="26">
        <f t="shared" si="22"/>
        <v>18268679.41</v>
      </c>
      <c r="Z27" s="26">
        <f t="shared" si="22"/>
        <v>0</v>
      </c>
      <c r="AA27" s="26">
        <f t="shared" si="22"/>
        <v>0</v>
      </c>
      <c r="AB27" s="26">
        <f t="shared" si="22"/>
        <v>0</v>
      </c>
      <c r="AC27" s="26">
        <f t="shared" si="22"/>
        <v>11491978.48</v>
      </c>
      <c r="AD27" s="26">
        <f t="shared" si="22"/>
        <v>0</v>
      </c>
      <c r="AE27" s="26">
        <f t="shared" si="22"/>
        <v>0</v>
      </c>
      <c r="AF27" s="26">
        <f t="shared" si="22"/>
        <v>0</v>
      </c>
      <c r="AG27" s="26">
        <f t="shared" si="22"/>
        <v>890824.32000000007</v>
      </c>
      <c r="AH27" s="26">
        <f t="shared" si="22"/>
        <v>0</v>
      </c>
      <c r="AI27" s="26">
        <f t="shared" si="22"/>
        <v>0</v>
      </c>
      <c r="AJ27" s="26">
        <f t="shared" si="22"/>
        <v>0</v>
      </c>
      <c r="AK27" s="26">
        <f t="shared" si="22"/>
        <v>0</v>
      </c>
      <c r="AL27" s="26">
        <f t="shared" si="22"/>
        <v>0</v>
      </c>
      <c r="AM27" s="26">
        <f t="shared" si="22"/>
        <v>0</v>
      </c>
      <c r="AN27" s="26">
        <f t="shared" si="22"/>
        <v>0</v>
      </c>
      <c r="AO27" s="26">
        <f t="shared" si="22"/>
        <v>0</v>
      </c>
      <c r="AP27" s="26">
        <f t="shared" si="22"/>
        <v>0</v>
      </c>
      <c r="AQ27" s="26">
        <f t="shared" si="22"/>
        <v>-929569.49</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-95809.234556208321</v>
      </c>
      <c r="C28" s="26">
        <f t="shared" ref="C28:BN28" si="24">SUM(C22:C25)*C41</f>
        <v>-40406.460769370409</v>
      </c>
      <c r="D28" s="26">
        <f t="shared" si="24"/>
        <v>-48.446951455462532</v>
      </c>
      <c r="E28" s="26">
        <f t="shared" si="24"/>
        <v>1754172.5194271854</v>
      </c>
      <c r="F28" s="26">
        <f t="shared" si="24"/>
        <v>44818343.415381193</v>
      </c>
      <c r="G28" s="26">
        <f t="shared" si="24"/>
        <v>51933381.401530989</v>
      </c>
      <c r="H28" s="26">
        <f t="shared" si="24"/>
        <v>16523.714367349199</v>
      </c>
      <c r="I28" s="26">
        <f t="shared" si="24"/>
        <v>-5108098.4813380754</v>
      </c>
      <c r="J28" s="26">
        <f t="shared" si="24"/>
        <v>0</v>
      </c>
      <c r="K28" s="26">
        <f t="shared" si="24"/>
        <v>0</v>
      </c>
      <c r="L28" s="26">
        <f t="shared" si="24"/>
        <v>0</v>
      </c>
      <c r="M28" s="26">
        <f t="shared" si="24"/>
        <v>-120795494.82515699</v>
      </c>
      <c r="N28" s="26">
        <f t="shared" si="24"/>
        <v>-51061372.627886109</v>
      </c>
      <c r="O28" s="26">
        <f t="shared" si="24"/>
        <v>-42714513.530379243</v>
      </c>
      <c r="P28" s="26">
        <f t="shared" si="24"/>
        <v>2124969.7130331937</v>
      </c>
      <c r="Q28" s="26">
        <f t="shared" si="24"/>
        <v>-2055807.9964467946</v>
      </c>
      <c r="R28" s="26">
        <f t="shared" si="24"/>
        <v>1098621.2881527341</v>
      </c>
      <c r="S28" s="26">
        <f t="shared" si="24"/>
        <v>7407.3301865493468</v>
      </c>
      <c r="T28" s="26">
        <f t="shared" si="24"/>
        <v>-14247.672486310054</v>
      </c>
      <c r="U28" s="26">
        <f t="shared" si="24"/>
        <v>70784.385308763667</v>
      </c>
      <c r="V28" s="26">
        <f t="shared" si="24"/>
        <v>-61299.5247785186</v>
      </c>
      <c r="W28" s="26">
        <f t="shared" si="24"/>
        <v>-104468.31712988681</v>
      </c>
      <c r="X28" s="26">
        <f t="shared" si="24"/>
        <v>0</v>
      </c>
      <c r="Y28" s="26">
        <f t="shared" si="24"/>
        <v>3092650.4459354375</v>
      </c>
      <c r="Z28" s="26">
        <f t="shared" si="24"/>
        <v>0</v>
      </c>
      <c r="AA28" s="26">
        <f t="shared" si="24"/>
        <v>0</v>
      </c>
      <c r="AB28" s="26">
        <f t="shared" si="24"/>
        <v>0</v>
      </c>
      <c r="AC28" s="26">
        <f t="shared" si="24"/>
        <v>2343333.55099231</v>
      </c>
      <c r="AD28" s="26">
        <f t="shared" si="24"/>
        <v>0</v>
      </c>
      <c r="AE28" s="26">
        <f t="shared" si="24"/>
        <v>0</v>
      </c>
      <c r="AF28" s="26">
        <f t="shared" si="24"/>
        <v>0</v>
      </c>
      <c r="AG28" s="26">
        <f t="shared" si="24"/>
        <v>56413.772351857508</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t="e">
        <f t="shared" si="24"/>
        <v>#DIV/0!</v>
      </c>
      <c r="AQ28" s="26">
        <f t="shared" si="24"/>
        <v>-5077628.757440364</v>
      </c>
      <c r="AR28" s="26">
        <f t="shared" si="24"/>
        <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99241181.91455622</v>
      </c>
      <c r="C29" s="28">
        <f t="shared" ref="C29:BN29" si="26">C27-C28</f>
        <v>-76282598.389230624</v>
      </c>
      <c r="D29" s="28">
        <f t="shared" si="26"/>
        <v>-89777879.193048552</v>
      </c>
      <c r="E29" s="28">
        <f t="shared" si="26"/>
        <v>-162955496.7494272</v>
      </c>
      <c r="F29" s="28">
        <f t="shared" si="26"/>
        <v>136172040.64461881</v>
      </c>
      <c r="G29" s="28">
        <f t="shared" si="26"/>
        <v>158542423.398469</v>
      </c>
      <c r="H29" s="28">
        <f t="shared" si="26"/>
        <v>-3122583.1143673491</v>
      </c>
      <c r="I29" s="28">
        <f t="shared" si="26"/>
        <v>11491084.631338075</v>
      </c>
      <c r="J29" s="28">
        <f t="shared" si="26"/>
        <v>15453.96</v>
      </c>
      <c r="K29" s="28">
        <f t="shared" si="26"/>
        <v>-6346978.8099999996</v>
      </c>
      <c r="L29" s="28">
        <f t="shared" si="26"/>
        <v>-8058486.3799999999</v>
      </c>
      <c r="M29" s="28">
        <f t="shared" si="26"/>
        <v>212778485.80515698</v>
      </c>
      <c r="N29" s="28">
        <f t="shared" si="26"/>
        <v>152604114.44788611</v>
      </c>
      <c r="O29" s="28">
        <f t="shared" si="26"/>
        <v>126091661.40037924</v>
      </c>
      <c r="P29" s="28">
        <f t="shared" si="26"/>
        <v>18956330.946966805</v>
      </c>
      <c r="Q29" s="28">
        <f t="shared" si="26"/>
        <v>5126950.6764467945</v>
      </c>
      <c r="R29" s="28">
        <f t="shared" si="26"/>
        <v>-85469.108152734116</v>
      </c>
      <c r="S29" s="28">
        <f t="shared" si="26"/>
        <v>362079.91981345066</v>
      </c>
      <c r="T29" s="28">
        <f t="shared" si="26"/>
        <v>861579.8024863099</v>
      </c>
      <c r="U29" s="28">
        <f t="shared" si="26"/>
        <v>51626.72469123597</v>
      </c>
      <c r="V29" s="28">
        <f t="shared" si="26"/>
        <v>-1393060.7252214814</v>
      </c>
      <c r="W29" s="28">
        <f t="shared" si="26"/>
        <v>-1125546.4128701133</v>
      </c>
      <c r="X29" s="28">
        <f t="shared" si="26"/>
        <v>107849.03</v>
      </c>
      <c r="Y29" s="28">
        <f t="shared" si="26"/>
        <v>15176028.964064563</v>
      </c>
      <c r="Z29" s="28">
        <f t="shared" si="26"/>
        <v>0</v>
      </c>
      <c r="AA29" s="28">
        <f t="shared" si="26"/>
        <v>0</v>
      </c>
      <c r="AB29" s="28">
        <f t="shared" si="26"/>
        <v>0</v>
      </c>
      <c r="AC29" s="28">
        <f t="shared" si="26"/>
        <v>9148644.9290076904</v>
      </c>
      <c r="AD29" s="28">
        <f t="shared" si="26"/>
        <v>0</v>
      </c>
      <c r="AE29" s="28">
        <f t="shared" si="26"/>
        <v>0</v>
      </c>
      <c r="AF29" s="28">
        <f t="shared" si="26"/>
        <v>0</v>
      </c>
      <c r="AG29" s="28">
        <f t="shared" si="26"/>
        <v>834410.54764814256</v>
      </c>
      <c r="AH29" s="28">
        <f t="shared" si="26"/>
        <v>0</v>
      </c>
      <c r="AI29" s="28">
        <f t="shared" si="26"/>
        <v>0</v>
      </c>
      <c r="AJ29" s="28">
        <f t="shared" si="26"/>
        <v>0</v>
      </c>
      <c r="AK29" s="28">
        <f t="shared" si="26"/>
        <v>0</v>
      </c>
      <c r="AL29" s="28">
        <f t="shared" si="26"/>
        <v>0</v>
      </c>
      <c r="AM29" s="28">
        <f t="shared" si="26"/>
        <v>0</v>
      </c>
      <c r="AN29" s="28">
        <f t="shared" si="26"/>
        <v>0</v>
      </c>
      <c r="AO29" s="28">
        <f t="shared" si="26"/>
        <v>0</v>
      </c>
      <c r="AP29" s="28" t="e">
        <f t="shared" si="26"/>
        <v>#DIV/0!</v>
      </c>
      <c r="AQ29" s="28">
        <f t="shared" si="26"/>
        <v>4148059.2674403638</v>
      </c>
      <c r="AR29" s="28">
        <f t="shared" si="26"/>
        <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-1116315980.2899997</v>
      </c>
      <c r="C31" s="26">
        <f t="shared" ref="C31:BN31" si="28">C15+C20+C27</f>
        <v>-1015978823.8100001</v>
      </c>
      <c r="D31" s="26">
        <f t="shared" si="28"/>
        <v>-376010940.96999997</v>
      </c>
      <c r="E31" s="26">
        <f t="shared" si="28"/>
        <v>-16783198190.309999</v>
      </c>
      <c r="F31" s="26">
        <f t="shared" si="28"/>
        <v>-2351441743.6499996</v>
      </c>
      <c r="G31" s="26">
        <f t="shared" si="28"/>
        <v>-911574330.94999981</v>
      </c>
      <c r="H31" s="26">
        <f t="shared" si="28"/>
        <v>374959654.08000022</v>
      </c>
      <c r="I31" s="26">
        <f t="shared" si="28"/>
        <v>229504542.39000118</v>
      </c>
      <c r="J31" s="26">
        <f t="shared" si="28"/>
        <v>442461082.02999973</v>
      </c>
      <c r="K31" s="26">
        <f t="shared" si="28"/>
        <v>298157571.57000089</v>
      </c>
      <c r="L31" s="26">
        <f t="shared" si="28"/>
        <v>202171134.99999982</v>
      </c>
      <c r="M31" s="26">
        <f t="shared" si="28"/>
        <v>430238042.14000046</v>
      </c>
      <c r="N31" s="26">
        <f t="shared" si="28"/>
        <v>240916689.29999948</v>
      </c>
      <c r="O31" s="26">
        <f t="shared" si="28"/>
        <v>146035602.63000041</v>
      </c>
      <c r="P31" s="26">
        <f t="shared" si="28"/>
        <v>58842784.48999995</v>
      </c>
      <c r="Q31" s="26">
        <f t="shared" si="28"/>
        <v>241373953.85000005</v>
      </c>
      <c r="R31" s="26">
        <f t="shared" si="28"/>
        <v>159313590.09999973</v>
      </c>
      <c r="S31" s="26">
        <f t="shared" si="28"/>
        <v>148884935.07999983</v>
      </c>
      <c r="T31" s="26">
        <f t="shared" si="28"/>
        <v>85246431.199999988</v>
      </c>
      <c r="U31" s="26">
        <f t="shared" si="28"/>
        <v>360146161.22000015</v>
      </c>
      <c r="V31" s="26">
        <f t="shared" si="28"/>
        <v>270914170.92000014</v>
      </c>
      <c r="W31" s="26">
        <f t="shared" si="28"/>
        <v>184134334.87000003</v>
      </c>
      <c r="X31" s="26">
        <f t="shared" si="28"/>
        <v>105093865.19</v>
      </c>
      <c r="Y31" s="26">
        <f t="shared" si="28"/>
        <v>286442253.61000007</v>
      </c>
      <c r="Z31" s="26">
        <f t="shared" si="28"/>
        <v>177124791.80000004</v>
      </c>
      <c r="AA31" s="26">
        <f t="shared" si="28"/>
        <v>120247770.29999994</v>
      </c>
      <c r="AB31" s="26">
        <f t="shared" si="28"/>
        <v>70084496.850000024</v>
      </c>
      <c r="AC31" s="26">
        <f t="shared" si="28"/>
        <v>176931110.44999996</v>
      </c>
      <c r="AD31" s="26">
        <f t="shared" si="28"/>
        <v>114827416.30000001</v>
      </c>
      <c r="AE31" s="26">
        <f t="shared" si="28"/>
        <v>74036574.639999986</v>
      </c>
      <c r="AF31" s="26">
        <f t="shared" si="28"/>
        <v>35344389.219999991</v>
      </c>
      <c r="AG31" s="26">
        <f t="shared" si="28"/>
        <v>79417199.340000004</v>
      </c>
      <c r="AH31" s="26">
        <f t="shared" si="28"/>
        <v>57853805.590000018</v>
      </c>
      <c r="AI31" s="26">
        <f t="shared" si="28"/>
        <v>34803061.780000009</v>
      </c>
      <c r="AJ31" s="26">
        <f t="shared" si="28"/>
        <v>16729157.41</v>
      </c>
      <c r="AK31" s="26">
        <f t="shared" si="28"/>
        <v>48212127.290000007</v>
      </c>
      <c r="AL31" s="26">
        <f t="shared" si="28"/>
        <v>33494292.079999998</v>
      </c>
      <c r="AM31" s="26">
        <f t="shared" si="28"/>
        <v>19683991.180000003</v>
      </c>
      <c r="AN31" s="26">
        <f t="shared" si="28"/>
        <v>30848690.629999988</v>
      </c>
      <c r="AO31" s="26">
        <f t="shared" si="28"/>
        <v>14815869.059999999</v>
      </c>
      <c r="AP31" s="26">
        <f t="shared" si="28"/>
        <v>0</v>
      </c>
      <c r="AQ31" s="26">
        <f t="shared" si="28"/>
        <v>-929569.49</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-82.817917251409497</v>
      </c>
      <c r="C32" s="57">
        <f t="shared" ref="C32:D32" si="30">C31/C4*100</f>
        <v>-103.27349340071062</v>
      </c>
      <c r="D32" s="57">
        <f t="shared" si="30"/>
        <v>-87.741664302135334</v>
      </c>
      <c r="E32" s="57">
        <f>E31/E4</f>
        <v>-2.3889939701220895</v>
      </c>
      <c r="F32" s="57">
        <f t="shared" ref="F32:BQ32" si="31">F31/F4</f>
        <v>-0.38582114036717785</v>
      </c>
      <c r="G32" s="57">
        <f t="shared" si="31"/>
        <v>-0.16451777567073012</v>
      </c>
      <c r="H32" s="57">
        <f t="shared" si="31"/>
        <v>9.1087713913908352E-2</v>
      </c>
      <c r="I32" s="57">
        <f t="shared" si="31"/>
        <v>1.0455334627570348E-2</v>
      </c>
      <c r="J32" s="57">
        <f t="shared" si="31"/>
        <v>2.637805992015517E-2</v>
      </c>
      <c r="K32" s="57">
        <f t="shared" si="31"/>
        <v>2.9628686231661001E-2</v>
      </c>
      <c r="L32" s="57">
        <f t="shared" si="31"/>
        <v>4.3622959189038656E-2</v>
      </c>
      <c r="M32" s="57">
        <f t="shared" si="31"/>
        <v>3.3052710112374505E-2</v>
      </c>
      <c r="N32" s="57">
        <f t="shared" si="31"/>
        <v>2.8766259961673889E-2</v>
      </c>
      <c r="O32" s="57">
        <f t="shared" si="31"/>
        <v>3.2738174810455774E-2</v>
      </c>
      <c r="P32" s="57">
        <f t="shared" si="31"/>
        <v>2.758094752388798E-2</v>
      </c>
      <c r="Q32" s="57">
        <f t="shared" si="31"/>
        <v>3.5397584172088326E-2</v>
      </c>
      <c r="R32" s="57">
        <f t="shared" si="31"/>
        <v>3.3574011898652695E-2</v>
      </c>
      <c r="S32" s="57">
        <f t="shared" si="31"/>
        <v>5.0661780725334921E-2</v>
      </c>
      <c r="T32" s="57">
        <f t="shared" si="31"/>
        <v>8.3009515047208493E-2</v>
      </c>
      <c r="U32" s="57">
        <f t="shared" si="31"/>
        <v>0.15252386019674868</v>
      </c>
      <c r="V32" s="57">
        <f t="shared" si="31"/>
        <v>0.19843226606420111</v>
      </c>
      <c r="W32" s="57">
        <f t="shared" si="31"/>
        <v>0.24488546425074223</v>
      </c>
      <c r="X32" s="57">
        <f t="shared" si="31"/>
        <v>0.30739410836942882</v>
      </c>
      <c r="Y32" s="57">
        <f t="shared" si="31"/>
        <v>0.24538721827829987</v>
      </c>
      <c r="Z32" s="57">
        <f t="shared" si="31"/>
        <v>0.2137290530947121</v>
      </c>
      <c r="AA32" s="57">
        <f t="shared" si="31"/>
        <v>0.21745596943959072</v>
      </c>
      <c r="AB32" s="57">
        <f t="shared" si="31"/>
        <v>0.25410568019423491</v>
      </c>
      <c r="AC32" s="57">
        <f t="shared" si="31"/>
        <v>0.29559664268068864</v>
      </c>
      <c r="AD32" s="57">
        <f t="shared" si="31"/>
        <v>0.32264357068846811</v>
      </c>
      <c r="AE32" s="57">
        <f t="shared" si="31"/>
        <v>0.3318487301825141</v>
      </c>
      <c r="AF32" s="57">
        <f t="shared" si="31"/>
        <v>0.33741019686148677</v>
      </c>
      <c r="AG32" s="57">
        <f t="shared" si="31"/>
        <v>0.33332414493891238</v>
      </c>
      <c r="AH32" s="57">
        <f t="shared" si="31"/>
        <v>0.33431235143501103</v>
      </c>
      <c r="AI32" s="57">
        <f t="shared" si="31"/>
        <v>0.34129564135357082</v>
      </c>
      <c r="AJ32" s="57">
        <f t="shared" si="31"/>
        <v>0.370495084053313</v>
      </c>
      <c r="AK32" s="57">
        <f t="shared" si="31"/>
        <v>0.33082864911226273</v>
      </c>
      <c r="AL32" s="57">
        <f t="shared" si="31"/>
        <v>0.32314497733281583</v>
      </c>
      <c r="AM32" s="57">
        <f t="shared" si="31"/>
        <v>0.32920457995443664</v>
      </c>
      <c r="AN32" s="57">
        <f t="shared" si="31"/>
        <v>0.41909927100040739</v>
      </c>
      <c r="AO32" s="57">
        <f t="shared" si="31"/>
        <v>0.40133672760441569</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-1127808312.5904551</v>
      </c>
      <c r="C33" s="26">
        <f t="shared" ref="C33:BN33" si="33">C17+C20+C29</f>
        <v>-1026451456.0396389</v>
      </c>
      <c r="D33" s="26">
        <f t="shared" si="33"/>
        <v>-376399795.59682786</v>
      </c>
      <c r="E33" s="26">
        <f t="shared" si="33"/>
        <v>-17470188660.517639</v>
      </c>
      <c r="F33" s="26">
        <f t="shared" si="33"/>
        <v>-1892127579.9944668</v>
      </c>
      <c r="G33" s="26">
        <f t="shared" si="33"/>
        <v>-707305200.61435735</v>
      </c>
      <c r="H33" s="26">
        <f t="shared" si="33"/>
        <v>-5556096.4669997003</v>
      </c>
      <c r="I33" s="26">
        <f t="shared" si="33"/>
        <v>188060838.39343977</v>
      </c>
      <c r="J33" s="26">
        <f t="shared" si="33"/>
        <v>1487849871.3370192</v>
      </c>
      <c r="K33" s="26">
        <f t="shared" si="33"/>
        <v>547932226.97141039</v>
      </c>
      <c r="L33" s="26">
        <f t="shared" si="33"/>
        <v>121958505.23036563</v>
      </c>
      <c r="M33" s="26">
        <f t="shared" si="33"/>
        <v>1195023641.8351507</v>
      </c>
      <c r="N33" s="26">
        <f t="shared" si="33"/>
        <v>375444259.58643043</v>
      </c>
      <c r="O33" s="26">
        <f t="shared" si="33"/>
        <v>220140143.10338461</v>
      </c>
      <c r="P33" s="26">
        <f t="shared" si="33"/>
        <v>52848735.9836675</v>
      </c>
      <c r="Q33" s="26">
        <f t="shared" si="33"/>
        <v>434129362.36463881</v>
      </c>
      <c r="R33" s="26">
        <f t="shared" si="33"/>
        <v>433634049.6064375</v>
      </c>
      <c r="S33" s="26">
        <f t="shared" si="33"/>
        <v>150619783.11136684</v>
      </c>
      <c r="T33" s="26">
        <f t="shared" si="33"/>
        <v>81834769.401315197</v>
      </c>
      <c r="U33" s="26">
        <f t="shared" si="33"/>
        <v>339263005.33159542</v>
      </c>
      <c r="V33" s="26">
        <f t="shared" si="33"/>
        <v>246138134.89711305</v>
      </c>
      <c r="W33" s="26">
        <f t="shared" si="33"/>
        <v>155398319.32600251</v>
      </c>
      <c r="X33" s="26">
        <f t="shared" si="33"/>
        <v>89666573.494230896</v>
      </c>
      <c r="Y33" s="26">
        <f t="shared" si="33"/>
        <v>238205815.35557345</v>
      </c>
      <c r="Z33" s="26">
        <f t="shared" si="33"/>
        <v>149325228.58826992</v>
      </c>
      <c r="AA33" s="26">
        <f t="shared" si="33"/>
        <v>99940537.852696672</v>
      </c>
      <c r="AB33" s="26">
        <f t="shared" si="33"/>
        <v>56879742.073721863</v>
      </c>
      <c r="AC33" s="26">
        <f t="shared" si="33"/>
        <v>140853022.7601063</v>
      </c>
      <c r="AD33" s="26">
        <f t="shared" si="33"/>
        <v>89713747.135129511</v>
      </c>
      <c r="AE33" s="26">
        <f t="shared" si="33"/>
        <v>60722695.627775013</v>
      </c>
      <c r="AF33" s="26">
        <f t="shared" si="33"/>
        <v>29610323.40448771</v>
      </c>
      <c r="AG33" s="26">
        <f t="shared" si="33"/>
        <v>74387898.159281403</v>
      </c>
      <c r="AH33" s="26">
        <f t="shared" si="33"/>
        <v>53904833.584266484</v>
      </c>
      <c r="AI33" s="26">
        <f t="shared" si="33"/>
        <v>33229481.652083598</v>
      </c>
      <c r="AJ33" s="26">
        <f t="shared" si="33"/>
        <v>16566570.483449293</v>
      </c>
      <c r="AK33" s="26">
        <f t="shared" si="33"/>
        <v>44953590.856178418</v>
      </c>
      <c r="AL33" s="26">
        <f t="shared" si="33"/>
        <v>30590922.930311535</v>
      </c>
      <c r="AM33" s="26">
        <f t="shared" si="33"/>
        <v>17963432.230053943</v>
      </c>
      <c r="AN33" s="26">
        <f t="shared" si="33"/>
        <v>29463406.387683239</v>
      </c>
      <c r="AO33" s="26">
        <f t="shared" si="33"/>
        <v>14815869.059999999</v>
      </c>
      <c r="AP33" s="26" t="e">
        <f t="shared" si="33"/>
        <v>#DIV/0!</v>
      </c>
      <c r="AQ33" s="26">
        <f t="shared" si="33"/>
        <v>4148059.2674403638</v>
      </c>
      <c r="AR33" s="26">
        <f t="shared" si="33"/>
        <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-83.670517269943275</v>
      </c>
      <c r="C34" s="57">
        <f t="shared" ref="C34:D34" si="35">C33/C4*100</f>
        <v>-104.33802869427096</v>
      </c>
      <c r="D34" s="57">
        <f t="shared" si="35"/>
        <v>-87.832403023837017</v>
      </c>
      <c r="E34" s="57">
        <f>E33/E4</f>
        <v>-2.4867832038692645</v>
      </c>
      <c r="F34" s="57">
        <f t="shared" ref="F34:BQ34" si="36">F33/F4</f>
        <v>-0.31045754061526687</v>
      </c>
      <c r="G34" s="57">
        <f t="shared" si="36"/>
        <v>-0.1276519910385632</v>
      </c>
      <c r="H34" s="57">
        <f t="shared" si="36"/>
        <v>-1.3497242168784575E-3</v>
      </c>
      <c r="I34" s="57">
        <f t="shared" si="36"/>
        <v>8.5673206084242847E-3</v>
      </c>
      <c r="J34" s="57">
        <f t="shared" si="36"/>
        <v>8.8700666911224649E-2</v>
      </c>
      <c r="K34" s="57">
        <f t="shared" si="36"/>
        <v>5.4449437402060638E-2</v>
      </c>
      <c r="L34" s="57">
        <f t="shared" si="36"/>
        <v>2.6315284308120458E-2</v>
      </c>
      <c r="M34" s="57">
        <f t="shared" si="36"/>
        <v>9.1806781693559089E-2</v>
      </c>
      <c r="N34" s="57">
        <f t="shared" si="36"/>
        <v>4.48293026264057E-2</v>
      </c>
      <c r="O34" s="57">
        <f t="shared" si="36"/>
        <v>4.9350886755862973E-2</v>
      </c>
      <c r="P34" s="57">
        <f t="shared" si="36"/>
        <v>2.4771401056268145E-2</v>
      </c>
      <c r="Q34" s="57">
        <f t="shared" si="36"/>
        <v>6.3665239769105819E-2</v>
      </c>
      <c r="R34" s="57">
        <f t="shared" si="36"/>
        <v>9.1384763421683196E-2</v>
      </c>
      <c r="S34" s="57">
        <f t="shared" si="36"/>
        <v>5.1252105666603619E-2</v>
      </c>
      <c r="T34" s="57">
        <f t="shared" si="36"/>
        <v>7.9687377247099483E-2</v>
      </c>
      <c r="U34" s="57">
        <f t="shared" si="36"/>
        <v>0.14367972997361897</v>
      </c>
      <c r="V34" s="57">
        <f t="shared" si="36"/>
        <v>0.18028495042023082</v>
      </c>
      <c r="W34" s="57">
        <f t="shared" si="36"/>
        <v>0.20666862374581105</v>
      </c>
      <c r="X34" s="57">
        <f t="shared" si="36"/>
        <v>0.26227007979932654</v>
      </c>
      <c r="Y34" s="57">
        <f t="shared" si="36"/>
        <v>0.20406438530330653</v>
      </c>
      <c r="Z34" s="57">
        <f t="shared" si="36"/>
        <v>0.18018448679594923</v>
      </c>
      <c r="AA34" s="57">
        <f t="shared" si="36"/>
        <v>0.18073238689459742</v>
      </c>
      <c r="AB34" s="57">
        <f t="shared" si="36"/>
        <v>0.20622914051662669</v>
      </c>
      <c r="AC34" s="57">
        <f t="shared" si="36"/>
        <v>0.23532142274707607</v>
      </c>
      <c r="AD34" s="57">
        <f t="shared" si="36"/>
        <v>0.25207885580127354</v>
      </c>
      <c r="AE34" s="57">
        <f t="shared" si="36"/>
        <v>0.2721729028567122</v>
      </c>
      <c r="AF34" s="57">
        <f t="shared" si="36"/>
        <v>0.28267075112977408</v>
      </c>
      <c r="AG34" s="57">
        <f t="shared" si="36"/>
        <v>0.31221552451871404</v>
      </c>
      <c r="AH34" s="57">
        <f t="shared" si="36"/>
        <v>0.3114929343971109</v>
      </c>
      <c r="AI34" s="57">
        <f t="shared" si="36"/>
        <v>0.32586435423368038</v>
      </c>
      <c r="AJ34" s="57">
        <f t="shared" si="36"/>
        <v>0.3668943254770104</v>
      </c>
      <c r="AK34" s="57">
        <f t="shared" si="36"/>
        <v>0.3084687727268064</v>
      </c>
      <c r="AL34" s="57">
        <f t="shared" si="36"/>
        <v>0.29513396113268253</v>
      </c>
      <c r="AM34" s="57">
        <f t="shared" si="36"/>
        <v>0.30042912068785516</v>
      </c>
      <c r="AN34" s="57">
        <f t="shared" si="36"/>
        <v>0.40027929503946008</v>
      </c>
      <c r="AO34" s="57">
        <f t="shared" si="36"/>
        <v>0.40133672760441569</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565822807.29999995</v>
      </c>
      <c r="C35" s="26">
        <f t="shared" ref="C35:BN35" si="38">C23+C68</f>
        <v>376756606.02999997</v>
      </c>
      <c r="D35" s="26">
        <f t="shared" si="38"/>
        <v>172011592.22999999</v>
      </c>
      <c r="E35" s="26">
        <f t="shared" si="38"/>
        <v>887956789.55999994</v>
      </c>
      <c r="F35" s="26">
        <f t="shared" si="38"/>
        <v>643289640.46000004</v>
      </c>
      <c r="G35" s="26">
        <f t="shared" si="38"/>
        <v>279007069.60000002</v>
      </c>
      <c r="H35" s="26">
        <f t="shared" si="38"/>
        <v>123828009.20999999</v>
      </c>
      <c r="I35" s="26">
        <f t="shared" si="38"/>
        <v>659258700.90999997</v>
      </c>
      <c r="J35" s="26">
        <f t="shared" si="38"/>
        <v>406344201.27999997</v>
      </c>
      <c r="K35" s="26">
        <f t="shared" si="38"/>
        <v>258462644.16999999</v>
      </c>
      <c r="L35" s="26">
        <f t="shared" si="38"/>
        <v>87414540</v>
      </c>
      <c r="M35" s="26">
        <f t="shared" si="38"/>
        <v>355165025.32999998</v>
      </c>
      <c r="N35" s="26">
        <f t="shared" si="38"/>
        <v>136395602.56</v>
      </c>
      <c r="O35" s="26">
        <f t="shared" si="38"/>
        <v>74511987.689999998</v>
      </c>
      <c r="P35" s="26">
        <f t="shared" si="38"/>
        <v>35396100.450000003</v>
      </c>
      <c r="Q35" s="26">
        <f t="shared" si="38"/>
        <v>171429720.68000001</v>
      </c>
      <c r="R35" s="26">
        <f t="shared" si="38"/>
        <v>132012251.84999999</v>
      </c>
      <c r="S35" s="26">
        <f t="shared" si="38"/>
        <v>82368514.049999997</v>
      </c>
      <c r="T35" s="26">
        <f t="shared" si="38"/>
        <v>40276705.5</v>
      </c>
      <c r="U35" s="26">
        <f t="shared" si="38"/>
        <v>117557099.75999999</v>
      </c>
      <c r="V35" s="26">
        <f t="shared" si="38"/>
        <v>81479619.599999994</v>
      </c>
      <c r="W35" s="26">
        <f t="shared" si="38"/>
        <v>52145669.759999998</v>
      </c>
      <c r="X35" s="26">
        <f t="shared" si="38"/>
        <v>22784349.43</v>
      </c>
      <c r="Y35" s="26">
        <f t="shared" si="38"/>
        <v>60433109.829999998</v>
      </c>
      <c r="Z35" s="26">
        <f t="shared" si="38"/>
        <v>20353558.109999999</v>
      </c>
      <c r="AA35" s="26">
        <f t="shared" si="38"/>
        <v>11405739.23</v>
      </c>
      <c r="AB35" s="26">
        <f t="shared" si="38"/>
        <v>7211392.7800000003</v>
      </c>
      <c r="AC35" s="26">
        <f t="shared" si="38"/>
        <v>13297473.630000001</v>
      </c>
      <c r="AD35" s="26">
        <f t="shared" si="38"/>
        <v>2962267.06</v>
      </c>
      <c r="AE35" s="26">
        <f t="shared" si="38"/>
        <v>2837893.25</v>
      </c>
      <c r="AF35" s="26">
        <f t="shared" si="38"/>
        <v>651924.31000000006</v>
      </c>
      <c r="AG35" s="26">
        <f t="shared" si="38"/>
        <v>4612679.92</v>
      </c>
      <c r="AH35" s="26">
        <f t="shared" si="38"/>
        <v>3628269.72</v>
      </c>
      <c r="AI35" s="26">
        <f t="shared" si="38"/>
        <v>2139695.15</v>
      </c>
      <c r="AJ35" s="26">
        <f t="shared" si="38"/>
        <v>756394.31</v>
      </c>
      <c r="AK35" s="26">
        <f t="shared" si="38"/>
        <v>509841.19</v>
      </c>
      <c r="AL35" s="26">
        <f t="shared" si="38"/>
        <v>38258.120000000003</v>
      </c>
      <c r="AM35" s="26">
        <f t="shared" si="38"/>
        <v>1645.71</v>
      </c>
      <c r="AN35" s="26">
        <f t="shared" si="38"/>
        <v>-828544.9</v>
      </c>
      <c r="AO35" s="26">
        <f t="shared" si="38"/>
        <v>132391.67000000001</v>
      </c>
      <c r="AP35" s="26">
        <f t="shared" si="38"/>
        <v>0</v>
      </c>
      <c r="AQ35" s="26">
        <f t="shared" si="38"/>
        <v>-74810065.359999999</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-5090494.9040154302</v>
      </c>
      <c r="C36" s="26">
        <f t="shared" ref="C36:BN36" si="40">C35*C41</f>
        <v>-3922528.8168416517</v>
      </c>
      <c r="D36" s="26">
        <f t="shared" si="40"/>
        <v>-233711.1158690755</v>
      </c>
      <c r="E36" s="26">
        <f t="shared" si="40"/>
        <v>-36308775.524054274</v>
      </c>
      <c r="F36" s="26">
        <f t="shared" si="40"/>
        <v>123849235.83812657</v>
      </c>
      <c r="G36" s="26">
        <f t="shared" si="40"/>
        <v>62245475.523136519</v>
      </c>
      <c r="H36" s="26">
        <f t="shared" si="40"/>
        <v>129450756.3497106</v>
      </c>
      <c r="I36" s="26">
        <f t="shared" si="40"/>
        <v>163859506.48314938</v>
      </c>
      <c r="J36" s="26">
        <f t="shared" si="40"/>
        <v>-1020335693.4795965</v>
      </c>
      <c r="K36" s="26">
        <f t="shared" si="40"/>
        <v>-223049873.37120199</v>
      </c>
      <c r="L36" s="26">
        <f t="shared" si="40"/>
        <v>33352813.90924361</v>
      </c>
      <c r="M36" s="26">
        <f t="shared" si="40"/>
        <v>-676274797.05227816</v>
      </c>
      <c r="N36" s="26">
        <f t="shared" si="40"/>
        <v>-81682570.730537623</v>
      </c>
      <c r="O36" s="26">
        <f t="shared" si="40"/>
        <v>-37328295.281534314</v>
      </c>
      <c r="P36" s="26">
        <f t="shared" si="40"/>
        <v>3626719.2844732357</v>
      </c>
      <c r="Q36" s="26">
        <f t="shared" si="40"/>
        <v>-137001791.87567142</v>
      </c>
      <c r="R36" s="26">
        <f t="shared" si="40"/>
        <v>-229564546.57004344</v>
      </c>
      <c r="S36" s="26">
        <f t="shared" si="40"/>
        <v>-965751.7489873952</v>
      </c>
      <c r="T36" s="26">
        <f t="shared" si="40"/>
        <v>1634339.5670755378</v>
      </c>
      <c r="U36" s="26">
        <f t="shared" si="40"/>
        <v>6794066.1960177151</v>
      </c>
      <c r="V36" s="26">
        <f t="shared" si="40"/>
        <v>7411877.8054846637</v>
      </c>
      <c r="W36" s="26">
        <f t="shared" si="40"/>
        <v>8083975.6932096248</v>
      </c>
      <c r="X36" s="26">
        <f t="shared" si="40"/>
        <v>3348072.6063483437</v>
      </c>
      <c r="Y36" s="26">
        <f t="shared" si="40"/>
        <v>10173185.389020192</v>
      </c>
      <c r="Z36" s="26">
        <f t="shared" si="40"/>
        <v>3194471.081730112</v>
      </c>
      <c r="AA36" s="26">
        <f t="shared" si="40"/>
        <v>1926181.2273032721</v>
      </c>
      <c r="AB36" s="26">
        <f t="shared" si="40"/>
        <v>1358712.3762781615</v>
      </c>
      <c r="AC36" s="26">
        <f t="shared" si="40"/>
        <v>2711492.7298936695</v>
      </c>
      <c r="AD36" s="26">
        <f t="shared" si="40"/>
        <v>647871.3648704954</v>
      </c>
      <c r="AE36" s="26">
        <f t="shared" si="40"/>
        <v>510333.81222497253</v>
      </c>
      <c r="AF36" s="26">
        <f t="shared" si="40"/>
        <v>105764.36551228182</v>
      </c>
      <c r="AG36" s="26">
        <f t="shared" si="40"/>
        <v>292109.98071860487</v>
      </c>
      <c r="AH36" s="26">
        <f t="shared" si="40"/>
        <v>247657.61573353113</v>
      </c>
      <c r="AI36" s="26">
        <f t="shared" si="40"/>
        <v>96743.837916409917</v>
      </c>
      <c r="AJ36" s="26">
        <f t="shared" si="40"/>
        <v>7351.2265507066231</v>
      </c>
      <c r="AK36" s="26">
        <f t="shared" si="40"/>
        <v>34458.883821592863</v>
      </c>
      <c r="AL36" s="26">
        <f t="shared" si="40"/>
        <v>3316.309688461974</v>
      </c>
      <c r="AM36" s="26">
        <f t="shared" si="40"/>
        <v>143.8499460613827</v>
      </c>
      <c r="AN36" s="26">
        <f t="shared" si="40"/>
        <v>-37206.447683251528</v>
      </c>
      <c r="AO36" s="26">
        <f t="shared" si="40"/>
        <v>0</v>
      </c>
      <c r="AP36" s="26" t="e">
        <f t="shared" si="40"/>
        <v>#DIV/0!</v>
      </c>
      <c r="AQ36" s="26">
        <f t="shared" si="40"/>
        <v>-408638346.35744035</v>
      </c>
      <c r="AR36" s="26">
        <f t="shared" si="40"/>
        <v>-335817684.24000001</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570913302.20401537</v>
      </c>
      <c r="C37" s="26">
        <f t="shared" ref="C37:BN37" si="42">C35-C36</f>
        <v>380679134.84684163</v>
      </c>
      <c r="D37" s="26">
        <f t="shared" si="42"/>
        <v>172245303.34586906</v>
      </c>
      <c r="E37" s="26">
        <f t="shared" si="42"/>
        <v>924265565.08405423</v>
      </c>
      <c r="F37" s="26">
        <f t="shared" si="42"/>
        <v>519440404.6218735</v>
      </c>
      <c r="G37" s="26">
        <f t="shared" si="42"/>
        <v>216761594.0768635</v>
      </c>
      <c r="H37" s="26">
        <f t="shared" si="42"/>
        <v>-5622747.1397106051</v>
      </c>
      <c r="I37" s="26">
        <f t="shared" si="42"/>
        <v>495399194.42685056</v>
      </c>
      <c r="J37" s="26">
        <f t="shared" si="42"/>
        <v>1426679894.7595963</v>
      </c>
      <c r="K37" s="26">
        <f t="shared" si="42"/>
        <v>481512517.54120195</v>
      </c>
      <c r="L37" s="26">
        <f t="shared" si="42"/>
        <v>54061726.090756387</v>
      </c>
      <c r="M37" s="26">
        <f t="shared" si="42"/>
        <v>1031439822.3822782</v>
      </c>
      <c r="N37" s="26">
        <f t="shared" si="42"/>
        <v>218078173.29053763</v>
      </c>
      <c r="O37" s="26">
        <f t="shared" si="42"/>
        <v>111840282.97153431</v>
      </c>
      <c r="P37" s="26">
        <f t="shared" si="42"/>
        <v>31769381.165526766</v>
      </c>
      <c r="Q37" s="26">
        <f t="shared" si="42"/>
        <v>308431512.55567145</v>
      </c>
      <c r="R37" s="26">
        <f t="shared" si="42"/>
        <v>361576798.42004347</v>
      </c>
      <c r="S37" s="26">
        <f t="shared" si="42"/>
        <v>83334265.798987389</v>
      </c>
      <c r="T37" s="26">
        <f t="shared" si="42"/>
        <v>38642365.932924464</v>
      </c>
      <c r="U37" s="26">
        <f t="shared" si="42"/>
        <v>110763033.56398228</v>
      </c>
      <c r="V37" s="26">
        <f t="shared" si="42"/>
        <v>74067741.794515327</v>
      </c>
      <c r="W37" s="26">
        <f t="shared" si="42"/>
        <v>44061694.066790372</v>
      </c>
      <c r="X37" s="26">
        <f t="shared" si="42"/>
        <v>19436276.823651657</v>
      </c>
      <c r="Y37" s="26">
        <f t="shared" si="42"/>
        <v>50259924.440979809</v>
      </c>
      <c r="Z37" s="26">
        <f t="shared" si="42"/>
        <v>17159087.028269887</v>
      </c>
      <c r="AA37" s="26">
        <f t="shared" si="42"/>
        <v>9479558.0026967283</v>
      </c>
      <c r="AB37" s="26">
        <f t="shared" si="42"/>
        <v>5852680.4037218392</v>
      </c>
      <c r="AC37" s="26">
        <f t="shared" si="42"/>
        <v>10585980.900106331</v>
      </c>
      <c r="AD37" s="26">
        <f t="shared" si="42"/>
        <v>2314395.6951295044</v>
      </c>
      <c r="AE37" s="26">
        <f t="shared" si="42"/>
        <v>2327559.4377750275</v>
      </c>
      <c r="AF37" s="26">
        <f t="shared" si="42"/>
        <v>546159.94448771828</v>
      </c>
      <c r="AG37" s="26">
        <f t="shared" si="42"/>
        <v>4320569.9392813947</v>
      </c>
      <c r="AH37" s="26">
        <f t="shared" si="42"/>
        <v>3380612.1042664689</v>
      </c>
      <c r="AI37" s="26">
        <f t="shared" si="42"/>
        <v>2042951.3120835901</v>
      </c>
      <c r="AJ37" s="26">
        <f t="shared" si="42"/>
        <v>749043.08344929339</v>
      </c>
      <c r="AK37" s="26">
        <f t="shared" si="42"/>
        <v>475382.30617840716</v>
      </c>
      <c r="AL37" s="26">
        <f t="shared" si="42"/>
        <v>34941.810311538029</v>
      </c>
      <c r="AM37" s="26">
        <f t="shared" si="42"/>
        <v>1501.8600539386173</v>
      </c>
      <c r="AN37" s="26">
        <f t="shared" si="42"/>
        <v>-791338.45231674844</v>
      </c>
      <c r="AO37" s="26">
        <f t="shared" si="42"/>
        <v>132391.67000000001</v>
      </c>
      <c r="AP37" s="26" t="e">
        <f t="shared" si="42"/>
        <v>#DIV/0!</v>
      </c>
      <c r="AQ37" s="26">
        <f t="shared" si="42"/>
        <v>333828280.99744034</v>
      </c>
      <c r="AR37" s="26">
        <f t="shared" si="42"/>
        <v>320202934.91000003</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-1682138787.5899997</v>
      </c>
      <c r="C38" s="28">
        <f t="shared" ref="C38:BN38" si="44">C31-C35</f>
        <v>-1392735429.8400002</v>
      </c>
      <c r="D38" s="28">
        <f t="shared" si="44"/>
        <v>-548022533.19999993</v>
      </c>
      <c r="E38" s="28">
        <f t="shared" si="44"/>
        <v>-17671154979.869999</v>
      </c>
      <c r="F38" s="28">
        <f t="shared" si="44"/>
        <v>-2994731384.1099997</v>
      </c>
      <c r="G38" s="28">
        <f t="shared" si="44"/>
        <v>-1190581400.5499997</v>
      </c>
      <c r="H38" s="28">
        <f t="shared" si="44"/>
        <v>251131644.87000024</v>
      </c>
      <c r="I38" s="28">
        <f t="shared" si="44"/>
        <v>-429754158.51999879</v>
      </c>
      <c r="J38" s="28">
        <f t="shared" si="44"/>
        <v>36116880.749999762</v>
      </c>
      <c r="K38" s="28">
        <f t="shared" si="44"/>
        <v>39694927.4000009</v>
      </c>
      <c r="L38" s="28">
        <f t="shared" si="44"/>
        <v>114756594.99999982</v>
      </c>
      <c r="M38" s="28">
        <f t="shared" si="44"/>
        <v>75073016.810000479</v>
      </c>
      <c r="N38" s="28">
        <f t="shared" si="44"/>
        <v>104521086.73999947</v>
      </c>
      <c r="O38" s="28">
        <f t="shared" si="44"/>
        <v>71523614.940000415</v>
      </c>
      <c r="P38" s="28">
        <f t="shared" si="44"/>
        <v>23446684.039999947</v>
      </c>
      <c r="Q38" s="28">
        <f t="shared" si="44"/>
        <v>69944233.170000046</v>
      </c>
      <c r="R38" s="28">
        <f t="shared" si="44"/>
        <v>27301338.249999732</v>
      </c>
      <c r="S38" s="28">
        <f t="shared" si="44"/>
        <v>66516421.029999837</v>
      </c>
      <c r="T38" s="28">
        <f t="shared" si="44"/>
        <v>44969725.699999988</v>
      </c>
      <c r="U38" s="28">
        <f t="shared" si="44"/>
        <v>242589061.46000016</v>
      </c>
      <c r="V38" s="28">
        <f t="shared" si="44"/>
        <v>189434551.32000014</v>
      </c>
      <c r="W38" s="28">
        <f t="shared" si="44"/>
        <v>131988665.11000004</v>
      </c>
      <c r="X38" s="28">
        <f t="shared" si="44"/>
        <v>82309515.75999999</v>
      </c>
      <c r="Y38" s="28">
        <f t="shared" si="44"/>
        <v>226009143.78000009</v>
      </c>
      <c r="Z38" s="28">
        <f t="shared" si="44"/>
        <v>156771233.69000006</v>
      </c>
      <c r="AA38" s="28">
        <f t="shared" si="44"/>
        <v>108842031.06999993</v>
      </c>
      <c r="AB38" s="28">
        <f t="shared" si="44"/>
        <v>62873104.070000023</v>
      </c>
      <c r="AC38" s="28">
        <f t="shared" si="44"/>
        <v>163633636.81999996</v>
      </c>
      <c r="AD38" s="28">
        <f t="shared" si="44"/>
        <v>111865149.24000001</v>
      </c>
      <c r="AE38" s="28">
        <f t="shared" si="44"/>
        <v>71198681.389999986</v>
      </c>
      <c r="AF38" s="28">
        <f t="shared" si="44"/>
        <v>34692464.909999989</v>
      </c>
      <c r="AG38" s="28">
        <f t="shared" si="44"/>
        <v>74804519.420000002</v>
      </c>
      <c r="AH38" s="28">
        <f t="shared" si="44"/>
        <v>54225535.87000002</v>
      </c>
      <c r="AI38" s="28">
        <f t="shared" si="44"/>
        <v>32663366.63000001</v>
      </c>
      <c r="AJ38" s="28">
        <f t="shared" si="44"/>
        <v>15972763.1</v>
      </c>
      <c r="AK38" s="28">
        <f t="shared" si="44"/>
        <v>47702286.100000009</v>
      </c>
      <c r="AL38" s="28">
        <f t="shared" si="44"/>
        <v>33456033.959999997</v>
      </c>
      <c r="AM38" s="28">
        <f t="shared" si="44"/>
        <v>19682345.470000003</v>
      </c>
      <c r="AN38" s="28">
        <f t="shared" si="44"/>
        <v>31677235.529999986</v>
      </c>
      <c r="AO38" s="28">
        <f t="shared" si="44"/>
        <v>14683477.389999999</v>
      </c>
      <c r="AP38" s="28">
        <f t="shared" si="44"/>
        <v>0</v>
      </c>
      <c r="AQ38" s="28">
        <f t="shared" si="44"/>
        <v>73880495.870000005</v>
      </c>
      <c r="AR38" s="28">
        <f t="shared" si="44"/>
        <v>15614749.33</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-124.79551791404458</v>
      </c>
      <c r="C39" s="57">
        <f t="shared" ref="C39:D39" si="46">C38/C4*100</f>
        <v>-141.57052278228932</v>
      </c>
      <c r="D39" s="57">
        <f t="shared" si="46"/>
        <v>-127.88034575269613</v>
      </c>
      <c r="E39" s="57">
        <f>E38/E4</f>
        <v>-2.5153896303492673</v>
      </c>
      <c r="F39" s="57">
        <f t="shared" ref="F39:BQ39" si="47">F38/F4</f>
        <v>-0.49137116870145903</v>
      </c>
      <c r="G39" s="57">
        <f t="shared" si="47"/>
        <v>-0.214872004534507</v>
      </c>
      <c r="H39" s="57">
        <f t="shared" si="47"/>
        <v>6.1006583438353801E-2</v>
      </c>
      <c r="I39" s="57">
        <f t="shared" si="47"/>
        <v>-1.9577928559170236E-2</v>
      </c>
      <c r="J39" s="57">
        <f t="shared" si="47"/>
        <v>2.1531684553625849E-3</v>
      </c>
      <c r="K39" s="57">
        <f t="shared" si="47"/>
        <v>3.9445872285925332E-3</v>
      </c>
      <c r="L39" s="57">
        <f t="shared" si="47"/>
        <v>2.4761310561757663E-2</v>
      </c>
      <c r="M39" s="57">
        <f t="shared" si="47"/>
        <v>5.76742737471579E-3</v>
      </c>
      <c r="N39" s="57">
        <f t="shared" si="47"/>
        <v>1.2480167984109423E-2</v>
      </c>
      <c r="O39" s="57">
        <f t="shared" si="47"/>
        <v>1.6034121589610435E-2</v>
      </c>
      <c r="P39" s="57">
        <f t="shared" si="47"/>
        <v>1.0989992532156951E-2</v>
      </c>
      <c r="Q39" s="57">
        <f t="shared" si="47"/>
        <v>1.02573489868996E-2</v>
      </c>
      <c r="R39" s="57">
        <f t="shared" si="47"/>
        <v>5.7535295932963507E-3</v>
      </c>
      <c r="S39" s="57">
        <f t="shared" si="47"/>
        <v>2.2633857045678957E-2</v>
      </c>
      <c r="T39" s="57">
        <f t="shared" si="47"/>
        <v>4.3789693827827811E-2</v>
      </c>
      <c r="U39" s="57">
        <f t="shared" si="47"/>
        <v>0.1027377883747127</v>
      </c>
      <c r="V39" s="57">
        <f t="shared" si="47"/>
        <v>0.13875216332032694</v>
      </c>
      <c r="W39" s="57">
        <f t="shared" si="47"/>
        <v>0.17553546194476824</v>
      </c>
      <c r="X39" s="57">
        <f t="shared" si="47"/>
        <v>0.24075106726374507</v>
      </c>
      <c r="Y39" s="57">
        <f t="shared" si="47"/>
        <v>0.19361583145880673</v>
      </c>
      <c r="Z39" s="57">
        <f t="shared" si="47"/>
        <v>0.18916926867520265</v>
      </c>
      <c r="AA39" s="57">
        <f t="shared" si="47"/>
        <v>0.19682983994673622</v>
      </c>
      <c r="AB39" s="57">
        <f t="shared" si="47"/>
        <v>0.22795930046874938</v>
      </c>
      <c r="AC39" s="57">
        <f t="shared" si="47"/>
        <v>0.27338071609114867</v>
      </c>
      <c r="AD39" s="57">
        <f t="shared" si="47"/>
        <v>0.31432015410061936</v>
      </c>
      <c r="AE39" s="57">
        <f t="shared" si="47"/>
        <v>0.31912864857440004</v>
      </c>
      <c r="AF39" s="57">
        <f t="shared" si="47"/>
        <v>0.3311866939341418</v>
      </c>
      <c r="AG39" s="57">
        <f t="shared" si="47"/>
        <v>0.31396413724550976</v>
      </c>
      <c r="AH39" s="57">
        <f t="shared" si="47"/>
        <v>0.31334613548147816</v>
      </c>
      <c r="AI39" s="57">
        <f t="shared" si="47"/>
        <v>0.32031275676897281</v>
      </c>
      <c r="AJ39" s="57">
        <f t="shared" si="47"/>
        <v>0.3537434708911712</v>
      </c>
      <c r="AK39" s="57">
        <f t="shared" si="47"/>
        <v>0.32733015025667561</v>
      </c>
      <c r="AL39" s="57">
        <f t="shared" si="47"/>
        <v>0.32277587207480146</v>
      </c>
      <c r="AM39" s="57">
        <f t="shared" si="47"/>
        <v>0.32917705630517652</v>
      </c>
      <c r="AN39" s="57">
        <f t="shared" si="47"/>
        <v>0.4303555854983529</v>
      </c>
      <c r="AO39" s="57">
        <f t="shared" si="47"/>
        <v>0.39775046213563303</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15133569.76</v>
      </c>
      <c r="C40" s="26">
        <f t="shared" ref="C40:BN40" si="49">C60</f>
        <v>14500196.6</v>
      </c>
      <c r="D40" s="26">
        <f t="shared" si="49"/>
        <v>744594.92</v>
      </c>
      <c r="E40" s="26">
        <f t="shared" si="49"/>
        <v>722577953.07000005</v>
      </c>
      <c r="F40" s="26">
        <f t="shared" si="49"/>
        <v>-576560183.99000001</v>
      </c>
      <c r="G40" s="26">
        <f t="shared" si="49"/>
        <v>-265614435.97999999</v>
      </c>
      <c r="H40" s="26">
        <f t="shared" si="49"/>
        <v>262534959.41</v>
      </c>
      <c r="I40" s="26">
        <f t="shared" si="49"/>
        <v>-106815889.16</v>
      </c>
      <c r="J40" s="26">
        <f t="shared" si="49"/>
        <v>-90689967.890000001</v>
      </c>
      <c r="K40" s="26">
        <f t="shared" si="49"/>
        <v>-34256201.93</v>
      </c>
      <c r="L40" s="26">
        <f t="shared" si="49"/>
        <v>43785111.240000002</v>
      </c>
      <c r="M40" s="26">
        <f t="shared" si="49"/>
        <v>-142947603.47</v>
      </c>
      <c r="N40" s="26">
        <f t="shared" si="49"/>
        <v>-62594034.560000002</v>
      </c>
      <c r="O40" s="26">
        <f t="shared" si="49"/>
        <v>-35831209.189999998</v>
      </c>
      <c r="P40" s="26">
        <f t="shared" si="49"/>
        <v>2402370.3199999998</v>
      </c>
      <c r="Q40" s="26">
        <f t="shared" si="49"/>
        <v>-55897456.039999999</v>
      </c>
      <c r="R40" s="26">
        <f t="shared" si="49"/>
        <v>-47476042.93</v>
      </c>
      <c r="S40" s="26">
        <f t="shared" si="49"/>
        <v>-779889.63</v>
      </c>
      <c r="T40" s="26">
        <f t="shared" si="49"/>
        <v>1824771.94</v>
      </c>
      <c r="U40" s="26">
        <f t="shared" si="49"/>
        <v>14020132.73</v>
      </c>
      <c r="V40" s="26">
        <f t="shared" si="49"/>
        <v>17232109.739999998</v>
      </c>
      <c r="W40" s="26">
        <f t="shared" si="49"/>
        <v>20461778.809999999</v>
      </c>
      <c r="X40" s="26">
        <f t="shared" si="49"/>
        <v>12095067.09</v>
      </c>
      <c r="Y40" s="26">
        <f t="shared" si="49"/>
        <v>38045914.329999998</v>
      </c>
      <c r="Z40" s="26">
        <f t="shared" si="49"/>
        <v>24605092.129999999</v>
      </c>
      <c r="AA40" s="26">
        <f t="shared" si="49"/>
        <v>18381051.219999999</v>
      </c>
      <c r="AB40" s="26">
        <f t="shared" si="49"/>
        <v>11846042.4</v>
      </c>
      <c r="AC40" s="26">
        <f t="shared" si="49"/>
        <v>33366594.960000001</v>
      </c>
      <c r="AD40" s="26">
        <f t="shared" si="49"/>
        <v>24465797.800000001</v>
      </c>
      <c r="AE40" s="26">
        <f t="shared" si="49"/>
        <v>12803545.199999999</v>
      </c>
      <c r="AF40" s="26">
        <f t="shared" si="49"/>
        <v>5628301.4500000002</v>
      </c>
      <c r="AG40" s="26">
        <f t="shared" si="49"/>
        <v>4737191.2</v>
      </c>
      <c r="AH40" s="26">
        <f t="shared" si="49"/>
        <v>3701314.39</v>
      </c>
      <c r="AI40" s="26">
        <f t="shared" si="49"/>
        <v>1476836.29</v>
      </c>
      <c r="AJ40" s="26">
        <f t="shared" si="49"/>
        <v>155235.70000000001</v>
      </c>
      <c r="AK40" s="26">
        <f t="shared" si="49"/>
        <v>3224077.55</v>
      </c>
      <c r="AL40" s="26">
        <f t="shared" si="49"/>
        <v>2900052.84</v>
      </c>
      <c r="AM40" s="26">
        <f t="shared" si="49"/>
        <v>1720415.1</v>
      </c>
      <c r="AN40" s="26">
        <f t="shared" si="49"/>
        <v>1422490.69</v>
      </c>
      <c r="AO40" s="26">
        <f t="shared" si="49"/>
        <v>0</v>
      </c>
      <c r="AP40" s="26">
        <f t="shared" si="49"/>
        <v>0</v>
      </c>
      <c r="AQ40" s="26">
        <f t="shared" si="49"/>
        <v>403560717.60000002</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-8.9966237457028541E-3</v>
      </c>
      <c r="C41" s="57">
        <f t="shared" ref="C41:BN41" si="51">C40/C38</f>
        <v>-1.0411307337579405E-2</v>
      </c>
      <c r="D41" s="57">
        <f t="shared" si="51"/>
        <v>-1.3586939859063446E-3</v>
      </c>
      <c r="E41" s="57">
        <f t="shared" si="51"/>
        <v>-4.0890250461450929E-2</v>
      </c>
      <c r="F41" s="57">
        <f t="shared" si="51"/>
        <v>0.19252484114242091</v>
      </c>
      <c r="G41" s="57">
        <f t="shared" si="51"/>
        <v>0.22309640975182127</v>
      </c>
      <c r="H41" s="57">
        <f t="shared" si="51"/>
        <v>1.045407716522156</v>
      </c>
      <c r="I41" s="57">
        <f t="shared" si="51"/>
        <v>0.2485511473067672</v>
      </c>
      <c r="J41" s="57">
        <f t="shared" si="51"/>
        <v>-2.511013299231291</v>
      </c>
      <c r="K41" s="57">
        <f t="shared" si="51"/>
        <v>-0.86298688960441894</v>
      </c>
      <c r="L41" s="57">
        <f t="shared" si="51"/>
        <v>0.38154766826255232</v>
      </c>
      <c r="M41" s="57">
        <f t="shared" si="51"/>
        <v>-1.9041142815904255</v>
      </c>
      <c r="N41" s="57">
        <f t="shared" si="51"/>
        <v>-0.5988651334606313</v>
      </c>
      <c r="O41" s="57">
        <f t="shared" si="51"/>
        <v>-0.50097033294609072</v>
      </c>
      <c r="P41" s="57">
        <f t="shared" si="51"/>
        <v>0.10246098407355027</v>
      </c>
      <c r="Q41" s="57">
        <f t="shared" si="51"/>
        <v>-0.7991717616538988</v>
      </c>
      <c r="R41" s="57">
        <f t="shared" si="51"/>
        <v>-1.7389639473076184</v>
      </c>
      <c r="S41" s="57">
        <f t="shared" si="51"/>
        <v>-1.1724768379348896E-2</v>
      </c>
      <c r="T41" s="57">
        <f t="shared" si="51"/>
        <v>4.0577786757547432E-2</v>
      </c>
      <c r="U41" s="57">
        <f t="shared" si="51"/>
        <v>5.7793754778641335E-2</v>
      </c>
      <c r="V41" s="57">
        <f t="shared" si="51"/>
        <v>9.0966033492437468E-2</v>
      </c>
      <c r="W41" s="57">
        <f t="shared" si="51"/>
        <v>0.15502678804234474</v>
      </c>
      <c r="X41" s="57">
        <f t="shared" si="51"/>
        <v>0.14694615778407782</v>
      </c>
      <c r="Y41" s="57">
        <f t="shared" si="51"/>
        <v>0.16833794285347292</v>
      </c>
      <c r="Z41" s="57">
        <f t="shared" si="51"/>
        <v>0.15694902407066713</v>
      </c>
      <c r="AA41" s="57">
        <f t="shared" si="51"/>
        <v>0.16887824528171963</v>
      </c>
      <c r="AB41" s="57">
        <f t="shared" si="51"/>
        <v>0.18841192231913922</v>
      </c>
      <c r="AC41" s="57">
        <f t="shared" si="51"/>
        <v>0.20391036713743566</v>
      </c>
      <c r="AD41" s="57">
        <f t="shared" si="51"/>
        <v>0.21870795297926157</v>
      </c>
      <c r="AE41" s="57">
        <f t="shared" si="51"/>
        <v>0.17982840342037973</v>
      </c>
      <c r="AF41" s="57">
        <f t="shared" si="51"/>
        <v>0.16223411811761063</v>
      </c>
      <c r="AG41" s="57">
        <f t="shared" si="51"/>
        <v>6.3327606897684949E-2</v>
      </c>
      <c r="AH41" s="57">
        <f t="shared" si="51"/>
        <v>6.8257774323770809E-2</v>
      </c>
      <c r="AI41" s="57">
        <f t="shared" si="51"/>
        <v>4.5213841755172422E-2</v>
      </c>
      <c r="AJ41" s="57">
        <f t="shared" si="51"/>
        <v>9.7187755824162964E-3</v>
      </c>
      <c r="AK41" s="57">
        <f t="shared" si="51"/>
        <v>6.7587485078623916E-2</v>
      </c>
      <c r="AL41" s="57">
        <f t="shared" si="51"/>
        <v>8.6682505268475651E-2</v>
      </c>
      <c r="AM41" s="57">
        <f t="shared" si="51"/>
        <v>8.7409049019196994E-2</v>
      </c>
      <c r="AN41" s="57">
        <f t="shared" si="51"/>
        <v>4.4905771169735674E-2</v>
      </c>
      <c r="AO41" s="57">
        <f t="shared" si="51"/>
        <v>0</v>
      </c>
      <c r="AP41" s="57" t="e">
        <f t="shared" si="51"/>
        <v>#DIV/0!</v>
      </c>
      <c r="AQ41" s="57">
        <f t="shared" si="51"/>
        <v>5.4623444638231016</v>
      </c>
      <c r="AR41" s="57">
        <f t="shared" si="51"/>
        <v>21.506440938812048</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-1697272357.3499997</v>
      </c>
      <c r="C42" s="28">
        <f t="shared" ref="C42:BN42" si="53">C38-C40</f>
        <v>-1407235626.4400001</v>
      </c>
      <c r="D42" s="28">
        <f t="shared" si="53"/>
        <v>-548767128.11999989</v>
      </c>
      <c r="E42" s="28">
        <f t="shared" si="53"/>
        <v>-18393732932.939999</v>
      </c>
      <c r="F42" s="28">
        <f t="shared" si="53"/>
        <v>-2418171200.1199999</v>
      </c>
      <c r="G42" s="28">
        <f t="shared" si="53"/>
        <v>-924966964.56999969</v>
      </c>
      <c r="H42" s="28">
        <f t="shared" si="53"/>
        <v>-11403314.539999753</v>
      </c>
      <c r="I42" s="28">
        <f t="shared" si="53"/>
        <v>-322938269.35999882</v>
      </c>
      <c r="J42" s="28">
        <f t="shared" si="53"/>
        <v>126806848.63999976</v>
      </c>
      <c r="K42" s="28">
        <f t="shared" si="53"/>
        <v>73951129.330000907</v>
      </c>
      <c r="L42" s="28">
        <f t="shared" si="53"/>
        <v>70971483.759999812</v>
      </c>
      <c r="M42" s="28">
        <f t="shared" si="53"/>
        <v>218020620.28000048</v>
      </c>
      <c r="N42" s="28">
        <f t="shared" si="53"/>
        <v>167115121.29999948</v>
      </c>
      <c r="O42" s="28">
        <f t="shared" si="53"/>
        <v>107354824.13000041</v>
      </c>
      <c r="P42" s="28">
        <f t="shared" si="53"/>
        <v>21044313.719999947</v>
      </c>
      <c r="Q42" s="28">
        <f t="shared" si="53"/>
        <v>125841689.21000004</v>
      </c>
      <c r="R42" s="28">
        <f t="shared" si="53"/>
        <v>74777381.179999739</v>
      </c>
      <c r="S42" s="28">
        <f t="shared" si="53"/>
        <v>67296310.659999833</v>
      </c>
      <c r="T42" s="28">
        <f t="shared" si="53"/>
        <v>43144953.75999999</v>
      </c>
      <c r="U42" s="28">
        <f t="shared" si="53"/>
        <v>228568928.73000017</v>
      </c>
      <c r="V42" s="28">
        <f t="shared" si="53"/>
        <v>172202441.58000013</v>
      </c>
      <c r="W42" s="28">
        <f t="shared" si="53"/>
        <v>111526886.30000004</v>
      </c>
      <c r="X42" s="28">
        <f t="shared" si="53"/>
        <v>70214448.669999987</v>
      </c>
      <c r="Y42" s="28">
        <f t="shared" si="53"/>
        <v>187963229.45000011</v>
      </c>
      <c r="Z42" s="28">
        <f t="shared" si="53"/>
        <v>132166141.56000006</v>
      </c>
      <c r="AA42" s="28">
        <f t="shared" si="53"/>
        <v>90460979.849999934</v>
      </c>
      <c r="AB42" s="28">
        <f t="shared" si="53"/>
        <v>51027061.670000024</v>
      </c>
      <c r="AC42" s="28">
        <f t="shared" si="53"/>
        <v>130267041.85999995</v>
      </c>
      <c r="AD42" s="28">
        <f t="shared" si="53"/>
        <v>87399351.440000013</v>
      </c>
      <c r="AE42" s="28">
        <f t="shared" si="53"/>
        <v>58395136.189999983</v>
      </c>
      <c r="AF42" s="28">
        <f t="shared" si="53"/>
        <v>29064163.45999999</v>
      </c>
      <c r="AG42" s="28">
        <f t="shared" si="53"/>
        <v>70067328.219999999</v>
      </c>
      <c r="AH42" s="28">
        <f t="shared" si="53"/>
        <v>50524221.480000019</v>
      </c>
      <c r="AI42" s="28">
        <f t="shared" si="53"/>
        <v>31186530.340000011</v>
      </c>
      <c r="AJ42" s="28">
        <f t="shared" si="53"/>
        <v>15817527.4</v>
      </c>
      <c r="AK42" s="28">
        <f t="shared" si="53"/>
        <v>44478208.550000012</v>
      </c>
      <c r="AL42" s="28">
        <f t="shared" si="53"/>
        <v>30555981.119999997</v>
      </c>
      <c r="AM42" s="28">
        <f t="shared" si="53"/>
        <v>17961930.370000001</v>
      </c>
      <c r="AN42" s="28">
        <f t="shared" si="53"/>
        <v>30254744.839999985</v>
      </c>
      <c r="AO42" s="28">
        <f t="shared" si="53"/>
        <v>14683477.389999999</v>
      </c>
      <c r="AP42" s="28">
        <f t="shared" si="53"/>
        <v>0</v>
      </c>
      <c r="AQ42" s="28">
        <f t="shared" si="53"/>
        <v>-329680221.73000002</v>
      </c>
      <c r="AR42" s="28">
        <f t="shared" si="53"/>
        <v>-320202934.91000003</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-125.91825623386737</v>
      </c>
      <c r="C43" s="57">
        <f t="shared" ref="C43:D43" si="55">C42/C4*100</f>
        <v>-143.04445700491752</v>
      </c>
      <c r="D43" s="57">
        <f t="shared" si="55"/>
        <v>-128.05409600938594</v>
      </c>
      <c r="E43" s="57">
        <f>E42/E4</f>
        <v>-2.6182445423423855</v>
      </c>
      <c r="F43" s="57">
        <f t="shared" ref="F43:BQ43" si="56">F42/F4</f>
        <v>-0.39677001250524496</v>
      </c>
      <c r="G43" s="57">
        <f t="shared" si="56"/>
        <v>-0.16693483176668142</v>
      </c>
      <c r="H43" s="57">
        <f t="shared" si="56"/>
        <v>-2.7701696467540339E-3</v>
      </c>
      <c r="I43" s="57">
        <f t="shared" si="56"/>
        <v>-1.471181195389855E-2</v>
      </c>
      <c r="J43" s="57">
        <f t="shared" si="56"/>
        <v>7.5598030822633319E-3</v>
      </c>
      <c r="K43" s="57">
        <f t="shared" si="56"/>
        <v>7.348714291768919E-3</v>
      </c>
      <c r="L43" s="57">
        <f t="shared" si="56"/>
        <v>1.5313690253794116E-2</v>
      </c>
      <c r="M43" s="57">
        <f t="shared" si="56"/>
        <v>1.67492682069477E-2</v>
      </c>
      <c r="N43" s="57">
        <f t="shared" si="56"/>
        <v>1.9954105449524209E-2</v>
      </c>
      <c r="O43" s="57">
        <f t="shared" si="56"/>
        <v>2.4066740820855675E-2</v>
      </c>
      <c r="P43" s="57">
        <f t="shared" si="56"/>
        <v>9.8639470823511811E-3</v>
      </c>
      <c r="Q43" s="57">
        <f t="shared" si="56"/>
        <v>1.8454732646658985E-2</v>
      </c>
      <c r="R43" s="57">
        <f t="shared" si="56"/>
        <v>1.575871012580617E-2</v>
      </c>
      <c r="S43" s="57">
        <f t="shared" si="56"/>
        <v>2.2899233777070836E-2</v>
      </c>
      <c r="T43" s="57">
        <f t="shared" si="56"/>
        <v>4.2012804969503922E-2</v>
      </c>
      <c r="U43" s="57">
        <f t="shared" si="56"/>
        <v>9.6800185826884613E-2</v>
      </c>
      <c r="V43" s="57">
        <f t="shared" si="56"/>
        <v>0.12613042938458191</v>
      </c>
      <c r="W43" s="57">
        <f t="shared" si="56"/>
        <v>0.14832276309194159</v>
      </c>
      <c r="X43" s="57">
        <f t="shared" si="56"/>
        <v>0.20537362294692163</v>
      </c>
      <c r="Y43" s="57">
        <f t="shared" si="56"/>
        <v>0.16102294068716649</v>
      </c>
      <c r="Z43" s="57">
        <f t="shared" si="56"/>
        <v>0.15947933657246779</v>
      </c>
      <c r="AA43" s="57">
        <f t="shared" si="56"/>
        <v>0.1635895619574497</v>
      </c>
      <c r="AB43" s="57">
        <f t="shared" si="56"/>
        <v>0.18500905045690605</v>
      </c>
      <c r="AC43" s="57">
        <f t="shared" si="56"/>
        <v>0.21763555390470748</v>
      </c>
      <c r="AD43" s="57">
        <f t="shared" si="56"/>
        <v>0.24557583661714688</v>
      </c>
      <c r="AE43" s="57">
        <f t="shared" si="56"/>
        <v>0.26174025321556221</v>
      </c>
      <c r="AF43" s="57">
        <f t="shared" si="56"/>
        <v>0.27745691271144929</v>
      </c>
      <c r="AG43" s="57">
        <f t="shared" si="56"/>
        <v>0.29408153978205531</v>
      </c>
      <c r="AH43" s="57">
        <f t="shared" si="56"/>
        <v>0.29195782568055767</v>
      </c>
      <c r="AI43" s="57">
        <f t="shared" si="56"/>
        <v>0.30583018647225746</v>
      </c>
      <c r="AJ43" s="57">
        <f t="shared" si="56"/>
        <v>0.35030551748383493</v>
      </c>
      <c r="AK43" s="57">
        <f t="shared" si="56"/>
        <v>0.30520672861041881</v>
      </c>
      <c r="AL43" s="57">
        <f t="shared" si="56"/>
        <v>0.29479685084314067</v>
      </c>
      <c r="AM43" s="57">
        <f t="shared" si="56"/>
        <v>0.30040400285460239</v>
      </c>
      <c r="AN43" s="57">
        <f t="shared" si="56"/>
        <v>0.41103013605434624</v>
      </c>
      <c r="AO43" s="57">
        <f t="shared" si="56"/>
        <v>0.39775046213563303</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-74878478.740800008</v>
      </c>
      <c r="C45" s="26">
        <f t="shared" ref="C45:BN45" si="58">C70*C69</f>
        <v>-164417436.9576</v>
      </c>
      <c r="D45" s="26">
        <f t="shared" si="58"/>
        <v>-96178399.845599994</v>
      </c>
      <c r="E45" s="26">
        <f t="shared" si="58"/>
        <v>-53319073.212799996</v>
      </c>
      <c r="F45" s="26">
        <f t="shared" si="58"/>
        <v>1190051407.684</v>
      </c>
      <c r="G45" s="26">
        <f t="shared" si="58"/>
        <v>1311344515.1816001</v>
      </c>
      <c r="H45" s="26">
        <f t="shared" si="58"/>
        <v>1183772948.4024</v>
      </c>
      <c r="I45" s="26">
        <f t="shared" si="58"/>
        <v>838540219.16479993</v>
      </c>
      <c r="J45" s="26">
        <f t="shared" si="58"/>
        <v>791739912.35360003</v>
      </c>
      <c r="K45" s="26">
        <f t="shared" si="58"/>
        <v>404090997.71600002</v>
      </c>
      <c r="L45" s="26">
        <f t="shared" si="58"/>
        <v>394864186.08720005</v>
      </c>
      <c r="M45" s="26">
        <f t="shared" si="58"/>
        <v>305210742.37520003</v>
      </c>
      <c r="N45" s="26">
        <f t="shared" si="58"/>
        <v>286995091.912</v>
      </c>
      <c r="O45" s="26">
        <f t="shared" si="58"/>
        <v>279417756.24560004</v>
      </c>
      <c r="P45" s="26">
        <f t="shared" si="58"/>
        <v>270664552.31440002</v>
      </c>
      <c r="Q45" s="26">
        <f t="shared" si="58"/>
        <v>267477871.6816</v>
      </c>
      <c r="R45" s="26">
        <f t="shared" si="58"/>
        <v>253734202.252</v>
      </c>
      <c r="S45" s="26">
        <f t="shared" si="58"/>
        <v>248421619.52320001</v>
      </c>
      <c r="T45" s="26">
        <f t="shared" si="58"/>
        <v>172646731.18959999</v>
      </c>
      <c r="U45" s="26">
        <f t="shared" si="58"/>
        <v>166362060.0424</v>
      </c>
      <c r="V45" s="26">
        <f t="shared" si="58"/>
        <v>159130512.36320001</v>
      </c>
      <c r="W45" s="26">
        <f t="shared" si="58"/>
        <v>126775989.7216</v>
      </c>
      <c r="X45" s="26">
        <f t="shared" si="58"/>
        <v>107595738.9672</v>
      </c>
      <c r="Y45" s="26">
        <f t="shared" si="58"/>
        <v>101874179.07280001</v>
      </c>
      <c r="Z45" s="26">
        <f t="shared" si="58"/>
        <v>96805119.278400004</v>
      </c>
      <c r="AA45" s="26">
        <f t="shared" si="58"/>
        <v>90802057.500799999</v>
      </c>
      <c r="AB45" s="26">
        <f t="shared" si="58"/>
        <v>88791372.659199998</v>
      </c>
      <c r="AC45" s="26">
        <f t="shared" si="58"/>
        <v>84568537.802399993</v>
      </c>
      <c r="AD45" s="26">
        <f t="shared" si="58"/>
        <v>80884931.151199996</v>
      </c>
      <c r="AE45" s="26">
        <f t="shared" si="58"/>
        <v>78564593.930399999</v>
      </c>
      <c r="AF45" s="26">
        <f t="shared" si="58"/>
        <v>77418116.112000003</v>
      </c>
      <c r="AG45" s="26">
        <f t="shared" si="58"/>
        <v>75092983.0352</v>
      </c>
      <c r="AH45" s="26">
        <f t="shared" si="58"/>
        <v>73526966.403999999</v>
      </c>
      <c r="AI45" s="26">
        <f t="shared" si="58"/>
        <v>17455383.460000001</v>
      </c>
      <c r="AJ45" s="26">
        <f t="shared" si="58"/>
        <v>14960461.0328</v>
      </c>
      <c r="AK45" s="26">
        <f t="shared" si="58"/>
        <v>11413644.607999999</v>
      </c>
      <c r="AL45" s="26">
        <f t="shared" si="58"/>
        <v>4769265.0208000001</v>
      </c>
      <c r="AM45" s="26">
        <f t="shared" si="58"/>
        <v>0</v>
      </c>
      <c r="AN45" s="26">
        <f t="shared" si="58"/>
        <v>0</v>
      </c>
      <c r="AO45" s="26">
        <f t="shared" si="58"/>
        <v>0</v>
      </c>
      <c r="AP45" s="26">
        <f t="shared" si="58"/>
        <v>0</v>
      </c>
      <c r="AQ45" s="26">
        <f t="shared" si="58"/>
        <v>874750700.03759992</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-1622393878.6091998</v>
      </c>
      <c r="C47" s="28">
        <f t="shared" ref="C47:BN47" si="62">C42-C45</f>
        <v>-1242818189.4823999</v>
      </c>
      <c r="D47" s="28">
        <f t="shared" si="62"/>
        <v>-452588728.27439988</v>
      </c>
      <c r="E47" s="28">
        <f t="shared" si="62"/>
        <v>-18340413859.7272</v>
      </c>
      <c r="F47" s="28">
        <f t="shared" si="62"/>
        <v>-3608222607.8039999</v>
      </c>
      <c r="G47" s="28">
        <f t="shared" si="62"/>
        <v>-2236311479.7515998</v>
      </c>
      <c r="H47" s="28">
        <f t="shared" si="62"/>
        <v>-1195176262.9423997</v>
      </c>
      <c r="I47" s="28">
        <f t="shared" si="62"/>
        <v>-1161478488.5247989</v>
      </c>
      <c r="J47" s="28">
        <f t="shared" si="62"/>
        <v>-664933063.71360028</v>
      </c>
      <c r="K47" s="28">
        <f t="shared" si="62"/>
        <v>-330139868.38599908</v>
      </c>
      <c r="L47" s="28">
        <f t="shared" si="62"/>
        <v>-323892702.32720023</v>
      </c>
      <c r="M47" s="28">
        <f t="shared" si="62"/>
        <v>-87190122.095199555</v>
      </c>
      <c r="N47" s="28">
        <f t="shared" si="62"/>
        <v>-119879970.61200052</v>
      </c>
      <c r="O47" s="28">
        <f t="shared" si="62"/>
        <v>-172062932.11559963</v>
      </c>
      <c r="P47" s="28">
        <f t="shared" si="62"/>
        <v>-249620238.59440008</v>
      </c>
      <c r="Q47" s="28">
        <f t="shared" si="62"/>
        <v>-141636182.47159997</v>
      </c>
      <c r="R47" s="28">
        <f t="shared" si="62"/>
        <v>-178956821.07200027</v>
      </c>
      <c r="S47" s="28">
        <f t="shared" si="62"/>
        <v>-181125308.86320019</v>
      </c>
      <c r="T47" s="28">
        <f t="shared" si="62"/>
        <v>-129501777.4296</v>
      </c>
      <c r="U47" s="28">
        <f t="shared" si="62"/>
        <v>62206868.687600166</v>
      </c>
      <c r="V47" s="28">
        <f t="shared" si="62"/>
        <v>13071929.216800123</v>
      </c>
      <c r="W47" s="28">
        <f t="shared" si="62"/>
        <v>-15249103.421599954</v>
      </c>
      <c r="X47" s="28">
        <f t="shared" si="62"/>
        <v>-37381290.297200009</v>
      </c>
      <c r="Y47" s="28">
        <f t="shared" si="62"/>
        <v>86089050.377200097</v>
      </c>
      <c r="Z47" s="28">
        <f t="shared" si="62"/>
        <v>35361022.281600058</v>
      </c>
      <c r="AA47" s="28">
        <f t="shared" si="62"/>
        <v>-341077.65080006421</v>
      </c>
      <c r="AB47" s="28">
        <f t="shared" si="62"/>
        <v>-37764310.989199974</v>
      </c>
      <c r="AC47" s="28">
        <f t="shared" si="62"/>
        <v>45698504.057599962</v>
      </c>
      <c r="AD47" s="28">
        <f t="shared" si="62"/>
        <v>6514420.288800016</v>
      </c>
      <c r="AE47" s="28">
        <f t="shared" si="62"/>
        <v>-20169457.740400016</v>
      </c>
      <c r="AF47" s="28">
        <f t="shared" si="62"/>
        <v>-48353952.65200001</v>
      </c>
      <c r="AG47" s="28">
        <f t="shared" si="62"/>
        <v>-5025654.815200001</v>
      </c>
      <c r="AH47" s="28">
        <f t="shared" si="62"/>
        <v>-23002744.92399998</v>
      </c>
      <c r="AI47" s="28">
        <f t="shared" si="62"/>
        <v>13731146.88000001</v>
      </c>
      <c r="AJ47" s="28">
        <f t="shared" si="62"/>
        <v>857066.36720000021</v>
      </c>
      <c r="AK47" s="28">
        <f t="shared" si="62"/>
        <v>33064563.942000013</v>
      </c>
      <c r="AL47" s="28">
        <f t="shared" si="62"/>
        <v>25786716.099199995</v>
      </c>
      <c r="AM47" s="28">
        <f t="shared" si="62"/>
        <v>17961930.370000001</v>
      </c>
      <c r="AN47" s="28">
        <f t="shared" si="62"/>
        <v>30254744.839999985</v>
      </c>
      <c r="AO47" s="28">
        <f t="shared" si="62"/>
        <v>14683477.389999999</v>
      </c>
      <c r="AP47" s="28">
        <f t="shared" si="62"/>
        <v>0</v>
      </c>
      <c r="AQ47" s="28">
        <f t="shared" si="62"/>
        <v>-1204430921.7676001</v>
      </c>
      <c r="AR47" s="28">
        <f t="shared" si="62"/>
        <v>-1171558509.1084001</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20081231</v>
      </c>
      <c r="AO51" s="189">
        <v>20071231</v>
      </c>
      <c r="AP51" s="189">
        <v>19700101</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20010930</v>
      </c>
      <c r="BS51" s="189">
        <v>20010630</v>
      </c>
      <c r="BT51" s="189">
        <v>20010331</v>
      </c>
      <c r="BU51" s="189">
        <v>20001231</v>
      </c>
      <c r="BV51" s="189">
        <v>20000630</v>
      </c>
      <c r="BW51" s="189">
        <v>19991231</v>
      </c>
      <c r="BX51" s="189">
        <v>19990630</v>
      </c>
      <c r="BY51" s="189">
        <v>19981231</v>
      </c>
      <c r="BZ51" s="189">
        <v>19980630</v>
      </c>
      <c r="CA51" s="189">
        <v>19971231</v>
      </c>
      <c r="CB51" s="189">
        <v>19961231</v>
      </c>
      <c r="CC51" s="189">
        <v>19951231</v>
      </c>
      <c r="CD51" s="189">
        <v>19700101</v>
      </c>
      <c r="CE51" s="189">
        <v>19941231</v>
      </c>
      <c r="CF51" s="189">
        <v>19940630</v>
      </c>
      <c r="CG51" s="189">
        <v>19930630</v>
      </c>
      <c r="CH51" s="189">
        <v>19921231</v>
      </c>
      <c r="CI51" s="189">
        <v>19911231</v>
      </c>
      <c r="CJ51" s="189">
        <v>19901231</v>
      </c>
      <c r="CK51" s="189">
        <v>19700101</v>
      </c>
    </row>
    <row r="52" spans="1:89" s="43" customFormat="1" x14ac:dyDescent="0.25">
      <c r="A52" s="131" t="s">
        <v>570</v>
      </c>
      <c r="B52" s="42">
        <v>-25636</v>
      </c>
      <c r="C52" s="42">
        <v>-27718</v>
      </c>
      <c r="D52" s="42">
        <v>-35317</v>
      </c>
      <c r="E52" s="42">
        <v>-15246305.27</v>
      </c>
      <c r="F52" s="42">
        <v>-34414</v>
      </c>
      <c r="G52" s="42">
        <v>-23309</v>
      </c>
      <c r="H52" s="42">
        <v>-16814</v>
      </c>
      <c r="I52" s="42">
        <v>-11231600.859999999</v>
      </c>
      <c r="J52" s="42"/>
      <c r="K52" s="42"/>
      <c r="M52" s="43">
        <v>-6185426.25</v>
      </c>
      <c r="Q52" s="43">
        <v>-3514224.9</v>
      </c>
      <c r="U52" s="43">
        <v>-1259079.8799999999</v>
      </c>
      <c r="Y52" s="43">
        <v>-18192702.02</v>
      </c>
      <c r="AC52" s="43">
        <v>-11907410.390000001</v>
      </c>
      <c r="AG52" s="43">
        <v>-899701.06</v>
      </c>
    </row>
    <row r="53" spans="1:89" s="43" customFormat="1" x14ac:dyDescent="0.25">
      <c r="A53" s="132" t="s">
        <v>90</v>
      </c>
      <c r="B53" s="42">
        <v>217</v>
      </c>
      <c r="C53" s="42">
        <v>189</v>
      </c>
      <c r="D53" s="42"/>
      <c r="E53" s="42">
        <v>787544627.55999994</v>
      </c>
      <c r="F53" s="42"/>
      <c r="G53" s="42"/>
      <c r="H53" s="42"/>
      <c r="I53" s="42">
        <v>550138357.40999997</v>
      </c>
      <c r="J53" s="42"/>
      <c r="K53" s="42"/>
      <c r="M53" s="43">
        <v>284322482.31999999</v>
      </c>
      <c r="Q53" s="43">
        <v>151285869.65000001</v>
      </c>
      <c r="U53" s="43">
        <v>114836655.17</v>
      </c>
      <c r="Y53" s="43">
        <v>58480325.060000002</v>
      </c>
      <c r="AC53" s="43">
        <v>12686640.33</v>
      </c>
      <c r="AD53" s="42"/>
      <c r="AE53" s="42"/>
      <c r="AF53" s="42"/>
      <c r="AG53" s="42">
        <v>4580578.7699999996</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95851030.25</v>
      </c>
      <c r="F54" s="42">
        <v>2684</v>
      </c>
      <c r="G54" s="42">
        <v>-377</v>
      </c>
      <c r="H54" s="42">
        <v>1008</v>
      </c>
      <c r="I54" s="42">
        <v>32591293.300000001</v>
      </c>
      <c r="J54" s="42"/>
      <c r="K54" s="42"/>
      <c r="M54" s="43">
        <v>21450405.559999999</v>
      </c>
      <c r="Q54" s="43">
        <v>1265573.99</v>
      </c>
      <c r="U54" s="43">
        <v>-1230043.23</v>
      </c>
      <c r="Y54" s="43">
        <v>-178975.77</v>
      </c>
      <c r="AC54" s="43">
        <v>415431.91</v>
      </c>
      <c r="AG54" s="43">
        <v>8876.74</v>
      </c>
    </row>
    <row r="55" spans="1:89" s="43" customFormat="1" x14ac:dyDescent="0.25">
      <c r="A55" s="132" t="s">
        <v>92</v>
      </c>
      <c r="B55" s="42">
        <v>463</v>
      </c>
      <c r="C55" s="42">
        <v>603</v>
      </c>
      <c r="D55" s="42">
        <v>653</v>
      </c>
      <c r="E55" s="42">
        <v>4561131.75</v>
      </c>
      <c r="F55" s="42">
        <v>1204</v>
      </c>
      <c r="G55" s="42">
        <v>868</v>
      </c>
      <c r="H55" s="42">
        <v>644</v>
      </c>
      <c r="I55" s="42">
        <v>76529050.200000003</v>
      </c>
      <c r="J55" s="42"/>
      <c r="K55" s="42"/>
      <c r="M55" s="43">
        <v>6189586.4500000002</v>
      </c>
      <c r="Q55" s="43">
        <v>2188017.14</v>
      </c>
      <c r="U55" s="43">
        <v>3939500.43</v>
      </c>
      <c r="Y55" s="43">
        <v>2078562.2</v>
      </c>
      <c r="AC55" s="43">
        <v>195401.39</v>
      </c>
      <c r="AG55" s="43">
        <v>23224.41</v>
      </c>
    </row>
    <row r="56" spans="1:89" s="26" customFormat="1" x14ac:dyDescent="0.25">
      <c r="A56" s="133" t="s">
        <v>93</v>
      </c>
      <c r="B56" s="44">
        <f>SUM(B52:B55)</f>
        <v>-21852</v>
      </c>
      <c r="C56" s="44">
        <f t="shared" ref="C56:D56" si="64">SUM(C52:C55)</f>
        <v>-28350</v>
      </c>
      <c r="D56" s="44">
        <f t="shared" si="64"/>
        <v>-35004</v>
      </c>
      <c r="E56" s="44">
        <f>SUM(E52:E55)</f>
        <v>872710484.28999996</v>
      </c>
      <c r="F56" s="44">
        <f t="shared" ref="F56:BQ56" si="65">SUM(F52:F55)</f>
        <v>-30526</v>
      </c>
      <c r="G56" s="44">
        <f t="shared" si="65"/>
        <v>-22818</v>
      </c>
      <c r="H56" s="44">
        <f t="shared" si="65"/>
        <v>-15162</v>
      </c>
      <c r="I56" s="44">
        <f t="shared" si="65"/>
        <v>648027100.04999995</v>
      </c>
      <c r="J56" s="44">
        <f t="shared" si="65"/>
        <v>0</v>
      </c>
      <c r="K56" s="44">
        <f t="shared" si="65"/>
        <v>0</v>
      </c>
      <c r="L56" s="44">
        <f t="shared" si="65"/>
        <v>0</v>
      </c>
      <c r="M56" s="44">
        <f t="shared" si="65"/>
        <v>305777048.07999998</v>
      </c>
      <c r="N56" s="44">
        <f t="shared" si="65"/>
        <v>0</v>
      </c>
      <c r="O56" s="44">
        <f t="shared" si="65"/>
        <v>0</v>
      </c>
      <c r="P56" s="44">
        <f t="shared" si="65"/>
        <v>0</v>
      </c>
      <c r="Q56" s="44">
        <f t="shared" si="65"/>
        <v>151225235.88</v>
      </c>
      <c r="R56" s="44">
        <f t="shared" si="65"/>
        <v>0</v>
      </c>
      <c r="S56" s="44">
        <f t="shared" si="65"/>
        <v>0</v>
      </c>
      <c r="T56" s="44">
        <f t="shared" si="65"/>
        <v>0</v>
      </c>
      <c r="U56" s="44">
        <f t="shared" si="65"/>
        <v>116287032.49000001</v>
      </c>
      <c r="V56" s="44">
        <f t="shared" si="65"/>
        <v>0</v>
      </c>
      <c r="W56" s="44">
        <f t="shared" si="65"/>
        <v>0</v>
      </c>
      <c r="X56" s="44">
        <f t="shared" si="65"/>
        <v>0</v>
      </c>
      <c r="Y56" s="44">
        <f t="shared" si="65"/>
        <v>42187209.470000006</v>
      </c>
      <c r="Z56" s="44">
        <f t="shared" si="65"/>
        <v>0</v>
      </c>
      <c r="AA56" s="44">
        <f t="shared" si="65"/>
        <v>0</v>
      </c>
      <c r="AB56" s="44">
        <f t="shared" si="65"/>
        <v>0</v>
      </c>
      <c r="AC56" s="44">
        <f t="shared" si="65"/>
        <v>1390063.2399999993</v>
      </c>
      <c r="AD56" s="44">
        <f t="shared" si="65"/>
        <v>0</v>
      </c>
      <c r="AE56" s="44">
        <f t="shared" si="65"/>
        <v>0</v>
      </c>
      <c r="AF56" s="44">
        <f t="shared" si="65"/>
        <v>0</v>
      </c>
      <c r="AG56" s="44">
        <f t="shared" si="65"/>
        <v>3712978.86</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-1847988476.24</v>
      </c>
      <c r="C59" s="189">
        <v>-1308525524.96</v>
      </c>
      <c r="D59" s="189">
        <v>-445927998.26999998</v>
      </c>
      <c r="E59" s="189">
        <v>-18184307477.130001</v>
      </c>
      <c r="F59" s="189">
        <v>-2282291733.3000002</v>
      </c>
      <c r="G59" s="189">
        <v>-830012475.75</v>
      </c>
      <c r="H59" s="189">
        <v>-348705.07</v>
      </c>
      <c r="I59" s="189">
        <v>-221892631.71000001</v>
      </c>
      <c r="J59" s="189">
        <v>138915849.72999999</v>
      </c>
      <c r="K59" s="189">
        <v>80298108.140000001</v>
      </c>
      <c r="L59" s="189">
        <v>79029970.140000001</v>
      </c>
      <c r="M59" s="189">
        <v>217116825.56</v>
      </c>
      <c r="N59" s="189">
        <v>150835938.46000001</v>
      </c>
      <c r="O59" s="189">
        <v>109241235.23999999</v>
      </c>
      <c r="P59" s="189">
        <v>20702319.170000002</v>
      </c>
      <c r="Q59" s="189">
        <v>128796560.88</v>
      </c>
      <c r="R59" s="189">
        <v>73132461.280000001</v>
      </c>
      <c r="S59" s="189">
        <v>66295055.689999998</v>
      </c>
      <c r="T59" s="189">
        <v>41946501.630000003</v>
      </c>
      <c r="U59" s="189">
        <v>232380750.5</v>
      </c>
      <c r="V59" s="189">
        <v>172982929.15000001</v>
      </c>
      <c r="W59" s="189">
        <v>112083028.34999999</v>
      </c>
      <c r="X59" s="189">
        <v>70106599.640000001</v>
      </c>
      <c r="Y59" s="189">
        <v>189965814.25999999</v>
      </c>
      <c r="Z59" s="189">
        <v>132166141.56</v>
      </c>
      <c r="AA59" s="189">
        <v>90460979.849999994</v>
      </c>
      <c r="AB59" s="189">
        <v>51027061.670000002</v>
      </c>
      <c r="AC59" s="189">
        <v>130877875.16</v>
      </c>
      <c r="AD59" s="189">
        <v>87399351.450000003</v>
      </c>
      <c r="AE59" s="189">
        <v>58395136.189999998</v>
      </c>
      <c r="AF59" s="189">
        <v>29064163.460000001</v>
      </c>
      <c r="AG59" s="189">
        <v>70099429.370000005</v>
      </c>
      <c r="AH59" s="189">
        <v>50524221.479999997</v>
      </c>
      <c r="AI59" s="189">
        <v>31186530.34</v>
      </c>
      <c r="AJ59" s="189">
        <v>15817527.4</v>
      </c>
      <c r="AK59" s="189">
        <v>44478208.549999997</v>
      </c>
      <c r="AL59" s="189">
        <v>30555981.120000001</v>
      </c>
      <c r="AM59" s="189">
        <v>17961930.370000001</v>
      </c>
      <c r="AN59" s="189">
        <v>30254744.84</v>
      </c>
      <c r="AO59" s="189">
        <v>14683477.390000001</v>
      </c>
      <c r="AP59" s="189">
        <v>0</v>
      </c>
      <c r="AQ59" s="189">
        <v>1308146766.3</v>
      </c>
      <c r="AR59" s="189">
        <v>1015707693.3099999</v>
      </c>
      <c r="AS59" s="189">
        <v>1472784098.4200001</v>
      </c>
      <c r="AT59" s="189">
        <v>1326845730.0799999</v>
      </c>
      <c r="AU59" s="189">
        <v>1145272727.9100001</v>
      </c>
      <c r="AV59" s="189">
        <v>745206726.03999996</v>
      </c>
      <c r="AW59" s="189">
        <v>1179340016.0999999</v>
      </c>
      <c r="AX59" s="189">
        <v>1023357815.7</v>
      </c>
      <c r="AY59" s="189">
        <v>822921865.61000001</v>
      </c>
      <c r="AZ59" s="189">
        <v>548815529.96000004</v>
      </c>
      <c r="BA59" s="189">
        <v>799007076.76999998</v>
      </c>
      <c r="BB59" s="189">
        <v>773754249.82000005</v>
      </c>
      <c r="BC59" s="189">
        <v>592464063.88</v>
      </c>
      <c r="BD59" s="189">
        <v>416503687.60000002</v>
      </c>
      <c r="BE59" s="189">
        <v>829759695.11000001</v>
      </c>
      <c r="BF59" s="189">
        <v>679164074.51999998</v>
      </c>
      <c r="BG59" s="189">
        <v>537962660</v>
      </c>
      <c r="BH59" s="189">
        <v>383394123.19999999</v>
      </c>
      <c r="BI59" s="189">
        <v>703792730.94000006</v>
      </c>
      <c r="BJ59" s="189">
        <v>548305195.13</v>
      </c>
      <c r="BK59" s="189">
        <v>389654678.44</v>
      </c>
      <c r="BL59" s="189">
        <v>289511785.36000001</v>
      </c>
      <c r="BM59" s="189">
        <v>618984667.90999997</v>
      </c>
      <c r="BN59" s="189">
        <v>511693618.56</v>
      </c>
      <c r="BO59" s="189">
        <v>373562587.13</v>
      </c>
      <c r="BP59" s="189">
        <v>253237536.75999999</v>
      </c>
      <c r="BQ59" s="189">
        <v>816316516.73000002</v>
      </c>
      <c r="BR59" s="189">
        <v>650310000</v>
      </c>
      <c r="BS59" s="189">
        <v>478983205.56999999</v>
      </c>
      <c r="BT59" s="189">
        <v>281830575.43000001</v>
      </c>
      <c r="BU59" s="189">
        <v>768216832.5</v>
      </c>
      <c r="BV59" s="189">
        <v>429812800.44999999</v>
      </c>
      <c r="BW59" s="189">
        <v>649021962.89999998</v>
      </c>
      <c r="BX59" s="189">
        <v>317076251.63999999</v>
      </c>
      <c r="BY59" s="189">
        <v>553291095.09000003</v>
      </c>
      <c r="BZ59" s="189">
        <v>252919406.88</v>
      </c>
      <c r="CA59" s="189">
        <v>341298375.86000001</v>
      </c>
      <c r="CB59" s="189">
        <v>259939328.41</v>
      </c>
      <c r="CC59" s="189">
        <v>216927477.38</v>
      </c>
      <c r="CD59" s="189">
        <v>0</v>
      </c>
      <c r="CE59" s="189">
        <v>162135000</v>
      </c>
      <c r="CF59" s="189">
        <v>90056788.769999996</v>
      </c>
      <c r="CG59" s="189">
        <v>54430000</v>
      </c>
      <c r="CH59" s="189">
        <v>80440000</v>
      </c>
      <c r="CI59" s="189">
        <v>58950000</v>
      </c>
      <c r="CJ59" s="189">
        <v>67670000</v>
      </c>
      <c r="CK59" s="189">
        <v>0</v>
      </c>
    </row>
    <row r="60" spans="1:89" x14ac:dyDescent="0.25">
      <c r="A60" s="22" t="s">
        <v>95</v>
      </c>
      <c r="B60" s="189">
        <v>15133569.76</v>
      </c>
      <c r="C60" s="189">
        <v>14500196.6</v>
      </c>
      <c r="D60" s="189">
        <v>744594.92</v>
      </c>
      <c r="E60" s="189">
        <v>722577953.07000005</v>
      </c>
      <c r="F60" s="189">
        <v>-576560183.99000001</v>
      </c>
      <c r="G60" s="189">
        <v>-265614435.97999999</v>
      </c>
      <c r="H60" s="189">
        <v>262534959.41</v>
      </c>
      <c r="I60" s="189">
        <v>-106815889.16</v>
      </c>
      <c r="J60" s="189">
        <v>-90689967.890000001</v>
      </c>
      <c r="K60" s="189">
        <v>-34256201.93</v>
      </c>
      <c r="L60" s="189">
        <v>43785111.240000002</v>
      </c>
      <c r="M60" s="189">
        <v>-142947603.47</v>
      </c>
      <c r="N60" s="189">
        <v>-62594034.560000002</v>
      </c>
      <c r="O60" s="189">
        <v>-35831209.189999998</v>
      </c>
      <c r="P60" s="189">
        <v>2402370.3199999998</v>
      </c>
      <c r="Q60" s="189">
        <v>-55897456.039999999</v>
      </c>
      <c r="R60" s="189">
        <v>-47476042.93</v>
      </c>
      <c r="S60" s="189">
        <v>-779889.63</v>
      </c>
      <c r="T60" s="189">
        <v>1824771.94</v>
      </c>
      <c r="U60" s="189">
        <v>14020132.73</v>
      </c>
      <c r="V60" s="189">
        <v>17232109.739999998</v>
      </c>
      <c r="W60" s="189">
        <v>20461778.809999999</v>
      </c>
      <c r="X60" s="189">
        <v>12095067.09</v>
      </c>
      <c r="Y60" s="189">
        <v>38045914.329999998</v>
      </c>
      <c r="Z60" s="189">
        <v>24605092.129999999</v>
      </c>
      <c r="AA60" s="189">
        <v>18381051.219999999</v>
      </c>
      <c r="AB60" s="189">
        <v>11846042.4</v>
      </c>
      <c r="AC60" s="189">
        <v>33366594.960000001</v>
      </c>
      <c r="AD60" s="189">
        <v>24465797.800000001</v>
      </c>
      <c r="AE60" s="189">
        <v>12803545.199999999</v>
      </c>
      <c r="AF60" s="189">
        <v>5628301.4500000002</v>
      </c>
      <c r="AG60" s="189">
        <v>4737191.2</v>
      </c>
      <c r="AH60" s="189">
        <v>3701314.39</v>
      </c>
      <c r="AI60" s="189">
        <v>1476836.29</v>
      </c>
      <c r="AJ60" s="189">
        <v>155235.70000000001</v>
      </c>
      <c r="AK60" s="189">
        <v>3224077.55</v>
      </c>
      <c r="AL60" s="189">
        <v>2900052.84</v>
      </c>
      <c r="AM60" s="189">
        <v>1720415.1</v>
      </c>
      <c r="AN60" s="189">
        <v>1422490.69</v>
      </c>
      <c r="AO60" s="189">
        <v>0</v>
      </c>
      <c r="AP60" s="189">
        <v>0</v>
      </c>
      <c r="AQ60" s="189">
        <v>403560717.60000002</v>
      </c>
      <c r="AR60" s="189">
        <v>335817684.24000001</v>
      </c>
      <c r="AS60" s="189">
        <v>705562448.80999994</v>
      </c>
      <c r="AT60" s="189">
        <v>648250833.24000001</v>
      </c>
      <c r="AU60" s="189">
        <v>561779303.77999997</v>
      </c>
      <c r="AV60" s="189">
        <v>374547042.32999998</v>
      </c>
      <c r="AW60" s="189">
        <v>606385627.26999998</v>
      </c>
      <c r="AX60" s="189">
        <v>526228001.63</v>
      </c>
      <c r="AY60" s="189">
        <v>420222252.99000001</v>
      </c>
      <c r="AZ60" s="189">
        <v>280943626.88999999</v>
      </c>
      <c r="BA60" s="189">
        <v>396902090.45999998</v>
      </c>
      <c r="BB60" s="189">
        <v>383849839.51999998</v>
      </c>
      <c r="BC60" s="189">
        <v>336122195.32999998</v>
      </c>
      <c r="BD60" s="189">
        <v>238518321.50999999</v>
      </c>
      <c r="BE60" s="189">
        <v>441401360.93000001</v>
      </c>
      <c r="BF60" s="189">
        <v>355010263.50999999</v>
      </c>
      <c r="BG60" s="189">
        <v>278320628.12</v>
      </c>
      <c r="BH60" s="189">
        <v>193355065.81999999</v>
      </c>
      <c r="BI60" s="189">
        <v>383447938.93000001</v>
      </c>
      <c r="BJ60" s="189">
        <v>311366323.06999999</v>
      </c>
      <c r="BK60" s="189">
        <v>250049516.34999999</v>
      </c>
      <c r="BL60" s="189">
        <v>207396289.06999999</v>
      </c>
      <c r="BM60" s="189">
        <v>250085682.47999999</v>
      </c>
      <c r="BN60" s="189">
        <v>190785252.78999999</v>
      </c>
      <c r="BO60" s="189">
        <v>126708958.8</v>
      </c>
      <c r="BP60" s="189">
        <v>121401855.98999999</v>
      </c>
      <c r="BQ60" s="189">
        <v>116775657.84999999</v>
      </c>
      <c r="BR60" s="189">
        <v>160590000</v>
      </c>
      <c r="BS60" s="189">
        <v>179226656.44999999</v>
      </c>
      <c r="BT60" s="189">
        <v>138812074.46000001</v>
      </c>
      <c r="BU60" s="189">
        <v>238879360.28</v>
      </c>
      <c r="BV60" s="189">
        <v>295349924.56</v>
      </c>
      <c r="BW60" s="189">
        <v>303429006.82999998</v>
      </c>
      <c r="BX60" s="189">
        <v>66653678.539999999</v>
      </c>
      <c r="BY60" s="189">
        <v>260578360.56999999</v>
      </c>
      <c r="BZ60" s="189">
        <v>44632836.509999998</v>
      </c>
      <c r="CA60" s="189">
        <v>168102185.13</v>
      </c>
      <c r="CB60" s="189">
        <v>128029818.47</v>
      </c>
      <c r="CC60" s="189">
        <v>106844876.92</v>
      </c>
      <c r="CD60" s="189">
        <v>0</v>
      </c>
      <c r="CE60" s="189">
        <v>27810000</v>
      </c>
      <c r="CF60" s="189">
        <v>16447145.279999999</v>
      </c>
      <c r="CG60" s="189">
        <v>4330000</v>
      </c>
      <c r="CH60" s="189">
        <v>4220000</v>
      </c>
      <c r="CI60" s="189">
        <v>12510000</v>
      </c>
      <c r="CJ60" s="189">
        <v>3630000</v>
      </c>
      <c r="CK60" s="189">
        <v>0</v>
      </c>
    </row>
    <row r="61" spans="1:89" x14ac:dyDescent="0.25">
      <c r="A61" s="22" t="s">
        <v>94</v>
      </c>
      <c r="B61" s="189">
        <v>-1832854906.48</v>
      </c>
      <c r="C61" s="189">
        <v>-1294025328.3599999</v>
      </c>
      <c r="D61" s="189">
        <v>-445183403.35000002</v>
      </c>
      <c r="E61" s="189">
        <v>-17461729524.060001</v>
      </c>
      <c r="F61" s="189">
        <v>-2858851917.29</v>
      </c>
      <c r="G61" s="189">
        <v>-1095626911.73</v>
      </c>
      <c r="H61" s="189">
        <v>262186254.34</v>
      </c>
      <c r="I61" s="189">
        <v>-328708520.87</v>
      </c>
      <c r="J61" s="189">
        <v>48225881.840000004</v>
      </c>
      <c r="K61" s="189">
        <v>46041906.210000001</v>
      </c>
      <c r="L61" s="189">
        <v>122815081.38</v>
      </c>
      <c r="M61" s="189">
        <v>74169222.090000004</v>
      </c>
      <c r="N61" s="189">
        <v>88241903.900000006</v>
      </c>
      <c r="O61" s="189">
        <v>73410026.049999997</v>
      </c>
      <c r="P61" s="189">
        <v>23104689.489999998</v>
      </c>
      <c r="Q61" s="189">
        <v>72899104.840000004</v>
      </c>
      <c r="R61" s="189">
        <v>25656418.350000001</v>
      </c>
      <c r="S61" s="189">
        <v>65515166.060000002</v>
      </c>
      <c r="T61" s="189">
        <v>43771273.57</v>
      </c>
      <c r="U61" s="189">
        <v>246400883.22999999</v>
      </c>
      <c r="V61" s="189">
        <v>190215038.88999999</v>
      </c>
      <c r="W61" s="189">
        <v>132544807.16</v>
      </c>
      <c r="X61" s="189">
        <v>82201666.730000004</v>
      </c>
      <c r="Y61" s="189">
        <v>228011728.59</v>
      </c>
      <c r="Z61" s="189">
        <v>156771233.69</v>
      </c>
      <c r="AA61" s="189">
        <v>108842031.06999999</v>
      </c>
      <c r="AB61" s="189">
        <v>62873104.07</v>
      </c>
      <c r="AC61" s="189">
        <v>164244470.12</v>
      </c>
      <c r="AD61" s="189">
        <v>111865149.25</v>
      </c>
      <c r="AE61" s="189">
        <v>71198681.390000001</v>
      </c>
      <c r="AF61" s="189">
        <v>34692464.909999996</v>
      </c>
      <c r="AG61" s="189">
        <v>74836620.569999993</v>
      </c>
      <c r="AH61" s="189">
        <v>54225535.869999997</v>
      </c>
      <c r="AI61" s="189">
        <v>32663366.629999999</v>
      </c>
      <c r="AJ61" s="189">
        <v>15972763.1</v>
      </c>
      <c r="AK61" s="189">
        <v>47702286.100000001</v>
      </c>
      <c r="AL61" s="189">
        <v>33456033.960000001</v>
      </c>
      <c r="AM61" s="189">
        <v>19682345.469999999</v>
      </c>
      <c r="AN61" s="189">
        <v>31677235.530000001</v>
      </c>
      <c r="AO61" s="189">
        <v>14683477.390000001</v>
      </c>
      <c r="AP61" s="189">
        <v>0</v>
      </c>
      <c r="AQ61" s="189">
        <v>1711707483.9000001</v>
      </c>
      <c r="AR61" s="189">
        <v>1351525377.55</v>
      </c>
      <c r="AS61" s="189">
        <v>2178346547.23</v>
      </c>
      <c r="AT61" s="189">
        <v>1975096563.3199999</v>
      </c>
      <c r="AU61" s="189">
        <v>1707052031.6900001</v>
      </c>
      <c r="AV61" s="189">
        <v>1119753768.3699999</v>
      </c>
      <c r="AW61" s="189">
        <v>1785725643.3699999</v>
      </c>
      <c r="AX61" s="189">
        <v>1549585817.3299999</v>
      </c>
      <c r="AY61" s="189">
        <v>1243144118.5999999</v>
      </c>
      <c r="AZ61" s="189">
        <v>829759156.85000002</v>
      </c>
      <c r="BA61" s="189">
        <v>1195909167.23</v>
      </c>
      <c r="BB61" s="189">
        <v>1157604089.3399999</v>
      </c>
      <c r="BC61" s="189">
        <v>928586259.21000004</v>
      </c>
      <c r="BD61" s="189">
        <v>655022009.11000001</v>
      </c>
      <c r="BE61" s="189">
        <v>1271161056.04</v>
      </c>
      <c r="BF61" s="189">
        <v>1034174338.03</v>
      </c>
      <c r="BG61" s="189">
        <v>816283288.12</v>
      </c>
      <c r="BH61" s="189">
        <v>576749189.01999998</v>
      </c>
      <c r="BI61" s="189">
        <v>1087240669.8699999</v>
      </c>
      <c r="BJ61" s="189">
        <v>859671518.20000005</v>
      </c>
      <c r="BK61" s="189">
        <v>639704194.78999996</v>
      </c>
      <c r="BL61" s="189">
        <v>496908074.43000001</v>
      </c>
      <c r="BM61" s="189">
        <v>869070350.38999999</v>
      </c>
      <c r="BN61" s="189">
        <v>702478871.35000002</v>
      </c>
      <c r="BO61" s="189">
        <v>500271545.93000001</v>
      </c>
      <c r="BP61" s="189">
        <v>374639392.75</v>
      </c>
      <c r="BQ61" s="189">
        <v>933092174.58000004</v>
      </c>
      <c r="BR61" s="189">
        <v>814730000</v>
      </c>
      <c r="BS61" s="189">
        <v>658209862.01999998</v>
      </c>
      <c r="BT61" s="189">
        <v>420642649.88999999</v>
      </c>
      <c r="BU61" s="189">
        <v>1007096192.78</v>
      </c>
      <c r="BV61" s="189">
        <v>725162725.00999999</v>
      </c>
      <c r="BW61" s="189">
        <v>786944238.74000001</v>
      </c>
      <c r="BX61" s="189">
        <v>383729930.18000001</v>
      </c>
      <c r="BY61" s="189">
        <v>813869455.65999997</v>
      </c>
      <c r="BZ61" s="189">
        <v>297552243.38999999</v>
      </c>
      <c r="CA61" s="189">
        <v>509400560.99000001</v>
      </c>
      <c r="CB61" s="189">
        <v>387969146.88</v>
      </c>
      <c r="CC61" s="189">
        <v>323772354.30000001</v>
      </c>
      <c r="CD61" s="189">
        <v>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83220062.180000007</v>
      </c>
      <c r="C65" s="189">
        <v>73967293.170000002</v>
      </c>
      <c r="D65" s="189">
        <v>0</v>
      </c>
      <c r="E65" s="189">
        <v>173646711.81999999</v>
      </c>
      <c r="F65" s="189">
        <v>318860923.18000001</v>
      </c>
      <c r="G65" s="189">
        <v>259104358.03999999</v>
      </c>
      <c r="H65" s="189">
        <v>14093627.93</v>
      </c>
      <c r="I65" s="189">
        <v>36637102.640000001</v>
      </c>
      <c r="J65" s="189">
        <v>26124141.59</v>
      </c>
      <c r="K65" s="189">
        <v>15074133.289999999</v>
      </c>
      <c r="L65" s="189">
        <v>-20.79</v>
      </c>
      <c r="M65" s="189">
        <v>78749437.599999994</v>
      </c>
      <c r="N65" s="189">
        <v>85263558.980000004</v>
      </c>
      <c r="O65" s="189">
        <v>85263558.980000004</v>
      </c>
      <c r="P65" s="189">
        <v>20739306.109999999</v>
      </c>
      <c r="Q65" s="189">
        <v>5038.4399999999996</v>
      </c>
      <c r="R65" s="189">
        <v>-712463.13</v>
      </c>
      <c r="S65" s="189">
        <v>-712463.13</v>
      </c>
      <c r="T65" s="189">
        <v>-380220.32</v>
      </c>
      <c r="U65" s="189">
        <v>-1355138.81</v>
      </c>
      <c r="V65" s="189">
        <v>-1345009.11</v>
      </c>
      <c r="W65" s="189">
        <v>-1345009.11</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-929569.49</v>
      </c>
      <c r="AR65" s="189">
        <v>0</v>
      </c>
      <c r="AS65" s="189">
        <v>3199582.46</v>
      </c>
      <c r="AT65" s="189">
        <v>556604.28</v>
      </c>
      <c r="AU65" s="189">
        <v>47918.79</v>
      </c>
      <c r="AV65" s="189">
        <v>665864.48</v>
      </c>
      <c r="AW65" s="189">
        <v>5051692.58</v>
      </c>
      <c r="AX65" s="189">
        <v>2496157.7200000002</v>
      </c>
      <c r="AY65" s="189">
        <v>1832311.81</v>
      </c>
      <c r="AZ65" s="189">
        <v>100000</v>
      </c>
      <c r="BA65" s="189">
        <v>-3923017.4</v>
      </c>
      <c r="BB65" s="189">
        <v>-497364.9</v>
      </c>
      <c r="BC65" s="189">
        <v>-499893.8</v>
      </c>
      <c r="BD65" s="189">
        <v>0</v>
      </c>
      <c r="BE65" s="189">
        <v>-126753.75</v>
      </c>
      <c r="BF65" s="189">
        <v>344265.81</v>
      </c>
      <c r="BG65" s="189">
        <v>344265.81</v>
      </c>
      <c r="BH65" s="189">
        <v>1026367.48</v>
      </c>
      <c r="BI65" s="189">
        <v>-554425.18000000005</v>
      </c>
      <c r="BJ65" s="189">
        <v>287254.11</v>
      </c>
      <c r="BK65" s="189">
        <v>52424.27</v>
      </c>
      <c r="BL65" s="189">
        <v>265460.88</v>
      </c>
      <c r="BM65" s="189">
        <v>178932.4</v>
      </c>
      <c r="BN65" s="189">
        <v>1871129.6000000001</v>
      </c>
      <c r="BO65" s="189">
        <v>1511721.55</v>
      </c>
      <c r="BP65" s="189">
        <v>-174029.22</v>
      </c>
      <c r="BQ65" s="189">
        <v>12349967.949999999</v>
      </c>
      <c r="BR65" s="189">
        <v>12720000</v>
      </c>
      <c r="BS65" s="189">
        <v>9766309.1799999997</v>
      </c>
      <c r="BT65" s="189">
        <v>5348519.25</v>
      </c>
      <c r="BU65" s="189">
        <v>2373601.7000000002</v>
      </c>
      <c r="BV65" s="189">
        <v>0</v>
      </c>
      <c r="BW65" s="189">
        <v>0</v>
      </c>
      <c r="BX65" s="189">
        <v>0</v>
      </c>
      <c r="BY65" s="189">
        <v>0</v>
      </c>
      <c r="BZ65" s="189">
        <v>0</v>
      </c>
      <c r="CA65" s="189">
        <v>0</v>
      </c>
      <c r="CB65" s="189">
        <v>0</v>
      </c>
      <c r="CC65" s="189">
        <v>0</v>
      </c>
      <c r="CD65" s="189">
        <v>0</v>
      </c>
      <c r="CE65" s="189">
        <v>7729000</v>
      </c>
      <c r="CF65" s="189">
        <v>2092581.44</v>
      </c>
      <c r="CG65" s="189">
        <v>0</v>
      </c>
      <c r="CH65" s="189">
        <v>0</v>
      </c>
      <c r="CI65" s="189">
        <v>0</v>
      </c>
      <c r="CJ65" s="189">
        <v>0</v>
      </c>
      <c r="CK65" s="189">
        <v>0</v>
      </c>
    </row>
    <row r="66" spans="1:89" x14ac:dyDescent="0.25">
      <c r="A66" s="22" t="s">
        <v>99</v>
      </c>
      <c r="B66" s="189">
        <v>72593128.640000001</v>
      </c>
      <c r="C66" s="189">
        <v>70115418.170000002</v>
      </c>
      <c r="D66" s="189">
        <v>0</v>
      </c>
      <c r="E66" s="189">
        <v>135941516.66999999</v>
      </c>
      <c r="F66" s="189">
        <v>86100130.670000002</v>
      </c>
      <c r="G66" s="189">
        <v>26343565.530000001</v>
      </c>
      <c r="H66" s="189">
        <v>14093627.93</v>
      </c>
      <c r="I66" s="189">
        <v>35828908.5</v>
      </c>
      <c r="J66" s="189">
        <v>26124141.59</v>
      </c>
      <c r="K66" s="189">
        <v>15074133.289999999</v>
      </c>
      <c r="L66" s="189">
        <v>-20.79</v>
      </c>
      <c r="M66" s="189">
        <v>45254.04</v>
      </c>
      <c r="N66" s="189">
        <v>0</v>
      </c>
      <c r="O66" s="189">
        <v>0</v>
      </c>
      <c r="P66" s="189">
        <v>0</v>
      </c>
      <c r="Q66" s="189">
        <v>-318733.87</v>
      </c>
      <c r="R66" s="189">
        <v>-80695.41</v>
      </c>
      <c r="S66" s="189">
        <v>-80695.41</v>
      </c>
      <c r="T66" s="189">
        <v>-29100.32</v>
      </c>
      <c r="U66" s="189">
        <v>-90791.38</v>
      </c>
      <c r="V66" s="189">
        <v>-671136.43</v>
      </c>
      <c r="W66" s="189">
        <v>-671136.43</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10626933.540000007</v>
      </c>
      <c r="C67" s="4">
        <f t="shared" ref="C67:BN67" si="67">C65-C66</f>
        <v>3851875</v>
      </c>
      <c r="D67" s="4">
        <f t="shared" si="67"/>
        <v>0</v>
      </c>
      <c r="E67" s="4">
        <f t="shared" si="67"/>
        <v>37705195.150000006</v>
      </c>
      <c r="F67" s="4">
        <f t="shared" si="67"/>
        <v>232760792.50999999</v>
      </c>
      <c r="G67" s="4">
        <f t="shared" si="67"/>
        <v>232760792.50999999</v>
      </c>
      <c r="H67" s="4">
        <f t="shared" si="67"/>
        <v>0</v>
      </c>
      <c r="I67" s="4">
        <f t="shared" si="67"/>
        <v>808194.1400000006</v>
      </c>
      <c r="J67" s="4">
        <f t="shared" si="67"/>
        <v>0</v>
      </c>
      <c r="K67" s="4">
        <f t="shared" si="67"/>
        <v>0</v>
      </c>
      <c r="L67" s="4">
        <f t="shared" si="67"/>
        <v>0</v>
      </c>
      <c r="M67" s="4">
        <f t="shared" si="67"/>
        <v>78704183.559999987</v>
      </c>
      <c r="N67" s="4">
        <f t="shared" si="67"/>
        <v>85263558.980000004</v>
      </c>
      <c r="O67" s="4">
        <f t="shared" si="67"/>
        <v>85263558.980000004</v>
      </c>
      <c r="P67" s="4">
        <f t="shared" si="67"/>
        <v>20739306.109999999</v>
      </c>
      <c r="Q67" s="4">
        <f t="shared" si="67"/>
        <v>323772.31</v>
      </c>
      <c r="R67" s="4">
        <f t="shared" si="67"/>
        <v>-631767.72</v>
      </c>
      <c r="S67" s="4">
        <f t="shared" si="67"/>
        <v>-631767.72</v>
      </c>
      <c r="T67" s="4">
        <f t="shared" si="67"/>
        <v>-351120</v>
      </c>
      <c r="U67" s="4">
        <f t="shared" si="67"/>
        <v>-1264347.4300000002</v>
      </c>
      <c r="V67" s="4">
        <f t="shared" si="67"/>
        <v>-673872.68</v>
      </c>
      <c r="W67" s="4">
        <f t="shared" si="67"/>
        <v>-673872.68</v>
      </c>
      <c r="X67" s="4">
        <f t="shared" si="67"/>
        <v>0</v>
      </c>
      <c r="Y67" s="4">
        <f t="shared" si="67"/>
        <v>0</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0</v>
      </c>
      <c r="AQ67" s="4">
        <f t="shared" si="67"/>
        <v>-929569.49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565797171.29999995</v>
      </c>
      <c r="C68" s="189">
        <v>376728888.02999997</v>
      </c>
      <c r="D68" s="189">
        <v>171976275.22999999</v>
      </c>
      <c r="E68" s="189">
        <v>872710484.28999996</v>
      </c>
      <c r="F68" s="189">
        <v>643255226.46000004</v>
      </c>
      <c r="G68" s="189">
        <v>278983760.60000002</v>
      </c>
      <c r="H68" s="189">
        <v>123811195.20999999</v>
      </c>
      <c r="I68" s="189">
        <v>648027100.04999995</v>
      </c>
      <c r="J68" s="189">
        <v>406344201.27999997</v>
      </c>
      <c r="K68" s="189">
        <v>258462644.16999999</v>
      </c>
      <c r="L68" s="189">
        <v>87414540</v>
      </c>
      <c r="M68" s="189">
        <v>348979599.07999998</v>
      </c>
      <c r="N68" s="189">
        <v>136395602.56</v>
      </c>
      <c r="O68" s="189">
        <v>74511987.689999998</v>
      </c>
      <c r="P68" s="189">
        <v>35396100.450000003</v>
      </c>
      <c r="Q68" s="189">
        <v>167915495.78</v>
      </c>
      <c r="R68" s="189">
        <v>132012251.84999999</v>
      </c>
      <c r="S68" s="189">
        <v>82368514.049999997</v>
      </c>
      <c r="T68" s="189">
        <v>40276705.5</v>
      </c>
      <c r="U68" s="189">
        <v>116298019.88</v>
      </c>
      <c r="V68" s="189">
        <v>81479619.599999994</v>
      </c>
      <c r="W68" s="189">
        <v>52145669.759999998</v>
      </c>
      <c r="X68" s="189">
        <v>22784349.43</v>
      </c>
      <c r="Y68" s="189">
        <v>42240407.810000002</v>
      </c>
      <c r="Z68" s="189">
        <v>20353558.109999999</v>
      </c>
      <c r="AA68" s="189">
        <v>11405739.23</v>
      </c>
      <c r="AB68" s="189">
        <v>7211392.7800000003</v>
      </c>
      <c r="AC68" s="189">
        <v>1390063.24</v>
      </c>
      <c r="AD68" s="189">
        <v>2962267.06</v>
      </c>
      <c r="AE68" s="189">
        <v>2837893.25</v>
      </c>
      <c r="AF68" s="189">
        <v>651924.31000000006</v>
      </c>
      <c r="AG68" s="189">
        <v>3712978.86</v>
      </c>
      <c r="AH68" s="189">
        <v>3628269.72</v>
      </c>
      <c r="AI68" s="189">
        <v>2139695.15</v>
      </c>
      <c r="AJ68" s="189">
        <v>756394.31</v>
      </c>
      <c r="AK68" s="189">
        <v>509841.19</v>
      </c>
      <c r="AL68" s="189">
        <v>38258.120000000003</v>
      </c>
      <c r="AM68" s="189">
        <v>1645.71</v>
      </c>
      <c r="AN68" s="189">
        <v>-828544.9</v>
      </c>
      <c r="AO68" s="189">
        <v>132391.67000000001</v>
      </c>
      <c r="AP68" s="189">
        <v>0</v>
      </c>
      <c r="AQ68" s="189">
        <v>-74810065.359999999</v>
      </c>
      <c r="AR68" s="189">
        <v>-15614749.33</v>
      </c>
      <c r="AS68" s="189">
        <v>-92227613.010000005</v>
      </c>
      <c r="AT68" s="189">
        <v>-41018279.990000002</v>
      </c>
      <c r="AU68" s="189">
        <v>-36487207.520000003</v>
      </c>
      <c r="AV68" s="189">
        <v>-3376979.14</v>
      </c>
      <c r="AW68" s="189">
        <v>-50497352.530000001</v>
      </c>
      <c r="AX68" s="189">
        <v>-26367719.059999999</v>
      </c>
      <c r="AY68" s="189">
        <v>-24396518</v>
      </c>
      <c r="AZ68" s="189">
        <v>-2917708.8</v>
      </c>
      <c r="BA68" s="189">
        <v>-25225980.809999999</v>
      </c>
      <c r="BB68" s="189">
        <v>-7438048.8600000003</v>
      </c>
      <c r="BC68" s="189">
        <v>-5495968.9100000001</v>
      </c>
      <c r="BD68" s="189">
        <v>-6057952.7199999997</v>
      </c>
      <c r="BE68" s="189">
        <v>-26456599.109999999</v>
      </c>
      <c r="BF68" s="189">
        <v>-12780406.130000001</v>
      </c>
      <c r="BG68" s="189">
        <v>-11107770.039999999</v>
      </c>
      <c r="BH68" s="189">
        <v>-1735818.19</v>
      </c>
      <c r="BI68" s="189">
        <v>-28358707.260000002</v>
      </c>
      <c r="BJ68" s="189">
        <v>-19582453.850000001</v>
      </c>
      <c r="BK68" s="189">
        <v>-12127010.279999999</v>
      </c>
      <c r="BL68" s="189">
        <v>-2445731.69</v>
      </c>
      <c r="BM68" s="189">
        <v>-26693808.859999999</v>
      </c>
      <c r="BN68" s="189">
        <v>-21740886.899999999</v>
      </c>
      <c r="BO68" s="189">
        <v>-11645839.699999999</v>
      </c>
      <c r="BP68" s="189">
        <v>-7526726.1299999999</v>
      </c>
      <c r="BQ68" s="189">
        <v>-25420934.84</v>
      </c>
      <c r="BR68" s="189">
        <v>0</v>
      </c>
      <c r="BS68" s="189">
        <v>-16481097.720000001</v>
      </c>
      <c r="BT68" s="189">
        <v>-5451391.75</v>
      </c>
      <c r="BU68" s="189">
        <v>-14348624.140000001</v>
      </c>
      <c r="BV68" s="189">
        <v>-7438579.8600000003</v>
      </c>
      <c r="BW68" s="189">
        <v>-15086567.960000001</v>
      </c>
      <c r="BX68" s="189">
        <v>-9593131.2100000009</v>
      </c>
      <c r="BY68" s="189">
        <v>-42791521.079999998</v>
      </c>
      <c r="BZ68" s="189">
        <v>-3834295.55</v>
      </c>
      <c r="CA68" s="189">
        <v>11835075.34</v>
      </c>
      <c r="CB68" s="189">
        <v>16252757.800000001</v>
      </c>
      <c r="CC68" s="189">
        <v>12407743.33</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-935980984.25999999</v>
      </c>
      <c r="C70" s="189">
        <v>-2055217961.97</v>
      </c>
      <c r="D70" s="189">
        <v>-1202229998.0699999</v>
      </c>
      <c r="E70" s="189">
        <v>-666488415.15999997</v>
      </c>
      <c r="F70" s="189">
        <v>14875642596.049999</v>
      </c>
      <c r="G70" s="189">
        <v>16391806439.77</v>
      </c>
      <c r="H70" s="189">
        <v>14797161855.030001</v>
      </c>
      <c r="I70" s="189">
        <v>10481752739.559999</v>
      </c>
      <c r="J70" s="189">
        <v>9896748904.4200001</v>
      </c>
      <c r="K70" s="189">
        <v>5051137471.4499998</v>
      </c>
      <c r="L70" s="189">
        <v>4935802326.0900002</v>
      </c>
      <c r="M70" s="189">
        <v>3815134279.6900001</v>
      </c>
      <c r="N70" s="189">
        <v>3587438648.9000001</v>
      </c>
      <c r="O70" s="189">
        <v>3492721953.0700002</v>
      </c>
      <c r="P70" s="189">
        <v>3383306903.9299998</v>
      </c>
      <c r="Q70" s="189">
        <v>3343473396.02</v>
      </c>
      <c r="R70" s="189">
        <v>3171677528.1500001</v>
      </c>
      <c r="S70" s="189">
        <v>3105270244.04</v>
      </c>
      <c r="T70" s="189">
        <v>2158084139.8699999</v>
      </c>
      <c r="U70" s="189">
        <v>2079525750.53</v>
      </c>
      <c r="V70" s="189">
        <v>1989131404.54</v>
      </c>
      <c r="W70" s="189">
        <v>1584699871.52</v>
      </c>
      <c r="X70" s="189">
        <v>1344946737.0899999</v>
      </c>
      <c r="Y70" s="189">
        <v>1273427238.4100001</v>
      </c>
      <c r="Z70" s="189">
        <v>1210063990.98</v>
      </c>
      <c r="AA70" s="189">
        <v>1135025718.76</v>
      </c>
      <c r="AB70" s="189">
        <v>1109892158.24</v>
      </c>
      <c r="AC70" s="189">
        <v>1057106722.53</v>
      </c>
      <c r="AD70" s="189">
        <v>1011061639.39</v>
      </c>
      <c r="AE70" s="189">
        <v>982057424.13</v>
      </c>
      <c r="AF70" s="189">
        <v>967726451.39999998</v>
      </c>
      <c r="AG70" s="189">
        <v>938662287.94000006</v>
      </c>
      <c r="AH70" s="189">
        <v>919087080.04999995</v>
      </c>
      <c r="AI70" s="189">
        <v>218192293.25</v>
      </c>
      <c r="AJ70" s="189">
        <v>187005762.91</v>
      </c>
      <c r="AK70" s="189">
        <v>142670557.59999999</v>
      </c>
      <c r="AL70" s="189">
        <v>59615812.759999998</v>
      </c>
      <c r="AM70" s="189">
        <v>0</v>
      </c>
      <c r="AN70" s="189"/>
      <c r="AO70" s="189"/>
      <c r="AP70" s="189"/>
      <c r="AQ70" s="189">
        <v>10934383750.469999</v>
      </c>
      <c r="AR70" s="189">
        <v>10641944677.48</v>
      </c>
      <c r="AS70" s="189">
        <v>9626236984.1700001</v>
      </c>
      <c r="AT70" s="189">
        <v>9485588152.4899998</v>
      </c>
      <c r="AU70" s="189">
        <v>9304015150.3199997</v>
      </c>
      <c r="AV70" s="189">
        <v>9051649388.7700005</v>
      </c>
      <c r="AW70" s="189">
        <v>8295168514.6400003</v>
      </c>
      <c r="AX70" s="189">
        <v>8139685182.96</v>
      </c>
      <c r="AY70" s="189">
        <v>7938750364.1499996</v>
      </c>
      <c r="AZ70" s="189">
        <v>7934784508.5</v>
      </c>
      <c r="BA70" s="189">
        <v>7385968978.54</v>
      </c>
      <c r="BB70" s="189">
        <v>7360716151.5900002</v>
      </c>
      <c r="BC70" s="189">
        <v>7179425965.6499996</v>
      </c>
      <c r="BD70" s="189">
        <v>7003465589.3699999</v>
      </c>
      <c r="BE70" s="189">
        <v>6586961901.7700005</v>
      </c>
      <c r="BF70" s="189">
        <v>6433916281.1800003</v>
      </c>
      <c r="BG70" s="189">
        <v>6292714866.6599998</v>
      </c>
      <c r="BH70" s="189">
        <v>6409286809.8599997</v>
      </c>
      <c r="BI70" s="189">
        <v>6025892686.6599998</v>
      </c>
      <c r="BJ70" s="189">
        <v>5870405150.8400002</v>
      </c>
      <c r="BK70" s="189">
        <v>5711754634.1499996</v>
      </c>
      <c r="BL70" s="189">
        <v>5611611741.0699997</v>
      </c>
      <c r="BM70" s="189">
        <v>5322099955.71</v>
      </c>
      <c r="BN70" s="189">
        <v>5214293132.5200005</v>
      </c>
      <c r="BO70" s="189">
        <v>5075362101.0900002</v>
      </c>
      <c r="BP70" s="189">
        <v>4954980669.5600004</v>
      </c>
      <c r="BQ70" s="189">
        <v>4702243132.8000002</v>
      </c>
      <c r="BR70" s="189">
        <v>0</v>
      </c>
      <c r="BS70" s="189">
        <v>4385655821.6400003</v>
      </c>
      <c r="BT70" s="189">
        <v>4238623191.5</v>
      </c>
      <c r="BU70" s="189">
        <v>3191216198.9499998</v>
      </c>
      <c r="BV70" s="189">
        <v>2850312166.9000001</v>
      </c>
      <c r="BW70" s="189">
        <v>2420499366.4499998</v>
      </c>
      <c r="BX70" s="189">
        <v>2089698452.7</v>
      </c>
      <c r="BY70" s="189">
        <v>1764990217.6700001</v>
      </c>
      <c r="BZ70" s="189">
        <v>1864618529.46</v>
      </c>
      <c r="CA70" s="189">
        <v>392384778.43000001</v>
      </c>
      <c r="CB70" s="189">
        <v>264958379.21000001</v>
      </c>
      <c r="CC70" s="189">
        <v>225967479.94999999</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E31" zoomScale="95" zoomScaleNormal="95" workbookViewId="0">
      <selection activeCell="Y41" sqref="Y41"/>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1" width="21.5546875" hidden="1" customWidth="1"/>
    <col min="12" max="12" width="20.3320312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0" width="18.109375" hidden="1" customWidth="1"/>
    <col min="31" max="32" width="19.33203125" hidden="1" customWidth="1"/>
    <col min="33" max="33" width="19.33203125" bestFit="1" customWidth="1"/>
    <col min="34" max="34" width="19.33203125" hidden="1" customWidth="1"/>
    <col min="35" max="36" width="18.109375" hidden="1" customWidth="1"/>
    <col min="37" max="37" width="18.109375" bestFit="1" customWidth="1"/>
    <col min="38" max="38" width="18.109375" hidden="1" customWidth="1"/>
    <col min="39" max="39" width="20.33203125" hidden="1" customWidth="1"/>
    <col min="40"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19.33203125" hidden="1" customWidth="1"/>
    <col min="73" max="73" width="20.33203125" bestFit="1" customWidth="1"/>
    <col min="74" max="74" width="12.21875" hidden="1" customWidth="1"/>
  </cols>
  <sheetData>
    <row r="1" spans="1:74" s="6" customFormat="1" x14ac:dyDescent="0.25">
      <c r="A1" s="104">
        <v>300104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2" customFormat="1" x14ac:dyDescent="0.25">
      <c r="A3" s="192" t="s">
        <v>320</v>
      </c>
      <c r="B3" s="189">
        <v>979616.67</v>
      </c>
      <c r="C3" s="189">
        <v>267660.48</v>
      </c>
      <c r="D3" s="189">
        <v>109678.26</v>
      </c>
      <c r="E3" s="189">
        <v>789056.01</v>
      </c>
      <c r="F3" s="189">
        <v>586079.16</v>
      </c>
      <c r="G3" s="189">
        <v>70620.820000000007</v>
      </c>
      <c r="H3" s="189">
        <v>21326.84</v>
      </c>
      <c r="I3" s="189">
        <v>37510.839999999997</v>
      </c>
      <c r="J3" s="189">
        <v>20020.88</v>
      </c>
      <c r="K3" s="189">
        <v>12631.58</v>
      </c>
      <c r="L3" s="189">
        <v>5134.58</v>
      </c>
      <c r="M3" s="189">
        <v>4350.68</v>
      </c>
      <c r="N3" s="189">
        <v>0</v>
      </c>
      <c r="O3" s="189">
        <v>0</v>
      </c>
      <c r="P3" s="189">
        <v>106600</v>
      </c>
      <c r="Q3" s="189">
        <v>2687.17</v>
      </c>
      <c r="R3" s="189">
        <v>0</v>
      </c>
      <c r="S3" s="189">
        <v>0</v>
      </c>
      <c r="T3" s="189">
        <v>0</v>
      </c>
      <c r="U3" s="189">
        <v>7500</v>
      </c>
      <c r="V3" s="189">
        <v>0</v>
      </c>
      <c r="W3" s="189">
        <v>0</v>
      </c>
      <c r="X3" s="189">
        <v>0</v>
      </c>
      <c r="Y3" s="189">
        <v>0</v>
      </c>
      <c r="Z3" s="189">
        <v>0</v>
      </c>
      <c r="AA3" s="189">
        <v>0</v>
      </c>
      <c r="AB3" s="189">
        <v>0</v>
      </c>
      <c r="AC3" s="189">
        <v>0</v>
      </c>
      <c r="AD3" s="189">
        <v>0</v>
      </c>
      <c r="AE3" s="189">
        <v>0</v>
      </c>
      <c r="AF3" s="189">
        <v>0</v>
      </c>
      <c r="AG3" s="189">
        <v>1900000</v>
      </c>
      <c r="AH3" s="189">
        <v>0</v>
      </c>
      <c r="AI3" s="189">
        <v>0</v>
      </c>
      <c r="AJ3" s="189">
        <v>0</v>
      </c>
      <c r="AK3" s="189">
        <v>0</v>
      </c>
      <c r="AL3" s="189">
        <v>0</v>
      </c>
      <c r="AM3" s="189">
        <v>0</v>
      </c>
      <c r="AN3" s="189">
        <v>0</v>
      </c>
      <c r="AO3" s="189">
        <v>0</v>
      </c>
      <c r="AP3" s="189">
        <v>0</v>
      </c>
      <c r="AQ3" s="192">
        <v>710417.99</v>
      </c>
      <c r="AR3" s="192">
        <v>5100</v>
      </c>
      <c r="AS3" s="192">
        <v>1461877.56</v>
      </c>
      <c r="AT3" s="192">
        <v>915725.99</v>
      </c>
      <c r="AU3" s="192">
        <v>888021.74</v>
      </c>
      <c r="AV3" s="192">
        <v>464588.74</v>
      </c>
      <c r="AW3" s="192">
        <v>573336.46</v>
      </c>
      <c r="AX3" s="192">
        <v>488804.96</v>
      </c>
      <c r="AY3" s="192">
        <v>270000</v>
      </c>
      <c r="AZ3" s="192">
        <v>0</v>
      </c>
      <c r="BA3" s="192">
        <v>863329.02</v>
      </c>
      <c r="BB3" s="192">
        <v>813805.81</v>
      </c>
      <c r="BC3" s="192">
        <v>727743.76</v>
      </c>
      <c r="BD3" s="192">
        <v>17650.599999999999</v>
      </c>
      <c r="BE3" s="192">
        <v>8589013.4800000004</v>
      </c>
      <c r="BF3" s="192">
        <v>7499124.0300000003</v>
      </c>
      <c r="BG3" s="192">
        <v>7168613.4299999997</v>
      </c>
      <c r="BH3" s="192">
        <v>21398</v>
      </c>
      <c r="BI3" s="192">
        <v>6970503.7599999998</v>
      </c>
      <c r="BJ3" s="192">
        <v>0</v>
      </c>
      <c r="BK3" s="192">
        <v>211614.42</v>
      </c>
      <c r="BL3" s="192">
        <v>50000</v>
      </c>
      <c r="BM3" s="192">
        <v>27193335.649999999</v>
      </c>
      <c r="BN3" s="192">
        <v>40285.5</v>
      </c>
      <c r="BO3" s="192">
        <v>371490.58</v>
      </c>
      <c r="BP3" s="192">
        <v>0</v>
      </c>
      <c r="BQ3" s="192">
        <v>3580</v>
      </c>
      <c r="BR3" s="192">
        <v>1500</v>
      </c>
      <c r="BS3" s="192">
        <v>52101.23</v>
      </c>
      <c r="BT3" s="192">
        <v>1680</v>
      </c>
      <c r="BU3" s="192">
        <v>25980.76</v>
      </c>
      <c r="BV3" s="192">
        <v>0</v>
      </c>
    </row>
    <row r="4" spans="1:74" s="192" customFormat="1" x14ac:dyDescent="0.25">
      <c r="A4" s="192" t="s">
        <v>304</v>
      </c>
      <c r="B4" s="189">
        <v>190164523.75999999</v>
      </c>
      <c r="C4" s="189">
        <v>148010491.93000001</v>
      </c>
      <c r="D4" s="189">
        <v>89313205.489999995</v>
      </c>
      <c r="E4" s="189">
        <v>2611446833.04</v>
      </c>
      <c r="F4" s="189">
        <v>2479707689.0900002</v>
      </c>
      <c r="G4" s="189">
        <v>2028424526.6600001</v>
      </c>
      <c r="H4" s="189">
        <v>1659425243.74</v>
      </c>
      <c r="I4" s="189">
        <v>5469946151.5600004</v>
      </c>
      <c r="J4" s="189">
        <v>4051981602.1799998</v>
      </c>
      <c r="K4" s="189">
        <v>1804143859.76</v>
      </c>
      <c r="L4" s="189">
        <v>1078517312.6600001</v>
      </c>
      <c r="M4" s="189">
        <v>2809349736.5599999</v>
      </c>
      <c r="N4" s="189">
        <v>2073229029.45</v>
      </c>
      <c r="O4" s="189">
        <v>1283046297.51</v>
      </c>
      <c r="P4" s="189">
        <v>601945760.24000001</v>
      </c>
      <c r="Q4" s="189">
        <v>1273869838.3499999</v>
      </c>
      <c r="R4" s="189">
        <v>888843400.29999995</v>
      </c>
      <c r="S4" s="189">
        <v>563107983</v>
      </c>
      <c r="T4" s="189">
        <v>293118665.63</v>
      </c>
      <c r="U4" s="189">
        <v>906831359.38</v>
      </c>
      <c r="V4" s="189">
        <v>693691201.27999997</v>
      </c>
      <c r="W4" s="189">
        <v>489038838.73000002</v>
      </c>
      <c r="X4" s="189">
        <v>267335551.09999999</v>
      </c>
      <c r="Y4" s="189">
        <v>775253154.04999995</v>
      </c>
      <c r="Z4" s="189">
        <v>555431604.5</v>
      </c>
      <c r="AA4" s="189">
        <v>347815403.56</v>
      </c>
      <c r="AB4" s="189">
        <v>161412496.66999999</v>
      </c>
      <c r="AC4" s="189">
        <v>811852178.50999999</v>
      </c>
      <c r="AD4" s="189">
        <v>707613826.58000004</v>
      </c>
      <c r="AE4" s="189">
        <v>404703338.69</v>
      </c>
      <c r="AF4" s="189">
        <v>174637418.38999999</v>
      </c>
      <c r="AG4" s="189">
        <v>265381351.34</v>
      </c>
      <c r="AH4" s="189">
        <v>158210373.40000001</v>
      </c>
      <c r="AI4" s="189">
        <v>96941210.640000001</v>
      </c>
      <c r="AJ4" s="189">
        <v>29223049</v>
      </c>
      <c r="AK4" s="189">
        <v>128176988.84999999</v>
      </c>
      <c r="AL4" s="189">
        <v>103754261.84999999</v>
      </c>
      <c r="AM4" s="189">
        <v>66596111.850000001</v>
      </c>
      <c r="AN4" s="189">
        <v>31885885</v>
      </c>
      <c r="AO4" s="189">
        <v>4970367</v>
      </c>
      <c r="AP4" s="189">
        <v>0</v>
      </c>
      <c r="AQ4" s="192">
        <v>74523182.519999996</v>
      </c>
      <c r="AR4" s="192">
        <v>4086163.05</v>
      </c>
      <c r="AS4" s="192">
        <v>248805213.50999999</v>
      </c>
      <c r="AT4" s="192">
        <v>180806493.18000001</v>
      </c>
      <c r="AU4" s="192">
        <v>102706016.8</v>
      </c>
      <c r="AV4" s="192">
        <v>39566827.240000002</v>
      </c>
      <c r="AW4" s="192">
        <v>251397575.99000001</v>
      </c>
      <c r="AX4" s="192">
        <v>231787598.30000001</v>
      </c>
      <c r="AY4" s="192">
        <v>193913936.41999999</v>
      </c>
      <c r="AZ4" s="192">
        <v>732516.47</v>
      </c>
      <c r="BA4" s="192">
        <v>117069771.09999999</v>
      </c>
      <c r="BB4" s="192">
        <v>72571280.939999998</v>
      </c>
      <c r="BC4" s="192">
        <v>69853888.430000007</v>
      </c>
      <c r="BD4" s="192">
        <v>48611645.549999997</v>
      </c>
      <c r="BE4" s="192">
        <v>683013865.38</v>
      </c>
      <c r="BF4" s="192">
        <v>111516381.05</v>
      </c>
      <c r="BG4" s="192">
        <v>99482044.859999999</v>
      </c>
      <c r="BH4" s="192">
        <v>66469318.329999998</v>
      </c>
      <c r="BI4" s="192">
        <v>1370837016.3299999</v>
      </c>
      <c r="BJ4" s="192">
        <v>869403485.79999995</v>
      </c>
      <c r="BK4" s="192">
        <v>102523951.22</v>
      </c>
      <c r="BL4" s="192">
        <v>18067034.449999999</v>
      </c>
      <c r="BM4" s="192">
        <v>1276551302.9200001</v>
      </c>
      <c r="BN4" s="192">
        <v>227870170.09</v>
      </c>
      <c r="BO4" s="192">
        <v>1825260201.4100001</v>
      </c>
      <c r="BP4" s="192">
        <v>1033022955.65</v>
      </c>
      <c r="BQ4" s="192">
        <v>508204018.88</v>
      </c>
      <c r="BR4" s="192">
        <v>378968057.27999997</v>
      </c>
      <c r="BS4" s="192">
        <v>94153230.329999998</v>
      </c>
      <c r="BT4" s="192">
        <v>6757461.4400000004</v>
      </c>
      <c r="BU4" s="192">
        <v>585117171</v>
      </c>
      <c r="BV4" s="192">
        <v>0</v>
      </c>
    </row>
    <row r="5" spans="1:74" s="47" customFormat="1" x14ac:dyDescent="0.25">
      <c r="A5" s="47" t="s">
        <v>295</v>
      </c>
      <c r="E5" s="47">
        <f>E4-E3</f>
        <v>2610657777.0299997</v>
      </c>
      <c r="F5" s="47">
        <f t="shared" ref="F5:AR5" si="0">F4-F3</f>
        <v>2479121609.9300003</v>
      </c>
      <c r="G5" s="47">
        <f t="shared" si="0"/>
        <v>2028353905.8400002</v>
      </c>
      <c r="H5" s="47">
        <f t="shared" si="0"/>
        <v>1659403916.9000001</v>
      </c>
      <c r="I5" s="47">
        <f t="shared" si="0"/>
        <v>5469908640.7200003</v>
      </c>
      <c r="J5" s="47">
        <f t="shared" si="0"/>
        <v>4051961581.2999997</v>
      </c>
      <c r="K5" s="47">
        <f t="shared" si="0"/>
        <v>1804131228.1800001</v>
      </c>
      <c r="L5" s="47">
        <f t="shared" si="0"/>
        <v>1078512178.0800002</v>
      </c>
      <c r="M5" s="47">
        <f t="shared" si="0"/>
        <v>2809345385.8800001</v>
      </c>
      <c r="N5" s="47">
        <f t="shared" si="0"/>
        <v>2073229029.45</v>
      </c>
      <c r="O5" s="47">
        <f t="shared" si="0"/>
        <v>1283046297.51</v>
      </c>
      <c r="P5" s="47">
        <f t="shared" si="0"/>
        <v>601839160.24000001</v>
      </c>
      <c r="Q5" s="47">
        <f t="shared" si="0"/>
        <v>1273867151.1799998</v>
      </c>
      <c r="R5" s="47">
        <f t="shared" si="0"/>
        <v>888843400.29999995</v>
      </c>
      <c r="S5" s="47">
        <f t="shared" si="0"/>
        <v>563107983</v>
      </c>
      <c r="T5" s="47">
        <f t="shared" si="0"/>
        <v>293118665.63</v>
      </c>
      <c r="U5" s="47">
        <f t="shared" si="0"/>
        <v>906823859.38</v>
      </c>
      <c r="V5" s="47">
        <f t="shared" si="0"/>
        <v>693691201.27999997</v>
      </c>
      <c r="W5" s="47">
        <f t="shared" si="0"/>
        <v>489038838.73000002</v>
      </c>
      <c r="X5" s="47">
        <f t="shared" si="0"/>
        <v>267335551.09999999</v>
      </c>
      <c r="Y5" s="47">
        <f t="shared" si="0"/>
        <v>775253154.04999995</v>
      </c>
      <c r="Z5" s="47">
        <f t="shared" si="0"/>
        <v>555431604.5</v>
      </c>
      <c r="AA5" s="47">
        <f t="shared" si="0"/>
        <v>347815403.56</v>
      </c>
      <c r="AB5" s="47">
        <f t="shared" si="0"/>
        <v>161412496.66999999</v>
      </c>
      <c r="AC5" s="47">
        <f t="shared" si="0"/>
        <v>811852178.50999999</v>
      </c>
      <c r="AD5" s="47">
        <f t="shared" si="0"/>
        <v>707613826.58000004</v>
      </c>
      <c r="AE5" s="47">
        <f t="shared" si="0"/>
        <v>404703338.69</v>
      </c>
      <c r="AF5" s="47">
        <f t="shared" si="0"/>
        <v>174637418.38999999</v>
      </c>
      <c r="AG5" s="47">
        <f t="shared" si="0"/>
        <v>263481351.34</v>
      </c>
      <c r="AH5" s="47">
        <f t="shared" si="0"/>
        <v>158210373.40000001</v>
      </c>
      <c r="AI5" s="47">
        <f t="shared" si="0"/>
        <v>96941210.640000001</v>
      </c>
      <c r="AJ5" s="47">
        <f t="shared" si="0"/>
        <v>29223049</v>
      </c>
      <c r="AK5" s="47">
        <f t="shared" si="0"/>
        <v>128176988.84999999</v>
      </c>
      <c r="AL5" s="47">
        <f t="shared" si="0"/>
        <v>103754261.84999999</v>
      </c>
      <c r="AM5" s="47">
        <f t="shared" si="0"/>
        <v>66596111.850000001</v>
      </c>
      <c r="AN5" s="47">
        <f t="shared" si="0"/>
        <v>31885885</v>
      </c>
      <c r="AO5" s="47">
        <f t="shared" si="0"/>
        <v>4970367</v>
      </c>
      <c r="AP5" s="47">
        <f t="shared" si="0"/>
        <v>0</v>
      </c>
      <c r="AQ5" s="47">
        <f t="shared" si="0"/>
        <v>73812764.530000001</v>
      </c>
      <c r="AR5" s="47">
        <f t="shared" si="0"/>
        <v>4081063.05</v>
      </c>
    </row>
    <row r="6" spans="1:74" s="105" customFormat="1" x14ac:dyDescent="0.25">
      <c r="A6" s="105" t="s">
        <v>305</v>
      </c>
      <c r="B6" s="189">
        <v>0</v>
      </c>
      <c r="C6" s="189">
        <v>79157177.329999998</v>
      </c>
      <c r="D6" s="189">
        <v>0</v>
      </c>
      <c r="E6" s="189">
        <v>322727542.98000002</v>
      </c>
      <c r="F6" s="189">
        <v>0</v>
      </c>
      <c r="G6" s="189">
        <v>168410310.96000001</v>
      </c>
      <c r="H6" s="189">
        <v>0</v>
      </c>
      <c r="I6" s="189">
        <v>209272104.38999999</v>
      </c>
      <c r="J6" s="189">
        <v>0</v>
      </c>
      <c r="K6" s="189">
        <v>91393572.840000004</v>
      </c>
      <c r="L6" s="189">
        <v>0</v>
      </c>
      <c r="M6" s="189">
        <v>113574965.70999999</v>
      </c>
      <c r="N6" s="189">
        <v>0</v>
      </c>
      <c r="O6" s="189">
        <v>37914906.990000002</v>
      </c>
      <c r="P6" s="189">
        <v>0</v>
      </c>
      <c r="Q6" s="189">
        <v>46692204.240000002</v>
      </c>
      <c r="R6" s="189">
        <v>0</v>
      </c>
      <c r="S6" s="189">
        <v>21718030.260000002</v>
      </c>
      <c r="T6" s="189">
        <v>0</v>
      </c>
      <c r="U6" s="189">
        <v>38929442.439999998</v>
      </c>
      <c r="V6" s="189">
        <v>0</v>
      </c>
      <c r="W6" s="189">
        <v>31226277.329999998</v>
      </c>
      <c r="X6" s="189">
        <v>0</v>
      </c>
      <c r="Y6" s="189">
        <v>47893619.409999996</v>
      </c>
      <c r="Z6" s="189">
        <v>0</v>
      </c>
      <c r="AA6" s="189">
        <v>0</v>
      </c>
      <c r="AB6" s="189">
        <v>0</v>
      </c>
      <c r="AC6" s="189">
        <v>36926475.149999999</v>
      </c>
      <c r="AD6" s="189">
        <v>0</v>
      </c>
      <c r="AE6" s="189">
        <v>16852676.739999998</v>
      </c>
      <c r="AF6" s="189">
        <v>0</v>
      </c>
      <c r="AG6" s="189">
        <v>21308959.489999998</v>
      </c>
      <c r="AH6" s="189">
        <v>0</v>
      </c>
      <c r="AI6" s="189">
        <v>0</v>
      </c>
      <c r="AJ6" s="189">
        <v>0</v>
      </c>
      <c r="AK6" s="189">
        <v>9516243.9800000004</v>
      </c>
      <c r="AL6" s="189">
        <v>0</v>
      </c>
      <c r="AM6" s="189">
        <v>0</v>
      </c>
      <c r="AN6" s="189">
        <v>1237915.47</v>
      </c>
      <c r="AO6" s="189">
        <v>551064.29</v>
      </c>
      <c r="AP6" s="189">
        <v>0</v>
      </c>
      <c r="AQ6" s="192">
        <v>220055249.78</v>
      </c>
      <c r="AR6" s="192">
        <v>0</v>
      </c>
      <c r="AS6" s="192">
        <v>466252820.24000001</v>
      </c>
      <c r="AT6" s="192">
        <v>0</v>
      </c>
      <c r="AU6" s="192">
        <v>0</v>
      </c>
      <c r="AV6" s="192">
        <v>0</v>
      </c>
      <c r="AW6" s="192">
        <v>467047308.91000003</v>
      </c>
      <c r="AX6" s="192">
        <v>322210774.50999999</v>
      </c>
      <c r="AY6" s="192">
        <v>214415246.97</v>
      </c>
      <c r="AZ6" s="192">
        <v>106891762.23999999</v>
      </c>
      <c r="BA6" s="192">
        <v>478234075.06999999</v>
      </c>
      <c r="BB6" s="192">
        <v>357766299.13</v>
      </c>
      <c r="BC6" s="192">
        <v>237335309.81999999</v>
      </c>
      <c r="BD6" s="192">
        <v>118623693.14</v>
      </c>
      <c r="BE6" s="192">
        <v>404552322.94</v>
      </c>
      <c r="BF6" s="192">
        <v>305788725.56</v>
      </c>
      <c r="BG6" s="192">
        <v>208996928.00999999</v>
      </c>
      <c r="BH6" s="192">
        <v>112312929.75</v>
      </c>
      <c r="BI6" s="192">
        <v>275750634.47000003</v>
      </c>
      <c r="BJ6" s="192">
        <v>202256946.52000001</v>
      </c>
      <c r="BK6" s="192">
        <v>113461866.70999999</v>
      </c>
      <c r="BL6" s="192">
        <v>56664861.82</v>
      </c>
      <c r="BM6" s="192">
        <v>233663769.53999999</v>
      </c>
      <c r="BN6" s="192">
        <v>102939387.53</v>
      </c>
      <c r="BO6" s="192">
        <v>165653982.56</v>
      </c>
      <c r="BP6" s="192">
        <v>49234570.869999997</v>
      </c>
      <c r="BQ6" s="192">
        <v>130519869.31</v>
      </c>
      <c r="BR6" s="192">
        <v>62414344.259999998</v>
      </c>
      <c r="BS6" s="192">
        <v>56928281.189999998</v>
      </c>
      <c r="BT6" s="192">
        <v>29633190.559999999</v>
      </c>
      <c r="BU6" s="192">
        <v>42460875.850000001</v>
      </c>
      <c r="BV6" s="192">
        <v>0</v>
      </c>
    </row>
    <row r="7" spans="1:74" s="192" customFormat="1" x14ac:dyDescent="0.25">
      <c r="A7" s="192" t="s">
        <v>306</v>
      </c>
      <c r="B7" s="189">
        <v>0</v>
      </c>
      <c r="C7" s="189">
        <v>336895834.36000001</v>
      </c>
      <c r="D7" s="189">
        <v>0</v>
      </c>
      <c r="E7" s="189">
        <v>3084091100.48</v>
      </c>
      <c r="F7" s="189">
        <v>0</v>
      </c>
      <c r="G7" s="189">
        <v>1107234579.5999999</v>
      </c>
      <c r="H7" s="189">
        <v>0</v>
      </c>
      <c r="I7" s="189">
        <v>2071436289.1199999</v>
      </c>
      <c r="J7" s="189">
        <v>0</v>
      </c>
      <c r="K7" s="189">
        <v>904121875.49000001</v>
      </c>
      <c r="L7" s="189">
        <v>0</v>
      </c>
      <c r="M7" s="189">
        <v>1526123746.1099999</v>
      </c>
      <c r="N7" s="189">
        <v>0</v>
      </c>
      <c r="O7" s="189">
        <v>655098591.13</v>
      </c>
      <c r="P7" s="189">
        <v>0</v>
      </c>
      <c r="Q7" s="189">
        <v>1032639064.9400001</v>
      </c>
      <c r="R7" s="189">
        <v>0</v>
      </c>
      <c r="S7" s="189">
        <v>462359714.06</v>
      </c>
      <c r="T7" s="189">
        <v>0</v>
      </c>
      <c r="U7" s="189">
        <v>587085449.21000004</v>
      </c>
      <c r="V7" s="189">
        <v>0</v>
      </c>
      <c r="W7" s="189">
        <v>242694855.28999999</v>
      </c>
      <c r="X7" s="189">
        <v>0</v>
      </c>
      <c r="Y7" s="189">
        <v>381190902.93000001</v>
      </c>
      <c r="Z7" s="189">
        <v>0</v>
      </c>
      <c r="AA7" s="189">
        <v>0</v>
      </c>
      <c r="AB7" s="189">
        <v>0</v>
      </c>
      <c r="AC7" s="189">
        <v>127101986.55</v>
      </c>
      <c r="AD7" s="189">
        <v>0</v>
      </c>
      <c r="AE7" s="189">
        <v>28109971.34</v>
      </c>
      <c r="AF7" s="189">
        <v>0</v>
      </c>
      <c r="AG7" s="189">
        <v>30806720.140000001</v>
      </c>
      <c r="AH7" s="189">
        <v>0</v>
      </c>
      <c r="AI7" s="189">
        <v>0</v>
      </c>
      <c r="AJ7" s="189">
        <v>0</v>
      </c>
      <c r="AK7" s="189">
        <v>16659913.460000001</v>
      </c>
      <c r="AL7" s="189">
        <v>0</v>
      </c>
      <c r="AM7" s="189">
        <v>0</v>
      </c>
      <c r="AN7" s="189">
        <v>8535867.9399999995</v>
      </c>
      <c r="AO7" s="189">
        <v>6729869.3300000001</v>
      </c>
      <c r="AP7" s="189">
        <v>0</v>
      </c>
      <c r="AQ7" s="192">
        <v>845090.25</v>
      </c>
      <c r="AR7" s="192">
        <v>0</v>
      </c>
      <c r="AS7" s="192">
        <v>1586144.88</v>
      </c>
      <c r="AT7" s="192">
        <v>0</v>
      </c>
      <c r="AU7" s="192">
        <v>0</v>
      </c>
      <c r="AV7" s="192">
        <v>0</v>
      </c>
      <c r="AW7" s="192">
        <v>3799631.08</v>
      </c>
      <c r="AX7" s="192">
        <v>3384594.86</v>
      </c>
      <c r="AY7" s="192">
        <v>1952934.44</v>
      </c>
      <c r="AZ7" s="192">
        <v>567536.22</v>
      </c>
      <c r="BA7" s="192">
        <v>1586144.88</v>
      </c>
      <c r="BB7" s="192">
        <v>1189608.6599999999</v>
      </c>
      <c r="BC7" s="192">
        <v>793072.44</v>
      </c>
      <c r="BD7" s="192">
        <v>396536.22</v>
      </c>
      <c r="BE7" s="192">
        <v>2026799.88</v>
      </c>
      <c r="BF7" s="192">
        <v>1513263.66</v>
      </c>
      <c r="BG7" s="192">
        <v>968842.44</v>
      </c>
      <c r="BH7" s="192">
        <v>572304.69999999995</v>
      </c>
      <c r="BI7" s="192">
        <v>2294148.85</v>
      </c>
      <c r="BJ7" s="192">
        <v>1897612.63</v>
      </c>
      <c r="BK7" s="192">
        <v>1501076.41</v>
      </c>
      <c r="BL7" s="192">
        <v>397126.17</v>
      </c>
      <c r="BM7" s="192">
        <v>3779059.29</v>
      </c>
      <c r="BN7" s="192">
        <v>943096.31999999995</v>
      </c>
      <c r="BO7" s="192">
        <v>1696119.74</v>
      </c>
      <c r="BP7" s="192">
        <v>808679.94</v>
      </c>
      <c r="BQ7" s="192">
        <v>2290393.21</v>
      </c>
      <c r="BR7" s="192">
        <v>677235.94</v>
      </c>
      <c r="BS7" s="192">
        <v>16746446.949999999</v>
      </c>
      <c r="BT7" s="192">
        <v>1394056.95</v>
      </c>
      <c r="BU7" s="192">
        <v>2442875.52</v>
      </c>
      <c r="BV7" s="192">
        <v>0</v>
      </c>
    </row>
    <row r="8" spans="1:74" s="192" customFormat="1" x14ac:dyDescent="0.25">
      <c r="A8" s="192" t="s">
        <v>307</v>
      </c>
      <c r="B8" s="189">
        <v>0</v>
      </c>
      <c r="C8" s="189">
        <v>806666.67</v>
      </c>
      <c r="D8" s="189">
        <v>0</v>
      </c>
      <c r="E8" s="189">
        <v>739736.49</v>
      </c>
      <c r="F8" s="189">
        <v>0</v>
      </c>
      <c r="G8" s="189">
        <v>282204</v>
      </c>
      <c r="H8" s="189">
        <v>0</v>
      </c>
      <c r="I8" s="189">
        <v>678802.12</v>
      </c>
      <c r="J8" s="189">
        <v>0</v>
      </c>
      <c r="K8" s="189">
        <v>621658.09</v>
      </c>
      <c r="L8" s="189">
        <v>0</v>
      </c>
      <c r="M8" s="189">
        <v>943669.21</v>
      </c>
      <c r="N8" s="189">
        <v>0</v>
      </c>
      <c r="O8" s="189">
        <v>406784.44</v>
      </c>
      <c r="P8" s="189">
        <v>0</v>
      </c>
      <c r="Q8" s="189">
        <v>317023.31</v>
      </c>
      <c r="R8" s="189">
        <v>0</v>
      </c>
      <c r="S8" s="189">
        <v>0</v>
      </c>
      <c r="T8" s="189">
        <v>0</v>
      </c>
      <c r="U8" s="189">
        <v>0</v>
      </c>
      <c r="V8" s="189">
        <v>0</v>
      </c>
      <c r="W8" s="189">
        <v>0</v>
      </c>
      <c r="X8" s="189">
        <v>0</v>
      </c>
      <c r="Y8" s="189">
        <v>0</v>
      </c>
      <c r="Z8" s="189">
        <v>0</v>
      </c>
      <c r="AA8" s="189">
        <v>0</v>
      </c>
      <c r="AB8" s="189">
        <v>0</v>
      </c>
      <c r="AC8" s="189">
        <v>0</v>
      </c>
      <c r="AD8" s="189">
        <v>0</v>
      </c>
      <c r="AE8" s="189">
        <v>0</v>
      </c>
      <c r="AF8" s="189">
        <v>0</v>
      </c>
      <c r="AG8" s="189">
        <v>0</v>
      </c>
      <c r="AH8" s="189">
        <v>0</v>
      </c>
      <c r="AI8" s="189">
        <v>0</v>
      </c>
      <c r="AJ8" s="189">
        <v>0</v>
      </c>
      <c r="AK8" s="189">
        <v>0</v>
      </c>
      <c r="AL8" s="189">
        <v>0</v>
      </c>
      <c r="AM8" s="189">
        <v>0</v>
      </c>
      <c r="AN8" s="189">
        <v>0</v>
      </c>
      <c r="AO8" s="189">
        <v>0</v>
      </c>
      <c r="AP8" s="189">
        <v>0</v>
      </c>
      <c r="AQ8" s="192">
        <v>-3272209.09</v>
      </c>
      <c r="AR8" s="192">
        <v>0</v>
      </c>
      <c r="AS8" s="192">
        <v>820470.57</v>
      </c>
      <c r="AT8" s="192">
        <v>0</v>
      </c>
      <c r="AU8" s="192">
        <v>0</v>
      </c>
      <c r="AV8" s="192">
        <v>0</v>
      </c>
      <c r="AW8" s="192">
        <v>0</v>
      </c>
      <c r="AX8" s="192">
        <v>0</v>
      </c>
      <c r="AY8" s="192">
        <v>0</v>
      </c>
      <c r="AZ8" s="192">
        <v>0</v>
      </c>
      <c r="BA8" s="192">
        <v>0</v>
      </c>
      <c r="BB8" s="192">
        <v>0</v>
      </c>
      <c r="BC8" s="192">
        <v>0</v>
      </c>
      <c r="BD8" s="192">
        <v>0</v>
      </c>
      <c r="BE8" s="192">
        <v>0</v>
      </c>
      <c r="BF8" s="192">
        <v>0</v>
      </c>
      <c r="BG8" s="192">
        <v>0</v>
      </c>
      <c r="BH8" s="192">
        <v>0</v>
      </c>
      <c r="BI8" s="192">
        <v>0</v>
      </c>
      <c r="BJ8" s="192">
        <v>0</v>
      </c>
      <c r="BK8" s="192">
        <v>0</v>
      </c>
      <c r="BL8" s="192">
        <v>0</v>
      </c>
      <c r="BM8" s="192">
        <v>0</v>
      </c>
      <c r="BN8" s="192">
        <v>0</v>
      </c>
      <c r="BO8" s="192">
        <v>0</v>
      </c>
      <c r="BP8" s="192">
        <v>0</v>
      </c>
      <c r="BQ8" s="192">
        <v>0</v>
      </c>
      <c r="BR8" s="192">
        <v>0</v>
      </c>
      <c r="BS8" s="192">
        <v>0</v>
      </c>
      <c r="BT8" s="192">
        <v>0</v>
      </c>
      <c r="BU8" s="192">
        <v>0</v>
      </c>
      <c r="BV8" s="192">
        <v>0</v>
      </c>
    </row>
    <row r="9" spans="1:74" s="192" customFormat="1" x14ac:dyDescent="0.25">
      <c r="A9" s="192" t="s">
        <v>308</v>
      </c>
      <c r="B9" s="189">
        <v>0</v>
      </c>
      <c r="C9" s="189">
        <v>6307249.5499999998</v>
      </c>
      <c r="D9" s="189">
        <v>0</v>
      </c>
      <c r="E9" s="189">
        <v>107972709.81999999</v>
      </c>
      <c r="F9" s="189">
        <v>0</v>
      </c>
      <c r="G9" s="189">
        <v>0</v>
      </c>
      <c r="H9" s="189">
        <v>0</v>
      </c>
      <c r="I9" s="189">
        <v>35423474.439999998</v>
      </c>
      <c r="J9" s="189">
        <v>0</v>
      </c>
      <c r="K9" s="189">
        <v>0</v>
      </c>
      <c r="L9" s="189">
        <v>0</v>
      </c>
      <c r="M9" s="189">
        <v>37634806.939999998</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39481.25</v>
      </c>
      <c r="AH9" s="189">
        <v>0</v>
      </c>
      <c r="AI9" s="189">
        <v>0</v>
      </c>
      <c r="AJ9" s="189">
        <v>0</v>
      </c>
      <c r="AK9" s="189">
        <v>0</v>
      </c>
      <c r="AL9" s="189">
        <v>0</v>
      </c>
      <c r="AM9" s="189">
        <v>0</v>
      </c>
      <c r="AN9" s="189">
        <v>0</v>
      </c>
      <c r="AO9" s="189">
        <v>11352.3</v>
      </c>
      <c r="AP9" s="189">
        <v>0</v>
      </c>
      <c r="AQ9" s="192">
        <v>-661025</v>
      </c>
      <c r="AR9" s="192">
        <v>0</v>
      </c>
      <c r="AS9" s="192">
        <v>-598305.26</v>
      </c>
      <c r="AT9" s="192">
        <v>0</v>
      </c>
      <c r="AU9" s="192">
        <v>0</v>
      </c>
      <c r="AV9" s="192">
        <v>0</v>
      </c>
      <c r="AW9" s="192">
        <v>269102.78999999998</v>
      </c>
      <c r="AX9" s="192">
        <v>146154.56</v>
      </c>
      <c r="AY9" s="192">
        <v>-125360.21</v>
      </c>
      <c r="AZ9" s="192">
        <v>0</v>
      </c>
      <c r="BA9" s="192">
        <v>-191319.73</v>
      </c>
      <c r="BB9" s="192">
        <v>-54708.43</v>
      </c>
      <c r="BC9" s="192">
        <v>-7534.17</v>
      </c>
      <c r="BD9" s="192">
        <v>-12970.6</v>
      </c>
      <c r="BE9" s="192">
        <v>2450780.61</v>
      </c>
      <c r="BF9" s="192">
        <v>461041.96</v>
      </c>
      <c r="BG9" s="192">
        <v>260575.46</v>
      </c>
      <c r="BH9" s="192">
        <v>-14558</v>
      </c>
      <c r="BI9" s="192">
        <v>3395525.08</v>
      </c>
      <c r="BJ9" s="192">
        <v>-15527.85</v>
      </c>
      <c r="BK9" s="192">
        <v>13728.15</v>
      </c>
      <c r="BL9" s="192">
        <v>-38776.370000000003</v>
      </c>
      <c r="BM9" s="192">
        <v>925739.38</v>
      </c>
      <c r="BN9" s="192">
        <v>510508.23</v>
      </c>
      <c r="BO9" s="192">
        <v>-49398.94</v>
      </c>
      <c r="BP9" s="192">
        <v>1595890.7</v>
      </c>
      <c r="BQ9" s="192">
        <v>-3580</v>
      </c>
      <c r="BR9" s="192">
        <v>-1500</v>
      </c>
      <c r="BS9" s="192">
        <v>169771.53</v>
      </c>
      <c r="BT9" s="192">
        <v>-1680</v>
      </c>
      <c r="BU9" s="192">
        <v>0</v>
      </c>
      <c r="BV9" s="192">
        <v>0</v>
      </c>
    </row>
    <row r="10" spans="1:74" s="192" customFormat="1" x14ac:dyDescent="0.25">
      <c r="A10" s="192" t="s">
        <v>309</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1167.33</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92">
        <v>0</v>
      </c>
      <c r="AR10" s="192">
        <v>0</v>
      </c>
      <c r="AS10" s="192">
        <v>577470.38</v>
      </c>
      <c r="AT10" s="192">
        <v>0</v>
      </c>
      <c r="AU10" s="192">
        <v>0</v>
      </c>
      <c r="AV10" s="192">
        <v>0</v>
      </c>
      <c r="AW10" s="192">
        <v>0</v>
      </c>
      <c r="AX10" s="192">
        <v>0</v>
      </c>
      <c r="AY10" s="192">
        <v>1108956.43</v>
      </c>
      <c r="AZ10" s="192">
        <v>0</v>
      </c>
      <c r="BA10" s="192">
        <v>0</v>
      </c>
      <c r="BB10" s="192">
        <v>0</v>
      </c>
      <c r="BC10" s="192">
        <v>0</v>
      </c>
      <c r="BD10" s="192">
        <v>0</v>
      </c>
      <c r="BE10" s="192">
        <v>10234174.27</v>
      </c>
      <c r="BF10" s="192">
        <v>6735200.1100000003</v>
      </c>
      <c r="BG10" s="192">
        <v>2122271.27</v>
      </c>
      <c r="BH10" s="192">
        <v>0</v>
      </c>
      <c r="BI10" s="192">
        <v>5443986.7300000004</v>
      </c>
      <c r="BJ10" s="192">
        <v>2732944.24</v>
      </c>
      <c r="BK10" s="192">
        <v>1676945.26</v>
      </c>
      <c r="BL10" s="192">
        <v>15909.78</v>
      </c>
      <c r="BM10" s="192">
        <v>4369433.5199999996</v>
      </c>
      <c r="BN10" s="192">
        <v>256577.04</v>
      </c>
      <c r="BO10" s="192">
        <v>2074884.19</v>
      </c>
      <c r="BP10" s="192">
        <v>0</v>
      </c>
      <c r="BQ10" s="192">
        <v>1025342.66</v>
      </c>
      <c r="BR10" s="192">
        <v>43944</v>
      </c>
      <c r="BS10" s="192">
        <v>0</v>
      </c>
      <c r="BT10" s="192">
        <v>7101</v>
      </c>
      <c r="BU10" s="192">
        <v>0</v>
      </c>
      <c r="BV10" s="192">
        <v>0</v>
      </c>
    </row>
    <row r="11" spans="1:74" s="47" customFormat="1" x14ac:dyDescent="0.25">
      <c r="A11" s="135" t="s">
        <v>296</v>
      </c>
      <c r="E11" s="47">
        <f>E5-E6-E7-E8-E9-E10</f>
        <v>-904873312.74000025</v>
      </c>
      <c r="F11" s="47">
        <f t="shared" ref="F11:BQ11" si="1">F5-F6-F7-F8-F9-F10</f>
        <v>2479121609.9300003</v>
      </c>
      <c r="G11" s="47">
        <f t="shared" si="1"/>
        <v>752426811.28000021</v>
      </c>
      <c r="H11" s="47">
        <f t="shared" si="1"/>
        <v>1659403916.9000001</v>
      </c>
      <c r="I11" s="47">
        <f t="shared" si="1"/>
        <v>3153097970.6500001</v>
      </c>
      <c r="J11" s="47">
        <f t="shared" si="1"/>
        <v>4051961581.2999997</v>
      </c>
      <c r="K11" s="47">
        <f t="shared" si="1"/>
        <v>807994121.76000011</v>
      </c>
      <c r="L11" s="47">
        <f t="shared" si="1"/>
        <v>1078512178.0800002</v>
      </c>
      <c r="M11" s="47">
        <f t="shared" si="1"/>
        <v>1131068197.9100001</v>
      </c>
      <c r="N11" s="47">
        <f t="shared" si="1"/>
        <v>2073229029.45</v>
      </c>
      <c r="O11" s="47">
        <f t="shared" si="1"/>
        <v>589626014.94999993</v>
      </c>
      <c r="P11" s="47">
        <f t="shared" si="1"/>
        <v>601839160.24000001</v>
      </c>
      <c r="Q11" s="47">
        <f t="shared" si="1"/>
        <v>194218858.68999976</v>
      </c>
      <c r="R11" s="47">
        <f t="shared" si="1"/>
        <v>888843400.29999995</v>
      </c>
      <c r="S11" s="47">
        <f t="shared" si="1"/>
        <v>79030238.680000007</v>
      </c>
      <c r="T11" s="47">
        <f t="shared" si="1"/>
        <v>293118665.63</v>
      </c>
      <c r="U11" s="47">
        <f t="shared" si="1"/>
        <v>280807800.40000004</v>
      </c>
      <c r="V11" s="47">
        <f t="shared" si="1"/>
        <v>693691201.27999997</v>
      </c>
      <c r="W11" s="47">
        <f t="shared" si="1"/>
        <v>215117706.11000004</v>
      </c>
      <c r="X11" s="47">
        <f t="shared" si="1"/>
        <v>267335551.09999999</v>
      </c>
      <c r="Y11" s="47">
        <f t="shared" si="1"/>
        <v>346168631.70999998</v>
      </c>
      <c r="Z11" s="47">
        <f t="shared" si="1"/>
        <v>555431604.5</v>
      </c>
      <c r="AA11" s="47">
        <f t="shared" si="1"/>
        <v>347815403.56</v>
      </c>
      <c r="AB11" s="47">
        <f t="shared" si="1"/>
        <v>161412496.66999999</v>
      </c>
      <c r="AC11" s="47">
        <f t="shared" si="1"/>
        <v>647823716.81000006</v>
      </c>
      <c r="AD11" s="47">
        <f t="shared" si="1"/>
        <v>707613826.58000004</v>
      </c>
      <c r="AE11" s="47">
        <f t="shared" si="1"/>
        <v>359740690.61000001</v>
      </c>
      <c r="AF11" s="47">
        <f t="shared" si="1"/>
        <v>174637418.38999999</v>
      </c>
      <c r="AG11" s="47">
        <f t="shared" si="1"/>
        <v>211326190.45999998</v>
      </c>
      <c r="AH11" s="47">
        <f t="shared" si="1"/>
        <v>158210373.40000001</v>
      </c>
      <c r="AI11" s="47">
        <f t="shared" si="1"/>
        <v>96941210.640000001</v>
      </c>
      <c r="AJ11" s="47">
        <f t="shared" si="1"/>
        <v>29223049</v>
      </c>
      <c r="AK11" s="47">
        <f t="shared" si="1"/>
        <v>102000831.41</v>
      </c>
      <c r="AL11" s="47">
        <f t="shared" si="1"/>
        <v>103754261.84999999</v>
      </c>
      <c r="AM11" s="47">
        <f t="shared" si="1"/>
        <v>66596111.850000001</v>
      </c>
      <c r="AN11" s="47">
        <f t="shared" si="1"/>
        <v>22112101.590000004</v>
      </c>
      <c r="AO11" s="47">
        <f t="shared" si="1"/>
        <v>-2321918.92</v>
      </c>
      <c r="AP11" s="47">
        <f t="shared" si="1"/>
        <v>0</v>
      </c>
      <c r="AQ11" s="47">
        <f t="shared" si="1"/>
        <v>-143154341.41</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13926545239.610001</v>
      </c>
      <c r="F12" s="26">
        <f t="shared" si="3"/>
        <v>12606752966.610001</v>
      </c>
      <c r="G12" s="26">
        <f t="shared" si="3"/>
        <v>10714019963.780001</v>
      </c>
      <c r="H12" s="26">
        <f t="shared" si="3"/>
        <v>7573049568.4300003</v>
      </c>
      <c r="I12" s="26">
        <f t="shared" si="3"/>
        <v>6963243298.2700005</v>
      </c>
      <c r="J12" s="26">
        <f t="shared" si="3"/>
        <v>5993852699.3299999</v>
      </c>
      <c r="K12" s="26">
        <f t="shared" si="3"/>
        <v>5224509429.8799992</v>
      </c>
      <c r="L12" s="26">
        <f t="shared" si="3"/>
        <v>4819279212.1199999</v>
      </c>
      <c r="M12" s="26">
        <f t="shared" si="3"/>
        <v>4498559580.7799997</v>
      </c>
      <c r="N12" s="26">
        <f t="shared" si="3"/>
        <v>3857873512.5700006</v>
      </c>
      <c r="O12" s="26">
        <f t="shared" si="3"/>
        <v>3422994387.3999996</v>
      </c>
      <c r="P12" s="26">
        <f t="shared" si="3"/>
        <v>3088177473.73</v>
      </c>
      <c r="Q12" s="26">
        <f t="shared" si="3"/>
        <v>2933977881.21</v>
      </c>
      <c r="R12" s="192">
        <f t="shared" ref="R12" si="4">V34</f>
        <v>2558905256.3600001</v>
      </c>
      <c r="S12" s="192">
        <f t="shared" ref="S12" si="5">W34</f>
        <v>2438031928.77</v>
      </c>
      <c r="T12" s="192">
        <f t="shared" ref="T12" si="6">X34</f>
        <v>2149330100.0799999</v>
      </c>
      <c r="U12" s="192">
        <f t="shared" ref="U12" si="7">Y34</f>
        <v>2008888370.1599998</v>
      </c>
      <c r="V12" s="192">
        <f t="shared" ref="V12" si="8">Z34</f>
        <v>1728052120.8</v>
      </c>
      <c r="W12" s="192">
        <f t="shared" ref="W12" si="9">AA34</f>
        <v>1557532114.72</v>
      </c>
      <c r="X12" s="192">
        <f t="shared" ref="X12" si="10">AB34</f>
        <v>1361056234.79</v>
      </c>
      <c r="Y12" s="192">
        <f t="shared" ref="Y12" si="11">AC34</f>
        <v>1109799862.1699998</v>
      </c>
      <c r="Z12" s="192">
        <f t="shared" ref="Z12" si="12">AD34</f>
        <v>705348839.65999997</v>
      </c>
      <c r="AA12" s="192">
        <f t="shared" ref="AA12" si="13">AE34</f>
        <v>492115286.22000003</v>
      </c>
      <c r="AB12" s="192">
        <f t="shared" ref="AB12" si="14">AF34</f>
        <v>405790777.05000001</v>
      </c>
      <c r="AC12" s="192">
        <f t="shared" ref="AC12" si="15">AG34</f>
        <v>357958064.81999999</v>
      </c>
      <c r="AD12" s="192">
        <f t="shared" ref="AD12" si="16">AH34</f>
        <v>269202063.73000002</v>
      </c>
      <c r="AE12" s="192">
        <f t="shared" ref="AE12" si="17">AI34</f>
        <v>226730876.22999999</v>
      </c>
      <c r="AF12" s="192">
        <f t="shared" ref="AF12" si="18">AJ34</f>
        <v>169812508.78999999</v>
      </c>
      <c r="AG12" s="192">
        <f t="shared" ref="AG12" si="19">AK34</f>
        <v>62677692.899999999</v>
      </c>
      <c r="AH12" s="192">
        <f t="shared" ref="AH12" si="20">AL34</f>
        <v>53016126.920000002</v>
      </c>
      <c r="AI12" s="192">
        <f t="shared" ref="AI12" si="21">AM34</f>
        <v>0</v>
      </c>
      <c r="AJ12" s="192">
        <f t="shared" ref="AJ12" si="22">AN34</f>
        <v>0</v>
      </c>
      <c r="AK12" s="192">
        <f t="shared" ref="AK12" si="23">AO34</f>
        <v>0</v>
      </c>
      <c r="AL12" s="192">
        <f t="shared" ref="AL12" si="24">AP34</f>
        <v>0</v>
      </c>
      <c r="AM12" s="192">
        <f t="shared" ref="AM12" si="25">AQ34</f>
        <v>4945499008.7600002</v>
      </c>
      <c r="AN12" s="192">
        <f t="shared" ref="AN12" si="26">AR34</f>
        <v>4983590367.6400003</v>
      </c>
      <c r="AO12" s="192">
        <f t="shared" ref="AO12" si="27">AS34</f>
        <v>5087759145.3900003</v>
      </c>
      <c r="AP12" s="192">
        <f t="shared" ref="AP12" si="28">AT34</f>
        <v>5119825755.0799999</v>
      </c>
      <c r="AQ12" s="192">
        <f t="shared" ref="AQ12" si="29">AU34</f>
        <v>5166324238.8199997</v>
      </c>
      <c r="AR12" s="192">
        <f t="shared" ref="AR12" si="30">AV34</f>
        <v>5229742144.5900002</v>
      </c>
      <c r="AS12" s="192">
        <f t="shared" ref="AS12" si="31">AW34</f>
        <v>5303368604.3599997</v>
      </c>
      <c r="AT12" s="192">
        <f t="shared" ref="AT12" si="32">AX34</f>
        <v>5412891640.3100004</v>
      </c>
      <c r="AU12" s="192">
        <f t="shared" ref="AU12" si="33">AY34</f>
        <v>5477269087.8599997</v>
      </c>
      <c r="AV12" s="192">
        <f t="shared" ref="AV12" si="34">AZ34</f>
        <v>5394582476.9899998</v>
      </c>
      <c r="AW12" s="192">
        <f t="shared" ref="AW12" si="35">BA34</f>
        <v>5501322858.9799995</v>
      </c>
      <c r="AX12" s="192">
        <f t="shared" ref="AX12" si="36">BB34</f>
        <v>5577867470.3299999</v>
      </c>
      <c r="AY12" s="192">
        <f t="shared" ref="AY12" si="37">BC34</f>
        <v>5696283898.6499996</v>
      </c>
      <c r="AZ12" s="192">
        <f t="shared" ref="AZ12" si="38">BD34</f>
        <v>5779603253.5100002</v>
      </c>
      <c r="BA12" s="192">
        <f t="shared" ref="BA12" si="39">BE34</f>
        <v>5840992847.29</v>
      </c>
      <c r="BB12" s="192">
        <f t="shared" ref="BB12" si="40">BF34</f>
        <v>5434316703.3800001</v>
      </c>
      <c r="BC12" s="192">
        <f t="shared" ref="BC12" si="41">BG34</f>
        <v>5519652065.3800001</v>
      </c>
      <c r="BD12" s="192">
        <f t="shared" ref="BD12" si="42">BH34</f>
        <v>5587811046.9799995</v>
      </c>
      <c r="BE12" s="192">
        <f t="shared" ref="BE12" si="43">BI34</f>
        <v>5587556850.7200003</v>
      </c>
      <c r="BF12" s="192">
        <f t="shared" ref="BF12" si="44">BJ34</f>
        <v>5175235607.8500004</v>
      </c>
      <c r="BG12" s="192">
        <f t="shared" ref="BG12" si="45">BK34</f>
        <v>4543535291.6599998</v>
      </c>
      <c r="BH12" s="192">
        <f t="shared" ref="BH12" si="46">BL34</f>
        <v>4478639735.0500002</v>
      </c>
      <c r="BI12" s="192">
        <f t="shared" ref="BI12" si="47">BM34</f>
        <v>4520776529.7700005</v>
      </c>
      <c r="BJ12" s="192">
        <f t="shared" ref="BJ12" si="48">BN34</f>
        <v>3620875395.5999999</v>
      </c>
      <c r="BK12" s="192">
        <f t="shared" ref="BK12" si="49">BO34</f>
        <v>3684993020.0500002</v>
      </c>
      <c r="BL12" s="192">
        <f t="shared" ref="BL12" si="50">BP34</f>
        <v>3523637936.8200002</v>
      </c>
      <c r="BM12" s="192">
        <f t="shared" ref="BM12" si="51">BQ34</f>
        <v>0</v>
      </c>
      <c r="BN12" s="192">
        <f t="shared" ref="BN12" si="52">BR34</f>
        <v>4945499008.7600002</v>
      </c>
    </row>
    <row r="13" spans="1:74" s="219" customFormat="1" x14ac:dyDescent="0.25">
      <c r="A13" s="219" t="s">
        <v>350</v>
      </c>
      <c r="E13" s="219">
        <f>E11/E12</f>
        <v>-6.4974715349098336E-2</v>
      </c>
      <c r="F13" s="219">
        <f t="shared" ref="F13:AR13" si="53">F11/F12</f>
        <v>0.19665028865847958</v>
      </c>
      <c r="G13" s="219">
        <f t="shared" si="53"/>
        <v>7.0228244284000513E-2</v>
      </c>
      <c r="H13" s="219">
        <f t="shared" si="53"/>
        <v>0.21911964287380439</v>
      </c>
      <c r="I13" s="219">
        <f t="shared" si="53"/>
        <v>0.45282030737506745</v>
      </c>
      <c r="J13" s="219">
        <f t="shared" si="53"/>
        <v>0.67601954611813075</v>
      </c>
      <c r="K13" s="219">
        <f t="shared" si="53"/>
        <v>0.15465454366661155</v>
      </c>
      <c r="L13" s="219">
        <f t="shared" si="53"/>
        <v>0.2237911792634158</v>
      </c>
      <c r="M13" s="219">
        <f t="shared" si="53"/>
        <v>0.25142896911768492</v>
      </c>
      <c r="N13" s="219">
        <f t="shared" si="53"/>
        <v>0.53740202282289873</v>
      </c>
      <c r="O13" s="219">
        <f t="shared" si="53"/>
        <v>0.17225444982334942</v>
      </c>
      <c r="P13" s="219">
        <f t="shared" si="53"/>
        <v>0.19488490067673453</v>
      </c>
      <c r="Q13" s="219">
        <f t="shared" si="53"/>
        <v>6.6196429064387524E-2</v>
      </c>
      <c r="R13" s="219">
        <f t="shared" si="53"/>
        <v>0.34735299327352387</v>
      </c>
      <c r="S13" s="219">
        <f t="shared" si="53"/>
        <v>3.2415588059944392E-2</v>
      </c>
      <c r="T13" s="219">
        <f t="shared" si="53"/>
        <v>0.13637675553843026</v>
      </c>
      <c r="U13" s="219">
        <f t="shared" si="53"/>
        <v>0.13978268009866313</v>
      </c>
      <c r="V13" s="219">
        <f t="shared" si="53"/>
        <v>0.40142955928832535</v>
      </c>
      <c r="W13" s="219">
        <f t="shared" si="53"/>
        <v>0.13811445945605563</v>
      </c>
      <c r="X13" s="219">
        <f t="shared" si="53"/>
        <v>0.19641771167614372</v>
      </c>
      <c r="Y13" s="219">
        <f t="shared" si="53"/>
        <v>0.31191987268148863</v>
      </c>
      <c r="Z13" s="219">
        <f t="shared" si="53"/>
        <v>0.78745660766626524</v>
      </c>
      <c r="AA13" s="219">
        <f t="shared" si="53"/>
        <v>0.7067762642197406</v>
      </c>
      <c r="AB13" s="219">
        <f t="shared" si="53"/>
        <v>0.39777270898917289</v>
      </c>
      <c r="AC13" s="219">
        <f t="shared" si="53"/>
        <v>1.8097754471204879</v>
      </c>
      <c r="AD13" s="219">
        <f t="shared" si="53"/>
        <v>2.6285601855181588</v>
      </c>
      <c r="AE13" s="219">
        <f t="shared" si="53"/>
        <v>1.5866418221974867</v>
      </c>
      <c r="AF13" s="219">
        <f t="shared" si="53"/>
        <v>1.0284131577489781</v>
      </c>
      <c r="AG13" s="219">
        <f t="shared" si="53"/>
        <v>3.3716332028551736</v>
      </c>
      <c r="AH13" s="219">
        <f t="shared" si="53"/>
        <v>2.9841933500486646</v>
      </c>
      <c r="AI13" s="219" t="e">
        <f t="shared" si="53"/>
        <v>#DIV/0!</v>
      </c>
      <c r="AJ13" s="219" t="e">
        <f t="shared" si="53"/>
        <v>#DIV/0!</v>
      </c>
      <c r="AK13" s="219" t="e">
        <f t="shared" si="53"/>
        <v>#DIV/0!</v>
      </c>
      <c r="AL13" s="219" t="e">
        <f t="shared" si="53"/>
        <v>#DIV/0!</v>
      </c>
      <c r="AM13" s="219">
        <f t="shared" si="53"/>
        <v>1.3466004488533473E-2</v>
      </c>
      <c r="AN13" s="219">
        <f t="shared" si="53"/>
        <v>4.4369821672304256E-3</v>
      </c>
      <c r="AO13" s="219">
        <f t="shared" si="53"/>
        <v>-4.5637359270512678E-4</v>
      </c>
      <c r="AP13" s="219">
        <f t="shared" si="53"/>
        <v>0</v>
      </c>
      <c r="AQ13" s="219">
        <f t="shared" si="53"/>
        <v>-2.7709128345900485E-2</v>
      </c>
      <c r="AR13" s="219">
        <f t="shared" si="53"/>
        <v>7.8035645681340682E-4</v>
      </c>
    </row>
    <row r="14" spans="1:74" s="48" customFormat="1" x14ac:dyDescent="0.25">
      <c r="A14" s="46" t="s">
        <v>293</v>
      </c>
    </row>
    <row r="15" spans="1:74" s="26" customFormat="1" x14ac:dyDescent="0.25">
      <c r="A15" s="17" t="s">
        <v>313</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239204736.97</v>
      </c>
      <c r="R16" s="189">
        <v>204970429.15000001</v>
      </c>
      <c r="S16" s="189">
        <v>204970429.15000001</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239204736.97</v>
      </c>
      <c r="R17" s="47">
        <f t="shared" si="54"/>
        <v>204970429.15000001</v>
      </c>
      <c r="S17" s="47">
        <f t="shared" si="54"/>
        <v>204970429.15000001</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2610657777.0299997</v>
      </c>
      <c r="F19" s="192">
        <f t="shared" ref="F19:AS19" si="55">F5+F17</f>
        <v>2479121609.9300003</v>
      </c>
      <c r="G19" s="192">
        <f t="shared" si="55"/>
        <v>2028353905.8400002</v>
      </c>
      <c r="H19" s="192">
        <f t="shared" si="55"/>
        <v>1659403916.9000001</v>
      </c>
      <c r="I19" s="192">
        <f t="shared" si="55"/>
        <v>5469908640.7200003</v>
      </c>
      <c r="J19" s="192">
        <f t="shared" si="55"/>
        <v>4051961581.2999997</v>
      </c>
      <c r="K19" s="192">
        <f t="shared" si="55"/>
        <v>1804131228.1800001</v>
      </c>
      <c r="L19" s="192">
        <f t="shared" si="55"/>
        <v>1078512178.0800002</v>
      </c>
      <c r="M19" s="192">
        <f t="shared" si="55"/>
        <v>2809345385.8800001</v>
      </c>
      <c r="N19" s="192">
        <f t="shared" si="55"/>
        <v>2073229029.45</v>
      </c>
      <c r="O19" s="192">
        <f t="shared" si="55"/>
        <v>1283046297.51</v>
      </c>
      <c r="P19" s="192">
        <f t="shared" si="55"/>
        <v>601839160.24000001</v>
      </c>
      <c r="Q19" s="192">
        <f t="shared" si="55"/>
        <v>1513071888.1499999</v>
      </c>
      <c r="R19" s="192">
        <f t="shared" si="55"/>
        <v>1093813829.45</v>
      </c>
      <c r="S19" s="192">
        <f t="shared" si="55"/>
        <v>768078412.14999998</v>
      </c>
      <c r="T19" s="192">
        <f t="shared" si="55"/>
        <v>293118665.63</v>
      </c>
      <c r="U19" s="192">
        <f t="shared" si="55"/>
        <v>906823859.38</v>
      </c>
      <c r="V19" s="192">
        <f t="shared" si="55"/>
        <v>693691201.27999997</v>
      </c>
      <c r="W19" s="192">
        <f t="shared" si="55"/>
        <v>489038838.73000002</v>
      </c>
      <c r="X19" s="192">
        <f t="shared" si="55"/>
        <v>267335551.09999999</v>
      </c>
      <c r="Y19" s="192">
        <f t="shared" si="55"/>
        <v>775253154.04999995</v>
      </c>
      <c r="Z19" s="192">
        <f t="shared" si="55"/>
        <v>555431604.5</v>
      </c>
      <c r="AA19" s="192">
        <f t="shared" si="55"/>
        <v>347815403.56</v>
      </c>
      <c r="AB19" s="192">
        <f t="shared" si="55"/>
        <v>161412496.66999999</v>
      </c>
      <c r="AC19" s="192">
        <f t="shared" si="55"/>
        <v>811852178.50999999</v>
      </c>
      <c r="AD19" s="192">
        <f t="shared" si="55"/>
        <v>707613826.58000004</v>
      </c>
      <c r="AE19" s="192">
        <f t="shared" si="55"/>
        <v>404703338.69</v>
      </c>
      <c r="AF19" s="192">
        <f t="shared" si="55"/>
        <v>174637418.38999999</v>
      </c>
      <c r="AG19" s="192">
        <f t="shared" si="55"/>
        <v>263481351.34</v>
      </c>
      <c r="AH19" s="192">
        <f t="shared" si="55"/>
        <v>158210373.40000001</v>
      </c>
      <c r="AI19" s="192">
        <f t="shared" si="55"/>
        <v>96941210.640000001</v>
      </c>
      <c r="AJ19" s="192">
        <f t="shared" si="55"/>
        <v>29223049</v>
      </c>
      <c r="AK19" s="192">
        <f t="shared" si="55"/>
        <v>128176988.84999999</v>
      </c>
      <c r="AL19" s="192">
        <f t="shared" si="55"/>
        <v>103754261.84999999</v>
      </c>
      <c r="AM19" s="192">
        <f t="shared" si="55"/>
        <v>66596111.850000001</v>
      </c>
      <c r="AN19" s="192">
        <f t="shared" si="55"/>
        <v>31885885</v>
      </c>
      <c r="AO19" s="192">
        <f t="shared" si="55"/>
        <v>4970367</v>
      </c>
      <c r="AP19" s="192">
        <f t="shared" si="55"/>
        <v>0</v>
      </c>
      <c r="AQ19" s="192">
        <f t="shared" si="55"/>
        <v>73812764.530000001</v>
      </c>
      <c r="AR19" s="192">
        <f t="shared" si="55"/>
        <v>4081063.05</v>
      </c>
      <c r="AS19" s="192">
        <f t="shared" si="55"/>
        <v>0</v>
      </c>
    </row>
    <row r="20" spans="1:74" s="192" customFormat="1" x14ac:dyDescent="0.25">
      <c r="A20" s="192" t="s">
        <v>300</v>
      </c>
      <c r="B20" s="189">
        <v>-958967739.08000004</v>
      </c>
      <c r="C20" s="189">
        <v>-852700993.04999995</v>
      </c>
      <c r="D20" s="189">
        <v>-655518267.34000003</v>
      </c>
      <c r="E20" s="189">
        <v>-2640545383.2399998</v>
      </c>
      <c r="F20" s="189">
        <v>-2814650512.3899999</v>
      </c>
      <c r="G20" s="189">
        <v>-2185441404.02</v>
      </c>
      <c r="H20" s="189">
        <v>-741173904.63999999</v>
      </c>
      <c r="I20" s="189">
        <v>-1068060768.96</v>
      </c>
      <c r="J20" s="189">
        <v>543434995.25999999</v>
      </c>
      <c r="K20" s="189">
        <v>289189615.44</v>
      </c>
      <c r="L20" s="189">
        <v>64572457.719999999</v>
      </c>
      <c r="M20" s="189">
        <v>875701876.46000004</v>
      </c>
      <c r="N20" s="189">
        <v>809723517.28999996</v>
      </c>
      <c r="O20" s="189">
        <v>465081606.07999998</v>
      </c>
      <c r="P20" s="189">
        <v>-280250436.31999999</v>
      </c>
      <c r="Q20" s="189">
        <v>234182733.96000001</v>
      </c>
      <c r="R20" s="189">
        <v>343701268.24000001</v>
      </c>
      <c r="S20" s="189">
        <v>461337454.16000003</v>
      </c>
      <c r="T20" s="189">
        <v>146987158.5</v>
      </c>
      <c r="U20" s="189">
        <v>175851396.59</v>
      </c>
      <c r="V20" s="189">
        <v>220657623.78</v>
      </c>
      <c r="W20" s="189">
        <v>61760717.340000004</v>
      </c>
      <c r="X20" s="189">
        <v>88847203.170000002</v>
      </c>
      <c r="Y20" s="189">
        <v>106199921.42</v>
      </c>
      <c r="Z20" s="189">
        <v>48696901.509999998</v>
      </c>
      <c r="AA20" s="189">
        <v>92367781.019999996</v>
      </c>
      <c r="AB20" s="189">
        <v>97492162.609999999</v>
      </c>
      <c r="AC20" s="189">
        <v>146904755.97999999</v>
      </c>
      <c r="AD20" s="189">
        <v>109582989.3</v>
      </c>
      <c r="AE20" s="189">
        <v>64777512.509999998</v>
      </c>
      <c r="AF20" s="189">
        <v>6861051.7999999998</v>
      </c>
      <c r="AG20" s="189">
        <v>65485087</v>
      </c>
      <c r="AH20" s="189">
        <v>26963297.239999998</v>
      </c>
      <c r="AI20" s="189">
        <v>30549743.460000001</v>
      </c>
      <c r="AJ20" s="189">
        <v>4814777.88</v>
      </c>
      <c r="AK20" s="189">
        <v>83403123.849999994</v>
      </c>
      <c r="AL20" s="189">
        <v>62706929.460000001</v>
      </c>
      <c r="AM20" s="189">
        <v>47099251.689999998</v>
      </c>
      <c r="AN20" s="189">
        <v>16494533.359999999</v>
      </c>
      <c r="AO20" s="189">
        <v>9458967.0700000003</v>
      </c>
      <c r="AP20" s="189">
        <v>0</v>
      </c>
      <c r="AQ20" s="192">
        <v>1196792212.5999999</v>
      </c>
      <c r="AR20" s="192">
        <v>1171946368.1099999</v>
      </c>
      <c r="AS20" s="192">
        <v>1665545943.71</v>
      </c>
      <c r="AT20" s="192">
        <v>2089846017.8800001</v>
      </c>
      <c r="AU20" s="192">
        <v>1599888081.8099999</v>
      </c>
      <c r="AV20" s="192">
        <v>1055798280.0700001</v>
      </c>
      <c r="AW20" s="192">
        <v>1336270367.45</v>
      </c>
      <c r="AX20" s="192">
        <v>1192408273.4000001</v>
      </c>
      <c r="AY20" s="192">
        <v>889923241.13999999</v>
      </c>
      <c r="AZ20" s="192">
        <v>788427165.83000004</v>
      </c>
      <c r="BA20" s="192">
        <v>1252717668.0899999</v>
      </c>
      <c r="BB20" s="192">
        <v>807940999.38999999</v>
      </c>
      <c r="BC20" s="192">
        <v>713289532.66999996</v>
      </c>
      <c r="BD20" s="192">
        <v>410809880.20999998</v>
      </c>
      <c r="BE20" s="192">
        <v>821693394.29999995</v>
      </c>
      <c r="BF20" s="192">
        <v>845972023.45000005</v>
      </c>
      <c r="BG20" s="192">
        <v>673455379.76999998</v>
      </c>
      <c r="BH20" s="192">
        <v>959479476.41999996</v>
      </c>
      <c r="BI20" s="192">
        <v>1044659243.4</v>
      </c>
      <c r="BJ20" s="192">
        <v>796479775.66999996</v>
      </c>
      <c r="BK20" s="192">
        <v>324143510.37</v>
      </c>
      <c r="BL20" s="192">
        <v>233531826.72</v>
      </c>
      <c r="BM20" s="192">
        <v>1053290717.92</v>
      </c>
      <c r="BN20" s="192">
        <v>513631576.39999998</v>
      </c>
      <c r="BO20" s="192">
        <v>1073187941.83</v>
      </c>
      <c r="BP20" s="192">
        <v>259841859.31999999</v>
      </c>
      <c r="BQ20" s="192">
        <v>1294995783.27</v>
      </c>
      <c r="BR20" s="192">
        <v>527169463.72000003</v>
      </c>
      <c r="BS20" s="192">
        <v>898446895.69000006</v>
      </c>
      <c r="BT20" s="192">
        <v>436278873.26999998</v>
      </c>
      <c r="BU20" s="192">
        <v>359005459.04000002</v>
      </c>
      <c r="BV20" s="192">
        <v>0</v>
      </c>
    </row>
    <row r="21" spans="1:74" s="220" customFormat="1" x14ac:dyDescent="0.25">
      <c r="A21" s="220" t="s">
        <v>665</v>
      </c>
      <c r="E21" s="220">
        <f>E20/E19</f>
        <v>-1.0114483048957881</v>
      </c>
      <c r="F21" s="220">
        <f t="shared" ref="F21:AS21" si="56">F20/F19</f>
        <v>-1.1353418489500697</v>
      </c>
      <c r="G21" s="220">
        <f t="shared" si="56"/>
        <v>-1.0774458035788115</v>
      </c>
      <c r="H21" s="220">
        <f t="shared" si="56"/>
        <v>-0.4466506901011883</v>
      </c>
      <c r="I21" s="220">
        <f t="shared" si="56"/>
        <v>-0.1952611714588732</v>
      </c>
      <c r="J21" s="220">
        <f t="shared" si="56"/>
        <v>0.13411652217236683</v>
      </c>
      <c r="K21" s="220">
        <f t="shared" si="56"/>
        <v>0.1602930047010678</v>
      </c>
      <c r="L21" s="220">
        <f t="shared" si="56"/>
        <v>5.9871792857224694E-2</v>
      </c>
      <c r="M21" s="220">
        <f t="shared" si="56"/>
        <v>0.31171029409959677</v>
      </c>
      <c r="N21" s="220">
        <f t="shared" si="56"/>
        <v>0.39056153747992273</v>
      </c>
      <c r="O21" s="220">
        <f t="shared" si="56"/>
        <v>0.36248232583857726</v>
      </c>
      <c r="P21" s="220">
        <f t="shared" si="56"/>
        <v>-0.46565669839138146</v>
      </c>
      <c r="Q21" s="220">
        <f t="shared" si="56"/>
        <v>0.15477303873930945</v>
      </c>
      <c r="R21" s="220">
        <f t="shared" si="56"/>
        <v>0.31422282200694296</v>
      </c>
      <c r="S21" s="220">
        <f t="shared" si="56"/>
        <v>0.6006384854231579</v>
      </c>
      <c r="T21" s="220">
        <f t="shared" si="56"/>
        <v>0.50145956479462162</v>
      </c>
      <c r="U21" s="220">
        <f t="shared" si="56"/>
        <v>0.1939201254698244</v>
      </c>
      <c r="V21" s="220">
        <f t="shared" si="56"/>
        <v>0.31809200314612934</v>
      </c>
      <c r="W21" s="220">
        <f t="shared" si="56"/>
        <v>0.1262900049010183</v>
      </c>
      <c r="X21" s="220">
        <f t="shared" si="56"/>
        <v>0.3323433894385624</v>
      </c>
      <c r="Y21" s="220">
        <f t="shared" si="56"/>
        <v>0.13698740968056822</v>
      </c>
      <c r="Z21" s="220">
        <f t="shared" si="56"/>
        <v>8.7673983827112237E-2</v>
      </c>
      <c r="AA21" s="220">
        <f t="shared" si="56"/>
        <v>0.2655655272152605</v>
      </c>
      <c r="AB21" s="220">
        <f t="shared" si="56"/>
        <v>0.60399389527638614</v>
      </c>
      <c r="AC21" s="220">
        <f t="shared" si="56"/>
        <v>0.18095012844532324</v>
      </c>
      <c r="AD21" s="220">
        <f t="shared" si="56"/>
        <v>0.15486270220245757</v>
      </c>
      <c r="AE21" s="220">
        <f t="shared" si="56"/>
        <v>0.16006172007298197</v>
      </c>
      <c r="AF21" s="220">
        <f t="shared" si="56"/>
        <v>3.9287409670005033E-2</v>
      </c>
      <c r="AG21" s="220">
        <f t="shared" si="56"/>
        <v>0.2485378440142321</v>
      </c>
      <c r="AH21" s="220">
        <f t="shared" si="56"/>
        <v>0.17042686051836345</v>
      </c>
      <c r="AI21" s="220">
        <f t="shared" si="56"/>
        <v>0.31513680568163371</v>
      </c>
      <c r="AJ21" s="220">
        <f t="shared" si="56"/>
        <v>0.16475960054681493</v>
      </c>
      <c r="AK21" s="220">
        <f t="shared" si="56"/>
        <v>0.65068718338829967</v>
      </c>
      <c r="AL21" s="220">
        <f t="shared" si="56"/>
        <v>0.60437931263639944</v>
      </c>
      <c r="AM21" s="220">
        <f t="shared" si="56"/>
        <v>0.7072372602785818</v>
      </c>
      <c r="AN21" s="220">
        <f t="shared" si="56"/>
        <v>0.51729890388803701</v>
      </c>
      <c r="AO21" s="220">
        <f t="shared" si="56"/>
        <v>1.9030721614721811</v>
      </c>
      <c r="AP21" s="220" t="e">
        <f t="shared" si="56"/>
        <v>#DIV/0!</v>
      </c>
      <c r="AQ21" s="220">
        <f t="shared" si="56"/>
        <v>16.213892274873178</v>
      </c>
      <c r="AR21" s="220">
        <f t="shared" si="56"/>
        <v>287.16693512245541</v>
      </c>
      <c r="AS21" s="220" t="e">
        <f t="shared" si="56"/>
        <v>#DIV/0!</v>
      </c>
    </row>
    <row r="22" spans="1:74" s="192" customFormat="1" x14ac:dyDescent="0.25">
      <c r="A22" s="192" t="s">
        <v>301</v>
      </c>
      <c r="E22" s="192">
        <f>I35</f>
        <v>6091927356.1699991</v>
      </c>
      <c r="F22" s="192">
        <f t="shared" ref="F22:Y22" si="57">J35</f>
        <v>7562822655.7300005</v>
      </c>
      <c r="G22" s="192">
        <f t="shared" si="57"/>
        <v>6532309828.4700012</v>
      </c>
      <c r="H22" s="192">
        <f t="shared" si="57"/>
        <v>2808231990.5700002</v>
      </c>
      <c r="I22" s="192">
        <f t="shared" si="57"/>
        <v>2889307902.3699999</v>
      </c>
      <c r="J22" s="192">
        <f t="shared" si="57"/>
        <v>3413136644.77</v>
      </c>
      <c r="K22" s="192">
        <f t="shared" si="57"/>
        <v>1232837644.6799998</v>
      </c>
      <c r="L22" s="192">
        <f t="shared" si="57"/>
        <v>737402890.25</v>
      </c>
      <c r="M22" s="192">
        <f t="shared" si="57"/>
        <v>519850156.29000002</v>
      </c>
      <c r="N22" s="192">
        <f t="shared" si="57"/>
        <v>420605212.93000001</v>
      </c>
      <c r="O22" s="192">
        <f t="shared" si="57"/>
        <v>1028350168.02</v>
      </c>
      <c r="P22" s="192">
        <f t="shared" si="57"/>
        <v>892475943.33000004</v>
      </c>
      <c r="Q22" s="192">
        <f t="shared" si="57"/>
        <v>608218105.28999996</v>
      </c>
      <c r="R22" s="192">
        <f t="shared" si="57"/>
        <v>514951299.14999998</v>
      </c>
      <c r="S22" s="192">
        <f t="shared" si="57"/>
        <v>220208941.77000001</v>
      </c>
      <c r="T22" s="192">
        <f t="shared" si="57"/>
        <v>311140576.07999998</v>
      </c>
      <c r="U22" s="192">
        <f t="shared" si="57"/>
        <v>193520396.46000001</v>
      </c>
      <c r="V22" s="192">
        <f t="shared" si="57"/>
        <v>235316894.03999999</v>
      </c>
      <c r="W22" s="192">
        <f t="shared" si="57"/>
        <v>236059277.34</v>
      </c>
      <c r="X22" s="192">
        <f t="shared" si="57"/>
        <v>102103605.79000001</v>
      </c>
      <c r="Y22" s="192">
        <f t="shared" si="57"/>
        <v>133398455.5</v>
      </c>
      <c r="Z22" s="192">
        <f t="shared" ref="Z22" si="58">AD35</f>
        <v>111085605.84</v>
      </c>
      <c r="AA22" s="192">
        <f t="shared" ref="AA22" si="59">AE35</f>
        <v>314833518.51999998</v>
      </c>
      <c r="AB22" s="192">
        <f t="shared" ref="AB22" si="60">AF35</f>
        <v>374656051.39999998</v>
      </c>
      <c r="AC22" s="192">
        <f t="shared" ref="AC22" si="61">AG35</f>
        <v>543353279.10000002</v>
      </c>
      <c r="AD22" s="192">
        <f t="shared" ref="AD22" si="62">AH35</f>
        <v>566092532.38999999</v>
      </c>
      <c r="AE22" s="192">
        <f t="shared" ref="AE22" si="63">AI35</f>
        <v>20506299.109999999</v>
      </c>
      <c r="AF22" s="192">
        <f t="shared" ref="AF22" si="64">AJ35</f>
        <v>33561197.539999999</v>
      </c>
      <c r="AG22" s="192">
        <f t="shared" ref="AG22" si="65">AK35</f>
        <v>39065039.079999998</v>
      </c>
      <c r="AH22" s="192">
        <f t="shared" ref="AH22" si="66">AL35</f>
        <v>1656390.72</v>
      </c>
      <c r="AI22" s="192">
        <f t="shared" ref="AI22" si="67">AM35</f>
        <v>0</v>
      </c>
      <c r="AJ22" s="192">
        <f t="shared" ref="AJ22" si="68">AN35</f>
        <v>0</v>
      </c>
      <c r="AK22" s="192">
        <f t="shared" ref="AK22" si="69">AO35</f>
        <v>0</v>
      </c>
      <c r="AL22" s="192">
        <f t="shared" ref="AL22" si="70">AP35</f>
        <v>0</v>
      </c>
      <c r="AM22" s="192">
        <f t="shared" ref="AM22" si="71">AQ35</f>
        <v>0</v>
      </c>
      <c r="AN22" s="192">
        <f t="shared" ref="AN22" si="72">AR35</f>
        <v>0</v>
      </c>
      <c r="AO22" s="192">
        <f t="shared" ref="AO22" si="73">AS35</f>
        <v>0</v>
      </c>
      <c r="AP22" s="192">
        <f t="shared" ref="AP22" si="74">AT35</f>
        <v>0</v>
      </c>
      <c r="AQ22" s="192">
        <f t="shared" ref="AQ22" si="75">AU35</f>
        <v>0</v>
      </c>
      <c r="AR22" s="192">
        <f t="shared" ref="AR22" si="76">AV35</f>
        <v>0</v>
      </c>
      <c r="AS22" s="192">
        <f t="shared" ref="AS22" si="77">AW35</f>
        <v>0</v>
      </c>
    </row>
    <row r="23" spans="1:74" s="192" customFormat="1" x14ac:dyDescent="0.25">
      <c r="A23" s="192" t="s">
        <v>302</v>
      </c>
      <c r="E23" s="192">
        <f>E20+E22-E19</f>
        <v>840724195.89999962</v>
      </c>
      <c r="F23" s="192">
        <f t="shared" ref="F23:AS23" si="78">F20+F22-F19</f>
        <v>2269050533.4099998</v>
      </c>
      <c r="G23" s="192">
        <f t="shared" si="78"/>
        <v>2318514518.6100006</v>
      </c>
      <c r="H23" s="192">
        <f t="shared" si="78"/>
        <v>407654169.03000021</v>
      </c>
      <c r="I23" s="192">
        <f t="shared" si="78"/>
        <v>-3648661507.3100004</v>
      </c>
      <c r="J23" s="192">
        <f t="shared" si="78"/>
        <v>-95389941.269999981</v>
      </c>
      <c r="K23" s="192">
        <f t="shared" si="78"/>
        <v>-282103968.06000018</v>
      </c>
      <c r="L23" s="192">
        <f t="shared" si="78"/>
        <v>-276536830.11000013</v>
      </c>
      <c r="M23" s="192">
        <f t="shared" si="78"/>
        <v>-1413793353.1300001</v>
      </c>
      <c r="N23" s="192">
        <f t="shared" si="78"/>
        <v>-842900299.23000002</v>
      </c>
      <c r="O23" s="192">
        <f t="shared" si="78"/>
        <v>210385476.58999991</v>
      </c>
      <c r="P23" s="192">
        <f t="shared" si="78"/>
        <v>10386346.769999981</v>
      </c>
      <c r="Q23" s="192">
        <f t="shared" si="78"/>
        <v>-670671048.89999986</v>
      </c>
      <c r="R23" s="192">
        <f t="shared" si="78"/>
        <v>-235161262.06000006</v>
      </c>
      <c r="S23" s="192">
        <f t="shared" si="78"/>
        <v>-86532016.219999909</v>
      </c>
      <c r="T23" s="192">
        <f t="shared" si="78"/>
        <v>165009068.94999999</v>
      </c>
      <c r="U23" s="192">
        <f t="shared" si="78"/>
        <v>-537452066.32999992</v>
      </c>
      <c r="V23" s="192">
        <f t="shared" si="78"/>
        <v>-237716683.45999998</v>
      </c>
      <c r="W23" s="192">
        <f t="shared" si="78"/>
        <v>-191218844.05000001</v>
      </c>
      <c r="X23" s="192">
        <f t="shared" si="78"/>
        <v>-76384742.139999986</v>
      </c>
      <c r="Y23" s="192">
        <f t="shared" si="78"/>
        <v>-535654777.12999994</v>
      </c>
      <c r="Z23" s="192">
        <f t="shared" si="78"/>
        <v>-395649097.14999998</v>
      </c>
      <c r="AA23" s="192">
        <f t="shared" si="78"/>
        <v>59385895.979999959</v>
      </c>
      <c r="AB23" s="192">
        <f t="shared" si="78"/>
        <v>310735717.34000003</v>
      </c>
      <c r="AC23" s="192">
        <f t="shared" si="78"/>
        <v>-121594143.42999995</v>
      </c>
      <c r="AD23" s="192">
        <f t="shared" si="78"/>
        <v>-31938304.890000105</v>
      </c>
      <c r="AE23" s="192">
        <f t="shared" si="78"/>
        <v>-319419527.06999999</v>
      </c>
      <c r="AF23" s="192">
        <f t="shared" si="78"/>
        <v>-134215169.04999998</v>
      </c>
      <c r="AG23" s="192">
        <f t="shared" si="78"/>
        <v>-158931225.25999999</v>
      </c>
      <c r="AH23" s="192">
        <f t="shared" si="78"/>
        <v>-129590685.44000001</v>
      </c>
      <c r="AI23" s="192">
        <f t="shared" si="78"/>
        <v>-66391467.18</v>
      </c>
      <c r="AJ23" s="192">
        <f t="shared" si="78"/>
        <v>-24408271.120000001</v>
      </c>
      <c r="AK23" s="192">
        <f t="shared" si="78"/>
        <v>-44773865</v>
      </c>
      <c r="AL23" s="192">
        <f t="shared" si="78"/>
        <v>-41047332.389999993</v>
      </c>
      <c r="AM23" s="192">
        <f t="shared" si="78"/>
        <v>-19496860.160000004</v>
      </c>
      <c r="AN23" s="192">
        <f t="shared" si="78"/>
        <v>-15391351.640000001</v>
      </c>
      <c r="AO23" s="192">
        <f t="shared" si="78"/>
        <v>4488600.07</v>
      </c>
      <c r="AP23" s="192">
        <f t="shared" si="78"/>
        <v>0</v>
      </c>
      <c r="AQ23" s="192">
        <f t="shared" si="78"/>
        <v>1122979448.0699999</v>
      </c>
      <c r="AR23" s="192">
        <f t="shared" si="78"/>
        <v>1167865305.0599999</v>
      </c>
      <c r="AS23" s="192">
        <f t="shared" si="78"/>
        <v>1665545943.71</v>
      </c>
    </row>
    <row r="24" spans="1:74" s="220" customFormat="1" x14ac:dyDescent="0.25">
      <c r="A24" s="220" t="s">
        <v>303</v>
      </c>
      <c r="B24" s="189">
        <v>823769245.36000001</v>
      </c>
      <c r="C24" s="189">
        <v>1113570726.23</v>
      </c>
      <c r="D24" s="189">
        <v>564477751.35000002</v>
      </c>
      <c r="E24" s="189">
        <v>3853603248.4499998</v>
      </c>
      <c r="F24" s="189">
        <v>4024304866.6999998</v>
      </c>
      <c r="G24" s="189">
        <v>2855274305.8800001</v>
      </c>
      <c r="H24" s="189">
        <v>1013788235.75</v>
      </c>
      <c r="I24" s="189">
        <v>9477499774</v>
      </c>
      <c r="J24" s="189">
        <v>7206286828.8400002</v>
      </c>
      <c r="K24" s="189">
        <v>4303243579.5</v>
      </c>
      <c r="L24" s="189">
        <v>848963967.65999997</v>
      </c>
      <c r="M24" s="189">
        <v>4365349107</v>
      </c>
      <c r="N24" s="189">
        <v>4055937724.02</v>
      </c>
      <c r="O24" s="189">
        <v>1435510823.0999999</v>
      </c>
      <c r="P24" s="189">
        <v>1028597227.21</v>
      </c>
      <c r="Q24" s="189">
        <v>1153267014.8699999</v>
      </c>
      <c r="R24" s="189">
        <v>531646388.75999999</v>
      </c>
      <c r="S24" s="189">
        <v>696875028.77999997</v>
      </c>
      <c r="T24" s="189">
        <v>426343921.38999999</v>
      </c>
      <c r="U24" s="189">
        <v>1114659986.03</v>
      </c>
      <c r="V24" s="189">
        <v>786007282.34000003</v>
      </c>
      <c r="W24" s="189">
        <v>446505386.74000001</v>
      </c>
      <c r="X24" s="189">
        <v>295404886.80000001</v>
      </c>
      <c r="Y24" s="189">
        <v>717823061.04999995</v>
      </c>
      <c r="Z24" s="189">
        <v>597190609.62</v>
      </c>
      <c r="AA24" s="189">
        <v>346607953.93000001</v>
      </c>
      <c r="AB24" s="189">
        <v>32637421.789999999</v>
      </c>
      <c r="AC24" s="189">
        <v>307313359.67000002</v>
      </c>
      <c r="AD24" s="189">
        <v>187763164.02000001</v>
      </c>
      <c r="AE24" s="189">
        <v>111406065.59999999</v>
      </c>
      <c r="AF24" s="189">
        <v>-920861.11</v>
      </c>
      <c r="AG24" s="189">
        <v>707788345.89999998</v>
      </c>
      <c r="AH24" s="189">
        <v>663778411.00999999</v>
      </c>
      <c r="AI24" s="189">
        <v>53336568.75</v>
      </c>
      <c r="AJ24" s="189">
        <v>32726371.25</v>
      </c>
      <c r="AK24" s="189">
        <v>39255055.890000001</v>
      </c>
      <c r="AL24" s="189">
        <v>34739109.640000001</v>
      </c>
      <c r="AM24" s="189">
        <v>7993329.6399999997</v>
      </c>
      <c r="AN24" s="189">
        <v>52800000</v>
      </c>
      <c r="AO24" s="189">
        <v>-3132165</v>
      </c>
      <c r="AP24" s="189">
        <v>0</v>
      </c>
      <c r="AQ24" s="192">
        <v>0</v>
      </c>
      <c r="AR24" s="192">
        <v>0</v>
      </c>
      <c r="AS24" s="192">
        <v>-147684288</v>
      </c>
      <c r="AT24" s="192">
        <v>-11287580.49</v>
      </c>
      <c r="AU24" s="192">
        <v>-11287580.49</v>
      </c>
      <c r="AV24" s="192">
        <v>0</v>
      </c>
      <c r="AW24" s="192">
        <v>-271140480</v>
      </c>
      <c r="AX24" s="192">
        <v>-265331306.06</v>
      </c>
      <c r="AY24" s="192">
        <v>-220552618.06</v>
      </c>
      <c r="AZ24" s="192">
        <v>0</v>
      </c>
      <c r="BA24" s="192">
        <v>0</v>
      </c>
      <c r="BB24" s="192">
        <v>0</v>
      </c>
      <c r="BC24" s="192">
        <v>0</v>
      </c>
      <c r="BD24" s="192">
        <v>0</v>
      </c>
      <c r="BE24" s="192">
        <v>-268690480</v>
      </c>
      <c r="BF24" s="192">
        <v>-271140480</v>
      </c>
      <c r="BG24" s="192">
        <v>-271140480</v>
      </c>
      <c r="BH24" s="192">
        <v>0</v>
      </c>
      <c r="BI24" s="192">
        <v>-15606000</v>
      </c>
      <c r="BJ24" s="192">
        <v>0</v>
      </c>
      <c r="BK24" s="192">
        <v>0</v>
      </c>
      <c r="BL24" s="192">
        <v>0</v>
      </c>
      <c r="BM24" s="192">
        <v>-5320000</v>
      </c>
      <c r="BN24" s="192">
        <v>-6120000</v>
      </c>
      <c r="BO24" s="192">
        <v>562994338.32000005</v>
      </c>
      <c r="BP24" s="192">
        <v>613134338.32000005</v>
      </c>
      <c r="BQ24" s="192">
        <v>0</v>
      </c>
      <c r="BR24" s="192">
        <v>4623692.53</v>
      </c>
      <c r="BS24" s="192">
        <v>-400000000</v>
      </c>
      <c r="BT24" s="192">
        <v>-237866348.78</v>
      </c>
      <c r="BU24" s="192">
        <v>1108113819.7</v>
      </c>
      <c r="BV24" s="192">
        <v>0</v>
      </c>
    </row>
    <row r="25" spans="1:74" s="241" customFormat="1" ht="138.6" customHeight="1" x14ac:dyDescent="0.25">
      <c r="A25" s="275" t="s">
        <v>741</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629</v>
      </c>
      <c r="E26" s="26">
        <f>现金流量表!E15</f>
        <v>27609163</v>
      </c>
      <c r="F26" s="26">
        <f>现金流量表!F15</f>
        <v>0</v>
      </c>
      <c r="G26" s="26">
        <f>现金流量表!G15</f>
        <v>0</v>
      </c>
      <c r="H26" s="26">
        <f>现金流量表!H15</f>
        <v>760000000</v>
      </c>
      <c r="I26" s="26">
        <f>现金流量表!I15</f>
        <v>0</v>
      </c>
      <c r="J26" s="26">
        <f>现金流量表!J15</f>
        <v>60000000</v>
      </c>
      <c r="K26" s="26">
        <f>现金流量表!K15</f>
        <v>60000000</v>
      </c>
      <c r="L26" s="26">
        <f>现金流量表!L15</f>
        <v>0</v>
      </c>
      <c r="M26" s="26">
        <f>现金流量表!M15</f>
        <v>56556521.109999999</v>
      </c>
      <c r="N26" s="26">
        <f>现金流量表!N15</f>
        <v>56556521.109999999</v>
      </c>
      <c r="O26" s="26">
        <f>现金流量表!O15</f>
        <v>56556521.109999999</v>
      </c>
      <c r="P26" s="26">
        <f>现金流量表!P15</f>
        <v>56556521.109999999</v>
      </c>
      <c r="Q26" s="26">
        <f>现金流量表!Q15</f>
        <v>76548880</v>
      </c>
      <c r="R26" s="26">
        <f>现金流量表!R15</f>
        <v>4048880</v>
      </c>
      <c r="S26" s="26">
        <f>现金流量表!S15</f>
        <v>4048880</v>
      </c>
      <c r="T26" s="26">
        <f>现金流量表!T15</f>
        <v>4048880</v>
      </c>
      <c r="U26" s="26">
        <f>现金流量表!U15</f>
        <v>7000000</v>
      </c>
      <c r="V26" s="26">
        <f>现金流量表!V15</f>
        <v>7000000</v>
      </c>
      <c r="W26" s="26">
        <f>现金流量表!W15</f>
        <v>6000000</v>
      </c>
      <c r="X26" s="26">
        <f>现金流量表!X15</f>
        <v>0</v>
      </c>
      <c r="Y26" s="26">
        <f>现金流量表!Y15</f>
        <v>10000000</v>
      </c>
      <c r="Z26" s="26">
        <f>现金流量表!Z15</f>
        <v>10000000</v>
      </c>
      <c r="AA26" s="26">
        <f>现金流量表!AA15</f>
        <v>10000000</v>
      </c>
      <c r="AB26" s="26">
        <f>现金流量表!AB15</f>
        <v>0</v>
      </c>
      <c r="AC26" s="26">
        <f>现金流量表!AC15</f>
        <v>50000000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0</v>
      </c>
      <c r="F27" s="26">
        <f>现金流量表!F22</f>
        <v>0</v>
      </c>
      <c r="G27" s="26">
        <f>现金流量表!G22</f>
        <v>0</v>
      </c>
      <c r="H27" s="26">
        <f>现金流量表!H22</f>
        <v>0</v>
      </c>
      <c r="I27" s="26">
        <f>现金流量表!I22</f>
        <v>3658780609.3899999</v>
      </c>
      <c r="J27" s="26">
        <f>现金流量表!J22</f>
        <v>3266138152.21</v>
      </c>
      <c r="K27" s="26">
        <f>现金流量表!K22</f>
        <v>2237985591.75</v>
      </c>
      <c r="L27" s="26">
        <f>现金流量表!L22</f>
        <v>4000000</v>
      </c>
      <c r="M27" s="26">
        <f>现金流量表!M22</f>
        <v>142228000</v>
      </c>
      <c r="N27" s="26">
        <f>现金流量表!N22</f>
        <v>89281000</v>
      </c>
      <c r="O27" s="26">
        <f>现金流量表!O22</f>
        <v>6200000</v>
      </c>
      <c r="P27" s="26">
        <f>现金流量表!P22</f>
        <v>0</v>
      </c>
      <c r="Q27" s="26">
        <f>现金流量表!Q22</f>
        <v>89506119</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110000000</v>
      </c>
      <c r="AD27" s="26">
        <f>现金流量表!AD22</f>
        <v>22000000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-27609163</v>
      </c>
      <c r="F28" s="26">
        <f t="shared" ref="F28:BQ28" si="79">F27-F26</f>
        <v>0</v>
      </c>
      <c r="G28" s="26">
        <f t="shared" si="79"/>
        <v>0</v>
      </c>
      <c r="H28" s="26">
        <f t="shared" si="79"/>
        <v>-760000000</v>
      </c>
      <c r="I28" s="26">
        <f t="shared" si="79"/>
        <v>3658780609.3899999</v>
      </c>
      <c r="J28" s="26">
        <f t="shared" si="79"/>
        <v>3206138152.21</v>
      </c>
      <c r="K28" s="26">
        <f t="shared" si="79"/>
        <v>2177985591.75</v>
      </c>
      <c r="L28" s="26">
        <f t="shared" si="79"/>
        <v>4000000</v>
      </c>
      <c r="M28" s="26">
        <f t="shared" si="79"/>
        <v>85671478.890000001</v>
      </c>
      <c r="N28" s="26">
        <f t="shared" si="79"/>
        <v>32724478.890000001</v>
      </c>
      <c r="O28" s="26">
        <f t="shared" si="79"/>
        <v>-50356521.109999999</v>
      </c>
      <c r="P28" s="26">
        <f t="shared" si="79"/>
        <v>-56556521.109999999</v>
      </c>
      <c r="Q28" s="26">
        <f t="shared" si="79"/>
        <v>12957239</v>
      </c>
      <c r="R28" s="26">
        <f t="shared" si="79"/>
        <v>-4048880</v>
      </c>
      <c r="S28" s="26">
        <f t="shared" si="79"/>
        <v>-4048880</v>
      </c>
      <c r="T28" s="26">
        <f t="shared" si="79"/>
        <v>-4048880</v>
      </c>
      <c r="U28" s="26">
        <f t="shared" si="79"/>
        <v>-7000000</v>
      </c>
      <c r="V28" s="26">
        <f t="shared" si="79"/>
        <v>-7000000</v>
      </c>
      <c r="W28" s="26">
        <f t="shared" si="79"/>
        <v>-6000000</v>
      </c>
      <c r="X28" s="26">
        <f t="shared" si="79"/>
        <v>0</v>
      </c>
      <c r="Y28" s="26">
        <f t="shared" si="79"/>
        <v>-10000000</v>
      </c>
      <c r="Z28" s="26">
        <f t="shared" si="79"/>
        <v>-10000000</v>
      </c>
      <c r="AA28" s="26">
        <f t="shared" si="79"/>
        <v>-10000000</v>
      </c>
      <c r="AB28" s="26">
        <f t="shared" si="79"/>
        <v>0</v>
      </c>
      <c r="AC28" s="26">
        <f t="shared" si="79"/>
        <v>60000000</v>
      </c>
      <c r="AD28" s="26">
        <f t="shared" si="79"/>
        <v>22000000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0" t="s">
        <v>632</v>
      </c>
      <c r="E29" s="181">
        <f>POWER(E28/U28,1/5)-1</f>
        <v>0.31580350871043494</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39813</v>
      </c>
      <c r="AO30" s="1">
        <v>39447</v>
      </c>
      <c r="AP30" s="1">
        <v>25569</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89">
        <v>8977258246.3600006</v>
      </c>
      <c r="C31" s="189">
        <v>9166061314.5799999</v>
      </c>
      <c r="D31" s="189">
        <v>9709340717.1599998</v>
      </c>
      <c r="E31" s="189">
        <v>9983649441.2800007</v>
      </c>
      <c r="F31" s="189">
        <v>18182626342.779999</v>
      </c>
      <c r="G31" s="189">
        <v>17837564832</v>
      </c>
      <c r="H31" s="189">
        <v>17446820216.919998</v>
      </c>
      <c r="I31" s="189">
        <v>16364659640.940001</v>
      </c>
      <c r="J31" s="189">
        <v>14721950199.379999</v>
      </c>
      <c r="K31" s="189">
        <v>11916637634.77</v>
      </c>
      <c r="L31" s="189">
        <v>8479777329.7600002</v>
      </c>
      <c r="M31" s="189">
        <v>7870358350.9700003</v>
      </c>
      <c r="N31" s="189">
        <v>6899820657.8400002</v>
      </c>
      <c r="O31" s="189">
        <v>6048559832.7299995</v>
      </c>
      <c r="P31" s="189">
        <v>5601047262.5900002</v>
      </c>
      <c r="Q31" s="189">
        <v>5266144846.25</v>
      </c>
      <c r="R31" s="189">
        <v>4606965197.2700005</v>
      </c>
      <c r="S31" s="189">
        <v>4172086072.0999999</v>
      </c>
      <c r="T31" s="189">
        <v>3088177473.73</v>
      </c>
      <c r="U31" s="189">
        <v>2933977881.21</v>
      </c>
      <c r="V31" s="189">
        <v>2558905256.3600001</v>
      </c>
      <c r="W31" s="189">
        <v>2438031928.77</v>
      </c>
      <c r="X31" s="189">
        <v>2150184992.9899998</v>
      </c>
      <c r="Y31" s="189">
        <v>2009743263.0699999</v>
      </c>
      <c r="Z31" s="189">
        <v>1728907013.71</v>
      </c>
      <c r="AA31" s="189">
        <v>1558387007.6300001</v>
      </c>
      <c r="AB31" s="189">
        <v>1361911127.7</v>
      </c>
      <c r="AC31" s="189">
        <v>1110654755.0799999</v>
      </c>
      <c r="AD31" s="189">
        <v>705348839.65999997</v>
      </c>
      <c r="AE31" s="189">
        <v>492115286.22000003</v>
      </c>
      <c r="AF31" s="189">
        <v>405790777.05000001</v>
      </c>
      <c r="AG31" s="189">
        <v>357958064.81999999</v>
      </c>
      <c r="AH31" s="189">
        <v>269202063.73000002</v>
      </c>
      <c r="AI31" s="189">
        <v>226730876.22999999</v>
      </c>
      <c r="AJ31" s="189">
        <v>169812508.78999999</v>
      </c>
      <c r="AK31" s="189">
        <v>62677692.899999999</v>
      </c>
      <c r="AL31" s="189">
        <v>53016126.920000002</v>
      </c>
      <c r="AM31" s="189">
        <v>0</v>
      </c>
      <c r="AN31" s="189"/>
      <c r="AO31" s="189"/>
      <c r="AP31" s="189"/>
      <c r="AQ31" s="189">
        <v>4945499008.7600002</v>
      </c>
      <c r="AR31" s="189">
        <v>4983590367.6400003</v>
      </c>
      <c r="AS31" s="189">
        <v>5087759145.3900003</v>
      </c>
      <c r="AT31" s="189">
        <v>5119825755.0799999</v>
      </c>
      <c r="AU31" s="189">
        <v>5166324238.8199997</v>
      </c>
      <c r="AV31" s="189">
        <v>5229742144.5900002</v>
      </c>
      <c r="AW31" s="189">
        <v>5303368604.3599997</v>
      </c>
      <c r="AX31" s="189">
        <v>5412891640.3100004</v>
      </c>
      <c r="AY31" s="189">
        <v>5477269087.8599997</v>
      </c>
      <c r="AZ31" s="189">
        <v>5394582476.9899998</v>
      </c>
      <c r="BA31" s="189">
        <v>5501322858.9799995</v>
      </c>
      <c r="BB31" s="189">
        <v>5577867470.3299999</v>
      </c>
      <c r="BC31" s="189">
        <v>5696283898.6499996</v>
      </c>
      <c r="BD31" s="189">
        <v>5779603253.5100002</v>
      </c>
      <c r="BE31" s="189">
        <v>5840992847.29</v>
      </c>
      <c r="BF31" s="189">
        <v>5434316703.3800001</v>
      </c>
      <c r="BG31" s="189">
        <v>5519652065.3800001</v>
      </c>
      <c r="BH31" s="189">
        <v>5587811046.9799995</v>
      </c>
      <c r="BI31" s="189">
        <v>5587556850.7200003</v>
      </c>
      <c r="BJ31" s="189">
        <v>5175235607.8500004</v>
      </c>
      <c r="BK31" s="189">
        <v>4543535291.6599998</v>
      </c>
      <c r="BL31" s="189">
        <v>4478639735.0500002</v>
      </c>
      <c r="BM31" s="189">
        <v>4520776529.7700005</v>
      </c>
      <c r="BN31" s="189">
        <v>3620875395.5999999</v>
      </c>
      <c r="BO31" s="189">
        <v>3684993020.0500002</v>
      </c>
      <c r="BP31" s="189">
        <v>3523637936.8200002</v>
      </c>
      <c r="BQ31" s="189">
        <v>3558533656.5999999</v>
      </c>
      <c r="BR31" s="189">
        <v>0</v>
      </c>
      <c r="BS31" s="189">
        <v>3540915525.1199999</v>
      </c>
      <c r="BT31" s="189">
        <v>1786934979.5599999</v>
      </c>
      <c r="BU31" s="189">
        <v>1665815375.1099999</v>
      </c>
      <c r="BV31" s="189">
        <v>1686369507.6900001</v>
      </c>
    </row>
    <row r="32" spans="1:74" s="54" customFormat="1" ht="15" customHeight="1" x14ac:dyDescent="0.25">
      <c r="A32" s="137" t="s">
        <v>311</v>
      </c>
      <c r="B32" s="189">
        <v>747585265.47000003</v>
      </c>
      <c r="C32" s="189">
        <v>747585265.47000003</v>
      </c>
      <c r="D32" s="189">
        <v>747585265.47000003</v>
      </c>
      <c r="E32" s="189">
        <v>747585265.47000003</v>
      </c>
      <c r="F32" s="189">
        <v>747585265.47000003</v>
      </c>
      <c r="G32" s="189">
        <v>747585265.47000003</v>
      </c>
      <c r="H32" s="189">
        <v>747585265.47000003</v>
      </c>
      <c r="I32" s="189">
        <v>747585265.47000003</v>
      </c>
      <c r="J32" s="189">
        <v>747585265.47000003</v>
      </c>
      <c r="K32" s="189">
        <v>747585265.47000003</v>
      </c>
      <c r="L32" s="189">
        <v>747585265.47000003</v>
      </c>
      <c r="M32" s="189">
        <v>747585265.47000003</v>
      </c>
      <c r="N32" s="189">
        <v>747585265.47000003</v>
      </c>
      <c r="O32" s="189">
        <v>747585265.47000003</v>
      </c>
      <c r="P32" s="189">
        <v>747585265.47000003</v>
      </c>
      <c r="Q32" s="189">
        <v>747585265.47000003</v>
      </c>
      <c r="R32" s="189">
        <v>749091684.70000005</v>
      </c>
      <c r="S32" s="189">
        <v>749091684.70000005</v>
      </c>
      <c r="T32" s="189">
        <v>0</v>
      </c>
      <c r="U32" s="189">
        <v>0</v>
      </c>
      <c r="V32" s="189">
        <v>0</v>
      </c>
      <c r="W32" s="189">
        <v>0</v>
      </c>
      <c r="X32" s="189">
        <v>854892.91</v>
      </c>
      <c r="Y32" s="189">
        <v>854892.91</v>
      </c>
      <c r="Z32" s="189">
        <v>854892.91</v>
      </c>
      <c r="AA32" s="189">
        <v>854892.91</v>
      </c>
      <c r="AB32" s="189">
        <v>854892.91</v>
      </c>
      <c r="AC32" s="189">
        <v>854892.91</v>
      </c>
      <c r="AD32" s="189">
        <v>0</v>
      </c>
      <c r="AE32" s="189">
        <v>0</v>
      </c>
      <c r="AF32" s="189">
        <v>0</v>
      </c>
      <c r="AG32" s="189">
        <v>0</v>
      </c>
      <c r="AH32" s="189">
        <v>0</v>
      </c>
      <c r="AI32" s="189">
        <v>0</v>
      </c>
      <c r="AJ32" s="189">
        <v>0</v>
      </c>
      <c r="AK32" s="189">
        <v>0</v>
      </c>
      <c r="AL32" s="189">
        <v>0</v>
      </c>
      <c r="AM32" s="189">
        <v>0</v>
      </c>
      <c r="AN32" s="189"/>
      <c r="AO32" s="189"/>
      <c r="AP32" s="189"/>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777286465.23000002</v>
      </c>
      <c r="C33" s="189">
        <v>791509462.37</v>
      </c>
      <c r="D33" s="189">
        <v>795309685.64999998</v>
      </c>
      <c r="E33" s="189">
        <v>797618603.45000005</v>
      </c>
      <c r="F33" s="189">
        <v>1678177028.6700001</v>
      </c>
      <c r="G33" s="189">
        <v>1688080583.9100001</v>
      </c>
      <c r="H33" s="189">
        <v>1692631521.49</v>
      </c>
      <c r="I33" s="189">
        <v>1690529135.8599999</v>
      </c>
      <c r="J33" s="189">
        <v>1367611967.3</v>
      </c>
      <c r="K33" s="189">
        <v>455032405.51999998</v>
      </c>
      <c r="L33" s="189">
        <v>159142495.86000001</v>
      </c>
      <c r="M33" s="189">
        <v>159529787.22999999</v>
      </c>
      <c r="N33" s="189">
        <v>158382693.03999999</v>
      </c>
      <c r="O33" s="189">
        <v>76465137.379999995</v>
      </c>
      <c r="P33" s="189">
        <v>34182785</v>
      </c>
      <c r="Q33" s="189">
        <v>20000000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c r="AO33" s="189"/>
      <c r="AP33" s="189"/>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8438445572.3600016</v>
      </c>
      <c r="F34" s="49">
        <f t="shared" ref="F34:BP34" si="81">F31-F32-F33</f>
        <v>15756864048.639997</v>
      </c>
      <c r="G34" s="49">
        <f t="shared" si="81"/>
        <v>15401898982.620001</v>
      </c>
      <c r="H34" s="49">
        <f t="shared" si="81"/>
        <v>15006603429.959999</v>
      </c>
      <c r="I34" s="49">
        <f t="shared" si="81"/>
        <v>13926545239.610001</v>
      </c>
      <c r="J34" s="49">
        <f t="shared" si="81"/>
        <v>12606752966.610001</v>
      </c>
      <c r="K34" s="49">
        <f t="shared" si="81"/>
        <v>10714019963.780001</v>
      </c>
      <c r="L34" s="49">
        <f t="shared" si="81"/>
        <v>7573049568.4300003</v>
      </c>
      <c r="M34" s="49">
        <f t="shared" si="81"/>
        <v>6963243298.2700005</v>
      </c>
      <c r="N34" s="49">
        <f t="shared" si="81"/>
        <v>5993852699.3299999</v>
      </c>
      <c r="O34" s="49">
        <f t="shared" si="81"/>
        <v>5224509429.8799992</v>
      </c>
      <c r="P34" s="49">
        <f t="shared" si="81"/>
        <v>4819279212.1199999</v>
      </c>
      <c r="Q34" s="49">
        <f t="shared" si="81"/>
        <v>4498559580.7799997</v>
      </c>
      <c r="R34" s="49">
        <f t="shared" si="81"/>
        <v>3857873512.5700006</v>
      </c>
      <c r="S34" s="49">
        <f t="shared" si="81"/>
        <v>3422994387.3999996</v>
      </c>
      <c r="T34" s="49">
        <f t="shared" si="81"/>
        <v>3088177473.73</v>
      </c>
      <c r="U34" s="49">
        <f t="shared" si="81"/>
        <v>2933977881.21</v>
      </c>
      <c r="V34" s="49">
        <f t="shared" si="81"/>
        <v>2558905256.3600001</v>
      </c>
      <c r="W34" s="49">
        <f t="shared" si="81"/>
        <v>2438031928.77</v>
      </c>
      <c r="X34" s="49">
        <f t="shared" si="81"/>
        <v>2149330100.0799999</v>
      </c>
      <c r="Y34" s="49">
        <f t="shared" si="81"/>
        <v>2008888370.1599998</v>
      </c>
      <c r="Z34" s="49">
        <f t="shared" si="81"/>
        <v>1728052120.8</v>
      </c>
      <c r="AA34" s="49">
        <f t="shared" si="81"/>
        <v>1557532114.72</v>
      </c>
      <c r="AB34" s="49">
        <f t="shared" si="81"/>
        <v>1361056234.79</v>
      </c>
      <c r="AC34" s="49">
        <f t="shared" si="81"/>
        <v>1109799862.1699998</v>
      </c>
      <c r="AD34" s="49">
        <f t="shared" si="81"/>
        <v>705348839.65999997</v>
      </c>
      <c r="AE34" s="49">
        <f t="shared" si="81"/>
        <v>492115286.22000003</v>
      </c>
      <c r="AF34" s="49">
        <f t="shared" si="81"/>
        <v>405790777.05000001</v>
      </c>
      <c r="AG34" s="49">
        <f t="shared" si="81"/>
        <v>357958064.81999999</v>
      </c>
      <c r="AH34" s="49">
        <f t="shared" si="81"/>
        <v>269202063.73000002</v>
      </c>
      <c r="AI34" s="49">
        <f t="shared" si="81"/>
        <v>226730876.22999999</v>
      </c>
      <c r="AJ34" s="49">
        <f t="shared" si="81"/>
        <v>169812508.78999999</v>
      </c>
      <c r="AK34" s="49">
        <f t="shared" si="81"/>
        <v>62677692.899999999</v>
      </c>
      <c r="AL34" s="49">
        <f t="shared" si="81"/>
        <v>53016126.920000002</v>
      </c>
      <c r="AM34" s="49">
        <f t="shared" si="81"/>
        <v>0</v>
      </c>
      <c r="AN34" s="49">
        <f t="shared" si="81"/>
        <v>0</v>
      </c>
      <c r="AO34" s="49">
        <f t="shared" si="81"/>
        <v>0</v>
      </c>
      <c r="AP34" s="49">
        <f t="shared" si="81"/>
        <v>0</v>
      </c>
      <c r="AQ34" s="49">
        <f t="shared" si="81"/>
        <v>4945499008.7600002</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0</v>
      </c>
      <c r="BR34" s="49">
        <f>AQ31-AQ32-AQ33</f>
        <v>4945499008.7600002</v>
      </c>
      <c r="BS34" s="49">
        <f>AR31-AR32-AR33</f>
        <v>4983590367.6400003</v>
      </c>
      <c r="BT34" s="49"/>
      <c r="BU34" s="50"/>
    </row>
    <row r="35" spans="1:74" s="106" customFormat="1" ht="15" thickBot="1" x14ac:dyDescent="0.3">
      <c r="A35" s="139" t="s">
        <v>317</v>
      </c>
      <c r="B35" s="33">
        <f>SUM(B22:B31)</f>
        <v>9801070864.7200012</v>
      </c>
      <c r="C35" s="33">
        <f>SUM(C22:C31)</f>
        <v>10279675321.809999</v>
      </c>
      <c r="D35" s="33">
        <f>SUM(D22:D31)</f>
        <v>10273861658.51</v>
      </c>
      <c r="E35" s="33">
        <f>资产资本表!E17</f>
        <v>1733731034.9100001</v>
      </c>
      <c r="F35" s="33">
        <f>资产资本表!F17</f>
        <v>3299446356.0100002</v>
      </c>
      <c r="G35" s="33">
        <f>资产资本表!G17</f>
        <v>5441305129.0899992</v>
      </c>
      <c r="H35" s="33">
        <f>资产资本表!H17</f>
        <v>5962901748.71</v>
      </c>
      <c r="I35" s="33">
        <f>资产资本表!I17</f>
        <v>6091927356.1699991</v>
      </c>
      <c r="J35" s="33">
        <f>资产资本表!J17</f>
        <v>7562822655.7300005</v>
      </c>
      <c r="K35" s="33">
        <f>资产资本表!K17</f>
        <v>6532309828.4700012</v>
      </c>
      <c r="L35" s="33">
        <f>资产资本表!L17</f>
        <v>2808231990.5700002</v>
      </c>
      <c r="M35" s="33">
        <f>资产资本表!M17</f>
        <v>2889307902.3699999</v>
      </c>
      <c r="N35" s="33">
        <f>资产资本表!N17</f>
        <v>3413136644.77</v>
      </c>
      <c r="O35" s="33">
        <f>资产资本表!O17</f>
        <v>1232837644.6799998</v>
      </c>
      <c r="P35" s="33">
        <f>资产资本表!P17</f>
        <v>737402890.25</v>
      </c>
      <c r="Q35" s="33">
        <f>资产资本表!Q17</f>
        <v>519850156.29000002</v>
      </c>
      <c r="R35" s="33">
        <f>资产资本表!R17</f>
        <v>420605212.93000001</v>
      </c>
      <c r="S35" s="33">
        <f>资产资本表!S17</f>
        <v>1028350168.02</v>
      </c>
      <c r="T35" s="33">
        <f>资产资本表!T17</f>
        <v>892475943.33000004</v>
      </c>
      <c r="U35" s="33">
        <f>资产资本表!U17</f>
        <v>608218105.28999996</v>
      </c>
      <c r="V35" s="33">
        <f>资产资本表!V17</f>
        <v>514951299.14999998</v>
      </c>
      <c r="W35" s="33">
        <f>资产资本表!W17</f>
        <v>220208941.77000001</v>
      </c>
      <c r="X35" s="33">
        <f>资产资本表!X17</f>
        <v>311140576.07999998</v>
      </c>
      <c r="Y35" s="33">
        <f>资产资本表!Y17</f>
        <v>193520396.46000001</v>
      </c>
      <c r="Z35" s="33">
        <f>资产资本表!Z17</f>
        <v>235316894.03999999</v>
      </c>
      <c r="AA35" s="33">
        <f>资产资本表!AA17</f>
        <v>236059277.34</v>
      </c>
      <c r="AB35" s="33">
        <f>资产资本表!AB17</f>
        <v>102103605.79000001</v>
      </c>
      <c r="AC35" s="33">
        <f>资产资本表!AC17</f>
        <v>133398455.5</v>
      </c>
      <c r="AD35" s="33">
        <f>资产资本表!AD17</f>
        <v>111085605.84</v>
      </c>
      <c r="AE35" s="33">
        <f>资产资本表!AE17</f>
        <v>314833518.51999998</v>
      </c>
      <c r="AF35" s="33">
        <f>资产资本表!AF17</f>
        <v>374656051.39999998</v>
      </c>
      <c r="AG35" s="33">
        <f>资产资本表!AG17</f>
        <v>543353279.10000002</v>
      </c>
      <c r="AH35" s="33">
        <f>资产资本表!AH17</f>
        <v>566092532.38999999</v>
      </c>
      <c r="AI35" s="33">
        <f>资产资本表!AI17</f>
        <v>20506299.109999999</v>
      </c>
      <c r="AJ35" s="33">
        <f>资产资本表!AJ17</f>
        <v>33561197.539999999</v>
      </c>
      <c r="AK35" s="33">
        <f>资产资本表!AK17</f>
        <v>39065039.079999998</v>
      </c>
      <c r="AL35" s="33">
        <f>资产资本表!AL17</f>
        <v>1656390.72</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39813</v>
      </c>
      <c r="AO38" s="1">
        <v>39447</v>
      </c>
      <c r="AP38" s="1">
        <v>25569</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2" customFormat="1" x14ac:dyDescent="0.25">
      <c r="A40" s="192" t="s">
        <v>742</v>
      </c>
      <c r="B40" s="189">
        <v>730000000</v>
      </c>
      <c r="C40" s="189">
        <v>610000000</v>
      </c>
      <c r="D40" s="189">
        <v>110000000</v>
      </c>
      <c r="E40" s="189">
        <v>3157649859.4400001</v>
      </c>
      <c r="F40" s="189">
        <v>5459495251.8199997</v>
      </c>
      <c r="G40" s="189">
        <v>4257135251.8200002</v>
      </c>
      <c r="H40" s="189">
        <v>2187735251.8200002</v>
      </c>
      <c r="I40" s="189">
        <v>11144513209.84</v>
      </c>
      <c r="J40" s="189">
        <v>8817329587.3799992</v>
      </c>
      <c r="K40" s="189">
        <v>3951783125.1599998</v>
      </c>
      <c r="L40" s="189">
        <v>1002250000</v>
      </c>
      <c r="M40" s="189">
        <v>47910284.840000004</v>
      </c>
      <c r="N40" s="189">
        <v>153694981.81</v>
      </c>
      <c r="O40" s="189">
        <v>0</v>
      </c>
      <c r="P40" s="189">
        <v>0</v>
      </c>
      <c r="Q40" s="189">
        <v>420397521.88</v>
      </c>
      <c r="R40" s="189">
        <v>415591396.75999999</v>
      </c>
      <c r="S40" s="189">
        <v>415591396.75999999</v>
      </c>
      <c r="T40" s="189">
        <v>288399997.04000002</v>
      </c>
      <c r="U40" s="189">
        <v>551478022.94000006</v>
      </c>
      <c r="V40" s="189">
        <v>551135649.67999995</v>
      </c>
      <c r="W40" s="189">
        <v>218526800.00999999</v>
      </c>
      <c r="X40" s="189">
        <v>131277930</v>
      </c>
      <c r="Y40" s="189">
        <v>35480000</v>
      </c>
      <c r="Z40" s="189">
        <v>28280000</v>
      </c>
      <c r="AA40" s="189">
        <v>0</v>
      </c>
      <c r="AB40" s="189">
        <v>0</v>
      </c>
      <c r="AC40" s="189">
        <v>0</v>
      </c>
      <c r="AD40" s="189">
        <v>0</v>
      </c>
      <c r="AE40" s="189">
        <v>0</v>
      </c>
      <c r="AF40" s="189">
        <v>0</v>
      </c>
      <c r="AG40" s="189">
        <v>684960000</v>
      </c>
      <c r="AH40" s="189">
        <v>681557095.65999997</v>
      </c>
      <c r="AI40" s="189">
        <v>0</v>
      </c>
      <c r="AJ40" s="189">
        <v>0</v>
      </c>
      <c r="AK40" s="189">
        <v>0</v>
      </c>
      <c r="AL40" s="189">
        <v>0</v>
      </c>
      <c r="AM40" s="189">
        <v>0</v>
      </c>
      <c r="AN40" s="189">
        <v>52800000</v>
      </c>
      <c r="AO40" s="189">
        <v>0</v>
      </c>
      <c r="AP40" s="189">
        <v>0</v>
      </c>
      <c r="AQ40" s="192">
        <v>0</v>
      </c>
      <c r="AR40" s="192">
        <v>0</v>
      </c>
      <c r="AS40" s="192">
        <v>15000000</v>
      </c>
      <c r="AT40" s="192">
        <v>15000000</v>
      </c>
      <c r="AU40" s="192">
        <v>15000000</v>
      </c>
      <c r="AV40" s="192">
        <v>0</v>
      </c>
      <c r="AW40" s="192">
        <v>0</v>
      </c>
      <c r="AX40" s="192">
        <v>1000000</v>
      </c>
      <c r="AY40" s="192">
        <v>1000000</v>
      </c>
      <c r="AZ40" s="192">
        <v>0</v>
      </c>
      <c r="BA40" s="192">
        <v>0</v>
      </c>
      <c r="BB40" s="192">
        <v>0</v>
      </c>
      <c r="BC40" s="192">
        <v>0</v>
      </c>
      <c r="BD40" s="192">
        <v>0</v>
      </c>
      <c r="BE40" s="192">
        <v>2450000</v>
      </c>
      <c r="BF40" s="192">
        <v>0</v>
      </c>
      <c r="BG40" s="192">
        <v>0</v>
      </c>
      <c r="BH40" s="192">
        <v>0</v>
      </c>
      <c r="BI40" s="192">
        <v>0</v>
      </c>
      <c r="BJ40" s="192">
        <v>0</v>
      </c>
      <c r="BK40" s="192">
        <v>0</v>
      </c>
      <c r="BL40" s="192">
        <v>0</v>
      </c>
      <c r="BM40" s="192">
        <v>800000</v>
      </c>
      <c r="BN40" s="192">
        <v>0</v>
      </c>
      <c r="BO40" s="192">
        <v>615571049.24000001</v>
      </c>
      <c r="BP40" s="192">
        <v>614591049.24000001</v>
      </c>
      <c r="BQ40" s="192">
        <v>0</v>
      </c>
      <c r="BR40" s="192">
        <v>0</v>
      </c>
      <c r="BS40" s="192">
        <v>0</v>
      </c>
      <c r="BT40" s="192">
        <v>0</v>
      </c>
      <c r="BU40" s="192">
        <v>1165397962.47</v>
      </c>
      <c r="BV40" s="192">
        <v>0</v>
      </c>
    </row>
    <row r="41" spans="1:74" s="53" customFormat="1" ht="21.75" customHeight="1" x14ac:dyDescent="0.25">
      <c r="A41" s="140" t="s">
        <v>633</v>
      </c>
      <c r="B41" s="53">
        <v>1419647033.29</v>
      </c>
      <c r="C41" s="53">
        <v>682396282.87</v>
      </c>
      <c r="D41" s="53">
        <v>73246783.790000007</v>
      </c>
      <c r="E41" s="53">
        <v>55852162.689999998</v>
      </c>
      <c r="I41" s="53">
        <v>57536469.899999999</v>
      </c>
      <c r="M41" s="53">
        <v>38694742.899999999</v>
      </c>
      <c r="Q41" s="53">
        <v>26349369.780000001</v>
      </c>
      <c r="U41" s="53">
        <v>20900000</v>
      </c>
      <c r="Y41" s="53">
        <v>16060000</v>
      </c>
    </row>
    <row r="42" spans="1:74" s="26" customFormat="1" x14ac:dyDescent="0.25">
      <c r="A42" s="17" t="s">
        <v>322</v>
      </c>
      <c r="E42" s="26">
        <f>E40-E41</f>
        <v>3101797696.75</v>
      </c>
      <c r="F42" s="26">
        <f t="shared" ref="F42:Y42" si="82">F40-F41</f>
        <v>5459495251.8199997</v>
      </c>
      <c r="G42" s="26">
        <f t="shared" si="82"/>
        <v>4257135251.8200002</v>
      </c>
      <c r="H42" s="26">
        <f t="shared" si="82"/>
        <v>2187735251.8200002</v>
      </c>
      <c r="I42" s="26">
        <f>I40-I41</f>
        <v>11086976739.940001</v>
      </c>
      <c r="J42" s="26">
        <f t="shared" si="82"/>
        <v>8817329587.3799992</v>
      </c>
      <c r="K42" s="26">
        <f t="shared" si="82"/>
        <v>3951783125.1599998</v>
      </c>
      <c r="L42" s="26">
        <f t="shared" si="82"/>
        <v>1002250000</v>
      </c>
      <c r="M42" s="26">
        <f t="shared" si="82"/>
        <v>9215541.9400000051</v>
      </c>
      <c r="N42" s="26">
        <f t="shared" si="82"/>
        <v>153694981.81</v>
      </c>
      <c r="O42" s="26">
        <f t="shared" si="82"/>
        <v>0</v>
      </c>
      <c r="P42" s="26">
        <f t="shared" si="82"/>
        <v>0</v>
      </c>
      <c r="Q42" s="26">
        <f t="shared" si="82"/>
        <v>394048152.10000002</v>
      </c>
      <c r="R42" s="26">
        <f t="shared" si="82"/>
        <v>415591396.75999999</v>
      </c>
      <c r="S42" s="26">
        <f t="shared" si="82"/>
        <v>415591396.75999999</v>
      </c>
      <c r="T42" s="26">
        <f t="shared" si="82"/>
        <v>288399997.04000002</v>
      </c>
      <c r="U42" s="26">
        <f t="shared" si="82"/>
        <v>530578022.94000006</v>
      </c>
      <c r="V42" s="26">
        <f t="shared" si="82"/>
        <v>551135649.67999995</v>
      </c>
      <c r="W42" s="26">
        <f t="shared" si="82"/>
        <v>218526800.00999999</v>
      </c>
      <c r="X42" s="26">
        <f t="shared" si="82"/>
        <v>131277930</v>
      </c>
      <c r="Y42" s="26">
        <f t="shared" si="82"/>
        <v>19420000</v>
      </c>
      <c r="Z42" s="26">
        <f t="shared" ref="Z42:BQ42" si="83">Z40-Z41</f>
        <v>28280000</v>
      </c>
      <c r="AA42" s="26">
        <f t="shared" si="83"/>
        <v>0</v>
      </c>
      <c r="AB42" s="26">
        <f t="shared" si="83"/>
        <v>0</v>
      </c>
      <c r="AC42" s="26">
        <f t="shared" si="83"/>
        <v>0</v>
      </c>
      <c r="AD42" s="26">
        <f t="shared" si="83"/>
        <v>0</v>
      </c>
      <c r="AE42" s="26">
        <f t="shared" si="83"/>
        <v>0</v>
      </c>
      <c r="AF42" s="26">
        <f t="shared" si="83"/>
        <v>0</v>
      </c>
      <c r="AG42" s="26">
        <f t="shared" si="83"/>
        <v>684960000</v>
      </c>
      <c r="AH42" s="26">
        <f t="shared" si="83"/>
        <v>681557095.65999997</v>
      </c>
      <c r="AI42" s="26">
        <f t="shared" si="83"/>
        <v>0</v>
      </c>
      <c r="AJ42" s="26">
        <f t="shared" si="83"/>
        <v>0</v>
      </c>
      <c r="AK42" s="26">
        <f t="shared" si="83"/>
        <v>0</v>
      </c>
      <c r="AL42" s="192">
        <f t="shared" si="83"/>
        <v>0</v>
      </c>
      <c r="AM42" s="192">
        <f t="shared" si="83"/>
        <v>0</v>
      </c>
      <c r="AN42" s="192">
        <f t="shared" si="83"/>
        <v>52800000</v>
      </c>
      <c r="AO42" s="192">
        <f t="shared" si="83"/>
        <v>0</v>
      </c>
      <c r="AP42" s="192">
        <f t="shared" si="83"/>
        <v>0</v>
      </c>
      <c r="AQ42" s="192">
        <f t="shared" si="83"/>
        <v>0</v>
      </c>
      <c r="AR42" s="192">
        <f t="shared" si="83"/>
        <v>0</v>
      </c>
      <c r="AS42" s="192">
        <f t="shared" si="83"/>
        <v>15000000</v>
      </c>
      <c r="AT42" s="192">
        <f t="shared" si="83"/>
        <v>15000000</v>
      </c>
      <c r="AU42" s="192">
        <f t="shared" si="83"/>
        <v>15000000</v>
      </c>
      <c r="AV42" s="192">
        <f t="shared" si="83"/>
        <v>0</v>
      </c>
      <c r="AW42" s="192">
        <f t="shared" si="83"/>
        <v>0</v>
      </c>
      <c r="AX42" s="192">
        <f t="shared" si="83"/>
        <v>1000000</v>
      </c>
      <c r="AY42" s="192">
        <f t="shared" si="83"/>
        <v>1000000</v>
      </c>
      <c r="AZ42" s="192">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1" t="s">
        <v>321</v>
      </c>
    </row>
    <row r="44" spans="1:74" s="192" customFormat="1" x14ac:dyDescent="0.25">
      <c r="A44" s="192" t="s">
        <v>324</v>
      </c>
      <c r="B44" s="189">
        <v>770700000</v>
      </c>
      <c r="C44" s="189">
        <v>492500000</v>
      </c>
      <c r="D44" s="189">
        <v>750000000</v>
      </c>
      <c r="E44" s="189">
        <v>3746200489.1799998</v>
      </c>
      <c r="F44" s="189">
        <v>4245640489.1799998</v>
      </c>
      <c r="G44" s="189">
        <v>486314908.18000001</v>
      </c>
      <c r="H44" s="189">
        <v>13114908.18</v>
      </c>
      <c r="I44" s="189">
        <v>6289562680.8000002</v>
      </c>
      <c r="J44" s="189">
        <v>3116539214.5599999</v>
      </c>
      <c r="K44" s="189">
        <v>3166133728.0100002</v>
      </c>
      <c r="L44" s="189">
        <v>263287179.49000001</v>
      </c>
      <c r="M44" s="189">
        <v>9046574441.0400009</v>
      </c>
      <c r="N44" s="189">
        <v>6605899700.1800003</v>
      </c>
      <c r="O44" s="189">
        <v>3924090287.1799998</v>
      </c>
      <c r="P44" s="189">
        <v>1913769713.96</v>
      </c>
      <c r="Q44" s="189">
        <v>2660600000</v>
      </c>
      <c r="R44" s="189">
        <v>1265792526.1900001</v>
      </c>
      <c r="S44" s="189">
        <v>629000000</v>
      </c>
      <c r="T44" s="189">
        <v>180000000</v>
      </c>
      <c r="U44" s="189">
        <v>1350000000</v>
      </c>
      <c r="V44" s="189">
        <v>920000000</v>
      </c>
      <c r="W44" s="189">
        <v>510000000</v>
      </c>
      <c r="X44" s="189">
        <v>-164000000</v>
      </c>
      <c r="Y44" s="189">
        <v>783000000</v>
      </c>
      <c r="Z44" s="189">
        <v>802000000</v>
      </c>
      <c r="AA44" s="189">
        <v>455000000</v>
      </c>
      <c r="AB44" s="189">
        <v>68000000</v>
      </c>
      <c r="AC44" s="189">
        <v>442000000</v>
      </c>
      <c r="AD44" s="189">
        <v>230000000</v>
      </c>
      <c r="AE44" s="189">
        <v>150000000</v>
      </c>
      <c r="AF44" s="189">
        <v>0</v>
      </c>
      <c r="AG44" s="189">
        <v>203500000</v>
      </c>
      <c r="AH44" s="189">
        <v>138500000</v>
      </c>
      <c r="AI44" s="189">
        <v>98500000</v>
      </c>
      <c r="AJ44" s="189">
        <v>48500000</v>
      </c>
      <c r="AK44" s="189">
        <v>40450000</v>
      </c>
      <c r="AL44" s="189">
        <v>35450000</v>
      </c>
      <c r="AM44" s="189">
        <v>8450000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row>
    <row r="45" spans="1:74" s="192" customFormat="1" x14ac:dyDescent="0.25">
      <c r="A45" s="192" t="s">
        <v>323</v>
      </c>
      <c r="E45" s="192">
        <f>股权价值增加表!E53</f>
        <v>787544627.55999994</v>
      </c>
      <c r="F45" s="192">
        <f>股权价值增加表!F53</f>
        <v>0</v>
      </c>
      <c r="G45" s="192">
        <f>股权价值增加表!G53</f>
        <v>0</v>
      </c>
      <c r="H45" s="192">
        <f>股权价值增加表!H53</f>
        <v>0</v>
      </c>
      <c r="I45" s="192">
        <f>股权价值增加表!I53</f>
        <v>550138357.40999997</v>
      </c>
      <c r="J45" s="192">
        <f>股权价值增加表!J53</f>
        <v>0</v>
      </c>
      <c r="K45" s="192">
        <f>股权价值增加表!K53</f>
        <v>0</v>
      </c>
      <c r="L45" s="192">
        <f>股权价值增加表!L53</f>
        <v>0</v>
      </c>
      <c r="M45" s="192">
        <f>股权价值增加表!M53</f>
        <v>284322482.31999999</v>
      </c>
      <c r="N45" s="192">
        <f>股权价值增加表!N53</f>
        <v>0</v>
      </c>
      <c r="O45" s="192">
        <f>股权价值增加表!O53</f>
        <v>0</v>
      </c>
      <c r="P45" s="192">
        <f>股权价值增加表!P53</f>
        <v>0</v>
      </c>
      <c r="Q45" s="192">
        <f>股权价值增加表!Q53</f>
        <v>151285869.65000001</v>
      </c>
      <c r="R45" s="192">
        <f>股权价值增加表!R53</f>
        <v>0</v>
      </c>
      <c r="S45" s="192">
        <f>股权价值增加表!S53</f>
        <v>0</v>
      </c>
      <c r="T45" s="192">
        <f>股权价值增加表!T53</f>
        <v>0</v>
      </c>
      <c r="U45" s="192">
        <f>股权价值增加表!U53</f>
        <v>114836655.17</v>
      </c>
      <c r="V45" s="192">
        <f>股权价值增加表!V53</f>
        <v>0</v>
      </c>
      <c r="W45" s="192">
        <f>股权价值增加表!W53</f>
        <v>0</v>
      </c>
      <c r="X45" s="192">
        <f>股权价值增加表!X53</f>
        <v>0</v>
      </c>
      <c r="Y45" s="192">
        <f>股权价值增加表!Y53</f>
        <v>58480325.060000002</v>
      </c>
      <c r="Z45" s="192">
        <f>股权价值增加表!Z53</f>
        <v>0</v>
      </c>
      <c r="AA45" s="192">
        <f>股权价值增加表!AA53</f>
        <v>0</v>
      </c>
      <c r="AB45" s="192">
        <f>股权价值增加表!AB53</f>
        <v>0</v>
      </c>
      <c r="AC45" s="192">
        <f>股权价值增加表!AC53</f>
        <v>12686640.33</v>
      </c>
      <c r="AD45" s="192">
        <f>股权价值增加表!AD53</f>
        <v>0</v>
      </c>
      <c r="AE45" s="192">
        <f>股权价值增加表!AE53</f>
        <v>0</v>
      </c>
      <c r="AF45" s="192">
        <f>股权价值增加表!AF53</f>
        <v>0</v>
      </c>
      <c r="AG45" s="192">
        <f>股权价值增加表!AG53</f>
        <v>4580578.7699999996</v>
      </c>
      <c r="AH45" s="192">
        <f>股权价值增加表!AH53</f>
        <v>0</v>
      </c>
      <c r="AI45" s="192">
        <f>股权价值增加表!AI53</f>
        <v>0</v>
      </c>
      <c r="AJ45" s="192">
        <f>股权价值增加表!AJ53</f>
        <v>0</v>
      </c>
      <c r="AK45" s="192">
        <f>股权价值增加表!AK53</f>
        <v>0</v>
      </c>
      <c r="AL45" s="192">
        <f>股权价值增加表!AL53</f>
        <v>0</v>
      </c>
      <c r="AM45" s="192">
        <f>股权价值增加表!AM53</f>
        <v>0</v>
      </c>
      <c r="AN45" s="192">
        <f>股权价值增加表!AN53</f>
        <v>0</v>
      </c>
      <c r="AO45" s="192">
        <f>股权价值增加表!AO53</f>
        <v>0</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89">
        <v>0</v>
      </c>
      <c r="C46" s="189">
        <v>346128957.52999997</v>
      </c>
      <c r="D46" s="189">
        <v>233429300.46000001</v>
      </c>
      <c r="E46" s="189">
        <v>111768418.02</v>
      </c>
      <c r="F46" s="189">
        <v>210238795.94</v>
      </c>
      <c r="G46" s="189">
        <v>259698626.40000001</v>
      </c>
      <c r="H46" s="189">
        <v>112643447.69</v>
      </c>
      <c r="I46" s="189">
        <v>81875727.030000001</v>
      </c>
      <c r="J46" s="189">
        <v>24051053.300000001</v>
      </c>
      <c r="K46" s="189">
        <v>117550745.66</v>
      </c>
      <c r="L46" s="189">
        <v>91336763.569999993</v>
      </c>
      <c r="M46" s="189">
        <v>52645206.380000003</v>
      </c>
      <c r="N46" s="189">
        <v>13024193.550000001</v>
      </c>
      <c r="O46" s="189">
        <v>10488925.08</v>
      </c>
      <c r="P46" s="189">
        <v>25333798.460000001</v>
      </c>
      <c r="Q46" s="189">
        <v>15200173.460000001</v>
      </c>
      <c r="R46" s="189">
        <v>8605437.3499999996</v>
      </c>
      <c r="S46" s="189">
        <v>31597654.640000001</v>
      </c>
      <c r="T46" s="189">
        <v>38980645.219999999</v>
      </c>
      <c r="U46" s="189">
        <v>25835645.210000001</v>
      </c>
      <c r="V46" s="189">
        <v>12690645.199999999</v>
      </c>
      <c r="W46" s="189">
        <v>19405645.190000001</v>
      </c>
      <c r="X46" s="189">
        <v>30140645.190000001</v>
      </c>
      <c r="Y46" s="189">
        <v>20895645.18</v>
      </c>
      <c r="Z46" s="189">
        <v>11650645.17</v>
      </c>
      <c r="AA46" s="189">
        <v>2954032.26</v>
      </c>
      <c r="AB46" s="189">
        <v>0</v>
      </c>
      <c r="AC46" s="189">
        <v>0</v>
      </c>
      <c r="AD46" s="189">
        <v>0</v>
      </c>
      <c r="AE46" s="189">
        <v>0</v>
      </c>
      <c r="AF46" s="189">
        <v>0</v>
      </c>
      <c r="AG46" s="189">
        <v>0</v>
      </c>
      <c r="AH46" s="189">
        <v>130304.9</v>
      </c>
      <c r="AI46" s="189">
        <v>0</v>
      </c>
      <c r="AJ46" s="189">
        <v>0</v>
      </c>
      <c r="AK46" s="189">
        <v>0</v>
      </c>
      <c r="AL46" s="189">
        <v>0</v>
      </c>
      <c r="AM46" s="189">
        <v>0</v>
      </c>
      <c r="AN46" s="189"/>
      <c r="AO46" s="189"/>
      <c r="AP46" s="189"/>
      <c r="AQ46" s="189">
        <v>0</v>
      </c>
      <c r="AR46" s="189">
        <v>0</v>
      </c>
      <c r="AS46" s="189">
        <v>0</v>
      </c>
      <c r="AT46" s="189">
        <v>0</v>
      </c>
      <c r="AU46" s="189">
        <v>0</v>
      </c>
      <c r="AV46" s="189">
        <v>0</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row>
    <row r="47" spans="1:74" s="192" customFormat="1" x14ac:dyDescent="0.25">
      <c r="A47" s="192" t="s">
        <v>326</v>
      </c>
      <c r="B47" s="189">
        <v>1018864524.21</v>
      </c>
      <c r="C47" s="189">
        <v>726081090.21000004</v>
      </c>
      <c r="D47" s="189">
        <v>204851090.21000001</v>
      </c>
      <c r="E47" s="189">
        <v>4435341637.0100002</v>
      </c>
      <c r="F47" s="189">
        <v>5166055591.1000004</v>
      </c>
      <c r="G47" s="189">
        <v>1652676521.27</v>
      </c>
      <c r="H47" s="189">
        <v>1191455412.4200001</v>
      </c>
      <c r="I47" s="189">
        <v>4947098220.1499996</v>
      </c>
      <c r="J47" s="189">
        <v>1973547510.1700001</v>
      </c>
      <c r="K47" s="189">
        <v>764485569.02999997</v>
      </c>
      <c r="L47" s="189">
        <v>368819321.57999998</v>
      </c>
      <c r="M47" s="189">
        <v>6746926238.5</v>
      </c>
      <c r="N47" s="189">
        <v>3460066166.21</v>
      </c>
      <c r="O47" s="189">
        <v>2318878824.8499999</v>
      </c>
      <c r="P47" s="189">
        <v>826106870.21000004</v>
      </c>
      <c r="Q47" s="189">
        <v>1738406600.96</v>
      </c>
      <c r="R47" s="189">
        <v>977807244.15999997</v>
      </c>
      <c r="S47" s="189">
        <v>247275143.80000001</v>
      </c>
      <c r="T47" s="189">
        <v>20137572</v>
      </c>
      <c r="U47" s="189">
        <v>846450287.20000005</v>
      </c>
      <c r="V47" s="189">
        <v>599312715.39999998</v>
      </c>
      <c r="W47" s="189">
        <v>229175143.59999999</v>
      </c>
      <c r="X47" s="189">
        <v>55137571.799999997</v>
      </c>
      <c r="Y47" s="189">
        <v>438400000</v>
      </c>
      <c r="Z47" s="189">
        <v>201000000</v>
      </c>
      <c r="AA47" s="189">
        <v>88000000</v>
      </c>
      <c r="AB47" s="189">
        <v>28000000</v>
      </c>
      <c r="AC47" s="189">
        <v>107000000</v>
      </c>
      <c r="AD47" s="189">
        <v>20000000</v>
      </c>
      <c r="AE47" s="189">
        <v>20000000</v>
      </c>
      <c r="AF47" s="189">
        <v>0</v>
      </c>
      <c r="AG47" s="189">
        <v>173500000</v>
      </c>
      <c r="AH47" s="189">
        <v>152300000</v>
      </c>
      <c r="AI47" s="189">
        <v>43000000</v>
      </c>
      <c r="AJ47" s="189">
        <v>15000000</v>
      </c>
      <c r="AK47" s="189">
        <v>450000</v>
      </c>
      <c r="AL47" s="189">
        <v>450000</v>
      </c>
      <c r="AM47" s="189">
        <v>450000</v>
      </c>
      <c r="AN47" s="189">
        <v>0</v>
      </c>
      <c r="AO47" s="189">
        <v>3000000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2814887.33</v>
      </c>
      <c r="BS47" s="189">
        <v>0</v>
      </c>
      <c r="BT47" s="189">
        <v>0</v>
      </c>
      <c r="BU47" s="189">
        <v>70000000</v>
      </c>
      <c r="BV47" s="189">
        <v>0</v>
      </c>
    </row>
    <row r="48" spans="1:74" s="192" customFormat="1" x14ac:dyDescent="0.25">
      <c r="A48" s="192" t="s">
        <v>597</v>
      </c>
      <c r="B48" s="189">
        <v>0</v>
      </c>
      <c r="C48" s="189">
        <v>0</v>
      </c>
      <c r="D48" s="189">
        <v>0</v>
      </c>
      <c r="E48" s="189">
        <v>0</v>
      </c>
      <c r="F48" s="189">
        <v>0</v>
      </c>
      <c r="G48" s="189">
        <v>0</v>
      </c>
      <c r="H48" s="189">
        <v>0</v>
      </c>
      <c r="I48" s="189">
        <v>0</v>
      </c>
      <c r="J48" s="189">
        <v>0</v>
      </c>
      <c r="K48" s="189">
        <v>0</v>
      </c>
      <c r="L48" s="189">
        <v>0</v>
      </c>
      <c r="M48" s="189">
        <v>1895260000</v>
      </c>
      <c r="N48" s="189">
        <v>982000000</v>
      </c>
      <c r="O48" s="189">
        <v>0</v>
      </c>
      <c r="P48" s="189">
        <v>0</v>
      </c>
      <c r="Q48" s="189">
        <v>0</v>
      </c>
      <c r="R48" s="189">
        <v>0</v>
      </c>
      <c r="S48" s="189">
        <v>0</v>
      </c>
      <c r="T48" s="189">
        <v>0</v>
      </c>
      <c r="U48" s="189">
        <v>200000000</v>
      </c>
      <c r="V48" s="189">
        <v>0</v>
      </c>
      <c r="W48" s="189">
        <v>0</v>
      </c>
      <c r="X48" s="189">
        <v>394000000</v>
      </c>
      <c r="Y48" s="189">
        <v>394000000</v>
      </c>
      <c r="Z48" s="189">
        <v>0</v>
      </c>
      <c r="AA48" s="189">
        <v>0</v>
      </c>
      <c r="AB48" s="189">
        <v>0</v>
      </c>
      <c r="AC48" s="189">
        <v>0</v>
      </c>
      <c r="AD48" s="189">
        <v>0</v>
      </c>
      <c r="AE48" s="189">
        <v>0</v>
      </c>
      <c r="AF48" s="189">
        <v>0</v>
      </c>
      <c r="AG48" s="189">
        <v>0</v>
      </c>
      <c r="AH48" s="189">
        <v>0</v>
      </c>
      <c r="AI48" s="189">
        <v>0</v>
      </c>
      <c r="AJ48" s="189">
        <v>0</v>
      </c>
      <c r="AK48" s="189">
        <v>0</v>
      </c>
      <c r="AL48" s="189">
        <v>0</v>
      </c>
      <c r="AM48" s="189">
        <v>0</v>
      </c>
      <c r="AN48" s="189">
        <v>0</v>
      </c>
      <c r="AO48" s="189">
        <v>0</v>
      </c>
      <c r="AP48" s="189">
        <v>0</v>
      </c>
      <c r="AQ48" s="189">
        <v>0</v>
      </c>
      <c r="AR48" s="189">
        <v>0</v>
      </c>
      <c r="AS48" s="189">
        <v>0</v>
      </c>
      <c r="AT48" s="189">
        <v>0</v>
      </c>
      <c r="AU48" s="189">
        <v>0</v>
      </c>
      <c r="AV48" s="189">
        <v>0</v>
      </c>
      <c r="AW48" s="189">
        <v>0</v>
      </c>
      <c r="AX48" s="189">
        <v>0</v>
      </c>
      <c r="AY48" s="189">
        <v>0</v>
      </c>
      <c r="AZ48" s="189">
        <v>0</v>
      </c>
      <c r="BA48" s="189">
        <v>0</v>
      </c>
      <c r="BB48" s="189">
        <v>0</v>
      </c>
      <c r="BC48" s="189">
        <v>0</v>
      </c>
      <c r="BD48" s="189">
        <v>0</v>
      </c>
      <c r="BE48" s="189">
        <v>0</v>
      </c>
      <c r="BF48" s="189">
        <v>0</v>
      </c>
      <c r="BG48" s="189">
        <v>0</v>
      </c>
      <c r="BH48" s="189">
        <v>0</v>
      </c>
      <c r="BI48" s="189">
        <v>0</v>
      </c>
      <c r="BJ48" s="189">
        <v>0</v>
      </c>
      <c r="BK48" s="189">
        <v>0</v>
      </c>
      <c r="BL48" s="189">
        <v>0</v>
      </c>
      <c r="BM48" s="189">
        <v>0</v>
      </c>
      <c r="BN48" s="189">
        <v>0</v>
      </c>
      <c r="BO48" s="189">
        <v>0</v>
      </c>
      <c r="BP48" s="189">
        <v>0</v>
      </c>
      <c r="BQ48" s="189">
        <v>0</v>
      </c>
      <c r="BR48" s="189">
        <v>0</v>
      </c>
      <c r="BS48" s="189">
        <v>0</v>
      </c>
      <c r="BT48" s="189">
        <v>0</v>
      </c>
      <c r="BU48" s="189">
        <v>0</v>
      </c>
      <c r="BV48" s="189">
        <v>0</v>
      </c>
    </row>
    <row r="49" spans="1:74" s="192" customFormat="1" x14ac:dyDescent="0.25">
      <c r="A49" s="192" t="s">
        <v>598</v>
      </c>
      <c r="E49" s="192">
        <f>E44+E48-E45-E46-E47</f>
        <v>-1588454193.4100003</v>
      </c>
      <c r="F49" s="192">
        <f t="shared" ref="F49:BQ49" si="85">F44+F48-F45-F46-F47</f>
        <v>-1130653897.8600006</v>
      </c>
      <c r="G49" s="192">
        <f t="shared" si="85"/>
        <v>-1426060239.49</v>
      </c>
      <c r="H49" s="192">
        <f t="shared" si="85"/>
        <v>-1290983951.9300001</v>
      </c>
      <c r="I49" s="192">
        <f t="shared" si="85"/>
        <v>710450376.21000099</v>
      </c>
      <c r="J49" s="192">
        <f t="shared" si="85"/>
        <v>1118940651.0899997</v>
      </c>
      <c r="K49" s="192">
        <f t="shared" si="85"/>
        <v>2284097413.3200006</v>
      </c>
      <c r="L49" s="192">
        <f t="shared" si="85"/>
        <v>-196868905.65999997</v>
      </c>
      <c r="M49" s="192">
        <f t="shared" si="85"/>
        <v>3857940513.8400021</v>
      </c>
      <c r="N49" s="192">
        <f t="shared" si="85"/>
        <v>4114809340.4200001</v>
      </c>
      <c r="O49" s="192">
        <f t="shared" si="85"/>
        <v>1594722537.25</v>
      </c>
      <c r="P49" s="192">
        <f t="shared" si="85"/>
        <v>1062329045.29</v>
      </c>
      <c r="Q49" s="192">
        <f t="shared" si="85"/>
        <v>755707355.92999983</v>
      </c>
      <c r="R49" s="192">
        <f t="shared" si="85"/>
        <v>279379844.68000019</v>
      </c>
      <c r="S49" s="192">
        <f t="shared" si="85"/>
        <v>350127201.56</v>
      </c>
      <c r="T49" s="192">
        <f t="shared" si="85"/>
        <v>120881782.78</v>
      </c>
      <c r="U49" s="192">
        <f t="shared" si="85"/>
        <v>562877412.41999984</v>
      </c>
      <c r="V49" s="192">
        <f t="shared" si="85"/>
        <v>307996639.39999998</v>
      </c>
      <c r="W49" s="192">
        <f t="shared" si="85"/>
        <v>261419211.21000001</v>
      </c>
      <c r="X49" s="192">
        <f t="shared" si="85"/>
        <v>144721783.00999999</v>
      </c>
      <c r="Y49" s="192">
        <f t="shared" si="85"/>
        <v>659224029.75999999</v>
      </c>
      <c r="Z49" s="192">
        <f t="shared" si="85"/>
        <v>589349354.83000004</v>
      </c>
      <c r="AA49" s="192">
        <f t="shared" si="85"/>
        <v>364045967.74000001</v>
      </c>
      <c r="AB49" s="192">
        <f t="shared" si="85"/>
        <v>40000000</v>
      </c>
      <c r="AC49" s="192">
        <f t="shared" si="85"/>
        <v>322313359.67000002</v>
      </c>
      <c r="AD49" s="192">
        <f t="shared" si="85"/>
        <v>210000000</v>
      </c>
      <c r="AE49" s="192">
        <f t="shared" si="85"/>
        <v>130000000</v>
      </c>
      <c r="AF49" s="192">
        <f t="shared" si="85"/>
        <v>0</v>
      </c>
      <c r="AG49" s="192">
        <f t="shared" si="85"/>
        <v>25419421.229999989</v>
      </c>
      <c r="AH49" s="192">
        <f t="shared" si="85"/>
        <v>-13930304.900000006</v>
      </c>
      <c r="AI49" s="192">
        <f t="shared" si="85"/>
        <v>55500000</v>
      </c>
      <c r="AJ49" s="192">
        <f t="shared" si="85"/>
        <v>33500000</v>
      </c>
      <c r="AK49" s="192">
        <f t="shared" si="85"/>
        <v>40000000</v>
      </c>
      <c r="AL49" s="192">
        <f t="shared" si="85"/>
        <v>35000000</v>
      </c>
      <c r="AM49" s="192">
        <f t="shared" si="85"/>
        <v>8000000</v>
      </c>
      <c r="AN49" s="192">
        <f t="shared" si="85"/>
        <v>0</v>
      </c>
      <c r="AO49" s="192">
        <f t="shared" si="85"/>
        <v>-3000000</v>
      </c>
      <c r="AP49" s="192">
        <f t="shared" si="85"/>
        <v>0</v>
      </c>
      <c r="AQ49" s="192">
        <f t="shared" si="85"/>
        <v>0</v>
      </c>
      <c r="AR49" s="192">
        <f t="shared" si="85"/>
        <v>0</v>
      </c>
      <c r="AS49" s="192">
        <f t="shared" si="85"/>
        <v>0</v>
      </c>
      <c r="AT49" s="192">
        <f t="shared" si="85"/>
        <v>0</v>
      </c>
      <c r="AU49" s="192">
        <f t="shared" si="85"/>
        <v>0</v>
      </c>
      <c r="AV49" s="192">
        <f t="shared" si="85"/>
        <v>0</v>
      </c>
      <c r="AW49" s="192">
        <f t="shared" si="85"/>
        <v>0</v>
      </c>
      <c r="AX49" s="192">
        <f t="shared" si="85"/>
        <v>0</v>
      </c>
      <c r="AY49" s="192">
        <f t="shared" si="85"/>
        <v>0</v>
      </c>
      <c r="AZ49" s="192">
        <f t="shared" si="85"/>
        <v>0</v>
      </c>
      <c r="BA49" s="192">
        <f t="shared" si="85"/>
        <v>0</v>
      </c>
      <c r="BB49" s="192">
        <f t="shared" si="85"/>
        <v>0</v>
      </c>
      <c r="BC49" s="192">
        <f t="shared" si="85"/>
        <v>0</v>
      </c>
      <c r="BD49" s="192">
        <f t="shared" si="85"/>
        <v>0</v>
      </c>
      <c r="BE49" s="192">
        <f t="shared" si="85"/>
        <v>0</v>
      </c>
      <c r="BF49" s="192">
        <f t="shared" si="85"/>
        <v>0</v>
      </c>
      <c r="BG49" s="192">
        <f t="shared" si="85"/>
        <v>0</v>
      </c>
      <c r="BH49" s="192">
        <f t="shared" si="85"/>
        <v>0</v>
      </c>
      <c r="BI49" s="192">
        <f t="shared" si="85"/>
        <v>0</v>
      </c>
      <c r="BJ49" s="192">
        <f t="shared" si="85"/>
        <v>0</v>
      </c>
      <c r="BK49" s="192">
        <f t="shared" si="85"/>
        <v>0</v>
      </c>
      <c r="BL49" s="192">
        <f t="shared" si="85"/>
        <v>0</v>
      </c>
      <c r="BM49" s="192">
        <f t="shared" si="85"/>
        <v>0</v>
      </c>
      <c r="BN49" s="192">
        <f t="shared" si="85"/>
        <v>0</v>
      </c>
      <c r="BO49" s="192">
        <f t="shared" si="85"/>
        <v>0</v>
      </c>
      <c r="BP49" s="192">
        <f t="shared" si="85"/>
        <v>0</v>
      </c>
      <c r="BQ49" s="192">
        <f t="shared" si="85"/>
        <v>0</v>
      </c>
      <c r="BR49" s="192">
        <f t="shared" ref="BR49:BV49" si="86">BR44+BR48-BR45-BR46-BR47</f>
        <v>-2814887.33</v>
      </c>
      <c r="BS49" s="192">
        <f t="shared" si="86"/>
        <v>0</v>
      </c>
      <c r="BT49" s="192">
        <f t="shared" si="86"/>
        <v>0</v>
      </c>
      <c r="BU49" s="192">
        <f t="shared" si="86"/>
        <v>-70000000</v>
      </c>
      <c r="BV49" s="192">
        <f t="shared" si="86"/>
        <v>0</v>
      </c>
    </row>
    <row r="50" spans="1:74" s="26" customFormat="1" x14ac:dyDescent="0.25"/>
    <row r="51" spans="1:74" s="16" customFormat="1" ht="120" customHeight="1" x14ac:dyDescent="0.25">
      <c r="A51" s="277" t="s">
        <v>666</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12" sqref="E12"/>
    </sheetView>
  </sheetViews>
  <sheetFormatPr defaultRowHeight="14.4" x14ac:dyDescent="0.25"/>
  <cols>
    <col min="1" max="1" width="63.6640625" style="17" bestFit="1" customWidth="1"/>
    <col min="2" max="4" width="9.5546875" hidden="1" customWidth="1"/>
    <col min="5" max="5" width="19.33203125" bestFit="1" customWidth="1"/>
    <col min="6" max="8" width="20.44140625" hidden="1" customWidth="1"/>
    <col min="9" max="9" width="20.44140625" bestFit="1" customWidth="1"/>
    <col min="10" max="12" width="20.44140625" hidden="1" customWidth="1"/>
    <col min="13" max="13" width="20.44140625" bestFit="1" customWidth="1"/>
    <col min="14" max="14" width="20.44140625" hidden="1" customWidth="1"/>
    <col min="15"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7.21875" hidden="1" customWidth="1"/>
    <col min="37" max="37" width="17.21875" bestFit="1" customWidth="1"/>
    <col min="38" max="38" width="16.109375" hidden="1" customWidth="1"/>
    <col min="39" max="39" width="9.5546875" hidden="1" customWidth="1"/>
    <col min="40"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300104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787544627.55999994</v>
      </c>
      <c r="F3" s="26">
        <f>股权价值增加表!F53</f>
        <v>0</v>
      </c>
      <c r="G3" s="26">
        <f>股权价值增加表!G53</f>
        <v>0</v>
      </c>
      <c r="H3" s="26">
        <f>股权价值增加表!H53</f>
        <v>0</v>
      </c>
      <c r="I3" s="26">
        <f>股权价值增加表!I53</f>
        <v>550138357.40999997</v>
      </c>
      <c r="J3" s="26">
        <f>股权价值增加表!J53</f>
        <v>0</v>
      </c>
      <c r="K3" s="26">
        <f>股权价值增加表!K53</f>
        <v>0</v>
      </c>
      <c r="L3" s="26">
        <f>股权价值增加表!L53</f>
        <v>0</v>
      </c>
      <c r="M3" s="26">
        <f>股权价值增加表!M53</f>
        <v>284322482.31999999</v>
      </c>
      <c r="N3" s="26">
        <f>股权价值增加表!N53</f>
        <v>0</v>
      </c>
      <c r="O3" s="26">
        <f>股权价值增加表!O53</f>
        <v>0</v>
      </c>
      <c r="P3" s="26">
        <f>股权价值增加表!P53</f>
        <v>0</v>
      </c>
      <c r="Q3" s="26">
        <f>股权价值增加表!Q53</f>
        <v>151285869.65000001</v>
      </c>
      <c r="R3" s="26">
        <f>股权价值增加表!R53</f>
        <v>0</v>
      </c>
      <c r="S3" s="26">
        <f>股权价值增加表!S53</f>
        <v>0</v>
      </c>
      <c r="T3" s="26">
        <f>股权价值增加表!T53</f>
        <v>0</v>
      </c>
      <c r="U3" s="26">
        <f>股权价值增加表!U53</f>
        <v>114836655.17</v>
      </c>
      <c r="V3" s="26">
        <f>股权价值增加表!V53</f>
        <v>0</v>
      </c>
      <c r="W3" s="26">
        <f>股权价值增加表!W53</f>
        <v>0</v>
      </c>
      <c r="X3" s="26">
        <f>股权价值增加表!X53</f>
        <v>0</v>
      </c>
      <c r="Y3" s="26">
        <f>股权价值增加表!Y53</f>
        <v>58480325.060000002</v>
      </c>
      <c r="Z3" s="26">
        <f>股权价值增加表!Z53</f>
        <v>0</v>
      </c>
      <c r="AA3" s="26">
        <f>股权价值增加表!AA53</f>
        <v>0</v>
      </c>
      <c r="AB3" s="26">
        <f>股权价值增加表!AB53</f>
        <v>0</v>
      </c>
      <c r="AC3" s="26">
        <f>股权价值增加表!AC53</f>
        <v>12686640.33</v>
      </c>
      <c r="AD3" s="26">
        <f>股权价值增加表!AD53</f>
        <v>0</v>
      </c>
      <c r="AE3" s="26">
        <f>股权价值增加表!AE53</f>
        <v>0</v>
      </c>
      <c r="AF3" s="26">
        <f>股权价值增加表!AF53</f>
        <v>0</v>
      </c>
      <c r="AG3" s="26">
        <f>股权价值增加表!AG53</f>
        <v>4580578.7699999996</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7862345269.1099997</v>
      </c>
      <c r="F4" s="26">
        <f>资产资本表!F89</f>
        <v>8240766429.9099998</v>
      </c>
      <c r="G4" s="26">
        <f>资产资本表!G89</f>
        <v>11235267470</v>
      </c>
      <c r="H4" s="26">
        <f>资产资本表!H89</f>
        <v>10810808275.790001</v>
      </c>
      <c r="I4" s="26">
        <f>资产资本表!I89</f>
        <v>14110455849.67</v>
      </c>
      <c r="J4" s="26">
        <f>资产资本表!J89</f>
        <v>11556605421.35</v>
      </c>
      <c r="K4" s="26">
        <f>资产资本表!K89</f>
        <v>12733439625.910002</v>
      </c>
      <c r="L4" s="26">
        <f>资产资本表!L89</f>
        <v>7525968357.6199999</v>
      </c>
      <c r="M4" s="26">
        <f>资产资本表!M89</f>
        <v>7594075121.04</v>
      </c>
      <c r="N4" s="26">
        <f>资产资本表!N89</f>
        <v>7358927768.4800005</v>
      </c>
      <c r="O4" s="26">
        <f>资产资本表!O89</f>
        <v>4939261776.9499998</v>
      </c>
      <c r="P4" s="26">
        <f>资产资本表!P89</f>
        <v>4095958970.25</v>
      </c>
      <c r="Q4" s="26">
        <f>资产资本表!Q89</f>
        <v>2901790829.6400003</v>
      </c>
      <c r="R4" s="26">
        <f>资产资本表!R89</f>
        <v>1916210339.9999998</v>
      </c>
      <c r="S4" s="26">
        <f>资产资本表!S89</f>
        <v>1929367067.98</v>
      </c>
      <c r="T4" s="26">
        <f>资产资本表!T89</f>
        <v>1887621497.3400002</v>
      </c>
      <c r="U4" s="26">
        <f>资产资本表!U89</f>
        <v>1713198730.8800001</v>
      </c>
      <c r="V4" s="26">
        <f>资产资本表!V89</f>
        <v>1303486525.71</v>
      </c>
      <c r="W4" s="26">
        <f>资产资本表!W89</f>
        <v>1453490582.23</v>
      </c>
      <c r="X4" s="26">
        <f>资产资本表!X89</f>
        <v>1356960100.0300002</v>
      </c>
      <c r="Y4" s="26">
        <f>资产资本表!Y89</f>
        <v>1171284623.54</v>
      </c>
      <c r="Z4" s="26">
        <f>资产资本表!Z89</f>
        <v>1018528687.4100001</v>
      </c>
      <c r="AA4" s="26">
        <f>资产资本表!AA89</f>
        <v>775087261.12</v>
      </c>
      <c r="AB4" s="26">
        <f>资产资本表!AB89</f>
        <v>445000000</v>
      </c>
      <c r="AC4" s="26">
        <f>资产资本表!AC89</f>
        <v>405000000</v>
      </c>
      <c r="AD4" s="26">
        <f>资产资本表!AD89</f>
        <v>280000000</v>
      </c>
      <c r="AE4" s="26">
        <f>资产资本表!AE89</f>
        <v>200000000</v>
      </c>
      <c r="AF4" s="26">
        <f>资产资本表!AF89</f>
        <v>70000000</v>
      </c>
      <c r="AG4" s="26">
        <f>资产资本表!AG89</f>
        <v>70000000</v>
      </c>
      <c r="AH4" s="26">
        <f>资产资本表!AH89</f>
        <v>26330304.899999999</v>
      </c>
      <c r="AI4" s="26">
        <f>资产资本表!AI89</f>
        <v>95500000</v>
      </c>
      <c r="AJ4" s="26">
        <f>资产资本表!AJ89</f>
        <v>40000000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7.1683589479803841E-2</v>
      </c>
      <c r="F5" s="63">
        <f t="shared" ref="F5:BQ5" si="0">IF(F4+J4=0,0,F3/((F4+J4)/2))</f>
        <v>0</v>
      </c>
      <c r="G5" s="63">
        <f t="shared" si="0"/>
        <v>0</v>
      </c>
      <c r="H5" s="63">
        <f t="shared" si="0"/>
        <v>0</v>
      </c>
      <c r="I5" s="63">
        <f t="shared" si="0"/>
        <v>5.0693411265362517E-2</v>
      </c>
      <c r="J5" s="63">
        <f t="shared" si="0"/>
        <v>0</v>
      </c>
      <c r="K5" s="63">
        <f t="shared" si="0"/>
        <v>0</v>
      </c>
      <c r="L5" s="63">
        <f t="shared" si="0"/>
        <v>0</v>
      </c>
      <c r="M5" s="63">
        <f t="shared" si="0"/>
        <v>5.4177994203818781E-2</v>
      </c>
      <c r="N5" s="63">
        <f t="shared" si="0"/>
        <v>0</v>
      </c>
      <c r="O5" s="63">
        <f t="shared" si="0"/>
        <v>0</v>
      </c>
      <c r="P5" s="63">
        <f t="shared" si="0"/>
        <v>0</v>
      </c>
      <c r="Q5" s="63">
        <f t="shared" si="0"/>
        <v>6.5562822045887204E-2</v>
      </c>
      <c r="R5" s="63">
        <f t="shared" si="0"/>
        <v>0</v>
      </c>
      <c r="S5" s="63">
        <f t="shared" si="0"/>
        <v>0</v>
      </c>
      <c r="T5" s="63">
        <f t="shared" si="0"/>
        <v>0</v>
      </c>
      <c r="U5" s="63">
        <f t="shared" si="0"/>
        <v>7.9623725333017828E-2</v>
      </c>
      <c r="V5" s="63">
        <f t="shared" si="0"/>
        <v>0</v>
      </c>
      <c r="W5" s="63">
        <f t="shared" si="0"/>
        <v>0</v>
      </c>
      <c r="X5" s="63">
        <f t="shared" si="0"/>
        <v>0</v>
      </c>
      <c r="Y5" s="63">
        <f t="shared" si="0"/>
        <v>7.4200210021291249E-2</v>
      </c>
      <c r="Z5" s="63">
        <f t="shared" si="0"/>
        <v>0</v>
      </c>
      <c r="AA5" s="63">
        <f t="shared" si="0"/>
        <v>0</v>
      </c>
      <c r="AB5" s="63">
        <f t="shared" si="0"/>
        <v>0</v>
      </c>
      <c r="AC5" s="63">
        <f t="shared" si="0"/>
        <v>5.3417432968421052E-2</v>
      </c>
      <c r="AD5" s="63">
        <f t="shared" si="0"/>
        <v>0</v>
      </c>
      <c r="AE5" s="63">
        <f t="shared" si="0"/>
        <v>0</v>
      </c>
      <c r="AF5" s="63">
        <f t="shared" si="0"/>
        <v>0</v>
      </c>
      <c r="AG5" s="63">
        <f t="shared" si="0"/>
        <v>0.13087367914285714</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-4.0890250461450929E-2</v>
      </c>
      <c r="F6" s="63">
        <f>股权价值增加表!F41</f>
        <v>0.19252484114242091</v>
      </c>
      <c r="G6" s="63">
        <f>股权价值增加表!G41</f>
        <v>0.22309640975182127</v>
      </c>
      <c r="H6" s="63">
        <f>股权价值增加表!H41</f>
        <v>1.045407716522156</v>
      </c>
      <c r="I6" s="63">
        <f>股权价值增加表!I41</f>
        <v>0.2485511473067672</v>
      </c>
      <c r="J6" s="63">
        <f>股权价值增加表!J41</f>
        <v>-2.511013299231291</v>
      </c>
      <c r="K6" s="63">
        <f>股权价值增加表!K41</f>
        <v>-0.86298688960441894</v>
      </c>
      <c r="L6" s="63">
        <f>股权价值增加表!L41</f>
        <v>0.38154766826255232</v>
      </c>
      <c r="M6" s="63">
        <f>股权价值增加表!M41</f>
        <v>-1.9041142815904255</v>
      </c>
      <c r="N6" s="63">
        <f>股权价值增加表!N41</f>
        <v>-0.5988651334606313</v>
      </c>
      <c r="O6" s="63">
        <f>股权价值增加表!O41</f>
        <v>-0.50097033294609072</v>
      </c>
      <c r="P6" s="63">
        <f>股权价值增加表!P41</f>
        <v>0.10246098407355027</v>
      </c>
      <c r="Q6" s="63">
        <f>股权价值增加表!Q41</f>
        <v>-0.7991717616538988</v>
      </c>
      <c r="R6" s="63">
        <f>股权价值增加表!R41</f>
        <v>-1.7389639473076184</v>
      </c>
      <c r="S6" s="63">
        <f>股权价值增加表!S41</f>
        <v>-1.1724768379348896E-2</v>
      </c>
      <c r="T6" s="63">
        <f>股权价值增加表!T41</f>
        <v>4.0577786757547432E-2</v>
      </c>
      <c r="U6" s="63">
        <f>股权价值增加表!U41</f>
        <v>5.7793754778641335E-2</v>
      </c>
      <c r="V6" s="63">
        <f>股权价值增加表!V41</f>
        <v>9.0966033492437468E-2</v>
      </c>
      <c r="W6" s="63">
        <f>股权价值增加表!W41</f>
        <v>0.15502678804234474</v>
      </c>
      <c r="X6" s="63">
        <f>股权价值增加表!X41</f>
        <v>0.14694615778407782</v>
      </c>
      <c r="Y6" s="63">
        <f>股权价值增加表!Y41</f>
        <v>0.16833794285347292</v>
      </c>
      <c r="Z6" s="63">
        <f>股权价值增加表!Z41</f>
        <v>0.15694902407066713</v>
      </c>
      <c r="AA6" s="63">
        <f>股权价值增加表!AA41</f>
        <v>0.16887824528171963</v>
      </c>
      <c r="AB6" s="63">
        <f>股权价值增加表!AB41</f>
        <v>0.18841192231913922</v>
      </c>
      <c r="AC6" s="63">
        <f>股权价值增加表!AC41</f>
        <v>0.20391036713743566</v>
      </c>
      <c r="AD6" s="63">
        <f>股权价值增加表!AD41</f>
        <v>0.21870795297926157</v>
      </c>
      <c r="AE6" s="63">
        <f>股权价值增加表!AE41</f>
        <v>0.17982840342037973</v>
      </c>
      <c r="AF6" s="63">
        <f>股权价值增加表!AF41</f>
        <v>0.16223411811761063</v>
      </c>
      <c r="AG6" s="63">
        <f>股权价值增加表!AG41</f>
        <v>6.3327606897684949E-2</v>
      </c>
      <c r="AH6" s="63">
        <f>股权价值增加表!AH41</f>
        <v>6.8257774323770809E-2</v>
      </c>
      <c r="AI6" s="63">
        <f>股权价值增加表!AI41</f>
        <v>4.5213841755172422E-2</v>
      </c>
      <c r="AJ6" s="63">
        <f>股权价值增加表!AJ41</f>
        <v>9.7187755824162964E-3</v>
      </c>
      <c r="AK6" s="63">
        <f>股权价值增加表!AK41</f>
        <v>6.7587485078623916E-2</v>
      </c>
      <c r="AL6" s="63">
        <f>股权价值增加表!AL41</f>
        <v>8.6682505268475651E-2</v>
      </c>
      <c r="AM6" s="63">
        <f>股权价值增加表!AM41</f>
        <v>8.7409049019196994E-2</v>
      </c>
      <c r="AN6" s="63">
        <f>股权价值增加表!AN41</f>
        <v>4.4905771169735674E-2</v>
      </c>
      <c r="AO6" s="63">
        <f>股权价值增加表!AO41</f>
        <v>0</v>
      </c>
      <c r="AP6" s="63" t="e">
        <f>股权价值增加表!AP41</f>
        <v>#DIV/0!</v>
      </c>
      <c r="AQ6" s="63">
        <f>股权价值增加表!AQ41</f>
        <v>5.4623444638231016</v>
      </c>
      <c r="AR6" s="63">
        <f>股权价值增加表!AR41</f>
        <v>21.506440938812048</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7.4614749407608857E-2</v>
      </c>
      <c r="F7" s="63">
        <f t="shared" ref="F7:BQ7" si="2">F5*(1-F6)</f>
        <v>0</v>
      </c>
      <c r="G7" s="63">
        <f t="shared" si="2"/>
        <v>0</v>
      </c>
      <c r="H7" s="63">
        <f t="shared" si="2"/>
        <v>0</v>
      </c>
      <c r="I7" s="63">
        <f t="shared" si="2"/>
        <v>3.8093505734462865E-2</v>
      </c>
      <c r="J7" s="63">
        <f t="shared" si="2"/>
        <v>0</v>
      </c>
      <c r="K7" s="63">
        <f t="shared" si="2"/>
        <v>0</v>
      </c>
      <c r="L7" s="63">
        <f t="shared" si="2"/>
        <v>0</v>
      </c>
      <c r="M7" s="63">
        <f t="shared" si="2"/>
        <v>0.15733908671523342</v>
      </c>
      <c r="N7" s="63">
        <f t="shared" si="2"/>
        <v>0</v>
      </c>
      <c r="O7" s="63">
        <f t="shared" si="2"/>
        <v>0</v>
      </c>
      <c r="P7" s="63">
        <f t="shared" si="2"/>
        <v>0</v>
      </c>
      <c r="Q7" s="63">
        <f t="shared" si="2"/>
        <v>0.11795877803929997</v>
      </c>
      <c r="R7" s="63">
        <f t="shared" si="2"/>
        <v>0</v>
      </c>
      <c r="S7" s="63">
        <f t="shared" si="2"/>
        <v>0</v>
      </c>
      <c r="T7" s="63">
        <f t="shared" si="2"/>
        <v>0</v>
      </c>
      <c r="U7" s="63">
        <f t="shared" si="2"/>
        <v>7.5021971276559504E-2</v>
      </c>
      <c r="V7" s="63">
        <f t="shared" si="2"/>
        <v>0</v>
      </c>
      <c r="W7" s="63">
        <f t="shared" si="2"/>
        <v>0</v>
      </c>
      <c r="X7" s="63">
        <f t="shared" si="2"/>
        <v>0</v>
      </c>
      <c r="Y7" s="63">
        <f t="shared" si="2"/>
        <v>6.1709499307011431E-2</v>
      </c>
      <c r="Z7" s="63">
        <f t="shared" si="2"/>
        <v>0</v>
      </c>
      <c r="AA7" s="63">
        <f t="shared" si="2"/>
        <v>0</v>
      </c>
      <c r="AB7" s="63">
        <f t="shared" si="2"/>
        <v>0</v>
      </c>
      <c r="AC7" s="63">
        <f t="shared" si="2"/>
        <v>4.2525064600290957E-2</v>
      </c>
      <c r="AD7" s="63">
        <f t="shared" si="2"/>
        <v>0</v>
      </c>
      <c r="AE7" s="63">
        <f t="shared" si="2"/>
        <v>0</v>
      </c>
      <c r="AF7" s="63">
        <f t="shared" si="2"/>
        <v>0</v>
      </c>
      <c r="AG7" s="63">
        <f t="shared" si="2"/>
        <v>0.12258576223684453</v>
      </c>
      <c r="AH7" s="63">
        <f t="shared" si="2"/>
        <v>0</v>
      </c>
      <c r="AI7" s="63">
        <f t="shared" si="2"/>
        <v>0</v>
      </c>
      <c r="AJ7" s="63">
        <f t="shared" si="2"/>
        <v>0</v>
      </c>
      <c r="AK7" s="63">
        <f t="shared" si="2"/>
        <v>0</v>
      </c>
      <c r="AL7" s="63">
        <f t="shared" si="2"/>
        <v>0</v>
      </c>
      <c r="AM7" s="63">
        <f t="shared" si="2"/>
        <v>0</v>
      </c>
      <c r="AN7" s="63">
        <f t="shared" si="2"/>
        <v>0</v>
      </c>
      <c r="AO7" s="63">
        <f t="shared" si="2"/>
        <v>0</v>
      </c>
      <c r="AP7" s="63" t="e">
        <f t="shared" si="2"/>
        <v>#DIV/0!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-666488415.16000009</v>
      </c>
      <c r="F8" s="26">
        <f>资产资本表!F107</f>
        <v>14875642596.049999</v>
      </c>
      <c r="G8" s="26">
        <f>资产资本表!G107</f>
        <v>16391806439.77</v>
      </c>
      <c r="H8" s="26">
        <f>资产资本表!H107</f>
        <v>14797161855.029999</v>
      </c>
      <c r="I8" s="26">
        <f>资产资本表!I107</f>
        <v>10481752739.559999</v>
      </c>
      <c r="J8" s="26">
        <f>资产资本表!J107</f>
        <v>9896748904.4200001</v>
      </c>
      <c r="K8" s="26">
        <f>资产资本表!K107</f>
        <v>5051137471.4499998</v>
      </c>
      <c r="L8" s="26">
        <f>资产资本表!L107</f>
        <v>4935802326.0900002</v>
      </c>
      <c r="M8" s="26">
        <f>资产资本表!M107</f>
        <v>3815134279.6899996</v>
      </c>
      <c r="N8" s="26">
        <f>资产资本表!N107</f>
        <v>3587438648.9000001</v>
      </c>
      <c r="O8" s="26">
        <f>资产资本表!O107</f>
        <v>3492721953.0699997</v>
      </c>
      <c r="P8" s="26">
        <f>资产资本表!P107</f>
        <v>3383306903.9300003</v>
      </c>
      <c r="Q8" s="26">
        <f>资产资本表!Q107</f>
        <v>3343473396.02</v>
      </c>
      <c r="R8" s="26">
        <f>资产资本表!R107</f>
        <v>3171677528.1500001</v>
      </c>
      <c r="S8" s="26">
        <f>资产资本表!S107</f>
        <v>3105270244.0400004</v>
      </c>
      <c r="T8" s="26">
        <f>资产资本表!T107</f>
        <v>2158084139.8699999</v>
      </c>
      <c r="U8" s="26">
        <f>资产资本表!U107</f>
        <v>2079525750.53</v>
      </c>
      <c r="V8" s="26">
        <f>资产资本表!V107</f>
        <v>1989131404.54</v>
      </c>
      <c r="W8" s="26">
        <f>资产资本表!W107</f>
        <v>1584699871.52</v>
      </c>
      <c r="X8" s="26">
        <f>资产资本表!X107</f>
        <v>1344946737.0899999</v>
      </c>
      <c r="Y8" s="26">
        <f>资产资本表!Y107</f>
        <v>1273427238.4099998</v>
      </c>
      <c r="Z8" s="26">
        <f>资产资本表!Z107</f>
        <v>1210063990.98</v>
      </c>
      <c r="AA8" s="26">
        <f>资产资本表!AA107</f>
        <v>1135025718.76</v>
      </c>
      <c r="AB8" s="26">
        <f>资产资本表!AB107</f>
        <v>1109892158.24</v>
      </c>
      <c r="AC8" s="26">
        <f>资产资本表!AC107</f>
        <v>1057106722.5300001</v>
      </c>
      <c r="AD8" s="26">
        <f>资产资本表!AD107</f>
        <v>1011061639.39</v>
      </c>
      <c r="AE8" s="26">
        <f>资产资本表!AE107</f>
        <v>982057424.13</v>
      </c>
      <c r="AF8" s="26">
        <f>资产资本表!AF107</f>
        <v>967726451.39999998</v>
      </c>
      <c r="AG8" s="26">
        <f>资产资本表!AG107</f>
        <v>938662287.94000006</v>
      </c>
      <c r="AH8" s="26">
        <f>资产资本表!AH107</f>
        <v>919087080.04999995</v>
      </c>
      <c r="AI8" s="26">
        <f>资产资本表!AI107</f>
        <v>218192293.25</v>
      </c>
      <c r="AJ8" s="26">
        <f>资产资本表!AJ107</f>
        <v>187005762.91</v>
      </c>
      <c r="AK8" s="26">
        <f>资产资本表!AK107</f>
        <v>142670557.59999999</v>
      </c>
      <c r="AL8" s="26">
        <f>资产资本表!AL107</f>
        <v>59615812.759999998</v>
      </c>
      <c r="AM8" s="26">
        <f>资产资本表!AM107</f>
        <v>0</v>
      </c>
      <c r="AN8" s="26">
        <f>资产资本表!AN107</f>
        <v>12725217105.43</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7639634763.3899994</v>
      </c>
      <c r="F10" s="26">
        <f>资产资本表!F70</f>
        <v>23308205179.860001</v>
      </c>
      <c r="G10" s="26">
        <f>资产资本表!G70</f>
        <v>27855500812.769997</v>
      </c>
      <c r="H10" s="26">
        <f>资产资本表!H70</f>
        <v>25898748033.82</v>
      </c>
      <c r="I10" s="26">
        <f>资产资本表!I70</f>
        <v>25027200198.849998</v>
      </c>
      <c r="J10" s="26">
        <f>资产资本表!J70</f>
        <v>21811697519.769997</v>
      </c>
      <c r="K10" s="26">
        <f>资产资本表!K70</f>
        <v>17983110291.360001</v>
      </c>
      <c r="L10" s="26">
        <f>资产资本表!L70</f>
        <v>12461770683.709999</v>
      </c>
      <c r="M10" s="26">
        <f>资产资本表!M70</f>
        <v>11409209400.73</v>
      </c>
      <c r="N10" s="26">
        <f>资产资本表!N70</f>
        <v>10946366417.380001</v>
      </c>
      <c r="O10" s="26">
        <f>资产资本表!O70</f>
        <v>8460457629.1100006</v>
      </c>
      <c r="P10" s="26">
        <f>资产资本表!P70</f>
        <v>7490384686.5900011</v>
      </c>
      <c r="Q10" s="26">
        <f>资产资本表!Q70</f>
        <v>6256383038.0700006</v>
      </c>
      <c r="R10" s="26">
        <f>资产资本表!R70</f>
        <v>5102797280.5500011</v>
      </c>
      <c r="S10" s="26">
        <f>资产资本表!S70</f>
        <v>5049649558</v>
      </c>
      <c r="T10" s="26">
        <f>资产资本表!T70</f>
        <v>4045705637.21</v>
      </c>
      <c r="U10" s="26">
        <f>资产资本表!U70</f>
        <v>3792724481.4100003</v>
      </c>
      <c r="V10" s="26">
        <f>资产资本表!V70</f>
        <v>3306149786.8200002</v>
      </c>
      <c r="W10" s="26">
        <f>资产资本表!W70</f>
        <v>3051722310.3200006</v>
      </c>
      <c r="X10" s="26">
        <f>资产资本表!X70</f>
        <v>2701906837.1200004</v>
      </c>
      <c r="Y10" s="26">
        <f>资产资本表!Y70</f>
        <v>2444711861.9499998</v>
      </c>
      <c r="Z10" s="26">
        <f>资产资本表!Z70</f>
        <v>2228592678.3900003</v>
      </c>
      <c r="AA10" s="26">
        <f>资产资本表!AA70</f>
        <v>1910112979.8800004</v>
      </c>
      <c r="AB10" s="26">
        <f>资产资本表!AB70</f>
        <v>1554892158.2400002</v>
      </c>
      <c r="AC10" s="26">
        <f>资产资本表!AC70</f>
        <v>1462106722.53</v>
      </c>
      <c r="AD10" s="26">
        <f>资产资本表!AD70</f>
        <v>1291061639.3899999</v>
      </c>
      <c r="AE10" s="26">
        <f>资产资本表!AE70</f>
        <v>1182057424.1299999</v>
      </c>
      <c r="AF10" s="26">
        <f>资产资本表!AF70</f>
        <v>1037726451.4</v>
      </c>
      <c r="AG10" s="26">
        <f>资产资本表!AG70</f>
        <v>1008662287.9400001</v>
      </c>
      <c r="AH10" s="26">
        <f>资产资本表!AH70</f>
        <v>945417384.95000005</v>
      </c>
      <c r="AI10" s="26">
        <f>资产资本表!AI70</f>
        <v>313692293.25</v>
      </c>
      <c r="AJ10" s="26">
        <f>资产资本表!AJ70</f>
        <v>227005762.91</v>
      </c>
      <c r="AK10" s="26">
        <f>资产资本表!AK70</f>
        <v>142670557.59999999</v>
      </c>
      <c r="AL10" s="26">
        <f>资产资本表!AL70</f>
        <v>59615812.75999999</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1.0291519833889513</v>
      </c>
      <c r="F11" s="63">
        <f t="shared" ref="F11:BQ11" si="3">F4/F10</f>
        <v>0.35355645646326411</v>
      </c>
      <c r="G11" s="63">
        <f t="shared" si="3"/>
        <v>0.403341068807829</v>
      </c>
      <c r="H11" s="63">
        <f t="shared" si="3"/>
        <v>0.4174259026603393</v>
      </c>
      <c r="I11" s="63">
        <f t="shared" si="3"/>
        <v>0.56380480986915893</v>
      </c>
      <c r="J11" s="63">
        <f t="shared" si="3"/>
        <v>0.5298352139201985</v>
      </c>
      <c r="K11" s="63">
        <f t="shared" si="3"/>
        <v>0.70807771401078445</v>
      </c>
      <c r="L11" s="63">
        <f t="shared" si="3"/>
        <v>0.6039244782009936</v>
      </c>
      <c r="M11" s="63">
        <f t="shared" si="3"/>
        <v>0.66560923323522359</v>
      </c>
      <c r="N11" s="63">
        <f t="shared" si="3"/>
        <v>0.67227128052245033</v>
      </c>
      <c r="O11" s="63">
        <f t="shared" si="3"/>
        <v>0.58380550952178056</v>
      </c>
      <c r="P11" s="63">
        <f t="shared" si="3"/>
        <v>0.54682892022661733</v>
      </c>
      <c r="Q11" s="63">
        <f t="shared" si="3"/>
        <v>0.46381284713270349</v>
      </c>
      <c r="R11" s="63">
        <f t="shared" si="3"/>
        <v>0.3755215491910473</v>
      </c>
      <c r="S11" s="63">
        <f t="shared" si="3"/>
        <v>0.38207939894034126</v>
      </c>
      <c r="T11" s="63">
        <f t="shared" si="3"/>
        <v>0.46657410761148255</v>
      </c>
      <c r="U11" s="63">
        <f t="shared" si="3"/>
        <v>0.45170661335333634</v>
      </c>
      <c r="V11" s="63">
        <f t="shared" si="3"/>
        <v>0.39426118287391648</v>
      </c>
      <c r="W11" s="63">
        <f t="shared" si="3"/>
        <v>0.47628533478119389</v>
      </c>
      <c r="X11" s="63">
        <f t="shared" si="3"/>
        <v>0.5022231267886359</v>
      </c>
      <c r="Y11" s="63">
        <f t="shared" si="3"/>
        <v>0.47910947779577451</v>
      </c>
      <c r="Z11" s="63">
        <f t="shared" si="3"/>
        <v>0.45702774548546693</v>
      </c>
      <c r="AA11" s="63">
        <f t="shared" si="3"/>
        <v>0.4057808460987965</v>
      </c>
      <c r="AB11" s="63">
        <f t="shared" si="3"/>
        <v>0.28619348142040951</v>
      </c>
      <c r="AC11" s="63">
        <f t="shared" si="3"/>
        <v>0.27699756369302247</v>
      </c>
      <c r="AD11" s="63">
        <f t="shared" si="3"/>
        <v>0.21687577994517307</v>
      </c>
      <c r="AE11" s="63">
        <f t="shared" si="3"/>
        <v>0.16919651779794115</v>
      </c>
      <c r="AF11" s="63">
        <f t="shared" si="3"/>
        <v>6.7455156323289994E-2</v>
      </c>
      <c r="AG11" s="63">
        <f t="shared" si="3"/>
        <v>6.9398847202825062E-2</v>
      </c>
      <c r="AH11" s="63">
        <f t="shared" si="3"/>
        <v>2.7850455596807669E-2</v>
      </c>
      <c r="AI11" s="63">
        <f t="shared" si="3"/>
        <v>0.30443846423695969</v>
      </c>
      <c r="AJ11" s="63">
        <f t="shared" si="3"/>
        <v>0.17620698033053298</v>
      </c>
      <c r="AK11" s="63">
        <f t="shared" si="3"/>
        <v>0</v>
      </c>
      <c r="AL11" s="63">
        <f t="shared" si="3"/>
        <v>0</v>
      </c>
      <c r="AM11" s="63" t="e">
        <f t="shared" si="3"/>
        <v>#DIV/0!</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-8.7240874178159483E-2</v>
      </c>
      <c r="F12" s="63">
        <f t="shared" ref="F12:BQ12" si="4">F8/F10</f>
        <v>0.63821484671430839</v>
      </c>
      <c r="G12" s="63">
        <f t="shared" si="4"/>
        <v>0.58845850770901909</v>
      </c>
      <c r="H12" s="63">
        <f t="shared" si="4"/>
        <v>0.57134660855833863</v>
      </c>
      <c r="I12" s="63">
        <f t="shared" si="4"/>
        <v>0.4188144361446246</v>
      </c>
      <c r="J12" s="63">
        <f t="shared" si="4"/>
        <v>0.45373584038792231</v>
      </c>
      <c r="K12" s="63">
        <f t="shared" si="4"/>
        <v>0.28088230509695661</v>
      </c>
      <c r="L12" s="63">
        <f t="shared" si="4"/>
        <v>0.39607552179900651</v>
      </c>
      <c r="M12" s="63">
        <f t="shared" si="4"/>
        <v>0.33439076676477641</v>
      </c>
      <c r="N12" s="63">
        <f t="shared" si="4"/>
        <v>0.32772871947754961</v>
      </c>
      <c r="O12" s="63">
        <f t="shared" si="4"/>
        <v>0.41282896341830827</v>
      </c>
      <c r="P12" s="63">
        <f t="shared" si="4"/>
        <v>0.45168666837460536</v>
      </c>
      <c r="Q12" s="63">
        <f t="shared" si="4"/>
        <v>0.53440995790619161</v>
      </c>
      <c r="R12" s="63">
        <f t="shared" si="4"/>
        <v>0.62155663918676052</v>
      </c>
      <c r="S12" s="63">
        <f t="shared" si="4"/>
        <v>0.61494767277868201</v>
      </c>
      <c r="T12" s="63">
        <f t="shared" si="4"/>
        <v>0.53342589238851745</v>
      </c>
      <c r="U12" s="63">
        <f t="shared" si="4"/>
        <v>0.54829338664666361</v>
      </c>
      <c r="V12" s="63">
        <f t="shared" si="4"/>
        <v>0.6016458820074313</v>
      </c>
      <c r="W12" s="63">
        <f t="shared" si="4"/>
        <v>0.51928049487367345</v>
      </c>
      <c r="X12" s="63">
        <f t="shared" si="4"/>
        <v>0.49777687321136399</v>
      </c>
      <c r="Y12" s="63">
        <f t="shared" si="4"/>
        <v>0.52089052220422549</v>
      </c>
      <c r="Z12" s="63">
        <f t="shared" si="4"/>
        <v>0.54297225451453301</v>
      </c>
      <c r="AA12" s="63">
        <f t="shared" si="4"/>
        <v>0.59421915390120328</v>
      </c>
      <c r="AB12" s="63">
        <f t="shared" si="4"/>
        <v>0.71380651857959032</v>
      </c>
      <c r="AC12" s="63">
        <f t="shared" si="4"/>
        <v>0.72300243630697758</v>
      </c>
      <c r="AD12" s="63">
        <f t="shared" si="4"/>
        <v>0.78312422005482707</v>
      </c>
      <c r="AE12" s="63">
        <f t="shared" si="4"/>
        <v>0.83080348220205891</v>
      </c>
      <c r="AF12" s="63">
        <f t="shared" si="4"/>
        <v>0.93254484367670998</v>
      </c>
      <c r="AG12" s="63">
        <f t="shared" si="4"/>
        <v>0.93060115279717492</v>
      </c>
      <c r="AH12" s="63">
        <f t="shared" si="4"/>
        <v>0.97214954440319223</v>
      </c>
      <c r="AI12" s="63">
        <f t="shared" si="4"/>
        <v>0.69556153576304025</v>
      </c>
      <c r="AJ12" s="63">
        <f t="shared" si="4"/>
        <v>0.82379301966946705</v>
      </c>
      <c r="AK12" s="63">
        <f t="shared" si="4"/>
        <v>1</v>
      </c>
      <c r="AL12" s="63">
        <f t="shared" si="4"/>
        <v>1.0000000000000002</v>
      </c>
      <c r="AM12" s="63" t="e">
        <f t="shared" si="4"/>
        <v>#DIV/0!</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6.9810647408657472E-2</v>
      </c>
      <c r="F13" s="63">
        <f t="shared" ref="F13:J13" si="5">F5*F11*(1-F6)+F9*F12</f>
        <v>5.1057187737144676E-2</v>
      </c>
      <c r="G13" s="63">
        <f t="shared" si="5"/>
        <v>4.7076680616721531E-2</v>
      </c>
      <c r="H13" s="63">
        <f t="shared" si="5"/>
        <v>4.570772868466709E-2</v>
      </c>
      <c r="I13" s="63">
        <f t="shared" si="5"/>
        <v>5.4982456649438516E-2</v>
      </c>
      <c r="J13" s="63">
        <f t="shared" si="5"/>
        <v>3.6298867231033788E-2</v>
      </c>
      <c r="K13" s="63">
        <f t="shared" ref="K13" si="6">K5*K11*(1-K6)+K9*K12</f>
        <v>2.2470584407756528E-2</v>
      </c>
      <c r="L13" s="63">
        <f t="shared" ref="L13" si="7">L5*L11*(1-L6)+L9*L12</f>
        <v>3.1686041743920521E-2</v>
      </c>
      <c r="M13" s="63">
        <f t="shared" ref="M13" si="8">M5*M11*(1-M6)+M9*M12</f>
        <v>0.13147761020763898</v>
      </c>
      <c r="N13" s="63">
        <f t="shared" ref="N13:O13" si="9">N5*N11*(1-N6)+N9*N12</f>
        <v>2.6218297558203971E-2</v>
      </c>
      <c r="O13" s="63">
        <f t="shared" si="9"/>
        <v>3.3026317073464664E-2</v>
      </c>
      <c r="P13" s="63">
        <f t="shared" ref="P13" si="10">P5*P11*(1-P6)+P9*P12</f>
        <v>3.6134933469968426E-2</v>
      </c>
      <c r="Q13" s="63">
        <f t="shared" ref="Q13" si="11">Q5*Q11*(1-Q6)+Q9*Q12</f>
        <v>9.7463593319197669E-2</v>
      </c>
      <c r="R13" s="63">
        <f t="shared" ref="R13" si="12">R5*R11*(1-R6)+R9*R12</f>
        <v>4.9724531134940846E-2</v>
      </c>
      <c r="S13" s="63">
        <f t="shared" ref="S13:T13" si="13">S5*S11*(1-S6)+S9*S12</f>
        <v>4.9195813822294564E-2</v>
      </c>
      <c r="T13" s="63">
        <f t="shared" si="13"/>
        <v>4.2674071391081397E-2</v>
      </c>
      <c r="U13" s="63">
        <f t="shared" ref="U13" si="14">U5*U11*(1-U6)+U9*U12</f>
        <v>7.7751391504159051E-2</v>
      </c>
      <c r="V13" s="63">
        <f t="shared" ref="V13" si="15">V5*V11*(1-V6)+V9*V12</f>
        <v>4.8131670560594503E-2</v>
      </c>
      <c r="W13" s="63">
        <f t="shared" ref="W13" si="16">W5*W11*(1-W6)+W9*W12</f>
        <v>4.1542439589893877E-2</v>
      </c>
      <c r="X13" s="63">
        <f t="shared" ref="X13:Y13" si="17">X5*X11*(1-X6)+X9*X12</f>
        <v>3.9822149856909121E-2</v>
      </c>
      <c r="Y13" s="63">
        <f t="shared" si="17"/>
        <v>7.1236847764358999E-2</v>
      </c>
      <c r="Z13" s="63">
        <f t="shared" ref="Z13" si="18">Z5*Z11*(1-Z6)+Z9*Z12</f>
        <v>4.3437780361162644E-2</v>
      </c>
      <c r="AA13" s="63">
        <f t="shared" ref="AA13" si="19">AA5*AA11*(1-AA6)+AA9*AA12</f>
        <v>4.7537532312096266E-2</v>
      </c>
      <c r="AB13" s="63">
        <f t="shared" ref="AB13" si="20">AB5*AB11*(1-AB6)+AB9*AB12</f>
        <v>5.710452148636723E-2</v>
      </c>
      <c r="AC13" s="63">
        <f t="shared" ref="AC13:AD13" si="21">AC5*AC11*(1-AC6)+AC9*AC12</f>
        <v>6.9619534194727203E-2</v>
      </c>
      <c r="AD13" s="63">
        <f t="shared" si="21"/>
        <v>6.2649937604386169E-2</v>
      </c>
      <c r="AE13" s="63">
        <f t="shared" ref="AE13" si="22">AE5*AE11*(1-AE6)+AE9*AE12</f>
        <v>6.6464278576164715E-2</v>
      </c>
      <c r="AF13" s="63">
        <f t="shared" ref="AF13" si="23">AF5*AF11*(1-AF6)+AF9*AF12</f>
        <v>7.46035874941368E-2</v>
      </c>
      <c r="AG13" s="63">
        <f t="shared" ref="AG13" si="24">AG5*AG11*(1-AG6)+AG9*AG12</f>
        <v>8.2955402806490608E-2</v>
      </c>
      <c r="AH13" s="63">
        <f t="shared" ref="AH13:AI13" si="25">AH5*AH11*(1-AH6)+AH9*AH12</f>
        <v>7.777196355225538E-2</v>
      </c>
      <c r="AI13" s="63">
        <f t="shared" si="25"/>
        <v>5.5644922861043222E-2</v>
      </c>
      <c r="AJ13" s="63">
        <f t="shared" ref="AJ13" si="26">AJ5*AJ11*(1-AJ6)+AJ9*AJ12</f>
        <v>6.5903441573557361E-2</v>
      </c>
      <c r="AK13" s="63">
        <f t="shared" ref="AK13" si="27">AK5*AK11*(1-AK6)+AK9*AK12</f>
        <v>0.08</v>
      </c>
      <c r="AL13" s="63">
        <f t="shared" ref="AL13" si="28">AL5*AL11*(1-AL6)+AL9*AL12</f>
        <v>8.0000000000000016E-2</v>
      </c>
      <c r="AM13" s="63" t="e">
        <f t="shared" ref="AM13:AN13" si="29">AM5*AM11*(1-AM6)+AM9*AM12</f>
        <v>#DIV/0!</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667</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2.6640625" hidden="1" customWidth="1"/>
    <col min="9" max="9" width="22.6640625" bestFit="1" customWidth="1"/>
    <col min="10" max="12" width="22.6640625" hidden="1" customWidth="1"/>
    <col min="13" max="13" width="22.6640625" bestFit="1" customWidth="1"/>
    <col min="14" max="14" width="22.6640625" hidden="1" customWidth="1"/>
    <col min="15"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5" width="19" hidden="1" customWidth="1"/>
    <col min="36" max="37" width="19" bestFit="1" customWidth="1"/>
    <col min="38" max="38" width="17.77734375" bestFit="1" customWidth="1"/>
    <col min="39" max="39" width="9.5546875" hidden="1" customWidth="1"/>
    <col min="40" max="90" width="8.5546875" bestFit="1" customWidth="1"/>
  </cols>
  <sheetData>
    <row r="1" spans="1:90" s="26" customFormat="1" x14ac:dyDescent="0.25">
      <c r="A1" s="17">
        <v>300104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40178</v>
      </c>
      <c r="AK1" s="1">
        <v>39813</v>
      </c>
      <c r="AL1" s="1">
        <v>39447</v>
      </c>
      <c r="AM1" s="1">
        <v>25569</v>
      </c>
      <c r="AN1" s="189"/>
      <c r="AO1" s="189"/>
      <c r="AP1" s="189"/>
      <c r="AQ1" s="189"/>
      <c r="AR1" s="189"/>
      <c r="AS1" s="189"/>
      <c r="AT1" s="189"/>
      <c r="AU1" s="189"/>
      <c r="AV1" s="189"/>
      <c r="AW1" s="189"/>
      <c r="AX1" s="189"/>
      <c r="AY1" s="189"/>
      <c r="AZ1" s="189"/>
      <c r="BA1" s="189"/>
      <c r="BB1" s="189"/>
      <c r="BC1" s="189"/>
      <c r="BD1" s="189"/>
      <c r="BE1" s="189"/>
      <c r="BF1" s="189"/>
      <c r="BG1" s="189"/>
      <c r="BH1" s="189"/>
      <c r="BI1" s="189"/>
      <c r="BJ1" s="189"/>
      <c r="BK1" s="189"/>
      <c r="BL1" s="189"/>
      <c r="BM1" s="189"/>
      <c r="BN1" s="189"/>
      <c r="BO1" s="189"/>
      <c r="BP1" s="189"/>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s="26" customFormat="1" x14ac:dyDescent="0.25">
      <c r="A2" s="41" t="s">
        <v>551</v>
      </c>
      <c r="E2" s="26">
        <f>资产资本表!E17</f>
        <v>1733731034.9100001</v>
      </c>
      <c r="F2" s="26">
        <f>资产资本表!F17</f>
        <v>3299446356.0100002</v>
      </c>
      <c r="G2" s="26">
        <f>资产资本表!G17</f>
        <v>5441305129.0899992</v>
      </c>
      <c r="H2" s="26">
        <f>资产资本表!H17</f>
        <v>5962901748.71</v>
      </c>
      <c r="I2" s="26">
        <f>资产资本表!I17</f>
        <v>6091927356.1699991</v>
      </c>
      <c r="J2" s="26">
        <f>资产资本表!J17</f>
        <v>7562822655.7300005</v>
      </c>
      <c r="K2" s="26">
        <f>资产资本表!K17</f>
        <v>6532309828.4700012</v>
      </c>
      <c r="L2" s="26">
        <f>资产资本表!L17</f>
        <v>2808231990.5700002</v>
      </c>
      <c r="M2" s="26">
        <f>资产资本表!M17</f>
        <v>2889307902.3699999</v>
      </c>
      <c r="N2" s="26">
        <f>资产资本表!N17</f>
        <v>3413136644.77</v>
      </c>
      <c r="O2" s="26">
        <f>资产资本表!O17</f>
        <v>1232837644.6799998</v>
      </c>
      <c r="P2" s="26">
        <f>资产资本表!P17</f>
        <v>737402890.25</v>
      </c>
      <c r="Q2" s="26">
        <f>资产资本表!Q17</f>
        <v>519850156.29000002</v>
      </c>
      <c r="R2" s="26">
        <f>资产资本表!R17</f>
        <v>420605212.93000001</v>
      </c>
      <c r="S2" s="26">
        <f>资产资本表!S17</f>
        <v>1028350168.02</v>
      </c>
      <c r="T2" s="26">
        <f>资产资本表!T17</f>
        <v>892475943.33000004</v>
      </c>
      <c r="U2" s="26">
        <f>资产资本表!U17</f>
        <v>608218105.28999996</v>
      </c>
      <c r="V2" s="26">
        <f>资产资本表!V17</f>
        <v>514951299.14999998</v>
      </c>
      <c r="W2" s="26">
        <f>资产资本表!W17</f>
        <v>220208941.77000001</v>
      </c>
      <c r="X2" s="26">
        <f>资产资本表!X17</f>
        <v>311140576.07999998</v>
      </c>
      <c r="Y2" s="26">
        <f>资产资本表!Y17</f>
        <v>193520396.46000001</v>
      </c>
      <c r="Z2" s="26">
        <f>资产资本表!Z17</f>
        <v>235316894.03999999</v>
      </c>
      <c r="AA2" s="26">
        <f>资产资本表!AA17</f>
        <v>236059277.34</v>
      </c>
      <c r="AB2" s="26">
        <f>资产资本表!AB17</f>
        <v>102103605.79000001</v>
      </c>
      <c r="AC2" s="26">
        <f>资产资本表!AC17</f>
        <v>133398455.5</v>
      </c>
      <c r="AD2" s="26">
        <f>资产资本表!AD17</f>
        <v>111085605.84</v>
      </c>
      <c r="AE2" s="26">
        <f>资产资本表!AE17</f>
        <v>314833518.51999998</v>
      </c>
      <c r="AF2" s="26">
        <f>资产资本表!AF17</f>
        <v>374656051.39999998</v>
      </c>
      <c r="AG2" s="26">
        <f>资产资本表!AG17</f>
        <v>543353279.10000002</v>
      </c>
      <c r="AH2" s="26">
        <f>资产资本表!AH17</f>
        <v>566092532.38999999</v>
      </c>
      <c r="AI2" s="26">
        <f>资产资本表!AI17</f>
        <v>20506299.109999999</v>
      </c>
      <c r="AJ2" s="26">
        <f>资产资本表!AJ17</f>
        <v>33561197.539999999</v>
      </c>
      <c r="AK2" s="26">
        <f>资产资本表!AK17</f>
        <v>39065039.079999998</v>
      </c>
      <c r="AL2" s="26">
        <f>资产资本表!AL17</f>
        <v>1656390.72</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2089964469.5799999</v>
      </c>
      <c r="F3" s="26">
        <f>资产资本表!F19</f>
        <v>2054173290.46</v>
      </c>
      <c r="G3" s="26">
        <f>资产资本表!G19</f>
        <v>2048530442.8599999</v>
      </c>
      <c r="H3" s="26">
        <f>资产资本表!H19</f>
        <v>2073200290.8199999</v>
      </c>
      <c r="I3" s="26">
        <f>资产资本表!I19</f>
        <v>2070302115.5899999</v>
      </c>
      <c r="J3" s="26">
        <f>资产资本表!J19</f>
        <v>1984954891.5</v>
      </c>
      <c r="K3" s="26">
        <f>资产资本表!K19</f>
        <v>1963104979.0799999</v>
      </c>
      <c r="L3" s="26">
        <f>资产资本表!L19</f>
        <v>14045233.25</v>
      </c>
      <c r="M3" s="26">
        <f>资产资本表!M19</f>
        <v>10045254.039999999</v>
      </c>
      <c r="N3" s="26">
        <f>资产资本表!N19</f>
        <v>0</v>
      </c>
      <c r="O3" s="26">
        <f>资产资本表!O19</f>
        <v>0</v>
      </c>
      <c r="P3" s="26">
        <f>资产资本表!P19</f>
        <v>0</v>
      </c>
      <c r="Q3" s="26">
        <f>资产资本表!Q19</f>
        <v>0</v>
      </c>
      <c r="R3" s="26">
        <f>资产资本表!R19</f>
        <v>20000000</v>
      </c>
      <c r="S3" s="26">
        <f>资产资本表!S19</f>
        <v>20000000</v>
      </c>
      <c r="T3" s="26">
        <f>资产资本表!T19</f>
        <v>20289633.550000001</v>
      </c>
      <c r="U3" s="26">
        <f>资产资本表!U19</f>
        <v>20318733.870000001</v>
      </c>
      <c r="V3" s="26">
        <f>资产资本表!V19</f>
        <v>20328863.57</v>
      </c>
      <c r="W3" s="26">
        <f>资产资本表!W19</f>
        <v>20328863.57</v>
      </c>
      <c r="X3" s="26">
        <f>资产资本表!X19</f>
        <v>20000000</v>
      </c>
      <c r="Y3" s="26">
        <f>资产资本表!Y19</f>
        <v>20000000</v>
      </c>
      <c r="Z3" s="26">
        <f>资产资本表!Z19</f>
        <v>20000000</v>
      </c>
      <c r="AA3" s="26">
        <f>资产资本表!AA19</f>
        <v>20000000</v>
      </c>
      <c r="AB3" s="26">
        <f>资产资本表!AB19</f>
        <v>20000000</v>
      </c>
      <c r="AC3" s="26">
        <f>资产资本表!AC19</f>
        <v>20000000</v>
      </c>
      <c r="AD3" s="26">
        <f>资产资本表!AD19</f>
        <v>22000000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-3218419675.6800003</v>
      </c>
      <c r="F4" s="26">
        <f>资产资本表!F50</f>
        <v>4269703297.539999</v>
      </c>
      <c r="G4" s="26">
        <f>资产资本表!G50</f>
        <v>7023949406.7399979</v>
      </c>
      <c r="H4" s="26">
        <f>资产资本表!H50</f>
        <v>4775535602.9500008</v>
      </c>
      <c r="I4" s="26">
        <f>资产资本表!I50</f>
        <v>4978322010.2600002</v>
      </c>
      <c r="J4" s="26">
        <f>资产资本表!J50</f>
        <v>1470606839.9800005</v>
      </c>
      <c r="K4" s="26">
        <f>资产资本表!K50</f>
        <v>507291172.77999973</v>
      </c>
      <c r="L4" s="26">
        <f>资产资本表!L50</f>
        <v>1369393720.9700003</v>
      </c>
      <c r="M4" s="26">
        <f>资产资本表!M50</f>
        <v>815562796.35000134</v>
      </c>
      <c r="N4" s="26">
        <f>资产资本表!N50</f>
        <v>791791807.80999994</v>
      </c>
      <c r="O4" s="26">
        <f>资产资本表!O50</f>
        <v>1255525289.0800009</v>
      </c>
      <c r="P4" s="26">
        <f>资产资本表!P50</f>
        <v>1186117318.750001</v>
      </c>
      <c r="Q4" s="26">
        <f>资产资本表!Q50</f>
        <v>490388035.53000021</v>
      </c>
      <c r="R4" s="26">
        <f>资产资本表!R50</f>
        <v>75226870.349999905</v>
      </c>
      <c r="S4" s="26">
        <f>资产资本表!S50</f>
        <v>-150786682.11999989</v>
      </c>
      <c r="T4" s="26">
        <f>资产资本表!T50</f>
        <v>65052220.150000334</v>
      </c>
      <c r="U4" s="26">
        <f>资产资本表!U50</f>
        <v>250528494.91000032</v>
      </c>
      <c r="V4" s="26">
        <f>资产资本表!V50</f>
        <v>232293231.31000018</v>
      </c>
      <c r="W4" s="26">
        <f>资产资本表!W50</f>
        <v>393481439.77999997</v>
      </c>
      <c r="X4" s="26">
        <f>资产资本表!X50</f>
        <v>240581268.05000019</v>
      </c>
      <c r="Y4" s="26">
        <f>资产资本表!Y50</f>
        <v>241448202.42000002</v>
      </c>
      <c r="Z4" s="26">
        <f>资产资本表!Z50</f>
        <v>264368770.63999993</v>
      </c>
      <c r="AA4" s="26">
        <f>资产资本表!AA50</f>
        <v>115666694.90999997</v>
      </c>
      <c r="AB4" s="26">
        <f>资产资本表!AB50</f>
        <v>90877424.750000119</v>
      </c>
      <c r="AC4" s="26">
        <f>资产资本表!AC50</f>
        <v>218053511.94999999</v>
      </c>
      <c r="AD4" s="26">
        <f>资产资本表!AD50</f>
        <v>474627193.89000005</v>
      </c>
      <c r="AE4" s="26">
        <f>资产资本表!AE50</f>
        <v>375108619.38999999</v>
      </c>
      <c r="AF4" s="26">
        <f>资产资本表!AF50</f>
        <v>257279622.94999999</v>
      </c>
      <c r="AG4" s="26">
        <f>资产资本表!AG50</f>
        <v>107350944.02000001</v>
      </c>
      <c r="AH4" s="26">
        <f>资产资本表!AH50</f>
        <v>110122788.83000001</v>
      </c>
      <c r="AI4" s="26">
        <f>资产资本表!AI50</f>
        <v>66455117.909999996</v>
      </c>
      <c r="AJ4" s="26">
        <f>资产资本表!AJ50</f>
        <v>23632056.580000002</v>
      </c>
      <c r="AK4" s="26">
        <f>资产资本表!AK50</f>
        <v>40927825.619999997</v>
      </c>
      <c r="AL4" s="26">
        <f>资产资本表!AL50</f>
        <v>4943295.12</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7036556845.5900002</v>
      </c>
      <c r="F5" s="26">
        <f>资产资本表!F33</f>
        <v>13246522747.049999</v>
      </c>
      <c r="G5" s="26">
        <f>资产资本表!G33</f>
        <v>14908331890.849998</v>
      </c>
      <c r="H5" s="26">
        <f>资产资本表!H33</f>
        <v>12456635301.210001</v>
      </c>
      <c r="I5" s="26">
        <f>资产资本表!I33</f>
        <v>12181909968.060001</v>
      </c>
      <c r="J5" s="26">
        <f>资产资本表!J33</f>
        <v>8519677890.8900003</v>
      </c>
      <c r="K5" s="26">
        <f>资产资本表!K33</f>
        <v>7367537621.54</v>
      </c>
      <c r="L5" s="26">
        <f>资产资本表!L33</f>
        <v>6748315905.8100004</v>
      </c>
      <c r="M5" s="26">
        <f>资产资本表!M33</f>
        <v>6382018092.8000002</v>
      </c>
      <c r="N5" s="26">
        <f>资产资本表!N33</f>
        <v>4617720863.6099997</v>
      </c>
      <c r="O5" s="26">
        <f>资产资本表!O33</f>
        <v>4029027442.0900006</v>
      </c>
      <c r="P5" s="26">
        <f>资产资本表!P33</f>
        <v>3692693758.9400005</v>
      </c>
      <c r="Q5" s="26">
        <f>资产资本表!Q33</f>
        <v>3085028244.5900002</v>
      </c>
      <c r="R5" s="26">
        <f>资产资本表!R33</f>
        <v>3010873740.6799998</v>
      </c>
      <c r="S5" s="26">
        <f>资产资本表!S33</f>
        <v>2759761108.02</v>
      </c>
      <c r="T5" s="26">
        <f>资产资本表!T33</f>
        <v>1974609461.01</v>
      </c>
      <c r="U5" s="26">
        <f>资产资本表!U33</f>
        <v>1478128979.7200003</v>
      </c>
      <c r="V5" s="26">
        <f>资产资本表!V33</f>
        <v>1235853323.1200001</v>
      </c>
      <c r="W5" s="26">
        <f>资产资本表!W33</f>
        <v>946948502.44000006</v>
      </c>
      <c r="X5" s="26">
        <f>资产资本表!X33</f>
        <v>950570642.20000017</v>
      </c>
      <c r="Y5" s="26">
        <f>资产资本表!Y33</f>
        <v>697885872.50999999</v>
      </c>
      <c r="Z5" s="26">
        <f>资产资本表!Z33</f>
        <v>725255425.94999993</v>
      </c>
      <c r="AA5" s="26">
        <f>资产资本表!AA33</f>
        <v>560450288.03999996</v>
      </c>
      <c r="AB5" s="26">
        <f>资产资本表!AB33</f>
        <v>555335645.6400001</v>
      </c>
      <c r="AC5" s="26">
        <f>资产资本表!AC33</f>
        <v>530333882.78999996</v>
      </c>
      <c r="AD5" s="26">
        <f>资产资本表!AD33</f>
        <v>607701639.94000006</v>
      </c>
      <c r="AE5" s="26">
        <f>资产资本表!AE33</f>
        <v>448102568.86000001</v>
      </c>
      <c r="AF5" s="26">
        <f>资产资本表!AF33</f>
        <v>306387928.00999999</v>
      </c>
      <c r="AG5" s="26">
        <f>资产资本表!AG33</f>
        <v>130309713.29000002</v>
      </c>
      <c r="AH5" s="26">
        <f>资产资本表!AH33</f>
        <v>129805325.60000001</v>
      </c>
      <c r="AI5" s="26">
        <f>资产资本表!AI33</f>
        <v>81825728.329999998</v>
      </c>
      <c r="AJ5" s="26">
        <f>资产资本表!AJ33</f>
        <v>33135612.240000002</v>
      </c>
      <c r="AK5" s="26">
        <f>资产资本表!AK33</f>
        <v>46418478.509999998</v>
      </c>
      <c r="AL5" s="26">
        <f>资产资本表!AL33</f>
        <v>9664938.5999999996</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10254976521.27</v>
      </c>
      <c r="F6" s="26">
        <f>资产资本表!F49</f>
        <v>8976819449.5100002</v>
      </c>
      <c r="G6" s="26">
        <f>资产资本表!G49</f>
        <v>7884382484.1100006</v>
      </c>
      <c r="H6" s="26">
        <f>资产资本表!H49</f>
        <v>7681099698.2600002</v>
      </c>
      <c r="I6" s="26">
        <f>资产资本表!I49</f>
        <v>7203587957.8000011</v>
      </c>
      <c r="J6" s="26">
        <f>资产资本表!J49</f>
        <v>7049071050.9099998</v>
      </c>
      <c r="K6" s="26">
        <f>资产资本表!K49</f>
        <v>6860246448.7600002</v>
      </c>
      <c r="L6" s="26">
        <f>资产资本表!L49</f>
        <v>5378922184.8400002</v>
      </c>
      <c r="M6" s="26">
        <f>资产资本表!M49</f>
        <v>5566455296.4499989</v>
      </c>
      <c r="N6" s="26">
        <f>资产资本表!N49</f>
        <v>3825929055.7999997</v>
      </c>
      <c r="O6" s="26">
        <f>资产资本表!O49</f>
        <v>2773502153.0099998</v>
      </c>
      <c r="P6" s="26">
        <f>资产资本表!P49</f>
        <v>2506576440.1899996</v>
      </c>
      <c r="Q6" s="26">
        <f>资产资本表!Q49</f>
        <v>2594640209.0599999</v>
      </c>
      <c r="R6" s="26">
        <f>资产资本表!R49</f>
        <v>2935646870.3299999</v>
      </c>
      <c r="S6" s="26">
        <f>资产资本表!S49</f>
        <v>2910547790.1399999</v>
      </c>
      <c r="T6" s="26">
        <f>资产资本表!T49</f>
        <v>1909557240.8599997</v>
      </c>
      <c r="U6" s="26">
        <f>资产资本表!U49</f>
        <v>1227600484.8099999</v>
      </c>
      <c r="V6" s="26">
        <f>资产资本表!V49</f>
        <v>1003560091.8099999</v>
      </c>
      <c r="W6" s="26">
        <f>资产资本表!W49</f>
        <v>553467062.66000009</v>
      </c>
      <c r="X6" s="26">
        <f>资产资本表!X49</f>
        <v>709989374.14999998</v>
      </c>
      <c r="Y6" s="26">
        <f>资产资本表!Y49</f>
        <v>456437670.08999997</v>
      </c>
      <c r="Z6" s="26">
        <f>资产资本表!Z49</f>
        <v>460886655.31</v>
      </c>
      <c r="AA6" s="26">
        <f>资产资本表!AA49</f>
        <v>444783593.13</v>
      </c>
      <c r="AB6" s="26">
        <f>资产资本表!AB49</f>
        <v>464458220.88999999</v>
      </c>
      <c r="AC6" s="26">
        <f>资产资本表!AC49</f>
        <v>312280370.83999997</v>
      </c>
      <c r="AD6" s="26">
        <f>资产资本表!AD49</f>
        <v>133074446.05</v>
      </c>
      <c r="AE6" s="26">
        <f>资产资本表!AE49</f>
        <v>72993949.469999999</v>
      </c>
      <c r="AF6" s="26">
        <f>资产资本表!AF49</f>
        <v>49108305.060000002</v>
      </c>
      <c r="AG6" s="26">
        <f>资产资本表!AG49</f>
        <v>22958769.270000003</v>
      </c>
      <c r="AH6" s="26">
        <f>资产资本表!AH49</f>
        <v>19682536.77</v>
      </c>
      <c r="AI6" s="26">
        <f>资产资本表!AI49</f>
        <v>15370610.42</v>
      </c>
      <c r="AJ6" s="26">
        <f>资产资本表!AJ49</f>
        <v>9503555.6600000001</v>
      </c>
      <c r="AK6" s="26">
        <f>资产资本表!AK49</f>
        <v>5490652.8899999997</v>
      </c>
      <c r="AL6" s="26">
        <f>资产资本表!AL49</f>
        <v>4721643.4799999995</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7034358934.5799999</v>
      </c>
      <c r="F7" s="26">
        <f>资产资本表!F68</f>
        <v>13684882235.849998</v>
      </c>
      <c r="G7" s="26">
        <f>资产资本表!G68</f>
        <v>13341715834.080002</v>
      </c>
      <c r="H7" s="26">
        <f>资产资本表!H68</f>
        <v>13087110391.340002</v>
      </c>
      <c r="I7" s="26">
        <f>资产资本表!I68</f>
        <v>11886648716.83</v>
      </c>
      <c r="J7" s="26">
        <f>资产资本表!J68</f>
        <v>10793313132.559998</v>
      </c>
      <c r="K7" s="26">
        <f>资产资本表!K68</f>
        <v>8980404311.0300007</v>
      </c>
      <c r="L7" s="26">
        <f>资产资本表!L68</f>
        <v>8270099738.9199991</v>
      </c>
      <c r="M7" s="26">
        <f>资产资本表!M68</f>
        <v>7694293447.9699984</v>
      </c>
      <c r="N7" s="26">
        <f>资产资本表!N68</f>
        <v>6741437964.8000002</v>
      </c>
      <c r="O7" s="26">
        <f>资产资本表!O68</f>
        <v>5972094695.3500004</v>
      </c>
      <c r="P7" s="26">
        <f>资产资本表!P68</f>
        <v>5566864477.5900002</v>
      </c>
      <c r="Q7" s="26">
        <f>资产资本表!Q68</f>
        <v>5246144846.25</v>
      </c>
      <c r="R7" s="26">
        <f>资产资本表!R68</f>
        <v>4586965197.2700005</v>
      </c>
      <c r="S7" s="26">
        <f>资产资本表!S68</f>
        <v>4152086072.1000004</v>
      </c>
      <c r="T7" s="26">
        <f>资产资本表!T68</f>
        <v>3067887840.1799998</v>
      </c>
      <c r="U7" s="26">
        <f>资产资本表!U68</f>
        <v>2913659147.3400002</v>
      </c>
      <c r="V7" s="26">
        <f>资产资本表!V68</f>
        <v>2538576392.79</v>
      </c>
      <c r="W7" s="26">
        <f>资产资本表!W68</f>
        <v>2417703065.2000003</v>
      </c>
      <c r="X7" s="26">
        <f>资产资本表!X68</f>
        <v>2130184992.9900002</v>
      </c>
      <c r="Y7" s="26">
        <f>资产资本表!Y68</f>
        <v>1989743263.0699999</v>
      </c>
      <c r="Z7" s="26">
        <f>资产资本表!Z68</f>
        <v>1708907013.7100003</v>
      </c>
      <c r="AA7" s="26">
        <f>资产资本表!AA68</f>
        <v>1538387007.6300004</v>
      </c>
      <c r="AB7" s="26">
        <f>资产资本表!AB68</f>
        <v>1341911127.7</v>
      </c>
      <c r="AC7" s="26">
        <f>资产资本表!AC68</f>
        <v>1090654755.0799999</v>
      </c>
      <c r="AD7" s="26">
        <f>资产资本表!AD68</f>
        <v>683348839.65999997</v>
      </c>
      <c r="AE7" s="26">
        <f>资产资本表!AE68</f>
        <v>492115286.21999997</v>
      </c>
      <c r="AF7" s="26">
        <f>资产资本表!AF68</f>
        <v>405790777.05000007</v>
      </c>
      <c r="AG7" s="26">
        <f>资产资本表!AG68</f>
        <v>357958064.82000005</v>
      </c>
      <c r="AH7" s="26">
        <f>资产资本表!AH68</f>
        <v>269202063.73000002</v>
      </c>
      <c r="AI7" s="26">
        <f>资产资本表!AI68</f>
        <v>226730876.22999999</v>
      </c>
      <c r="AJ7" s="26">
        <f>资产资本表!AJ68</f>
        <v>169812508.78999999</v>
      </c>
      <c r="AK7" s="26">
        <f>资产资本表!AK68</f>
        <v>62677692.899999999</v>
      </c>
      <c r="AL7" s="26">
        <f>资产资本表!AL68</f>
        <v>53016126.919999994</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3815939258.8999996</v>
      </c>
      <c r="F8" s="26">
        <f>资产资本表!F69</f>
        <v>17954585533.389999</v>
      </c>
      <c r="G8" s="26">
        <f>资产资本表!G69</f>
        <v>20365665240.82</v>
      </c>
      <c r="H8" s="26">
        <f>资产资本表!H69</f>
        <v>17862645994.290001</v>
      </c>
      <c r="I8" s="26">
        <f>资产资本表!I69</f>
        <v>16864970727.09</v>
      </c>
      <c r="J8" s="26">
        <f>资产资本表!J69</f>
        <v>12263919972.539997</v>
      </c>
      <c r="K8" s="26">
        <f>资产资本表!K69</f>
        <v>9487695483.8100014</v>
      </c>
      <c r="L8" s="26">
        <f>资产资本表!L69</f>
        <v>9639493459.8899994</v>
      </c>
      <c r="M8" s="26">
        <f>资产资本表!M69</f>
        <v>8509856244.3199997</v>
      </c>
      <c r="N8" s="26">
        <f>资产资本表!N69</f>
        <v>7533229772.6100006</v>
      </c>
      <c r="O8" s="26">
        <f>资产资本表!O69</f>
        <v>7227619984.4300013</v>
      </c>
      <c r="P8" s="26">
        <f>资产资本表!P69</f>
        <v>6752981796.3400011</v>
      </c>
      <c r="Q8" s="26">
        <f>资产资本表!Q69</f>
        <v>5736532881.7800007</v>
      </c>
      <c r="R8" s="26">
        <f>资产资本表!R69</f>
        <v>4662192067.6200008</v>
      </c>
      <c r="S8" s="26">
        <f>资产资本表!S69</f>
        <v>4001299389.9800005</v>
      </c>
      <c r="T8" s="26">
        <f>资产资本表!T69</f>
        <v>3132940060.3299999</v>
      </c>
      <c r="U8" s="26">
        <f>资产资本表!U69</f>
        <v>3164187642.2500005</v>
      </c>
      <c r="V8" s="26">
        <f>资产资本表!V69</f>
        <v>2770869624.1000004</v>
      </c>
      <c r="W8" s="26">
        <f>资产资本表!W69</f>
        <v>2811184504.9800005</v>
      </c>
      <c r="X8" s="26">
        <f>资产资本表!X69</f>
        <v>2370766261.0400004</v>
      </c>
      <c r="Y8" s="26">
        <f>资产资本表!Y69</f>
        <v>2231191465.4899998</v>
      </c>
      <c r="Z8" s="26">
        <f>资产资本表!Z69</f>
        <v>1973275784.3500001</v>
      </c>
      <c r="AA8" s="26">
        <f>资产资本表!AA69</f>
        <v>1654053702.5400004</v>
      </c>
      <c r="AB8" s="26">
        <f>资产资本表!AB69</f>
        <v>1432788552.4500003</v>
      </c>
      <c r="AC8" s="26">
        <f>资产资本表!AC69</f>
        <v>1308708267.03</v>
      </c>
      <c r="AD8" s="26">
        <f>资产资本表!AD69</f>
        <v>1157976033.55</v>
      </c>
      <c r="AE8" s="26">
        <f>资产资本表!AE69</f>
        <v>867223905.6099999</v>
      </c>
      <c r="AF8" s="26">
        <f>资产资本表!AF69</f>
        <v>663070400</v>
      </c>
      <c r="AG8" s="26">
        <f>资产资本表!AG69</f>
        <v>465309008.84000003</v>
      </c>
      <c r="AH8" s="26">
        <f>资产资本表!AH69</f>
        <v>379324852.56000006</v>
      </c>
      <c r="AI8" s="26">
        <f>资产资本表!AI69</f>
        <v>293185994.13999999</v>
      </c>
      <c r="AJ8" s="26">
        <f>资产资本表!AJ69</f>
        <v>193444565.37</v>
      </c>
      <c r="AK8" s="26">
        <f>资产资本表!AK69</f>
        <v>103605518.52</v>
      </c>
      <c r="AL8" s="26">
        <f>资产资本表!AL69</f>
        <v>57959422.039999992</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7639634763.3899994</v>
      </c>
      <c r="F9" s="48">
        <f>资产资本表!F70</f>
        <v>23308205179.860001</v>
      </c>
      <c r="G9" s="48">
        <f>资产资本表!G70</f>
        <v>27855500812.769997</v>
      </c>
      <c r="H9" s="48">
        <f>资产资本表!H70</f>
        <v>25898748033.82</v>
      </c>
      <c r="I9" s="48">
        <f>资产资本表!I70</f>
        <v>25027200198.849998</v>
      </c>
      <c r="J9" s="48">
        <f>资产资本表!J70</f>
        <v>21811697519.769997</v>
      </c>
      <c r="K9" s="48">
        <f>资产资本表!K70</f>
        <v>17983110291.360001</v>
      </c>
      <c r="L9" s="48">
        <f>资产资本表!L70</f>
        <v>12461770683.709999</v>
      </c>
      <c r="M9" s="48">
        <f>资产资本表!M70</f>
        <v>11409209400.73</v>
      </c>
      <c r="N9" s="48">
        <f>资产资本表!N70</f>
        <v>10946366417.380001</v>
      </c>
      <c r="O9" s="48">
        <f>资产资本表!O70</f>
        <v>8460457629.1100006</v>
      </c>
      <c r="P9" s="48">
        <f>资产资本表!P70</f>
        <v>7490384686.5900011</v>
      </c>
      <c r="Q9" s="48">
        <f>资产资本表!Q70</f>
        <v>6256383038.0700006</v>
      </c>
      <c r="R9" s="48">
        <f>资产资本表!R70</f>
        <v>5102797280.5500011</v>
      </c>
      <c r="S9" s="48">
        <f>资产资本表!S70</f>
        <v>5049649558</v>
      </c>
      <c r="T9" s="48">
        <f>资产资本表!T70</f>
        <v>4045705637.21</v>
      </c>
      <c r="U9" s="48">
        <f>资产资本表!U70</f>
        <v>3792724481.4100003</v>
      </c>
      <c r="V9" s="48">
        <f>资产资本表!V70</f>
        <v>3306149786.8200002</v>
      </c>
      <c r="W9" s="48">
        <f>资产资本表!W70</f>
        <v>3051722310.3200006</v>
      </c>
      <c r="X9" s="48">
        <f>资产资本表!X70</f>
        <v>2701906837.1200004</v>
      </c>
      <c r="Y9" s="48">
        <f>资产资本表!Y70</f>
        <v>2444711861.9499998</v>
      </c>
      <c r="Z9" s="48">
        <f>资产资本表!Z70</f>
        <v>2228592678.3900003</v>
      </c>
      <c r="AA9" s="48">
        <f>资产资本表!AA70</f>
        <v>1910112979.8800004</v>
      </c>
      <c r="AB9" s="48">
        <f>资产资本表!AB70</f>
        <v>1554892158.2400002</v>
      </c>
      <c r="AC9" s="48">
        <f>资产资本表!AC70</f>
        <v>1462106722.53</v>
      </c>
      <c r="AD9" s="48">
        <f>资产资本表!AD70</f>
        <v>1291061639.3899999</v>
      </c>
      <c r="AE9" s="48">
        <f>资产资本表!AE70</f>
        <v>1182057424.1299999</v>
      </c>
      <c r="AF9" s="48">
        <f>资产资本表!AF70</f>
        <v>1037726451.4</v>
      </c>
      <c r="AG9" s="48">
        <f>资产资本表!AG70</f>
        <v>1008662287.9400001</v>
      </c>
      <c r="AH9" s="48">
        <f>资产资本表!AH70</f>
        <v>945417384.95000005</v>
      </c>
      <c r="AI9" s="48">
        <f>资产资本表!AI70</f>
        <v>313692293.25</v>
      </c>
      <c r="AJ9" s="48">
        <f>资产资本表!AJ70</f>
        <v>227005762.91</v>
      </c>
      <c r="AK9" s="48">
        <f>资产资本表!AK70</f>
        <v>142670557.59999999</v>
      </c>
      <c r="AL9" s="48">
        <f>资产资本表!AL70</f>
        <v>59615812.75999999</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4381817445.4899998</v>
      </c>
      <c r="F10" s="26">
        <f>资产资本表!F72</f>
        <v>3723922430.73</v>
      </c>
      <c r="G10" s="26">
        <f>资产资本表!G72</f>
        <v>4728907787.2399998</v>
      </c>
      <c r="H10" s="26">
        <f>资产资本表!H72</f>
        <v>4269841527.2600002</v>
      </c>
      <c r="I10" s="26">
        <f>资产资本表!I72</f>
        <v>5328638440.5300007</v>
      </c>
      <c r="J10" s="26">
        <f>资产资本表!J72</f>
        <v>3070905148.6300001</v>
      </c>
      <c r="K10" s="26">
        <f>资产资本表!K72</f>
        <v>1688205259.7</v>
      </c>
      <c r="L10" s="26">
        <f>资产资本表!L72</f>
        <v>2103070522.5899999</v>
      </c>
      <c r="M10" s="26">
        <f>资产资本表!M72</f>
        <v>1886620907.95</v>
      </c>
      <c r="N10" s="26">
        <f>资产资本表!N72</f>
        <v>1470921174.4200001</v>
      </c>
      <c r="O10" s="26">
        <f>资产资本表!O72</f>
        <v>1623053658.8199999</v>
      </c>
      <c r="P10" s="26">
        <f>资产资本表!P72</f>
        <v>1485133449.73</v>
      </c>
      <c r="Q10" s="26">
        <f>资产资本表!Q72</f>
        <v>1804348344.46</v>
      </c>
      <c r="R10" s="26">
        <f>资产资本表!R72</f>
        <v>1802717514.4099998</v>
      </c>
      <c r="S10" s="26">
        <f>资产资本表!S72</f>
        <v>1764826037.52</v>
      </c>
      <c r="T10" s="26">
        <f>资产资本表!T72</f>
        <v>1453617366.71</v>
      </c>
      <c r="U10" s="26">
        <f>资产资本表!U72</f>
        <v>1279000993.02</v>
      </c>
      <c r="V10" s="26">
        <f>资产资本表!V72</f>
        <v>842153906.75</v>
      </c>
      <c r="W10" s="26">
        <f>资产资本表!W72</f>
        <v>801999967.48000002</v>
      </c>
      <c r="X10" s="26">
        <f>资产资本表!X72</f>
        <v>682954566.55000007</v>
      </c>
      <c r="Y10" s="26">
        <f>资产资本表!Y72</f>
        <v>657122704.38999999</v>
      </c>
      <c r="Z10" s="26">
        <f>资产资本表!Z72</f>
        <v>522950645.17000002</v>
      </c>
      <c r="AA10" s="26">
        <f>资产资本表!AA72</f>
        <v>522254032.25999999</v>
      </c>
      <c r="AB10" s="26">
        <f>资产资本表!AB72</f>
        <v>380000000</v>
      </c>
      <c r="AC10" s="26">
        <f>资产资本表!AC72</f>
        <v>340000000</v>
      </c>
      <c r="AD10" s="26">
        <f>资产资本表!AD72</f>
        <v>267370835.80000001</v>
      </c>
      <c r="AE10" s="26">
        <f>资产资本表!AE72</f>
        <v>200000000</v>
      </c>
      <c r="AF10" s="26">
        <f>资产资本表!AF72</f>
        <v>70000000</v>
      </c>
      <c r="AG10" s="26">
        <f>资产资本表!AG72</f>
        <v>70000000</v>
      </c>
      <c r="AH10" s="26">
        <f>资产资本表!AH72</f>
        <v>26330304.899999999</v>
      </c>
      <c r="AI10" s="26">
        <f>资产资本表!AI72</f>
        <v>95500000</v>
      </c>
      <c r="AJ10" s="26">
        <f>资产资本表!AJ72</f>
        <v>40000000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3480527823.6199999</v>
      </c>
      <c r="F11" s="26">
        <f>资产资本表!F81</f>
        <v>4516843999.1800003</v>
      </c>
      <c r="G11" s="26">
        <f>资产资本表!G81</f>
        <v>6506359682.7600002</v>
      </c>
      <c r="H11" s="26">
        <f>资产资本表!H81</f>
        <v>6540966748.5299997</v>
      </c>
      <c r="I11" s="26">
        <f>资产资本表!I81</f>
        <v>8781817409.1399994</v>
      </c>
      <c r="J11" s="26">
        <f>资产资本表!J81</f>
        <v>8485700272.7200003</v>
      </c>
      <c r="K11" s="26">
        <f>资产资本表!K81</f>
        <v>11045234366.210001</v>
      </c>
      <c r="L11" s="26">
        <f>资产资本表!L81</f>
        <v>5422897835.0299997</v>
      </c>
      <c r="M11" s="26">
        <f>资产资本表!M81</f>
        <v>5707454213.0900002</v>
      </c>
      <c r="N11" s="26">
        <f>资产资本表!N81</f>
        <v>5888006594.0600004</v>
      </c>
      <c r="O11" s="26">
        <f>资产资本表!O81</f>
        <v>3316208118.1300001</v>
      </c>
      <c r="P11" s="26">
        <f>资产资本表!P81</f>
        <v>2610825520.52</v>
      </c>
      <c r="Q11" s="26">
        <f>资产资本表!Q81</f>
        <v>1097442485.1800001</v>
      </c>
      <c r="R11" s="26">
        <f>资产资本表!R81</f>
        <v>113492825.59</v>
      </c>
      <c r="S11" s="26">
        <f>资产资本表!S81</f>
        <v>164541030.46000001</v>
      </c>
      <c r="T11" s="26">
        <f>资产资本表!T81</f>
        <v>434004130.63</v>
      </c>
      <c r="U11" s="26">
        <f>资产资本表!U81</f>
        <v>434197737.86000001</v>
      </c>
      <c r="V11" s="26">
        <f>资产资本表!V81</f>
        <v>461332618.95999998</v>
      </c>
      <c r="W11" s="26">
        <f>资产资本表!W81</f>
        <v>651490614.74999988</v>
      </c>
      <c r="X11" s="26">
        <f>资产资本表!X81</f>
        <v>674005533.48000002</v>
      </c>
      <c r="Y11" s="26">
        <f>资产资本表!Y81</f>
        <v>514161919.14999998</v>
      </c>
      <c r="Z11" s="26">
        <f>资产资本表!Z81</f>
        <v>495578042.24000001</v>
      </c>
      <c r="AA11" s="26">
        <f>资产资本表!AA81</f>
        <v>252833228.86000001</v>
      </c>
      <c r="AB11" s="26">
        <f>资产资本表!AB81</f>
        <v>65000000</v>
      </c>
      <c r="AC11" s="26">
        <f>资产资本表!AC81</f>
        <v>65000000</v>
      </c>
      <c r="AD11" s="26">
        <f>资产资本表!AD81</f>
        <v>12629164.199999999</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7862345269.1099997</v>
      </c>
      <c r="F12" s="26">
        <f>资产资本表!F89</f>
        <v>8240766429.9099998</v>
      </c>
      <c r="G12" s="26">
        <f>资产资本表!G89</f>
        <v>11235267470</v>
      </c>
      <c r="H12" s="26">
        <f>资产资本表!H89</f>
        <v>10810808275.790001</v>
      </c>
      <c r="I12" s="26">
        <f>资产资本表!I89</f>
        <v>14110455849.67</v>
      </c>
      <c r="J12" s="26">
        <f>资产资本表!J89</f>
        <v>11556605421.35</v>
      </c>
      <c r="K12" s="26">
        <f>资产资本表!K89</f>
        <v>12733439625.910002</v>
      </c>
      <c r="L12" s="26">
        <f>资产资本表!L89</f>
        <v>7525968357.6199999</v>
      </c>
      <c r="M12" s="26">
        <f>资产资本表!M89</f>
        <v>7594075121.04</v>
      </c>
      <c r="N12" s="26">
        <f>资产资本表!N89</f>
        <v>7358927768.4800005</v>
      </c>
      <c r="O12" s="26">
        <f>资产资本表!O89</f>
        <v>4939261776.9499998</v>
      </c>
      <c r="P12" s="26">
        <f>资产资本表!P89</f>
        <v>4095958970.25</v>
      </c>
      <c r="Q12" s="26">
        <f>资产资本表!Q89</f>
        <v>2901790829.6400003</v>
      </c>
      <c r="R12" s="26">
        <f>资产资本表!R89</f>
        <v>1916210339.9999998</v>
      </c>
      <c r="S12" s="26">
        <f>资产资本表!S89</f>
        <v>1929367067.98</v>
      </c>
      <c r="T12" s="26">
        <f>资产资本表!T89</f>
        <v>1887621497.3400002</v>
      </c>
      <c r="U12" s="26">
        <f>资产资本表!U89</f>
        <v>1713198730.8800001</v>
      </c>
      <c r="V12" s="26">
        <f>资产资本表!V89</f>
        <v>1303486525.71</v>
      </c>
      <c r="W12" s="26">
        <f>资产资本表!W89</f>
        <v>1453490582.23</v>
      </c>
      <c r="X12" s="26">
        <f>资产资本表!X89</f>
        <v>1356960100.0300002</v>
      </c>
      <c r="Y12" s="26">
        <f>资产资本表!Y89</f>
        <v>1171284623.54</v>
      </c>
      <c r="Z12" s="26">
        <f>资产资本表!Z89</f>
        <v>1018528687.4100001</v>
      </c>
      <c r="AA12" s="26">
        <f>资产资本表!AA89</f>
        <v>775087261.12</v>
      </c>
      <c r="AB12" s="26">
        <f>资产资本表!AB89</f>
        <v>445000000</v>
      </c>
      <c r="AC12" s="26">
        <f>资产资本表!AC89</f>
        <v>405000000</v>
      </c>
      <c r="AD12" s="26">
        <f>资产资本表!AD89</f>
        <v>280000000</v>
      </c>
      <c r="AE12" s="26">
        <f>资产资本表!AE89</f>
        <v>200000000</v>
      </c>
      <c r="AF12" s="26">
        <f>资产资本表!AF89</f>
        <v>70000000</v>
      </c>
      <c r="AG12" s="26">
        <f>资产资本表!AG89</f>
        <v>70000000</v>
      </c>
      <c r="AH12" s="26">
        <f>资产资本表!AH89</f>
        <v>26330304.899999999</v>
      </c>
      <c r="AI12" s="26">
        <f>资产资本表!AI89</f>
        <v>95500000</v>
      </c>
      <c r="AJ12" s="26">
        <f>资产资本表!AJ89</f>
        <v>40000000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-222710505.72000027</v>
      </c>
      <c r="F13" s="26">
        <f t="shared" ref="F13:BQ13" si="0">F9-F12</f>
        <v>15067438749.950001</v>
      </c>
      <c r="G13" s="26">
        <f t="shared" si="0"/>
        <v>16620233342.769997</v>
      </c>
      <c r="H13" s="26">
        <f t="shared" si="0"/>
        <v>15087939758.029999</v>
      </c>
      <c r="I13" s="26">
        <f t="shared" si="0"/>
        <v>10916744349.179998</v>
      </c>
      <c r="J13" s="26">
        <f t="shared" si="0"/>
        <v>10255092098.419996</v>
      </c>
      <c r="K13" s="26">
        <f t="shared" si="0"/>
        <v>5249670665.4499989</v>
      </c>
      <c r="L13" s="26">
        <f t="shared" si="0"/>
        <v>4935802326.0899992</v>
      </c>
      <c r="M13" s="26">
        <f t="shared" si="0"/>
        <v>3815134279.6899996</v>
      </c>
      <c r="N13" s="26">
        <f t="shared" si="0"/>
        <v>3587438648.9000006</v>
      </c>
      <c r="O13" s="26">
        <f t="shared" si="0"/>
        <v>3521195852.1600008</v>
      </c>
      <c r="P13" s="26">
        <f t="shared" si="0"/>
        <v>3394425716.3400011</v>
      </c>
      <c r="Q13" s="26">
        <f t="shared" si="0"/>
        <v>3354592208.4300003</v>
      </c>
      <c r="R13" s="26">
        <f t="shared" si="0"/>
        <v>3186586940.5500011</v>
      </c>
      <c r="S13" s="26">
        <f t="shared" si="0"/>
        <v>3120282490.02</v>
      </c>
      <c r="T13" s="26">
        <f t="shared" si="0"/>
        <v>2158084139.8699999</v>
      </c>
      <c r="U13" s="26">
        <f t="shared" si="0"/>
        <v>2079525750.5300002</v>
      </c>
      <c r="V13" s="26">
        <f t="shared" si="0"/>
        <v>2002663261.1100001</v>
      </c>
      <c r="W13" s="26">
        <f t="shared" si="0"/>
        <v>1598231728.0900006</v>
      </c>
      <c r="X13" s="26">
        <f t="shared" si="0"/>
        <v>1344946737.0900002</v>
      </c>
      <c r="Y13" s="26">
        <f t="shared" si="0"/>
        <v>1273427238.4099998</v>
      </c>
      <c r="Z13" s="26">
        <f t="shared" si="0"/>
        <v>1210063990.9800003</v>
      </c>
      <c r="AA13" s="26">
        <f t="shared" si="0"/>
        <v>1135025718.7600002</v>
      </c>
      <c r="AB13" s="26">
        <f t="shared" si="0"/>
        <v>1109892158.2400002</v>
      </c>
      <c r="AC13" s="26">
        <f t="shared" si="0"/>
        <v>1057106722.53</v>
      </c>
      <c r="AD13" s="26">
        <f t="shared" si="0"/>
        <v>1011061639.3899999</v>
      </c>
      <c r="AE13" s="26">
        <f t="shared" si="0"/>
        <v>982057424.12999988</v>
      </c>
      <c r="AF13" s="26">
        <f t="shared" si="0"/>
        <v>967726451.39999998</v>
      </c>
      <c r="AG13" s="26">
        <f t="shared" si="0"/>
        <v>938662287.94000006</v>
      </c>
      <c r="AH13" s="26">
        <f t="shared" si="0"/>
        <v>919087080.05000007</v>
      </c>
      <c r="AI13" s="26">
        <f t="shared" si="0"/>
        <v>218192293.25</v>
      </c>
      <c r="AJ13" s="26">
        <f t="shared" si="0"/>
        <v>187005762.91</v>
      </c>
      <c r="AK13" s="26">
        <f t="shared" si="0"/>
        <v>142670557.59999999</v>
      </c>
      <c r="AL13" s="26">
        <f t="shared" si="0"/>
        <v>59615812.75999999</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7639634763.3899994</v>
      </c>
      <c r="F14" s="48">
        <f t="shared" ref="F14:BQ14" si="2">F9</f>
        <v>23308205179.860001</v>
      </c>
      <c r="G14" s="48">
        <f t="shared" si="2"/>
        <v>27855500812.769997</v>
      </c>
      <c r="H14" s="48">
        <f t="shared" si="2"/>
        <v>25898748033.82</v>
      </c>
      <c r="I14" s="48">
        <f t="shared" si="2"/>
        <v>25027200198.849998</v>
      </c>
      <c r="J14" s="48">
        <f t="shared" si="2"/>
        <v>21811697519.769997</v>
      </c>
      <c r="K14" s="48">
        <f t="shared" si="2"/>
        <v>17983110291.360001</v>
      </c>
      <c r="L14" s="48">
        <f t="shared" si="2"/>
        <v>12461770683.709999</v>
      </c>
      <c r="M14" s="48">
        <f t="shared" si="2"/>
        <v>11409209400.73</v>
      </c>
      <c r="N14" s="48">
        <f t="shared" si="2"/>
        <v>10946366417.380001</v>
      </c>
      <c r="O14" s="48">
        <f t="shared" si="2"/>
        <v>8460457629.1100006</v>
      </c>
      <c r="P14" s="48">
        <f t="shared" si="2"/>
        <v>7490384686.5900011</v>
      </c>
      <c r="Q14" s="48">
        <f t="shared" si="2"/>
        <v>6256383038.0700006</v>
      </c>
      <c r="R14" s="48">
        <f t="shared" si="2"/>
        <v>5102797280.5500011</v>
      </c>
      <c r="S14" s="48">
        <f t="shared" si="2"/>
        <v>5049649558</v>
      </c>
      <c r="T14" s="48">
        <f t="shared" si="2"/>
        <v>4045705637.21</v>
      </c>
      <c r="U14" s="48">
        <f t="shared" si="2"/>
        <v>3792724481.4100003</v>
      </c>
      <c r="V14" s="48">
        <f t="shared" si="2"/>
        <v>3306149786.8200002</v>
      </c>
      <c r="W14" s="48">
        <f t="shared" si="2"/>
        <v>3051722310.3200006</v>
      </c>
      <c r="X14" s="48">
        <f t="shared" si="2"/>
        <v>2701906837.1200004</v>
      </c>
      <c r="Y14" s="48">
        <f t="shared" si="2"/>
        <v>2444711861.9499998</v>
      </c>
      <c r="Z14" s="48">
        <f t="shared" si="2"/>
        <v>2228592678.3900003</v>
      </c>
      <c r="AA14" s="48">
        <f t="shared" si="2"/>
        <v>1910112979.8800004</v>
      </c>
      <c r="AB14" s="48">
        <f t="shared" si="2"/>
        <v>1554892158.2400002</v>
      </c>
      <c r="AC14" s="48">
        <f t="shared" si="2"/>
        <v>1462106722.53</v>
      </c>
      <c r="AD14" s="48">
        <f t="shared" si="2"/>
        <v>1291061639.3899999</v>
      </c>
      <c r="AE14" s="48">
        <f t="shared" si="2"/>
        <v>1182057424.1299999</v>
      </c>
      <c r="AF14" s="48">
        <f t="shared" si="2"/>
        <v>1037726451.4</v>
      </c>
      <c r="AG14" s="48">
        <f t="shared" si="2"/>
        <v>1008662287.9400001</v>
      </c>
      <c r="AH14" s="48">
        <f t="shared" si="2"/>
        <v>945417384.95000005</v>
      </c>
      <c r="AI14" s="48">
        <f t="shared" si="2"/>
        <v>313692293.25</v>
      </c>
      <c r="AJ14" s="48">
        <f t="shared" si="2"/>
        <v>227005762.91</v>
      </c>
      <c r="AK14" s="48">
        <f t="shared" si="2"/>
        <v>142670557.59999999</v>
      </c>
      <c r="AL14" s="48">
        <f t="shared" si="2"/>
        <v>59615812.75999999</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-2648086410.5799999</v>
      </c>
      <c r="F15" s="58">
        <f t="shared" ref="F15:BQ15" si="4">F11+F13-F3-F4-F7</f>
        <v>-424476074.7199955</v>
      </c>
      <c r="G15" s="58">
        <f t="shared" si="4"/>
        <v>712397341.84999847</v>
      </c>
      <c r="H15" s="58">
        <f t="shared" si="4"/>
        <v>1693060221.449995</v>
      </c>
      <c r="I15" s="58">
        <f t="shared" si="4"/>
        <v>763288915.63999939</v>
      </c>
      <c r="J15" s="58">
        <f t="shared" si="4"/>
        <v>4491917507.0999985</v>
      </c>
      <c r="K15" s="58">
        <f t="shared" si="4"/>
        <v>4844104568.7699986</v>
      </c>
      <c r="L15" s="58">
        <f t="shared" si="4"/>
        <v>705161467.97999859</v>
      </c>
      <c r="M15" s="58">
        <f t="shared" si="4"/>
        <v>1002686994.4199972</v>
      </c>
      <c r="N15" s="58">
        <f t="shared" si="4"/>
        <v>1942215470.3500013</v>
      </c>
      <c r="O15" s="58">
        <f t="shared" si="4"/>
        <v>-390216014.14000034</v>
      </c>
      <c r="P15" s="58">
        <f t="shared" si="4"/>
        <v>-747730559.4800005</v>
      </c>
      <c r="Q15" s="58">
        <f t="shared" si="4"/>
        <v>-1284498188.1699996</v>
      </c>
      <c r="R15" s="58">
        <f t="shared" si="4"/>
        <v>-1382112301.4799991</v>
      </c>
      <c r="S15" s="58">
        <f t="shared" si="4"/>
        <v>-736475869.50000048</v>
      </c>
      <c r="T15" s="58">
        <f t="shared" si="4"/>
        <v>-561141423.38000059</v>
      </c>
      <c r="U15" s="58">
        <f t="shared" si="4"/>
        <v>-670782887.73000002</v>
      </c>
      <c r="V15" s="58">
        <f t="shared" si="4"/>
        <v>-327202607.60000038</v>
      </c>
      <c r="W15" s="58">
        <f t="shared" si="4"/>
        <v>-581791025.7099998</v>
      </c>
      <c r="X15" s="58">
        <f t="shared" si="4"/>
        <v>-371813990.47000027</v>
      </c>
      <c r="Y15" s="58">
        <f t="shared" si="4"/>
        <v>-463602307.93000007</v>
      </c>
      <c r="Z15" s="58">
        <f t="shared" si="4"/>
        <v>-287633751.12999988</v>
      </c>
      <c r="AA15" s="58">
        <f t="shared" si="4"/>
        <v>-286194754.91999984</v>
      </c>
      <c r="AB15" s="58">
        <f t="shared" si="4"/>
        <v>-277896394.20999992</v>
      </c>
      <c r="AC15" s="58">
        <f t="shared" si="4"/>
        <v>-206601544.5</v>
      </c>
      <c r="AD15" s="58">
        <f t="shared" si="4"/>
        <v>-156285229.9600001</v>
      </c>
      <c r="AE15" s="58">
        <f t="shared" si="4"/>
        <v>114833518.51999992</v>
      </c>
      <c r="AF15" s="58">
        <f t="shared" si="4"/>
        <v>304656051.39999998</v>
      </c>
      <c r="AG15" s="58">
        <f t="shared" si="4"/>
        <v>473353279.10000002</v>
      </c>
      <c r="AH15" s="58">
        <f t="shared" si="4"/>
        <v>539762227.49000001</v>
      </c>
      <c r="AI15" s="58">
        <f t="shared" si="4"/>
        <v>-74993700.889999986</v>
      </c>
      <c r="AJ15" s="58">
        <f t="shared" si="4"/>
        <v>-6438802.4600000083</v>
      </c>
      <c r="AK15" s="58">
        <f t="shared" si="4"/>
        <v>39065039.079999991</v>
      </c>
      <c r="AL15" s="58">
        <f t="shared" si="4"/>
        <v>1656390.7199999988</v>
      </c>
      <c r="AM15" s="58">
        <f t="shared" si="4"/>
        <v>0</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2648086410.5799999</v>
      </c>
      <c r="F16" s="58">
        <f t="shared" ref="F16:BQ16" si="6">F10-F2</f>
        <v>424476074.71999979</v>
      </c>
      <c r="G16" s="58">
        <f t="shared" si="6"/>
        <v>-712397341.84999943</v>
      </c>
      <c r="H16" s="58">
        <f t="shared" si="6"/>
        <v>-1693060221.4499998</v>
      </c>
      <c r="I16" s="58">
        <f t="shared" si="6"/>
        <v>-763288915.63999844</v>
      </c>
      <c r="J16" s="58">
        <f t="shared" si="6"/>
        <v>-4491917507.1000004</v>
      </c>
      <c r="K16" s="58">
        <f t="shared" si="6"/>
        <v>-4844104568.7700014</v>
      </c>
      <c r="L16" s="58">
        <f t="shared" si="6"/>
        <v>-705161467.98000026</v>
      </c>
      <c r="M16" s="58">
        <f t="shared" si="6"/>
        <v>-1002686994.4199998</v>
      </c>
      <c r="N16" s="58">
        <f t="shared" si="6"/>
        <v>-1942215470.3499999</v>
      </c>
      <c r="O16" s="58">
        <f t="shared" si="6"/>
        <v>390216014.1400001</v>
      </c>
      <c r="P16" s="58">
        <f t="shared" si="6"/>
        <v>747730559.48000002</v>
      </c>
      <c r="Q16" s="58">
        <f t="shared" si="6"/>
        <v>1284498188.1700001</v>
      </c>
      <c r="R16" s="58">
        <f t="shared" si="6"/>
        <v>1382112301.4799998</v>
      </c>
      <c r="S16" s="58">
        <f t="shared" si="6"/>
        <v>736475869.5</v>
      </c>
      <c r="T16" s="58">
        <f t="shared" si="6"/>
        <v>561141423.38</v>
      </c>
      <c r="U16" s="58">
        <f t="shared" si="6"/>
        <v>670782887.73000002</v>
      </c>
      <c r="V16" s="58">
        <f t="shared" si="6"/>
        <v>327202607.60000002</v>
      </c>
      <c r="W16" s="58">
        <f t="shared" si="6"/>
        <v>581791025.71000004</v>
      </c>
      <c r="X16" s="58">
        <f t="shared" si="6"/>
        <v>371813990.47000009</v>
      </c>
      <c r="Y16" s="58">
        <f t="shared" si="6"/>
        <v>463602307.92999995</v>
      </c>
      <c r="Z16" s="58">
        <f t="shared" si="6"/>
        <v>287633751.13</v>
      </c>
      <c r="AA16" s="58">
        <f t="shared" si="6"/>
        <v>286194754.91999996</v>
      </c>
      <c r="AB16" s="58">
        <f t="shared" si="6"/>
        <v>277896394.20999998</v>
      </c>
      <c r="AC16" s="58">
        <f t="shared" si="6"/>
        <v>206601544.5</v>
      </c>
      <c r="AD16" s="58">
        <f t="shared" si="6"/>
        <v>156285229.96000001</v>
      </c>
      <c r="AE16" s="58">
        <f t="shared" si="6"/>
        <v>-114833518.51999998</v>
      </c>
      <c r="AF16" s="58">
        <f t="shared" si="6"/>
        <v>-304656051.39999998</v>
      </c>
      <c r="AG16" s="58">
        <f t="shared" si="6"/>
        <v>-473353279.10000002</v>
      </c>
      <c r="AH16" s="58">
        <f t="shared" si="6"/>
        <v>-539762227.49000001</v>
      </c>
      <c r="AI16" s="58">
        <f t="shared" si="6"/>
        <v>74993700.890000001</v>
      </c>
      <c r="AJ16" s="58">
        <f t="shared" si="6"/>
        <v>6438802.4600000009</v>
      </c>
      <c r="AK16" s="58">
        <f t="shared" si="6"/>
        <v>-39065039.079999998</v>
      </c>
      <c r="AL16" s="58">
        <f t="shared" si="6"/>
        <v>-1656390.72</v>
      </c>
      <c r="AM16" s="58">
        <f t="shared" si="6"/>
        <v>0</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1.8227908965975674</v>
      </c>
      <c r="F17" s="59">
        <f t="shared" ref="F17:BQ17" si="8">(F11+F13-F7-F3)/F4</f>
        <v>0.90058417526000945</v>
      </c>
      <c r="G17" s="59">
        <f t="shared" si="8"/>
        <v>1.1014240423153392</v>
      </c>
      <c r="H17" s="59">
        <f t="shared" si="8"/>
        <v>1.3545278189119012</v>
      </c>
      <c r="I17" s="59">
        <f t="shared" si="8"/>
        <v>1.1533225279656298</v>
      </c>
      <c r="J17" s="59">
        <f t="shared" si="8"/>
        <v>4.0544652622186126</v>
      </c>
      <c r="K17" s="59">
        <f t="shared" si="8"/>
        <v>10.548962861356102</v>
      </c>
      <c r="L17" s="59">
        <f t="shared" si="8"/>
        <v>1.5149442831390401</v>
      </c>
      <c r="M17" s="59">
        <f t="shared" si="8"/>
        <v>2.2294418025288305</v>
      </c>
      <c r="N17" s="59">
        <f t="shared" si="8"/>
        <v>3.4529370614757093</v>
      </c>
      <c r="O17" s="59">
        <f t="shared" si="8"/>
        <v>0.68920099217918962</v>
      </c>
      <c r="P17" s="59">
        <f t="shared" si="8"/>
        <v>0.36959814374179933</v>
      </c>
      <c r="Q17" s="59">
        <f t="shared" si="8"/>
        <v>-1.6193505858717439</v>
      </c>
      <c r="R17" s="59">
        <f t="shared" si="8"/>
        <v>-17.372588079892132</v>
      </c>
      <c r="S17" s="59">
        <f t="shared" si="8"/>
        <v>5.8842235875572504</v>
      </c>
      <c r="T17" s="59">
        <f t="shared" si="8"/>
        <v>-7.6260149474698178</v>
      </c>
      <c r="U17" s="59">
        <f t="shared" si="8"/>
        <v>-1.6774714308285439</v>
      </c>
      <c r="V17" s="59">
        <f t="shared" si="8"/>
        <v>-0.40857572885256066</v>
      </c>
      <c r="W17" s="59">
        <f t="shared" si="8"/>
        <v>-0.47857298182929725</v>
      </c>
      <c r="X17" s="59">
        <f t="shared" si="8"/>
        <v>-0.54548188013011001</v>
      </c>
      <c r="Y17" s="59">
        <f t="shared" si="8"/>
        <v>-0.92009011988236766</v>
      </c>
      <c r="Z17" s="59">
        <f t="shared" si="8"/>
        <v>-8.8001999758438698E-2</v>
      </c>
      <c r="AA17" s="59">
        <f t="shared" si="8"/>
        <v>-1.4743056343287715</v>
      </c>
      <c r="AB17" s="59">
        <f t="shared" si="8"/>
        <v>-2.0579254966178997</v>
      </c>
      <c r="AC17" s="59">
        <f t="shared" si="8"/>
        <v>5.2519069046803528E-2</v>
      </c>
      <c r="AD17" s="59">
        <f t="shared" si="8"/>
        <v>0.67072002621868132</v>
      </c>
      <c r="AE17" s="59">
        <f t="shared" si="8"/>
        <v>1.3061340438050761</v>
      </c>
      <c r="AF17" s="59">
        <f t="shared" si="8"/>
        <v>2.1841437262180965</v>
      </c>
      <c r="AG17" s="59">
        <f t="shared" si="8"/>
        <v>5.4094002472098612</v>
      </c>
      <c r="AH17" s="59">
        <f t="shared" si="8"/>
        <v>5.9014580290301932</v>
      </c>
      <c r="AI17" s="59">
        <f t="shared" si="8"/>
        <v>-0.12848646196917099</v>
      </c>
      <c r="AJ17" s="59">
        <f t="shared" si="8"/>
        <v>0.7275394784959508</v>
      </c>
      <c r="AK17" s="59">
        <f t="shared" si="8"/>
        <v>1.954486061456201</v>
      </c>
      <c r="AL17" s="59">
        <f t="shared" si="8"/>
        <v>1.3350782584876293</v>
      </c>
      <c r="AM17" s="59" t="e">
        <f t="shared" si="8"/>
        <v>#DIV/0!</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743</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0.15033480520641151</v>
      </c>
      <c r="F20" s="115"/>
      <c r="G20" s="115"/>
      <c r="H20" s="115"/>
      <c r="I20" s="115">
        <f>POWER(E9/Y9,1/6)-1</f>
        <v>0.20913321864486822</v>
      </c>
      <c r="M20" s="115">
        <f>POWER(E9/AC9,1/7)-1</f>
        <v>0.26644049520111879</v>
      </c>
    </row>
    <row r="21" spans="1:90" s="63" customFormat="1" ht="14.25" customHeight="1" x14ac:dyDescent="0.25">
      <c r="A21" s="113" t="s">
        <v>572</v>
      </c>
      <c r="B21" s="115"/>
      <c r="C21" s="115"/>
      <c r="D21" s="115"/>
      <c r="E21" s="115">
        <f>POWER(E4/U4,1/5)-1</f>
        <v>-2.6663150201327914</v>
      </c>
      <c r="F21" s="115"/>
      <c r="G21" s="115"/>
      <c r="H21" s="115"/>
      <c r="I21" s="115" t="e">
        <f>POWER(E4/Y4,1/6)-1</f>
        <v>#NUM!</v>
      </c>
      <c r="M21" s="115">
        <f>POWER(E4/AC4,1/7)-1</f>
        <v>-2.4689647346533441</v>
      </c>
    </row>
    <row r="22" spans="1:90" s="63" customFormat="1" ht="14.25" customHeight="1" x14ac:dyDescent="0.25">
      <c r="A22" s="113" t="s">
        <v>575</v>
      </c>
      <c r="B22" s="115"/>
      <c r="C22" s="115"/>
      <c r="D22" s="115"/>
      <c r="E22" s="115">
        <f>POWER(E5/U5,1/5)-1</f>
        <v>0.36624810868704016</v>
      </c>
      <c r="F22" s="115"/>
      <c r="G22" s="115"/>
      <c r="H22" s="115"/>
      <c r="I22" s="115">
        <f>POWER(E5/Y5,1/6)-1</f>
        <v>0.46981485471683704</v>
      </c>
      <c r="M22" s="115">
        <f>POWER(E5/AC5,1/7)-1</f>
        <v>0.44677683519765443</v>
      </c>
    </row>
    <row r="23" spans="1:90" s="63" customFormat="1" ht="14.25" customHeight="1" x14ac:dyDescent="0.25">
      <c r="A23" s="113" t="s">
        <v>576</v>
      </c>
      <c r="B23" s="115"/>
      <c r="C23" s="115"/>
      <c r="D23" s="115"/>
      <c r="E23" s="115">
        <f>POWER(E6/U6,1/5)-1</f>
        <v>0.52888747848875339</v>
      </c>
      <c r="F23" s="115"/>
      <c r="G23" s="115"/>
      <c r="H23" s="115"/>
      <c r="I23" s="115">
        <f>POWER(E6/Y6,1/6)-1</f>
        <v>0.67980498249840404</v>
      </c>
      <c r="M23" s="115">
        <f>POWER(E6/AC6,1/7)-1</f>
        <v>0.64674798448905313</v>
      </c>
    </row>
    <row r="24" spans="1:90" s="63" customFormat="1" ht="14.25" customHeight="1" x14ac:dyDescent="0.25">
      <c r="A24" s="113" t="s">
        <v>577</v>
      </c>
      <c r="B24" s="115"/>
      <c r="C24" s="115"/>
      <c r="D24" s="115"/>
      <c r="E24" s="115">
        <f>POWER(E7/U7,1/5)-1</f>
        <v>0.19277123208784275</v>
      </c>
      <c r="F24" s="115"/>
      <c r="G24" s="115"/>
      <c r="H24" s="115"/>
      <c r="I24" s="115">
        <f>POWER(E7/Y7,1/6)-1</f>
        <v>0.23425410500792654</v>
      </c>
      <c r="M24" s="115">
        <f>POWER(E7/AC7,1/7)-1</f>
        <v>0.30511317958065942</v>
      </c>
    </row>
    <row r="25" spans="1:90" s="107" customFormat="1" x14ac:dyDescent="0.25">
      <c r="A25" s="142" t="s">
        <v>553</v>
      </c>
      <c r="B25" s="108"/>
      <c r="C25" s="108"/>
      <c r="D25" s="108"/>
      <c r="E25" s="108">
        <f>(E2-I2)/I2</f>
        <v>-0.71540516924351538</v>
      </c>
      <c r="F25" s="108">
        <f t="shared" ref="F25:BQ25" si="10">(F2-J2)/J2</f>
        <v>-0.56372818639213196</v>
      </c>
      <c r="G25" s="108">
        <f t="shared" si="10"/>
        <v>-0.16701667986185176</v>
      </c>
      <c r="H25" s="108">
        <f t="shared" si="10"/>
        <v>1.1233650812088647</v>
      </c>
      <c r="I25" s="108">
        <f t="shared" si="10"/>
        <v>1.1084382703459885</v>
      </c>
      <c r="J25" s="107">
        <f t="shared" si="10"/>
        <v>1.2157983822061815</v>
      </c>
      <c r="K25" s="107">
        <f t="shared" si="10"/>
        <v>4.2985969861145445</v>
      </c>
      <c r="L25" s="107">
        <f t="shared" si="10"/>
        <v>2.8082736421306023</v>
      </c>
      <c r="M25" s="108">
        <f t="shared" si="10"/>
        <v>4.5579629387630511</v>
      </c>
      <c r="N25" s="108">
        <f t="shared" si="10"/>
        <v>7.1148224982604713</v>
      </c>
      <c r="O25" s="108">
        <f t="shared" si="10"/>
        <v>0.1988500444879811</v>
      </c>
      <c r="P25" s="108">
        <f t="shared" si="10"/>
        <v>-0.17375600344071185</v>
      </c>
      <c r="Q25" s="108">
        <f t="shared" si="10"/>
        <v>-0.14528990214433993</v>
      </c>
      <c r="R25" s="108">
        <f t="shared" si="10"/>
        <v>-0.18321360947284052</v>
      </c>
      <c r="S25" s="108">
        <f t="shared" si="10"/>
        <v>3.6698837919764093</v>
      </c>
      <c r="T25" s="108">
        <f t="shared" si="10"/>
        <v>1.8684010120895578</v>
      </c>
      <c r="U25" s="108">
        <f t="shared" si="10"/>
        <v>2.1429147336193912</v>
      </c>
      <c r="V25" s="107">
        <f t="shared" si="10"/>
        <v>1.1883311916502977</v>
      </c>
      <c r="W25" s="107">
        <f t="shared" si="10"/>
        <v>-6.7145573555113858E-2</v>
      </c>
      <c r="X25" s="107">
        <f t="shared" si="10"/>
        <v>2.0473025283743014</v>
      </c>
      <c r="Y25" s="107">
        <f t="shared" si="10"/>
        <v>0.45069443071625376</v>
      </c>
      <c r="Z25" s="107">
        <f t="shared" si="10"/>
        <v>1.1183383054950802</v>
      </c>
      <c r="AA25" s="107">
        <f t="shared" si="10"/>
        <v>-0.25020919484783449</v>
      </c>
      <c r="AB25" s="107">
        <f t="shared" si="10"/>
        <v>-0.72747375784145674</v>
      </c>
      <c r="AC25" s="107">
        <f t="shared" si="10"/>
        <v>-0.75449038290344239</v>
      </c>
      <c r="AD25" s="107">
        <f t="shared" si="10"/>
        <v>-0.80376775971411429</v>
      </c>
      <c r="AE25" s="107">
        <f t="shared" si="10"/>
        <v>14.353015033632754</v>
      </c>
      <c r="AF25" s="107">
        <f t="shared" si="10"/>
        <v>10.163369571466131</v>
      </c>
      <c r="AG25" s="107">
        <f t="shared" si="10"/>
        <v>12.90893985763805</v>
      </c>
      <c r="AH25" s="107">
        <f t="shared" si="10"/>
        <v>340.76268048036394</v>
      </c>
      <c r="AI25" s="107" t="e">
        <f t="shared" si="10"/>
        <v>#DIV/0!</v>
      </c>
      <c r="AJ25" s="107" t="e">
        <f t="shared" si="10"/>
        <v>#DIV/0!</v>
      </c>
      <c r="AK25" s="107" t="e">
        <f t="shared" si="10"/>
        <v>#DIV/0!</v>
      </c>
      <c r="AL25" s="107" t="e">
        <f t="shared" si="10"/>
        <v>#DIV/0!</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561</v>
      </c>
      <c r="E26" s="108">
        <f>E2/E9</f>
        <v>0.22693899493968439</v>
      </c>
      <c r="F26" s="108">
        <f t="shared" ref="F26:BQ26" si="12">F2/F9</f>
        <v>0.14155728982774546</v>
      </c>
      <c r="G26" s="108">
        <f t="shared" si="12"/>
        <v>0.19534041644641703</v>
      </c>
      <c r="H26" s="108">
        <f t="shared" si="12"/>
        <v>0.23023899614465212</v>
      </c>
      <c r="I26" s="108">
        <f t="shared" si="12"/>
        <v>0.24341225977206685</v>
      </c>
      <c r="J26" s="108">
        <f t="shared" si="12"/>
        <v>0.3467324195595094</v>
      </c>
      <c r="K26" s="108">
        <f t="shared" si="12"/>
        <v>0.36324694241621008</v>
      </c>
      <c r="L26" s="108">
        <f t="shared" si="12"/>
        <v>0.22534775047986683</v>
      </c>
      <c r="M26" s="108">
        <f t="shared" si="12"/>
        <v>0.25324348084847426</v>
      </c>
      <c r="N26" s="108">
        <f t="shared" si="12"/>
        <v>0.31180544434825613</v>
      </c>
      <c r="O26" s="108">
        <f t="shared" si="12"/>
        <v>0.14571760757221455</v>
      </c>
      <c r="P26" s="108">
        <f t="shared" si="12"/>
        <v>9.8446598019213724E-2</v>
      </c>
      <c r="Q26" s="108">
        <f t="shared" si="12"/>
        <v>8.3091165155125463E-2</v>
      </c>
      <c r="R26" s="108">
        <f t="shared" si="12"/>
        <v>8.2426400620144835E-2</v>
      </c>
      <c r="S26" s="108">
        <f t="shared" si="12"/>
        <v>0.20364782866779682</v>
      </c>
      <c r="T26" s="108">
        <f t="shared" si="12"/>
        <v>0.22059833892054229</v>
      </c>
      <c r="U26" s="108">
        <f t="shared" si="12"/>
        <v>0.16036443149803647</v>
      </c>
      <c r="V26" s="108">
        <f t="shared" si="12"/>
        <v>0.1557555865142162</v>
      </c>
      <c r="W26" s="108">
        <f t="shared" si="12"/>
        <v>7.2158905489310102E-2</v>
      </c>
      <c r="X26" s="108">
        <f t="shared" si="12"/>
        <v>0.11515592314487386</v>
      </c>
      <c r="Y26" s="108">
        <f t="shared" si="12"/>
        <v>7.9158775098199269E-2</v>
      </c>
      <c r="Z26" s="108">
        <f t="shared" si="12"/>
        <v>0.10558990717406454</v>
      </c>
      <c r="AA26" s="108">
        <f t="shared" si="12"/>
        <v>0.12358393447220595</v>
      </c>
      <c r="AB26" s="108">
        <f t="shared" si="12"/>
        <v>6.5666036868802666E-2</v>
      </c>
      <c r="AC26" s="108">
        <f t="shared" si="12"/>
        <v>9.1237153515832281E-2</v>
      </c>
      <c r="AD26" s="108">
        <f t="shared" si="12"/>
        <v>8.604206216868597E-2</v>
      </c>
      <c r="AE26" s="108">
        <f t="shared" si="12"/>
        <v>0.26634367509828805</v>
      </c>
      <c r="AF26" s="108">
        <f t="shared" si="12"/>
        <v>0.36103546449505103</v>
      </c>
      <c r="AG26" s="108">
        <f t="shared" si="12"/>
        <v>0.53868701704878375</v>
      </c>
      <c r="AH26" s="108">
        <f t="shared" si="12"/>
        <v>0.59877525144086352</v>
      </c>
      <c r="AI26" s="108">
        <f t="shared" si="12"/>
        <v>6.5370745635938574E-2</v>
      </c>
      <c r="AJ26" s="108">
        <f t="shared" si="12"/>
        <v>0.14784293186999778</v>
      </c>
      <c r="AK26" s="108">
        <f t="shared" si="12"/>
        <v>0.2738128997121127</v>
      </c>
      <c r="AL26" s="108">
        <f t="shared" si="12"/>
        <v>2.778441898742974E-2</v>
      </c>
      <c r="AM26" s="108" t="e">
        <f t="shared" si="12"/>
        <v>#DIV/0!</v>
      </c>
      <c r="AN26" s="108" t="e">
        <f t="shared" si="12"/>
        <v>#DIV/0!</v>
      </c>
      <c r="AO26" s="108" t="e">
        <f t="shared" si="12"/>
        <v>#DIV/0!</v>
      </c>
      <c r="AP26" s="108" t="e">
        <f t="shared" si="12"/>
        <v>#DIV/0!</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554</v>
      </c>
      <c r="E27" s="109">
        <f>(E3-I3)/I3</f>
        <v>9.4973356023435179E-3</v>
      </c>
      <c r="F27" s="109">
        <f t="shared" ref="F27:BQ27" si="14">(F3-J3)/J3</f>
        <v>3.4871522399026786E-2</v>
      </c>
      <c r="G27" s="109">
        <f t="shared" si="14"/>
        <v>4.3515484240702305E-2</v>
      </c>
      <c r="H27" s="109">
        <f t="shared" si="14"/>
        <v>146.60881887240996</v>
      </c>
      <c r="I27" s="109">
        <f t="shared" si="14"/>
        <v>205.09753694093735</v>
      </c>
      <c r="J27" s="109" t="e">
        <f t="shared" si="14"/>
        <v>#DIV/0!</v>
      </c>
      <c r="K27" s="109" t="e">
        <f t="shared" si="14"/>
        <v>#DIV/0!</v>
      </c>
      <c r="L27" s="109" t="e">
        <f t="shared" si="14"/>
        <v>#DIV/0!</v>
      </c>
      <c r="M27" s="109" t="e">
        <f t="shared" si="14"/>
        <v>#DIV/0!</v>
      </c>
      <c r="N27" s="109">
        <f t="shared" si="14"/>
        <v>-1</v>
      </c>
      <c r="O27" s="109">
        <f t="shared" si="14"/>
        <v>-1</v>
      </c>
      <c r="P27" s="109">
        <f t="shared" si="14"/>
        <v>-1</v>
      </c>
      <c r="Q27" s="109">
        <f t="shared" si="14"/>
        <v>-1</v>
      </c>
      <c r="R27" s="109">
        <f t="shared" si="14"/>
        <v>-1.6177174334787485E-2</v>
      </c>
      <c r="S27" s="109">
        <f t="shared" si="14"/>
        <v>-1.6177174334787485E-2</v>
      </c>
      <c r="T27" s="109">
        <f t="shared" si="14"/>
        <v>1.4481677500000038E-2</v>
      </c>
      <c r="U27" s="109">
        <f t="shared" si="14"/>
        <v>1.5936693500000054E-2</v>
      </c>
      <c r="V27" s="109">
        <f t="shared" si="14"/>
        <v>1.6443178500000016E-2</v>
      </c>
      <c r="W27" s="109">
        <f t="shared" si="14"/>
        <v>1.6443178500000016E-2</v>
      </c>
      <c r="X27" s="109">
        <f t="shared" si="14"/>
        <v>0</v>
      </c>
      <c r="Y27" s="109">
        <f t="shared" si="14"/>
        <v>0</v>
      </c>
      <c r="Z27" s="109">
        <f t="shared" si="14"/>
        <v>-9.0909090909090912E-2</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562</v>
      </c>
      <c r="E28" s="109">
        <f>E3/E9</f>
        <v>0.27356863702376821</v>
      </c>
      <c r="F28" s="109">
        <f t="shared" ref="F28:BQ28" si="16">F3/F9</f>
        <v>8.8130908176274184E-2</v>
      </c>
      <c r="G28" s="109">
        <f t="shared" si="16"/>
        <v>7.3541325163354362E-2</v>
      </c>
      <c r="H28" s="109">
        <f t="shared" si="16"/>
        <v>8.0050212779115879E-2</v>
      </c>
      <c r="I28" s="109">
        <f t="shared" si="16"/>
        <v>8.2722082340042594E-2</v>
      </c>
      <c r="J28" s="109">
        <f t="shared" si="16"/>
        <v>9.1004145353696025E-2</v>
      </c>
      <c r="K28" s="109">
        <f t="shared" si="16"/>
        <v>0.10916381800890002</v>
      </c>
      <c r="L28" s="109">
        <f t="shared" si="16"/>
        <v>1.1270656158325798E-3</v>
      </c>
      <c r="M28" s="109">
        <f t="shared" si="16"/>
        <v>8.8045136934354715E-4</v>
      </c>
      <c r="N28" s="109">
        <f t="shared" si="16"/>
        <v>0</v>
      </c>
      <c r="O28" s="109">
        <f t="shared" si="16"/>
        <v>0</v>
      </c>
      <c r="P28" s="109">
        <f t="shared" si="16"/>
        <v>0</v>
      </c>
      <c r="Q28" s="109">
        <f t="shared" si="16"/>
        <v>0</v>
      </c>
      <c r="R28" s="109">
        <f t="shared" si="16"/>
        <v>3.9194188795687989E-3</v>
      </c>
      <c r="S28" s="109">
        <f t="shared" si="16"/>
        <v>3.960670888203446E-3</v>
      </c>
      <c r="T28" s="109">
        <f t="shared" si="16"/>
        <v>5.0151037592522773E-3</v>
      </c>
      <c r="U28" s="109">
        <f t="shared" si="16"/>
        <v>5.3572923552955305E-3</v>
      </c>
      <c r="V28" s="109">
        <f t="shared" si="16"/>
        <v>6.1488029523166865E-3</v>
      </c>
      <c r="W28" s="109">
        <f t="shared" si="16"/>
        <v>6.6614395095038435E-3</v>
      </c>
      <c r="X28" s="109">
        <f t="shared" si="16"/>
        <v>7.4021797218287045E-3</v>
      </c>
      <c r="Y28" s="109">
        <f t="shared" si="16"/>
        <v>8.1809232046050617E-3</v>
      </c>
      <c r="Z28" s="109">
        <f t="shared" si="16"/>
        <v>8.9742734030915771E-3</v>
      </c>
      <c r="AA28" s="109">
        <f t="shared" si="16"/>
        <v>1.0470584834859594E-2</v>
      </c>
      <c r="AB28" s="109">
        <f t="shared" si="16"/>
        <v>1.2862628378445373E-2</v>
      </c>
      <c r="AC28" s="109">
        <f t="shared" si="16"/>
        <v>1.3678892034223332E-2</v>
      </c>
      <c r="AD28" s="109">
        <f t="shared" si="16"/>
        <v>1.7040239852835027E-2</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t="e">
        <f t="shared" si="16"/>
        <v>#DIV/0!</v>
      </c>
      <c r="AN28" s="109" t="e">
        <f t="shared" si="16"/>
        <v>#DIV/0!</v>
      </c>
      <c r="AO28" s="109" t="e">
        <f t="shared" si="16"/>
        <v>#DIV/0!</v>
      </c>
      <c r="AP28" s="109" t="e">
        <f t="shared" si="16"/>
        <v>#DIV/0!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571</v>
      </c>
      <c r="E29" s="108">
        <f>(E4-I4)/I4</f>
        <v>-1.6464868421622878</v>
      </c>
      <c r="F29" s="108">
        <f t="shared" ref="F29:BQ29" si="18">(F4-J4)/J4</f>
        <v>1.9033615113595315</v>
      </c>
      <c r="G29" s="108">
        <f t="shared" si="18"/>
        <v>12.845991776770221</v>
      </c>
      <c r="H29" s="108">
        <f t="shared" si="18"/>
        <v>2.4873356944906133</v>
      </c>
      <c r="I29" s="108">
        <f t="shared" si="18"/>
        <v>5.104155354486692</v>
      </c>
      <c r="J29" s="108">
        <f t="shared" si="18"/>
        <v>0.85731504857005347</v>
      </c>
      <c r="K29" s="108">
        <f t="shared" si="18"/>
        <v>-0.59595304276847938</v>
      </c>
      <c r="L29" s="108">
        <f t="shared" si="18"/>
        <v>0.1545179379162481</v>
      </c>
      <c r="M29" s="108">
        <f t="shared" si="18"/>
        <v>0.66309684833268756</v>
      </c>
      <c r="N29" s="108">
        <f t="shared" si="18"/>
        <v>9.5253854656735815</v>
      </c>
      <c r="O29" s="108">
        <f t="shared" si="18"/>
        <v>-9.3264998700669199</v>
      </c>
      <c r="P29" s="108">
        <f t="shared" si="18"/>
        <v>17.233310346902815</v>
      </c>
      <c r="Q29" s="108">
        <f t="shared" si="18"/>
        <v>0.95741420833652813</v>
      </c>
      <c r="R29" s="108">
        <f t="shared" si="18"/>
        <v>-0.67615556456051851</v>
      </c>
      <c r="S29" s="108">
        <f t="shared" si="18"/>
        <v>-1.3832116762719646</v>
      </c>
      <c r="T29" s="108">
        <f t="shared" si="18"/>
        <v>-0.72960396843331754</v>
      </c>
      <c r="U29" s="108">
        <f t="shared" si="18"/>
        <v>3.7607621009350514E-2</v>
      </c>
      <c r="V29" s="108">
        <f t="shared" si="18"/>
        <v>-0.12132877590779477</v>
      </c>
      <c r="W29" s="108">
        <f t="shared" si="18"/>
        <v>2.4018559974084774</v>
      </c>
      <c r="X29" s="108">
        <f t="shared" si="18"/>
        <v>1.6473160822044517</v>
      </c>
      <c r="Y29" s="108">
        <f t="shared" si="18"/>
        <v>0.10728875797865832</v>
      </c>
      <c r="Z29" s="108">
        <f t="shared" si="18"/>
        <v>-0.44299700050210306</v>
      </c>
      <c r="AA29" s="108">
        <f t="shared" si="18"/>
        <v>-0.69164479585114136</v>
      </c>
      <c r="AB29" s="108">
        <f t="shared" si="18"/>
        <v>-0.64677566101820139</v>
      </c>
      <c r="AC29" s="108">
        <f t="shared" si="18"/>
        <v>1.0312211871129475</v>
      </c>
      <c r="AD29" s="108">
        <f t="shared" si="18"/>
        <v>3.309981602651717</v>
      </c>
      <c r="AE29" s="108">
        <f t="shared" si="18"/>
        <v>4.6445407244331234</v>
      </c>
      <c r="AF29" s="108">
        <f t="shared" si="18"/>
        <v>9.8868909516634194</v>
      </c>
      <c r="AG29" s="108">
        <f t="shared" si="18"/>
        <v>1.6229329898127145</v>
      </c>
      <c r="AH29" s="108">
        <f t="shared" si="18"/>
        <v>21.277202990461959</v>
      </c>
      <c r="AI29" s="108" t="e">
        <f t="shared" si="18"/>
        <v>#DIV/0!</v>
      </c>
      <c r="AJ29" s="108" t="e">
        <f t="shared" si="18"/>
        <v>#DIV/0!</v>
      </c>
      <c r="AK29" s="108" t="e">
        <f t="shared" si="18"/>
        <v>#DIV/0!</v>
      </c>
      <c r="AL29" s="108" t="e">
        <f t="shared" si="18"/>
        <v>#DIV/0!</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555</v>
      </c>
      <c r="E30" s="108">
        <f>(E5-I5)/I5</f>
        <v>-0.42237655145709563</v>
      </c>
      <c r="F30" s="108">
        <f t="shared" ref="F30:BQ30" si="20">(F5-J5)/J5</f>
        <v>0.55481497266632152</v>
      </c>
      <c r="G30" s="108">
        <f t="shared" si="20"/>
        <v>1.0235162216563998</v>
      </c>
      <c r="H30" s="108">
        <f t="shared" si="20"/>
        <v>0.84588799265982662</v>
      </c>
      <c r="I30" s="108">
        <f t="shared" si="20"/>
        <v>0.90878649839668491</v>
      </c>
      <c r="J30" s="108">
        <f t="shared" si="20"/>
        <v>0.84499629633948126</v>
      </c>
      <c r="K30" s="108">
        <f t="shared" si="20"/>
        <v>0.82861440569344813</v>
      </c>
      <c r="L30" s="108">
        <f t="shared" si="20"/>
        <v>0.82747781060163672</v>
      </c>
      <c r="M30" s="108">
        <f t="shared" si="20"/>
        <v>1.0687065358288703</v>
      </c>
      <c r="N30" s="108">
        <f t="shared" si="20"/>
        <v>0.53368133682254526</v>
      </c>
      <c r="O30" s="108">
        <f t="shared" si="20"/>
        <v>0.45991891485877201</v>
      </c>
      <c r="P30" s="108">
        <f t="shared" si="20"/>
        <v>0.87008815254597816</v>
      </c>
      <c r="Q30" s="108">
        <f t="shared" si="20"/>
        <v>1.0871170830940562</v>
      </c>
      <c r="R30" s="108">
        <f t="shared" si="20"/>
        <v>1.4362711046314409</v>
      </c>
      <c r="S30" s="108">
        <f t="shared" si="20"/>
        <v>1.9143729578841191</v>
      </c>
      <c r="T30" s="108">
        <f t="shared" si="20"/>
        <v>1.0772884974019026</v>
      </c>
      <c r="U30" s="108">
        <f t="shared" si="20"/>
        <v>1.1180096029223177</v>
      </c>
      <c r="V30" s="108">
        <f t="shared" si="20"/>
        <v>0.70402492542703365</v>
      </c>
      <c r="W30" s="108">
        <f t="shared" si="20"/>
        <v>0.68962086851923476</v>
      </c>
      <c r="X30" s="108">
        <f t="shared" si="20"/>
        <v>0.71170471347019149</v>
      </c>
      <c r="Y30" s="108">
        <f t="shared" si="20"/>
        <v>0.31593679973554845</v>
      </c>
      <c r="Z30" s="108">
        <f t="shared" si="20"/>
        <v>0.1934399683726479</v>
      </c>
      <c r="AA30" s="108">
        <f t="shared" si="20"/>
        <v>0.25071875723859233</v>
      </c>
      <c r="AB30" s="108">
        <f t="shared" si="20"/>
        <v>0.81252456402875928</v>
      </c>
      <c r="AC30" s="108">
        <f t="shared" si="20"/>
        <v>3.0697954849287341</v>
      </c>
      <c r="AD30" s="108">
        <f t="shared" si="20"/>
        <v>3.6816387319319661</v>
      </c>
      <c r="AE30" s="108">
        <f t="shared" si="20"/>
        <v>4.4763040672588907</v>
      </c>
      <c r="AF30" s="108">
        <f t="shared" si="20"/>
        <v>8.2464845915881586</v>
      </c>
      <c r="AG30" s="108">
        <f t="shared" si="20"/>
        <v>1.8072810112017614</v>
      </c>
      <c r="AH30" s="108">
        <f t="shared" si="20"/>
        <v>12.430538048115487</v>
      </c>
      <c r="AI30" s="108" t="e">
        <f t="shared" si="20"/>
        <v>#DIV/0!</v>
      </c>
      <c r="AJ30" s="108" t="e">
        <f t="shared" si="20"/>
        <v>#DIV/0!</v>
      </c>
      <c r="AK30" s="108" t="e">
        <f t="shared" si="20"/>
        <v>#DIV/0!</v>
      </c>
      <c r="AL30" s="108" t="e">
        <f t="shared" si="20"/>
        <v>#DIV/0!</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556</v>
      </c>
      <c r="E31" s="108">
        <f>(E6-I6)/I6</f>
        <v>0.42359287917987792</v>
      </c>
      <c r="F31" s="108">
        <f t="shared" ref="F31:BQ31" si="22">(F6-J6)/J6</f>
        <v>0.27347552389206486</v>
      </c>
      <c r="G31" s="108">
        <f t="shared" si="22"/>
        <v>0.14928560409591618</v>
      </c>
      <c r="H31" s="108">
        <f t="shared" si="22"/>
        <v>0.42799978031072411</v>
      </c>
      <c r="I31" s="108">
        <f t="shared" si="22"/>
        <v>0.29410685511012402</v>
      </c>
      <c r="J31" s="108">
        <f t="shared" si="22"/>
        <v>0.84244687972554233</v>
      </c>
      <c r="K31" s="108">
        <f t="shared" si="22"/>
        <v>1.4734959882092675</v>
      </c>
      <c r="L31" s="108">
        <f t="shared" si="22"/>
        <v>1.1459238579742956</v>
      </c>
      <c r="M31" s="108">
        <f t="shared" si="22"/>
        <v>1.1453669287221306</v>
      </c>
      <c r="N31" s="108">
        <f t="shared" si="22"/>
        <v>0.30326610276866234</v>
      </c>
      <c r="O31" s="108">
        <f t="shared" si="22"/>
        <v>-4.7085857031541167E-2</v>
      </c>
      <c r="P31" s="108">
        <f t="shared" si="22"/>
        <v>0.31264797229179825</v>
      </c>
      <c r="Q31" s="108">
        <f t="shared" si="22"/>
        <v>1.1135868233724113</v>
      </c>
      <c r="R31" s="108">
        <f t="shared" si="22"/>
        <v>1.925232773092171</v>
      </c>
      <c r="S31" s="108">
        <f t="shared" si="22"/>
        <v>4.2587551934015915</v>
      </c>
      <c r="T31" s="108">
        <f t="shared" si="22"/>
        <v>1.6895574925274388</v>
      </c>
      <c r="U31" s="108">
        <f t="shared" si="22"/>
        <v>1.6895249127179683</v>
      </c>
      <c r="V31" s="108">
        <f t="shared" si="22"/>
        <v>1.1774553032675439</v>
      </c>
      <c r="W31" s="108">
        <f t="shared" si="22"/>
        <v>0.24435134570765163</v>
      </c>
      <c r="X31" s="108">
        <f t="shared" si="22"/>
        <v>0.52863991251895703</v>
      </c>
      <c r="Y31" s="108">
        <f t="shared" si="22"/>
        <v>0.46162779576004942</v>
      </c>
      <c r="Z31" s="108">
        <f t="shared" si="22"/>
        <v>2.4633745921198971</v>
      </c>
      <c r="AA31" s="108">
        <f t="shared" si="22"/>
        <v>5.0934309810541611</v>
      </c>
      <c r="AB31" s="108">
        <f t="shared" si="22"/>
        <v>8.4578344807976951</v>
      </c>
      <c r="AC31" s="108">
        <f t="shared" si="22"/>
        <v>12.601790547547061</v>
      </c>
      <c r="AD31" s="108">
        <f t="shared" si="22"/>
        <v>5.7610414046237803</v>
      </c>
      <c r="AE31" s="108">
        <f t="shared" si="22"/>
        <v>3.748929774124091</v>
      </c>
      <c r="AF31" s="108">
        <f t="shared" si="22"/>
        <v>4.1673612295127027</v>
      </c>
      <c r="AG31" s="108">
        <f t="shared" si="22"/>
        <v>3.1814279157610352</v>
      </c>
      <c r="AH31" s="108">
        <f t="shared" si="22"/>
        <v>3.1685774992058486</v>
      </c>
      <c r="AI31" s="108" t="e">
        <f t="shared" si="22"/>
        <v>#DIV/0!</v>
      </c>
      <c r="AJ31" s="108" t="e">
        <f t="shared" si="22"/>
        <v>#DIV/0!</v>
      </c>
      <c r="AK31" s="108" t="e">
        <f t="shared" si="22"/>
        <v>#DIV/0!</v>
      </c>
      <c r="AL31" s="108" t="e">
        <f t="shared" si="22"/>
        <v>#DIV/0!</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558</v>
      </c>
      <c r="E32" s="109">
        <f>(E7-I7)/I7</f>
        <v>-0.40821344163891776</v>
      </c>
      <c r="F32" s="109">
        <f t="shared" ref="F32:BQ32" si="24">(F7-J7)/J7</f>
        <v>0.26790375372016728</v>
      </c>
      <c r="G32" s="109">
        <f t="shared" si="24"/>
        <v>0.48564756908475804</v>
      </c>
      <c r="H32" s="109">
        <f t="shared" si="24"/>
        <v>0.58246101068776968</v>
      </c>
      <c r="I32" s="109">
        <f t="shared" si="24"/>
        <v>0.54486552887660911</v>
      </c>
      <c r="J32" s="109">
        <f t="shared" si="24"/>
        <v>0.60104019185767366</v>
      </c>
      <c r="K32" s="109">
        <f t="shared" si="24"/>
        <v>0.50372771517208759</v>
      </c>
      <c r="L32" s="109">
        <f t="shared" si="24"/>
        <v>0.48559386926197995</v>
      </c>
      <c r="M32" s="109">
        <f t="shared" si="24"/>
        <v>0.46665669238430596</v>
      </c>
      <c r="N32" s="109">
        <f t="shared" si="24"/>
        <v>0.4696945965084422</v>
      </c>
      <c r="O32" s="109">
        <f t="shared" si="24"/>
        <v>0.43833595731060898</v>
      </c>
      <c r="P32" s="109">
        <f t="shared" si="24"/>
        <v>0.81455932145921595</v>
      </c>
      <c r="Q32" s="109">
        <f t="shared" si="24"/>
        <v>0.80053485358416832</v>
      </c>
      <c r="R32" s="109">
        <f t="shared" si="24"/>
        <v>0.80690453527330608</v>
      </c>
      <c r="S32" s="109">
        <f t="shared" si="24"/>
        <v>0.71736808041666034</v>
      </c>
      <c r="T32" s="109">
        <f t="shared" si="24"/>
        <v>0.44019784679536583</v>
      </c>
      <c r="U32" s="109">
        <f t="shared" si="24"/>
        <v>0.46433924487548145</v>
      </c>
      <c r="V32" s="109">
        <f t="shared" si="24"/>
        <v>0.48549708815274001</v>
      </c>
      <c r="W32" s="109">
        <f t="shared" si="24"/>
        <v>0.57158312778827469</v>
      </c>
      <c r="X32" s="109">
        <f t="shared" si="24"/>
        <v>0.58742628257437635</v>
      </c>
      <c r="Y32" s="109">
        <f t="shared" si="24"/>
        <v>0.82435665713853834</v>
      </c>
      <c r="Z32" s="109">
        <f t="shared" si="24"/>
        <v>1.500782784032042</v>
      </c>
      <c r="AA32" s="109">
        <f t="shared" si="24"/>
        <v>2.1260703552749729</v>
      </c>
      <c r="AB32" s="109">
        <f t="shared" si="24"/>
        <v>2.3069039603496324</v>
      </c>
      <c r="AC32" s="109">
        <f t="shared" si="24"/>
        <v>2.0468785655896253</v>
      </c>
      <c r="AD32" s="109">
        <f t="shared" si="24"/>
        <v>1.5384234808295314</v>
      </c>
      <c r="AE32" s="109">
        <f t="shared" si="24"/>
        <v>1.1704820022871041</v>
      </c>
      <c r="AF32" s="109">
        <f t="shared" si="24"/>
        <v>1.3896400797648216</v>
      </c>
      <c r="AG32" s="109">
        <f t="shared" si="24"/>
        <v>4.7110919093832839</v>
      </c>
      <c r="AH32" s="109">
        <f t="shared" si="24"/>
        <v>4.0777391591848868</v>
      </c>
      <c r="AI32" s="109" t="e">
        <f t="shared" si="24"/>
        <v>#DIV/0!</v>
      </c>
      <c r="AJ32" s="109" t="e">
        <f t="shared" si="24"/>
        <v>#DIV/0!</v>
      </c>
      <c r="AK32" s="109" t="e">
        <f t="shared" si="24"/>
        <v>#DIV/0!</v>
      </c>
      <c r="AL32" s="109" t="e">
        <f t="shared" si="24"/>
        <v>#DIV/0!</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565</v>
      </c>
      <c r="E33" s="109">
        <f>E7/E9</f>
        <v>0.92077162749840469</v>
      </c>
      <c r="F33" s="109">
        <f t="shared" ref="F33:BQ33" si="26">F7/F9</f>
        <v>0.5871272425418127</v>
      </c>
      <c r="G33" s="109">
        <f t="shared" si="26"/>
        <v>0.47896162139593135</v>
      </c>
      <c r="H33" s="109">
        <f t="shared" si="26"/>
        <v>0.50531826381144518</v>
      </c>
      <c r="I33" s="109">
        <f t="shared" si="26"/>
        <v>0.47494920016567382</v>
      </c>
      <c r="J33" s="109">
        <f t="shared" si="26"/>
        <v>0.49484058371784229</v>
      </c>
      <c r="K33" s="109">
        <f t="shared" si="26"/>
        <v>0.49937992736132208</v>
      </c>
      <c r="L33" s="109">
        <f t="shared" si="26"/>
        <v>0.66363761208755478</v>
      </c>
      <c r="M33" s="109">
        <f t="shared" si="26"/>
        <v>0.6743932184711845</v>
      </c>
      <c r="N33" s="109">
        <f t="shared" si="26"/>
        <v>0.61586079871182997</v>
      </c>
      <c r="O33" s="109">
        <f t="shared" si="26"/>
        <v>0.70588317525540711</v>
      </c>
      <c r="P33" s="109">
        <f t="shared" si="26"/>
        <v>0.74320141227944281</v>
      </c>
      <c r="Q33" s="109">
        <f t="shared" si="26"/>
        <v>0.8385267996424266</v>
      </c>
      <c r="R33" s="109">
        <f t="shared" si="26"/>
        <v>0.89891189970525298</v>
      </c>
      <c r="S33" s="109">
        <f t="shared" si="26"/>
        <v>0.82225232155407335</v>
      </c>
      <c r="T33" s="109">
        <f t="shared" si="26"/>
        <v>0.7583072312437632</v>
      </c>
      <c r="U33" s="109">
        <f t="shared" si="26"/>
        <v>0.76822325524072999</v>
      </c>
      <c r="V33" s="109">
        <f t="shared" si="26"/>
        <v>0.76783465858384903</v>
      </c>
      <c r="W33" s="109">
        <f t="shared" si="26"/>
        <v>0.79224215683847143</v>
      </c>
      <c r="X33" s="109">
        <f t="shared" si="26"/>
        <v>0.78840060794272004</v>
      </c>
      <c r="Y33" s="109">
        <f t="shared" si="26"/>
        <v>0.81389684160279785</v>
      </c>
      <c r="Z33" s="109">
        <f t="shared" si="26"/>
        <v>0.76680993807471542</v>
      </c>
      <c r="AA33" s="109">
        <f t="shared" si="26"/>
        <v>0.80539058361178562</v>
      </c>
      <c r="AB33" s="109">
        <f t="shared" si="26"/>
        <v>0.86302520762528268</v>
      </c>
      <c r="AC33" s="109">
        <f t="shared" si="26"/>
        <v>0.74594743206758052</v>
      </c>
      <c r="AD33" s="109">
        <f t="shared" si="26"/>
        <v>0.52929218777104114</v>
      </c>
      <c r="AE33" s="109">
        <f t="shared" si="26"/>
        <v>0.41632096391780565</v>
      </c>
      <c r="AF33" s="109">
        <f t="shared" si="26"/>
        <v>0.39103829000652962</v>
      </c>
      <c r="AG33" s="109">
        <f t="shared" si="26"/>
        <v>0.35488395779231618</v>
      </c>
      <c r="AH33" s="109">
        <f t="shared" si="26"/>
        <v>0.28474414371408796</v>
      </c>
      <c r="AI33" s="109">
        <f t="shared" si="26"/>
        <v>0.72278114926242287</v>
      </c>
      <c r="AJ33" s="109">
        <f t="shared" si="26"/>
        <v>0.74805373490594962</v>
      </c>
      <c r="AK33" s="109">
        <f t="shared" si="26"/>
        <v>0.43931764166596349</v>
      </c>
      <c r="AL33" s="109">
        <f t="shared" si="26"/>
        <v>0.88929638741035266</v>
      </c>
      <c r="AM33" s="109" t="e">
        <f t="shared" si="26"/>
        <v>#DIV/0!</v>
      </c>
      <c r="AN33" s="109" t="e">
        <f t="shared" si="26"/>
        <v>#DIV/0!</v>
      </c>
      <c r="AO33" s="109" t="e">
        <f t="shared" si="26"/>
        <v>#DIV/0!</v>
      </c>
      <c r="AP33" s="109" t="e">
        <f t="shared" si="26"/>
        <v>#DIV/0!</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559</v>
      </c>
      <c r="E34" s="108">
        <f>(E10-I10)/I10</f>
        <v>-0.17768535163474661</v>
      </c>
      <c r="F34" s="108">
        <f t="shared" ref="F34:BQ34" si="28">(F10-J10)/J10</f>
        <v>0.21264651641595822</v>
      </c>
      <c r="G34" s="108">
        <f t="shared" si="28"/>
        <v>1.8011450385365719</v>
      </c>
      <c r="H34" s="108">
        <f t="shared" si="28"/>
        <v>1.0302892753218522</v>
      </c>
      <c r="I34" s="108">
        <f t="shared" si="28"/>
        <v>1.8244351676988955</v>
      </c>
      <c r="J34" s="108">
        <f t="shared" si="28"/>
        <v>1.0877428390007988</v>
      </c>
      <c r="K34" s="108">
        <f t="shared" si="28"/>
        <v>4.0141372114195495E-2</v>
      </c>
      <c r="L34" s="108">
        <f t="shared" si="28"/>
        <v>0.41608184973029999</v>
      </c>
      <c r="M34" s="108">
        <f t="shared" si="28"/>
        <v>4.5596829316582044E-2</v>
      </c>
      <c r="N34" s="108">
        <f t="shared" si="28"/>
        <v>-0.18405342896920338</v>
      </c>
      <c r="O34" s="108">
        <f t="shared" si="28"/>
        <v>-8.0332211609493206E-2</v>
      </c>
      <c r="P34" s="108">
        <f t="shared" si="28"/>
        <v>2.1681140953434628E-2</v>
      </c>
      <c r="Q34" s="108">
        <f t="shared" si="28"/>
        <v>0.41074819668399204</v>
      </c>
      <c r="R34" s="108">
        <f t="shared" si="28"/>
        <v>1.1406033979785961</v>
      </c>
      <c r="S34" s="108">
        <f t="shared" si="28"/>
        <v>1.2005313080813942</v>
      </c>
      <c r="T34" s="108">
        <f t="shared" si="28"/>
        <v>1.1284246974920529</v>
      </c>
      <c r="U34" s="108">
        <f t="shared" si="28"/>
        <v>0.94636554858849842</v>
      </c>
      <c r="V34" s="108">
        <f t="shared" si="28"/>
        <v>0.6103888856972991</v>
      </c>
      <c r="W34" s="108">
        <f t="shared" si="28"/>
        <v>0.53565107771294473</v>
      </c>
      <c r="X34" s="108">
        <f t="shared" si="28"/>
        <v>0.79724885934210543</v>
      </c>
      <c r="Y34" s="108">
        <f t="shared" si="28"/>
        <v>0.93271383644117645</v>
      </c>
      <c r="Z34" s="108">
        <f t="shared" si="28"/>
        <v>0.95590010258703018</v>
      </c>
      <c r="AA34" s="108">
        <f t="shared" si="28"/>
        <v>1.6112701613</v>
      </c>
      <c r="AB34" s="108">
        <f t="shared" si="28"/>
        <v>4.4285714285714288</v>
      </c>
      <c r="AC34" s="108">
        <f t="shared" si="28"/>
        <v>3.8571428571428572</v>
      </c>
      <c r="AD34" s="108">
        <f t="shared" si="28"/>
        <v>9.1544906834709696</v>
      </c>
      <c r="AE34" s="108">
        <f t="shared" si="28"/>
        <v>1.0942408376963351</v>
      </c>
      <c r="AF34" s="108">
        <f t="shared" si="28"/>
        <v>0.75</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563</v>
      </c>
      <c r="E35" s="108">
        <f>E10/E12</f>
        <v>0.55731684319506003</v>
      </c>
      <c r="F35" s="108">
        <f t="shared" ref="F35:BQ35" si="30">F10/F12</f>
        <v>0.45189030200078978</v>
      </c>
      <c r="G35" s="108">
        <f t="shared" si="30"/>
        <v>0.42089855002268139</v>
      </c>
      <c r="H35" s="108">
        <f t="shared" si="30"/>
        <v>0.39496043388559504</v>
      </c>
      <c r="I35" s="108">
        <f t="shared" si="30"/>
        <v>0.37763758288890581</v>
      </c>
      <c r="J35" s="108">
        <f t="shared" si="30"/>
        <v>0.26572726476900588</v>
      </c>
      <c r="K35" s="108">
        <f t="shared" si="30"/>
        <v>0.13258045817132083</v>
      </c>
      <c r="L35" s="108">
        <f t="shared" si="30"/>
        <v>0.27944185022524748</v>
      </c>
      <c r="M35" s="108">
        <f t="shared" si="30"/>
        <v>0.24843326907880647</v>
      </c>
      <c r="N35" s="108">
        <f t="shared" si="30"/>
        <v>0.19988254005159523</v>
      </c>
      <c r="O35" s="108">
        <f t="shared" si="30"/>
        <v>0.32860247788329161</v>
      </c>
      <c r="P35" s="108">
        <f t="shared" si="30"/>
        <v>0.36258504065028607</v>
      </c>
      <c r="Q35" s="108">
        <f t="shared" si="30"/>
        <v>0.62180510256966026</v>
      </c>
      <c r="R35" s="108">
        <f t="shared" si="30"/>
        <v>0.94077225071752824</v>
      </c>
      <c r="S35" s="108">
        <f t="shared" si="30"/>
        <v>0.91471761222074222</v>
      </c>
      <c r="T35" s="108">
        <f t="shared" si="30"/>
        <v>0.77007883665152665</v>
      </c>
      <c r="U35" s="108">
        <f t="shared" si="30"/>
        <v>0.74655728490005913</v>
      </c>
      <c r="V35" s="108">
        <f t="shared" si="30"/>
        <v>0.64607795334998541</v>
      </c>
      <c r="W35" s="108">
        <f t="shared" si="30"/>
        <v>0.551775138611178</v>
      </c>
      <c r="X35" s="108">
        <f t="shared" si="30"/>
        <v>0.50329745622948019</v>
      </c>
      <c r="Y35" s="108">
        <f t="shared" si="30"/>
        <v>0.56102734654192177</v>
      </c>
      <c r="Z35" s="108">
        <f t="shared" si="30"/>
        <v>0.51343732546189014</v>
      </c>
      <c r="AA35" s="108">
        <f t="shared" si="30"/>
        <v>0.67380030411716951</v>
      </c>
      <c r="AB35" s="108">
        <f t="shared" si="30"/>
        <v>0.8539325842696629</v>
      </c>
      <c r="AC35" s="108">
        <f t="shared" si="30"/>
        <v>0.83950617283950613</v>
      </c>
      <c r="AD35" s="108">
        <f t="shared" si="30"/>
        <v>0.95489584214285717</v>
      </c>
      <c r="AE35" s="108">
        <f t="shared" si="30"/>
        <v>1</v>
      </c>
      <c r="AF35" s="108">
        <f t="shared" si="30"/>
        <v>1</v>
      </c>
      <c r="AG35" s="108">
        <f t="shared" si="30"/>
        <v>1</v>
      </c>
      <c r="AH35" s="108">
        <f t="shared" si="30"/>
        <v>1</v>
      </c>
      <c r="AI35" s="108">
        <f t="shared" si="30"/>
        <v>1</v>
      </c>
      <c r="AJ35" s="108">
        <f t="shared" si="30"/>
        <v>1</v>
      </c>
      <c r="AK35" s="108" t="e">
        <f t="shared" si="30"/>
        <v>#DIV/0!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560</v>
      </c>
      <c r="E36" s="108">
        <f>(E11-I11)/I11</f>
        <v>-0.60366656906376659</v>
      </c>
      <c r="F36" s="108">
        <f t="shared" ref="F36:BQ36" si="32">(F11-J11)/J11</f>
        <v>-0.46771110762645707</v>
      </c>
      <c r="G36" s="108">
        <f t="shared" si="32"/>
        <v>-0.41093511762280915</v>
      </c>
      <c r="H36" s="108">
        <f t="shared" si="32"/>
        <v>0.20617554442528324</v>
      </c>
      <c r="I36" s="108">
        <f t="shared" si="32"/>
        <v>0.53865753123327242</v>
      </c>
      <c r="J36" s="108">
        <f t="shared" si="32"/>
        <v>0.44118389427087801</v>
      </c>
      <c r="K36" s="108">
        <f t="shared" si="32"/>
        <v>2.3306819031727044</v>
      </c>
      <c r="L36" s="108">
        <f t="shared" si="32"/>
        <v>1.0770816710685123</v>
      </c>
      <c r="M36" s="108">
        <f t="shared" si="32"/>
        <v>4.2006864051320889</v>
      </c>
      <c r="N36" s="108">
        <f t="shared" si="32"/>
        <v>50.879989448238746</v>
      </c>
      <c r="O36" s="108">
        <f t="shared" si="32"/>
        <v>19.154292876731265</v>
      </c>
      <c r="P36" s="108">
        <f t="shared" si="32"/>
        <v>5.0156697511844595</v>
      </c>
      <c r="Q36" s="108">
        <f t="shared" si="32"/>
        <v>1.5275177401634747</v>
      </c>
      <c r="R36" s="108">
        <f t="shared" si="32"/>
        <v>-0.7539891589589931</v>
      </c>
      <c r="S36" s="108">
        <f t="shared" si="32"/>
        <v>-0.74743913920672478</v>
      </c>
      <c r="T36" s="108">
        <f t="shared" si="32"/>
        <v>-0.35608224402970967</v>
      </c>
      <c r="U36" s="108">
        <f t="shared" si="32"/>
        <v>-0.15552334451799699</v>
      </c>
      <c r="V36" s="108">
        <f t="shared" si="32"/>
        <v>-6.9101978621190718E-2</v>
      </c>
      <c r="W36" s="108">
        <f t="shared" si="32"/>
        <v>1.5767602529442295</v>
      </c>
      <c r="X36" s="108">
        <f t="shared" si="32"/>
        <v>9.3693158996923085</v>
      </c>
      <c r="Y36" s="108">
        <f t="shared" si="32"/>
        <v>6.9101833715384613</v>
      </c>
      <c r="Z36" s="108">
        <f t="shared" si="32"/>
        <v>38.240763235939241</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564</v>
      </c>
      <c r="B37" s="108"/>
      <c r="C37" s="108"/>
      <c r="D37" s="108"/>
      <c r="E37" s="108">
        <f>E11/E12</f>
        <v>0.44268315680493997</v>
      </c>
      <c r="F37" s="108">
        <f t="shared" ref="F37:BQ37" si="34">F11/F12</f>
        <v>0.54810969799921028</v>
      </c>
      <c r="G37" s="108">
        <f t="shared" si="34"/>
        <v>0.57910144997731861</v>
      </c>
      <c r="H37" s="108">
        <f t="shared" si="34"/>
        <v>0.6050395661144049</v>
      </c>
      <c r="I37" s="108">
        <f t="shared" si="34"/>
        <v>0.62236241711109419</v>
      </c>
      <c r="J37" s="108">
        <f t="shared" si="34"/>
        <v>0.73427273523099412</v>
      </c>
      <c r="K37" s="108">
        <f t="shared" si="34"/>
        <v>0.86741954182867909</v>
      </c>
      <c r="L37" s="108">
        <f t="shared" si="34"/>
        <v>0.72055814977475252</v>
      </c>
      <c r="M37" s="108">
        <f t="shared" si="34"/>
        <v>0.75156673092119353</v>
      </c>
      <c r="N37" s="108">
        <f t="shared" si="34"/>
        <v>0.80011745994840477</v>
      </c>
      <c r="O37" s="110">
        <f t="shared" si="34"/>
        <v>0.67139752211670845</v>
      </c>
      <c r="P37" s="110">
        <f t="shared" si="34"/>
        <v>0.63741495934971393</v>
      </c>
      <c r="Q37" s="110">
        <f t="shared" si="34"/>
        <v>0.37819489743033963</v>
      </c>
      <c r="R37" s="110">
        <f t="shared" si="34"/>
        <v>5.9227749282471785E-2</v>
      </c>
      <c r="S37" s="110">
        <f t="shared" si="34"/>
        <v>8.5282387779257798E-2</v>
      </c>
      <c r="T37" s="110">
        <f t="shared" si="34"/>
        <v>0.22992116334847335</v>
      </c>
      <c r="U37" s="110">
        <f t="shared" si="34"/>
        <v>0.25344271509994082</v>
      </c>
      <c r="V37" s="110">
        <f t="shared" si="34"/>
        <v>0.35392204665001453</v>
      </c>
      <c r="W37" s="110">
        <f t="shared" si="34"/>
        <v>0.44822486138882195</v>
      </c>
      <c r="X37" s="110">
        <f t="shared" si="34"/>
        <v>0.49670254377051976</v>
      </c>
      <c r="Y37" s="110">
        <f t="shared" si="34"/>
        <v>0.43897265345807818</v>
      </c>
      <c r="Z37" s="110">
        <f t="shared" si="34"/>
        <v>0.48656267453810975</v>
      </c>
      <c r="AA37" s="110">
        <f t="shared" si="34"/>
        <v>0.32619969588283049</v>
      </c>
      <c r="AB37" s="110">
        <f t="shared" si="34"/>
        <v>0.14606741573033707</v>
      </c>
      <c r="AC37" s="110">
        <f t="shared" si="34"/>
        <v>0.16049382716049382</v>
      </c>
      <c r="AD37" s="110">
        <f t="shared" si="34"/>
        <v>4.5104157857142856E-2</v>
      </c>
      <c r="AE37" s="110">
        <f t="shared" si="34"/>
        <v>0</v>
      </c>
      <c r="AF37" s="110">
        <f t="shared" si="34"/>
        <v>0</v>
      </c>
      <c r="AG37" s="110">
        <f t="shared" si="34"/>
        <v>0</v>
      </c>
      <c r="AH37" s="110">
        <f t="shared" si="34"/>
        <v>0</v>
      </c>
      <c r="AI37" s="110">
        <f t="shared" si="34"/>
        <v>0</v>
      </c>
      <c r="AJ37" s="110">
        <f t="shared" si="34"/>
        <v>0</v>
      </c>
      <c r="AK37" s="110" t="e">
        <f t="shared" si="34"/>
        <v>#DIV/0!</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634</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551</v>
      </c>
      <c r="B39" s="222"/>
      <c r="C39" s="222"/>
      <c r="D39" s="222"/>
      <c r="E39" s="223">
        <f>E2/E9</f>
        <v>0.22693899493968439</v>
      </c>
      <c r="F39" s="223">
        <f t="shared" ref="F39:U39" si="37">F2/F9</f>
        <v>0.14155728982774546</v>
      </c>
      <c r="G39" s="223">
        <f t="shared" si="37"/>
        <v>0.19534041644641703</v>
      </c>
      <c r="H39" s="223">
        <f t="shared" si="37"/>
        <v>0.23023899614465212</v>
      </c>
      <c r="I39" s="223">
        <f t="shared" si="37"/>
        <v>0.24341225977206685</v>
      </c>
      <c r="J39" s="223">
        <f t="shared" si="37"/>
        <v>0.3467324195595094</v>
      </c>
      <c r="K39" s="223">
        <f t="shared" si="37"/>
        <v>0.36324694241621008</v>
      </c>
      <c r="L39" s="223">
        <f t="shared" si="37"/>
        <v>0.22534775047986683</v>
      </c>
      <c r="M39" s="223">
        <f t="shared" si="37"/>
        <v>0.25324348084847426</v>
      </c>
      <c r="N39" s="223">
        <f t="shared" si="37"/>
        <v>0.31180544434825613</v>
      </c>
      <c r="O39" s="223">
        <f t="shared" si="37"/>
        <v>0.14571760757221455</v>
      </c>
      <c r="P39" s="223">
        <f t="shared" si="37"/>
        <v>9.8446598019213724E-2</v>
      </c>
      <c r="Q39" s="223">
        <f t="shared" si="37"/>
        <v>8.3091165155125463E-2</v>
      </c>
      <c r="R39" s="223">
        <f t="shared" si="37"/>
        <v>8.2426400620144835E-2</v>
      </c>
      <c r="S39" s="223">
        <f t="shared" si="37"/>
        <v>0.20364782866779682</v>
      </c>
      <c r="T39" s="223">
        <f t="shared" si="37"/>
        <v>0.22059833892054229</v>
      </c>
      <c r="U39" s="223">
        <f t="shared" si="37"/>
        <v>0.16036443149803647</v>
      </c>
    </row>
    <row r="40" spans="1:89" s="224" customFormat="1" x14ac:dyDescent="0.25">
      <c r="A40" s="221" t="s">
        <v>552</v>
      </c>
      <c r="B40" s="222"/>
      <c r="C40" s="222"/>
      <c r="D40" s="222"/>
      <c r="E40" s="223">
        <f>E3/E9</f>
        <v>0.27356863702376821</v>
      </c>
      <c r="F40" s="223">
        <f t="shared" ref="F40:U40" si="38">F3/F9</f>
        <v>8.8130908176274184E-2</v>
      </c>
      <c r="G40" s="223">
        <f t="shared" si="38"/>
        <v>7.3541325163354362E-2</v>
      </c>
      <c r="H40" s="223">
        <f t="shared" si="38"/>
        <v>8.0050212779115879E-2</v>
      </c>
      <c r="I40" s="223">
        <f t="shared" si="38"/>
        <v>8.2722082340042594E-2</v>
      </c>
      <c r="J40" s="223">
        <f t="shared" si="38"/>
        <v>9.1004145353696025E-2</v>
      </c>
      <c r="K40" s="223">
        <f t="shared" si="38"/>
        <v>0.10916381800890002</v>
      </c>
      <c r="L40" s="223">
        <f t="shared" si="38"/>
        <v>1.1270656158325798E-3</v>
      </c>
      <c r="M40" s="223">
        <f t="shared" si="38"/>
        <v>8.8045136934354715E-4</v>
      </c>
      <c r="N40" s="223">
        <f t="shared" si="38"/>
        <v>0</v>
      </c>
      <c r="O40" s="223">
        <f t="shared" si="38"/>
        <v>0</v>
      </c>
      <c r="P40" s="223">
        <f t="shared" si="38"/>
        <v>0</v>
      </c>
      <c r="Q40" s="223">
        <f t="shared" si="38"/>
        <v>0</v>
      </c>
      <c r="R40" s="223">
        <f t="shared" si="38"/>
        <v>3.9194188795687989E-3</v>
      </c>
      <c r="S40" s="223">
        <f t="shared" si="38"/>
        <v>3.960670888203446E-3</v>
      </c>
      <c r="T40" s="223">
        <f t="shared" si="38"/>
        <v>5.0151037592522773E-3</v>
      </c>
      <c r="U40" s="223">
        <f t="shared" si="38"/>
        <v>5.3572923552955305E-3</v>
      </c>
    </row>
    <row r="41" spans="1:89" x14ac:dyDescent="0.25">
      <c r="A41" s="183" t="s">
        <v>557</v>
      </c>
      <c r="B41" s="64"/>
      <c r="C41" s="64"/>
      <c r="D41" s="64"/>
      <c r="E41" s="90">
        <f>E4/E9</f>
        <v>-0.42127925946185729</v>
      </c>
      <c r="F41" s="90">
        <f t="shared" ref="F41:U41" si="39">F4/F9</f>
        <v>0.18318455945416751</v>
      </c>
      <c r="G41" s="90">
        <f t="shared" si="39"/>
        <v>0.2521566369942973</v>
      </c>
      <c r="H41" s="90">
        <f t="shared" si="39"/>
        <v>0.18439252726478692</v>
      </c>
      <c r="I41" s="90">
        <f t="shared" si="39"/>
        <v>0.19891645772221675</v>
      </c>
      <c r="J41" s="90">
        <f t="shared" si="39"/>
        <v>6.7422851368952416E-2</v>
      </c>
      <c r="K41" s="90">
        <f t="shared" si="39"/>
        <v>2.8209312213567872E-2</v>
      </c>
      <c r="L41" s="90">
        <f t="shared" si="39"/>
        <v>0.10988757181674583</v>
      </c>
      <c r="M41" s="90">
        <f t="shared" si="39"/>
        <v>7.1482849310997729E-2</v>
      </c>
      <c r="N41" s="213">
        <f t="shared" si="39"/>
        <v>7.2333756939913799E-2</v>
      </c>
      <c r="O41" s="213">
        <f t="shared" si="39"/>
        <v>0.14839921717237842</v>
      </c>
      <c r="P41" s="213">
        <f t="shared" si="39"/>
        <v>0.15835198970134351</v>
      </c>
      <c r="Q41" s="213">
        <f t="shared" si="39"/>
        <v>7.8382035202447811E-2</v>
      </c>
      <c r="R41" s="213">
        <f t="shared" si="39"/>
        <v>1.4742280795033197E-2</v>
      </c>
      <c r="S41" s="213">
        <f t="shared" si="39"/>
        <v>-2.9860821110073533E-2</v>
      </c>
      <c r="T41" s="213">
        <f t="shared" si="39"/>
        <v>1.6079326076442291E-2</v>
      </c>
      <c r="U41" s="213">
        <f t="shared" si="39"/>
        <v>6.6055020905937969E-2</v>
      </c>
    </row>
    <row r="42" spans="1:89" x14ac:dyDescent="0.25">
      <c r="A42" s="183" t="s">
        <v>334</v>
      </c>
      <c r="B42" s="64"/>
      <c r="C42" s="64"/>
      <c r="D42" s="64"/>
      <c r="E42" s="90">
        <f>E5/E9</f>
        <v>0.92105932593924289</v>
      </c>
      <c r="F42" s="90">
        <f t="shared" ref="F42:U42" si="40">F5/F9</f>
        <v>0.56832015356102861</v>
      </c>
      <c r="G42" s="90">
        <f t="shared" si="40"/>
        <v>0.5352024359948131</v>
      </c>
      <c r="H42" s="90">
        <f t="shared" si="40"/>
        <v>0.48097441949485148</v>
      </c>
      <c r="I42" s="90">
        <f t="shared" si="40"/>
        <v>0.48674681431683919</v>
      </c>
      <c r="J42" s="90">
        <f t="shared" si="40"/>
        <v>0.39060132221106647</v>
      </c>
      <c r="K42" s="90">
        <f t="shared" si="40"/>
        <v>0.40969206673217923</v>
      </c>
      <c r="L42" s="90">
        <f t="shared" si="40"/>
        <v>0.5415214319929178</v>
      </c>
      <c r="M42" s="90">
        <f t="shared" si="40"/>
        <v>0.55937426237366261</v>
      </c>
      <c r="N42" s="213">
        <f t="shared" si="40"/>
        <v>0.42184965197933189</v>
      </c>
      <c r="O42" s="213">
        <f t="shared" si="40"/>
        <v>0.47621861827276063</v>
      </c>
      <c r="P42" s="213">
        <f t="shared" si="40"/>
        <v>0.49299120318226275</v>
      </c>
      <c r="Q42" s="213">
        <f t="shared" si="40"/>
        <v>0.49310092202118183</v>
      </c>
      <c r="R42" s="213">
        <f t="shared" si="40"/>
        <v>0.59004376916095613</v>
      </c>
      <c r="S42" s="213">
        <f t="shared" si="40"/>
        <v>0.54652527394654504</v>
      </c>
      <c r="T42" s="213">
        <f t="shared" si="40"/>
        <v>0.48807541578129504</v>
      </c>
      <c r="U42" s="213">
        <f t="shared" si="40"/>
        <v>0.38972748665636908</v>
      </c>
    </row>
    <row r="43" spans="1:89" x14ac:dyDescent="0.25">
      <c r="A43" s="183" t="s">
        <v>335</v>
      </c>
      <c r="B43" s="64"/>
      <c r="C43" s="64"/>
      <c r="D43" s="64"/>
      <c r="E43" s="90">
        <f>E6/E9</f>
        <v>1.3423385854011001</v>
      </c>
      <c r="F43" s="90">
        <f t="shared" ref="F43:U43" si="41">F6/F9</f>
        <v>0.38513559410686116</v>
      </c>
      <c r="G43" s="90">
        <f t="shared" si="41"/>
        <v>0.2830457990005158</v>
      </c>
      <c r="H43" s="90">
        <f t="shared" si="41"/>
        <v>0.29658189223006459</v>
      </c>
      <c r="I43" s="90">
        <f t="shared" si="41"/>
        <v>0.28783035659462247</v>
      </c>
      <c r="J43" s="90">
        <f t="shared" si="41"/>
        <v>0.3231784708421141</v>
      </c>
      <c r="K43" s="90">
        <f t="shared" si="41"/>
        <v>0.38148275451861136</v>
      </c>
      <c r="L43" s="90">
        <f t="shared" si="41"/>
        <v>0.43163386017617195</v>
      </c>
      <c r="M43" s="90">
        <f t="shared" si="41"/>
        <v>0.48789141306266481</v>
      </c>
      <c r="N43" s="213">
        <f t="shared" si="41"/>
        <v>0.3495158950394181</v>
      </c>
      <c r="O43" s="213">
        <f t="shared" si="41"/>
        <v>0.32781940110038216</v>
      </c>
      <c r="P43" s="213">
        <f t="shared" si="41"/>
        <v>0.33463921348091924</v>
      </c>
      <c r="Q43" s="213">
        <f t="shared" si="41"/>
        <v>0.41471888681873403</v>
      </c>
      <c r="R43" s="213">
        <f t="shared" si="41"/>
        <v>0.57530148836592299</v>
      </c>
      <c r="S43" s="213">
        <f t="shared" si="41"/>
        <v>0.57638609505661853</v>
      </c>
      <c r="T43" s="213">
        <f t="shared" si="41"/>
        <v>0.47199608970485274</v>
      </c>
      <c r="U43" s="213">
        <f t="shared" si="41"/>
        <v>0.32367246575043113</v>
      </c>
    </row>
    <row r="44" spans="1:89" x14ac:dyDescent="0.25">
      <c r="A44" s="183" t="s">
        <v>336</v>
      </c>
      <c r="B44" s="64"/>
      <c r="C44" s="64"/>
      <c r="D44" s="64"/>
      <c r="E44" s="90">
        <f>E7/E9</f>
        <v>0.92077162749840469</v>
      </c>
      <c r="F44" s="90">
        <f t="shared" ref="F44:U44" si="42">F7/F9</f>
        <v>0.5871272425418127</v>
      </c>
      <c r="G44" s="90">
        <f t="shared" si="42"/>
        <v>0.47896162139593135</v>
      </c>
      <c r="H44" s="90">
        <f t="shared" si="42"/>
        <v>0.50531826381144518</v>
      </c>
      <c r="I44" s="90">
        <f t="shared" si="42"/>
        <v>0.47494920016567382</v>
      </c>
      <c r="J44" s="90">
        <f t="shared" si="42"/>
        <v>0.49484058371784229</v>
      </c>
      <c r="K44" s="90">
        <f t="shared" si="42"/>
        <v>0.49937992736132208</v>
      </c>
      <c r="L44" s="90">
        <f t="shared" si="42"/>
        <v>0.66363761208755478</v>
      </c>
      <c r="M44" s="90">
        <f t="shared" si="42"/>
        <v>0.6743932184711845</v>
      </c>
      <c r="N44" s="213">
        <f t="shared" si="42"/>
        <v>0.61586079871182997</v>
      </c>
      <c r="O44" s="213">
        <f t="shared" si="42"/>
        <v>0.70588317525540711</v>
      </c>
      <c r="P44" s="213">
        <f t="shared" si="42"/>
        <v>0.74320141227944281</v>
      </c>
      <c r="Q44" s="213">
        <f t="shared" si="42"/>
        <v>0.8385267996424266</v>
      </c>
      <c r="R44" s="213">
        <f t="shared" si="42"/>
        <v>0.89891189970525298</v>
      </c>
      <c r="S44" s="213">
        <f t="shared" si="42"/>
        <v>0.82225232155407335</v>
      </c>
      <c r="T44" s="213">
        <f t="shared" si="42"/>
        <v>0.7583072312437632</v>
      </c>
      <c r="U44" s="213">
        <f t="shared" si="42"/>
        <v>0.76822325524072999</v>
      </c>
    </row>
    <row r="45" spans="1:89" s="224" customFormat="1" x14ac:dyDescent="0.25">
      <c r="A45" s="221" t="s">
        <v>337</v>
      </c>
      <c r="B45" s="222"/>
      <c r="C45" s="222"/>
      <c r="D45" s="222"/>
      <c r="E45" s="223">
        <f>E8/E9</f>
        <v>0.49949236803654745</v>
      </c>
      <c r="F45" s="223">
        <f t="shared" ref="F45:U45" si="43">F8/F9</f>
        <v>0.77031180199598026</v>
      </c>
      <c r="G45" s="223">
        <f t="shared" si="43"/>
        <v>0.7311182583902287</v>
      </c>
      <c r="H45" s="223">
        <f t="shared" si="43"/>
        <v>0.68971079107623201</v>
      </c>
      <c r="I45" s="223">
        <f t="shared" si="43"/>
        <v>0.67386565788789055</v>
      </c>
      <c r="J45" s="223">
        <f t="shared" si="43"/>
        <v>0.56226343508679466</v>
      </c>
      <c r="K45" s="223">
        <f t="shared" si="43"/>
        <v>0.52758923957489001</v>
      </c>
      <c r="L45" s="223">
        <f t="shared" si="43"/>
        <v>0.77352518390430069</v>
      </c>
      <c r="M45" s="223">
        <f t="shared" si="43"/>
        <v>0.74587606778218218</v>
      </c>
      <c r="N45" s="223">
        <f t="shared" si="43"/>
        <v>0.68819455565174381</v>
      </c>
      <c r="O45" s="223">
        <f t="shared" si="43"/>
        <v>0.85428239242778548</v>
      </c>
      <c r="P45" s="223">
        <f t="shared" si="43"/>
        <v>0.90155340198078626</v>
      </c>
      <c r="Q45" s="223">
        <f t="shared" si="43"/>
        <v>0.91690883484487451</v>
      </c>
      <c r="R45" s="223">
        <f t="shared" si="43"/>
        <v>0.91365418050028635</v>
      </c>
      <c r="S45" s="223">
        <f t="shared" si="43"/>
        <v>0.79239150044399986</v>
      </c>
      <c r="T45" s="223">
        <f t="shared" si="43"/>
        <v>0.77438655732020545</v>
      </c>
      <c r="U45" s="223">
        <f t="shared" si="43"/>
        <v>0.83427827614666805</v>
      </c>
    </row>
    <row r="46" spans="1:89" x14ac:dyDescent="0.25">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90">
        <f>E10/E14</f>
        <v>0.57356373455026521</v>
      </c>
      <c r="F47" s="90">
        <f t="shared" ref="F47:U47" si="45">F10/F14</f>
        <v>0.15976873388551352</v>
      </c>
      <c r="G47" s="90">
        <f t="shared" si="45"/>
        <v>0.16976567102581377</v>
      </c>
      <c r="H47" s="90">
        <f t="shared" si="45"/>
        <v>0.16486671562981375</v>
      </c>
      <c r="I47" s="90">
        <f t="shared" si="45"/>
        <v>0.21291388562012831</v>
      </c>
      <c r="J47" s="90">
        <f t="shared" si="45"/>
        <v>0.14079166217331546</v>
      </c>
      <c r="K47" s="90">
        <f t="shared" si="45"/>
        <v>9.3877267744451279E-2</v>
      </c>
      <c r="L47" s="90">
        <f t="shared" si="45"/>
        <v>0.16876177358480279</v>
      </c>
      <c r="M47" s="90">
        <f t="shared" si="45"/>
        <v>0.16535947774166435</v>
      </c>
      <c r="N47" s="213">
        <f t="shared" si="45"/>
        <v>0.1343752911545659</v>
      </c>
      <c r="O47" s="213">
        <f t="shared" si="45"/>
        <v>0.1918399370307747</v>
      </c>
      <c r="P47" s="213">
        <f t="shared" si="45"/>
        <v>0.19827198626912007</v>
      </c>
      <c r="Q47" s="213">
        <f t="shared" si="45"/>
        <v>0.28840119498447686</v>
      </c>
      <c r="R47" s="213">
        <f t="shared" si="45"/>
        <v>0.35328025302539462</v>
      </c>
      <c r="S47" s="213">
        <f t="shared" si="45"/>
        <v>0.34949475547744535</v>
      </c>
      <c r="T47" s="213">
        <f t="shared" si="45"/>
        <v>0.35929884600117468</v>
      </c>
      <c r="U47" s="213">
        <f t="shared" si="45"/>
        <v>0.33722486283646758</v>
      </c>
    </row>
    <row r="48" spans="1:89" x14ac:dyDescent="0.25">
      <c r="A48" s="183" t="s">
        <v>340</v>
      </c>
      <c r="B48" s="64"/>
      <c r="C48" s="64"/>
      <c r="D48" s="64"/>
      <c r="E48" s="90">
        <f>E11/E14</f>
        <v>0.45558824883868609</v>
      </c>
      <c r="F48" s="90">
        <f t="shared" ref="F48:U48" si="46">F11/F14</f>
        <v>0.19378772257775065</v>
      </c>
      <c r="G48" s="90">
        <f t="shared" si="46"/>
        <v>0.23357539778201522</v>
      </c>
      <c r="H48" s="90">
        <f t="shared" si="46"/>
        <v>0.25255918703052549</v>
      </c>
      <c r="I48" s="90">
        <f t="shared" si="46"/>
        <v>0.35089092424903062</v>
      </c>
      <c r="J48" s="90">
        <f t="shared" si="46"/>
        <v>0.3890435517468831</v>
      </c>
      <c r="K48" s="90">
        <f t="shared" si="46"/>
        <v>0.61420044626633319</v>
      </c>
      <c r="L48" s="90">
        <f t="shared" si="46"/>
        <v>0.43516270461619072</v>
      </c>
      <c r="M48" s="90">
        <f t="shared" si="46"/>
        <v>0.50024975549355932</v>
      </c>
      <c r="N48" s="213">
        <f t="shared" si="46"/>
        <v>0.53789598936788441</v>
      </c>
      <c r="O48" s="213">
        <f t="shared" si="46"/>
        <v>0.39196557249100594</v>
      </c>
      <c r="P48" s="213">
        <f t="shared" si="46"/>
        <v>0.34855693395749726</v>
      </c>
      <c r="Q48" s="213">
        <f t="shared" si="46"/>
        <v>0.1754116521482266</v>
      </c>
      <c r="R48" s="213">
        <f t="shared" si="46"/>
        <v>2.2241296165652746E-2</v>
      </c>
      <c r="S48" s="213">
        <f t="shared" si="46"/>
        <v>3.2584643462895926E-2</v>
      </c>
      <c r="T48" s="213">
        <f t="shared" si="46"/>
        <v>0.10727526161030786</v>
      </c>
      <c r="U48" s="213">
        <f t="shared" si="46"/>
        <v>0.11448175051686874</v>
      </c>
    </row>
    <row r="49" spans="1:21" x14ac:dyDescent="0.25">
      <c r="A49" s="183" t="s">
        <v>341</v>
      </c>
      <c r="B49" s="64"/>
      <c r="C49" s="64"/>
      <c r="D49" s="64"/>
      <c r="E49" s="90">
        <f>E12/E14</f>
        <v>1.0291519833889513</v>
      </c>
      <c r="F49" s="90">
        <f t="shared" ref="F49:U49" si="47">F12/F14</f>
        <v>0.35355645646326411</v>
      </c>
      <c r="G49" s="90">
        <f t="shared" si="47"/>
        <v>0.403341068807829</v>
      </c>
      <c r="H49" s="90">
        <f t="shared" si="47"/>
        <v>0.4174259026603393</v>
      </c>
      <c r="I49" s="90">
        <f t="shared" si="47"/>
        <v>0.56380480986915893</v>
      </c>
      <c r="J49" s="90">
        <f t="shared" si="47"/>
        <v>0.5298352139201985</v>
      </c>
      <c r="K49" s="90">
        <f t="shared" si="47"/>
        <v>0.70807771401078445</v>
      </c>
      <c r="L49" s="90">
        <f t="shared" si="47"/>
        <v>0.6039244782009936</v>
      </c>
      <c r="M49" s="90">
        <f t="shared" si="47"/>
        <v>0.66560923323522359</v>
      </c>
      <c r="N49" s="213">
        <f t="shared" si="47"/>
        <v>0.67227128052245033</v>
      </c>
      <c r="O49" s="213">
        <f t="shared" si="47"/>
        <v>0.58380550952178056</v>
      </c>
      <c r="P49" s="213">
        <f t="shared" si="47"/>
        <v>0.54682892022661733</v>
      </c>
      <c r="Q49" s="213">
        <f t="shared" si="47"/>
        <v>0.46381284713270349</v>
      </c>
      <c r="R49" s="213">
        <f t="shared" si="47"/>
        <v>0.3755215491910473</v>
      </c>
      <c r="S49" s="213">
        <f t="shared" si="47"/>
        <v>0.38207939894034126</v>
      </c>
      <c r="T49" s="213">
        <f t="shared" si="47"/>
        <v>0.46657410761148255</v>
      </c>
      <c r="U49" s="213">
        <f t="shared" si="47"/>
        <v>0.45170661335333634</v>
      </c>
    </row>
    <row r="50" spans="1:21" x14ac:dyDescent="0.25">
      <c r="A50" s="183" t="s">
        <v>345</v>
      </c>
      <c r="B50" s="64"/>
      <c r="C50" s="64"/>
      <c r="D50" s="64"/>
      <c r="E50" s="90">
        <f>E13/E14</f>
        <v>-2.9151983388951315E-2</v>
      </c>
      <c r="F50" s="90">
        <f t="shared" ref="F50:U50" si="48">F13/F14</f>
        <v>0.64644354353673583</v>
      </c>
      <c r="G50" s="90">
        <f t="shared" si="48"/>
        <v>0.59665893119217095</v>
      </c>
      <c r="H50" s="90">
        <f t="shared" si="48"/>
        <v>0.5825740973396607</v>
      </c>
      <c r="I50" s="90">
        <f t="shared" si="48"/>
        <v>0.43619519013084107</v>
      </c>
      <c r="J50" s="90">
        <f t="shared" si="48"/>
        <v>0.47016478607980144</v>
      </c>
      <c r="K50" s="90">
        <f t="shared" si="48"/>
        <v>0.29192228598921549</v>
      </c>
      <c r="L50" s="90">
        <f t="shared" si="48"/>
        <v>0.39607552179900646</v>
      </c>
      <c r="M50" s="90">
        <f t="shared" si="48"/>
        <v>0.33439076676477641</v>
      </c>
      <c r="N50" s="213">
        <f t="shared" si="48"/>
        <v>0.32772871947754967</v>
      </c>
      <c r="O50" s="213">
        <f t="shared" si="48"/>
        <v>0.41619449047821938</v>
      </c>
      <c r="P50" s="213">
        <f t="shared" si="48"/>
        <v>0.45317107977338261</v>
      </c>
      <c r="Q50" s="213">
        <f t="shared" si="48"/>
        <v>0.53618715286729646</v>
      </c>
      <c r="R50" s="213">
        <f t="shared" si="48"/>
        <v>0.62447845080895259</v>
      </c>
      <c r="S50" s="213">
        <f t="shared" si="48"/>
        <v>0.61792060105965874</v>
      </c>
      <c r="T50" s="213">
        <f t="shared" si="48"/>
        <v>0.53342589238851745</v>
      </c>
      <c r="U50" s="213">
        <f t="shared" si="48"/>
        <v>0.54829338664666361</v>
      </c>
    </row>
    <row r="51" spans="1:21" x14ac:dyDescent="0.25">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640</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644</v>
      </c>
      <c r="B55" s="64"/>
      <c r="C55" s="64"/>
      <c r="D55" s="64"/>
      <c r="E55" s="213">
        <f>E2/E9</f>
        <v>0.22693899493968439</v>
      </c>
      <c r="F55" s="213">
        <f t="shared" ref="F55:U55" si="51">F2/F9</f>
        <v>0.14155728982774546</v>
      </c>
      <c r="G55" s="213">
        <f t="shared" si="51"/>
        <v>0.19534041644641703</v>
      </c>
      <c r="H55" s="213">
        <f t="shared" si="51"/>
        <v>0.23023899614465212</v>
      </c>
      <c r="I55" s="213">
        <f t="shared" si="51"/>
        <v>0.24341225977206685</v>
      </c>
      <c r="J55" s="213">
        <f t="shared" si="51"/>
        <v>0.3467324195595094</v>
      </c>
      <c r="K55" s="213">
        <f t="shared" si="51"/>
        <v>0.36324694241621008</v>
      </c>
      <c r="L55" s="213">
        <f t="shared" si="51"/>
        <v>0.22534775047986683</v>
      </c>
      <c r="M55" s="213">
        <f t="shared" si="51"/>
        <v>0.25324348084847426</v>
      </c>
      <c r="N55" s="213">
        <f t="shared" si="51"/>
        <v>0.31180544434825613</v>
      </c>
      <c r="O55" s="213">
        <f t="shared" si="51"/>
        <v>0.14571760757221455</v>
      </c>
      <c r="P55" s="213">
        <f t="shared" si="51"/>
        <v>9.8446598019213724E-2</v>
      </c>
      <c r="Q55" s="213">
        <f t="shared" si="51"/>
        <v>8.3091165155125463E-2</v>
      </c>
      <c r="R55" s="213">
        <f t="shared" si="51"/>
        <v>8.2426400620144835E-2</v>
      </c>
      <c r="S55" s="213">
        <f t="shared" si="51"/>
        <v>0.20364782866779682</v>
      </c>
      <c r="T55" s="213">
        <f t="shared" si="51"/>
        <v>0.22059833892054229</v>
      </c>
      <c r="U55" s="213">
        <f t="shared" si="51"/>
        <v>0.16036443149803647</v>
      </c>
    </row>
    <row r="56" spans="1:21" x14ac:dyDescent="0.25">
      <c r="A56" s="183" t="s">
        <v>645</v>
      </c>
      <c r="B56" s="64"/>
      <c r="C56" s="64"/>
      <c r="D56" s="64"/>
      <c r="E56" s="213">
        <f>E4/E9</f>
        <v>-0.42127925946185729</v>
      </c>
      <c r="F56" s="213">
        <f t="shared" ref="F56:U56" si="52">F4/F9</f>
        <v>0.18318455945416751</v>
      </c>
      <c r="G56" s="213">
        <f t="shared" si="52"/>
        <v>0.2521566369942973</v>
      </c>
      <c r="H56" s="213">
        <f t="shared" si="52"/>
        <v>0.18439252726478692</v>
      </c>
      <c r="I56" s="213">
        <f t="shared" si="52"/>
        <v>0.19891645772221675</v>
      </c>
      <c r="J56" s="213">
        <f t="shared" si="52"/>
        <v>6.7422851368952416E-2</v>
      </c>
      <c r="K56" s="213">
        <f t="shared" si="52"/>
        <v>2.8209312213567872E-2</v>
      </c>
      <c r="L56" s="213">
        <f t="shared" si="52"/>
        <v>0.10988757181674583</v>
      </c>
      <c r="M56" s="213">
        <f t="shared" si="52"/>
        <v>7.1482849310997729E-2</v>
      </c>
      <c r="N56" s="213">
        <f t="shared" si="52"/>
        <v>7.2333756939913799E-2</v>
      </c>
      <c r="O56" s="213">
        <f t="shared" si="52"/>
        <v>0.14839921717237842</v>
      </c>
      <c r="P56" s="213">
        <f t="shared" si="52"/>
        <v>0.15835198970134351</v>
      </c>
      <c r="Q56" s="213">
        <f t="shared" si="52"/>
        <v>7.8382035202447811E-2</v>
      </c>
      <c r="R56" s="213">
        <f t="shared" si="52"/>
        <v>1.4742280795033197E-2</v>
      </c>
      <c r="S56" s="213">
        <f t="shared" si="52"/>
        <v>-2.9860821110073533E-2</v>
      </c>
      <c r="T56" s="213">
        <f t="shared" si="52"/>
        <v>1.6079326076442291E-2</v>
      </c>
      <c r="U56" s="213">
        <f t="shared" si="52"/>
        <v>6.6055020905937969E-2</v>
      </c>
    </row>
    <row r="57" spans="1:21" x14ac:dyDescent="0.25">
      <c r="A57" s="183" t="s">
        <v>646</v>
      </c>
      <c r="B57" s="64"/>
      <c r="C57" s="64"/>
      <c r="D57" s="64"/>
      <c r="E57" s="213">
        <f>E5/E9</f>
        <v>0.92105932593924289</v>
      </c>
      <c r="F57" s="213">
        <f t="shared" ref="F57:U57" si="53">F5/F9</f>
        <v>0.56832015356102861</v>
      </c>
      <c r="G57" s="213">
        <f t="shared" si="53"/>
        <v>0.5352024359948131</v>
      </c>
      <c r="H57" s="213">
        <f t="shared" si="53"/>
        <v>0.48097441949485148</v>
      </c>
      <c r="I57" s="213">
        <f t="shared" si="53"/>
        <v>0.48674681431683919</v>
      </c>
      <c r="J57" s="213">
        <f t="shared" si="53"/>
        <v>0.39060132221106647</v>
      </c>
      <c r="K57" s="213">
        <f t="shared" si="53"/>
        <v>0.40969206673217923</v>
      </c>
      <c r="L57" s="213">
        <f t="shared" si="53"/>
        <v>0.5415214319929178</v>
      </c>
      <c r="M57" s="213">
        <f t="shared" si="53"/>
        <v>0.55937426237366261</v>
      </c>
      <c r="N57" s="213">
        <f t="shared" si="53"/>
        <v>0.42184965197933189</v>
      </c>
      <c r="O57" s="213">
        <f t="shared" si="53"/>
        <v>0.47621861827276063</v>
      </c>
      <c r="P57" s="213">
        <f t="shared" si="53"/>
        <v>0.49299120318226275</v>
      </c>
      <c r="Q57" s="213">
        <f t="shared" si="53"/>
        <v>0.49310092202118183</v>
      </c>
      <c r="R57" s="213">
        <f t="shared" si="53"/>
        <v>0.59004376916095613</v>
      </c>
      <c r="S57" s="213">
        <f t="shared" si="53"/>
        <v>0.54652527394654504</v>
      </c>
      <c r="T57" s="213">
        <f t="shared" si="53"/>
        <v>0.48807541578129504</v>
      </c>
      <c r="U57" s="213">
        <f t="shared" si="53"/>
        <v>0.38972748665636908</v>
      </c>
    </row>
    <row r="58" spans="1:21" x14ac:dyDescent="0.25">
      <c r="A58" s="183" t="s">
        <v>647</v>
      </c>
      <c r="B58" s="64"/>
      <c r="C58" s="64"/>
      <c r="D58" s="64"/>
      <c r="E58" s="213">
        <f>E6/E9</f>
        <v>1.3423385854011001</v>
      </c>
      <c r="F58" s="213">
        <f t="shared" ref="F58:U58" si="54">F6/F9</f>
        <v>0.38513559410686116</v>
      </c>
      <c r="G58" s="213">
        <f t="shared" si="54"/>
        <v>0.2830457990005158</v>
      </c>
      <c r="H58" s="213">
        <f t="shared" si="54"/>
        <v>0.29658189223006459</v>
      </c>
      <c r="I58" s="213">
        <f t="shared" si="54"/>
        <v>0.28783035659462247</v>
      </c>
      <c r="J58" s="213">
        <f t="shared" si="54"/>
        <v>0.3231784708421141</v>
      </c>
      <c r="K58" s="213">
        <f t="shared" si="54"/>
        <v>0.38148275451861136</v>
      </c>
      <c r="L58" s="213">
        <f t="shared" si="54"/>
        <v>0.43163386017617195</v>
      </c>
      <c r="M58" s="213">
        <f t="shared" si="54"/>
        <v>0.48789141306266481</v>
      </c>
      <c r="N58" s="213">
        <f t="shared" si="54"/>
        <v>0.3495158950394181</v>
      </c>
      <c r="O58" s="213">
        <f t="shared" si="54"/>
        <v>0.32781940110038216</v>
      </c>
      <c r="P58" s="213">
        <f t="shared" si="54"/>
        <v>0.33463921348091924</v>
      </c>
      <c r="Q58" s="213">
        <f t="shared" si="54"/>
        <v>0.41471888681873403</v>
      </c>
      <c r="R58" s="213">
        <f t="shared" si="54"/>
        <v>0.57530148836592299</v>
      </c>
      <c r="S58" s="213">
        <f t="shared" si="54"/>
        <v>0.57638609505661853</v>
      </c>
      <c r="T58" s="213">
        <f t="shared" si="54"/>
        <v>0.47199608970485274</v>
      </c>
      <c r="U58" s="213">
        <f t="shared" si="54"/>
        <v>0.32367246575043113</v>
      </c>
    </row>
    <row r="59" spans="1:21" s="224" customFormat="1" x14ac:dyDescent="0.25">
      <c r="A59" s="226" t="s">
        <v>641</v>
      </c>
      <c r="B59" s="222"/>
      <c r="C59" s="222"/>
      <c r="D59" s="222"/>
      <c r="E59" s="223">
        <f>E55+E56</f>
        <v>-0.1943402645221729</v>
      </c>
      <c r="F59" s="223">
        <f t="shared" ref="F59:U59" si="55">F55+F56</f>
        <v>0.32474184928191296</v>
      </c>
      <c r="G59" s="223">
        <f t="shared" si="55"/>
        <v>0.44749705344071433</v>
      </c>
      <c r="H59" s="223">
        <f t="shared" si="55"/>
        <v>0.41463152340943904</v>
      </c>
      <c r="I59" s="223">
        <f t="shared" si="55"/>
        <v>0.4423287174942836</v>
      </c>
      <c r="J59" s="223">
        <f t="shared" si="55"/>
        <v>0.41415527092846183</v>
      </c>
      <c r="K59" s="223">
        <f t="shared" si="55"/>
        <v>0.39145625462977796</v>
      </c>
      <c r="L59" s="223">
        <f t="shared" si="55"/>
        <v>0.33523532229661268</v>
      </c>
      <c r="M59" s="223">
        <f t="shared" si="55"/>
        <v>0.324726330159472</v>
      </c>
      <c r="N59" s="223">
        <f t="shared" si="55"/>
        <v>0.38413920128816992</v>
      </c>
      <c r="O59" s="223">
        <f t="shared" si="55"/>
        <v>0.294116824744593</v>
      </c>
      <c r="P59" s="223">
        <f t="shared" si="55"/>
        <v>0.25679858772055725</v>
      </c>
      <c r="Q59" s="223">
        <f t="shared" si="55"/>
        <v>0.16147320035757329</v>
      </c>
      <c r="R59" s="223">
        <f t="shared" si="55"/>
        <v>9.7168681415178038E-2</v>
      </c>
      <c r="S59" s="223">
        <f t="shared" si="55"/>
        <v>0.17378700755772328</v>
      </c>
      <c r="T59" s="223">
        <f t="shared" si="55"/>
        <v>0.23667766499698459</v>
      </c>
      <c r="U59" s="223">
        <f t="shared" si="55"/>
        <v>0.22641945240397443</v>
      </c>
    </row>
    <row r="60" spans="1:21" x14ac:dyDescent="0.25">
      <c r="A60" s="183" t="s">
        <v>648</v>
      </c>
      <c r="B60" s="64"/>
      <c r="C60" s="64"/>
      <c r="D60" s="64"/>
      <c r="E60" s="213">
        <f>E3/E9</f>
        <v>0.27356863702376821</v>
      </c>
      <c r="F60" s="213">
        <f t="shared" ref="F60:U60" si="56">F3/F9</f>
        <v>8.8130908176274184E-2</v>
      </c>
      <c r="G60" s="213">
        <f t="shared" si="56"/>
        <v>7.3541325163354362E-2</v>
      </c>
      <c r="H60" s="213">
        <f t="shared" si="56"/>
        <v>8.0050212779115879E-2</v>
      </c>
      <c r="I60" s="213">
        <f t="shared" si="56"/>
        <v>8.2722082340042594E-2</v>
      </c>
      <c r="J60" s="213">
        <f t="shared" si="56"/>
        <v>9.1004145353696025E-2</v>
      </c>
      <c r="K60" s="213">
        <f t="shared" si="56"/>
        <v>0.10916381800890002</v>
      </c>
      <c r="L60" s="213">
        <f t="shared" si="56"/>
        <v>1.1270656158325798E-3</v>
      </c>
      <c r="M60" s="213">
        <f t="shared" si="56"/>
        <v>8.8045136934354715E-4</v>
      </c>
      <c r="N60" s="213">
        <f t="shared" si="56"/>
        <v>0</v>
      </c>
      <c r="O60" s="213">
        <f t="shared" si="56"/>
        <v>0</v>
      </c>
      <c r="P60" s="213">
        <f t="shared" si="56"/>
        <v>0</v>
      </c>
      <c r="Q60" s="213">
        <f t="shared" si="56"/>
        <v>0</v>
      </c>
      <c r="R60" s="213">
        <f t="shared" si="56"/>
        <v>3.9194188795687989E-3</v>
      </c>
      <c r="S60" s="213">
        <f t="shared" si="56"/>
        <v>3.960670888203446E-3</v>
      </c>
      <c r="T60" s="213">
        <f t="shared" si="56"/>
        <v>5.0151037592522773E-3</v>
      </c>
      <c r="U60" s="213">
        <f t="shared" si="56"/>
        <v>5.3572923552955305E-3</v>
      </c>
    </row>
    <row r="61" spans="1:21" x14ac:dyDescent="0.25">
      <c r="A61" s="183" t="s">
        <v>649</v>
      </c>
      <c r="B61" s="64"/>
      <c r="C61" s="64"/>
      <c r="D61" s="64"/>
      <c r="E61" s="213">
        <f>E7/E9</f>
        <v>0.92077162749840469</v>
      </c>
      <c r="F61" s="213">
        <f t="shared" ref="F61:U61" si="57">F7/F9</f>
        <v>0.5871272425418127</v>
      </c>
      <c r="G61" s="213">
        <f t="shared" si="57"/>
        <v>0.47896162139593135</v>
      </c>
      <c r="H61" s="213">
        <f t="shared" si="57"/>
        <v>0.50531826381144518</v>
      </c>
      <c r="I61" s="213">
        <f t="shared" si="57"/>
        <v>0.47494920016567382</v>
      </c>
      <c r="J61" s="213">
        <f t="shared" si="57"/>
        <v>0.49484058371784229</v>
      </c>
      <c r="K61" s="213">
        <f t="shared" si="57"/>
        <v>0.49937992736132208</v>
      </c>
      <c r="L61" s="213">
        <f t="shared" si="57"/>
        <v>0.66363761208755478</v>
      </c>
      <c r="M61" s="213">
        <f t="shared" si="57"/>
        <v>0.6743932184711845</v>
      </c>
      <c r="N61" s="213">
        <f t="shared" si="57"/>
        <v>0.61586079871182997</v>
      </c>
      <c r="O61" s="213">
        <f t="shared" si="57"/>
        <v>0.70588317525540711</v>
      </c>
      <c r="P61" s="213">
        <f t="shared" si="57"/>
        <v>0.74320141227944281</v>
      </c>
      <c r="Q61" s="213">
        <f t="shared" si="57"/>
        <v>0.8385267996424266</v>
      </c>
      <c r="R61" s="213">
        <f t="shared" si="57"/>
        <v>0.89891189970525298</v>
      </c>
      <c r="S61" s="213">
        <f t="shared" si="57"/>
        <v>0.82225232155407335</v>
      </c>
      <c r="T61" s="213">
        <f t="shared" si="57"/>
        <v>0.7583072312437632</v>
      </c>
      <c r="U61" s="213">
        <f t="shared" si="57"/>
        <v>0.76822325524072999</v>
      </c>
    </row>
    <row r="62" spans="1:21" s="224" customFormat="1" x14ac:dyDescent="0.25">
      <c r="A62" s="226" t="s">
        <v>642</v>
      </c>
      <c r="B62" s="222"/>
      <c r="C62" s="222"/>
      <c r="D62" s="222"/>
      <c r="E62" s="223">
        <f>E60+E61</f>
        <v>1.194340264522173</v>
      </c>
      <c r="F62" s="223">
        <f t="shared" ref="F62:M62" si="58">F60+F61</f>
        <v>0.67525815071808692</v>
      </c>
      <c r="G62" s="223">
        <f t="shared" si="58"/>
        <v>0.55250294655928567</v>
      </c>
      <c r="H62" s="223">
        <f t="shared" si="58"/>
        <v>0.58536847659056102</v>
      </c>
      <c r="I62" s="223">
        <f t="shared" si="58"/>
        <v>0.5576712825057164</v>
      </c>
      <c r="J62" s="223">
        <f t="shared" si="58"/>
        <v>0.58584472907153828</v>
      </c>
      <c r="K62" s="223">
        <f t="shared" si="58"/>
        <v>0.60854374537022204</v>
      </c>
      <c r="L62" s="223">
        <f t="shared" si="58"/>
        <v>0.66476467770338732</v>
      </c>
      <c r="M62" s="223">
        <f t="shared" si="58"/>
        <v>0.67527366984052806</v>
      </c>
      <c r="N62" s="223">
        <f t="shared" ref="N62" si="59">N60+N61</f>
        <v>0.61586079871182997</v>
      </c>
      <c r="O62" s="223">
        <f t="shared" ref="O62" si="60">O60+O61</f>
        <v>0.70588317525540711</v>
      </c>
      <c r="P62" s="223">
        <f t="shared" ref="P62" si="61">P60+P61</f>
        <v>0.74320141227944281</v>
      </c>
      <c r="Q62" s="223">
        <f t="shared" ref="Q62" si="62">Q60+Q61</f>
        <v>0.8385267996424266</v>
      </c>
      <c r="R62" s="223">
        <f t="shared" ref="R62" si="63">R60+R61</f>
        <v>0.9028313185848218</v>
      </c>
      <c r="S62" s="223">
        <f t="shared" ref="S62" si="64">S60+S61</f>
        <v>0.82621299244227675</v>
      </c>
      <c r="T62" s="223">
        <f t="shared" ref="T62" si="65">T60+T61</f>
        <v>0.7633223350030155</v>
      </c>
      <c r="U62" s="223">
        <f t="shared" ref="U62" si="66">U60+U61</f>
        <v>0.77358054759602557</v>
      </c>
    </row>
    <row r="63" spans="1:21" x14ac:dyDescent="0.25">
      <c r="A63" s="225" t="s">
        <v>643</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81" t="s">
        <v>699</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1" t="s">
        <v>650</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651</v>
      </c>
      <c r="E67" s="192">
        <f>E10</f>
        <v>4381817445.4899998</v>
      </c>
      <c r="F67" s="192">
        <f t="shared" ref="F67:U67" si="68">F10</f>
        <v>3723922430.73</v>
      </c>
      <c r="G67" s="192">
        <f t="shared" si="68"/>
        <v>4728907787.2399998</v>
      </c>
      <c r="H67" s="192">
        <f t="shared" si="68"/>
        <v>4269841527.2600002</v>
      </c>
      <c r="I67" s="192">
        <f t="shared" si="68"/>
        <v>5328638440.5300007</v>
      </c>
      <c r="J67" s="192">
        <f t="shared" si="68"/>
        <v>3070905148.6300001</v>
      </c>
      <c r="K67" s="192">
        <f t="shared" si="68"/>
        <v>1688205259.7</v>
      </c>
      <c r="L67" s="192">
        <f t="shared" si="68"/>
        <v>2103070522.5899999</v>
      </c>
      <c r="M67" s="192">
        <f t="shared" si="68"/>
        <v>1886620907.95</v>
      </c>
      <c r="N67" s="192">
        <f t="shared" si="68"/>
        <v>1470921174.4200001</v>
      </c>
      <c r="O67" s="192">
        <f t="shared" si="68"/>
        <v>1623053658.8199999</v>
      </c>
      <c r="P67" s="192">
        <f t="shared" si="68"/>
        <v>1485133449.73</v>
      </c>
      <c r="Q67" s="192">
        <f t="shared" si="68"/>
        <v>1804348344.46</v>
      </c>
      <c r="R67" s="192">
        <f t="shared" si="68"/>
        <v>1802717514.4099998</v>
      </c>
      <c r="S67" s="192">
        <f t="shared" si="68"/>
        <v>1764826037.52</v>
      </c>
      <c r="T67" s="192">
        <f t="shared" si="68"/>
        <v>1453617366.71</v>
      </c>
      <c r="U67" s="192">
        <f t="shared" si="68"/>
        <v>1279000993.02</v>
      </c>
    </row>
    <row r="68" spans="1:21" x14ac:dyDescent="0.25">
      <c r="A68" s="17" t="s">
        <v>652</v>
      </c>
      <c r="E68" s="192">
        <f>E11</f>
        <v>3480527823.6199999</v>
      </c>
      <c r="F68" s="192">
        <f t="shared" ref="F68:U68" si="69">F11</f>
        <v>4516843999.1800003</v>
      </c>
      <c r="G68" s="192">
        <f t="shared" si="69"/>
        <v>6506359682.7600002</v>
      </c>
      <c r="H68" s="192">
        <f t="shared" si="69"/>
        <v>6540966748.5299997</v>
      </c>
      <c r="I68" s="192">
        <f t="shared" si="69"/>
        <v>8781817409.1399994</v>
      </c>
      <c r="J68" s="192">
        <f t="shared" si="69"/>
        <v>8485700272.7200003</v>
      </c>
      <c r="K68" s="192">
        <f t="shared" si="69"/>
        <v>11045234366.210001</v>
      </c>
      <c r="L68" s="192">
        <f t="shared" si="69"/>
        <v>5422897835.0299997</v>
      </c>
      <c r="M68" s="192">
        <f t="shared" si="69"/>
        <v>5707454213.0900002</v>
      </c>
      <c r="N68" s="192">
        <f t="shared" si="69"/>
        <v>5888006594.0600004</v>
      </c>
      <c r="O68" s="192">
        <f t="shared" si="69"/>
        <v>3316208118.1300001</v>
      </c>
      <c r="P68" s="192">
        <f t="shared" si="69"/>
        <v>2610825520.52</v>
      </c>
      <c r="Q68" s="192">
        <f t="shared" si="69"/>
        <v>1097442485.1800001</v>
      </c>
      <c r="R68" s="192">
        <f t="shared" si="69"/>
        <v>113492825.59</v>
      </c>
      <c r="S68" s="192">
        <f t="shared" si="69"/>
        <v>164541030.46000001</v>
      </c>
      <c r="T68" s="192">
        <f t="shared" si="69"/>
        <v>434004130.63</v>
      </c>
      <c r="U68" s="192">
        <f t="shared" si="69"/>
        <v>434197737.86000001</v>
      </c>
    </row>
    <row r="69" spans="1:21" x14ac:dyDescent="0.25">
      <c r="A69" s="17" t="s">
        <v>653</v>
      </c>
      <c r="E69" s="192">
        <f>E12</f>
        <v>7862345269.1099997</v>
      </c>
      <c r="F69" s="192">
        <f t="shared" ref="F69:U69" si="70">F12</f>
        <v>8240766429.9099998</v>
      </c>
      <c r="G69" s="192">
        <f t="shared" si="70"/>
        <v>11235267470</v>
      </c>
      <c r="H69" s="192">
        <f t="shared" si="70"/>
        <v>10810808275.790001</v>
      </c>
      <c r="I69" s="192">
        <f t="shared" si="70"/>
        <v>14110455849.67</v>
      </c>
      <c r="J69" s="192">
        <f t="shared" si="70"/>
        <v>11556605421.35</v>
      </c>
      <c r="K69" s="192">
        <f t="shared" si="70"/>
        <v>12733439625.910002</v>
      </c>
      <c r="L69" s="192">
        <f t="shared" si="70"/>
        <v>7525968357.6199999</v>
      </c>
      <c r="M69" s="192">
        <f t="shared" si="70"/>
        <v>7594075121.04</v>
      </c>
      <c r="N69" s="192">
        <f t="shared" si="70"/>
        <v>7358927768.4800005</v>
      </c>
      <c r="O69" s="192">
        <f t="shared" si="70"/>
        <v>4939261776.9499998</v>
      </c>
      <c r="P69" s="192">
        <f t="shared" si="70"/>
        <v>4095958970.25</v>
      </c>
      <c r="Q69" s="192">
        <f t="shared" si="70"/>
        <v>2901790829.6400003</v>
      </c>
      <c r="R69" s="192">
        <f t="shared" si="70"/>
        <v>1916210339.9999998</v>
      </c>
      <c r="S69" s="192">
        <f t="shared" si="70"/>
        <v>1929367067.98</v>
      </c>
      <c r="T69" s="192">
        <f t="shared" si="70"/>
        <v>1887621497.3400002</v>
      </c>
      <c r="U69" s="192">
        <f t="shared" si="70"/>
        <v>1713198730.8800001</v>
      </c>
    </row>
    <row r="70" spans="1:21" s="233" customFormat="1" x14ac:dyDescent="0.25">
      <c r="A70" s="233" t="s">
        <v>656</v>
      </c>
      <c r="E70" s="233">
        <f>E69/E74</f>
        <v>1.0291519833889513</v>
      </c>
      <c r="F70" s="233">
        <f t="shared" ref="F70:U70" si="71">F69/F74</f>
        <v>0.35355645646326411</v>
      </c>
      <c r="G70" s="233">
        <f t="shared" si="71"/>
        <v>0.403341068807829</v>
      </c>
      <c r="H70" s="233">
        <f t="shared" si="71"/>
        <v>0.4174259026603393</v>
      </c>
      <c r="I70" s="233">
        <f t="shared" si="71"/>
        <v>0.56380480986915893</v>
      </c>
      <c r="J70" s="233">
        <f t="shared" si="71"/>
        <v>0.5298352139201985</v>
      </c>
      <c r="K70" s="233">
        <f t="shared" si="71"/>
        <v>0.70807771401078445</v>
      </c>
      <c r="L70" s="233">
        <f t="shared" si="71"/>
        <v>0.6039244782009936</v>
      </c>
      <c r="M70" s="233">
        <f t="shared" si="71"/>
        <v>0.66560923323522359</v>
      </c>
      <c r="N70" s="233">
        <f t="shared" si="71"/>
        <v>0.67227128052245033</v>
      </c>
      <c r="O70" s="233">
        <f t="shared" si="71"/>
        <v>0.58380550952178056</v>
      </c>
      <c r="P70" s="233">
        <f t="shared" si="71"/>
        <v>0.54682892022661733</v>
      </c>
      <c r="Q70" s="233">
        <f t="shared" si="71"/>
        <v>0.46381284713270349</v>
      </c>
      <c r="R70" s="233">
        <f t="shared" si="71"/>
        <v>0.3755215491910473</v>
      </c>
      <c r="S70" s="233">
        <f t="shared" si="71"/>
        <v>0.38207939894034126</v>
      </c>
      <c r="T70" s="233">
        <f t="shared" si="71"/>
        <v>0.46657410761148255</v>
      </c>
      <c r="U70" s="233">
        <f t="shared" si="71"/>
        <v>0.45170661335333634</v>
      </c>
    </row>
    <row r="71" spans="1:21" x14ac:dyDescent="0.25">
      <c r="A71" s="17" t="s">
        <v>654</v>
      </c>
      <c r="E71" s="192">
        <f>E13</f>
        <v>-222710505.72000027</v>
      </c>
      <c r="F71" s="192">
        <f t="shared" ref="F71:U71" si="72">F13</f>
        <v>15067438749.950001</v>
      </c>
      <c r="G71" s="192">
        <f t="shared" si="72"/>
        <v>16620233342.769997</v>
      </c>
      <c r="H71" s="192">
        <f t="shared" si="72"/>
        <v>15087939758.029999</v>
      </c>
      <c r="I71" s="192">
        <f t="shared" si="72"/>
        <v>10916744349.179998</v>
      </c>
      <c r="J71" s="192">
        <f t="shared" si="72"/>
        <v>10255092098.419996</v>
      </c>
      <c r="K71" s="192">
        <f t="shared" si="72"/>
        <v>5249670665.4499989</v>
      </c>
      <c r="L71" s="192">
        <f t="shared" si="72"/>
        <v>4935802326.0899992</v>
      </c>
      <c r="M71" s="192">
        <f t="shared" si="72"/>
        <v>3815134279.6899996</v>
      </c>
      <c r="N71" s="192">
        <f t="shared" si="72"/>
        <v>3587438648.9000006</v>
      </c>
      <c r="O71" s="192">
        <f t="shared" si="72"/>
        <v>3521195852.1600008</v>
      </c>
      <c r="P71" s="192">
        <f t="shared" si="72"/>
        <v>3394425716.3400011</v>
      </c>
      <c r="Q71" s="192">
        <f t="shared" si="72"/>
        <v>3354592208.4300003</v>
      </c>
      <c r="R71" s="192">
        <f t="shared" si="72"/>
        <v>3186586940.5500011</v>
      </c>
      <c r="S71" s="192">
        <f t="shared" si="72"/>
        <v>3120282490.02</v>
      </c>
      <c r="T71" s="192">
        <f t="shared" si="72"/>
        <v>2158084139.8699999</v>
      </c>
      <c r="U71" s="192">
        <f t="shared" si="72"/>
        <v>2079525750.5300002</v>
      </c>
    </row>
    <row r="72" spans="1:21" s="233" customFormat="1" x14ac:dyDescent="0.25">
      <c r="A72" s="233" t="s">
        <v>657</v>
      </c>
      <c r="E72" s="233">
        <f>E71/E74</f>
        <v>-2.9151983388951315E-2</v>
      </c>
      <c r="F72" s="233">
        <f t="shared" ref="F72:U72" si="73">F71/F74</f>
        <v>0.64644354353673583</v>
      </c>
      <c r="G72" s="233">
        <f t="shared" si="73"/>
        <v>0.59665893119217095</v>
      </c>
      <c r="H72" s="233">
        <f t="shared" si="73"/>
        <v>0.5825740973396607</v>
      </c>
      <c r="I72" s="233">
        <f t="shared" si="73"/>
        <v>0.43619519013084107</v>
      </c>
      <c r="J72" s="233">
        <f t="shared" si="73"/>
        <v>0.47016478607980144</v>
      </c>
      <c r="K72" s="233">
        <f t="shared" si="73"/>
        <v>0.29192228598921549</v>
      </c>
      <c r="L72" s="233">
        <f t="shared" si="73"/>
        <v>0.39607552179900646</v>
      </c>
      <c r="M72" s="233">
        <f t="shared" si="73"/>
        <v>0.33439076676477641</v>
      </c>
      <c r="N72" s="233">
        <f t="shared" si="73"/>
        <v>0.32772871947754967</v>
      </c>
      <c r="O72" s="233">
        <f t="shared" si="73"/>
        <v>0.41619449047821938</v>
      </c>
      <c r="P72" s="233">
        <f t="shared" si="73"/>
        <v>0.45317107977338261</v>
      </c>
      <c r="Q72" s="233">
        <f t="shared" si="73"/>
        <v>0.53618715286729646</v>
      </c>
      <c r="R72" s="233">
        <f t="shared" si="73"/>
        <v>0.62447845080895259</v>
      </c>
      <c r="S72" s="233">
        <f t="shared" si="73"/>
        <v>0.61792060105965874</v>
      </c>
      <c r="T72" s="233">
        <f t="shared" si="73"/>
        <v>0.53342589238851745</v>
      </c>
      <c r="U72" s="233">
        <f t="shared" si="73"/>
        <v>0.54829338664666361</v>
      </c>
    </row>
    <row r="73" spans="1:21" s="235" customFormat="1" x14ac:dyDescent="0.25">
      <c r="A73" s="234" t="s">
        <v>658</v>
      </c>
      <c r="E73" s="236">
        <f>E74/E71</f>
        <v>-34.30298332219148</v>
      </c>
      <c r="F73" s="236">
        <f t="shared" ref="F73:U73" si="74">F74/F71</f>
        <v>1.5469254972041844</v>
      </c>
      <c r="G73" s="236">
        <f t="shared" si="74"/>
        <v>1.6759993820957682</v>
      </c>
      <c r="H73" s="236">
        <f t="shared" si="74"/>
        <v>1.7165198462590856</v>
      </c>
      <c r="I73" s="236">
        <f t="shared" si="74"/>
        <v>2.2925516434512727</v>
      </c>
      <c r="J73" s="236">
        <f t="shared" si="74"/>
        <v>2.1269138600062432</v>
      </c>
      <c r="K73" s="236">
        <f t="shared" si="74"/>
        <v>3.425569228506737</v>
      </c>
      <c r="L73" s="236">
        <f t="shared" si="74"/>
        <v>2.5247710220967976</v>
      </c>
      <c r="M73" s="236">
        <f t="shared" si="74"/>
        <v>2.9905131941141163</v>
      </c>
      <c r="N73" s="236">
        <f t="shared" si="74"/>
        <v>3.0513041444587308</v>
      </c>
      <c r="O73" s="236">
        <f t="shared" si="74"/>
        <v>2.4027228204077651</v>
      </c>
      <c r="P73" s="236">
        <f t="shared" si="74"/>
        <v>2.2066721479668785</v>
      </c>
      <c r="Q73" s="236">
        <f t="shared" si="74"/>
        <v>1.8650204404421729</v>
      </c>
      <c r="R73" s="236">
        <f t="shared" si="74"/>
        <v>1.6013362810271432</v>
      </c>
      <c r="S73" s="236">
        <f t="shared" si="74"/>
        <v>1.6183308960489771</v>
      </c>
      <c r="T73" s="236">
        <f t="shared" si="74"/>
        <v>1.874674653534921</v>
      </c>
      <c r="U73" s="236">
        <f t="shared" si="74"/>
        <v>1.823841075516071</v>
      </c>
    </row>
    <row r="74" spans="1:21" x14ac:dyDescent="0.25">
      <c r="A74" s="17" t="s">
        <v>655</v>
      </c>
      <c r="E74" s="192">
        <f>E14</f>
        <v>7639634763.3899994</v>
      </c>
      <c r="F74" s="192">
        <f t="shared" ref="F74:U74" si="75">F14</f>
        <v>23308205179.860001</v>
      </c>
      <c r="G74" s="192">
        <f t="shared" si="75"/>
        <v>27855500812.769997</v>
      </c>
      <c r="H74" s="192">
        <f t="shared" si="75"/>
        <v>25898748033.82</v>
      </c>
      <c r="I74" s="192">
        <f t="shared" si="75"/>
        <v>25027200198.849998</v>
      </c>
      <c r="J74" s="192">
        <f t="shared" si="75"/>
        <v>21811697519.769997</v>
      </c>
      <c r="K74" s="192">
        <f t="shared" si="75"/>
        <v>17983110291.360001</v>
      </c>
      <c r="L74" s="192">
        <f t="shared" si="75"/>
        <v>12461770683.709999</v>
      </c>
      <c r="M74" s="192">
        <f t="shared" si="75"/>
        <v>11409209400.73</v>
      </c>
      <c r="N74" s="192">
        <f t="shared" si="75"/>
        <v>10946366417.380001</v>
      </c>
      <c r="O74" s="192">
        <f t="shared" si="75"/>
        <v>8460457629.1100006</v>
      </c>
      <c r="P74" s="192">
        <f t="shared" si="75"/>
        <v>7490384686.5900011</v>
      </c>
      <c r="Q74" s="192">
        <f t="shared" si="75"/>
        <v>6256383038.0700006</v>
      </c>
      <c r="R74" s="192">
        <f t="shared" si="75"/>
        <v>5102797280.5500011</v>
      </c>
      <c r="S74" s="192">
        <f t="shared" si="75"/>
        <v>5049649558</v>
      </c>
      <c r="T74" s="192">
        <f t="shared" si="75"/>
        <v>4045705637.21</v>
      </c>
      <c r="U74" s="192">
        <f t="shared" si="75"/>
        <v>3792724481.4100003</v>
      </c>
    </row>
    <row r="75" spans="1:21" ht="83.4" customHeight="1" x14ac:dyDescent="0.25">
      <c r="A75" s="279" t="s">
        <v>700</v>
      </c>
      <c r="B75" s="278"/>
      <c r="C75" s="278"/>
      <c r="D75" s="278"/>
      <c r="E75" s="278"/>
      <c r="F75" s="278"/>
      <c r="G75" s="278"/>
      <c r="H75" s="278"/>
      <c r="I75" s="278"/>
      <c r="J75" s="278"/>
      <c r="K75" s="278"/>
      <c r="L75" s="278"/>
      <c r="M75" s="278"/>
      <c r="N75" s="278"/>
      <c r="O75" s="278"/>
      <c r="P75" s="278"/>
      <c r="Q75" s="278"/>
      <c r="R75" s="278"/>
      <c r="S75" s="278"/>
      <c r="T75" s="278"/>
      <c r="U75" s="278"/>
    </row>
    <row r="77" spans="1:21" s="237" customFormat="1" x14ac:dyDescent="0.25">
      <c r="A77" s="238" t="s">
        <v>659</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651</v>
      </c>
      <c r="B78" s="64"/>
      <c r="C78" s="64"/>
      <c r="D78" s="64"/>
      <c r="E78" s="89">
        <f>E10</f>
        <v>4381817445.4899998</v>
      </c>
      <c r="F78" s="89">
        <f t="shared" ref="F78:U78" si="77">F10</f>
        <v>3723922430.73</v>
      </c>
      <c r="G78" s="89">
        <f t="shared" si="77"/>
        <v>4728907787.2399998</v>
      </c>
      <c r="H78" s="89">
        <f t="shared" si="77"/>
        <v>4269841527.2600002</v>
      </c>
      <c r="I78" s="89">
        <f t="shared" si="77"/>
        <v>5328638440.5300007</v>
      </c>
      <c r="J78" s="89">
        <f t="shared" si="77"/>
        <v>3070905148.6300001</v>
      </c>
      <c r="K78" s="89">
        <f t="shared" si="77"/>
        <v>1688205259.7</v>
      </c>
      <c r="L78" s="89">
        <f t="shared" si="77"/>
        <v>2103070522.5899999</v>
      </c>
      <c r="M78" s="89">
        <f t="shared" si="77"/>
        <v>1886620907.95</v>
      </c>
      <c r="N78" s="89">
        <f t="shared" si="77"/>
        <v>1470921174.4200001</v>
      </c>
      <c r="O78" s="89">
        <f t="shared" si="77"/>
        <v>1623053658.8199999</v>
      </c>
      <c r="P78" s="89">
        <f t="shared" si="77"/>
        <v>1485133449.73</v>
      </c>
      <c r="Q78" s="89">
        <f t="shared" si="77"/>
        <v>1804348344.46</v>
      </c>
      <c r="R78" s="89">
        <f t="shared" si="77"/>
        <v>1802717514.4099998</v>
      </c>
      <c r="S78" s="89">
        <f t="shared" si="77"/>
        <v>1764826037.52</v>
      </c>
      <c r="T78" s="89">
        <f t="shared" si="77"/>
        <v>1453617366.71</v>
      </c>
      <c r="U78" s="89">
        <f t="shared" si="77"/>
        <v>1279000993.02</v>
      </c>
    </row>
    <row r="79" spans="1:21" x14ac:dyDescent="0.25">
      <c r="A79" s="183" t="s">
        <v>660</v>
      </c>
      <c r="B79" s="64"/>
      <c r="C79" s="64"/>
      <c r="D79" s="64"/>
      <c r="E79" s="89">
        <f>E78</f>
        <v>4381817445.4899998</v>
      </c>
      <c r="F79" s="89">
        <f t="shared" ref="F79:U79" si="78">F78</f>
        <v>3723922430.73</v>
      </c>
      <c r="G79" s="89">
        <f t="shared" si="78"/>
        <v>4728907787.2399998</v>
      </c>
      <c r="H79" s="89">
        <f t="shared" si="78"/>
        <v>4269841527.2600002</v>
      </c>
      <c r="I79" s="89">
        <f t="shared" si="78"/>
        <v>5328638440.5300007</v>
      </c>
      <c r="J79" s="89">
        <f t="shared" si="78"/>
        <v>3070905148.6300001</v>
      </c>
      <c r="K79" s="89">
        <f t="shared" si="78"/>
        <v>1688205259.7</v>
      </c>
      <c r="L79" s="89">
        <f t="shared" si="78"/>
        <v>2103070522.5899999</v>
      </c>
      <c r="M79" s="89">
        <f t="shared" si="78"/>
        <v>1886620907.95</v>
      </c>
      <c r="N79" s="89">
        <f t="shared" si="78"/>
        <v>1470921174.4200001</v>
      </c>
      <c r="O79" s="89">
        <f t="shared" si="78"/>
        <v>1623053658.8199999</v>
      </c>
      <c r="P79" s="89">
        <f t="shared" si="78"/>
        <v>1485133449.73</v>
      </c>
      <c r="Q79" s="89">
        <f t="shared" si="78"/>
        <v>1804348344.46</v>
      </c>
      <c r="R79" s="89">
        <f t="shared" si="78"/>
        <v>1802717514.4099998</v>
      </c>
      <c r="S79" s="89">
        <f t="shared" si="78"/>
        <v>1764826037.52</v>
      </c>
      <c r="T79" s="89">
        <f t="shared" si="78"/>
        <v>1453617366.71</v>
      </c>
      <c r="U79" s="89">
        <f t="shared" si="78"/>
        <v>1279000993.02</v>
      </c>
    </row>
    <row r="80" spans="1:21" s="219" customFormat="1" x14ac:dyDescent="0.25">
      <c r="A80" s="223" t="s">
        <v>661</v>
      </c>
      <c r="B80" s="223"/>
      <c r="C80" s="223"/>
      <c r="D80" s="223"/>
      <c r="E80" s="223">
        <f>E79/E85</f>
        <v>0.57356373455026521</v>
      </c>
      <c r="F80" s="223">
        <f t="shared" ref="F80:U80" si="79">F79/F85</f>
        <v>0.15976873388551352</v>
      </c>
      <c r="G80" s="223">
        <f t="shared" si="79"/>
        <v>0.16976567102581377</v>
      </c>
      <c r="H80" s="223">
        <f t="shared" si="79"/>
        <v>0.16486671562981375</v>
      </c>
      <c r="I80" s="223">
        <f t="shared" si="79"/>
        <v>0.21291388562012831</v>
      </c>
      <c r="J80" s="223">
        <f t="shared" si="79"/>
        <v>0.14079166217331546</v>
      </c>
      <c r="K80" s="223">
        <f t="shared" si="79"/>
        <v>9.3877267744451279E-2</v>
      </c>
      <c r="L80" s="223">
        <f t="shared" si="79"/>
        <v>0.16876177358480279</v>
      </c>
      <c r="M80" s="223">
        <f t="shared" si="79"/>
        <v>0.16535947774166435</v>
      </c>
      <c r="N80" s="223">
        <f t="shared" si="79"/>
        <v>0.1343752911545659</v>
      </c>
      <c r="O80" s="223">
        <f t="shared" si="79"/>
        <v>0.1918399370307747</v>
      </c>
      <c r="P80" s="223">
        <f t="shared" si="79"/>
        <v>0.19827198626912007</v>
      </c>
      <c r="Q80" s="223">
        <f t="shared" si="79"/>
        <v>0.28840119498447686</v>
      </c>
      <c r="R80" s="223">
        <f t="shared" si="79"/>
        <v>0.35328025302539462</v>
      </c>
      <c r="S80" s="223">
        <f t="shared" si="79"/>
        <v>0.34949475547744535</v>
      </c>
      <c r="T80" s="223">
        <f t="shared" si="79"/>
        <v>0.35929884600117468</v>
      </c>
      <c r="U80" s="223">
        <f t="shared" si="79"/>
        <v>0.33722486283646758</v>
      </c>
    </row>
    <row r="81" spans="1:21" x14ac:dyDescent="0.25">
      <c r="A81" s="183" t="s">
        <v>652</v>
      </c>
      <c r="B81" s="64"/>
      <c r="C81" s="64"/>
      <c r="D81" s="64"/>
      <c r="E81" s="89">
        <f>E11</f>
        <v>3480527823.6199999</v>
      </c>
      <c r="F81" s="89">
        <f t="shared" ref="F81:U81" si="80">F11</f>
        <v>4516843999.1800003</v>
      </c>
      <c r="G81" s="89">
        <f t="shared" si="80"/>
        <v>6506359682.7600002</v>
      </c>
      <c r="H81" s="89">
        <f t="shared" si="80"/>
        <v>6540966748.5299997</v>
      </c>
      <c r="I81" s="89">
        <f t="shared" si="80"/>
        <v>8781817409.1399994</v>
      </c>
      <c r="J81" s="89">
        <f t="shared" si="80"/>
        <v>8485700272.7200003</v>
      </c>
      <c r="K81" s="89">
        <f t="shared" si="80"/>
        <v>11045234366.210001</v>
      </c>
      <c r="L81" s="89">
        <f t="shared" si="80"/>
        <v>5422897835.0299997</v>
      </c>
      <c r="M81" s="89">
        <f t="shared" si="80"/>
        <v>5707454213.0900002</v>
      </c>
      <c r="N81" s="89">
        <f t="shared" si="80"/>
        <v>5888006594.0600004</v>
      </c>
      <c r="O81" s="89">
        <f t="shared" si="80"/>
        <v>3316208118.1300001</v>
      </c>
      <c r="P81" s="89">
        <f t="shared" si="80"/>
        <v>2610825520.52</v>
      </c>
      <c r="Q81" s="89">
        <f t="shared" si="80"/>
        <v>1097442485.1800001</v>
      </c>
      <c r="R81" s="89">
        <f t="shared" si="80"/>
        <v>113492825.59</v>
      </c>
      <c r="S81" s="89">
        <f t="shared" si="80"/>
        <v>164541030.46000001</v>
      </c>
      <c r="T81" s="89">
        <f t="shared" si="80"/>
        <v>434004130.63</v>
      </c>
      <c r="U81" s="89">
        <f t="shared" si="80"/>
        <v>434197737.86000001</v>
      </c>
    </row>
    <row r="82" spans="1:21" x14ac:dyDescent="0.25">
      <c r="A82" s="183" t="s">
        <v>654</v>
      </c>
      <c r="B82" s="64"/>
      <c r="C82" s="64"/>
      <c r="D82" s="64"/>
      <c r="E82" s="89">
        <f>E13</f>
        <v>-222710505.72000027</v>
      </c>
      <c r="F82" s="89">
        <f t="shared" ref="F82:U82" si="81">F13</f>
        <v>15067438749.950001</v>
      </c>
      <c r="G82" s="89">
        <f t="shared" si="81"/>
        <v>16620233342.769997</v>
      </c>
      <c r="H82" s="89">
        <f t="shared" si="81"/>
        <v>15087939758.029999</v>
      </c>
      <c r="I82" s="89">
        <f t="shared" si="81"/>
        <v>10916744349.179998</v>
      </c>
      <c r="J82" s="89">
        <f t="shared" si="81"/>
        <v>10255092098.419996</v>
      </c>
      <c r="K82" s="89">
        <f t="shared" si="81"/>
        <v>5249670665.4499989</v>
      </c>
      <c r="L82" s="89">
        <f t="shared" si="81"/>
        <v>4935802326.0899992</v>
      </c>
      <c r="M82" s="89">
        <f t="shared" si="81"/>
        <v>3815134279.6899996</v>
      </c>
      <c r="N82" s="89">
        <f t="shared" si="81"/>
        <v>3587438648.9000006</v>
      </c>
      <c r="O82" s="89">
        <f t="shared" si="81"/>
        <v>3521195852.1600008</v>
      </c>
      <c r="P82" s="89">
        <f t="shared" si="81"/>
        <v>3394425716.3400011</v>
      </c>
      <c r="Q82" s="89">
        <f t="shared" si="81"/>
        <v>3354592208.4300003</v>
      </c>
      <c r="R82" s="89">
        <f t="shared" si="81"/>
        <v>3186586940.5500011</v>
      </c>
      <c r="S82" s="89">
        <f t="shared" si="81"/>
        <v>3120282490.02</v>
      </c>
      <c r="T82" s="89">
        <f t="shared" si="81"/>
        <v>2158084139.8699999</v>
      </c>
      <c r="U82" s="89">
        <f t="shared" si="81"/>
        <v>2079525750.5300002</v>
      </c>
    </row>
    <row r="83" spans="1:21" x14ac:dyDescent="0.25">
      <c r="A83" s="183" t="s">
        <v>662</v>
      </c>
      <c r="B83" s="64"/>
      <c r="C83" s="64"/>
      <c r="D83" s="64"/>
      <c r="E83" s="89">
        <f>E81+E82</f>
        <v>3257817317.8999996</v>
      </c>
      <c r="F83" s="89">
        <f t="shared" ref="F83:U83" si="82">F81+F82</f>
        <v>19584282749.130001</v>
      </c>
      <c r="G83" s="89">
        <f t="shared" si="82"/>
        <v>23126593025.529999</v>
      </c>
      <c r="H83" s="89">
        <f t="shared" si="82"/>
        <v>21628906506.559998</v>
      </c>
      <c r="I83" s="89">
        <f t="shared" si="82"/>
        <v>19698561758.32</v>
      </c>
      <c r="J83" s="89">
        <f t="shared" si="82"/>
        <v>18740792371.139996</v>
      </c>
      <c r="K83" s="89">
        <f t="shared" si="82"/>
        <v>16294905031.66</v>
      </c>
      <c r="L83" s="89">
        <f t="shared" si="82"/>
        <v>10358700161.119999</v>
      </c>
      <c r="M83" s="89">
        <f t="shared" si="82"/>
        <v>9522588492.7799988</v>
      </c>
      <c r="N83" s="89">
        <f t="shared" si="82"/>
        <v>9475445242.960001</v>
      </c>
      <c r="O83" s="89">
        <f t="shared" si="82"/>
        <v>6837403970.2900009</v>
      </c>
      <c r="P83" s="89">
        <f t="shared" si="82"/>
        <v>6005251236.8600006</v>
      </c>
      <c r="Q83" s="89">
        <f t="shared" si="82"/>
        <v>4452034693.6100006</v>
      </c>
      <c r="R83" s="89">
        <f t="shared" si="82"/>
        <v>3300079766.1400013</v>
      </c>
      <c r="S83" s="89">
        <f t="shared" si="82"/>
        <v>3284823520.48</v>
      </c>
      <c r="T83" s="89">
        <f t="shared" si="82"/>
        <v>2592088270.5</v>
      </c>
      <c r="U83" s="89">
        <f t="shared" si="82"/>
        <v>2513723488.3900003</v>
      </c>
    </row>
    <row r="84" spans="1:21" s="219" customFormat="1" x14ac:dyDescent="0.25">
      <c r="A84" s="223" t="s">
        <v>663</v>
      </c>
      <c r="B84" s="223"/>
      <c r="C84" s="223"/>
      <c r="D84" s="223"/>
      <c r="E84" s="223">
        <f>E83/E85</f>
        <v>0.42643626544973479</v>
      </c>
      <c r="F84" s="223">
        <f t="shared" ref="F84:U84" si="83">F83/F85</f>
        <v>0.84023126611448651</v>
      </c>
      <c r="G84" s="223">
        <f t="shared" si="83"/>
        <v>0.83023432897418625</v>
      </c>
      <c r="H84" s="223">
        <f t="shared" si="83"/>
        <v>0.83513328437018619</v>
      </c>
      <c r="I84" s="223">
        <f t="shared" si="83"/>
        <v>0.78708611437987175</v>
      </c>
      <c r="J84" s="223">
        <f t="shared" si="83"/>
        <v>0.85920833782668449</v>
      </c>
      <c r="K84" s="223">
        <f t="shared" si="83"/>
        <v>0.90612273225554874</v>
      </c>
      <c r="L84" s="223">
        <f t="shared" si="83"/>
        <v>0.83123822641519718</v>
      </c>
      <c r="M84" s="223">
        <f t="shared" si="83"/>
        <v>0.83464052225833563</v>
      </c>
      <c r="N84" s="223">
        <f t="shared" si="83"/>
        <v>0.86562470884543408</v>
      </c>
      <c r="O84" s="223">
        <f t="shared" si="83"/>
        <v>0.80816006296922538</v>
      </c>
      <c r="P84" s="223">
        <f t="shared" si="83"/>
        <v>0.80172801373087987</v>
      </c>
      <c r="Q84" s="223">
        <f t="shared" si="83"/>
        <v>0.71159880501552308</v>
      </c>
      <c r="R84" s="223">
        <f t="shared" si="83"/>
        <v>0.64671974697460544</v>
      </c>
      <c r="S84" s="223">
        <f t="shared" si="83"/>
        <v>0.65050524452255465</v>
      </c>
      <c r="T84" s="223">
        <f t="shared" si="83"/>
        <v>0.64070115399882532</v>
      </c>
      <c r="U84" s="223">
        <f t="shared" si="83"/>
        <v>0.66277513716353242</v>
      </c>
    </row>
    <row r="85" spans="1:21" x14ac:dyDescent="0.25">
      <c r="A85" s="183" t="s">
        <v>655</v>
      </c>
      <c r="B85" s="64"/>
      <c r="C85" s="64"/>
      <c r="D85" s="64"/>
      <c r="E85" s="89">
        <f>E14</f>
        <v>7639634763.3899994</v>
      </c>
      <c r="F85" s="89">
        <f t="shared" ref="F85:U85" si="84">F14</f>
        <v>23308205179.860001</v>
      </c>
      <c r="G85" s="89">
        <f t="shared" si="84"/>
        <v>27855500812.769997</v>
      </c>
      <c r="H85" s="89">
        <f t="shared" si="84"/>
        <v>25898748033.82</v>
      </c>
      <c r="I85" s="89">
        <f t="shared" si="84"/>
        <v>25027200198.849998</v>
      </c>
      <c r="J85" s="89">
        <f t="shared" si="84"/>
        <v>21811697519.769997</v>
      </c>
      <c r="K85" s="89">
        <f t="shared" si="84"/>
        <v>17983110291.360001</v>
      </c>
      <c r="L85" s="89">
        <f t="shared" si="84"/>
        <v>12461770683.709999</v>
      </c>
      <c r="M85" s="89">
        <f t="shared" si="84"/>
        <v>11409209400.73</v>
      </c>
      <c r="N85" s="89">
        <f t="shared" si="84"/>
        <v>10946366417.380001</v>
      </c>
      <c r="O85" s="89">
        <f t="shared" si="84"/>
        <v>8460457629.1100006</v>
      </c>
      <c r="P85" s="89">
        <f t="shared" si="84"/>
        <v>7490384686.5900011</v>
      </c>
      <c r="Q85" s="89">
        <f t="shared" si="84"/>
        <v>6256383038.0700006</v>
      </c>
      <c r="R85" s="89">
        <f t="shared" si="84"/>
        <v>5102797280.5500011</v>
      </c>
      <c r="S85" s="89">
        <f t="shared" si="84"/>
        <v>5049649558</v>
      </c>
      <c r="T85" s="89">
        <f t="shared" si="84"/>
        <v>4045705637.21</v>
      </c>
      <c r="U85" s="89">
        <f t="shared" si="84"/>
        <v>3792724481.4100003</v>
      </c>
    </row>
    <row r="87" spans="1:21" s="56" customFormat="1" ht="85.8" customHeight="1" x14ac:dyDescent="0.25">
      <c r="A87" s="277" t="s">
        <v>701</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1.5546875" bestFit="1" customWidth="1"/>
    <col min="6" max="8" width="20.44140625" hidden="1" customWidth="1"/>
    <col min="9" max="9" width="21.5546875" bestFit="1" customWidth="1"/>
    <col min="10" max="11" width="20.44140625" hidden="1" customWidth="1"/>
    <col min="12"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2" width="19.33203125" hidden="1" customWidth="1"/>
    <col min="23" max="24" width="17.21875" hidden="1" customWidth="1"/>
    <col min="25" max="25" width="19.33203125" bestFit="1" customWidth="1"/>
    <col min="26" max="28" width="17.21875" hidden="1" customWidth="1"/>
    <col min="29" max="29" width="17.21875" bestFit="1" customWidth="1"/>
    <col min="30" max="32" width="17.21875" hidden="1" customWidth="1"/>
    <col min="33" max="33" width="17.21875" bestFit="1" customWidth="1"/>
    <col min="34" max="35" width="17.21875" hidden="1" customWidth="1"/>
    <col min="36" max="36" width="16.109375" hidden="1" customWidth="1"/>
    <col min="37" max="37" width="17.21875" bestFit="1" customWidth="1"/>
    <col min="38" max="38" width="17.21875" hidden="1" customWidth="1"/>
    <col min="39" max="39" width="16.109375" hidden="1" customWidth="1"/>
    <col min="40" max="41" width="16.109375" bestFit="1" customWidth="1"/>
    <col min="42" max="42" width="9.5546875" hidden="1" customWidth="1"/>
    <col min="43"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300104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7025215802.2200003</v>
      </c>
      <c r="F2" s="26">
        <f>股权价值增加表!F4</f>
        <v>6094642044.2700005</v>
      </c>
      <c r="G2" s="26">
        <f>股权价值增加表!G4</f>
        <v>5540886553.04</v>
      </c>
      <c r="H2" s="26">
        <f>股权价值增加表!H4</f>
        <v>4116467940.2800002</v>
      </c>
      <c r="I2" s="26">
        <f>股权价值增加表!I4</f>
        <v>21950951410.470001</v>
      </c>
      <c r="J2" s="26">
        <f>股权价值增加表!J4</f>
        <v>16773829590.549999</v>
      </c>
      <c r="K2" s="26">
        <f>股权价值增加表!K4</f>
        <v>10063138447.610001</v>
      </c>
      <c r="L2" s="26">
        <f>股权价值增加表!L4</f>
        <v>4634512164.1999998</v>
      </c>
      <c r="M2" s="26">
        <f>股权价值增加表!M4</f>
        <v>13016725124.120001</v>
      </c>
      <c r="N2" s="26">
        <f>股权价值增加表!N4</f>
        <v>8374974349.1499996</v>
      </c>
      <c r="O2" s="26">
        <f>股权价值增加表!O4</f>
        <v>4460713020.0600004</v>
      </c>
      <c r="P2" s="26">
        <f>股权价值增加表!P4</f>
        <v>2133457686.29</v>
      </c>
      <c r="Q2" s="26">
        <f>股权价值增加表!Q4</f>
        <v>6818938622.3800001</v>
      </c>
      <c r="R2" s="26">
        <f>股权价值增加表!R4</f>
        <v>4745146054.6599998</v>
      </c>
      <c r="S2" s="26">
        <f>股权价值增加表!S4</f>
        <v>2938801853.1599998</v>
      </c>
      <c r="T2" s="26">
        <f>股权价值增加表!T4</f>
        <v>1026947707.76</v>
      </c>
      <c r="U2" s="26">
        <f>股权价值增加表!U4</f>
        <v>2361244730.8600001</v>
      </c>
      <c r="V2" s="26">
        <f>股权价值增加表!V4</f>
        <v>1365272776.9200001</v>
      </c>
      <c r="W2" s="26">
        <f>股权价值增加表!W4</f>
        <v>751920231.09000003</v>
      </c>
      <c r="X2" s="26">
        <f>股权价值增加表!X4</f>
        <v>341886400.31999999</v>
      </c>
      <c r="Y2" s="26">
        <f>股权价值增加表!Y4</f>
        <v>1167307146.72</v>
      </c>
      <c r="Z2" s="26">
        <f>股权价值增加表!Z4</f>
        <v>828735210.47000003</v>
      </c>
      <c r="AA2" s="26">
        <f>股权价值增加表!AA4</f>
        <v>552975255.67999995</v>
      </c>
      <c r="AB2" s="26">
        <f>股权价值增加表!AB4</f>
        <v>275808462.04000002</v>
      </c>
      <c r="AC2" s="26">
        <f>股权价值增加表!AC4</f>
        <v>598555886.30999994</v>
      </c>
      <c r="AD2" s="26">
        <f>股权价值增加表!AD4</f>
        <v>355895566.29000002</v>
      </c>
      <c r="AE2" s="26">
        <f>股权价值增加表!AE4</f>
        <v>223103383.88</v>
      </c>
      <c r="AF2" s="26">
        <f>股权价值增加表!AF4</f>
        <v>104751988.97</v>
      </c>
      <c r="AG2" s="26">
        <f>股权价值增加表!AG4</f>
        <v>238258165.65000001</v>
      </c>
      <c r="AH2" s="26">
        <f>股权价值增加表!AH4</f>
        <v>173053150.27000001</v>
      </c>
      <c r="AI2" s="26">
        <f>股权价值增加表!AI4</f>
        <v>101973355.54000001</v>
      </c>
      <c r="AJ2" s="26">
        <f>股权价值增加表!AJ4</f>
        <v>45153520.600000001</v>
      </c>
      <c r="AK2" s="26">
        <f>股权价值增加表!AK4</f>
        <v>145731415.40000001</v>
      </c>
      <c r="AL2" s="26">
        <f>股权价值增加表!AL4</f>
        <v>103650975.34999999</v>
      </c>
      <c r="AM2" s="26">
        <f>股权价值增加表!AM4</f>
        <v>59792579.990000002</v>
      </c>
      <c r="AN2" s="26">
        <f>股权价值增加表!AN4</f>
        <v>73607120.709999993</v>
      </c>
      <c r="AO2" s="26">
        <f>股权价值增加表!AO4</f>
        <v>36916305.039999999</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-0.67995848239775314</v>
      </c>
      <c r="F3" s="66">
        <f t="shared" ref="F3:BQ3" si="0">(F2-J2)/J2</f>
        <v>-0.63665768682283586</v>
      </c>
      <c r="G3" s="66">
        <f t="shared" si="0"/>
        <v>-0.44938782449565101</v>
      </c>
      <c r="H3" s="66">
        <f t="shared" si="0"/>
        <v>-0.11177966646019653</v>
      </c>
      <c r="I3" s="66">
        <f t="shared" si="0"/>
        <v>0.68636513417609724</v>
      </c>
      <c r="J3" s="66">
        <f t="shared" si="0"/>
        <v>1.0028514585543087</v>
      </c>
      <c r="K3" s="66">
        <f t="shared" si="0"/>
        <v>1.2559484105692686</v>
      </c>
      <c r="L3" s="66">
        <f t="shared" si="0"/>
        <v>1.1723009525720833</v>
      </c>
      <c r="M3" s="66">
        <f t="shared" si="0"/>
        <v>0.9089078000201738</v>
      </c>
      <c r="N3" s="66">
        <f t="shared" si="0"/>
        <v>0.76495607357023387</v>
      </c>
      <c r="O3" s="66">
        <f t="shared" si="0"/>
        <v>0.51786790772012681</v>
      </c>
      <c r="P3" s="66">
        <f t="shared" si="0"/>
        <v>1.0774745103073875</v>
      </c>
      <c r="Q3" s="66">
        <f t="shared" si="0"/>
        <v>1.8878576342641293</v>
      </c>
      <c r="R3" s="66">
        <f t="shared" si="0"/>
        <v>2.4756029233695385</v>
      </c>
      <c r="S3" s="66">
        <f t="shared" si="0"/>
        <v>2.9083957734450743</v>
      </c>
      <c r="T3" s="66">
        <f t="shared" si="0"/>
        <v>2.0037688156030602</v>
      </c>
      <c r="U3" s="66">
        <f t="shared" si="0"/>
        <v>1.0228135649600267</v>
      </c>
      <c r="V3" s="66">
        <f t="shared" si="0"/>
        <v>0.64741736524711413</v>
      </c>
      <c r="W3" s="66">
        <f t="shared" si="0"/>
        <v>0.35977193078079994</v>
      </c>
      <c r="X3" s="66">
        <f t="shared" si="0"/>
        <v>0.23957908249536158</v>
      </c>
      <c r="Y3" s="66">
        <f t="shared" si="0"/>
        <v>0.9502057759656487</v>
      </c>
      <c r="Z3" s="66">
        <f t="shared" si="0"/>
        <v>1.328590994007238</v>
      </c>
      <c r="AA3" s="66">
        <f t="shared" si="0"/>
        <v>1.4785605940312732</v>
      </c>
      <c r="AB3" s="66">
        <f t="shared" si="0"/>
        <v>1.6329663498703497</v>
      </c>
      <c r="AC3" s="66">
        <f t="shared" si="0"/>
        <v>1.5122156240776041</v>
      </c>
      <c r="AD3" s="66">
        <f t="shared" si="0"/>
        <v>1.0565679719480787</v>
      </c>
      <c r="AE3" s="66">
        <f t="shared" si="0"/>
        <v>1.1878595903660893</v>
      </c>
      <c r="AF3" s="66">
        <f t="shared" si="0"/>
        <v>1.3199074530192889</v>
      </c>
      <c r="AG3" s="66">
        <f t="shared" si="0"/>
        <v>0.6349128634758322</v>
      </c>
      <c r="AH3" s="66">
        <f t="shared" si="0"/>
        <v>0.66957570525167298</v>
      </c>
      <c r="AI3" s="66">
        <f t="shared" si="0"/>
        <v>0.70545167238233442</v>
      </c>
      <c r="AJ3" s="66">
        <f t="shared" si="0"/>
        <v>-0.38656042833277665</v>
      </c>
      <c r="AK3" s="66">
        <f t="shared" si="0"/>
        <v>2.9476165136812948</v>
      </c>
      <c r="AL3" s="66" t="e">
        <f t="shared" si="0"/>
        <v>#DIV/0!</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9706710025.6100006</v>
      </c>
      <c r="F4" s="26">
        <f>股权价值增加表!F5</f>
        <v>7081314648.3400002</v>
      </c>
      <c r="G4" s="26">
        <f>股权价值增加表!G5</f>
        <v>5614535512.1999998</v>
      </c>
      <c r="H4" s="26">
        <f>股权价值增加表!H5</f>
        <v>3242219844.21</v>
      </c>
      <c r="I4" s="26">
        <f>股权价值增加表!I5</f>
        <v>18229220564.66</v>
      </c>
      <c r="J4" s="26">
        <f>股权价值增加表!J5</f>
        <v>14245707962.32</v>
      </c>
      <c r="K4" s="26">
        <f>股权价值增加表!K5</f>
        <v>8560174309.6099997</v>
      </c>
      <c r="L4" s="26">
        <f>股权价值增加表!L5</f>
        <v>3909094399</v>
      </c>
      <c r="M4" s="26">
        <f>股权价值增加表!M5</f>
        <v>11112009123.84</v>
      </c>
      <c r="N4" s="26">
        <f>股权价值增加表!N5</f>
        <v>7370724878.0900002</v>
      </c>
      <c r="O4" s="26">
        <f>股权价值增加表!O5</f>
        <v>3787893148.04</v>
      </c>
      <c r="P4" s="26">
        <f>股权价值增加表!P5</f>
        <v>1866500640.98</v>
      </c>
      <c r="Q4" s="26">
        <f>股权价值增加表!Q5</f>
        <v>5828133468.4200001</v>
      </c>
      <c r="R4" s="26">
        <f>股权价值增加表!R5</f>
        <v>4081610878.5500002</v>
      </c>
      <c r="S4" s="26">
        <f>股权价值增加表!S5</f>
        <v>2487947546.4200001</v>
      </c>
      <c r="T4" s="26">
        <f>股权价值增加表!T5</f>
        <v>803278083.25999999</v>
      </c>
      <c r="U4" s="26">
        <f>股权价值增加表!U5</f>
        <v>1668684007.47</v>
      </c>
      <c r="V4" s="26">
        <f>股权价值增加表!V5</f>
        <v>910887880.78999996</v>
      </c>
      <c r="W4" s="26">
        <f>股权价值增加表!W5</f>
        <v>453704141.85000002</v>
      </c>
      <c r="X4" s="26">
        <f>股权价值增加表!X5</f>
        <v>186947889.81999999</v>
      </c>
      <c r="Y4" s="26">
        <f>股权价值增加表!Y5</f>
        <v>684246822.49000001</v>
      </c>
      <c r="Z4" s="26">
        <f>股权价值增加表!Z5</f>
        <v>504623220.58999997</v>
      </c>
      <c r="AA4" s="26">
        <f>股权价值增加表!AA5</f>
        <v>320848865.30000001</v>
      </c>
      <c r="AB4" s="26">
        <f>股权价值增加表!AB5</f>
        <v>153294269.00999999</v>
      </c>
      <c r="AC4" s="26">
        <f>股权价值增加表!AC5</f>
        <v>275090733.32999998</v>
      </c>
      <c r="AD4" s="26">
        <f>股权价值增加表!AD5</f>
        <v>139195015.02000001</v>
      </c>
      <c r="AE4" s="26">
        <f>股权价值增加表!AE5</f>
        <v>86194524.370000005</v>
      </c>
      <c r="AF4" s="26">
        <f>股权价值增加表!AF5</f>
        <v>38086681.520000003</v>
      </c>
      <c r="AG4" s="26">
        <f>股权价值增加表!AG5</f>
        <v>80214851.969999999</v>
      </c>
      <c r="AH4" s="26">
        <f>股权价值增加表!AH5</f>
        <v>58881275.32</v>
      </c>
      <c r="AI4" s="26">
        <f>股权价值增加表!AI5</f>
        <v>34992303.469999999</v>
      </c>
      <c r="AJ4" s="26">
        <f>股权价值增加表!AJ5</f>
        <v>15770790.029999999</v>
      </c>
      <c r="AK4" s="26">
        <f>股权价值增加表!AK5</f>
        <v>49551009.369999997</v>
      </c>
      <c r="AL4" s="26">
        <f>股权价值增加表!AL5</f>
        <v>33338174.170000002</v>
      </c>
      <c r="AM4" s="26">
        <f>股权价值增加表!AM5</f>
        <v>21134492.460000001</v>
      </c>
      <c r="AN4" s="26">
        <f>股权价值增加表!AN5</f>
        <v>14850092.140000001</v>
      </c>
      <c r="AO4" s="26">
        <f>股权价值增加表!AO5</f>
        <v>11821791.91</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1.381695637384212</v>
      </c>
      <c r="F5" s="66">
        <f t="shared" si="2"/>
        <v>1.1618918054420668</v>
      </c>
      <c r="G5" s="66">
        <f t="shared" si="2"/>
        <v>1.0132919088768553</v>
      </c>
      <c r="H5" s="66">
        <f t="shared" si="2"/>
        <v>0.78762178917624848</v>
      </c>
      <c r="I5" s="66">
        <f t="shared" si="2"/>
        <v>0.8304524129175177</v>
      </c>
      <c r="J5" s="66">
        <f t="shared" si="2"/>
        <v>0.84928178657220377</v>
      </c>
      <c r="K5" s="66">
        <f t="shared" si="2"/>
        <v>0.85064658050521447</v>
      </c>
      <c r="L5" s="66">
        <f t="shared" si="2"/>
        <v>0.84347483845147697</v>
      </c>
      <c r="M5" s="66">
        <f t="shared" si="2"/>
        <v>0.85367164305017396</v>
      </c>
      <c r="N5" s="66">
        <f t="shared" si="2"/>
        <v>0.88008924813460188</v>
      </c>
      <c r="O5" s="66">
        <f t="shared" si="2"/>
        <v>0.8491676400175705</v>
      </c>
      <c r="P5" s="66">
        <f t="shared" si="2"/>
        <v>0.87487117882603616</v>
      </c>
      <c r="Q5" s="66">
        <f t="shared" si="2"/>
        <v>0.85469803897220276</v>
      </c>
      <c r="R5" s="66">
        <f t="shared" si="2"/>
        <v>0.86016548943559479</v>
      </c>
      <c r="S5" s="66">
        <f t="shared" si="2"/>
        <v>0.84658567359510462</v>
      </c>
      <c r="T5" s="66">
        <f t="shared" si="2"/>
        <v>0.78219959710716636</v>
      </c>
      <c r="U5" s="66">
        <f t="shared" si="2"/>
        <v>0.70669676279690019</v>
      </c>
      <c r="V5" s="66">
        <f t="shared" si="2"/>
        <v>0.66718380106056607</v>
      </c>
      <c r="W5" s="66">
        <f t="shared" si="2"/>
        <v>0.60339398129014377</v>
      </c>
      <c r="X5" s="66">
        <f t="shared" si="2"/>
        <v>0.54681288768731329</v>
      </c>
      <c r="Y5" s="66">
        <f t="shared" si="2"/>
        <v>0.58617547610554388</v>
      </c>
      <c r="Z5" s="66">
        <f t="shared" si="2"/>
        <v>0.60890766340652203</v>
      </c>
      <c r="AA5" s="66">
        <f t="shared" si="2"/>
        <v>0.58022282553212712</v>
      </c>
      <c r="AB5" s="66">
        <f t="shared" si="2"/>
        <v>0.55579973100233593</v>
      </c>
      <c r="AC5" s="66">
        <f t="shared" si="2"/>
        <v>0.45959072431129161</v>
      </c>
      <c r="AD5" s="66">
        <f t="shared" si="2"/>
        <v>0.39111196711727936</v>
      </c>
      <c r="AE5" s="66">
        <f t="shared" si="2"/>
        <v>0.38634342012652401</v>
      </c>
      <c r="AF5" s="66">
        <f t="shared" si="2"/>
        <v>0.36358910121418009</v>
      </c>
      <c r="AG5" s="66">
        <f t="shared" si="2"/>
        <v>0.33667199506536616</v>
      </c>
      <c r="AH5" s="66">
        <f t="shared" si="2"/>
        <v>0.34024965872122287</v>
      </c>
      <c r="AI5" s="66">
        <f t="shared" si="2"/>
        <v>0.34315143681109855</v>
      </c>
      <c r="AJ5" s="66">
        <f t="shared" si="2"/>
        <v>0.34927044049805495</v>
      </c>
      <c r="AK5" s="66">
        <f t="shared" ref="AK5:BP5" si="3">AK4/AK2</f>
        <v>0.34001597551216811</v>
      </c>
      <c r="AL5" s="66">
        <f t="shared" si="3"/>
        <v>0.32163878880470181</v>
      </c>
      <c r="AM5" s="66">
        <f t="shared" si="3"/>
        <v>0.35346346425483954</v>
      </c>
      <c r="AN5" s="66">
        <f t="shared" si="3"/>
        <v>0.20174803737408684</v>
      </c>
      <c r="AO5" s="66">
        <f t="shared" si="3"/>
        <v>0.32023226314742792</v>
      </c>
      <c r="AP5" s="66" t="e">
        <f t="shared" si="3"/>
        <v>#DIV/0!</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-0.46751919583287765</v>
      </c>
      <c r="F6" s="66">
        <f t="shared" ref="F6:BQ6" si="5">(F4-J4)/J4</f>
        <v>-0.50291591916174838</v>
      </c>
      <c r="G6" s="66">
        <f t="shared" si="5"/>
        <v>-0.34410967474144843</v>
      </c>
      <c r="H6" s="66">
        <f t="shared" si="5"/>
        <v>-0.17059566403937332</v>
      </c>
      <c r="I6" s="66">
        <f t="shared" si="5"/>
        <v>0.64049726395117379</v>
      </c>
      <c r="J6" s="66">
        <f t="shared" si="5"/>
        <v>0.9327417856371728</v>
      </c>
      <c r="K6" s="66">
        <f t="shared" si="5"/>
        <v>1.2598774503550501</v>
      </c>
      <c r="L6" s="66">
        <f t="shared" si="5"/>
        <v>1.0943439895887435</v>
      </c>
      <c r="M6" s="66">
        <f t="shared" si="5"/>
        <v>0.90661541710582216</v>
      </c>
      <c r="N6" s="66">
        <f t="shared" si="5"/>
        <v>0.80583722883168707</v>
      </c>
      <c r="O6" s="66">
        <f t="shared" si="5"/>
        <v>0.52249718989877414</v>
      </c>
      <c r="P6" s="66">
        <f t="shared" si="5"/>
        <v>1.3236045895900073</v>
      </c>
      <c r="Q6" s="66">
        <f t="shared" si="5"/>
        <v>2.492652558740831</v>
      </c>
      <c r="R6" s="66">
        <f t="shared" si="5"/>
        <v>3.4809146818487449</v>
      </c>
      <c r="S6" s="66">
        <f t="shared" si="5"/>
        <v>4.4836341944670748</v>
      </c>
      <c r="T6" s="66">
        <f t="shared" si="5"/>
        <v>3.2968020876481914</v>
      </c>
      <c r="U6" s="66">
        <f t="shared" si="5"/>
        <v>1.4387164874183791</v>
      </c>
      <c r="V6" s="66">
        <f t="shared" si="5"/>
        <v>0.80508514793472996</v>
      </c>
      <c r="W6" s="66">
        <f t="shared" si="5"/>
        <v>0.4140743225810623</v>
      </c>
      <c r="X6" s="66">
        <f t="shared" si="5"/>
        <v>0.21953606633399089</v>
      </c>
      <c r="Y6" s="66">
        <f t="shared" si="5"/>
        <v>1.4873495890142352</v>
      </c>
      <c r="Z6" s="66">
        <f t="shared" si="5"/>
        <v>2.6252966423940824</v>
      </c>
      <c r="AA6" s="66">
        <f t="shared" si="5"/>
        <v>2.7223810635895966</v>
      </c>
      <c r="AB6" s="66">
        <f t="shared" si="5"/>
        <v>3.0248785898950632</v>
      </c>
      <c r="AC6" s="66">
        <f t="shared" si="5"/>
        <v>2.4294239355186082</v>
      </c>
      <c r="AD6" s="66">
        <f t="shared" si="5"/>
        <v>1.3639945681122183</v>
      </c>
      <c r="AE6" s="66">
        <f t="shared" si="5"/>
        <v>1.4632423653932152</v>
      </c>
      <c r="AF6" s="66">
        <f t="shared" si="5"/>
        <v>1.4150141779549139</v>
      </c>
      <c r="AG6" s="66">
        <f t="shared" si="5"/>
        <v>0.61883386413042518</v>
      </c>
      <c r="AH6" s="66">
        <f t="shared" si="5"/>
        <v>0.76618176567646135</v>
      </c>
      <c r="AI6" s="66">
        <f t="shared" si="5"/>
        <v>0.65569641836575232</v>
      </c>
      <c r="AJ6" s="66">
        <f t="shared" si="5"/>
        <v>6.1999473223470429E-2</v>
      </c>
      <c r="AK6" s="66">
        <f t="shared" si="5"/>
        <v>3.1914973421317812</v>
      </c>
      <c r="AL6" s="66" t="e">
        <f t="shared" si="5"/>
        <v>#DIV/0!</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-2681494223.3900003</v>
      </c>
      <c r="F7" s="27">
        <f>股权价值增加表!F6</f>
        <v>-986672604.06999969</v>
      </c>
      <c r="G7" s="27">
        <f>股权价值增加表!G6</f>
        <v>-73648959.159999847</v>
      </c>
      <c r="H7" s="27">
        <f>股权价值增加表!H6</f>
        <v>874248096.07000017</v>
      </c>
      <c r="I7" s="27">
        <f>股权价值增加表!I6</f>
        <v>3721730845.8100014</v>
      </c>
      <c r="J7" s="27">
        <f>股权价值增加表!J6</f>
        <v>2528121628.2299995</v>
      </c>
      <c r="K7" s="27">
        <f>股权价值增加表!K6</f>
        <v>1502964138.000001</v>
      </c>
      <c r="L7" s="27">
        <f>股权价值增加表!L6</f>
        <v>725417765.19999981</v>
      </c>
      <c r="M7" s="27">
        <f>股权价值增加表!M6</f>
        <v>1904716000.2800007</v>
      </c>
      <c r="N7" s="27">
        <f>股权价值增加表!N6</f>
        <v>1004249471.0599995</v>
      </c>
      <c r="O7" s="27">
        <f>股权价值增加表!O6</f>
        <v>672819872.02000046</v>
      </c>
      <c r="P7" s="27">
        <f>股权价值增加表!P6</f>
        <v>266957045.30999994</v>
      </c>
      <c r="Q7" s="27">
        <f>股权价值增加表!Q6</f>
        <v>990805153.96000004</v>
      </c>
      <c r="R7" s="27">
        <f>股权价值增加表!R6</f>
        <v>663535176.10999966</v>
      </c>
      <c r="S7" s="27">
        <f>股权价值增加表!S6</f>
        <v>450854306.73999977</v>
      </c>
      <c r="T7" s="27">
        <f>股权价值增加表!T6</f>
        <v>223669624.5</v>
      </c>
      <c r="U7" s="27">
        <f>股权价值增加表!U6</f>
        <v>692560723.3900001</v>
      </c>
      <c r="V7" s="27">
        <f>股权价值增加表!V6</f>
        <v>454384896.13000011</v>
      </c>
      <c r="W7" s="27">
        <f>股权价值增加表!W6</f>
        <v>298216089.24000001</v>
      </c>
      <c r="X7" s="27">
        <f>股权价值增加表!X6</f>
        <v>154938510.5</v>
      </c>
      <c r="Y7" s="27">
        <f>股权价值增加表!Y6</f>
        <v>483060324.23000002</v>
      </c>
      <c r="Z7" s="27">
        <f>股权价值增加表!Z6</f>
        <v>324111989.88000005</v>
      </c>
      <c r="AA7" s="27">
        <f>股权价值增加表!AA6</f>
        <v>232126390.37999994</v>
      </c>
      <c r="AB7" s="27">
        <f>股权价值增加表!AB6</f>
        <v>122514193.03000003</v>
      </c>
      <c r="AC7" s="27">
        <f>股权价值增加表!AC6</f>
        <v>323465152.97999996</v>
      </c>
      <c r="AD7" s="27">
        <f>股权价值增加表!AD6</f>
        <v>216700551.27000001</v>
      </c>
      <c r="AE7" s="27">
        <f>股权价值增加表!AE6</f>
        <v>136908859.50999999</v>
      </c>
      <c r="AF7" s="27">
        <f>股权价值增加表!AF6</f>
        <v>66665307.449999996</v>
      </c>
      <c r="AG7" s="27">
        <f>股权价值增加表!AG6</f>
        <v>158043313.68000001</v>
      </c>
      <c r="AH7" s="27">
        <f>股权价值增加表!AH6</f>
        <v>114171874.95000002</v>
      </c>
      <c r="AI7" s="27">
        <f>股权价值增加表!AI6</f>
        <v>66981052.070000008</v>
      </c>
      <c r="AJ7" s="27">
        <f>股权价值增加表!AJ6</f>
        <v>29382730.57</v>
      </c>
      <c r="AK7" s="27">
        <f>股权价值增加表!AK6</f>
        <v>96180406.030000001</v>
      </c>
      <c r="AL7" s="27">
        <f>股权价值增加表!AL6</f>
        <v>70312801.179999992</v>
      </c>
      <c r="AM7" s="27">
        <f>股权价值增加表!AM6</f>
        <v>38658087.530000001</v>
      </c>
      <c r="AN7" s="27">
        <f>股权价值增加表!AN6</f>
        <v>58757028.569999993</v>
      </c>
      <c r="AO7" s="27">
        <f>股权价值增加表!AO6</f>
        <v>25094513.129999999</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-0.38169563738421186</v>
      </c>
      <c r="F8" s="66">
        <f t="shared" ref="F8:BQ8" si="7">F7/F2</f>
        <v>-0.16189180544206688</v>
      </c>
      <c r="G8" s="66">
        <f t="shared" si="7"/>
        <v>-1.3291908876855175E-2</v>
      </c>
      <c r="H8" s="66">
        <f t="shared" si="7"/>
        <v>0.21237821082375155</v>
      </c>
      <c r="I8" s="66">
        <f t="shared" si="7"/>
        <v>0.16954758708248235</v>
      </c>
      <c r="J8" s="66">
        <f t="shared" si="7"/>
        <v>0.15071821342779629</v>
      </c>
      <c r="K8" s="66">
        <f t="shared" si="7"/>
        <v>0.14935341949478551</v>
      </c>
      <c r="L8" s="66">
        <f t="shared" si="7"/>
        <v>0.15652516154852297</v>
      </c>
      <c r="M8" s="66">
        <f t="shared" si="7"/>
        <v>0.14632835694982607</v>
      </c>
      <c r="N8" s="66">
        <f t="shared" si="7"/>
        <v>0.11991075186539808</v>
      </c>
      <c r="O8" s="66">
        <f t="shared" si="7"/>
        <v>0.15083235998242955</v>
      </c>
      <c r="P8" s="66">
        <f t="shared" si="7"/>
        <v>0.12512882117396379</v>
      </c>
      <c r="Q8" s="66">
        <f t="shared" si="7"/>
        <v>0.14530196102779722</v>
      </c>
      <c r="R8" s="66">
        <f t="shared" si="7"/>
        <v>0.13983451056440524</v>
      </c>
      <c r="S8" s="66">
        <f t="shared" si="7"/>
        <v>0.15341432640489541</v>
      </c>
      <c r="T8" s="66">
        <f t="shared" si="7"/>
        <v>0.21780040289283367</v>
      </c>
      <c r="U8" s="66">
        <f t="shared" si="7"/>
        <v>0.29330323720309975</v>
      </c>
      <c r="V8" s="66">
        <f t="shared" si="7"/>
        <v>0.33281619893943393</v>
      </c>
      <c r="W8" s="66">
        <f t="shared" si="7"/>
        <v>0.39660601870985629</v>
      </c>
      <c r="X8" s="66">
        <f t="shared" si="7"/>
        <v>0.45318711231268671</v>
      </c>
      <c r="Y8" s="66">
        <f t="shared" si="7"/>
        <v>0.41382452389445612</v>
      </c>
      <c r="Z8" s="66">
        <f t="shared" si="7"/>
        <v>0.39109233659347797</v>
      </c>
      <c r="AA8" s="66">
        <f t="shared" si="7"/>
        <v>0.41977717446787283</v>
      </c>
      <c r="AB8" s="66">
        <f t="shared" si="7"/>
        <v>0.44420026899766407</v>
      </c>
      <c r="AC8" s="66">
        <f t="shared" si="7"/>
        <v>0.54040927568870845</v>
      </c>
      <c r="AD8" s="66">
        <f t="shared" si="7"/>
        <v>0.60888803288272064</v>
      </c>
      <c r="AE8" s="66">
        <f t="shared" si="7"/>
        <v>0.61365657987347599</v>
      </c>
      <c r="AF8" s="66">
        <f t="shared" si="7"/>
        <v>0.63641089878581991</v>
      </c>
      <c r="AG8" s="66">
        <f t="shared" si="7"/>
        <v>0.66332800493463384</v>
      </c>
      <c r="AH8" s="66">
        <f t="shared" si="7"/>
        <v>0.65975034127877719</v>
      </c>
      <c r="AI8" s="66">
        <f t="shared" si="7"/>
        <v>0.6568485631889015</v>
      </c>
      <c r="AJ8" s="66">
        <f t="shared" si="7"/>
        <v>0.650729559501945</v>
      </c>
      <c r="AK8" s="66">
        <f t="shared" si="7"/>
        <v>0.65998402448783189</v>
      </c>
      <c r="AL8" s="66">
        <f t="shared" si="7"/>
        <v>0.67836121119529813</v>
      </c>
      <c r="AM8" s="66">
        <f t="shared" si="7"/>
        <v>0.64653653574516046</v>
      </c>
      <c r="AN8" s="66">
        <f t="shared" si="7"/>
        <v>0.79825196262591314</v>
      </c>
      <c r="AO8" s="66">
        <f t="shared" si="7"/>
        <v>0.67976773685257208</v>
      </c>
      <c r="AP8" s="66" t="e">
        <f t="shared" si="7"/>
        <v>#DIV/0!</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-1.7204965470323788</v>
      </c>
      <c r="F9" s="66">
        <f t="shared" ref="F9:BQ9" si="9">(F7-J7)/J7</f>
        <v>-1.3902789300373943</v>
      </c>
      <c r="G9" s="66">
        <f t="shared" si="9"/>
        <v>-1.0490024727123595</v>
      </c>
      <c r="H9" s="66">
        <f t="shared" si="9"/>
        <v>0.20516499320769654</v>
      </c>
      <c r="I9" s="66">
        <f t="shared" si="9"/>
        <v>0.95395578409741522</v>
      </c>
      <c r="J9" s="66">
        <f t="shared" si="9"/>
        <v>1.5174239081864107</v>
      </c>
      <c r="K9" s="66">
        <f t="shared" si="9"/>
        <v>1.2338283996988177</v>
      </c>
      <c r="L9" s="66">
        <f t="shared" si="9"/>
        <v>1.7173576346622323</v>
      </c>
      <c r="M9" s="66">
        <f t="shared" si="9"/>
        <v>0.92239209966493196</v>
      </c>
      <c r="N9" s="66">
        <f t="shared" si="9"/>
        <v>0.5134833950288068</v>
      </c>
      <c r="O9" s="66">
        <f t="shared" si="9"/>
        <v>0.49232215809353364</v>
      </c>
      <c r="P9" s="66">
        <f t="shared" si="9"/>
        <v>0.19353285412253171</v>
      </c>
      <c r="Q9" s="66">
        <f t="shared" si="9"/>
        <v>0.43064011645091549</v>
      </c>
      <c r="R9" s="66">
        <f t="shared" si="9"/>
        <v>0.46029320464067841</v>
      </c>
      <c r="S9" s="66">
        <f t="shared" si="9"/>
        <v>0.51183763387480652</v>
      </c>
      <c r="T9" s="66">
        <f t="shared" si="9"/>
        <v>0.44360252191788047</v>
      </c>
      <c r="U9" s="66">
        <f t="shared" si="9"/>
        <v>0.43369407225473239</v>
      </c>
      <c r="V9" s="66">
        <f t="shared" si="9"/>
        <v>0.40193794218545442</v>
      </c>
      <c r="W9" s="66">
        <f t="shared" si="9"/>
        <v>0.28471428324805581</v>
      </c>
      <c r="X9" s="66">
        <f t="shared" si="9"/>
        <v>0.26465764225423444</v>
      </c>
      <c r="Y9" s="66">
        <f t="shared" si="9"/>
        <v>0.49339216227680616</v>
      </c>
      <c r="Z9" s="66">
        <f t="shared" si="9"/>
        <v>0.49566758358713076</v>
      </c>
      <c r="AA9" s="66">
        <f t="shared" si="9"/>
        <v>0.69548114863264299</v>
      </c>
      <c r="AB9" s="66">
        <f t="shared" si="9"/>
        <v>0.83775036396385871</v>
      </c>
      <c r="AC9" s="66">
        <f t="shared" si="9"/>
        <v>1.0466867306701737</v>
      </c>
      <c r="AD9" s="66">
        <f t="shared" si="9"/>
        <v>0.89802043073130755</v>
      </c>
      <c r="AE9" s="66">
        <f t="shared" si="9"/>
        <v>1.0439938651145761</v>
      </c>
      <c r="AF9" s="66">
        <f t="shared" si="9"/>
        <v>1.2688601827246717</v>
      </c>
      <c r="AG9" s="66">
        <f t="shared" si="9"/>
        <v>0.64319657405796471</v>
      </c>
      <c r="AH9" s="66">
        <f t="shared" si="9"/>
        <v>0.62377082172734499</v>
      </c>
      <c r="AI9" s="66">
        <f t="shared" si="9"/>
        <v>0.73265301906154601</v>
      </c>
      <c r="AJ9" s="66">
        <f t="shared" si="9"/>
        <v>-0.49992824203158981</v>
      </c>
      <c r="AK9" s="66">
        <f t="shared" si="9"/>
        <v>2.8327265219988753</v>
      </c>
      <c r="AL9" s="66" t="e">
        <f t="shared" si="9"/>
        <v>#DIV/0!</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19761340.579999998</v>
      </c>
      <c r="F10" s="27">
        <f>股权价值增加表!F8</f>
        <v>23019783.329999998</v>
      </c>
      <c r="G10" s="27">
        <f>股权价值增加表!G8</f>
        <v>21550676.539999999</v>
      </c>
      <c r="H10" s="27">
        <f>股权价值增加表!H8</f>
        <v>15417466.24</v>
      </c>
      <c r="I10" s="27">
        <f>股权价值增加表!I8</f>
        <v>152575155.84</v>
      </c>
      <c r="J10" s="27">
        <f>股权价值增加表!J8</f>
        <v>48600322.079999998</v>
      </c>
      <c r="K10" s="27">
        <f>股权价值增加表!K8</f>
        <v>29996246.609999999</v>
      </c>
      <c r="L10" s="27">
        <f>股权价值增加表!L8</f>
        <v>12013744.15</v>
      </c>
      <c r="M10" s="27">
        <f>股权价值增加表!M8</f>
        <v>94680829.109999999</v>
      </c>
      <c r="N10" s="27">
        <f>股权价值增加表!N8</f>
        <v>27586610.780000001</v>
      </c>
      <c r="O10" s="27">
        <f>股权价值增加表!O8</f>
        <v>16782339.68</v>
      </c>
      <c r="P10" s="27">
        <f>股权价值增加表!P8</f>
        <v>8617821.9499999993</v>
      </c>
      <c r="Q10" s="27">
        <f>股权价值增加表!Q8</f>
        <v>56848870.420000002</v>
      </c>
      <c r="R10" s="27">
        <f>股权价值增加表!R8</f>
        <v>14287081.27</v>
      </c>
      <c r="S10" s="27">
        <f>股权价值增加表!S8</f>
        <v>14729224.539999999</v>
      </c>
      <c r="T10" s="27">
        <f>股权价值增加表!T8</f>
        <v>5062057.6900000004</v>
      </c>
      <c r="U10" s="27">
        <f>股权价值增加表!U8</f>
        <v>25921973.190000001</v>
      </c>
      <c r="V10" s="27">
        <f>股权价值增加表!V8</f>
        <v>11531587.32</v>
      </c>
      <c r="W10" s="27">
        <f>股权价值增加表!W8</f>
        <v>6793318.6900000004</v>
      </c>
      <c r="X10" s="27">
        <f>股权价值增加表!X8</f>
        <v>4961597.5599999996</v>
      </c>
      <c r="Y10" s="27">
        <f>股权价值增加表!Y8</f>
        <v>45132765.549999997</v>
      </c>
      <c r="Z10" s="27">
        <f>股权价值增加表!Z8</f>
        <v>39552084.32</v>
      </c>
      <c r="AA10" s="27">
        <f>股权价值增加表!AA8</f>
        <v>31744242.460000001</v>
      </c>
      <c r="AB10" s="27">
        <f>股权价值增加表!AB8</f>
        <v>14292110.83</v>
      </c>
      <c r="AC10" s="27">
        <f>股权价值增加表!AC8</f>
        <v>29951803.73</v>
      </c>
      <c r="AD10" s="27">
        <f>股权价值增加表!AD8</f>
        <v>15694669.810000001</v>
      </c>
      <c r="AE10" s="27">
        <f>股权价值增加表!AE8</f>
        <v>9580628.7100000009</v>
      </c>
      <c r="AF10" s="27">
        <f>股权价值增加表!AF8</f>
        <v>6384579.96</v>
      </c>
      <c r="AG10" s="27">
        <f>股权价值增加表!AG8</f>
        <v>10159858.869999999</v>
      </c>
      <c r="AH10" s="27">
        <f>股权价值增加表!AH8</f>
        <v>7701217.5999999996</v>
      </c>
      <c r="AI10" s="27">
        <f>股权价值增加表!AI8</f>
        <v>4624116.79</v>
      </c>
      <c r="AJ10" s="27">
        <f>股权价值增加表!AJ8</f>
        <v>1546969.92</v>
      </c>
      <c r="AK10" s="27">
        <f>股权价值增加表!AK8</f>
        <v>6468272.5099999998</v>
      </c>
      <c r="AL10" s="27">
        <f>股权价值增加表!AL8</f>
        <v>4530224.2699999996</v>
      </c>
      <c r="AM10" s="27">
        <f>股权价值增加表!AM8</f>
        <v>2684574.54</v>
      </c>
      <c r="AN10" s="27">
        <f>股权价值增加表!AN8</f>
        <v>2991417.66</v>
      </c>
      <c r="AO10" s="27">
        <f>股权价值增加表!AO8</f>
        <v>1218238.06</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2.8129158073343916E-3</v>
      </c>
      <c r="F11" s="57">
        <f t="shared" ref="F11:BQ11" si="11">F10/F2</f>
        <v>3.7770525590822036E-3</v>
      </c>
      <c r="G11" s="57">
        <f t="shared" si="11"/>
        <v>3.889391405816863E-3</v>
      </c>
      <c r="H11" s="57">
        <f t="shared" si="11"/>
        <v>3.7453142994601607E-3</v>
      </c>
      <c r="I11" s="57">
        <f t="shared" si="11"/>
        <v>6.9507308811783824E-3</v>
      </c>
      <c r="J11" s="57">
        <f t="shared" si="11"/>
        <v>2.8973897593057899E-3</v>
      </c>
      <c r="K11" s="57">
        <f t="shared" si="11"/>
        <v>2.9808043252275954E-3</v>
      </c>
      <c r="L11" s="57">
        <f t="shared" si="11"/>
        <v>2.5922348942790593E-3</v>
      </c>
      <c r="M11" s="57">
        <f t="shared" si="11"/>
        <v>7.2737826302067604E-3</v>
      </c>
      <c r="N11" s="57">
        <f t="shared" si="11"/>
        <v>3.2939337638448821E-3</v>
      </c>
      <c r="O11" s="57">
        <f t="shared" si="11"/>
        <v>3.7622549589110899E-3</v>
      </c>
      <c r="P11" s="57">
        <f t="shared" si="11"/>
        <v>4.039368582456424E-3</v>
      </c>
      <c r="Q11" s="57">
        <f t="shared" si="11"/>
        <v>8.3369089484718311E-3</v>
      </c>
      <c r="R11" s="57">
        <f t="shared" si="11"/>
        <v>3.0108833543636203E-3</v>
      </c>
      <c r="S11" s="57">
        <f t="shared" si="11"/>
        <v>5.0119828678351127E-3</v>
      </c>
      <c r="T11" s="57">
        <f t="shared" si="11"/>
        <v>4.9292263391302249E-3</v>
      </c>
      <c r="U11" s="57">
        <f t="shared" si="11"/>
        <v>1.0978096785655436E-2</v>
      </c>
      <c r="V11" s="57">
        <f t="shared" si="11"/>
        <v>8.4463614267727451E-3</v>
      </c>
      <c r="W11" s="57">
        <f t="shared" si="11"/>
        <v>9.0346268249123403E-3</v>
      </c>
      <c r="X11" s="57">
        <f t="shared" si="11"/>
        <v>1.4512415689410361E-2</v>
      </c>
      <c r="Y11" s="57">
        <f t="shared" si="11"/>
        <v>3.8664001738375302E-2</v>
      </c>
      <c r="Z11" s="57">
        <f t="shared" si="11"/>
        <v>4.7725840317040295E-2</v>
      </c>
      <c r="AA11" s="57">
        <f t="shared" si="11"/>
        <v>5.7406262095694945E-2</v>
      </c>
      <c r="AB11" s="57">
        <f t="shared" si="11"/>
        <v>5.1818971485824969E-2</v>
      </c>
      <c r="AC11" s="57">
        <f t="shared" si="11"/>
        <v>5.0040112235213353E-2</v>
      </c>
      <c r="AD11" s="57">
        <f t="shared" si="11"/>
        <v>4.4099087756578746E-2</v>
      </c>
      <c r="AE11" s="57">
        <f t="shared" si="11"/>
        <v>4.2942552207783216E-2</v>
      </c>
      <c r="AF11" s="57">
        <f t="shared" si="11"/>
        <v>6.0949486714075518E-2</v>
      </c>
      <c r="AG11" s="57">
        <f t="shared" si="11"/>
        <v>4.2642227359899927E-2</v>
      </c>
      <c r="AH11" s="57">
        <f t="shared" si="11"/>
        <v>4.4502036443626998E-2</v>
      </c>
      <c r="AI11" s="57">
        <f t="shared" si="11"/>
        <v>4.5346323708904006E-2</v>
      </c>
      <c r="AJ11" s="57">
        <f t="shared" si="11"/>
        <v>3.4260228204664067E-2</v>
      </c>
      <c r="AK11" s="57">
        <f t="shared" si="11"/>
        <v>4.4384887721333414E-2</v>
      </c>
      <c r="AL11" s="57">
        <f t="shared" si="11"/>
        <v>4.3706528131575363E-2</v>
      </c>
      <c r="AM11" s="57">
        <f t="shared" si="11"/>
        <v>4.4898121814596077E-2</v>
      </c>
      <c r="AN11" s="57">
        <f t="shared" si="11"/>
        <v>4.0640329782572204E-2</v>
      </c>
      <c r="AO11" s="57">
        <f t="shared" si="11"/>
        <v>3.2999999828801939E-2</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1714570749.99</v>
      </c>
      <c r="F12" s="27">
        <f>股权价值增加表!F9</f>
        <v>741217973.05999994</v>
      </c>
      <c r="G12" s="27">
        <f>股权价值增加表!G9</f>
        <v>501612381.30000001</v>
      </c>
      <c r="H12" s="27">
        <f>股权价值增加表!H9</f>
        <v>371057809.00999999</v>
      </c>
      <c r="I12" s="27">
        <f>股权价值增加表!I9</f>
        <v>2365883026.2800002</v>
      </c>
      <c r="J12" s="27">
        <f>股权价值增加表!J9</f>
        <v>1636940879.8299999</v>
      </c>
      <c r="K12" s="27">
        <f>股权价值增加表!K9</f>
        <v>909152985.83000004</v>
      </c>
      <c r="L12" s="27">
        <f>股权价值增加表!L9</f>
        <v>386692167.42000002</v>
      </c>
      <c r="M12" s="27">
        <f>股权价值增加表!M9</f>
        <v>1040736778.35</v>
      </c>
      <c r="N12" s="27">
        <f>股权价值增加表!N9</f>
        <v>629421133.10000002</v>
      </c>
      <c r="O12" s="27">
        <f>股权价值增加表!O9</f>
        <v>442883846.04000002</v>
      </c>
      <c r="P12" s="27">
        <f>股权价值增加表!P9</f>
        <v>161772442.53</v>
      </c>
      <c r="Q12" s="27">
        <f>股权价值增加表!Q9</f>
        <v>489035465.49000001</v>
      </c>
      <c r="R12" s="27">
        <f>股权价值增加表!R9</f>
        <v>355894549.89999998</v>
      </c>
      <c r="S12" s="27">
        <f>股权价值增加表!S9</f>
        <v>204615005.91</v>
      </c>
      <c r="T12" s="27">
        <f>股权价值增加表!T9</f>
        <v>102396489.15000001</v>
      </c>
      <c r="U12" s="27">
        <f>股权价值增加表!U9</f>
        <v>194520082.59999999</v>
      </c>
      <c r="V12" s="27">
        <f>股权价值增加表!V9</f>
        <v>110849982.05</v>
      </c>
      <c r="W12" s="27">
        <f>股权价值增加表!W9</f>
        <v>65765728.310000002</v>
      </c>
      <c r="X12" s="27">
        <f>股权价值增加表!X9</f>
        <v>30762528.91</v>
      </c>
      <c r="Y12" s="27">
        <f>股权价值增加表!Y9</f>
        <v>133586195.97</v>
      </c>
      <c r="Z12" s="27">
        <f>股权价值增加表!Z9</f>
        <v>85521702.730000004</v>
      </c>
      <c r="AA12" s="27">
        <f>股权价值增加表!AA9</f>
        <v>56930976.700000003</v>
      </c>
      <c r="AB12" s="27">
        <f>股权价值增加表!AB9</f>
        <v>27073627.390000001</v>
      </c>
      <c r="AC12" s="27">
        <f>股权价值增加表!AC9</f>
        <v>96315718.620000005</v>
      </c>
      <c r="AD12" s="27">
        <f>股权价值增加表!AD9</f>
        <v>69280089.890000001</v>
      </c>
      <c r="AE12" s="27">
        <f>股权价值增加表!AE9</f>
        <v>40216453.469999999</v>
      </c>
      <c r="AF12" s="27">
        <f>股权价值增加表!AF9</f>
        <v>19704291.260000002</v>
      </c>
      <c r="AG12" s="27">
        <f>股权价值增加表!AG9</f>
        <v>57919042.57</v>
      </c>
      <c r="AH12" s="27">
        <f>股权价值增加表!AH9</f>
        <v>40609138.75</v>
      </c>
      <c r="AI12" s="27">
        <f>股权价值增加表!AI9</f>
        <v>22455248.260000002</v>
      </c>
      <c r="AJ12" s="27">
        <f>股权价值增加表!AJ9</f>
        <v>9053275.0299999993</v>
      </c>
      <c r="AK12" s="27">
        <f>股权价值增加表!AK9</f>
        <v>28920126.140000001</v>
      </c>
      <c r="AL12" s="27">
        <f>股权价值增加表!AL9</f>
        <v>22303917.510000002</v>
      </c>
      <c r="AM12" s="27">
        <f>股权价值增加表!AM9</f>
        <v>12341828.9</v>
      </c>
      <c r="AN12" s="27">
        <f>股权价值增加表!AN9</f>
        <v>18297251.940000001</v>
      </c>
      <c r="AO12" s="27">
        <f>股权价值增加表!AO9</f>
        <v>5805870.9699999997</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0.24405951336728871</v>
      </c>
      <c r="F13" s="57">
        <f t="shared" ref="F13:BQ13" si="13">F12/F2</f>
        <v>0.12161796667892429</v>
      </c>
      <c r="G13" s="57">
        <f t="shared" si="13"/>
        <v>9.0529263954121392E-2</v>
      </c>
      <c r="H13" s="57">
        <f t="shared" si="13"/>
        <v>9.0139851540969568E-2</v>
      </c>
      <c r="I13" s="57">
        <f t="shared" si="13"/>
        <v>0.10778043202043347</v>
      </c>
      <c r="J13" s="57">
        <f t="shared" si="13"/>
        <v>9.7588977579229477E-2</v>
      </c>
      <c r="K13" s="57">
        <f t="shared" si="13"/>
        <v>9.0344875066875802E-2</v>
      </c>
      <c r="L13" s="57">
        <f t="shared" si="13"/>
        <v>8.3437512670063316E-2</v>
      </c>
      <c r="M13" s="57">
        <f t="shared" si="13"/>
        <v>7.9953810841523726E-2</v>
      </c>
      <c r="N13" s="57">
        <f t="shared" si="13"/>
        <v>7.5154992345007221E-2</v>
      </c>
      <c r="O13" s="57">
        <f t="shared" si="13"/>
        <v>9.9285438011442143E-2</v>
      </c>
      <c r="P13" s="57">
        <f t="shared" si="13"/>
        <v>7.5826412480350616E-2</v>
      </c>
      <c r="Q13" s="57">
        <f t="shared" si="13"/>
        <v>7.1717241138520904E-2</v>
      </c>
      <c r="R13" s="57">
        <f t="shared" si="13"/>
        <v>7.50018114933452E-2</v>
      </c>
      <c r="S13" s="57">
        <f t="shared" si="13"/>
        <v>6.9625315395110424E-2</v>
      </c>
      <c r="T13" s="57">
        <f t="shared" si="13"/>
        <v>9.9709545458112364E-2</v>
      </c>
      <c r="U13" s="57">
        <f t="shared" si="13"/>
        <v>8.2380314102025717E-2</v>
      </c>
      <c r="V13" s="57">
        <f t="shared" si="13"/>
        <v>8.1192552817227523E-2</v>
      </c>
      <c r="W13" s="57">
        <f t="shared" si="13"/>
        <v>8.7463703715837726E-2</v>
      </c>
      <c r="X13" s="57">
        <f t="shared" si="13"/>
        <v>8.9978802553148607E-2</v>
      </c>
      <c r="Y13" s="57">
        <f t="shared" si="13"/>
        <v>0.11443962828923131</v>
      </c>
      <c r="Z13" s="57">
        <f t="shared" si="13"/>
        <v>0.10319544970401118</v>
      </c>
      <c r="AA13" s="57">
        <f t="shared" si="13"/>
        <v>0.10295393169083368</v>
      </c>
      <c r="AB13" s="57">
        <f t="shared" si="13"/>
        <v>9.8160974430413092E-2</v>
      </c>
      <c r="AC13" s="57">
        <f t="shared" si="13"/>
        <v>0.16091349333104182</v>
      </c>
      <c r="AD13" s="57">
        <f t="shared" si="13"/>
        <v>0.19466409939354909</v>
      </c>
      <c r="AE13" s="57">
        <f t="shared" si="13"/>
        <v>0.18025927160132682</v>
      </c>
      <c r="AF13" s="57">
        <f t="shared" si="13"/>
        <v>0.18810422077659192</v>
      </c>
      <c r="AG13" s="57">
        <f t="shared" si="13"/>
        <v>0.24309363086041202</v>
      </c>
      <c r="AH13" s="57">
        <f t="shared" si="13"/>
        <v>0.23466281131918743</v>
      </c>
      <c r="AI13" s="57">
        <f t="shared" si="13"/>
        <v>0.22020701526480335</v>
      </c>
      <c r="AJ13" s="57">
        <f t="shared" si="13"/>
        <v>0.20049987043535203</v>
      </c>
      <c r="AK13" s="57">
        <f t="shared" si="13"/>
        <v>0.19844812500187931</v>
      </c>
      <c r="AL13" s="57">
        <f t="shared" si="13"/>
        <v>0.21518290044725569</v>
      </c>
      <c r="AM13" s="57">
        <f t="shared" si="13"/>
        <v>0.20641071019287188</v>
      </c>
      <c r="AN13" s="57">
        <f t="shared" si="13"/>
        <v>0.2485799167731092</v>
      </c>
      <c r="AO13" s="57">
        <f t="shared" si="13"/>
        <v>0.15727118311838503</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1402733564.9300001</v>
      </c>
      <c r="F14" s="26">
        <f>股权价值增加表!F10</f>
        <v>609795815.60000002</v>
      </c>
      <c r="G14" s="26">
        <f>股权价值增加表!G10</f>
        <v>311220682.38</v>
      </c>
      <c r="H14" s="26">
        <f>股权价值增加表!H10</f>
        <v>148010853.75999999</v>
      </c>
      <c r="I14" s="26">
        <f>股权价值增加表!I10</f>
        <v>596273473.80999994</v>
      </c>
      <c r="J14" s="26">
        <f>股权价值增加表!J10</f>
        <v>399556960.00999999</v>
      </c>
      <c r="K14" s="26">
        <f>股权价值增加表!K10</f>
        <v>242190634.81</v>
      </c>
      <c r="L14" s="26">
        <f>股权价值增加表!L10</f>
        <v>116448872.38</v>
      </c>
      <c r="M14" s="26">
        <f>股权价值增加表!M10</f>
        <v>309492095.22000003</v>
      </c>
      <c r="N14" s="26">
        <f>股权价值增加表!N10</f>
        <v>212487633.71000001</v>
      </c>
      <c r="O14" s="26">
        <f>股权价值增加表!O10</f>
        <v>121086828.08</v>
      </c>
      <c r="P14" s="26">
        <f>股权价值增加表!P10</f>
        <v>58801948.579999998</v>
      </c>
      <c r="Q14" s="26">
        <f>股权价值增加表!Q10</f>
        <v>175454652.59999999</v>
      </c>
      <c r="R14" s="26">
        <f>股权价值增加表!R10</f>
        <v>127952076.22</v>
      </c>
      <c r="S14" s="26">
        <f>股权价值增加表!S10</f>
        <v>75868697.719999999</v>
      </c>
      <c r="T14" s="26">
        <f>股权价值增加表!T10</f>
        <v>31782878.27</v>
      </c>
      <c r="U14" s="26">
        <f>股权价值增加表!U10</f>
        <v>89988324.290000007</v>
      </c>
      <c r="V14" s="26">
        <f>股权价值增加表!V10</f>
        <v>59066883.990000002</v>
      </c>
      <c r="W14" s="26">
        <f>股权价值增加表!W10</f>
        <v>32803373.32</v>
      </c>
      <c r="X14" s="26">
        <f>股权价值增加表!X10</f>
        <v>14387067.869999999</v>
      </c>
      <c r="Y14" s="26">
        <f>股权价值增加表!Y10</f>
        <v>57784961.579999998</v>
      </c>
      <c r="Z14" s="26">
        <f>股权价值增加表!Z10</f>
        <v>41471732.219999999</v>
      </c>
      <c r="AA14" s="26">
        <f>股权价值增加表!AA10</f>
        <v>26539044.109999999</v>
      </c>
      <c r="AB14" s="26">
        <f>股权价值增加表!AB10</f>
        <v>15175757.869999999</v>
      </c>
      <c r="AC14" s="26">
        <f>股权价值增加表!AC10</f>
        <v>30508708.300000001</v>
      </c>
      <c r="AD14" s="26">
        <f>股权价值增加表!AD10</f>
        <v>16762454.029999999</v>
      </c>
      <c r="AE14" s="26">
        <f>股权价值增加表!AE10</f>
        <v>10401581.449999999</v>
      </c>
      <c r="AF14" s="26">
        <f>股权价值增加表!AF10</f>
        <v>5232047.01</v>
      </c>
      <c r="AG14" s="26">
        <f>股权价值增加表!AG10</f>
        <v>11602932.65</v>
      </c>
      <c r="AH14" s="26">
        <f>股权价值增加表!AH10</f>
        <v>7957713.0099999998</v>
      </c>
      <c r="AI14" s="26">
        <f>股权价值增加表!AI10</f>
        <v>5048625.24</v>
      </c>
      <c r="AJ14" s="26">
        <f>股权价值增加表!AJ10</f>
        <v>2053328.21</v>
      </c>
      <c r="AK14" s="26">
        <f>股权价值增加表!AK10</f>
        <v>8754562.6699999999</v>
      </c>
      <c r="AL14" s="26">
        <f>股权价值增加表!AL10</f>
        <v>7175104.9400000004</v>
      </c>
      <c r="AM14" s="26">
        <f>股权价值增加表!AM10</f>
        <v>4486200.49</v>
      </c>
      <c r="AN14" s="26">
        <f>股权价值增加表!AN10</f>
        <v>5647441.3499999996</v>
      </c>
      <c r="AO14" s="26">
        <f>股权价值增加表!AO10</f>
        <v>2916798.09</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0.19967124205447609</v>
      </c>
      <c r="F15" s="57">
        <f t="shared" ref="F15:BQ15" si="15">F14/F2</f>
        <v>0.10005441027883036</v>
      </c>
      <c r="G15" s="57">
        <f t="shared" si="15"/>
        <v>5.6168030043720923E-2</v>
      </c>
      <c r="H15" s="57">
        <f t="shared" si="15"/>
        <v>3.5955789260910011E-2</v>
      </c>
      <c r="I15" s="57">
        <f t="shared" si="15"/>
        <v>2.7163901129387671E-2</v>
      </c>
      <c r="J15" s="57">
        <f t="shared" si="15"/>
        <v>2.3820258686489904E-2</v>
      </c>
      <c r="K15" s="57">
        <f t="shared" si="15"/>
        <v>2.4067107500396197E-2</v>
      </c>
      <c r="L15" s="57">
        <f t="shared" si="15"/>
        <v>2.5126457381971543E-2</v>
      </c>
      <c r="M15" s="57">
        <f t="shared" si="15"/>
        <v>2.3776494645839218E-2</v>
      </c>
      <c r="N15" s="57">
        <f t="shared" si="15"/>
        <v>2.5371735464666346E-2</v>
      </c>
      <c r="O15" s="57">
        <f t="shared" si="15"/>
        <v>2.7145173324414237E-2</v>
      </c>
      <c r="P15" s="57">
        <f t="shared" si="15"/>
        <v>2.7561806806796485E-2</v>
      </c>
      <c r="Q15" s="57">
        <f t="shared" si="15"/>
        <v>2.5730493016046744E-2</v>
      </c>
      <c r="R15" s="57">
        <f t="shared" si="15"/>
        <v>2.6964834115979185E-2</v>
      </c>
      <c r="S15" s="57">
        <f t="shared" si="15"/>
        <v>2.5816200448635491E-2</v>
      </c>
      <c r="T15" s="57">
        <f t="shared" si="15"/>
        <v>3.0948876977704622E-2</v>
      </c>
      <c r="U15" s="57">
        <f t="shared" si="15"/>
        <v>3.8110545304308602E-2</v>
      </c>
      <c r="V15" s="57">
        <f t="shared" si="15"/>
        <v>4.3263796794698051E-2</v>
      </c>
      <c r="W15" s="57">
        <f t="shared" si="15"/>
        <v>4.3626134746298173E-2</v>
      </c>
      <c r="X15" s="57">
        <f t="shared" si="15"/>
        <v>4.2081427797461213E-2</v>
      </c>
      <c r="Y15" s="57">
        <f t="shared" si="15"/>
        <v>4.9502790882733093E-2</v>
      </c>
      <c r="Z15" s="57">
        <f t="shared" si="15"/>
        <v>5.0042198878553941E-2</v>
      </c>
      <c r="AA15" s="57">
        <f t="shared" si="15"/>
        <v>4.7993185657764441E-2</v>
      </c>
      <c r="AB15" s="57">
        <f t="shared" si="15"/>
        <v>5.5022814592973167E-2</v>
      </c>
      <c r="AC15" s="57">
        <f t="shared" si="15"/>
        <v>5.0970525890374659E-2</v>
      </c>
      <c r="AD15" s="57">
        <f t="shared" si="15"/>
        <v>4.7099361772720665E-2</v>
      </c>
      <c r="AE15" s="57">
        <f t="shared" si="15"/>
        <v>4.662224870419119E-2</v>
      </c>
      <c r="AF15" s="57">
        <f t="shared" si="15"/>
        <v>4.9946994433665688E-2</v>
      </c>
      <c r="AG15" s="57">
        <f t="shared" si="15"/>
        <v>4.8698992617296682E-2</v>
      </c>
      <c r="AH15" s="57">
        <f t="shared" si="15"/>
        <v>4.5984213506568714E-2</v>
      </c>
      <c r="AI15" s="57">
        <f t="shared" si="15"/>
        <v>4.9509258700618411E-2</v>
      </c>
      <c r="AJ15" s="57">
        <f t="shared" si="15"/>
        <v>4.5474376808615893E-2</v>
      </c>
      <c r="AK15" s="57">
        <f t="shared" si="15"/>
        <v>6.0073270035638449E-2</v>
      </c>
      <c r="AL15" s="57">
        <f t="shared" si="15"/>
        <v>6.9223708853406368E-2</v>
      </c>
      <c r="AM15" s="57">
        <f t="shared" si="15"/>
        <v>7.5029384762294815E-2</v>
      </c>
      <c r="AN15" s="57">
        <f t="shared" si="15"/>
        <v>7.6724117117010923E-2</v>
      </c>
      <c r="AO15" s="57">
        <f t="shared" si="15"/>
        <v>7.9011105982561253E-2</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10881535091.540001</v>
      </c>
      <c r="F16" s="26">
        <f>股权价值增加表!F11</f>
        <v>259699177.62</v>
      </c>
      <c r="G16" s="26">
        <f>股权价值增加表!G11</f>
        <v>239159932.38</v>
      </c>
      <c r="H16" s="26">
        <f>股权价值增加表!H11</f>
        <v>-1169275.46</v>
      </c>
      <c r="I16" s="26">
        <f>股权价值增加表!I11</f>
        <v>351968232.14999998</v>
      </c>
      <c r="J16" s="26">
        <f>股权价值增加表!J11</f>
        <v>50449061.07</v>
      </c>
      <c r="K16" s="26">
        <f>股权价值增加表!K11</f>
        <v>49863462.390000001</v>
      </c>
      <c r="L16" s="26">
        <f>股权价值增加表!L11</f>
        <v>0</v>
      </c>
      <c r="M16" s="26">
        <f>股权价值增加表!M11</f>
        <v>120153303.15000001</v>
      </c>
      <c r="N16" s="26">
        <f>股权价值增加表!N11</f>
        <v>29455414.280000001</v>
      </c>
      <c r="O16" s="26">
        <f>股权价值增加表!O11</f>
        <v>29455414.280000001</v>
      </c>
      <c r="P16" s="26">
        <f>股权价值增加表!P11</f>
        <v>0</v>
      </c>
      <c r="Q16" s="26">
        <f>股权价值增加表!Q11</f>
        <v>53689254.75</v>
      </c>
      <c r="R16" s="26">
        <f>股权价值增加表!R11</f>
        <v>20048049.030000001</v>
      </c>
      <c r="S16" s="26">
        <f>股权价值增加表!S11</f>
        <v>20048049.030000001</v>
      </c>
      <c r="T16" s="26">
        <f>股权价值增加表!T11</f>
        <v>0</v>
      </c>
      <c r="U16" s="26">
        <f>股权价值增加表!U11</f>
        <v>27769539.780000001</v>
      </c>
      <c r="V16" s="26">
        <f>股权价值增加表!V11</f>
        <v>8379845.1699999999</v>
      </c>
      <c r="W16" s="26">
        <f>股权价值增加表!W11</f>
        <v>8376882.8899999997</v>
      </c>
      <c r="X16" s="26">
        <f>股权价值增加表!X11</f>
        <v>0</v>
      </c>
      <c r="Y16" s="26">
        <f>股权价值增加表!Y11</f>
        <v>6904764.7300000004</v>
      </c>
      <c r="Z16" s="26">
        <f>股权价值增加表!Z11</f>
        <v>3474478.81</v>
      </c>
      <c r="AA16" s="26">
        <f>股权价值增加表!AA11</f>
        <v>3479156.81</v>
      </c>
      <c r="AB16" s="26">
        <f>股权价值增加表!AB11</f>
        <v>0</v>
      </c>
      <c r="AC16" s="26">
        <f>股权价值增加表!AC11</f>
        <v>3937088.97</v>
      </c>
      <c r="AD16" s="26">
        <f>股权价值增加表!AD11</f>
        <v>2673621.2400000002</v>
      </c>
      <c r="AE16" s="26">
        <f>股权价值增加表!AE11</f>
        <v>2673621.2400000002</v>
      </c>
      <c r="AF16" s="26">
        <f>股权价值增加表!AF11</f>
        <v>0</v>
      </c>
      <c r="AG16" s="26">
        <f>股权价值增加表!AG11</f>
        <v>1722398.91</v>
      </c>
      <c r="AH16" s="26">
        <f>股权价值增加表!AH11</f>
        <v>0</v>
      </c>
      <c r="AI16" s="26">
        <f>股权价值增加表!AI11</f>
        <v>0</v>
      </c>
      <c r="AJ16" s="26">
        <f>股权价值增加表!AJ11</f>
        <v>0</v>
      </c>
      <c r="AK16" s="26">
        <f>股权价值增加表!AK11</f>
        <v>4103784.15</v>
      </c>
      <c r="AL16" s="26">
        <f>股权价值增加表!AL11</f>
        <v>3086928.72</v>
      </c>
      <c r="AM16" s="26">
        <f>股权价值增加表!AM11</f>
        <v>-603864.48</v>
      </c>
      <c r="AN16" s="26">
        <f>股权价值增加表!AN11</f>
        <v>962227.76</v>
      </c>
      <c r="AO16" s="26">
        <f>股权价值增加表!AO11</f>
        <v>100730.65</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1.5489253850538494</v>
      </c>
      <c r="F17" s="57">
        <f t="shared" ref="F17:BQ17" si="17">F16/F2</f>
        <v>4.2611063247621143E-2</v>
      </c>
      <c r="G17" s="57">
        <f t="shared" si="17"/>
        <v>4.3162755651220693E-2</v>
      </c>
      <c r="H17" s="57">
        <f t="shared" si="17"/>
        <v>-2.8404823673191691E-4</v>
      </c>
      <c r="I17" s="57">
        <f t="shared" si="17"/>
        <v>1.603430418884353E-2</v>
      </c>
      <c r="J17" s="57">
        <f t="shared" si="17"/>
        <v>3.0076054366512625E-3</v>
      </c>
      <c r="K17" s="57">
        <f t="shared" si="17"/>
        <v>4.955060754614043E-3</v>
      </c>
      <c r="L17" s="57">
        <f t="shared" si="17"/>
        <v>0</v>
      </c>
      <c r="M17" s="57">
        <f t="shared" si="17"/>
        <v>9.2306860599949102E-3</v>
      </c>
      <c r="N17" s="57">
        <f t="shared" si="17"/>
        <v>3.5170751636976077E-3</v>
      </c>
      <c r="O17" s="57">
        <f t="shared" si="17"/>
        <v>6.6032973086450203E-3</v>
      </c>
      <c r="P17" s="57">
        <f t="shared" si="17"/>
        <v>0</v>
      </c>
      <c r="Q17" s="57">
        <f t="shared" si="17"/>
        <v>7.8735500820890144E-3</v>
      </c>
      <c r="R17" s="57">
        <f t="shared" si="17"/>
        <v>4.2249593161229866E-3</v>
      </c>
      <c r="S17" s="57">
        <f t="shared" si="17"/>
        <v>6.8218444222236264E-3</v>
      </c>
      <c r="T17" s="57">
        <f t="shared" si="17"/>
        <v>0</v>
      </c>
      <c r="U17" s="57">
        <f t="shared" si="17"/>
        <v>1.1760551296131818E-2</v>
      </c>
      <c r="V17" s="57">
        <f t="shared" si="17"/>
        <v>6.1378541428948651E-3</v>
      </c>
      <c r="W17" s="57">
        <f t="shared" si="17"/>
        <v>1.1140653680586154E-2</v>
      </c>
      <c r="X17" s="57">
        <f t="shared" si="17"/>
        <v>0</v>
      </c>
      <c r="Y17" s="57">
        <f t="shared" si="17"/>
        <v>5.9151224674684824E-3</v>
      </c>
      <c r="Z17" s="57">
        <f t="shared" si="17"/>
        <v>4.1925077710038665E-3</v>
      </c>
      <c r="AA17" s="57">
        <f t="shared" si="17"/>
        <v>6.2917043290149416E-3</v>
      </c>
      <c r="AB17" s="57">
        <f t="shared" si="17"/>
        <v>0</v>
      </c>
      <c r="AC17" s="57">
        <f t="shared" si="17"/>
        <v>6.5776463986872069E-3</v>
      </c>
      <c r="AD17" s="57">
        <f t="shared" si="17"/>
        <v>7.5123758013366515E-3</v>
      </c>
      <c r="AE17" s="57">
        <f t="shared" si="17"/>
        <v>1.198377717766062E-2</v>
      </c>
      <c r="AF17" s="57">
        <f t="shared" si="17"/>
        <v>0</v>
      </c>
      <c r="AG17" s="57">
        <f t="shared" si="17"/>
        <v>7.2291285601946368E-3</v>
      </c>
      <c r="AH17" s="57">
        <f t="shared" si="17"/>
        <v>0</v>
      </c>
      <c r="AI17" s="57">
        <f t="shared" si="17"/>
        <v>0</v>
      </c>
      <c r="AJ17" s="57">
        <f t="shared" si="17"/>
        <v>0</v>
      </c>
      <c r="AK17" s="57">
        <f t="shared" si="17"/>
        <v>2.8159914173179708E-2</v>
      </c>
      <c r="AL17" s="57">
        <f t="shared" si="17"/>
        <v>2.9781955351373356E-2</v>
      </c>
      <c r="AM17" s="57">
        <f t="shared" si="17"/>
        <v>-1.0099321355609562E-2</v>
      </c>
      <c r="AN17" s="57">
        <f t="shared" si="17"/>
        <v>1.3072481992483035E-2</v>
      </c>
      <c r="AO17" s="57">
        <f t="shared" si="17"/>
        <v>2.7286222142453073E-3</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4561131.75</v>
      </c>
      <c r="F18" s="26">
        <f>股权价值增加表!F12</f>
        <v>1204</v>
      </c>
      <c r="G18" s="26">
        <f>股权价值增加表!G12</f>
        <v>868</v>
      </c>
      <c r="H18" s="26">
        <f>股权价值增加表!H12</f>
        <v>644</v>
      </c>
      <c r="I18" s="26">
        <f>股权价值增加表!I12</f>
        <v>76529050.200000003</v>
      </c>
      <c r="J18" s="26">
        <f>股权价值增加表!J12</f>
        <v>0</v>
      </c>
      <c r="K18" s="26">
        <f>股权价值增加表!K12</f>
        <v>0</v>
      </c>
      <c r="L18" s="26">
        <f>股权价值增加表!L12</f>
        <v>0</v>
      </c>
      <c r="M18" s="26">
        <f>股权价值增加表!M12</f>
        <v>6189586.4500000002</v>
      </c>
      <c r="N18" s="26">
        <f>股权价值增加表!N12</f>
        <v>0</v>
      </c>
      <c r="O18" s="26">
        <f>股权价值增加表!O12</f>
        <v>0</v>
      </c>
      <c r="P18" s="26">
        <f>股权价值增加表!P12</f>
        <v>0</v>
      </c>
      <c r="Q18" s="26">
        <f>股权价值增加表!Q12</f>
        <v>2188017.14</v>
      </c>
      <c r="R18" s="26">
        <f>股权价值增加表!R12</f>
        <v>0</v>
      </c>
      <c r="S18" s="26">
        <f>股权价值增加表!S12</f>
        <v>0</v>
      </c>
      <c r="T18" s="26">
        <f>股权价值增加表!T12</f>
        <v>0</v>
      </c>
      <c r="U18" s="26">
        <f>股权价值增加表!U12</f>
        <v>3939500.43</v>
      </c>
      <c r="V18" s="26">
        <f>股权价值增加表!V12</f>
        <v>0</v>
      </c>
      <c r="W18" s="26">
        <f>股权价值增加表!W12</f>
        <v>0</v>
      </c>
      <c r="X18" s="26">
        <f>股权价值增加表!X12</f>
        <v>0</v>
      </c>
      <c r="Y18" s="26">
        <f>股权价值增加表!Y12</f>
        <v>2078562.2</v>
      </c>
      <c r="Z18" s="26">
        <f>股权价值增加表!Z12</f>
        <v>0</v>
      </c>
      <c r="AA18" s="26">
        <f>股权价值增加表!AA12</f>
        <v>0</v>
      </c>
      <c r="AB18" s="26">
        <f>股权价值增加表!AB12</f>
        <v>0</v>
      </c>
      <c r="AC18" s="26">
        <f>股权价值增加表!AC12</f>
        <v>195401.39</v>
      </c>
      <c r="AD18" s="26">
        <f>股权价值增加表!AD12</f>
        <v>0</v>
      </c>
      <c r="AE18" s="26">
        <f>股权价值增加表!AE12</f>
        <v>0</v>
      </c>
      <c r="AF18" s="26">
        <f>股权价值增加表!AF12</f>
        <v>0</v>
      </c>
      <c r="AG18" s="26">
        <f>股权价值增加表!AG12</f>
        <v>23224.41</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6.4925147901629743E-4</v>
      </c>
      <c r="F19" s="57">
        <f t="shared" ref="F19:BQ19" si="19">F18/F2</f>
        <v>1.9755056839342429E-7</v>
      </c>
      <c r="G19" s="57">
        <f t="shared" si="19"/>
        <v>1.5665363145249255E-7</v>
      </c>
      <c r="H19" s="57">
        <f t="shared" si="19"/>
        <v>1.5644479911975106E-7</v>
      </c>
      <c r="I19" s="57">
        <f t="shared" si="19"/>
        <v>3.4863659788111848E-3</v>
      </c>
      <c r="J19" s="57">
        <f t="shared" si="19"/>
        <v>0</v>
      </c>
      <c r="K19" s="57">
        <f t="shared" si="19"/>
        <v>0</v>
      </c>
      <c r="L19" s="57">
        <f t="shared" si="19"/>
        <v>0</v>
      </c>
      <c r="M19" s="57">
        <f t="shared" si="19"/>
        <v>4.7551026782694303E-4</v>
      </c>
      <c r="N19" s="57">
        <f t="shared" si="19"/>
        <v>0</v>
      </c>
      <c r="O19" s="57">
        <f t="shared" si="19"/>
        <v>0</v>
      </c>
      <c r="P19" s="57">
        <f t="shared" si="19"/>
        <v>0</v>
      </c>
      <c r="Q19" s="57">
        <f t="shared" si="19"/>
        <v>3.2087356422579456E-4</v>
      </c>
      <c r="R19" s="57">
        <f t="shared" si="19"/>
        <v>0</v>
      </c>
      <c r="S19" s="57">
        <f t="shared" si="19"/>
        <v>0</v>
      </c>
      <c r="T19" s="57">
        <f t="shared" si="19"/>
        <v>0</v>
      </c>
      <c r="U19" s="57">
        <f t="shared" si="19"/>
        <v>1.668399881856031E-3</v>
      </c>
      <c r="V19" s="57">
        <f t="shared" si="19"/>
        <v>0</v>
      </c>
      <c r="W19" s="57">
        <f t="shared" si="19"/>
        <v>0</v>
      </c>
      <c r="X19" s="57">
        <f t="shared" si="19"/>
        <v>0</v>
      </c>
      <c r="Y19" s="57">
        <f t="shared" si="19"/>
        <v>1.7806471979894261E-3</v>
      </c>
      <c r="Z19" s="57">
        <f t="shared" si="19"/>
        <v>0</v>
      </c>
      <c r="AA19" s="57">
        <f t="shared" si="19"/>
        <v>0</v>
      </c>
      <c r="AB19" s="57">
        <f t="shared" si="19"/>
        <v>0</v>
      </c>
      <c r="AC19" s="57">
        <f t="shared" si="19"/>
        <v>3.2645471286669309E-4</v>
      </c>
      <c r="AD19" s="57">
        <f t="shared" si="19"/>
        <v>0</v>
      </c>
      <c r="AE19" s="57">
        <f t="shared" si="19"/>
        <v>0</v>
      </c>
      <c r="AF19" s="57">
        <f t="shared" si="19"/>
        <v>0</v>
      </c>
      <c r="AG19" s="57">
        <f t="shared" si="19"/>
        <v>9.7475819712792284E-5</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-53282280.570000008</v>
      </c>
      <c r="F20" s="26">
        <f>股权价值增加表!F13-股权价值增加表!F14</f>
        <v>1874299.2999999998</v>
      </c>
      <c r="G20" s="26">
        <f>股权价值增加表!G13-股权价值增加表!G14</f>
        <v>-1200201.52</v>
      </c>
      <c r="H20" s="26">
        <f>股权价值增加表!H13-股权价值增加表!H14</f>
        <v>23041487.030000001</v>
      </c>
      <c r="I20" s="26">
        <f>股权价值增加表!I13-股权价值增加表!I14</f>
        <v>8790740.2100000009</v>
      </c>
      <c r="J20" s="26">
        <f>股权价值增加表!J13-股权价值增加表!J14</f>
        <v>23747081.239999998</v>
      </c>
      <c r="K20" s="26">
        <f>股权价值增加表!K13-股权价值增加表!K14</f>
        <v>17669608.73</v>
      </c>
      <c r="L20" s="26">
        <f>股权价值增加表!L13-股权价值增加表!L14</f>
        <v>-33339.08</v>
      </c>
      <c r="M20" s="26">
        <f>股权价值增加表!M13-股权价值增加表!M14</f>
        <v>4746389.1199999973</v>
      </c>
      <c r="N20" s="26">
        <f>股权价值增加表!N13-股权价值增加表!N14</f>
        <v>34075268.289999999</v>
      </c>
      <c r="O20" s="26">
        <f>股权价值增加表!O13-股权价值增加表!O14</f>
        <v>47010.82</v>
      </c>
      <c r="P20" s="26">
        <f>股权价值增加表!P13-股权价值增加表!P14</f>
        <v>-3348.42</v>
      </c>
      <c r="Q20" s="26">
        <f>股权价值增加表!Q13-股权价值增加表!Q14</f>
        <v>25032651.48</v>
      </c>
      <c r="R20" s="26">
        <f>股权价值增加表!R13-股权价值增加表!R14</f>
        <v>13027713.640000001</v>
      </c>
      <c r="S20" s="26">
        <f>股权价值增加表!S13-股权价值增加表!S14</f>
        <v>13002813.699999999</v>
      </c>
      <c r="T20" s="26">
        <f>股权价值增加表!T13-股权价值增加表!T14</f>
        <v>0</v>
      </c>
      <c r="U20" s="26">
        <f>股权价值增加表!U13-股权价值增加表!U14</f>
        <v>9693238.3900000006</v>
      </c>
      <c r="V20" s="26">
        <f>股权价值增加表!V13-股权价值增加表!V14</f>
        <v>8483070</v>
      </c>
      <c r="W20" s="26">
        <f>股权价值增加表!W13-股权价值增加表!W14</f>
        <v>1558700</v>
      </c>
      <c r="X20" s="26">
        <f>股权价值增加表!X13-股权价值增加表!X14</f>
        <v>158700</v>
      </c>
      <c r="Y20" s="26">
        <f>股权价值增加表!Y13-股权价值增加表!Y14</f>
        <v>30600500</v>
      </c>
      <c r="Z20" s="26">
        <f>股权价值增加表!Z13-股权价值增加表!Z14</f>
        <v>23032800</v>
      </c>
      <c r="AA20" s="26">
        <f>股权价值增加表!AA13-股权价值增加表!AA14</f>
        <v>6814800</v>
      </c>
      <c r="AB20" s="26">
        <f>股权价值增加表!AB13-股权价值增加表!AB14</f>
        <v>4111799.91</v>
      </c>
      <c r="AC20" s="26">
        <f>股权价值增加表!AC13-股权价值增加表!AC14</f>
        <v>2882700</v>
      </c>
      <c r="AD20" s="26">
        <f>股权价值增加表!AD13-股权价值增加表!AD14</f>
        <v>2537700</v>
      </c>
      <c r="AE20" s="26">
        <f>股权价值增加表!AE13-股权价值增加表!AE14</f>
        <v>0</v>
      </c>
      <c r="AF20" s="26">
        <f>股权价值增加表!AF13-股权价值增加表!AF14</f>
        <v>0</v>
      </c>
      <c r="AG20" s="26">
        <f>股权价值增加表!AG13-股权价值增加表!AG14</f>
        <v>1910518.75</v>
      </c>
      <c r="AH20" s="26">
        <f>股权价值增加表!AH13-股权价值增加表!AH14</f>
        <v>-50000</v>
      </c>
      <c r="AI20" s="26">
        <f>股权价值增加表!AI13-股权价值增加表!AI14</f>
        <v>-50000</v>
      </c>
      <c r="AJ20" s="26">
        <f>股权价值增加表!AJ13-股权价值增加表!AJ14</f>
        <v>0</v>
      </c>
      <c r="AK20" s="26">
        <f>股权价值增加表!AK13-股权价值增加表!AK14</f>
        <v>278466.73</v>
      </c>
      <c r="AL20" s="26">
        <f>股权价值增加表!AL13-股权价值增加表!AL14</f>
        <v>277666.33999999997</v>
      </c>
      <c r="AM20" s="26">
        <f>股权价值增加表!AM13-股权价值增加表!AM14</f>
        <v>-65356.9</v>
      </c>
      <c r="AN20" s="26">
        <f>股权价值增加表!AN13-股权价值增加表!AN14</f>
        <v>-9999.23</v>
      </c>
      <c r="AO20" s="26">
        <f>股权价值增加表!AO13-股权价值增加表!AO14</f>
        <v>-237006.3</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-7.5844332857593587E-3</v>
      </c>
      <c r="F21" s="57">
        <f t="shared" ref="F21:BQ21" si="21">F20/F2</f>
        <v>3.0753230237076185E-4</v>
      </c>
      <c r="G21" s="57">
        <f t="shared" si="21"/>
        <v>-2.166082103488495E-4</v>
      </c>
      <c r="H21" s="57">
        <f t="shared" si="21"/>
        <v>5.5973925618458065E-3</v>
      </c>
      <c r="I21" s="57">
        <f t="shared" si="21"/>
        <v>4.0047194518443783E-4</v>
      </c>
      <c r="J21" s="57">
        <f t="shared" si="21"/>
        <v>1.4157220992264386E-3</v>
      </c>
      <c r="K21" s="57">
        <f t="shared" si="21"/>
        <v>1.7558745536484734E-3</v>
      </c>
      <c r="L21" s="57">
        <f t="shared" si="21"/>
        <v>-7.1936546542121177E-6</v>
      </c>
      <c r="M21" s="57">
        <f t="shared" si="21"/>
        <v>3.6463773143714426E-4</v>
      </c>
      <c r="N21" s="57">
        <f t="shared" si="21"/>
        <v>4.0687012126142683E-3</v>
      </c>
      <c r="O21" s="57">
        <f t="shared" si="21"/>
        <v>1.0538857754038537E-5</v>
      </c>
      <c r="P21" s="57">
        <f t="shared" si="21"/>
        <v>-1.5694803892842948E-6</v>
      </c>
      <c r="Q21" s="57">
        <f t="shared" si="21"/>
        <v>3.6710480715931282E-3</v>
      </c>
      <c r="R21" s="57">
        <f t="shared" si="21"/>
        <v>2.7454821179225988E-3</v>
      </c>
      <c r="S21" s="57">
        <f t="shared" si="21"/>
        <v>4.424528889560379E-3</v>
      </c>
      <c r="T21" s="57">
        <f t="shared" si="21"/>
        <v>0</v>
      </c>
      <c r="U21" s="57">
        <f t="shared" si="21"/>
        <v>4.1051392358087257E-3</v>
      </c>
      <c r="V21" s="57">
        <f t="shared" si="21"/>
        <v>6.2134616198364851E-3</v>
      </c>
      <c r="W21" s="57">
        <f t="shared" si="21"/>
        <v>2.0729592522606742E-3</v>
      </c>
      <c r="X21" s="57">
        <f t="shared" si="21"/>
        <v>4.6418927413158126E-4</v>
      </c>
      <c r="Y21" s="57">
        <f t="shared" si="21"/>
        <v>2.6214608628058102E-2</v>
      </c>
      <c r="Z21" s="57">
        <f t="shared" si="21"/>
        <v>2.7792713171843422E-2</v>
      </c>
      <c r="AA21" s="57">
        <f t="shared" si="21"/>
        <v>1.2323878745025874E-2</v>
      </c>
      <c r="AB21" s="57">
        <f t="shared" si="21"/>
        <v>1.4908171705782083E-2</v>
      </c>
      <c r="AC21" s="57">
        <f t="shared" si="21"/>
        <v>4.8160916397821741E-3</v>
      </c>
      <c r="AD21" s="57">
        <f t="shared" si="21"/>
        <v>7.1304625299326314E-3</v>
      </c>
      <c r="AE21" s="57">
        <f t="shared" si="21"/>
        <v>0</v>
      </c>
      <c r="AF21" s="57">
        <f t="shared" si="21"/>
        <v>0</v>
      </c>
      <c r="AG21" s="57">
        <f t="shared" si="21"/>
        <v>8.0186915935823253E-3</v>
      </c>
      <c r="AH21" s="57">
        <f t="shared" si="21"/>
        <v>-2.8892857438301054E-4</v>
      </c>
      <c r="AI21" s="57">
        <f t="shared" si="21"/>
        <v>-4.9032416100485224E-4</v>
      </c>
      <c r="AJ21" s="57">
        <f t="shared" si="21"/>
        <v>0</v>
      </c>
      <c r="AK21" s="57">
        <f t="shared" si="21"/>
        <v>1.9108215564617372E-3</v>
      </c>
      <c r="AL21" s="57">
        <f t="shared" si="21"/>
        <v>2.6788589211283287E-3</v>
      </c>
      <c r="AM21" s="57">
        <f t="shared" si="21"/>
        <v>-1.093060376570648E-3</v>
      </c>
      <c r="AN21" s="57">
        <f t="shared" si="21"/>
        <v>-1.3584596033032359E-4</v>
      </c>
      <c r="AO21" s="57">
        <f t="shared" si="21"/>
        <v>-6.4200981041628103E-3</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1.9885338744762056</v>
      </c>
      <c r="F22" s="66">
        <f t="shared" ref="F22:BQ22" si="23">F11+F13+F15+F17+F19+F21</f>
        <v>0.26836822261739712</v>
      </c>
      <c r="G22" s="66">
        <f t="shared" si="23"/>
        <v>0.19353298949816244</v>
      </c>
      <c r="H22" s="66">
        <f t="shared" si="23"/>
        <v>0.13515445587125274</v>
      </c>
      <c r="I22" s="66">
        <f t="shared" si="23"/>
        <v>0.16181620614383868</v>
      </c>
      <c r="J22" s="66">
        <f t="shared" si="23"/>
        <v>0.12872995356090286</v>
      </c>
      <c r="K22" s="66">
        <f t="shared" si="23"/>
        <v>0.12410372220076213</v>
      </c>
      <c r="L22" s="66">
        <f t="shared" si="23"/>
        <v>0.1111490112916597</v>
      </c>
      <c r="M22" s="66">
        <f t="shared" si="23"/>
        <v>0.12107492217682871</v>
      </c>
      <c r="N22" s="66">
        <f t="shared" si="23"/>
        <v>0.11140643794983031</v>
      </c>
      <c r="O22" s="66">
        <f t="shared" si="23"/>
        <v>0.13680670246116655</v>
      </c>
      <c r="P22" s="66">
        <f t="shared" si="23"/>
        <v>0.10742601838921423</v>
      </c>
      <c r="Q22" s="66">
        <f t="shared" si="23"/>
        <v>0.11765011482094741</v>
      </c>
      <c r="R22" s="66">
        <f t="shared" si="23"/>
        <v>0.11194797039773359</v>
      </c>
      <c r="S22" s="66">
        <f t="shared" si="23"/>
        <v>0.11169987202336502</v>
      </c>
      <c r="T22" s="66">
        <f t="shared" si="23"/>
        <v>0.13558764877494719</v>
      </c>
      <c r="U22" s="66">
        <f t="shared" si="23"/>
        <v>0.14900304660578631</v>
      </c>
      <c r="V22" s="66">
        <f t="shared" si="23"/>
        <v>0.14525402680142968</v>
      </c>
      <c r="W22" s="66">
        <f t="shared" si="23"/>
        <v>0.15333807821989506</v>
      </c>
      <c r="X22" s="66">
        <f t="shared" si="23"/>
        <v>0.14703683531415176</v>
      </c>
      <c r="Y22" s="66">
        <f t="shared" si="23"/>
        <v>0.23651679920385571</v>
      </c>
      <c r="Z22" s="66">
        <f t="shared" si="23"/>
        <v>0.23294870984245269</v>
      </c>
      <c r="AA22" s="66">
        <f t="shared" si="23"/>
        <v>0.2269689625183339</v>
      </c>
      <c r="AB22" s="66">
        <f t="shared" si="23"/>
        <v>0.2199109322149933</v>
      </c>
      <c r="AC22" s="66">
        <f t="shared" si="23"/>
        <v>0.27364432420796592</v>
      </c>
      <c r="AD22" s="66">
        <f t="shared" si="23"/>
        <v>0.3005053872541178</v>
      </c>
      <c r="AE22" s="66">
        <f t="shared" si="23"/>
        <v>0.28180784969096184</v>
      </c>
      <c r="AF22" s="66">
        <f t="shared" si="23"/>
        <v>0.29900070192433315</v>
      </c>
      <c r="AG22" s="66">
        <f t="shared" si="23"/>
        <v>0.34978014681109837</v>
      </c>
      <c r="AH22" s="66">
        <f t="shared" si="23"/>
        <v>0.32486013269500014</v>
      </c>
      <c r="AI22" s="66">
        <f t="shared" si="23"/>
        <v>0.3145722735133209</v>
      </c>
      <c r="AJ22" s="66">
        <f t="shared" si="23"/>
        <v>0.280234475448632</v>
      </c>
      <c r="AK22" s="66">
        <f t="shared" si="23"/>
        <v>0.33297701848849259</v>
      </c>
      <c r="AL22" s="66">
        <f t="shared" si="23"/>
        <v>0.36057395170473916</v>
      </c>
      <c r="AM22" s="66">
        <f t="shared" si="23"/>
        <v>0.31514583503758259</v>
      </c>
      <c r="AN22" s="66">
        <f t="shared" si="23"/>
        <v>0.37888099970484501</v>
      </c>
      <c r="AO22" s="66">
        <f t="shared" si="23"/>
        <v>0.26559081303983073</v>
      </c>
      <c r="AP22" s="66" t="e">
        <f t="shared" si="23"/>
        <v>#DIV/0!</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-17443174680.43821</v>
      </c>
      <c r="F23" s="27">
        <f>股权价值增加表!F17</f>
        <v>-2114399751.3090856</v>
      </c>
      <c r="G23" s="27">
        <f>股权价值增加表!G17</f>
        <v>-892191189.54282629</v>
      </c>
      <c r="H23" s="27">
        <f>股权价值增加表!H17</f>
        <v>-16527141.282632351</v>
      </c>
      <c r="I23" s="27">
        <f>股权价值增加表!I17</f>
        <v>140740845.26210168</v>
      </c>
      <c r="J23" s="27">
        <f>股权价值增加表!J17</f>
        <v>1461710275.7870193</v>
      </c>
      <c r="K23" s="27">
        <f>股权价值增加表!K17</f>
        <v>539205072.49141037</v>
      </c>
      <c r="L23" s="27">
        <f>股权价值增加表!L17</f>
        <v>130017012.40036564</v>
      </c>
      <c r="M23" s="27">
        <f>股权价值增加表!M17</f>
        <v>982199901.98999381</v>
      </c>
      <c r="N23" s="27">
        <f>股权价值增加表!N17</f>
        <v>222840145.13854432</v>
      </c>
      <c r="O23" s="27">
        <f>股权价值增加表!O17</f>
        <v>94048481.703005388</v>
      </c>
      <c r="P23" s="27">
        <f>股权价值增加表!P17</f>
        <v>33892405.036700696</v>
      </c>
      <c r="Q23" s="27">
        <f>股权价值增加表!Q17</f>
        <v>429321145.55819201</v>
      </c>
      <c r="R23" s="27">
        <f>股权价值增加表!R17</f>
        <v>433800214.12459028</v>
      </c>
      <c r="S23" s="27">
        <f>股权价值增加表!S17</f>
        <v>150338398.60155338</v>
      </c>
      <c r="T23" s="27">
        <f>股权价值增加表!T17</f>
        <v>81002289.918828875</v>
      </c>
      <c r="U23" s="27">
        <f>股权价值增加表!U17</f>
        <v>339302169.9869042</v>
      </c>
      <c r="V23" s="27">
        <f>股权价值增加表!V17</f>
        <v>248202332.05233455</v>
      </c>
      <c r="W23" s="27">
        <f>股权价值增加表!W17</f>
        <v>157195002.16887262</v>
      </c>
      <c r="X23" s="27">
        <f>股权价值增加表!X17</f>
        <v>89558724.464230895</v>
      </c>
      <c r="Y23" s="27">
        <f>股权价值增加表!Y17</f>
        <v>223029786.39150888</v>
      </c>
      <c r="Z23" s="27">
        <f>股权价值增加表!Z17</f>
        <v>149325228.58826992</v>
      </c>
      <c r="AA23" s="27">
        <f>股权价值增加表!AA17</f>
        <v>99940537.852696672</v>
      </c>
      <c r="AB23" s="27">
        <f>股权价值增加表!AB17</f>
        <v>56879742.073721863</v>
      </c>
      <c r="AC23" s="27">
        <f>股权价值增加表!AC17</f>
        <v>131704377.83109862</v>
      </c>
      <c r="AD23" s="27">
        <f>股权价值增加表!AD17</f>
        <v>89713747.135129511</v>
      </c>
      <c r="AE23" s="27">
        <f>股权价值增加表!AE17</f>
        <v>60722695.627775013</v>
      </c>
      <c r="AF23" s="27">
        <f>股权价值增加表!AF17</f>
        <v>29610323.40448771</v>
      </c>
      <c r="AG23" s="27">
        <f>股权价值增加表!AG17</f>
        <v>73553487.611633256</v>
      </c>
      <c r="AH23" s="27">
        <f>股权价值增加表!AH17</f>
        <v>53904833.584266484</v>
      </c>
      <c r="AI23" s="27">
        <f>股权价值增加表!AI17</f>
        <v>33229481.652083598</v>
      </c>
      <c r="AJ23" s="27">
        <f>股权价值增加表!AJ17</f>
        <v>16566570.483449293</v>
      </c>
      <c r="AK23" s="27">
        <f>股权价值增加表!AK17</f>
        <v>44953590.856178418</v>
      </c>
      <c r="AL23" s="27">
        <f>股权价值增加表!AL17</f>
        <v>30590922.930311535</v>
      </c>
      <c r="AM23" s="27">
        <f>股权价值增加表!AM17</f>
        <v>17963432.230053943</v>
      </c>
      <c r="AN23" s="27">
        <f>股权价值增加表!AN17</f>
        <v>29463406.387683239</v>
      </c>
      <c r="AO23" s="27">
        <f>股权价值增加表!AO17</f>
        <v>14815869.059999999</v>
      </c>
      <c r="AP23" s="27" t="e">
        <f>股权价值增加表!AP17</f>
        <v>#DIV/0!</v>
      </c>
      <c r="AQ23" s="27">
        <f>股权价值增加表!AQ17</f>
        <v>0</v>
      </c>
      <c r="AR23" s="27">
        <f>股权价值增加表!AR17</f>
        <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-2.4829379155763567</v>
      </c>
      <c r="F24" s="57">
        <f t="shared" ref="F24:BQ24" si="25">F23/F2</f>
        <v>-0.34692763511796082</v>
      </c>
      <c r="G24" s="57">
        <f t="shared" si="25"/>
        <v>-0.16101957349286042</v>
      </c>
      <c r="H24" s="57">
        <f t="shared" si="25"/>
        <v>-4.0148840030825514E-3</v>
      </c>
      <c r="I24" s="57">
        <f t="shared" si="25"/>
        <v>6.411605703567462E-3</v>
      </c>
      <c r="J24" s="57">
        <f t="shared" si="25"/>
        <v>8.7142311056415775E-2</v>
      </c>
      <c r="K24" s="57">
        <f t="shared" si="25"/>
        <v>5.3582197571719961E-2</v>
      </c>
      <c r="L24" s="57">
        <f t="shared" si="25"/>
        <v>2.8054088066636656E-2</v>
      </c>
      <c r="M24" s="57">
        <f t="shared" si="25"/>
        <v>7.5456759870420609E-2</v>
      </c>
      <c r="N24" s="57">
        <f t="shared" si="25"/>
        <v>2.6607860018241253E-2</v>
      </c>
      <c r="O24" s="57">
        <f t="shared" si="25"/>
        <v>2.1083732865141896E-2</v>
      </c>
      <c r="P24" s="57">
        <f t="shared" si="25"/>
        <v>1.5886138850795897E-2</v>
      </c>
      <c r="Q24" s="57">
        <f t="shared" si="25"/>
        <v>6.2960112905129359E-2</v>
      </c>
      <c r="R24" s="57">
        <f t="shared" si="25"/>
        <v>9.1419781209595041E-2</v>
      </c>
      <c r="S24" s="57">
        <f t="shared" si="25"/>
        <v>5.1156357629181193E-2</v>
      </c>
      <c r="T24" s="57">
        <f t="shared" si="25"/>
        <v>7.8876742512540177E-2</v>
      </c>
      <c r="U24" s="57">
        <f t="shared" si="25"/>
        <v>0.14369631641838554</v>
      </c>
      <c r="V24" s="57">
        <f t="shared" si="25"/>
        <v>0.18179688062942917</v>
      </c>
      <c r="W24" s="57">
        <f t="shared" si="25"/>
        <v>0.20905808311740637</v>
      </c>
      <c r="X24" s="57">
        <f t="shared" si="25"/>
        <v>0.2619546269766958</v>
      </c>
      <c r="Y24" s="57">
        <f t="shared" si="25"/>
        <v>0.1910634977419586</v>
      </c>
      <c r="Z24" s="57">
        <f t="shared" si="25"/>
        <v>0.18018448679594923</v>
      </c>
      <c r="AA24" s="57">
        <f t="shared" si="25"/>
        <v>0.18073238689459742</v>
      </c>
      <c r="AB24" s="57">
        <f t="shared" si="25"/>
        <v>0.20622914051662669</v>
      </c>
      <c r="AC24" s="57">
        <f t="shared" si="25"/>
        <v>0.22003689353559744</v>
      </c>
      <c r="AD24" s="57">
        <f t="shared" si="25"/>
        <v>0.25207885580127354</v>
      </c>
      <c r="AE24" s="57">
        <f t="shared" si="25"/>
        <v>0.2721729028567122</v>
      </c>
      <c r="AF24" s="57">
        <f t="shared" si="25"/>
        <v>0.28267075112977408</v>
      </c>
      <c r="AG24" s="57">
        <f t="shared" si="25"/>
        <v>0.30871339670969744</v>
      </c>
      <c r="AH24" s="57">
        <f t="shared" si="25"/>
        <v>0.3114929343971109</v>
      </c>
      <c r="AI24" s="57">
        <f t="shared" si="25"/>
        <v>0.32586435423368038</v>
      </c>
      <c r="AJ24" s="57">
        <f t="shared" si="25"/>
        <v>0.3668943254770104</v>
      </c>
      <c r="AK24" s="57">
        <f t="shared" si="25"/>
        <v>0.3084687727268064</v>
      </c>
      <c r="AL24" s="57">
        <f t="shared" si="25"/>
        <v>0.29513396113268253</v>
      </c>
      <c r="AM24" s="57">
        <f t="shared" si="25"/>
        <v>0.30042912068785516</v>
      </c>
      <c r="AN24" s="57">
        <f t="shared" si="25"/>
        <v>0.40027929503946008</v>
      </c>
      <c r="AO24" s="57">
        <f t="shared" si="25"/>
        <v>0.40133672760441569</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669</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0" t="s">
        <v>599</v>
      </c>
      <c r="B26" s="151"/>
      <c r="C26" s="151"/>
      <c r="D26" s="151"/>
      <c r="E26" s="152">
        <f>POWER(E2/Y2,1/6)-1</f>
        <v>0.3486908802533879</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39813</v>
      </c>
      <c r="AO27" s="1">
        <v>39447</v>
      </c>
      <c r="AP27" s="1">
        <v>25569</v>
      </c>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-16757938382.75</v>
      </c>
      <c r="F28" s="26">
        <f>股权价值增加表!F15</f>
        <v>-2618532258.3799996</v>
      </c>
      <c r="G28" s="26">
        <f>股权价值增加表!G15</f>
        <v>-1148393701.2799997</v>
      </c>
      <c r="H28" s="26">
        <f>股权价值增加表!H15</f>
        <v>363972085.55000019</v>
      </c>
      <c r="I28" s="26">
        <f>股权价值增加表!I15</f>
        <v>187292647.74000117</v>
      </c>
      <c r="J28" s="26">
        <f>股权价值增加表!J15</f>
        <v>416321486.47999978</v>
      </c>
      <c r="K28" s="26">
        <f>股权价值增加表!K15</f>
        <v>289430417.09000087</v>
      </c>
      <c r="L28" s="26">
        <f>股权价值增加表!L15</f>
        <v>210229642.16999981</v>
      </c>
      <c r="M28" s="26">
        <f>股权价值增加表!M15</f>
        <v>338209797.12000048</v>
      </c>
      <c r="N28" s="26">
        <f>股权价值增加表!N15</f>
        <v>139373947.47999945</v>
      </c>
      <c r="O28" s="26">
        <f>股权价值增加表!O15</f>
        <v>62658454.760000415</v>
      </c>
      <c r="P28" s="26">
        <f>股权价值增加表!P15</f>
        <v>37761483.829999946</v>
      </c>
      <c r="Q28" s="26">
        <f>股权价值增加表!Q15</f>
        <v>238621545.04000005</v>
      </c>
      <c r="R28" s="26">
        <f>股权价值增加表!R15</f>
        <v>158381133.32999972</v>
      </c>
      <c r="S28" s="26">
        <f>股权价值增加表!S15</f>
        <v>148596143.23999983</v>
      </c>
      <c r="T28" s="26">
        <f>股权价值增加表!T15</f>
        <v>84428199.389999986</v>
      </c>
      <c r="U28" s="26">
        <f>股权价值增加表!U15</f>
        <v>360114541.49000013</v>
      </c>
      <c r="V28" s="26">
        <f>股权价值增加表!V15</f>
        <v>273039667.60000014</v>
      </c>
      <c r="W28" s="26">
        <f>股权价值增加表!W15</f>
        <v>186035486.03000003</v>
      </c>
      <c r="X28" s="26">
        <f>股权价值增加表!X15</f>
        <v>104986016.16</v>
      </c>
      <c r="Y28" s="26">
        <f>股权价值增加表!Y15</f>
        <v>268173574.20000005</v>
      </c>
      <c r="Z28" s="26">
        <f>股权价值增加表!Z15</f>
        <v>177124791.80000004</v>
      </c>
      <c r="AA28" s="26">
        <f>股权价值增加表!AA15</f>
        <v>120247770.29999994</v>
      </c>
      <c r="AB28" s="26">
        <f>股权价值增加表!AB15</f>
        <v>70084496.850000024</v>
      </c>
      <c r="AC28" s="26">
        <f>股权价值增加表!AC15</f>
        <v>165439131.96999997</v>
      </c>
      <c r="AD28" s="26">
        <f>股权价值增加表!AD15</f>
        <v>114827416.30000001</v>
      </c>
      <c r="AE28" s="26">
        <f>股权价值增加表!AE15</f>
        <v>74036574.639999986</v>
      </c>
      <c r="AF28" s="26">
        <f>股权价值增加表!AF15</f>
        <v>35344389.219999991</v>
      </c>
      <c r="AG28" s="26">
        <f>股权价值增加表!AG15</f>
        <v>78526375.020000011</v>
      </c>
      <c r="AH28" s="26">
        <f>股权价值增加表!AH15</f>
        <v>57853805.590000018</v>
      </c>
      <c r="AI28" s="26">
        <f>股权价值增加表!AI15</f>
        <v>34803061.780000009</v>
      </c>
      <c r="AJ28" s="26">
        <f>股权价值增加表!AJ15</f>
        <v>16729157.41</v>
      </c>
      <c r="AK28" s="26">
        <f>股权价值增加表!AK15</f>
        <v>48212127.290000007</v>
      </c>
      <c r="AL28" s="26">
        <f>股权价值增加表!AL15</f>
        <v>33494292.079999998</v>
      </c>
      <c r="AM28" s="26">
        <f>股权价值增加表!AM15</f>
        <v>19683991.180000003</v>
      </c>
      <c r="AN28" s="26">
        <f>股权价值增加表!AN15</f>
        <v>30848690.629999988</v>
      </c>
      <c r="AO28" s="26">
        <f>股权价值增加表!AO15</f>
        <v>14815869.059999999</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378</v>
      </c>
      <c r="E29" s="59">
        <f t="shared" ref="E29:AJ29" si="27">E28/E34</f>
        <v>0.99849493479886431</v>
      </c>
      <c r="F29" s="59">
        <f t="shared" si="27"/>
        <v>1.1135858523611186</v>
      </c>
      <c r="G29" s="59">
        <f t="shared" si="27"/>
        <v>1.2597916179618593</v>
      </c>
      <c r="H29" s="59">
        <f t="shared" si="27"/>
        <v>0.97069666453325731</v>
      </c>
      <c r="I29" s="59">
        <f t="shared" si="27"/>
        <v>0.81607381618500352</v>
      </c>
      <c r="J29" s="59">
        <f t="shared" si="27"/>
        <v>0.94092227178473598</v>
      </c>
      <c r="K29" s="59">
        <f t="shared" si="27"/>
        <v>0.97072972376973132</v>
      </c>
      <c r="L29" s="59">
        <f t="shared" si="27"/>
        <v>1.0398598304847029</v>
      </c>
      <c r="M29" s="59">
        <f t="shared" si="27"/>
        <v>0.78609923808166227</v>
      </c>
      <c r="N29" s="59">
        <f t="shared" si="27"/>
        <v>0.57851512024741969</v>
      </c>
      <c r="O29" s="59">
        <f t="shared" si="27"/>
        <v>0.42906286981780395</v>
      </c>
      <c r="P29" s="59">
        <f t="shared" si="27"/>
        <v>0.64173516187727875</v>
      </c>
      <c r="Q29" s="59">
        <f t="shared" si="27"/>
        <v>0.98859691045326925</v>
      </c>
      <c r="R29" s="59">
        <f t="shared" si="27"/>
        <v>0.99414703560810658</v>
      </c>
      <c r="S29" s="59">
        <f t="shared" si="27"/>
        <v>0.99806030180390759</v>
      </c>
      <c r="T29" s="59">
        <f t="shared" si="27"/>
        <v>0.99040157108653248</v>
      </c>
      <c r="U29" s="59">
        <f t="shared" si="27"/>
        <v>0.99991220306252071</v>
      </c>
      <c r="V29" s="59">
        <f t="shared" si="27"/>
        <v>1.0078456459947518</v>
      </c>
      <c r="W29" s="59">
        <f t="shared" si="27"/>
        <v>1.0103248053185856</v>
      </c>
      <c r="X29" s="59">
        <f t="shared" si="27"/>
        <v>0.99897378377125035</v>
      </c>
      <c r="Y29" s="59">
        <f t="shared" si="27"/>
        <v>0.93622212093445756</v>
      </c>
      <c r="Z29" s="59">
        <f t="shared" si="27"/>
        <v>1</v>
      </c>
      <c r="AA29" s="59">
        <f t="shared" si="27"/>
        <v>1</v>
      </c>
      <c r="AB29" s="59">
        <f t="shared" si="27"/>
        <v>1</v>
      </c>
      <c r="AC29" s="59">
        <f t="shared" si="27"/>
        <v>0.93504828828140107</v>
      </c>
      <c r="AD29" s="59">
        <f t="shared" si="27"/>
        <v>1</v>
      </c>
      <c r="AE29" s="59">
        <f t="shared" si="27"/>
        <v>1</v>
      </c>
      <c r="AF29" s="59">
        <f t="shared" si="27"/>
        <v>1</v>
      </c>
      <c r="AG29" s="59">
        <f t="shared" si="27"/>
        <v>0.98878297991614883</v>
      </c>
      <c r="AH29" s="59">
        <f t="shared" si="27"/>
        <v>1</v>
      </c>
      <c r="AI29" s="59">
        <f t="shared" si="27"/>
        <v>1</v>
      </c>
      <c r="AJ29" s="59">
        <f t="shared" si="27"/>
        <v>1</v>
      </c>
      <c r="AK29" s="59">
        <f t="shared" ref="AK29:BP29" si="28">AK28/AK34</f>
        <v>1</v>
      </c>
      <c r="AL29" s="59">
        <f t="shared" si="28"/>
        <v>1</v>
      </c>
      <c r="AM29" s="59">
        <f t="shared" si="28"/>
        <v>1</v>
      </c>
      <c r="AN29" s="59">
        <f t="shared" si="28"/>
        <v>1</v>
      </c>
      <c r="AO29" s="59">
        <f t="shared" si="28"/>
        <v>1</v>
      </c>
      <c r="AP29" s="59" t="e">
        <f t="shared" si="28"/>
        <v>#DIV/0!</v>
      </c>
      <c r="AQ29" s="59">
        <f t="shared" si="28"/>
        <v>0</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135941516.66999999</v>
      </c>
      <c r="F30" s="26">
        <f>股权价值增加表!F20</f>
        <v>86100130.670000002</v>
      </c>
      <c r="G30" s="26">
        <f>股权价值增加表!G20</f>
        <v>26343565.530000001</v>
      </c>
      <c r="H30" s="26">
        <f>股权价值增加表!H20</f>
        <v>14093627.93</v>
      </c>
      <c r="I30" s="26">
        <f>股权价值增加表!I20</f>
        <v>35828908.5</v>
      </c>
      <c r="J30" s="26">
        <f>股权价值增加表!J20</f>
        <v>26124141.59</v>
      </c>
      <c r="K30" s="26">
        <f>股权价值增加表!K20</f>
        <v>15074133.289999999</v>
      </c>
      <c r="L30" s="26">
        <f>股权价值增加表!L20</f>
        <v>-20.79</v>
      </c>
      <c r="M30" s="26">
        <f>股权价值增加表!M20</f>
        <v>45254.04</v>
      </c>
      <c r="N30" s="26">
        <f>股权价值增加表!N20</f>
        <v>0</v>
      </c>
      <c r="O30" s="26">
        <f>股权价值增加表!O20</f>
        <v>0</v>
      </c>
      <c r="P30" s="26">
        <f>股权价值增加表!P20</f>
        <v>0</v>
      </c>
      <c r="Q30" s="26">
        <f>股权价值增加表!Q20</f>
        <v>-318733.87</v>
      </c>
      <c r="R30" s="26">
        <f>股权价值增加表!R20</f>
        <v>-80695.41</v>
      </c>
      <c r="S30" s="26">
        <f>股权价值增加表!S20</f>
        <v>-80695.41</v>
      </c>
      <c r="T30" s="26">
        <f>股权价值增加表!T20</f>
        <v>-29100.32</v>
      </c>
      <c r="U30" s="26">
        <f>股权价值增加表!U20</f>
        <v>-90791.38</v>
      </c>
      <c r="V30" s="26">
        <f>股权价值增加表!V20</f>
        <v>-671136.43</v>
      </c>
      <c r="W30" s="26">
        <f>股权价值增加表!W20</f>
        <v>-671136.43</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-8.0998576748314635E-3</v>
      </c>
      <c r="F31" s="59">
        <f t="shared" ref="F31:BQ31" si="30">F30/F34</f>
        <v>-3.6615889337897022E-2</v>
      </c>
      <c r="G31" s="59">
        <f t="shared" si="30"/>
        <v>-2.8898976896975563E-2</v>
      </c>
      <c r="H31" s="59">
        <f t="shared" si="30"/>
        <v>3.7587051771156767E-2</v>
      </c>
      <c r="I31" s="59">
        <f t="shared" si="30"/>
        <v>0.15611415846887813</v>
      </c>
      <c r="J31" s="59">
        <f t="shared" si="30"/>
        <v>5.9042800940012914E-2</v>
      </c>
      <c r="K31" s="59">
        <f t="shared" si="30"/>
        <v>5.0557606874192432E-2</v>
      </c>
      <c r="L31" s="59">
        <f t="shared" si="30"/>
        <v>-1.0283367108761603E-7</v>
      </c>
      <c r="M31" s="59">
        <f t="shared" si="30"/>
        <v>1.051837252115289E-4</v>
      </c>
      <c r="N31" s="59">
        <f t="shared" si="30"/>
        <v>0</v>
      </c>
      <c r="O31" s="59">
        <f t="shared" si="30"/>
        <v>0</v>
      </c>
      <c r="P31" s="59">
        <f t="shared" si="30"/>
        <v>0</v>
      </c>
      <c r="Q31" s="59">
        <f t="shared" si="30"/>
        <v>-1.3204981934300775E-3</v>
      </c>
      <c r="R31" s="59">
        <f t="shared" si="30"/>
        <v>-5.0651931168802498E-4</v>
      </c>
      <c r="S31" s="59">
        <f t="shared" si="30"/>
        <v>-5.419984900194248E-4</v>
      </c>
      <c r="T31" s="59">
        <f t="shared" si="30"/>
        <v>-3.4136701783710568E-4</v>
      </c>
      <c r="U31" s="59">
        <f t="shared" si="30"/>
        <v>-2.5209592597750575E-4</v>
      </c>
      <c r="V31" s="59">
        <f t="shared" si="30"/>
        <v>-2.4773027845715165E-3</v>
      </c>
      <c r="W31" s="59">
        <f t="shared" si="30"/>
        <v>-3.6448195849721698E-3</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t="e">
        <f t="shared" si="30"/>
        <v>#DIV/0!</v>
      </c>
      <c r="AQ31" s="59">
        <f t="shared" si="30"/>
        <v>0</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-161201324.23000002</v>
      </c>
      <c r="F32" s="26">
        <f>股权价值增加表!F27</f>
        <v>180990384.06</v>
      </c>
      <c r="G32" s="26">
        <f>股权价值增加表!G27</f>
        <v>210475804.79999998</v>
      </c>
      <c r="H32" s="26">
        <f>股权价值增加表!H27</f>
        <v>-3106059.4</v>
      </c>
      <c r="I32" s="26">
        <f>股权价值增加表!I27</f>
        <v>6382986.1499999985</v>
      </c>
      <c r="J32" s="26">
        <f>股权价值增加表!J27</f>
        <v>15453.96</v>
      </c>
      <c r="K32" s="26">
        <f>股权价值增加表!K27</f>
        <v>-6346978.8099999996</v>
      </c>
      <c r="L32" s="26">
        <f>股权价值增加表!L27</f>
        <v>-8058486.3799999999</v>
      </c>
      <c r="M32" s="26">
        <f>股权价值增加表!M27</f>
        <v>91982990.979999989</v>
      </c>
      <c r="N32" s="26">
        <f>股权价值增加表!N27</f>
        <v>101542741.82000001</v>
      </c>
      <c r="O32" s="26">
        <f>股权价值增加表!O27</f>
        <v>83377147.870000005</v>
      </c>
      <c r="P32" s="26">
        <f>股权价值增加表!P27</f>
        <v>21081300.66</v>
      </c>
      <c r="Q32" s="26">
        <f>股权价值增加表!Q27</f>
        <v>3071142.6799999997</v>
      </c>
      <c r="R32" s="26">
        <f>股权价值增加表!R27</f>
        <v>1013152.1799999999</v>
      </c>
      <c r="S32" s="26">
        <f>股权价值增加表!S27</f>
        <v>369487.25</v>
      </c>
      <c r="T32" s="26">
        <f>股权价值增加表!T27</f>
        <v>847332.12999999989</v>
      </c>
      <c r="U32" s="26">
        <f>股权价值增加表!U27</f>
        <v>122411.10999999964</v>
      </c>
      <c r="V32" s="26">
        <f>股权价值增加表!V27</f>
        <v>-1454360.25</v>
      </c>
      <c r="W32" s="26">
        <f>股权价值增加表!W27</f>
        <v>-1230014.73</v>
      </c>
      <c r="X32" s="26">
        <f>股权价值增加表!X27</f>
        <v>107849.03</v>
      </c>
      <c r="Y32" s="26">
        <f>股权价值增加表!Y27</f>
        <v>18268679.41</v>
      </c>
      <c r="Z32" s="26">
        <f>股权价值增加表!Z27</f>
        <v>0</v>
      </c>
      <c r="AA32" s="26">
        <f>股权价值增加表!AA27</f>
        <v>0</v>
      </c>
      <c r="AB32" s="26">
        <f>股权价值增加表!AB27</f>
        <v>0</v>
      </c>
      <c r="AC32" s="26">
        <f>股权价值增加表!AC27</f>
        <v>11491978.48</v>
      </c>
      <c r="AD32" s="26">
        <f>股权价值增加表!AD27</f>
        <v>0</v>
      </c>
      <c r="AE32" s="26">
        <f>股权价值增加表!AE27</f>
        <v>0</v>
      </c>
      <c r="AF32" s="26">
        <f>股权价值增加表!AF27</f>
        <v>0</v>
      </c>
      <c r="AG32" s="26">
        <f>股权价值增加表!AG27</f>
        <v>890824.32000000007</v>
      </c>
      <c r="AH32" s="26">
        <f>股权价值增加表!AH27</f>
        <v>0</v>
      </c>
      <c r="AI32" s="26">
        <f>股权价值增加表!AI27</f>
        <v>0</v>
      </c>
      <c r="AJ32" s="26">
        <f>股权价值增加表!AJ27</f>
        <v>0</v>
      </c>
      <c r="AK32" s="26">
        <f>股权价值增加表!AK27</f>
        <v>0</v>
      </c>
      <c r="AL32" s="26">
        <f>股权价值增加表!AL27</f>
        <v>0</v>
      </c>
      <c r="AM32" s="26">
        <f>股权价值增加表!AM27</f>
        <v>0</v>
      </c>
      <c r="AN32" s="26">
        <f>股权价值增加表!AN27</f>
        <v>0</v>
      </c>
      <c r="AO32" s="26">
        <f>股权价值增加表!AO27</f>
        <v>0</v>
      </c>
      <c r="AP32" s="26">
        <f>股权价值增加表!AP27</f>
        <v>0</v>
      </c>
      <c r="AQ32" s="26">
        <f>股权价值增加表!AQ27</f>
        <v>-929569.49</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9.6049228759672121E-3</v>
      </c>
      <c r="F33" s="59">
        <f t="shared" ref="F33:BQ33" si="32">F32/F34</f>
        <v>-7.6969963023221524E-2</v>
      </c>
      <c r="G33" s="59">
        <f t="shared" si="32"/>
        <v>-0.23089264106488389</v>
      </c>
      <c r="H33" s="59">
        <f t="shared" si="32"/>
        <v>-8.2837163044141831E-3</v>
      </c>
      <c r="I33" s="59">
        <f t="shared" si="32"/>
        <v>2.7812025346118319E-2</v>
      </c>
      <c r="J33" s="59">
        <f t="shared" si="32"/>
        <v>3.4927275251187382E-5</v>
      </c>
      <c r="K33" s="59">
        <f t="shared" si="32"/>
        <v>-2.1287330643923855E-2</v>
      </c>
      <c r="L33" s="59">
        <f t="shared" si="32"/>
        <v>-3.985972765103192E-2</v>
      </c>
      <c r="M33" s="59">
        <f t="shared" si="32"/>
        <v>0.2137955781931262</v>
      </c>
      <c r="N33" s="59">
        <f t="shared" si="32"/>
        <v>0.4214848797525802</v>
      </c>
      <c r="O33" s="59">
        <f t="shared" si="32"/>
        <v>0.57093713018219605</v>
      </c>
      <c r="P33" s="59">
        <f t="shared" si="32"/>
        <v>0.3582648381227212</v>
      </c>
      <c r="Q33" s="59">
        <f t="shared" si="32"/>
        <v>1.27235877401608E-2</v>
      </c>
      <c r="R33" s="59">
        <f t="shared" si="32"/>
        <v>6.3594837035814292E-3</v>
      </c>
      <c r="S33" s="59">
        <f t="shared" si="32"/>
        <v>2.4816966861117592E-3</v>
      </c>
      <c r="T33" s="59">
        <f t="shared" si="32"/>
        <v>9.9397959313046284E-3</v>
      </c>
      <c r="U33" s="59">
        <f t="shared" si="32"/>
        <v>3.3989286345668739E-4</v>
      </c>
      <c r="V33" s="59">
        <f t="shared" si="32"/>
        <v>-5.3683432101802701E-3</v>
      </c>
      <c r="W33" s="59">
        <f t="shared" si="32"/>
        <v>-6.6799857336134402E-3</v>
      </c>
      <c r="X33" s="59">
        <f t="shared" si="32"/>
        <v>1.0262162287495936E-3</v>
      </c>
      <c r="Y33" s="59">
        <f t="shared" si="32"/>
        <v>6.3777879065542359E-2</v>
      </c>
      <c r="Z33" s="59">
        <f t="shared" si="32"/>
        <v>0</v>
      </c>
      <c r="AA33" s="59">
        <f t="shared" si="32"/>
        <v>0</v>
      </c>
      <c r="AB33" s="59">
        <f t="shared" si="32"/>
        <v>0</v>
      </c>
      <c r="AC33" s="59">
        <f t="shared" si="32"/>
        <v>6.4951711718599023E-2</v>
      </c>
      <c r="AD33" s="59">
        <f t="shared" si="32"/>
        <v>0</v>
      </c>
      <c r="AE33" s="59">
        <f t="shared" si="32"/>
        <v>0</v>
      </c>
      <c r="AF33" s="59">
        <f t="shared" si="32"/>
        <v>0</v>
      </c>
      <c r="AG33" s="59">
        <f t="shared" si="32"/>
        <v>1.1217020083851273E-2</v>
      </c>
      <c r="AH33" s="59">
        <f t="shared" si="32"/>
        <v>0</v>
      </c>
      <c r="AI33" s="59">
        <f t="shared" si="32"/>
        <v>0</v>
      </c>
      <c r="AJ33" s="59">
        <f t="shared" si="32"/>
        <v>0</v>
      </c>
      <c r="AK33" s="59">
        <f t="shared" si="32"/>
        <v>0</v>
      </c>
      <c r="AL33" s="59">
        <f t="shared" si="32"/>
        <v>0</v>
      </c>
      <c r="AM33" s="59">
        <f t="shared" si="32"/>
        <v>0</v>
      </c>
      <c r="AN33" s="59">
        <f t="shared" si="32"/>
        <v>0</v>
      </c>
      <c r="AO33" s="59">
        <f t="shared" si="32"/>
        <v>0</v>
      </c>
      <c r="AP33" s="59" t="e">
        <f t="shared" si="32"/>
        <v>#DIV/0!</v>
      </c>
      <c r="AQ33" s="59">
        <f t="shared" si="32"/>
        <v>1</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5" t="s">
        <v>376</v>
      </c>
      <c r="E34" s="58">
        <f>股权价值增加表!E31</f>
        <v>-16783198190.309999</v>
      </c>
      <c r="F34" s="58">
        <f>股权价值增加表!F31</f>
        <v>-2351441743.6499996</v>
      </c>
      <c r="G34" s="58">
        <f>股权价值增加表!G31</f>
        <v>-911574330.94999981</v>
      </c>
      <c r="H34" s="58">
        <f>股权价值增加表!H31</f>
        <v>374959654.08000022</v>
      </c>
      <c r="I34" s="58">
        <f>股权价值增加表!I31</f>
        <v>229504542.39000118</v>
      </c>
      <c r="J34" s="58">
        <f>股权价值增加表!J31</f>
        <v>442461082.02999973</v>
      </c>
      <c r="K34" s="58">
        <f>股权价值增加表!K31</f>
        <v>298157571.57000089</v>
      </c>
      <c r="L34" s="58">
        <f>股权价值增加表!L31</f>
        <v>202171134.99999982</v>
      </c>
      <c r="M34" s="58">
        <f>股权价值增加表!M31</f>
        <v>430238042.14000046</v>
      </c>
      <c r="N34" s="58">
        <f>股权价值增加表!N31</f>
        <v>240916689.29999948</v>
      </c>
      <c r="O34" s="58">
        <f>股权价值增加表!O31</f>
        <v>146035602.63000041</v>
      </c>
      <c r="P34" s="58">
        <f>股权价值增加表!P31</f>
        <v>58842784.48999995</v>
      </c>
      <c r="Q34" s="58">
        <f>股权价值增加表!Q31</f>
        <v>241373953.85000005</v>
      </c>
      <c r="R34" s="58">
        <f>股权价值增加表!R31</f>
        <v>159313590.09999973</v>
      </c>
      <c r="S34" s="58">
        <f>股权价值增加表!S31</f>
        <v>148884935.07999983</v>
      </c>
      <c r="T34" s="58">
        <f>股权价值增加表!T31</f>
        <v>85246431.199999988</v>
      </c>
      <c r="U34" s="58">
        <f>股权价值增加表!U31</f>
        <v>360146161.22000015</v>
      </c>
      <c r="V34" s="58">
        <f>股权价值增加表!V31</f>
        <v>270914170.92000014</v>
      </c>
      <c r="W34" s="58">
        <f>股权价值增加表!W31</f>
        <v>184134334.87000003</v>
      </c>
      <c r="X34" s="58">
        <f>股权价值增加表!X31</f>
        <v>105093865.19</v>
      </c>
      <c r="Y34" s="58">
        <f>股权价值增加表!Y31</f>
        <v>286442253.61000007</v>
      </c>
      <c r="Z34" s="58">
        <f>股权价值增加表!Z31</f>
        <v>177124791.80000004</v>
      </c>
      <c r="AA34" s="58">
        <f>股权价值增加表!AA31</f>
        <v>120247770.29999994</v>
      </c>
      <c r="AB34" s="58">
        <f>股权价值增加表!AB31</f>
        <v>70084496.850000024</v>
      </c>
      <c r="AC34" s="58">
        <f>股权价值增加表!AC31</f>
        <v>176931110.44999996</v>
      </c>
      <c r="AD34" s="58">
        <f>股权价值增加表!AD31</f>
        <v>114827416.30000001</v>
      </c>
      <c r="AE34" s="58">
        <f>股权价值增加表!AE31</f>
        <v>74036574.639999986</v>
      </c>
      <c r="AF34" s="58">
        <f>股权价值增加表!AF31</f>
        <v>35344389.219999991</v>
      </c>
      <c r="AG34" s="58">
        <f>股权价值增加表!AG31</f>
        <v>79417199.340000004</v>
      </c>
      <c r="AH34" s="58">
        <f>股权价值增加表!AH31</f>
        <v>57853805.590000018</v>
      </c>
      <c r="AI34" s="58">
        <f>股权价值增加表!AI31</f>
        <v>34803061.780000009</v>
      </c>
      <c r="AJ34" s="58">
        <f>股权价值增加表!AJ31</f>
        <v>16729157.41</v>
      </c>
      <c r="AK34" s="58">
        <f>股权价值增加表!AK31</f>
        <v>48212127.290000007</v>
      </c>
      <c r="AL34" s="58">
        <f>股权价值增加表!AL31</f>
        <v>33494292.079999998</v>
      </c>
      <c r="AM34" s="58">
        <f>股权价值增加表!AM31</f>
        <v>19683991.180000003</v>
      </c>
      <c r="AN34" s="58">
        <f>股权价值增加表!AN31</f>
        <v>30848690.629999988</v>
      </c>
      <c r="AO34" s="58">
        <f>股权价值增加表!AO31</f>
        <v>14815869.059999999</v>
      </c>
      <c r="AP34" s="58">
        <f>股权价值增加表!AP31</f>
        <v>0</v>
      </c>
      <c r="AQ34" s="58">
        <f>股权价值增加表!AQ31</f>
        <v>-929569.49</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676</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39813</v>
      </c>
      <c r="AO38" s="1">
        <v>39447</v>
      </c>
      <c r="AP38" s="1">
        <v>25569</v>
      </c>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-16783198190.309999</v>
      </c>
      <c r="F39" s="26">
        <f>股权价值增加表!F31</f>
        <v>-2351441743.6499996</v>
      </c>
      <c r="G39" s="26">
        <f>股权价值增加表!G31</f>
        <v>-911574330.94999981</v>
      </c>
      <c r="H39" s="26">
        <f>股权价值增加表!H31</f>
        <v>374959654.08000022</v>
      </c>
      <c r="I39" s="26">
        <f>股权价值增加表!I31</f>
        <v>229504542.39000118</v>
      </c>
      <c r="J39" s="26">
        <f>股权价值增加表!J31</f>
        <v>442461082.02999973</v>
      </c>
      <c r="K39" s="26">
        <f>股权价值增加表!K31</f>
        <v>298157571.57000089</v>
      </c>
      <c r="L39" s="26">
        <f>股权价值增加表!L31</f>
        <v>202171134.99999982</v>
      </c>
      <c r="M39" s="26">
        <f>股权价值增加表!M31</f>
        <v>430238042.14000046</v>
      </c>
      <c r="N39" s="26">
        <f>股权价值增加表!N31</f>
        <v>240916689.29999948</v>
      </c>
      <c r="O39" s="26">
        <f>股权价值增加表!O31</f>
        <v>146035602.63000041</v>
      </c>
      <c r="P39" s="26">
        <f>股权价值增加表!P31</f>
        <v>58842784.48999995</v>
      </c>
      <c r="Q39" s="26">
        <f>股权价值增加表!Q31</f>
        <v>241373953.85000005</v>
      </c>
      <c r="R39" s="26">
        <f>股权价值增加表!R31</f>
        <v>159313590.09999973</v>
      </c>
      <c r="S39" s="26">
        <f>股权价值增加表!S31</f>
        <v>148884935.07999983</v>
      </c>
      <c r="T39" s="26">
        <f>股权价值增加表!T31</f>
        <v>85246431.199999988</v>
      </c>
      <c r="U39" s="26">
        <f>股权价值增加表!U31</f>
        <v>360146161.22000015</v>
      </c>
      <c r="V39" s="26">
        <f>股权价值增加表!V31</f>
        <v>270914170.92000014</v>
      </c>
      <c r="W39" s="26">
        <f>股权价值增加表!W31</f>
        <v>184134334.87000003</v>
      </c>
      <c r="X39" s="26">
        <f>股权价值增加表!X31</f>
        <v>105093865.19</v>
      </c>
      <c r="Y39" s="26">
        <f>股权价值增加表!Y31</f>
        <v>286442253.61000007</v>
      </c>
      <c r="Z39" s="26">
        <f>股权价值增加表!Z31</f>
        <v>177124791.80000004</v>
      </c>
      <c r="AA39" s="26">
        <f>股权价值增加表!AA31</f>
        <v>120247770.29999994</v>
      </c>
      <c r="AB39" s="26">
        <f>股权价值增加表!AB31</f>
        <v>70084496.850000024</v>
      </c>
      <c r="AC39" s="26">
        <f>股权价值增加表!AC31</f>
        <v>176931110.44999996</v>
      </c>
      <c r="AD39" s="26">
        <f>股权价值增加表!AD31</f>
        <v>114827416.30000001</v>
      </c>
      <c r="AE39" s="26">
        <f>股权价值增加表!AE31</f>
        <v>74036574.639999986</v>
      </c>
      <c r="AF39" s="26">
        <f>股权价值增加表!AF31</f>
        <v>35344389.219999991</v>
      </c>
      <c r="AG39" s="26">
        <f>股权价值增加表!AG31</f>
        <v>79417199.340000004</v>
      </c>
      <c r="AH39" s="26">
        <f>股权价值增加表!AH31</f>
        <v>57853805.590000018</v>
      </c>
      <c r="AI39" s="26">
        <f>股权价值增加表!AI31</f>
        <v>34803061.780000009</v>
      </c>
      <c r="AJ39" s="26">
        <f>股权价值增加表!AJ31</f>
        <v>16729157.41</v>
      </c>
      <c r="AK39" s="26">
        <f>股权价值增加表!AK31</f>
        <v>48212127.290000007</v>
      </c>
      <c r="AL39" s="26">
        <f>股权价值增加表!AL31</f>
        <v>33494292.079999998</v>
      </c>
      <c r="AM39" s="26">
        <f>股权价值增加表!AM31</f>
        <v>19683991.180000003</v>
      </c>
      <c r="AN39" s="26">
        <f>股权价值增加表!AN31</f>
        <v>30848690.629999988</v>
      </c>
      <c r="AO39" s="26">
        <f>股权价值增加表!AO31</f>
        <v>14815869.059999999</v>
      </c>
      <c r="AP39" s="26">
        <f>股权价值增加表!AP31</f>
        <v>0</v>
      </c>
      <c r="AQ39" s="26">
        <f>股权价值增加表!AQ31</f>
        <v>-929569.49</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-17671154979.869999</v>
      </c>
      <c r="F40" s="26">
        <f>股权价值增加表!F38</f>
        <v>-2994731384.1099997</v>
      </c>
      <c r="G40" s="26">
        <f>股权价值增加表!G38</f>
        <v>-1190581400.5499997</v>
      </c>
      <c r="H40" s="26">
        <f>股权价值增加表!H38</f>
        <v>251131644.87000024</v>
      </c>
      <c r="I40" s="26">
        <f>股权价值增加表!I38</f>
        <v>-429754158.51999879</v>
      </c>
      <c r="J40" s="26">
        <f>股权价值增加表!J38</f>
        <v>36116880.749999762</v>
      </c>
      <c r="K40" s="26">
        <f>股权价值增加表!K38</f>
        <v>39694927.4000009</v>
      </c>
      <c r="L40" s="26">
        <f>股权价值增加表!L38</f>
        <v>114756594.99999982</v>
      </c>
      <c r="M40" s="26">
        <f>股权价值增加表!M38</f>
        <v>75073016.810000479</v>
      </c>
      <c r="N40" s="26">
        <f>股权价值增加表!N38</f>
        <v>104521086.73999947</v>
      </c>
      <c r="O40" s="26">
        <f>股权价值增加表!O38</f>
        <v>71523614.940000415</v>
      </c>
      <c r="P40" s="26">
        <f>股权价值增加表!P38</f>
        <v>23446684.039999947</v>
      </c>
      <c r="Q40" s="26">
        <f>股权价值增加表!Q38</f>
        <v>69944233.170000046</v>
      </c>
      <c r="R40" s="26">
        <f>股权价值增加表!R38</f>
        <v>27301338.249999732</v>
      </c>
      <c r="S40" s="26">
        <f>股权价值增加表!S38</f>
        <v>66516421.029999837</v>
      </c>
      <c r="T40" s="26">
        <f>股权价值增加表!T38</f>
        <v>44969725.699999988</v>
      </c>
      <c r="U40" s="26">
        <f>股权价值增加表!U38</f>
        <v>242589061.46000016</v>
      </c>
      <c r="V40" s="26">
        <f>股权价值增加表!V38</f>
        <v>189434551.32000014</v>
      </c>
      <c r="W40" s="26">
        <f>股权价值增加表!W38</f>
        <v>131988665.11000004</v>
      </c>
      <c r="X40" s="26">
        <f>股权价值增加表!X38</f>
        <v>82309515.75999999</v>
      </c>
      <c r="Y40" s="26">
        <f>股权价值增加表!Y38</f>
        <v>226009143.78000009</v>
      </c>
      <c r="Z40" s="26">
        <f>股权价值增加表!Z38</f>
        <v>156771233.69000006</v>
      </c>
      <c r="AA40" s="26">
        <f>股权价值增加表!AA38</f>
        <v>108842031.06999993</v>
      </c>
      <c r="AB40" s="26">
        <f>股权价值增加表!AB38</f>
        <v>62873104.070000023</v>
      </c>
      <c r="AC40" s="26">
        <f>股权价值增加表!AC38</f>
        <v>163633636.81999996</v>
      </c>
      <c r="AD40" s="26">
        <f>股权价值增加表!AD38</f>
        <v>111865149.24000001</v>
      </c>
      <c r="AE40" s="26">
        <f>股权价值增加表!AE38</f>
        <v>71198681.389999986</v>
      </c>
      <c r="AF40" s="26">
        <f>股权价值增加表!AF38</f>
        <v>34692464.909999989</v>
      </c>
      <c r="AG40" s="26">
        <f>股权价值增加表!AG38</f>
        <v>74804519.420000002</v>
      </c>
      <c r="AH40" s="26">
        <f>股权价值增加表!AH38</f>
        <v>54225535.87000002</v>
      </c>
      <c r="AI40" s="26">
        <f>股权价值增加表!AI38</f>
        <v>32663366.63000001</v>
      </c>
      <c r="AJ40" s="26">
        <f>股权价值增加表!AJ38</f>
        <v>15972763.1</v>
      </c>
      <c r="AK40" s="26">
        <f>股权价值增加表!AK38</f>
        <v>47702286.100000009</v>
      </c>
      <c r="AL40" s="26">
        <f>股权价值增加表!AL38</f>
        <v>33456033.959999997</v>
      </c>
      <c r="AM40" s="26">
        <f>股权价值增加表!AM38</f>
        <v>19682345.470000003</v>
      </c>
      <c r="AN40" s="26">
        <f>股权价值增加表!AN38</f>
        <v>31677235.529999986</v>
      </c>
      <c r="AO40" s="26">
        <f>股权价值增加表!AO38</f>
        <v>14683477.389999999</v>
      </c>
      <c r="AP40" s="26">
        <f>股权价值增加表!AP38</f>
        <v>0</v>
      </c>
      <c r="AQ40" s="26">
        <f>股权价值增加表!AQ38</f>
        <v>73880495.870000005</v>
      </c>
      <c r="AR40" s="26">
        <f>股权价值增加表!AR38</f>
        <v>15614749.33</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-5.2907483990308313E-2</v>
      </c>
      <c r="F41" s="59">
        <f t="shared" ref="F41:BQ41" si="34">1-F40/F39</f>
        <v>-0.27357243367699202</v>
      </c>
      <c r="G41" s="59">
        <f t="shared" si="34"/>
        <v>-0.30607166100128325</v>
      </c>
      <c r="H41" s="59">
        <f t="shared" si="34"/>
        <v>0.33024355517348658</v>
      </c>
      <c r="I41" s="59">
        <f t="shared" si="34"/>
        <v>2.872530077377335</v>
      </c>
      <c r="J41" s="59">
        <f t="shared" si="34"/>
        <v>0.91837275137443397</v>
      </c>
      <c r="K41" s="59">
        <f t="shared" si="34"/>
        <v>0.86686594208900913</v>
      </c>
      <c r="L41" s="59">
        <f t="shared" si="34"/>
        <v>0.4323789348068906</v>
      </c>
      <c r="M41" s="59">
        <f t="shared" si="34"/>
        <v>0.82550818510472035</v>
      </c>
      <c r="N41" s="59">
        <f t="shared" si="34"/>
        <v>0.56615256899099475</v>
      </c>
      <c r="O41" s="59">
        <f t="shared" si="34"/>
        <v>0.51023165822642236</v>
      </c>
      <c r="P41" s="59">
        <f t="shared" si="34"/>
        <v>0.60153680280061184</v>
      </c>
      <c r="Q41" s="59">
        <f t="shared" si="34"/>
        <v>0.71022460354829198</v>
      </c>
      <c r="R41" s="59">
        <f t="shared" si="34"/>
        <v>0.82863145427290341</v>
      </c>
      <c r="S41" s="59">
        <f t="shared" si="34"/>
        <v>0.55323605444527479</v>
      </c>
      <c r="T41" s="59">
        <f t="shared" si="34"/>
        <v>0.47247380251620441</v>
      </c>
      <c r="U41" s="59">
        <f t="shared" si="34"/>
        <v>0.32641497374780748</v>
      </c>
      <c r="V41" s="59">
        <f t="shared" si="34"/>
        <v>0.30075805677976364</v>
      </c>
      <c r="W41" s="59">
        <f t="shared" si="34"/>
        <v>0.28319362489790489</v>
      </c>
      <c r="X41" s="59">
        <f t="shared" si="34"/>
        <v>0.21679999483136347</v>
      </c>
      <c r="Y41" s="59">
        <f t="shared" si="34"/>
        <v>0.21097833531320254</v>
      </c>
      <c r="Z41" s="59">
        <f t="shared" si="34"/>
        <v>0.11491083717395223</v>
      </c>
      <c r="AA41" s="59">
        <f t="shared" si="34"/>
        <v>9.4851981051660372E-2</v>
      </c>
      <c r="AB41" s="59">
        <f t="shared" si="34"/>
        <v>0.10289569168819679</v>
      </c>
      <c r="AC41" s="59">
        <f t="shared" si="34"/>
        <v>7.5156220950513997E-2</v>
      </c>
      <c r="AD41" s="59">
        <f t="shared" si="34"/>
        <v>2.5797559114808744E-2</v>
      </c>
      <c r="AE41" s="59">
        <f t="shared" si="34"/>
        <v>3.8330963632490445E-2</v>
      </c>
      <c r="AF41" s="59">
        <f t="shared" si="34"/>
        <v>1.8444916559234414E-2</v>
      </c>
      <c r="AG41" s="59">
        <f t="shared" si="34"/>
        <v>5.808162411082074E-2</v>
      </c>
      <c r="AH41" s="59">
        <f t="shared" si="34"/>
        <v>6.2714452109044028E-2</v>
      </c>
      <c r="AI41" s="59">
        <f t="shared" si="34"/>
        <v>6.1480083664064322E-2</v>
      </c>
      <c r="AJ41" s="59">
        <f t="shared" si="34"/>
        <v>4.5214130721721757E-2</v>
      </c>
      <c r="AK41" s="59">
        <f t="shared" si="34"/>
        <v>1.057495735322489E-2</v>
      </c>
      <c r="AL41" s="59">
        <f t="shared" si="34"/>
        <v>1.1422280521297123E-3</v>
      </c>
      <c r="AM41" s="59">
        <f t="shared" si="34"/>
        <v>8.3606519884704689E-5</v>
      </c>
      <c r="AN41" s="59">
        <f t="shared" si="34"/>
        <v>-2.6858349028086481E-2</v>
      </c>
      <c r="AO41" s="59">
        <f t="shared" si="34"/>
        <v>8.9358018394906091E-3</v>
      </c>
      <c r="AP41" s="59" t="e">
        <f t="shared" si="34"/>
        <v>#DIV/0!</v>
      </c>
      <c r="AQ41" s="59">
        <f t="shared" si="34"/>
        <v>80.478184971410798</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9">
        <f>E39/(E39-E40)</f>
        <v>-18.900917688378073</v>
      </c>
      <c r="F42" s="29">
        <f t="shared" ref="F42:BQ42" si="36">F39/(F39-F40)</f>
        <v>-3.655339050646834</v>
      </c>
      <c r="G42" s="29">
        <f t="shared" si="36"/>
        <v>-3.2672087207570892</v>
      </c>
      <c r="H42" s="29">
        <f t="shared" si="36"/>
        <v>3.0280681767572148</v>
      </c>
      <c r="I42" s="29">
        <f t="shared" si="36"/>
        <v>0.34812516250935677</v>
      </c>
      <c r="J42" s="29">
        <f t="shared" si="36"/>
        <v>1.0888824810006645</v>
      </c>
      <c r="K42" s="29">
        <f t="shared" si="36"/>
        <v>1.1535809073201779</v>
      </c>
      <c r="L42" s="29">
        <f t="shared" si="36"/>
        <v>2.3127861223087121</v>
      </c>
      <c r="M42" s="29">
        <f t="shared" si="36"/>
        <v>1.211375026975831</v>
      </c>
      <c r="N42" s="29">
        <f t="shared" si="36"/>
        <v>1.766308332367394</v>
      </c>
      <c r="O42" s="29">
        <f t="shared" si="36"/>
        <v>1.9598940674830414</v>
      </c>
      <c r="P42" s="29">
        <f t="shared" si="36"/>
        <v>1.6624086761512156</v>
      </c>
      <c r="Q42" s="29">
        <f t="shared" si="36"/>
        <v>1.4080052915711256</v>
      </c>
      <c r="R42" s="29">
        <f t="shared" si="36"/>
        <v>1.2068091246638313</v>
      </c>
      <c r="S42" s="29">
        <f t="shared" si="36"/>
        <v>1.8075466918053482</v>
      </c>
      <c r="T42" s="29">
        <f t="shared" si="36"/>
        <v>2.1165194655754549</v>
      </c>
      <c r="U42" s="29">
        <f t="shared" si="36"/>
        <v>3.063584946849323</v>
      </c>
      <c r="V42" s="29">
        <f t="shared" si="36"/>
        <v>3.3249317099168212</v>
      </c>
      <c r="W42" s="29">
        <f t="shared" si="36"/>
        <v>3.5311529359480236</v>
      </c>
      <c r="X42" s="29">
        <f t="shared" si="36"/>
        <v>4.6125462354270068</v>
      </c>
      <c r="Y42" s="29">
        <f t="shared" si="36"/>
        <v>4.739823160114879</v>
      </c>
      <c r="Z42" s="29">
        <f t="shared" si="36"/>
        <v>8.702399395856796</v>
      </c>
      <c r="AA42" s="29">
        <f t="shared" si="36"/>
        <v>10.542742375147208</v>
      </c>
      <c r="AB42" s="29">
        <f t="shared" si="36"/>
        <v>9.7185798899169118</v>
      </c>
      <c r="AC42" s="29">
        <f t="shared" si="36"/>
        <v>13.305618448517277</v>
      </c>
      <c r="AD42" s="29">
        <f t="shared" si="36"/>
        <v>38.763357244366723</v>
      </c>
      <c r="AE42" s="29">
        <f t="shared" si="36"/>
        <v>26.0885692722938</v>
      </c>
      <c r="AF42" s="29">
        <f t="shared" si="36"/>
        <v>54.215479738744307</v>
      </c>
      <c r="AG42" s="29">
        <f t="shared" si="36"/>
        <v>17.217149404981903</v>
      </c>
      <c r="AH42" s="29">
        <f t="shared" si="36"/>
        <v>15.945287989780439</v>
      </c>
      <c r="AI42" s="29">
        <f t="shared" si="36"/>
        <v>16.265430045023017</v>
      </c>
      <c r="AJ42" s="29">
        <f t="shared" si="36"/>
        <v>22.116979449514883</v>
      </c>
      <c r="AK42" s="29">
        <f t="shared" si="36"/>
        <v>94.563029107162237</v>
      </c>
      <c r="AL42" s="29">
        <f t="shared" si="36"/>
        <v>875.4819128592593</v>
      </c>
      <c r="AM42" s="29">
        <f t="shared" si="36"/>
        <v>11960.789677397177</v>
      </c>
      <c r="AN42" s="29">
        <f t="shared" si="36"/>
        <v>-37.232370424342776</v>
      </c>
      <c r="AO42" s="29">
        <f t="shared" si="36"/>
        <v>111.90937511400836</v>
      </c>
      <c r="AP42" s="29" t="e">
        <f t="shared" si="36"/>
        <v>#DIV/0!</v>
      </c>
      <c r="AQ42" s="29">
        <f t="shared" si="36"/>
        <v>1.2425727547847178E-2</v>
      </c>
      <c r="AR42" s="29">
        <f t="shared" si="36"/>
        <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698</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39813</v>
      </c>
      <c r="AO46" s="1">
        <v>39447</v>
      </c>
      <c r="AP46" s="1">
        <v>25569</v>
      </c>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-18393732932.939999</v>
      </c>
      <c r="F47" s="26">
        <f>股权价值增加表!F42</f>
        <v>-2418171200.1199999</v>
      </c>
      <c r="G47" s="26">
        <f>股权价值增加表!G42</f>
        <v>-924966964.56999969</v>
      </c>
      <c r="H47" s="26">
        <f>股权价值增加表!H42</f>
        <v>-11403314.539999753</v>
      </c>
      <c r="I47" s="26">
        <f>股权价值增加表!I42</f>
        <v>-322938269.35999882</v>
      </c>
      <c r="J47" s="26">
        <f>股权价值增加表!J42</f>
        <v>126806848.63999976</v>
      </c>
      <c r="K47" s="26">
        <f>股权价值增加表!K42</f>
        <v>73951129.330000907</v>
      </c>
      <c r="L47" s="26">
        <f>股权价值增加表!L42</f>
        <v>70971483.759999812</v>
      </c>
      <c r="M47" s="26">
        <f>股权价值增加表!M42</f>
        <v>218020620.28000048</v>
      </c>
      <c r="N47" s="26">
        <f>股权价值增加表!N42</f>
        <v>167115121.29999948</v>
      </c>
      <c r="O47" s="26">
        <f>股权价值增加表!O42</f>
        <v>107354824.13000041</v>
      </c>
      <c r="P47" s="26">
        <f>股权价值增加表!P42</f>
        <v>21044313.719999947</v>
      </c>
      <c r="Q47" s="26">
        <f>股权价值增加表!Q42</f>
        <v>125841689.21000004</v>
      </c>
      <c r="R47" s="26">
        <f>股权价值增加表!R42</f>
        <v>74777381.179999739</v>
      </c>
      <c r="S47" s="26">
        <f>股权价值增加表!S42</f>
        <v>67296310.659999833</v>
      </c>
      <c r="T47" s="26">
        <f>股权价值增加表!T42</f>
        <v>43144953.75999999</v>
      </c>
      <c r="U47" s="26">
        <f>股权价值增加表!U42</f>
        <v>228568928.73000017</v>
      </c>
      <c r="V47" s="26">
        <f>股权价值增加表!V42</f>
        <v>172202441.58000013</v>
      </c>
      <c r="W47" s="26">
        <f>股权价值增加表!W42</f>
        <v>111526886.30000004</v>
      </c>
      <c r="X47" s="26">
        <f>股权价值增加表!X42</f>
        <v>70214448.669999987</v>
      </c>
      <c r="Y47" s="26">
        <f>股权价值增加表!Y42</f>
        <v>187963229.45000011</v>
      </c>
      <c r="Z47" s="26">
        <f>股权价值增加表!Z42</f>
        <v>132166141.56000006</v>
      </c>
      <c r="AA47" s="26">
        <f>股权价值增加表!AA42</f>
        <v>90460979.849999934</v>
      </c>
      <c r="AB47" s="26">
        <f>股权价值增加表!AB42</f>
        <v>51027061.670000024</v>
      </c>
      <c r="AC47" s="26">
        <f>股权价值增加表!AC42</f>
        <v>130267041.85999995</v>
      </c>
      <c r="AD47" s="26">
        <f>股权价值增加表!AD42</f>
        <v>87399351.440000013</v>
      </c>
      <c r="AE47" s="26">
        <f>股权价值增加表!AE42</f>
        <v>58395136.189999983</v>
      </c>
      <c r="AF47" s="26">
        <f>股权价值增加表!AF42</f>
        <v>29064163.45999999</v>
      </c>
      <c r="AG47" s="26">
        <f>股权价值增加表!AG42</f>
        <v>70067328.219999999</v>
      </c>
      <c r="AH47" s="26">
        <f>股权价值增加表!AH42</f>
        <v>50524221.480000019</v>
      </c>
      <c r="AI47" s="26">
        <f>股权价值增加表!AI42</f>
        <v>31186530.340000011</v>
      </c>
      <c r="AJ47" s="26">
        <f>股权价值增加表!AJ42</f>
        <v>15817527.4</v>
      </c>
      <c r="AK47" s="26">
        <f>股权价值增加表!AK42</f>
        <v>44478208.550000012</v>
      </c>
      <c r="AL47" s="26">
        <f>股权价值增加表!AL42</f>
        <v>30555981.119999997</v>
      </c>
      <c r="AM47" s="26">
        <f>股权价值增加表!AM42</f>
        <v>17961930.370000001</v>
      </c>
      <c r="AN47" s="26">
        <f>股权价值增加表!AN42</f>
        <v>30254744.839999985</v>
      </c>
      <c r="AO47" s="26">
        <f>股权价值增加表!AO42</f>
        <v>14683477.389999999</v>
      </c>
      <c r="AP47" s="26">
        <f>股权价值增加表!AP42</f>
        <v>0</v>
      </c>
      <c r="AQ47" s="26">
        <f>股权价值增加表!AQ42</f>
        <v>-329680221.73000002</v>
      </c>
      <c r="AR47" s="26">
        <f>股权价值增加表!AR42</f>
        <v>-320202934.91000003</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-2.6182445423423855</v>
      </c>
      <c r="F48" s="63">
        <f>股权价值增加表!F43</f>
        <v>-0.39677001250524496</v>
      </c>
      <c r="G48" s="63">
        <f>股权价值增加表!G43</f>
        <v>-0.16693483176668142</v>
      </c>
      <c r="H48" s="63">
        <f>股权价值增加表!H43</f>
        <v>-2.7701696467540339E-3</v>
      </c>
      <c r="I48" s="63">
        <f>股权价值增加表!I43</f>
        <v>-1.471181195389855E-2</v>
      </c>
      <c r="J48" s="63">
        <f>股权价值增加表!J43</f>
        <v>7.5598030822633319E-3</v>
      </c>
      <c r="K48" s="63">
        <f>股权价值增加表!K43</f>
        <v>7.348714291768919E-3</v>
      </c>
      <c r="L48" s="63">
        <f>股权价值增加表!L43</f>
        <v>1.5313690253794116E-2</v>
      </c>
      <c r="M48" s="63">
        <f>股权价值增加表!M43</f>
        <v>1.67492682069477E-2</v>
      </c>
      <c r="N48" s="63">
        <f>股权价值增加表!N43</f>
        <v>1.9954105449524209E-2</v>
      </c>
      <c r="O48" s="63">
        <f>股权价值增加表!O43</f>
        <v>2.4066740820855675E-2</v>
      </c>
      <c r="P48" s="63">
        <f>股权价值增加表!P43</f>
        <v>9.8639470823511811E-3</v>
      </c>
      <c r="Q48" s="63">
        <f>股权价值增加表!Q43</f>
        <v>1.8454732646658985E-2</v>
      </c>
      <c r="R48" s="63">
        <f>股权价值增加表!R43</f>
        <v>1.575871012580617E-2</v>
      </c>
      <c r="S48" s="63">
        <f>股权价值增加表!S43</f>
        <v>2.2899233777070836E-2</v>
      </c>
      <c r="T48" s="63">
        <f>股权价值增加表!T43</f>
        <v>4.2012804969503922E-2</v>
      </c>
      <c r="U48" s="63">
        <f>股权价值增加表!U43</f>
        <v>9.6800185826884613E-2</v>
      </c>
      <c r="V48" s="63">
        <f>股权价值增加表!V43</f>
        <v>0.12613042938458191</v>
      </c>
      <c r="W48" s="63">
        <f>股权价值增加表!W43</f>
        <v>0.14832276309194159</v>
      </c>
      <c r="X48" s="63">
        <f>股权价值增加表!X43</f>
        <v>0.20537362294692163</v>
      </c>
      <c r="Y48" s="63">
        <f>股权价值增加表!Y43</f>
        <v>0.16102294068716649</v>
      </c>
      <c r="Z48" s="63">
        <f>股权价值增加表!Z43</f>
        <v>0.15947933657246779</v>
      </c>
      <c r="AA48" s="63">
        <f>股权价值增加表!AA43</f>
        <v>0.1635895619574497</v>
      </c>
      <c r="AB48" s="63">
        <f>股权价值增加表!AB43</f>
        <v>0.18500905045690605</v>
      </c>
      <c r="AC48" s="63">
        <f>股权价值增加表!AC43</f>
        <v>0.21763555390470748</v>
      </c>
      <c r="AD48" s="63">
        <f>股权价值增加表!AD43</f>
        <v>0.24557583661714688</v>
      </c>
      <c r="AE48" s="63">
        <f>股权价值增加表!AE43</f>
        <v>0.26174025321556221</v>
      </c>
      <c r="AF48" s="63">
        <f>股权价值增加表!AF43</f>
        <v>0.27745691271144929</v>
      </c>
      <c r="AG48" s="63">
        <f>股权价值增加表!AG43</f>
        <v>0.29408153978205531</v>
      </c>
      <c r="AH48" s="63">
        <f>股权价值增加表!AH43</f>
        <v>0.29195782568055767</v>
      </c>
      <c r="AI48" s="63">
        <f>股权价值增加表!AI43</f>
        <v>0.30583018647225746</v>
      </c>
      <c r="AJ48" s="63">
        <f>股权价值增加表!AJ43</f>
        <v>0.35030551748383493</v>
      </c>
      <c r="AK48" s="63">
        <f>股权价值增加表!AK43</f>
        <v>0.30520672861041881</v>
      </c>
      <c r="AL48" s="63">
        <f>股权价值增加表!AL43</f>
        <v>0.29479685084314067</v>
      </c>
      <c r="AM48" s="63">
        <f>股权价值增加表!AM43</f>
        <v>0.30040400285460239</v>
      </c>
      <c r="AN48" s="63">
        <f>股权价值增加表!AN43</f>
        <v>0.41103013605434624</v>
      </c>
      <c r="AO48" s="63">
        <f>股权价值增加表!AO43</f>
        <v>0.39775046213563303</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55.957427094016502</v>
      </c>
      <c r="F49" s="59">
        <f t="shared" ref="F49:BQ49" si="38">(F47-J47)/J47</f>
        <v>-20.06972080810165</v>
      </c>
      <c r="G49" s="59">
        <f t="shared" si="38"/>
        <v>-13.507813916436756</v>
      </c>
      <c r="H49" s="59">
        <f t="shared" si="38"/>
        <v>-1.1606745968361276</v>
      </c>
      <c r="I49" s="59">
        <f t="shared" si="38"/>
        <v>-2.4812281010174826</v>
      </c>
      <c r="J49" s="59">
        <f t="shared" si="38"/>
        <v>-0.2412006307175498</v>
      </c>
      <c r="K49" s="59">
        <f t="shared" si="38"/>
        <v>-0.31115224742531911</v>
      </c>
      <c r="L49" s="59">
        <f t="shared" si="38"/>
        <v>2.3724779389004467</v>
      </c>
      <c r="M49" s="59">
        <f t="shared" si="38"/>
        <v>0.73249915547601707</v>
      </c>
      <c r="N49" s="59">
        <f t="shared" si="38"/>
        <v>1.2348351689092953</v>
      </c>
      <c r="O49" s="59">
        <f t="shared" si="38"/>
        <v>0.59525571427514978</v>
      </c>
      <c r="P49" s="59">
        <f t="shared" si="38"/>
        <v>-0.51224159754436249</v>
      </c>
      <c r="Q49" s="59">
        <f t="shared" si="38"/>
        <v>-0.44943658830088817</v>
      </c>
      <c r="R49" s="59">
        <f t="shared" si="38"/>
        <v>-0.56575887952633708</v>
      </c>
      <c r="S49" s="59">
        <f t="shared" si="38"/>
        <v>-0.39659114593249606</v>
      </c>
      <c r="T49" s="59">
        <f t="shared" si="38"/>
        <v>-0.38552599105667806</v>
      </c>
      <c r="U49" s="59">
        <f t="shared" si="38"/>
        <v>0.21603001501313074</v>
      </c>
      <c r="V49" s="59">
        <f t="shared" si="38"/>
        <v>0.30292402840423854</v>
      </c>
      <c r="W49" s="59">
        <f t="shared" si="38"/>
        <v>0.2328728528580063</v>
      </c>
      <c r="X49" s="59">
        <f t="shared" si="38"/>
        <v>0.37602374841976577</v>
      </c>
      <c r="Y49" s="59">
        <f t="shared" si="38"/>
        <v>0.44290702211544158</v>
      </c>
      <c r="Z49" s="59">
        <f t="shared" si="38"/>
        <v>0.51220963751353032</v>
      </c>
      <c r="AA49" s="59">
        <f t="shared" si="38"/>
        <v>0.54911839841707821</v>
      </c>
      <c r="AB49" s="59">
        <f t="shared" si="38"/>
        <v>0.7556693740807926</v>
      </c>
      <c r="AC49" s="59">
        <f t="shared" si="38"/>
        <v>0.85916953263841689</v>
      </c>
      <c r="AD49" s="59">
        <f t="shared" si="38"/>
        <v>0.72985053267168087</v>
      </c>
      <c r="AE49" s="59">
        <f t="shared" si="38"/>
        <v>0.87244735317997424</v>
      </c>
      <c r="AF49" s="59">
        <f t="shared" si="38"/>
        <v>0.83746566230066966</v>
      </c>
      <c r="AG49" s="59">
        <f t="shared" si="38"/>
        <v>0.5753181277801257</v>
      </c>
      <c r="AH49" s="59">
        <f t="shared" si="38"/>
        <v>0.65349694652514645</v>
      </c>
      <c r="AI49" s="59">
        <f t="shared" si="38"/>
        <v>0.73625716710759126</v>
      </c>
      <c r="AJ49" s="59">
        <f t="shared" si="38"/>
        <v>-0.47718853741289696</v>
      </c>
      <c r="AK49" s="59">
        <f t="shared" si="38"/>
        <v>2.0291331793306226</v>
      </c>
      <c r="AL49" s="59" t="e">
        <f t="shared" si="38"/>
        <v>#DIV/0!</v>
      </c>
      <c r="AM49" s="59">
        <f t="shared" si="38"/>
        <v>-1.0544828873134839</v>
      </c>
      <c r="AN49" s="59">
        <f t="shared" si="38"/>
        <v>-1.0944861571881086</v>
      </c>
      <c r="AO49" s="59">
        <f t="shared" si="38"/>
        <v>-1.024065938346653</v>
      </c>
      <c r="AP49" s="59">
        <f t="shared" si="38"/>
        <v>-1</v>
      </c>
      <c r="AQ49" s="59">
        <f t="shared" si="38"/>
        <v>-0.37232960236131291</v>
      </c>
      <c r="AR49" s="59">
        <f t="shared" si="38"/>
        <v>-0.13576435564059997</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-18340413859.7272</v>
      </c>
      <c r="F50" s="26">
        <f>股权价值增加表!F47</f>
        <v>-3608222607.8039999</v>
      </c>
      <c r="G50" s="26">
        <f>股权价值增加表!G47</f>
        <v>-2236311479.7515998</v>
      </c>
      <c r="H50" s="26">
        <f>股权价值增加表!H47</f>
        <v>-1195176262.9423997</v>
      </c>
      <c r="I50" s="26">
        <f>股权价值增加表!I47</f>
        <v>-1161478488.5247989</v>
      </c>
      <c r="J50" s="26">
        <f>股权价值增加表!J47</f>
        <v>-664933063.71360028</v>
      </c>
      <c r="K50" s="26">
        <f>股权价值增加表!K47</f>
        <v>-330139868.38599908</v>
      </c>
      <c r="L50" s="26">
        <f>股权价值增加表!L47</f>
        <v>-323892702.32720023</v>
      </c>
      <c r="M50" s="26">
        <f>股权价值增加表!M47</f>
        <v>-87190122.095199555</v>
      </c>
      <c r="N50" s="26">
        <f>股权价值增加表!N47</f>
        <v>-119879970.61200052</v>
      </c>
      <c r="O50" s="26">
        <f>股权价值增加表!O47</f>
        <v>-172062932.11559963</v>
      </c>
      <c r="P50" s="26">
        <f>股权价值增加表!P47</f>
        <v>-249620238.59440008</v>
      </c>
      <c r="Q50" s="26">
        <f>股权价值增加表!Q47</f>
        <v>-141636182.47159997</v>
      </c>
      <c r="R50" s="26">
        <f>股权价值增加表!R47</f>
        <v>-178956821.07200027</v>
      </c>
      <c r="S50" s="26">
        <f>股权价值增加表!S47</f>
        <v>-181125308.86320019</v>
      </c>
      <c r="T50" s="26">
        <f>股权价值增加表!T47</f>
        <v>-129501777.4296</v>
      </c>
      <c r="U50" s="26">
        <f>股权价值增加表!U47</f>
        <v>62206868.687600166</v>
      </c>
      <c r="V50" s="26">
        <f>股权价值增加表!V47</f>
        <v>13071929.216800123</v>
      </c>
      <c r="W50" s="26">
        <f>股权价值增加表!W47</f>
        <v>-15249103.421599954</v>
      </c>
      <c r="X50" s="26">
        <f>股权价值增加表!X47</f>
        <v>-37381290.297200009</v>
      </c>
      <c r="Y50" s="26">
        <f>股权价值增加表!Y47</f>
        <v>86089050.377200097</v>
      </c>
      <c r="Z50" s="26">
        <f>股权价值增加表!Z47</f>
        <v>35361022.281600058</v>
      </c>
      <c r="AA50" s="26">
        <f>股权价值增加表!AA47</f>
        <v>-341077.65080006421</v>
      </c>
      <c r="AB50" s="26">
        <f>股权价值增加表!AB47</f>
        <v>-37764310.989199974</v>
      </c>
      <c r="AC50" s="26">
        <f>股权价值增加表!AC47</f>
        <v>45698504.057599962</v>
      </c>
      <c r="AD50" s="26">
        <f>股权价值增加表!AD47</f>
        <v>6514420.288800016</v>
      </c>
      <c r="AE50" s="26">
        <f>股权价值增加表!AE47</f>
        <v>-20169457.740400016</v>
      </c>
      <c r="AF50" s="26">
        <f>股权价值增加表!AF47</f>
        <v>-48353952.65200001</v>
      </c>
      <c r="AG50" s="26">
        <f>股权价值增加表!AG47</f>
        <v>-5025654.815200001</v>
      </c>
      <c r="AH50" s="26">
        <f>股权价值增加表!AH47</f>
        <v>-23002744.92399998</v>
      </c>
      <c r="AI50" s="26">
        <f>股权价值增加表!AI47</f>
        <v>13731146.88000001</v>
      </c>
      <c r="AJ50" s="26">
        <f>股权价值增加表!AJ47</f>
        <v>857066.36720000021</v>
      </c>
      <c r="AK50" s="26">
        <f>股权价值增加表!AK47</f>
        <v>33064563.942000013</v>
      </c>
      <c r="AL50" s="26">
        <f>股权价值增加表!AL47</f>
        <v>25786716.099199995</v>
      </c>
      <c r="AM50" s="26">
        <f>股权价值增加表!AM47</f>
        <v>17961930.370000001</v>
      </c>
      <c r="AN50" s="26">
        <f>股权价值增加表!AN47</f>
        <v>30254744.839999985</v>
      </c>
      <c r="AO50" s="26">
        <f>股权价值增加表!AO47</f>
        <v>14683477.389999999</v>
      </c>
      <c r="AP50" s="26">
        <f>股权价值增加表!AP47</f>
        <v>0</v>
      </c>
      <c r="AQ50" s="26">
        <f>股权价值增加表!AQ47</f>
        <v>-1204430921.7676001</v>
      </c>
      <c r="AR50" s="26">
        <f>股权价值增加表!AR47</f>
        <v>-1171558509.1084001</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683</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2">
        <f>E39</f>
        <v>-16783198190.309999</v>
      </c>
      <c r="F54" s="192">
        <f t="shared" ref="F54:AC54" si="41">F39</f>
        <v>-2351441743.6499996</v>
      </c>
      <c r="G54" s="192">
        <f t="shared" si="41"/>
        <v>-911574330.94999981</v>
      </c>
      <c r="H54" s="192">
        <f t="shared" si="41"/>
        <v>374959654.08000022</v>
      </c>
      <c r="I54" s="192">
        <f t="shared" si="41"/>
        <v>229504542.39000118</v>
      </c>
      <c r="J54" s="192">
        <f t="shared" si="41"/>
        <v>442461082.02999973</v>
      </c>
      <c r="K54" s="192">
        <f t="shared" si="41"/>
        <v>298157571.57000089</v>
      </c>
      <c r="L54" s="192">
        <f t="shared" si="41"/>
        <v>202171134.99999982</v>
      </c>
      <c r="M54" s="192">
        <f t="shared" si="41"/>
        <v>430238042.14000046</v>
      </c>
      <c r="N54" s="192">
        <f t="shared" si="41"/>
        <v>240916689.29999948</v>
      </c>
      <c r="O54" s="192">
        <f t="shared" si="41"/>
        <v>146035602.63000041</v>
      </c>
      <c r="P54" s="192">
        <f t="shared" si="41"/>
        <v>58842784.48999995</v>
      </c>
      <c r="Q54" s="192">
        <f t="shared" si="41"/>
        <v>241373953.85000005</v>
      </c>
      <c r="R54" s="192">
        <f t="shared" si="41"/>
        <v>159313590.09999973</v>
      </c>
      <c r="S54" s="192">
        <f t="shared" si="41"/>
        <v>148884935.07999983</v>
      </c>
      <c r="T54" s="192">
        <f t="shared" si="41"/>
        <v>85246431.199999988</v>
      </c>
      <c r="U54" s="192">
        <f t="shared" si="41"/>
        <v>360146161.22000015</v>
      </c>
      <c r="V54" s="192">
        <f t="shared" si="41"/>
        <v>270914170.92000014</v>
      </c>
      <c r="W54" s="192">
        <f t="shared" si="41"/>
        <v>184134334.87000003</v>
      </c>
      <c r="X54" s="192">
        <f t="shared" si="41"/>
        <v>105093865.19</v>
      </c>
      <c r="Y54" s="192">
        <f t="shared" si="41"/>
        <v>286442253.61000007</v>
      </c>
      <c r="Z54" s="192">
        <f t="shared" si="41"/>
        <v>177124791.80000004</v>
      </c>
      <c r="AA54" s="192">
        <f t="shared" si="41"/>
        <v>120247770.29999994</v>
      </c>
      <c r="AB54" s="192">
        <f t="shared" si="41"/>
        <v>70084496.850000024</v>
      </c>
      <c r="AC54" s="192">
        <f t="shared" si="41"/>
        <v>176931110.44999996</v>
      </c>
    </row>
    <row r="55" spans="1:88" s="63" customFormat="1" x14ac:dyDescent="0.25">
      <c r="A55" s="63" t="s">
        <v>672</v>
      </c>
      <c r="E55" s="63">
        <f>E54/E2</f>
        <v>-2.3889939701220895</v>
      </c>
      <c r="F55" s="63">
        <f t="shared" ref="F55:AC55" si="42">F54/F2</f>
        <v>-0.38582114036717785</v>
      </c>
      <c r="G55" s="63">
        <f t="shared" si="42"/>
        <v>-0.16451777567073012</v>
      </c>
      <c r="H55" s="63">
        <f t="shared" si="42"/>
        <v>9.1087713913908352E-2</v>
      </c>
      <c r="I55" s="63">
        <f t="shared" si="42"/>
        <v>1.0455334627570348E-2</v>
      </c>
      <c r="J55" s="63">
        <f t="shared" si="42"/>
        <v>2.637805992015517E-2</v>
      </c>
      <c r="K55" s="63">
        <f t="shared" si="42"/>
        <v>2.9628686231661001E-2</v>
      </c>
      <c r="L55" s="63">
        <f t="shared" si="42"/>
        <v>4.3622959189038656E-2</v>
      </c>
      <c r="M55" s="63">
        <f t="shared" si="42"/>
        <v>3.3052710112374505E-2</v>
      </c>
      <c r="N55" s="63">
        <f t="shared" si="42"/>
        <v>2.8766259961673889E-2</v>
      </c>
      <c r="O55" s="63">
        <f t="shared" si="42"/>
        <v>3.2738174810455774E-2</v>
      </c>
      <c r="P55" s="63">
        <f t="shared" si="42"/>
        <v>2.758094752388798E-2</v>
      </c>
      <c r="Q55" s="63">
        <f t="shared" si="42"/>
        <v>3.5397584172088326E-2</v>
      </c>
      <c r="R55" s="63">
        <f t="shared" si="42"/>
        <v>3.3574011898652695E-2</v>
      </c>
      <c r="S55" s="63">
        <f t="shared" si="42"/>
        <v>5.0661780725334921E-2</v>
      </c>
      <c r="T55" s="63">
        <f t="shared" si="42"/>
        <v>8.3009515047208493E-2</v>
      </c>
      <c r="U55" s="63">
        <f t="shared" si="42"/>
        <v>0.15252386019674868</v>
      </c>
      <c r="V55" s="63">
        <f t="shared" si="42"/>
        <v>0.19843226606420111</v>
      </c>
      <c r="W55" s="63">
        <f t="shared" si="42"/>
        <v>0.24488546425074223</v>
      </c>
      <c r="X55" s="63">
        <f t="shared" si="42"/>
        <v>0.30739410836942882</v>
      </c>
      <c r="Y55" s="63">
        <f t="shared" si="42"/>
        <v>0.24538721827829987</v>
      </c>
      <c r="Z55" s="63">
        <f t="shared" si="42"/>
        <v>0.2137290530947121</v>
      </c>
      <c r="AA55" s="63">
        <f t="shared" si="42"/>
        <v>0.21745596943959072</v>
      </c>
      <c r="AB55" s="63">
        <f t="shared" si="42"/>
        <v>0.25410568019423491</v>
      </c>
      <c r="AC55" s="63">
        <f t="shared" si="42"/>
        <v>0.29559664268068864</v>
      </c>
    </row>
    <row r="56" spans="1:88" x14ac:dyDescent="0.25">
      <c r="A56" s="17" t="s">
        <v>673</v>
      </c>
      <c r="E56" s="192">
        <f>E23</f>
        <v>-17443174680.43821</v>
      </c>
      <c r="F56" s="192">
        <f t="shared" ref="F56:AC56" si="43">F23</f>
        <v>-2114399751.3090856</v>
      </c>
      <c r="G56" s="192">
        <f t="shared" si="43"/>
        <v>-892191189.54282629</v>
      </c>
      <c r="H56" s="192">
        <f t="shared" si="43"/>
        <v>-16527141.282632351</v>
      </c>
      <c r="I56" s="192">
        <f t="shared" si="43"/>
        <v>140740845.26210168</v>
      </c>
      <c r="J56" s="192">
        <f t="shared" si="43"/>
        <v>1461710275.7870193</v>
      </c>
      <c r="K56" s="192">
        <f t="shared" si="43"/>
        <v>539205072.49141037</v>
      </c>
      <c r="L56" s="192">
        <f t="shared" si="43"/>
        <v>130017012.40036564</v>
      </c>
      <c r="M56" s="192">
        <f t="shared" si="43"/>
        <v>982199901.98999381</v>
      </c>
      <c r="N56" s="192">
        <f t="shared" si="43"/>
        <v>222840145.13854432</v>
      </c>
      <c r="O56" s="192">
        <f t="shared" si="43"/>
        <v>94048481.703005388</v>
      </c>
      <c r="P56" s="192">
        <f t="shared" si="43"/>
        <v>33892405.036700696</v>
      </c>
      <c r="Q56" s="192">
        <f t="shared" si="43"/>
        <v>429321145.55819201</v>
      </c>
      <c r="R56" s="192">
        <f t="shared" si="43"/>
        <v>433800214.12459028</v>
      </c>
      <c r="S56" s="192">
        <f t="shared" si="43"/>
        <v>150338398.60155338</v>
      </c>
      <c r="T56" s="192">
        <f t="shared" si="43"/>
        <v>81002289.918828875</v>
      </c>
      <c r="U56" s="192">
        <f t="shared" si="43"/>
        <v>339302169.9869042</v>
      </c>
      <c r="V56" s="192">
        <f t="shared" si="43"/>
        <v>248202332.05233455</v>
      </c>
      <c r="W56" s="192">
        <f t="shared" si="43"/>
        <v>157195002.16887262</v>
      </c>
      <c r="X56" s="192">
        <f t="shared" si="43"/>
        <v>89558724.464230895</v>
      </c>
      <c r="Y56" s="192">
        <f t="shared" si="43"/>
        <v>223029786.39150888</v>
      </c>
      <c r="Z56" s="192">
        <f t="shared" si="43"/>
        <v>149325228.58826992</v>
      </c>
      <c r="AA56" s="192">
        <f t="shared" si="43"/>
        <v>99940537.852696672</v>
      </c>
      <c r="AB56" s="192">
        <f t="shared" si="43"/>
        <v>56879742.073721863</v>
      </c>
      <c r="AC56" s="192">
        <f t="shared" si="43"/>
        <v>131704377.83109862</v>
      </c>
    </row>
    <row r="57" spans="1:88" s="63" customFormat="1" x14ac:dyDescent="0.25">
      <c r="A57" s="63" t="s">
        <v>674</v>
      </c>
      <c r="E57" s="63">
        <f>E56/E2</f>
        <v>-2.4829379155763567</v>
      </c>
      <c r="F57" s="63">
        <f t="shared" ref="F57:AC57" si="44">F56/F2</f>
        <v>-0.34692763511796082</v>
      </c>
      <c r="G57" s="63">
        <f t="shared" si="44"/>
        <v>-0.16101957349286042</v>
      </c>
      <c r="H57" s="63">
        <f t="shared" si="44"/>
        <v>-4.0148840030825514E-3</v>
      </c>
      <c r="I57" s="63">
        <f t="shared" si="44"/>
        <v>6.411605703567462E-3</v>
      </c>
      <c r="J57" s="63">
        <f t="shared" si="44"/>
        <v>8.7142311056415775E-2</v>
      </c>
      <c r="K57" s="63">
        <f t="shared" si="44"/>
        <v>5.3582197571719961E-2</v>
      </c>
      <c r="L57" s="63">
        <f t="shared" si="44"/>
        <v>2.8054088066636656E-2</v>
      </c>
      <c r="M57" s="63">
        <f t="shared" si="44"/>
        <v>7.5456759870420609E-2</v>
      </c>
      <c r="N57" s="63">
        <f t="shared" si="44"/>
        <v>2.6607860018241253E-2</v>
      </c>
      <c r="O57" s="63">
        <f t="shared" si="44"/>
        <v>2.1083732865141896E-2</v>
      </c>
      <c r="P57" s="63">
        <f t="shared" si="44"/>
        <v>1.5886138850795897E-2</v>
      </c>
      <c r="Q57" s="63">
        <f t="shared" si="44"/>
        <v>6.2960112905129359E-2</v>
      </c>
      <c r="R57" s="63">
        <f t="shared" si="44"/>
        <v>9.1419781209595041E-2</v>
      </c>
      <c r="S57" s="63">
        <f t="shared" si="44"/>
        <v>5.1156357629181193E-2</v>
      </c>
      <c r="T57" s="63">
        <f t="shared" si="44"/>
        <v>7.8876742512540177E-2</v>
      </c>
      <c r="U57" s="63">
        <f t="shared" si="44"/>
        <v>0.14369631641838554</v>
      </c>
      <c r="V57" s="63">
        <f t="shared" si="44"/>
        <v>0.18179688062942917</v>
      </c>
      <c r="W57" s="63">
        <f t="shared" si="44"/>
        <v>0.20905808311740637</v>
      </c>
      <c r="X57" s="63">
        <f t="shared" si="44"/>
        <v>0.2619546269766958</v>
      </c>
      <c r="Y57" s="63">
        <f t="shared" si="44"/>
        <v>0.1910634977419586</v>
      </c>
      <c r="Z57" s="63">
        <f t="shared" si="44"/>
        <v>0.18018448679594923</v>
      </c>
      <c r="AA57" s="63">
        <f t="shared" si="44"/>
        <v>0.18073238689459742</v>
      </c>
      <c r="AB57" s="63">
        <f t="shared" si="44"/>
        <v>0.20622914051662669</v>
      </c>
      <c r="AC57" s="63">
        <f t="shared" si="44"/>
        <v>0.22003689353559744</v>
      </c>
    </row>
    <row r="58" spans="1:88" ht="93" customHeight="1" x14ac:dyDescent="0.25">
      <c r="A58" s="279" t="s">
        <v>675</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4" customFormat="1" x14ac:dyDescent="0.25">
      <c r="A60" s="226" t="s">
        <v>677</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678</v>
      </c>
      <c r="B61" s="89"/>
      <c r="C61" s="89"/>
      <c r="D61" s="89"/>
      <c r="E61" s="89">
        <f>股权价值增加表!E38</f>
        <v>-17671154979.869999</v>
      </c>
      <c r="F61" s="89">
        <f>股权价值增加表!F38</f>
        <v>-2994731384.1099997</v>
      </c>
      <c r="G61" s="89">
        <f>股权价值增加表!G38</f>
        <v>-1190581400.5499997</v>
      </c>
      <c r="H61" s="89">
        <f>股权价值增加表!H38</f>
        <v>251131644.87000024</v>
      </c>
      <c r="I61" s="89">
        <f>股权价值增加表!I38</f>
        <v>-429754158.51999879</v>
      </c>
      <c r="J61" s="89">
        <f>股权价值增加表!J38</f>
        <v>36116880.749999762</v>
      </c>
      <c r="K61" s="89">
        <f>股权价值增加表!K38</f>
        <v>39694927.4000009</v>
      </c>
      <c r="L61" s="89">
        <f>股权价值增加表!L38</f>
        <v>114756594.99999982</v>
      </c>
      <c r="M61" s="89">
        <f>股权价值增加表!M38</f>
        <v>75073016.810000479</v>
      </c>
      <c r="N61" s="89">
        <f>股权价值增加表!N38</f>
        <v>104521086.73999947</v>
      </c>
      <c r="O61" s="89">
        <f>股权价值增加表!O38</f>
        <v>71523614.940000415</v>
      </c>
      <c r="P61" s="89">
        <f>股权价值增加表!P38</f>
        <v>23446684.039999947</v>
      </c>
      <c r="Q61" s="89">
        <f>股权价值增加表!Q38</f>
        <v>69944233.170000046</v>
      </c>
      <c r="R61" s="89">
        <f>股权价值增加表!R38</f>
        <v>27301338.249999732</v>
      </c>
      <c r="S61" s="89">
        <f>股权价值增加表!S38</f>
        <v>66516421.029999837</v>
      </c>
      <c r="T61" s="89">
        <f>股权价值增加表!T38</f>
        <v>44969725.699999988</v>
      </c>
      <c r="U61" s="89">
        <f>股权价值增加表!U38</f>
        <v>242589061.46000016</v>
      </c>
      <c r="V61" s="89">
        <f>股权价值增加表!V38</f>
        <v>189434551.32000014</v>
      </c>
      <c r="W61" s="89">
        <f>股权价值增加表!W38</f>
        <v>131988665.11000004</v>
      </c>
      <c r="X61" s="89">
        <f>股权价值增加表!X38</f>
        <v>82309515.75999999</v>
      </c>
      <c r="Y61" s="89">
        <f>股权价值增加表!Y38</f>
        <v>226009143.78000009</v>
      </c>
      <c r="Z61" s="89">
        <f>股权价值增加表!Z38</f>
        <v>156771233.69000006</v>
      </c>
      <c r="AA61" s="89">
        <f>股权价值增加表!AA38</f>
        <v>108842031.06999993</v>
      </c>
      <c r="AB61" s="89">
        <f>股权价值增加表!AB38</f>
        <v>62873104.070000023</v>
      </c>
      <c r="AC61" s="89">
        <f>股权价值增加表!AC38</f>
        <v>163633636.81999996</v>
      </c>
    </row>
    <row r="62" spans="1:88" s="192" customFormat="1" x14ac:dyDescent="0.25">
      <c r="A62" s="89" t="s">
        <v>679</v>
      </c>
      <c r="B62" s="89"/>
      <c r="C62" s="89"/>
      <c r="D62" s="89"/>
      <c r="E62" s="89">
        <f>股权价值增加表!E40</f>
        <v>722577953.07000005</v>
      </c>
      <c r="F62" s="89">
        <f>股权价值增加表!F40</f>
        <v>-576560183.99000001</v>
      </c>
      <c r="G62" s="89">
        <f>股权价值增加表!G40</f>
        <v>-265614435.97999999</v>
      </c>
      <c r="H62" s="89">
        <f>股权价值增加表!H40</f>
        <v>262534959.41</v>
      </c>
      <c r="I62" s="89">
        <f>股权价值增加表!I40</f>
        <v>-106815889.16</v>
      </c>
      <c r="J62" s="89">
        <f>股权价值增加表!J40</f>
        <v>-90689967.890000001</v>
      </c>
      <c r="K62" s="89">
        <f>股权价值增加表!K40</f>
        <v>-34256201.93</v>
      </c>
      <c r="L62" s="89">
        <f>股权价值增加表!L40</f>
        <v>43785111.240000002</v>
      </c>
      <c r="M62" s="89">
        <f>股权价值增加表!M40</f>
        <v>-142947603.47</v>
      </c>
      <c r="N62" s="89">
        <f>股权价值增加表!N40</f>
        <v>-62594034.560000002</v>
      </c>
      <c r="O62" s="89">
        <f>股权价值增加表!O40</f>
        <v>-35831209.189999998</v>
      </c>
      <c r="P62" s="89">
        <f>股权价值增加表!P40</f>
        <v>2402370.3199999998</v>
      </c>
      <c r="Q62" s="89">
        <f>股权价值增加表!Q40</f>
        <v>-55897456.039999999</v>
      </c>
      <c r="R62" s="89">
        <f>股权价值增加表!R40</f>
        <v>-47476042.93</v>
      </c>
      <c r="S62" s="89">
        <f>股权价值增加表!S40</f>
        <v>-779889.63</v>
      </c>
      <c r="T62" s="89">
        <f>股权价值增加表!T40</f>
        <v>1824771.94</v>
      </c>
      <c r="U62" s="89">
        <f>股权价值增加表!U40</f>
        <v>14020132.73</v>
      </c>
      <c r="V62" s="89">
        <f>股权价值增加表!V40</f>
        <v>17232109.739999998</v>
      </c>
      <c r="W62" s="89">
        <f>股权价值增加表!W40</f>
        <v>20461778.809999999</v>
      </c>
      <c r="X62" s="89">
        <f>股权价值增加表!X40</f>
        <v>12095067.09</v>
      </c>
      <c r="Y62" s="89">
        <f>股权价值增加表!Y40</f>
        <v>38045914.329999998</v>
      </c>
      <c r="Z62" s="89">
        <f>股权价值增加表!Z40</f>
        <v>24605092.129999999</v>
      </c>
      <c r="AA62" s="89">
        <f>股权价值增加表!AA40</f>
        <v>18381051.219999999</v>
      </c>
      <c r="AB62" s="89">
        <f>股权价值增加表!AB40</f>
        <v>11846042.4</v>
      </c>
      <c r="AC62" s="89">
        <f>股权价值增加表!AC40</f>
        <v>33366594.960000001</v>
      </c>
    </row>
    <row r="63" spans="1:88" x14ac:dyDescent="0.25">
      <c r="A63" s="183" t="s">
        <v>680</v>
      </c>
      <c r="B63" s="64"/>
      <c r="C63" s="64"/>
      <c r="D63" s="64"/>
      <c r="E63" s="64">
        <f>股权价值增加表!E42</f>
        <v>-18393732932.939999</v>
      </c>
      <c r="F63" s="64">
        <f>股权价值增加表!F42</f>
        <v>-2418171200.1199999</v>
      </c>
      <c r="G63" s="64">
        <f>股权价值增加表!G42</f>
        <v>-924966964.56999969</v>
      </c>
      <c r="H63" s="64">
        <f>股权价值增加表!H42</f>
        <v>-11403314.539999753</v>
      </c>
      <c r="I63" s="64">
        <f>股权价值增加表!I42</f>
        <v>-322938269.35999882</v>
      </c>
      <c r="J63" s="64">
        <f>股权价值增加表!J42</f>
        <v>126806848.63999976</v>
      </c>
      <c r="K63" s="64">
        <f>股权价值增加表!K42</f>
        <v>73951129.330000907</v>
      </c>
      <c r="L63" s="64">
        <f>股权价值增加表!L42</f>
        <v>70971483.759999812</v>
      </c>
      <c r="M63" s="64">
        <f>股权价值增加表!M42</f>
        <v>218020620.28000048</v>
      </c>
      <c r="N63" s="64">
        <f>股权价值增加表!N42</f>
        <v>167115121.29999948</v>
      </c>
      <c r="O63" s="64">
        <f>股权价值增加表!O42</f>
        <v>107354824.13000041</v>
      </c>
      <c r="P63" s="64">
        <f>股权价值增加表!P42</f>
        <v>21044313.719999947</v>
      </c>
      <c r="Q63" s="64">
        <f>股权价值增加表!Q42</f>
        <v>125841689.21000004</v>
      </c>
      <c r="R63" s="64">
        <f>股权价值增加表!R42</f>
        <v>74777381.179999739</v>
      </c>
      <c r="S63" s="64">
        <f>股权价值增加表!S42</f>
        <v>67296310.659999833</v>
      </c>
      <c r="T63" s="64">
        <f>股权价值增加表!T42</f>
        <v>43144953.75999999</v>
      </c>
      <c r="U63" s="64">
        <f>股权价值增加表!U42</f>
        <v>228568928.73000017</v>
      </c>
      <c r="V63" s="64">
        <f>股权价值增加表!V42</f>
        <v>172202441.58000013</v>
      </c>
      <c r="W63" s="64">
        <f>股权价值增加表!W42</f>
        <v>111526886.30000004</v>
      </c>
      <c r="X63" s="64">
        <f>股权价值增加表!X42</f>
        <v>70214448.669999987</v>
      </c>
      <c r="Y63" s="64">
        <f>股权价值增加表!Y42</f>
        <v>187963229.45000011</v>
      </c>
      <c r="Z63" s="64">
        <f>股权价值增加表!Z42</f>
        <v>132166141.56000006</v>
      </c>
      <c r="AA63" s="64">
        <f>股权价值增加表!AA42</f>
        <v>90460979.849999934</v>
      </c>
      <c r="AB63" s="64">
        <f>股权价值增加表!AB42</f>
        <v>51027061.670000024</v>
      </c>
      <c r="AC63" s="64">
        <f>股权价值增加表!AC42</f>
        <v>130267041.85999995</v>
      </c>
    </row>
    <row r="64" spans="1:88" s="63" customFormat="1" x14ac:dyDescent="0.25">
      <c r="A64" s="213" t="s">
        <v>681</v>
      </c>
      <c r="B64" s="213"/>
      <c r="C64" s="213"/>
      <c r="D64" s="213"/>
      <c r="E64" s="213">
        <f>1-E63/E61</f>
        <v>-4.0890250461451005E-2</v>
      </c>
      <c r="F64" s="213">
        <f t="shared" ref="F64:AC64" si="46">1-F63/F61</f>
        <v>0.19252484114242086</v>
      </c>
      <c r="G64" s="213">
        <f t="shared" si="46"/>
        <v>0.22309640975182132</v>
      </c>
      <c r="H64" s="213">
        <f t="shared" si="46"/>
        <v>1.045407716522156</v>
      </c>
      <c r="I64" s="213">
        <f t="shared" si="46"/>
        <v>0.24855114730676708</v>
      </c>
      <c r="J64" s="213">
        <f t="shared" si="46"/>
        <v>-2.511013299231291</v>
      </c>
      <c r="K64" s="213">
        <f t="shared" si="46"/>
        <v>-0.86298688960441905</v>
      </c>
      <c r="L64" s="213">
        <f t="shared" si="46"/>
        <v>0.38154766826255238</v>
      </c>
      <c r="M64" s="213">
        <f t="shared" si="46"/>
        <v>-1.9041142815904255</v>
      </c>
      <c r="N64" s="213">
        <f t="shared" si="46"/>
        <v>-0.59886513346063119</v>
      </c>
      <c r="O64" s="213">
        <f t="shared" si="46"/>
        <v>-0.50097033294609083</v>
      </c>
      <c r="P64" s="213">
        <f t="shared" si="46"/>
        <v>0.10246098407355031</v>
      </c>
      <c r="Q64" s="213">
        <f t="shared" si="46"/>
        <v>-0.79917176165389869</v>
      </c>
      <c r="R64" s="213">
        <f t="shared" si="46"/>
        <v>-1.7389639473076186</v>
      </c>
      <c r="S64" s="213">
        <f t="shared" si="46"/>
        <v>-1.1724768379348882E-2</v>
      </c>
      <c r="T64" s="213">
        <f t="shared" si="46"/>
        <v>4.0577786757547418E-2</v>
      </c>
      <c r="U64" s="213">
        <f t="shared" si="46"/>
        <v>5.7793754778641238E-2</v>
      </c>
      <c r="V64" s="213">
        <f t="shared" si="46"/>
        <v>9.0966033492437481E-2</v>
      </c>
      <c r="W64" s="213">
        <f t="shared" si="46"/>
        <v>0.15502678804234471</v>
      </c>
      <c r="X64" s="213">
        <f t="shared" si="46"/>
        <v>0.14694615778407794</v>
      </c>
      <c r="Y64" s="213">
        <f t="shared" si="46"/>
        <v>0.16833794285347281</v>
      </c>
      <c r="Z64" s="213">
        <f t="shared" si="46"/>
        <v>0.15694902407066713</v>
      </c>
      <c r="AA64" s="213">
        <f t="shared" si="46"/>
        <v>0.16887824528171969</v>
      </c>
      <c r="AB64" s="213">
        <f t="shared" si="46"/>
        <v>0.18841192231913917</v>
      </c>
      <c r="AC64" s="213">
        <f t="shared" si="46"/>
        <v>0.20391036713743571</v>
      </c>
    </row>
    <row r="65" spans="1:29" ht="42.6" customHeight="1" x14ac:dyDescent="0.25">
      <c r="A65" s="281" t="s">
        <v>682</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734</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702</v>
      </c>
      <c r="B69" s="286"/>
      <c r="C69" s="286"/>
      <c r="D69" s="286"/>
      <c r="E69" s="286"/>
      <c r="F69" s="256"/>
      <c r="G69" s="256"/>
      <c r="H69" s="256"/>
      <c r="I69" s="256" t="s">
        <v>706</v>
      </c>
      <c r="J69" s="256"/>
      <c r="K69" s="256"/>
      <c r="L69" s="256"/>
      <c r="M69" s="256" t="s">
        <v>707</v>
      </c>
    </row>
    <row r="70" spans="1:29" ht="57.6" x14ac:dyDescent="0.25">
      <c r="A70" s="287" t="s">
        <v>703</v>
      </c>
      <c r="B70" s="65"/>
      <c r="C70" s="65"/>
      <c r="D70" s="65"/>
      <c r="E70" s="65" t="s">
        <v>704</v>
      </c>
      <c r="F70" s="65"/>
      <c r="G70" s="65"/>
      <c r="H70" s="65"/>
      <c r="I70" s="257" t="s">
        <v>708</v>
      </c>
      <c r="J70" s="258"/>
      <c r="K70" s="258"/>
      <c r="L70" s="258"/>
      <c r="M70" s="257" t="s">
        <v>709</v>
      </c>
    </row>
    <row r="71" spans="1:29" ht="54.6" customHeight="1" x14ac:dyDescent="0.25">
      <c r="A71" s="287"/>
      <c r="B71" s="65"/>
      <c r="C71" s="65"/>
      <c r="D71" s="65"/>
      <c r="E71" s="65" t="s">
        <v>705</v>
      </c>
      <c r="F71" s="65"/>
      <c r="G71" s="65"/>
      <c r="H71" s="65"/>
      <c r="I71" s="257" t="s">
        <v>710</v>
      </c>
      <c r="J71" s="258"/>
      <c r="K71" s="258"/>
      <c r="L71" s="258"/>
      <c r="M71" s="257" t="s">
        <v>711</v>
      </c>
    </row>
    <row r="72" spans="1:29" ht="57.6" x14ac:dyDescent="0.25">
      <c r="A72" s="287" t="s">
        <v>719</v>
      </c>
      <c r="B72" s="65"/>
      <c r="C72" s="65"/>
      <c r="D72" s="65"/>
      <c r="E72" s="65" t="s">
        <v>712</v>
      </c>
      <c r="F72" s="65"/>
      <c r="G72" s="65"/>
      <c r="H72" s="65"/>
      <c r="I72" s="257" t="s">
        <v>720</v>
      </c>
      <c r="J72" s="258"/>
      <c r="K72" s="258"/>
      <c r="L72" s="258"/>
      <c r="M72" s="257" t="s">
        <v>721</v>
      </c>
    </row>
    <row r="73" spans="1:29" ht="43.2" x14ac:dyDescent="0.25">
      <c r="A73" s="287"/>
      <c r="B73" s="65"/>
      <c r="C73" s="65"/>
      <c r="D73" s="65"/>
      <c r="E73" s="65" t="s">
        <v>713</v>
      </c>
      <c r="F73" s="65"/>
      <c r="G73" s="65"/>
      <c r="H73" s="65"/>
      <c r="I73" s="257" t="s">
        <v>722</v>
      </c>
      <c r="J73" s="258"/>
      <c r="K73" s="258"/>
      <c r="L73" s="258"/>
      <c r="M73" s="257" t="s">
        <v>723</v>
      </c>
    </row>
    <row r="74" spans="1:29" ht="72" x14ac:dyDescent="0.25">
      <c r="A74" s="287"/>
      <c r="B74" s="65"/>
      <c r="C74" s="65"/>
      <c r="D74" s="65"/>
      <c r="E74" s="65" t="s">
        <v>714</v>
      </c>
      <c r="F74" s="65"/>
      <c r="G74" s="65"/>
      <c r="H74" s="65"/>
      <c r="I74" s="257" t="s">
        <v>724</v>
      </c>
      <c r="J74" s="258"/>
      <c r="K74" s="258"/>
      <c r="L74" s="258"/>
      <c r="M74" s="257" t="s">
        <v>725</v>
      </c>
    </row>
    <row r="75" spans="1:29" ht="72" x14ac:dyDescent="0.25">
      <c r="A75" s="287"/>
      <c r="B75" s="65"/>
      <c r="C75" s="65"/>
      <c r="D75" s="65"/>
      <c r="E75" s="65" t="s">
        <v>715</v>
      </c>
      <c r="F75" s="65"/>
      <c r="G75" s="65"/>
      <c r="H75" s="65"/>
      <c r="I75" s="257" t="s">
        <v>726</v>
      </c>
      <c r="J75" s="258"/>
      <c r="K75" s="258"/>
      <c r="L75" s="258"/>
      <c r="M75" s="257" t="s">
        <v>727</v>
      </c>
    </row>
    <row r="76" spans="1:29" x14ac:dyDescent="0.25">
      <c r="A76" s="287"/>
      <c r="B76" s="65"/>
      <c r="C76" s="65"/>
      <c r="D76" s="65"/>
      <c r="E76" s="65" t="s">
        <v>716</v>
      </c>
      <c r="F76" s="65"/>
      <c r="G76" s="65"/>
      <c r="H76" s="65"/>
      <c r="I76" s="257" t="s">
        <v>728</v>
      </c>
      <c r="J76" s="258"/>
      <c r="K76" s="258"/>
      <c r="L76" s="258"/>
      <c r="M76" s="257" t="s">
        <v>729</v>
      </c>
    </row>
    <row r="77" spans="1:29" ht="57.6" x14ac:dyDescent="0.25">
      <c r="A77" s="287"/>
      <c r="B77" s="65"/>
      <c r="C77" s="65"/>
      <c r="D77" s="65"/>
      <c r="E77" s="65" t="s">
        <v>717</v>
      </c>
      <c r="F77" s="65"/>
      <c r="G77" s="65"/>
      <c r="H77" s="65"/>
      <c r="I77" s="257" t="s">
        <v>730</v>
      </c>
      <c r="J77" s="258"/>
      <c r="K77" s="258"/>
      <c r="L77" s="258"/>
      <c r="M77" s="257" t="s">
        <v>731</v>
      </c>
    </row>
    <row r="78" spans="1:29" ht="57.6" x14ac:dyDescent="0.25">
      <c r="A78" s="287"/>
      <c r="B78" s="65"/>
      <c r="C78" s="65"/>
      <c r="D78" s="65"/>
      <c r="E78" s="65" t="s">
        <v>718</v>
      </c>
      <c r="F78" s="65"/>
      <c r="G78" s="65"/>
      <c r="H78" s="65"/>
      <c r="I78" s="257" t="s">
        <v>732</v>
      </c>
      <c r="J78" s="258"/>
      <c r="K78" s="258"/>
      <c r="L78" s="258"/>
      <c r="M78" s="257" t="s">
        <v>733</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60" workbookViewId="0">
      <selection activeCell="A77" sqref="A77:AG77"/>
    </sheetView>
  </sheetViews>
  <sheetFormatPr defaultRowHeight="14.4" x14ac:dyDescent="0.25"/>
  <cols>
    <col min="1" max="1" width="50.6640625" style="17" bestFit="1" customWidth="1"/>
    <col min="2" max="4" width="11.6640625" hidden="1" customWidth="1"/>
    <col min="5" max="5" width="21.554687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9.33203125" hidden="1" customWidth="1"/>
    <col min="40" max="41" width="20.44140625" bestFit="1" customWidth="1"/>
    <col min="42" max="42" width="20.44140625" hidden="1" customWidth="1"/>
    <col min="43"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300104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-18393732932.939999</v>
      </c>
      <c r="F2" s="26">
        <f>股权价值增加表!F42</f>
        <v>-2418171200.1199999</v>
      </c>
      <c r="G2" s="26">
        <f>股权价值增加表!G42</f>
        <v>-924966964.56999969</v>
      </c>
      <c r="H2" s="26">
        <f>股权价值增加表!H42</f>
        <v>-11403314.539999753</v>
      </c>
      <c r="I2" s="26">
        <f>股权价值增加表!I42</f>
        <v>-322938269.35999882</v>
      </c>
      <c r="J2" s="26">
        <f>股权价值增加表!J42</f>
        <v>126806848.63999976</v>
      </c>
      <c r="K2" s="26">
        <f>股权价值增加表!K42</f>
        <v>73951129.330000907</v>
      </c>
      <c r="L2" s="26">
        <f>股权价值增加表!L42</f>
        <v>70971483.759999812</v>
      </c>
      <c r="M2" s="26">
        <f>股权价值增加表!M42</f>
        <v>218020620.28000048</v>
      </c>
      <c r="N2" s="26">
        <f>股权价值增加表!N42</f>
        <v>167115121.29999948</v>
      </c>
      <c r="O2" s="26">
        <f>股权价值增加表!O42</f>
        <v>107354824.13000041</v>
      </c>
      <c r="P2" s="26">
        <f>股权价值增加表!P42</f>
        <v>21044313.719999947</v>
      </c>
      <c r="Q2" s="26">
        <f>股权价值增加表!Q42</f>
        <v>125841689.21000004</v>
      </c>
      <c r="R2" s="26">
        <f>股权价值增加表!R42</f>
        <v>74777381.179999739</v>
      </c>
      <c r="S2" s="26">
        <f>股权价值增加表!S42</f>
        <v>67296310.659999833</v>
      </c>
      <c r="T2" s="26">
        <f>股权价值增加表!T42</f>
        <v>43144953.75999999</v>
      </c>
      <c r="U2" s="26">
        <f>股权价值增加表!U42</f>
        <v>228568928.73000017</v>
      </c>
      <c r="V2" s="26">
        <f>股权价值增加表!V42</f>
        <v>172202441.58000013</v>
      </c>
      <c r="W2" s="26">
        <f>股权价值增加表!W42</f>
        <v>111526886.30000004</v>
      </c>
      <c r="X2" s="26">
        <f>股权价值增加表!X42</f>
        <v>70214448.669999987</v>
      </c>
      <c r="Y2" s="26">
        <f>股权价值增加表!Y42</f>
        <v>187963229.45000011</v>
      </c>
      <c r="Z2" s="26">
        <f>股权价值增加表!Z42</f>
        <v>132166141.56000006</v>
      </c>
      <c r="AA2" s="26">
        <f>股权价值增加表!AA42</f>
        <v>90460979.849999934</v>
      </c>
      <c r="AB2" s="26">
        <f>股权价值增加表!AB42</f>
        <v>51027061.670000024</v>
      </c>
      <c r="AC2" s="26">
        <f>股权价值增加表!AC42</f>
        <v>130267041.85999995</v>
      </c>
      <c r="AD2" s="26">
        <f>股权价值增加表!AD42</f>
        <v>87399351.440000013</v>
      </c>
      <c r="AE2" s="26">
        <f>股权价值增加表!AE42</f>
        <v>58395136.189999983</v>
      </c>
      <c r="AF2" s="26">
        <f>股权价值增加表!AF42</f>
        <v>29064163.45999999</v>
      </c>
      <c r="AG2" s="26">
        <f>股权价值增加表!AG42</f>
        <v>70067328.219999999</v>
      </c>
      <c r="AH2" s="26">
        <f>股权价值增加表!AH42</f>
        <v>50524221.480000019</v>
      </c>
      <c r="AI2" s="26">
        <f>股权价值增加表!AI42</f>
        <v>31186530.340000011</v>
      </c>
      <c r="AJ2" s="26">
        <f>股权价值增加表!AJ42</f>
        <v>15817527.4</v>
      </c>
      <c r="AK2" s="26">
        <f>股权价值增加表!AK42</f>
        <v>44478208.550000012</v>
      </c>
      <c r="AL2" s="26">
        <f>股权价值增加表!AL42</f>
        <v>30555981.119999997</v>
      </c>
      <c r="AM2" s="26">
        <f>股权价值增加表!AM42</f>
        <v>17961930.370000001</v>
      </c>
      <c r="AN2" s="26">
        <f>股权价值增加表!AN42</f>
        <v>30254744.839999985</v>
      </c>
      <c r="AO2" s="26">
        <f>股权价值增加表!AO42</f>
        <v>14683477.389999999</v>
      </c>
      <c r="AP2" s="26">
        <f>股权价值增加表!AP42</f>
        <v>0</v>
      </c>
      <c r="AQ2" s="26">
        <f>股权价值增加表!AQ42</f>
        <v>-329680221.73000002</v>
      </c>
      <c r="AR2" s="26">
        <f>股权价值增加表!AR42</f>
        <v>-320202934.91000003</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-666488415.16000009</v>
      </c>
      <c r="F3" s="26">
        <f>资产资本表!F107</f>
        <v>14875642596.049999</v>
      </c>
      <c r="G3" s="26">
        <f>资产资本表!G107</f>
        <v>16391806439.77</v>
      </c>
      <c r="H3" s="26">
        <f>资产资本表!H107</f>
        <v>14797161855.029999</v>
      </c>
      <c r="I3" s="26">
        <f>资产资本表!I107</f>
        <v>10481752739.559999</v>
      </c>
      <c r="J3" s="26">
        <f>资产资本表!J107</f>
        <v>9896748904.4200001</v>
      </c>
      <c r="K3" s="26">
        <f>资产资本表!K107</f>
        <v>5051137471.4499998</v>
      </c>
      <c r="L3" s="26">
        <f>资产资本表!L107</f>
        <v>4935802326.0900002</v>
      </c>
      <c r="M3" s="26">
        <f>资产资本表!M107</f>
        <v>3815134279.6899996</v>
      </c>
      <c r="N3" s="26">
        <f>资产资本表!N107</f>
        <v>3587438648.9000001</v>
      </c>
      <c r="O3" s="26">
        <f>资产资本表!O107</f>
        <v>3492721953.0699997</v>
      </c>
      <c r="P3" s="26">
        <f>资产资本表!P107</f>
        <v>3383306903.9300003</v>
      </c>
      <c r="Q3" s="26">
        <f>资产资本表!Q107</f>
        <v>3343473396.02</v>
      </c>
      <c r="R3" s="26">
        <f>资产资本表!R107</f>
        <v>3171677528.1500001</v>
      </c>
      <c r="S3" s="26">
        <f>资产资本表!S107</f>
        <v>3105270244.0400004</v>
      </c>
      <c r="T3" s="26">
        <f>资产资本表!T107</f>
        <v>2158084139.8699999</v>
      </c>
      <c r="U3" s="26">
        <f>资产资本表!U107</f>
        <v>2079525750.53</v>
      </c>
      <c r="V3" s="26">
        <f>资产资本表!V107</f>
        <v>1989131404.54</v>
      </c>
      <c r="W3" s="26">
        <f>资产资本表!W107</f>
        <v>1584699871.52</v>
      </c>
      <c r="X3" s="26">
        <f>资产资本表!X107</f>
        <v>1344946737.0899999</v>
      </c>
      <c r="Y3" s="26">
        <f>资产资本表!Y107</f>
        <v>1273427238.4099998</v>
      </c>
      <c r="Z3" s="26">
        <f>资产资本表!Z107</f>
        <v>1210063990.98</v>
      </c>
      <c r="AA3" s="26">
        <f>资产资本表!AA107</f>
        <v>1135025718.76</v>
      </c>
      <c r="AB3" s="26">
        <f>资产资本表!AB107</f>
        <v>1109892158.24</v>
      </c>
      <c r="AC3" s="26">
        <f>资产资本表!AC107</f>
        <v>1057106722.5300001</v>
      </c>
      <c r="AD3" s="26">
        <f>资产资本表!AD107</f>
        <v>1011061639.39</v>
      </c>
      <c r="AE3" s="26">
        <f>资产资本表!AE107</f>
        <v>982057424.13</v>
      </c>
      <c r="AF3" s="26">
        <f>资产资本表!AF107</f>
        <v>967726451.39999998</v>
      </c>
      <c r="AG3" s="26">
        <f>资产资本表!AG107</f>
        <v>938662287.94000006</v>
      </c>
      <c r="AH3" s="26">
        <f>资产资本表!AH107</f>
        <v>919087080.04999995</v>
      </c>
      <c r="AI3" s="26">
        <f>资产资本表!AI107</f>
        <v>218192293.25</v>
      </c>
      <c r="AJ3" s="26">
        <f>资产资本表!AJ107</f>
        <v>187005762.91</v>
      </c>
      <c r="AK3" s="26">
        <f>资产资本表!AK107</f>
        <v>142670557.59999999</v>
      </c>
      <c r="AL3" s="26">
        <f>资产资本表!AL107</f>
        <v>59615812.759999998</v>
      </c>
      <c r="AM3" s="26">
        <f>资产资本表!AM107</f>
        <v>0</v>
      </c>
      <c r="AN3" s="26">
        <f>资产资本表!AN107</f>
        <v>12725217105.43</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27.597978471275184</v>
      </c>
      <c r="F4" s="59">
        <f t="shared" ref="F4:BQ4" si="0">F2/F3</f>
        <v>-0.16255910859018005</v>
      </c>
      <c r="G4" s="59">
        <f t="shared" si="0"/>
        <v>-5.6428616819549159E-2</v>
      </c>
      <c r="H4" s="59">
        <f t="shared" si="0"/>
        <v>-7.706420090365792E-4</v>
      </c>
      <c r="I4" s="59">
        <f t="shared" si="0"/>
        <v>-3.080956757748848E-2</v>
      </c>
      <c r="J4" s="59">
        <f t="shared" si="0"/>
        <v>1.2812980289250988E-2</v>
      </c>
      <c r="K4" s="59">
        <f t="shared" si="0"/>
        <v>1.4640490334699245E-2</v>
      </c>
      <c r="L4" s="59">
        <f t="shared" si="0"/>
        <v>1.4378915335578555E-2</v>
      </c>
      <c r="M4" s="59">
        <f t="shared" si="0"/>
        <v>5.7146250773043784E-2</v>
      </c>
      <c r="N4" s="59">
        <f t="shared" si="0"/>
        <v>4.6583408848327262E-2</v>
      </c>
      <c r="O4" s="59">
        <f t="shared" si="0"/>
        <v>3.0736722124599321E-2</v>
      </c>
      <c r="P4" s="59">
        <f t="shared" si="0"/>
        <v>6.2200427917299423E-3</v>
      </c>
      <c r="Q4" s="59">
        <f t="shared" si="0"/>
        <v>3.7638011225033019E-2</v>
      </c>
      <c r="R4" s="59">
        <f t="shared" si="0"/>
        <v>2.3576602765041012E-2</v>
      </c>
      <c r="S4" s="59">
        <f t="shared" si="0"/>
        <v>2.1671643809154074E-2</v>
      </c>
      <c r="T4" s="59">
        <f t="shared" si="0"/>
        <v>1.9992248199645721E-2</v>
      </c>
      <c r="U4" s="59">
        <f t="shared" si="0"/>
        <v>0.10991396892861066</v>
      </c>
      <c r="V4" s="59">
        <f t="shared" si="0"/>
        <v>8.6571677058119301E-2</v>
      </c>
      <c r="W4" s="59">
        <f t="shared" si="0"/>
        <v>7.0377292447828976E-2</v>
      </c>
      <c r="X4" s="59">
        <f t="shared" si="0"/>
        <v>5.2206118453374438E-2</v>
      </c>
      <c r="Y4" s="59">
        <f t="shared" si="0"/>
        <v>0.14760421622886818</v>
      </c>
      <c r="Z4" s="59">
        <f t="shared" si="0"/>
        <v>0.10922243992481924</v>
      </c>
      <c r="AA4" s="59">
        <f t="shared" si="0"/>
        <v>7.9699497865852162E-2</v>
      </c>
      <c r="AB4" s="59">
        <f t="shared" si="0"/>
        <v>4.5974792497782538E-2</v>
      </c>
      <c r="AC4" s="59">
        <f t="shared" si="0"/>
        <v>0.12322979230349473</v>
      </c>
      <c r="AD4" s="59">
        <f t="shared" si="0"/>
        <v>8.6443148503517878E-2</v>
      </c>
      <c r="AE4" s="59">
        <f t="shared" si="0"/>
        <v>5.9462038324013443E-2</v>
      </c>
      <c r="AF4" s="59">
        <f t="shared" si="0"/>
        <v>3.0033449450465224E-2</v>
      </c>
      <c r="AG4" s="59">
        <f t="shared" si="0"/>
        <v>7.4645939354579402E-2</v>
      </c>
      <c r="AH4" s="59">
        <f t="shared" si="0"/>
        <v>5.497218117487998E-2</v>
      </c>
      <c r="AI4" s="59">
        <f t="shared" si="0"/>
        <v>0.14293140181751132</v>
      </c>
      <c r="AJ4" s="59">
        <f t="shared" si="0"/>
        <v>8.4583101364702221E-2</v>
      </c>
      <c r="AK4" s="59">
        <f t="shared" si="0"/>
        <v>0.31175464158976562</v>
      </c>
      <c r="AL4" s="59">
        <f t="shared" si="0"/>
        <v>0.51254826035856593</v>
      </c>
      <c r="AM4" s="59" t="e">
        <f t="shared" si="0"/>
        <v>#DIV/0!</v>
      </c>
      <c r="AN4" s="59">
        <f t="shared" si="0"/>
        <v>2.3775425275133362E-3</v>
      </c>
      <c r="AO4" s="59">
        <f t="shared" si="0"/>
        <v>1.2817351865685288E-3</v>
      </c>
      <c r="AP4" s="59">
        <f t="shared" si="0"/>
        <v>0</v>
      </c>
      <c r="AQ4" s="59">
        <f t="shared" si="0"/>
        <v>-3.015078208827536E-2</v>
      </c>
      <c r="AR4" s="59">
        <f t="shared" si="0"/>
        <v>-3.0088761463644788E-2</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-18340413859.7272</v>
      </c>
      <c r="F5" s="26">
        <f>股权价值增加表!F47</f>
        <v>-3608222607.8039999</v>
      </c>
      <c r="G5" s="26">
        <f>股权价值增加表!G47</f>
        <v>-2236311479.7515998</v>
      </c>
      <c r="H5" s="26">
        <f>股权价值增加表!H47</f>
        <v>-1195176262.9423997</v>
      </c>
      <c r="I5" s="26">
        <f>股权价值增加表!I47</f>
        <v>-1161478488.5247989</v>
      </c>
      <c r="J5" s="26">
        <f>股权价值增加表!J47</f>
        <v>-664933063.71360028</v>
      </c>
      <c r="K5" s="26">
        <f>股权价值增加表!K47</f>
        <v>-330139868.38599908</v>
      </c>
      <c r="L5" s="26">
        <f>股权价值增加表!L47</f>
        <v>-323892702.32720023</v>
      </c>
      <c r="M5" s="26">
        <f>股权价值增加表!M47</f>
        <v>-87190122.095199555</v>
      </c>
      <c r="N5" s="26">
        <f>股权价值增加表!N47</f>
        <v>-119879970.61200052</v>
      </c>
      <c r="O5" s="26">
        <f>股权价值增加表!O47</f>
        <v>-172062932.11559963</v>
      </c>
      <c r="P5" s="26">
        <f>股权价值增加表!P47</f>
        <v>-249620238.59440008</v>
      </c>
      <c r="Q5" s="26">
        <f>股权价值增加表!Q47</f>
        <v>-141636182.47159997</v>
      </c>
      <c r="R5" s="26">
        <f>股权价值增加表!R47</f>
        <v>-178956821.07200027</v>
      </c>
      <c r="S5" s="26">
        <f>股权价值增加表!S47</f>
        <v>-181125308.86320019</v>
      </c>
      <c r="T5" s="26">
        <f>股权价值增加表!T47</f>
        <v>-129501777.4296</v>
      </c>
      <c r="U5" s="26">
        <f>股权价值增加表!U47</f>
        <v>62206868.687600166</v>
      </c>
      <c r="V5" s="26">
        <f>股权价值增加表!V47</f>
        <v>13071929.216800123</v>
      </c>
      <c r="W5" s="26">
        <f>股权价值增加表!W47</f>
        <v>-15249103.421599954</v>
      </c>
      <c r="X5" s="26">
        <f>股权价值增加表!X47</f>
        <v>-37381290.297200009</v>
      </c>
      <c r="Y5" s="26">
        <f>股权价值增加表!Y47</f>
        <v>86089050.377200097</v>
      </c>
      <c r="Z5" s="26">
        <f>股权价值增加表!Z47</f>
        <v>35361022.281600058</v>
      </c>
      <c r="AA5" s="26">
        <f>股权价值增加表!AA47</f>
        <v>-341077.65080006421</v>
      </c>
      <c r="AB5" s="26">
        <f>股权价值增加表!AB47</f>
        <v>-37764310.989199974</v>
      </c>
      <c r="AC5" s="26">
        <f>股权价值增加表!AC47</f>
        <v>45698504.057599962</v>
      </c>
      <c r="AD5" s="26">
        <f>股权价值增加表!AD47</f>
        <v>6514420.288800016</v>
      </c>
      <c r="AE5" s="26">
        <f>股权价值增加表!AE47</f>
        <v>-20169457.740400016</v>
      </c>
      <c r="AF5" s="26">
        <f>股权价值增加表!AF47</f>
        <v>-48353952.65200001</v>
      </c>
      <c r="AG5" s="26">
        <f>股权价值增加表!AG47</f>
        <v>-5025654.815200001</v>
      </c>
      <c r="AH5" s="26">
        <f>股权价值增加表!AH47</f>
        <v>-23002744.92399998</v>
      </c>
      <c r="AI5" s="26">
        <f>股权价值增加表!AI47</f>
        <v>13731146.88000001</v>
      </c>
      <c r="AJ5" s="26">
        <f>股权价值增加表!AJ47</f>
        <v>857066.36720000021</v>
      </c>
      <c r="AK5" s="26">
        <f>股权价值增加表!AK47</f>
        <v>33064563.942000013</v>
      </c>
      <c r="AL5" s="26">
        <f>股权价值增加表!AL47</f>
        <v>25786716.099199995</v>
      </c>
      <c r="AM5" s="26">
        <f>股权价值增加表!AM47</f>
        <v>17961930.370000001</v>
      </c>
      <c r="AN5" s="26">
        <f>股权价值增加表!AN47</f>
        <v>30254744.839999985</v>
      </c>
      <c r="AO5" s="26">
        <f>股权价值增加表!AO47</f>
        <v>14683477.389999999</v>
      </c>
      <c r="AP5" s="26">
        <f>股权价值增加表!AP47</f>
        <v>0</v>
      </c>
      <c r="AQ5" s="26">
        <f>股权价值增加表!AQ47</f>
        <v>-1204430921.7676001</v>
      </c>
      <c r="AR5" s="26">
        <f>股权价值增加表!AR47</f>
        <v>-1171558509.1084001</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437</v>
      </c>
      <c r="E6" s="157">
        <f>股权价值增加表!E31/股权价值增加表!E4</f>
        <v>-2.3889939701220895</v>
      </c>
      <c r="F6" s="157">
        <f>股权价值增加表!F31/股权价值增加表!F4</f>
        <v>-0.38582114036717785</v>
      </c>
      <c r="G6" s="157">
        <f>股权价值增加表!G31/股权价值增加表!G4</f>
        <v>-0.16451777567073012</v>
      </c>
      <c r="H6" s="157">
        <f>股权价值增加表!H31/股权价值增加表!H4</f>
        <v>9.1087713913908352E-2</v>
      </c>
      <c r="I6" s="157">
        <f>股权价值增加表!I31/股权价值增加表!I4</f>
        <v>1.0455334627570348E-2</v>
      </c>
      <c r="J6" s="157">
        <f>股权价值增加表!J31/股权价值增加表!J4</f>
        <v>2.637805992015517E-2</v>
      </c>
      <c r="K6" s="157">
        <f>股权价值增加表!K31/股权价值增加表!K4</f>
        <v>2.9628686231661001E-2</v>
      </c>
      <c r="L6" s="157">
        <f>股权价值增加表!L31/股权价值增加表!L4</f>
        <v>4.3622959189038656E-2</v>
      </c>
      <c r="M6" s="157">
        <f>股权价值增加表!M31/股权价值增加表!M4</f>
        <v>3.3052710112374505E-2</v>
      </c>
      <c r="N6" s="157">
        <f>股权价值增加表!N31/股权价值增加表!N4</f>
        <v>2.8766259961673889E-2</v>
      </c>
      <c r="O6" s="157">
        <f>股权价值增加表!O31/股权价值增加表!O4</f>
        <v>3.2738174810455774E-2</v>
      </c>
      <c r="P6" s="157">
        <f>股权价值增加表!P31/股权价值增加表!P4</f>
        <v>2.758094752388798E-2</v>
      </c>
      <c r="Q6" s="157">
        <f>股权价值增加表!Q31/股权价值增加表!Q4</f>
        <v>3.5397584172088326E-2</v>
      </c>
      <c r="R6" s="157">
        <f>股权价值增加表!R31/股权价值增加表!R4</f>
        <v>3.3574011898652695E-2</v>
      </c>
      <c r="S6" s="157">
        <f>股权价值增加表!S31/股权价值增加表!S4</f>
        <v>5.0661780725334921E-2</v>
      </c>
      <c r="T6" s="157">
        <f>股权价值增加表!T31/股权价值增加表!T4</f>
        <v>8.3009515047208493E-2</v>
      </c>
      <c r="U6" s="157">
        <f>股权价值增加表!U31/股权价值增加表!U4</f>
        <v>0.15252386019674868</v>
      </c>
      <c r="V6" s="157">
        <f>股权价值增加表!V31/股权价值增加表!V4</f>
        <v>0.19843226606420111</v>
      </c>
      <c r="W6" s="157">
        <f>股权价值增加表!W31/股权价值增加表!W4</f>
        <v>0.24488546425074223</v>
      </c>
      <c r="X6" s="157">
        <f>股权价值增加表!X31/股权价值增加表!X4</f>
        <v>0.30739410836942882</v>
      </c>
      <c r="Y6" s="157">
        <f>股权价值增加表!Y31/股权价值增加表!Y4</f>
        <v>0.24538721827829987</v>
      </c>
      <c r="Z6" s="157">
        <f>股权价值增加表!Z31/股权价值增加表!Z4</f>
        <v>0.2137290530947121</v>
      </c>
      <c r="AA6" s="157">
        <f>股权价值增加表!AA31/股权价值增加表!AA4</f>
        <v>0.21745596943959072</v>
      </c>
      <c r="AB6" s="157">
        <f>股权价值增加表!AB31/股权价值增加表!AB4</f>
        <v>0.25410568019423491</v>
      </c>
      <c r="AC6" s="157">
        <f>股权价值增加表!AC31/股权价值增加表!AC4</f>
        <v>0.29559664268068864</v>
      </c>
      <c r="AD6" s="157">
        <f>股权价值增加表!AD31/股权价值增加表!AD4</f>
        <v>0.32264357068846811</v>
      </c>
      <c r="AE6" s="157">
        <f>股权价值增加表!AE31/股权价值增加表!AE4</f>
        <v>0.3318487301825141</v>
      </c>
      <c r="AF6" s="157">
        <f>股权价值增加表!AF31/股权价值增加表!AF4</f>
        <v>0.33741019686148677</v>
      </c>
      <c r="AG6" s="157">
        <f>股权价值增加表!AG31/股权价值增加表!AG4</f>
        <v>0.33332414493891238</v>
      </c>
      <c r="AH6" s="157">
        <f>股权价值增加表!AH31/股权价值增加表!AH4</f>
        <v>0.33431235143501103</v>
      </c>
      <c r="AI6" s="157">
        <f>股权价值增加表!AI31/股权价值增加表!AI4</f>
        <v>0.34129564135357082</v>
      </c>
      <c r="AJ6" s="157">
        <f>股权价值增加表!AJ31/股权价值增加表!AJ4</f>
        <v>0.370495084053313</v>
      </c>
      <c r="AK6" s="157">
        <f>股权价值增加表!AK31/股权价值增加表!AK4</f>
        <v>0.33082864911226273</v>
      </c>
      <c r="AL6" s="157">
        <f>股权价值增加表!AL31/股权价值增加表!AL4</f>
        <v>0.32314497733281583</v>
      </c>
      <c r="AM6" s="157">
        <f>股权价值增加表!AM31/股权价值增加表!AM4</f>
        <v>0.32920457995443664</v>
      </c>
      <c r="AN6" s="157">
        <f>股权价值增加表!AN31/股权价值增加表!AN4</f>
        <v>0.41909927100040739</v>
      </c>
      <c r="AO6" s="157">
        <f>股权价值增加表!AO31/股权价值增加表!AO4</f>
        <v>0.40133672760441569</v>
      </c>
      <c r="AP6" s="157" t="e">
        <f>股权价值增加表!AP31/股权价值增加表!AP4</f>
        <v>#DIV/0!</v>
      </c>
      <c r="AQ6" s="157" t="e">
        <f>股权价值增加表!AQ31/股权价值增加表!AQ4</f>
        <v>#DIV/0!</v>
      </c>
      <c r="AR6" s="157" t="e">
        <f>股权价值增加表!AR31/股权价值增加表!AR4</f>
        <v>#DIV/0!</v>
      </c>
      <c r="AS6" s="157" t="e">
        <f>股权价值增加表!AS31/股权价值增加表!AS4</f>
        <v>#DIV/0!</v>
      </c>
      <c r="AT6" s="157" t="e">
        <f>股权价值增加表!AT31/股权价值增加表!AT4</f>
        <v>#DIV/0!</v>
      </c>
      <c r="AU6" s="157" t="e">
        <f>股权价值增加表!AU31/股权价值增加表!AU4</f>
        <v>#DIV/0!</v>
      </c>
      <c r="AV6" s="157" t="e">
        <f>股权价值增加表!AV31/股权价值增加表!AV4</f>
        <v>#DIV/0!</v>
      </c>
      <c r="AW6" s="157" t="e">
        <f>股权价值增加表!AW31/股权价值增加表!AW4</f>
        <v>#DIV/0!</v>
      </c>
      <c r="AX6" s="157" t="e">
        <f>股权价值增加表!AX31/股权价值增加表!AX4</f>
        <v>#DIV/0!</v>
      </c>
      <c r="AY6" s="157" t="e">
        <f>股权价值增加表!AY31/股权价值增加表!AY4</f>
        <v>#DIV/0!</v>
      </c>
      <c r="AZ6" s="157" t="e">
        <f>股权价值增加表!AZ31/股权价值增加表!AZ4</f>
        <v>#DIV/0!</v>
      </c>
      <c r="BA6" s="157" t="e">
        <f>股权价值增加表!BA31/股权价值增加表!BA4</f>
        <v>#DIV/0!</v>
      </c>
      <c r="BB6" s="157" t="e">
        <f>股权价值增加表!BB31/股权价值增加表!BB4</f>
        <v>#DIV/0!</v>
      </c>
      <c r="BC6" s="157" t="e">
        <f>股权价值增加表!BC31/股权价值增加表!BC4</f>
        <v>#DIV/0!</v>
      </c>
      <c r="BD6" s="157" t="e">
        <f>股权价值增加表!BD31/股权价值增加表!BD4</f>
        <v>#DIV/0!</v>
      </c>
      <c r="BE6" s="157" t="e">
        <f>股权价值增加表!BE31/股权价值增加表!BE4</f>
        <v>#DIV/0!</v>
      </c>
      <c r="BF6" s="157" t="e">
        <f>股权价值增加表!BF31/股权价值增加表!BF4</f>
        <v>#DIV/0!</v>
      </c>
      <c r="BG6" s="157" t="e">
        <f>股权价值增加表!BG31/股权价值增加表!BG4</f>
        <v>#DIV/0!</v>
      </c>
      <c r="BH6" s="157" t="e">
        <f>股权价值增加表!BH31/股权价值增加表!BH4</f>
        <v>#DIV/0!</v>
      </c>
      <c r="BI6" s="157" t="e">
        <f>股权价值增加表!BI31/股权价值增加表!BI4</f>
        <v>#DIV/0!</v>
      </c>
      <c r="BJ6" s="157" t="e">
        <f>股权价值增加表!BJ31/股权价值增加表!BJ4</f>
        <v>#DIV/0!</v>
      </c>
      <c r="BK6" s="157" t="e">
        <f>股权价值增加表!BK31/股权价值增加表!BK4</f>
        <v>#DIV/0!</v>
      </c>
      <c r="BL6" s="157" t="e">
        <f>股权价值增加表!BL31/股权价值增加表!BL4</f>
        <v>#DIV/0!</v>
      </c>
      <c r="BM6" s="157" t="e">
        <f>股权价值增加表!BM31/股权价值增加表!BM4</f>
        <v>#DIV/0!</v>
      </c>
      <c r="BN6" s="157" t="e">
        <f>股权价值增加表!BN31/股权价值增加表!BN4</f>
        <v>#DIV/0!</v>
      </c>
      <c r="BO6" s="157" t="e">
        <f>股权价值增加表!BO31/股权价值增加表!BO4</f>
        <v>#DIV/0!</v>
      </c>
      <c r="BP6" s="157" t="e">
        <f>股权价值增加表!BP31/股权价值增加表!BP4</f>
        <v>#DIV/0!</v>
      </c>
      <c r="BQ6" s="157" t="e">
        <f>股权价值增加表!BQ31/股权价值增加表!BQ4</f>
        <v>#DIV/0!</v>
      </c>
      <c r="BR6" s="157" t="e">
        <f>股权价值增加表!BR31/股权价值增加表!BR4</f>
        <v>#DIV/0!</v>
      </c>
      <c r="BS6" s="157" t="e">
        <f>股权价值增加表!BS31/股权价值增加表!BS4</f>
        <v>#DIV/0!</v>
      </c>
      <c r="BT6" s="157" t="e">
        <f>股权价值增加表!BT31/股权价值增加表!BT4</f>
        <v>#DIV/0!</v>
      </c>
      <c r="BU6" s="157" t="e">
        <f>股权价值增加表!BU31/股权价值增加表!BU4</f>
        <v>#DIV/0!</v>
      </c>
      <c r="BV6" s="157" t="e">
        <f>股权价值增加表!BV31/股权价值增加表!BV4</f>
        <v>#DIV/0!</v>
      </c>
      <c r="BW6" s="157" t="e">
        <f>股权价值增加表!BW31/股权价值增加表!BW4</f>
        <v>#DIV/0!</v>
      </c>
      <c r="BX6" s="157" t="e">
        <f>股权价值增加表!BX31/股权价值增加表!BX4</f>
        <v>#DIV/0!</v>
      </c>
      <c r="BY6" s="157" t="e">
        <f>股权价值增加表!BY31/股权价值增加表!BY4</f>
        <v>#DIV/0!</v>
      </c>
      <c r="BZ6" s="157" t="e">
        <f>股权价值增加表!BZ31/股权价值增加表!BZ4</f>
        <v>#DIV/0!</v>
      </c>
      <c r="CA6" s="157" t="e">
        <f>股权价值增加表!CA31/股权价值增加表!CA4</f>
        <v>#DIV/0!</v>
      </c>
      <c r="CB6" s="157" t="e">
        <f>股权价值增加表!CB31/股权价值增加表!CB4</f>
        <v>#DIV/0!</v>
      </c>
      <c r="CC6" s="157" t="e">
        <f>股权价值增加表!CC31/股权价值增加表!CC4</f>
        <v>#DIV/0!</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431</v>
      </c>
      <c r="E7" s="61">
        <f>股权价值增加表!E4/资产资本表!E70</f>
        <v>0.91957482521096889</v>
      </c>
      <c r="F7" s="61">
        <f>股权价值增加表!F4/资产资本表!F70</f>
        <v>0.26148053860175463</v>
      </c>
      <c r="G7" s="61">
        <f>股权价值增加表!G4/资产资本表!G70</f>
        <v>0.19891534495405128</v>
      </c>
      <c r="H7" s="61">
        <f>股权价值增加表!H4/资产资本表!H70</f>
        <v>0.15894466925213882</v>
      </c>
      <c r="I7" s="61">
        <f>股权价值增加表!I4/资产资本表!I70</f>
        <v>0.87708378228734707</v>
      </c>
      <c r="J7" s="61">
        <f>股权价值增加表!J4/资产资本表!J70</f>
        <v>0.76902907604262793</v>
      </c>
      <c r="K7" s="61">
        <f>股权价值增加表!K4/资产资本表!K70</f>
        <v>0.55958831840367695</v>
      </c>
      <c r="L7" s="61">
        <f>股权价值增加表!L4/资产资本表!L70</f>
        <v>0.37189836675924592</v>
      </c>
      <c r="M7" s="61">
        <f>股权价值增加表!M4/资产资本表!M70</f>
        <v>1.1408963291783518</v>
      </c>
      <c r="N7" s="61">
        <f>股权价值增加表!N4/资产资本表!N70</f>
        <v>0.76509172357438215</v>
      </c>
      <c r="O7" s="61">
        <f>股权价值增加表!O4/资产资本表!O70</f>
        <v>0.52724252228531587</v>
      </c>
      <c r="P7" s="61">
        <f>股权价值增加表!P4/资产资本表!P70</f>
        <v>0.28482618390875419</v>
      </c>
      <c r="Q7" s="61">
        <f>股权价值增加表!Q4/资产资本表!Q70</f>
        <v>1.0899170624443639</v>
      </c>
      <c r="R7" s="61">
        <f>股权价值增加表!R4/资产资本表!R70</f>
        <v>0.9299107516472902</v>
      </c>
      <c r="S7" s="61">
        <f>股权价值增加表!S4/资产资本表!S70</f>
        <v>0.58198134730045747</v>
      </c>
      <c r="T7" s="61">
        <f>股权价值增加表!T4/资产资本表!T70</f>
        <v>0.25383648733974717</v>
      </c>
      <c r="U7" s="61">
        <f>股权价值增加表!U4/资产资本表!U70</f>
        <v>0.62257217534087084</v>
      </c>
      <c r="V7" s="61">
        <f>股权价值增加表!V4/资产资本表!V70</f>
        <v>0.4129494623512443</v>
      </c>
      <c r="W7" s="61">
        <f>股权价值增加表!W4/资产资本表!W70</f>
        <v>0.24639208769003443</v>
      </c>
      <c r="X7" s="61">
        <f>股权价值增加表!X4/资产资本表!X70</f>
        <v>0.12653522898088573</v>
      </c>
      <c r="Y7" s="61">
        <f>股权价值增加表!Y4/资产资本表!Y70</f>
        <v>0.4774825061751487</v>
      </c>
      <c r="Z7" s="61">
        <f>股权价值增加表!Z4/资产资本表!Z70</f>
        <v>0.37186481787632109</v>
      </c>
      <c r="AA7" s="61">
        <f>股权价值增加表!AA4/资产资本表!AA70</f>
        <v>0.28949871630878071</v>
      </c>
      <c r="AB7" s="61">
        <f>股权价值增加表!AB4/资产资本表!AB70</f>
        <v>0.17738108754255388</v>
      </c>
      <c r="AC7" s="61">
        <f>股权价值增加表!AC4/资产资本表!AC70</f>
        <v>0.40937906726416723</v>
      </c>
      <c r="AD7" s="61">
        <f>股权价值增加表!AD4/资产资本表!AD70</f>
        <v>0.2756611732791886</v>
      </c>
      <c r="AE7" s="61">
        <f>股权价值增加表!AE4/资产资本表!AE70</f>
        <v>0.18874157830716659</v>
      </c>
      <c r="AF7" s="61">
        <f>股权价值增加表!AF4/资产资本表!AF70</f>
        <v>0.10094373987352714</v>
      </c>
      <c r="AG7" s="61">
        <f>股权价值增加表!AG4/资产资本表!AG70</f>
        <v>0.23621202903956762</v>
      </c>
      <c r="AH7" s="61">
        <f>股权价值增加表!AH4/资产资本表!AH70</f>
        <v>0.18304418030048411</v>
      </c>
      <c r="AI7" s="61">
        <f>股权价值增加表!AI4/资产资本表!AI70</f>
        <v>0.32507446862499551</v>
      </c>
      <c r="AJ7" s="61">
        <f>股权价值增加表!AJ4/资产资本表!AJ70</f>
        <v>0.19890913790546288</v>
      </c>
      <c r="AK7" s="61">
        <f>股权价值增加表!AK4/资产资本表!AK70</f>
        <v>1.0214540256342282</v>
      </c>
      <c r="AL7" s="61">
        <f>股权价值增加表!AL4/资产资本表!AL70</f>
        <v>1.7386490354040089</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-2.1968587125050791</v>
      </c>
      <c r="F8" s="63">
        <f>股权价值增加表!F31/资产资本表!F70</f>
        <v>-0.10088471958715285</v>
      </c>
      <c r="G8" s="63">
        <f>股权价值增加表!G31/资产资本表!G70</f>
        <v>-3.2725110098616512E-2</v>
      </c>
      <c r="H8" s="63">
        <f>股权价值增加表!H31/资产资本表!H70</f>
        <v>1.4477906560979605E-2</v>
      </c>
      <c r="I8" s="63">
        <f>股权价值增加表!I31/资产资本表!I70</f>
        <v>9.1702044402292727E-3</v>
      </c>
      <c r="J8" s="63">
        <f>股权价值增加表!J31/资产资本表!J70</f>
        <v>2.0285495048194005E-2</v>
      </c>
      <c r="K8" s="63">
        <f>股权价值增加表!K31/资产资本表!K70</f>
        <v>1.6579866704885357E-2</v>
      </c>
      <c r="L8" s="63">
        <f>股权价值增加表!L31/资产资本表!L70</f>
        <v>1.6223307275608716E-2</v>
      </c>
      <c r="M8" s="63">
        <f>股权价值增加表!M31/资产资本表!M70</f>
        <v>3.7709715636604267E-2</v>
      </c>
      <c r="N8" s="63">
        <f>股权价值增加表!N31/资产资本表!N70</f>
        <v>2.2008827414865817E-2</v>
      </c>
      <c r="O8" s="63">
        <f>股权价值增加表!O31/资产资本表!O70</f>
        <v>1.7260957862082298E-2</v>
      </c>
      <c r="P8" s="63">
        <f>股权价值增加表!P31/资产资本表!P70</f>
        <v>7.8557760318166171E-3</v>
      </c>
      <c r="Q8" s="63">
        <f>股权价值增加表!Q31/资产资本表!Q70</f>
        <v>3.8580430958469615E-2</v>
      </c>
      <c r="R8" s="63">
        <f>股权价值增加表!R31/资产资本表!R70</f>
        <v>3.1220834640491191E-2</v>
      </c>
      <c r="S8" s="63">
        <f>股权价值增加表!S31/资产资本表!S70</f>
        <v>2.9484211403170771E-2</v>
      </c>
      <c r="T8" s="63">
        <f>股权价值增加表!T31/资产资本表!T70</f>
        <v>2.1070843715359291E-2</v>
      </c>
      <c r="U8" s="63">
        <f>股权价值增加表!U31/资产资本表!U70</f>
        <v>9.4957111434076702E-2</v>
      </c>
      <c r="V8" s="63">
        <f>股权价值增加表!V31/资产资本表!V70</f>
        <v>8.1942497584350904E-2</v>
      </c>
      <c r="W8" s="63">
        <f>股权价值增加表!W31/资产资本表!W70</f>
        <v>6.0337840781683666E-2</v>
      </c>
      <c r="X8" s="63">
        <f>股权价值增加表!X31/资产资本表!X70</f>
        <v>3.8896183889900876E-2</v>
      </c>
      <c r="Y8" s="63">
        <f>股权价值增加表!Y31/资产资本表!Y70</f>
        <v>0.11716810396687088</v>
      </c>
      <c r="Z8" s="63">
        <f>股权价值增加表!Z31/资产资本表!Z70</f>
        <v>7.9478315403943664E-2</v>
      </c>
      <c r="AA8" s="63">
        <f>股权价值增加表!AA31/资产资本表!AA70</f>
        <v>6.2953224006442959E-2</v>
      </c>
      <c r="AB8" s="63">
        <f>股权价值增加表!AB31/资产资本表!AB70</f>
        <v>4.5073541903593778E-2</v>
      </c>
      <c r="AC8" s="63">
        <f>股权价值增加表!AC31/资产资本表!AC70</f>
        <v>0.12101107786703964</v>
      </c>
      <c r="AD8" s="63">
        <f>股权价值增加表!AD31/资产资本表!AD70</f>
        <v>8.8940305246969942E-2</v>
      </c>
      <c r="AE8" s="63">
        <f>股权价值增加表!AE31/资产资本表!AE70</f>
        <v>6.2633653093876779E-2</v>
      </c>
      <c r="AF8" s="63">
        <f>股权价值增加表!AF31/资产资本表!AF70</f>
        <v>3.4059447142661507E-2</v>
      </c>
      <c r="AG8" s="63">
        <f>股权价值增加表!AG31/资产资本表!AG70</f>
        <v>7.8735172603899423E-2</v>
      </c>
      <c r="AH8" s="63">
        <f>股权价值增加表!AH31/资产资本表!AH70</f>
        <v>6.1193930332748968E-2</v>
      </c>
      <c r="AI8" s="63">
        <f>股权价值增加表!AI31/资产资本表!AI70</f>
        <v>0.11094649925703907</v>
      </c>
      <c r="AJ8" s="63">
        <f>股权价值增加表!AJ31/资产资本表!AJ70</f>
        <v>7.3694857767256497E-2</v>
      </c>
      <c r="AK8" s="63">
        <f>股权价值增加表!AK31/资产资本表!AK70</f>
        <v>0.33792625543085431</v>
      </c>
      <c r="AL8" s="63">
        <f>股权价值增加表!AL31/资产资本表!AL70</f>
        <v>0.56183570313535058</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432</v>
      </c>
      <c r="E9" s="157">
        <f>股权价值增加表!E38/股权价值增加表!E31</f>
        <v>1.0529074839903083</v>
      </c>
      <c r="F9" s="157">
        <f>股权价值增加表!F38/股权价值增加表!F31</f>
        <v>1.273572433676992</v>
      </c>
      <c r="G9" s="157">
        <f>股权价值增加表!G38/股权价值增加表!G31</f>
        <v>1.3060716610012832</v>
      </c>
      <c r="H9" s="157">
        <f>股权价值增加表!H38/股权价值增加表!H31</f>
        <v>0.66975644482651342</v>
      </c>
      <c r="I9" s="157">
        <f>股权价值增加表!I38/股权价值增加表!I31</f>
        <v>-1.872530077377335</v>
      </c>
      <c r="J9" s="157">
        <f>股权价值增加表!J38/股权价值增加表!J31</f>
        <v>8.1627248625566043E-2</v>
      </c>
      <c r="K9" s="157">
        <f>股权价值增加表!K38/股权价值增加表!K31</f>
        <v>0.13313405791099087</v>
      </c>
      <c r="L9" s="157">
        <f>股权价值增加表!L38/股权价值增加表!L31</f>
        <v>0.5676210651931094</v>
      </c>
      <c r="M9" s="157">
        <f>股权价值增加表!M38/股权价值增加表!M31</f>
        <v>0.17449181489527962</v>
      </c>
      <c r="N9" s="157">
        <f>股权价值增加表!N38/股权价值增加表!N31</f>
        <v>0.43384743100900525</v>
      </c>
      <c r="O9" s="157">
        <f>股权价值增加表!O38/股权价值增加表!O31</f>
        <v>0.48976834177357764</v>
      </c>
      <c r="P9" s="157">
        <f>股权价值增加表!P38/股权价值增加表!P31</f>
        <v>0.39846319719938811</v>
      </c>
      <c r="Q9" s="157">
        <f>股权价值增加表!Q38/股权价值增加表!Q31</f>
        <v>0.28977539645170802</v>
      </c>
      <c r="R9" s="157">
        <f>股权价值增加表!R38/股权价值增加表!R31</f>
        <v>0.17136854572709662</v>
      </c>
      <c r="S9" s="157">
        <f>股权价值增加表!S38/股权价值增加表!S31</f>
        <v>0.44676394555472515</v>
      </c>
      <c r="T9" s="157">
        <f>股权价值增加表!T38/股权价值增加表!T31</f>
        <v>0.52752619748379559</v>
      </c>
      <c r="U9" s="157">
        <f>股权价值增加表!U38/股权价值增加表!U31</f>
        <v>0.67358502625219252</v>
      </c>
      <c r="V9" s="157">
        <f>股权价值增加表!V38/股权价值增加表!V31</f>
        <v>0.69924194322023636</v>
      </c>
      <c r="W9" s="157">
        <f>股权价值增加表!W38/股权价值增加表!W31</f>
        <v>0.71680637510209511</v>
      </c>
      <c r="X9" s="157">
        <f>股权价值增加表!X38/股权价值增加表!X31</f>
        <v>0.78320000516863653</v>
      </c>
      <c r="Y9" s="157">
        <f>股权价值增加表!Y38/股权价值增加表!Y31</f>
        <v>0.78902166468679746</v>
      </c>
      <c r="Z9" s="157">
        <f>股权价值增加表!Z38/股权价值增加表!Z31</f>
        <v>0.88508916282604777</v>
      </c>
      <c r="AA9" s="157">
        <f>股权价值增加表!AA38/股权价值增加表!AA31</f>
        <v>0.90514801894833963</v>
      </c>
      <c r="AB9" s="157">
        <f>股权价值增加表!AB38/股权价值增加表!AB31</f>
        <v>0.89710430831180321</v>
      </c>
      <c r="AC9" s="157">
        <f>股权价值增加表!AC38/股权价值增加表!AC31</f>
        <v>0.924843779049486</v>
      </c>
      <c r="AD9" s="157">
        <f>股权价值增加表!AD38/股权价值增加表!AD31</f>
        <v>0.97420244088519126</v>
      </c>
      <c r="AE9" s="157">
        <f>股权价值增加表!AE38/股权价值增加表!AE31</f>
        <v>0.96166903636750956</v>
      </c>
      <c r="AF9" s="157">
        <f>股权价值增加表!AF38/股权价值增加表!AF31</f>
        <v>0.98155508344076559</v>
      </c>
      <c r="AG9" s="157">
        <f>股权价值增加表!AG38/股权价值增加表!AG31</f>
        <v>0.94191837588917926</v>
      </c>
      <c r="AH9" s="157">
        <f>股权价值增加表!AH38/股权价值增加表!AH31</f>
        <v>0.93728554789095597</v>
      </c>
      <c r="AI9" s="157">
        <f>股权价值增加表!AI38/股权价值增加表!AI31</f>
        <v>0.93851991633593568</v>
      </c>
      <c r="AJ9" s="157">
        <f>股权价值增加表!AJ38/股权价值增加表!AJ31</f>
        <v>0.95478586927827824</v>
      </c>
      <c r="AK9" s="157">
        <f>股权价值增加表!AK38/股权价值增加表!AK31</f>
        <v>0.98942504264677511</v>
      </c>
      <c r="AL9" s="157">
        <f>股权价值增加表!AL38/股权价值增加表!AL31</f>
        <v>0.99885777194787029</v>
      </c>
      <c r="AM9" s="157">
        <f>股权价值增加表!AM38/股权价值增加表!AM31</f>
        <v>0.9999163934801153</v>
      </c>
      <c r="AN9" s="157">
        <f>股权价值增加表!AN38/股权价值增加表!AN31</f>
        <v>1.0268583490280865</v>
      </c>
      <c r="AO9" s="157">
        <f>股权价值增加表!AO38/股权价值增加表!AO31</f>
        <v>0.99106419816050939</v>
      </c>
      <c r="AP9" s="157" t="e">
        <f>股权价值增加表!AP38/股权价值增加表!AP31</f>
        <v>#DIV/0!</v>
      </c>
      <c r="AQ9" s="157">
        <f>股权价值增加表!AQ38/股权价值增加表!AQ31</f>
        <v>-79.478184971410798</v>
      </c>
      <c r="AR9" s="157" t="e">
        <f>股权价值增加表!AR38/股权价值增加表!AR31</f>
        <v>#DIV/0!</v>
      </c>
      <c r="AS9" s="157">
        <f>股权价值增加表!AS38/股权价值增加表!AS31</f>
        <v>29.82489017332593</v>
      </c>
      <c r="AT9" s="157">
        <f>股权价值增加表!AT38/股权价值增加表!AT31</f>
        <v>74.693791916224583</v>
      </c>
      <c r="AU9" s="157">
        <f>股权价值增加表!AU38/股权价值增加表!AU31</f>
        <v>762.43841528552787</v>
      </c>
      <c r="AV9" s="157">
        <f>股权价值增加表!AV38/股权价值增加表!AV31</f>
        <v>6.0715712302299112</v>
      </c>
      <c r="AW9" s="157">
        <f>股权价值增加表!AW38/股权价值增加表!AW31</f>
        <v>10.996125403577111</v>
      </c>
      <c r="AX9" s="157">
        <f>股权价值增加表!AX38/股权价值增加表!AX31</f>
        <v>11.563322521142613</v>
      </c>
      <c r="AY9" s="157">
        <f>股权价值增加表!AY38/股权价值增加表!AY31</f>
        <v>14.314610464689412</v>
      </c>
      <c r="AZ9" s="157">
        <f>股权价值增加表!AZ38/股权价值增加表!AZ31</f>
        <v>30.177087999999998</v>
      </c>
      <c r="BA9" s="157">
        <f>股权价值增加表!BA38/股权价值增加表!BA31</f>
        <v>-5.4302495344527406</v>
      </c>
      <c r="BB9" s="157">
        <f>股权价值增加表!BB38/股权价值增加表!BB31</f>
        <v>-13.954913103035617</v>
      </c>
      <c r="BC9" s="157">
        <f>股权价值增加表!BC38/股权价值增加表!BC31</f>
        <v>-9.9942730035859633</v>
      </c>
      <c r="BD9" s="157" t="e">
        <f>股权价值增加表!BD38/股权价值增加表!BD31</f>
        <v>#DIV/0!</v>
      </c>
      <c r="BE9" s="157">
        <f>股权价值增加表!BE38/股权价值增加表!BE31</f>
        <v>-207.72438969261265</v>
      </c>
      <c r="BF9" s="157">
        <f>股权价值增加表!BF38/股权价值增加表!BF31</f>
        <v>38.123657821263173</v>
      </c>
      <c r="BG9" s="157">
        <f>股权价值增加表!BG38/股权价值增加表!BG31</f>
        <v>33.265097832398752</v>
      </c>
      <c r="BH9" s="157">
        <f>股权价值增加表!BH38/股权价值增加表!BH31</f>
        <v>2.6912248525255302</v>
      </c>
      <c r="BI9" s="157">
        <f>股权价值增加表!BI38/股权价值增加表!BI31</f>
        <v>-50.149746229058351</v>
      </c>
      <c r="BJ9" s="157">
        <f>股权价值增加表!BJ38/股权价值增加表!BJ31</f>
        <v>69.171187698585072</v>
      </c>
      <c r="BK9" s="157">
        <f>股权价值增加表!BK38/股权价值增加表!BK31</f>
        <v>232.32435186984958</v>
      </c>
      <c r="BL9" s="157">
        <f>股权价值增加表!BL38/股权价值增加表!BL31</f>
        <v>10.213152951199438</v>
      </c>
      <c r="BM9" s="157">
        <f>股权价值增加表!BM38/股权价值增加表!BM31</f>
        <v>150.18376358893079</v>
      </c>
      <c r="BN9" s="157">
        <f>股权价值增加表!BN38/股权价值增加表!BN31</f>
        <v>12.619124030745919</v>
      </c>
      <c r="BO9" s="157">
        <f>股权价值增加表!BO38/股权价值增加表!BO31</f>
        <v>8.7036936464919741</v>
      </c>
      <c r="BP9" s="157">
        <f>股权价值增加表!BP38/股权价值增加表!BP31</f>
        <v>-42.249783743212781</v>
      </c>
      <c r="BQ9" s="157">
        <f>股权价值增加表!BQ38/股权价值增加表!BQ31</f>
        <v>3.0583806324776739</v>
      </c>
      <c r="BR9" s="157">
        <f>股权价值增加表!BR38/股权价值增加表!BR31</f>
        <v>1</v>
      </c>
      <c r="BS9" s="157">
        <f>股权价值增加表!BS38/股权价值增加表!BS31</f>
        <v>2.6875461769888385</v>
      </c>
      <c r="BT9" s="157">
        <f>股权价值增加表!BT38/股权价值增加表!BT31</f>
        <v>2.0192338281291593</v>
      </c>
      <c r="BU9" s="157">
        <f>股权价值增加表!BU38/股权价值增加表!BU31</f>
        <v>7.0450850452289444</v>
      </c>
      <c r="BV9" s="157" t="e">
        <f>股权价值增加表!BV38/股权价值增加表!BV31</f>
        <v>#DIV/0!</v>
      </c>
      <c r="BW9" s="157" t="e">
        <f>股权价值增加表!BW38/股权价值增加表!BW31</f>
        <v>#DIV/0!</v>
      </c>
      <c r="BX9" s="157" t="e">
        <f>股权价值增加表!BX38/股权价值增加表!BX31</f>
        <v>#DIV/0!</v>
      </c>
      <c r="BY9" s="157" t="e">
        <f>股权价值增加表!BY38/股权价值增加表!BY31</f>
        <v>#DIV/0!</v>
      </c>
      <c r="BZ9" s="157" t="e">
        <f>股权价值增加表!BZ38/股权价值增加表!BZ31</f>
        <v>#DIV/0!</v>
      </c>
      <c r="CA9" s="157" t="e">
        <f>股权价值增加表!CA38/股权价值增加表!CA31</f>
        <v>#DIV/0!</v>
      </c>
      <c r="CB9" s="157" t="e">
        <f>股权价值增加表!CB38/股权价值增加表!CB31</f>
        <v>#DIV/0!</v>
      </c>
      <c r="CC9" s="157" t="e">
        <f>股权价值增加表!CC38/股权价值增加表!CC31</f>
        <v>#DIV/0!</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433</v>
      </c>
      <c r="E10" s="61">
        <f>资产资本表!E70/资产资本表!E107</f>
        <v>-11.462516961462857</v>
      </c>
      <c r="F10" s="61">
        <f>资产资本表!F70/资产资本表!F107</f>
        <v>1.566870474963491</v>
      </c>
      <c r="G10" s="61">
        <f>资产资本表!G70/资产资本表!G107</f>
        <v>1.6993551574149046</v>
      </c>
      <c r="H10" s="61">
        <f>资产资本表!H70/资产资本表!H107</f>
        <v>1.7502510472990629</v>
      </c>
      <c r="I10" s="61">
        <f>资产资本表!I70/资产资本表!I107</f>
        <v>2.3876922897057944</v>
      </c>
      <c r="J10" s="61">
        <f>资产资本表!J70/资产资本表!J107</f>
        <v>2.2039255244748754</v>
      </c>
      <c r="K10" s="61">
        <f>资产资本表!K70/资产资本表!K107</f>
        <v>3.5602100305137205</v>
      </c>
      <c r="L10" s="61">
        <f>资产资本表!L70/资产资本表!L107</f>
        <v>2.5247710220967972</v>
      </c>
      <c r="M10" s="61">
        <f>资产资本表!M70/资产资本表!M107</f>
        <v>2.9905131941141163</v>
      </c>
      <c r="N10" s="61">
        <f>资产资本表!N70/资产资本表!N107</f>
        <v>3.0513041444587312</v>
      </c>
      <c r="O10" s="61">
        <f>资产资本表!O70/资产资本表!O107</f>
        <v>2.4223106627979671</v>
      </c>
      <c r="P10" s="61">
        <f>资产资本表!P70/资产资本表!P107</f>
        <v>2.2139240983102297</v>
      </c>
      <c r="Q10" s="61">
        <f>资产资本表!Q70/资产资本表!Q107</f>
        <v>1.871222617029783</v>
      </c>
      <c r="R10" s="61">
        <f>资产资本表!R70/资产资本表!R107</f>
        <v>1.6088638379092717</v>
      </c>
      <c r="S10" s="61">
        <f>资产资本表!S70/资产资本表!S107</f>
        <v>1.6261546213866187</v>
      </c>
      <c r="T10" s="61">
        <f>资产资本表!T70/资产资本表!T107</f>
        <v>1.874674653534921</v>
      </c>
      <c r="U10" s="61">
        <f>资产资本表!U70/资产资本表!U107</f>
        <v>1.8238410755160712</v>
      </c>
      <c r="V10" s="61">
        <f>资产资本表!V70/资产资本表!V107</f>
        <v>1.6621072792245064</v>
      </c>
      <c r="W10" s="61">
        <f>资产资本表!W70/资产资本表!W107</f>
        <v>1.9257415016970207</v>
      </c>
      <c r="X10" s="61">
        <f>资产资本表!X70/资产资本表!X107</f>
        <v>2.0089322220789154</v>
      </c>
      <c r="Y10" s="61">
        <f>资产资本表!Y70/资产资本表!Y107</f>
        <v>1.9197892020925083</v>
      </c>
      <c r="Z10" s="61">
        <f>资产资本表!Z70/资产资本表!Z107</f>
        <v>1.8417147316193749</v>
      </c>
      <c r="AA10" s="61">
        <f>资产资本表!AA70/资产资本表!AA107</f>
        <v>1.6828807914297947</v>
      </c>
      <c r="AB10" s="61">
        <f>资产资本表!AB70/资产资本表!AB107</f>
        <v>1.400939854107677</v>
      </c>
      <c r="AC10" s="61">
        <f>资产资本表!AC70/资产资本表!AC107</f>
        <v>1.3831212037235967</v>
      </c>
      <c r="AD10" s="61">
        <f>资产资本表!AD70/资产资本表!AD107</f>
        <v>1.2769366268993563</v>
      </c>
      <c r="AE10" s="61">
        <f>资产资本表!AE70/资产资本表!AE107</f>
        <v>1.203654078759375</v>
      </c>
      <c r="AF10" s="61">
        <f>资产资本表!AF70/资产资本表!AF107</f>
        <v>1.0723344907010981</v>
      </c>
      <c r="AG10" s="61">
        <f>资产资本表!AG70/资产资本表!AG107</f>
        <v>1.0745742115128785</v>
      </c>
      <c r="AH10" s="61">
        <f>资产资本表!AH70/资产资本表!AH107</f>
        <v>1.0286483244858231</v>
      </c>
      <c r="AI10" s="61">
        <f>资产资本表!AI70/资产资本表!AI107</f>
        <v>1.4376873196459701</v>
      </c>
      <c r="AJ10" s="61">
        <f>资产资本表!AJ70/资产资本表!AJ107</f>
        <v>1.2138971514971479</v>
      </c>
      <c r="AK10" s="61">
        <f>资产资本表!AK70/资产资本表!AK107</f>
        <v>1</v>
      </c>
      <c r="AL10" s="61">
        <f>资产资本表!AL70/资产资本表!AL107</f>
        <v>0.99999999999999989</v>
      </c>
      <c r="AM10" s="61" t="e">
        <f>资产资本表!AM70/资产资本表!AM107</f>
        <v>#DIV/0!</v>
      </c>
      <c r="AN10" s="61">
        <f>资产资本表!AN70/资产资本表!AN107</f>
        <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-12.06896989409009</v>
      </c>
      <c r="F11" s="28">
        <f t="shared" ref="F11:BQ11" si="2">F9*F10</f>
        <v>1.9955230440558775</v>
      </c>
      <c r="G11" s="28">
        <f t="shared" si="2"/>
        <v>2.2194796130759817</v>
      </c>
      <c r="H11" s="28">
        <f t="shared" si="2"/>
        <v>1.1722419189929021</v>
      </c>
      <c r="I11" s="28">
        <f t="shared" si="2"/>
        <v>-4.471025627996057</v>
      </c>
      <c r="J11" s="28">
        <f t="shared" si="2"/>
        <v>0.1799003767385417</v>
      </c>
      <c r="K11" s="28">
        <f t="shared" si="2"/>
        <v>0.47398520837770425</v>
      </c>
      <c r="L11" s="28">
        <f t="shared" si="2"/>
        <v>1.4331132169312795</v>
      </c>
      <c r="M11" s="28">
        <f t="shared" si="2"/>
        <v>0.52182007470925185</v>
      </c>
      <c r="N11" s="28">
        <f t="shared" si="2"/>
        <v>1.3238004643005512</v>
      </c>
      <c r="O11" s="28">
        <f t="shared" si="2"/>
        <v>1.1863710765790161</v>
      </c>
      <c r="P11" s="28">
        <f t="shared" si="2"/>
        <v>0.88216727456946653</v>
      </c>
      <c r="Q11" s="28">
        <f t="shared" si="2"/>
        <v>0.54223427569920801</v>
      </c>
      <c r="R11" s="28">
        <f t="shared" si="2"/>
        <v>0.27570865617542717</v>
      </c>
      <c r="S11" s="28">
        <f t="shared" si="2"/>
        <v>0.72650725473273603</v>
      </c>
      <c r="T11" s="28">
        <f t="shared" si="2"/>
        <v>0.98893999149852885</v>
      </c>
      <c r="U11" s="28">
        <f t="shared" si="2"/>
        <v>1.22851203873132</v>
      </c>
      <c r="V11" s="28">
        <f t="shared" si="2"/>
        <v>1.1622151237654439</v>
      </c>
      <c r="W11" s="28">
        <f t="shared" si="2"/>
        <v>1.3803837852151066</v>
      </c>
      <c r="X11" s="28">
        <f t="shared" si="2"/>
        <v>1.5733957267156471</v>
      </c>
      <c r="Y11" s="28">
        <f t="shared" si="2"/>
        <v>1.5147552720827695</v>
      </c>
      <c r="Z11" s="28">
        <f t="shared" si="2"/>
        <v>1.6300817499733917</v>
      </c>
      <c r="AA11" s="28">
        <f t="shared" si="2"/>
        <v>1.5232562144888926</v>
      </c>
      <c r="AB11" s="28">
        <f t="shared" si="2"/>
        <v>1.256789178805706</v>
      </c>
      <c r="AC11" s="28">
        <f t="shared" si="2"/>
        <v>1.2791710409352053</v>
      </c>
      <c r="AD11" s="28">
        <f t="shared" si="2"/>
        <v>1.2439947787810557</v>
      </c>
      <c r="AE11" s="28">
        <f t="shared" si="2"/>
        <v>1.1575168580403505</v>
      </c>
      <c r="AF11" s="28">
        <f t="shared" si="2"/>
        <v>1.0525553704965271</v>
      </c>
      <c r="AG11" s="28">
        <f t="shared" si="2"/>
        <v>1.0121611960806058</v>
      </c>
      <c r="AH11" s="28">
        <f t="shared" si="2"/>
        <v>0.96413720840280859</v>
      </c>
      <c r="AI11" s="28">
        <f t="shared" si="2"/>
        <v>1.3492981829513715</v>
      </c>
      <c r="AJ11" s="28">
        <f t="shared" si="2"/>
        <v>1.1590118470066302</v>
      </c>
      <c r="AK11" s="28">
        <f t="shared" si="2"/>
        <v>0.98942504264677511</v>
      </c>
      <c r="AL11" s="28">
        <f t="shared" si="2"/>
        <v>0.99885777194787018</v>
      </c>
      <c r="AM11" s="28" t="e">
        <f t="shared" si="2"/>
        <v>#DIV/0!</v>
      </c>
      <c r="AN11" s="28">
        <f t="shared" si="2"/>
        <v>0</v>
      </c>
      <c r="AO11" s="28">
        <f t="shared" si="2"/>
        <v>0</v>
      </c>
      <c r="AP11" s="28" t="e">
        <f t="shared" si="2"/>
        <v>#DIV/0!</v>
      </c>
      <c r="AQ11" s="28">
        <f t="shared" si="2"/>
        <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x14ac:dyDescent="0.25">
      <c r="A12" s="157" t="s">
        <v>434</v>
      </c>
      <c r="E12" s="157">
        <f>E2/股权价值增加表!E38</f>
        <v>1.040890250461451</v>
      </c>
      <c r="F12" s="157">
        <f>F2/股权价值增加表!F38</f>
        <v>0.80747515885757914</v>
      </c>
      <c r="G12" s="157">
        <f>G2/股权价值增加表!G38</f>
        <v>0.77690359024817868</v>
      </c>
      <c r="H12" s="157">
        <f>H2/股权价值增加表!H38</f>
        <v>-4.5407716522156118E-2</v>
      </c>
      <c r="I12" s="157">
        <f>I2/股权价值增加表!I38</f>
        <v>0.75144885269323292</v>
      </c>
      <c r="J12" s="157">
        <f>J2/股权价值增加表!J38</f>
        <v>3.511013299231291</v>
      </c>
      <c r="K12" s="157">
        <f>K2/股权价值增加表!K38</f>
        <v>1.862986889604419</v>
      </c>
      <c r="L12" s="157">
        <f>L2/股权价值增加表!L38</f>
        <v>0.61845233173744762</v>
      </c>
      <c r="M12" s="157">
        <f>M2/股权价值增加表!M38</f>
        <v>2.9041142815904255</v>
      </c>
      <c r="N12" s="157">
        <f>N2/股权价值增加表!N38</f>
        <v>1.5988651334606312</v>
      </c>
      <c r="O12" s="157">
        <f>O2/股权价值增加表!O38</f>
        <v>1.5009703329460908</v>
      </c>
      <c r="P12" s="157">
        <f>P2/股权价值增加表!P38</f>
        <v>0.89753901592644969</v>
      </c>
      <c r="Q12" s="157">
        <f>Q2/股权价值增加表!Q38</f>
        <v>1.7991717616538987</v>
      </c>
      <c r="R12" s="157">
        <f>R2/股权价值增加表!R38</f>
        <v>2.7389639473076186</v>
      </c>
      <c r="S12" s="157">
        <f>S2/股权价值增加表!S38</f>
        <v>1.0117247683793489</v>
      </c>
      <c r="T12" s="157">
        <f>T2/股权价值增加表!T38</f>
        <v>0.95942221324245258</v>
      </c>
      <c r="U12" s="157">
        <f>U2/股权价值增加表!U38</f>
        <v>0.94220624522135876</v>
      </c>
      <c r="V12" s="157">
        <f>V2/股权价值增加表!V38</f>
        <v>0.90903396650756252</v>
      </c>
      <c r="W12" s="157">
        <f>W2/股权价值增加表!W38</f>
        <v>0.84497321195765529</v>
      </c>
      <c r="X12" s="157">
        <f>X2/股权价值增加表!X38</f>
        <v>0.85305384221592206</v>
      </c>
      <c r="Y12" s="157">
        <f>Y2/股权价值增加表!Y38</f>
        <v>0.83166205714652719</v>
      </c>
      <c r="Z12" s="157">
        <f>Z2/股权价值增加表!Z38</f>
        <v>0.84305097592933287</v>
      </c>
      <c r="AA12" s="157">
        <f>AA2/股权价值增加表!AA38</f>
        <v>0.83112175471828031</v>
      </c>
      <c r="AB12" s="157">
        <f>AB2/股权价值增加表!AB38</f>
        <v>0.81158807768086083</v>
      </c>
      <c r="AC12" s="157">
        <f>AC2/股权价值增加表!AC38</f>
        <v>0.79608963286256429</v>
      </c>
      <c r="AD12" s="157">
        <f>AD2/股权价值增加表!AD38</f>
        <v>0.78129204702073851</v>
      </c>
      <c r="AE12" s="157">
        <f>AE2/股权价值增加表!AE38</f>
        <v>0.82017159657962024</v>
      </c>
      <c r="AF12" s="157">
        <f>AF2/股权价值增加表!AF38</f>
        <v>0.83776588188238943</v>
      </c>
      <c r="AG12" s="157">
        <f>AG2/股权价值增加表!AG38</f>
        <v>0.93667239310231498</v>
      </c>
      <c r="AH12" s="157">
        <f>AH2/股权价值增加表!AH38</f>
        <v>0.93174222567622922</v>
      </c>
      <c r="AI12" s="157">
        <f>AI2/股权价值增加表!AI38</f>
        <v>0.9547861582448276</v>
      </c>
      <c r="AJ12" s="157">
        <f>AJ2/股权价值增加表!AJ38</f>
        <v>0.99028122441758371</v>
      </c>
      <c r="AK12" s="157">
        <f>AK2/股权价值增加表!AK38</f>
        <v>0.93241251492137611</v>
      </c>
      <c r="AL12" s="157">
        <f>AL2/股权价值增加表!AL38</f>
        <v>0.91331749473152435</v>
      </c>
      <c r="AM12" s="157">
        <f>AM2/股权价值增加表!AM38</f>
        <v>0.9125909509808029</v>
      </c>
      <c r="AN12" s="157">
        <f>AN2/股权价值增加表!AN38</f>
        <v>0.95509422883026429</v>
      </c>
      <c r="AO12" s="157">
        <f>AO2/股权价值增加表!AO38</f>
        <v>1</v>
      </c>
      <c r="AP12" s="157" t="e">
        <f>AP2/股权价值增加表!AP38</f>
        <v>#DIV/0!</v>
      </c>
      <c r="AQ12" s="157">
        <f>AQ2/股权价值增加表!AQ38</f>
        <v>-4.4623444638231016</v>
      </c>
      <c r="AR12" s="157">
        <f>AR2/股权价值增加表!AR38</f>
        <v>-20.506440938812048</v>
      </c>
      <c r="AS12" s="157">
        <f>AS2/股权价值增加表!AS38</f>
        <v>-6.3937250836614146</v>
      </c>
      <c r="AT12" s="157">
        <f>AT2/股权价值增加表!AT38</f>
        <v>-14.592366512196667</v>
      </c>
      <c r="AU12" s="157">
        <f>AU2/股权价值增加表!AU38</f>
        <v>-14.376416082794156</v>
      </c>
      <c r="AV12" s="157">
        <f>AV2/股权价值增加表!AV38</f>
        <v>-91.644454630179325</v>
      </c>
      <c r="AW12" s="157">
        <f>AW2/股权价值增加表!AW38</f>
        <v>-9.9162205411310982</v>
      </c>
      <c r="AX12" s="157">
        <f>AX2/股权价值增加表!AX38</f>
        <v>-17.231369460204579</v>
      </c>
      <c r="AY12" s="157">
        <f>AY2/股权价值增加表!AY38</f>
        <v>-15.021387764306059</v>
      </c>
      <c r="AZ12" s="157">
        <f>AZ2/股权价值增加表!AZ38</f>
        <v>-92.098322439196252</v>
      </c>
      <c r="BA12" s="157">
        <f>BA2/股权价值增加表!BA38</f>
        <v>-17.631308838172572</v>
      </c>
      <c r="BB12" s="157">
        <f>BB2/股权价值增加表!BB38</f>
        <v>-54.304324722487436</v>
      </c>
      <c r="BC12" s="157">
        <f>BC2/股权价值增加表!BC38</f>
        <v>-66.277250227328935</v>
      </c>
      <c r="BD12" s="157">
        <f>BD2/股权价值增加表!BD38</f>
        <v>-38.372760490940244</v>
      </c>
      <c r="BE12" s="157">
        <f>BE2/股权价值增加表!BE38</f>
        <v>-15.764297507062913</v>
      </c>
      <c r="BF12" s="157">
        <f>BF2/股权价值增加表!BF38</f>
        <v>-26.049077122304052</v>
      </c>
      <c r="BG12" s="157">
        <f>BG2/股权价值增加表!BG38</f>
        <v>-23.303157252166656</v>
      </c>
      <c r="BH12" s="157">
        <f>BH2/股权价值增加表!BH38</f>
        <v>-69.000749015543192</v>
      </c>
      <c r="BI12" s="157">
        <f>BI2/股权价值增加表!BI38</f>
        <v>-12.790967082937895</v>
      </c>
      <c r="BJ12" s="157">
        <f>BJ2/股权价值增加表!BJ38</f>
        <v>-14.670402589550692</v>
      </c>
      <c r="BK12" s="157">
        <f>BK2/股权价值增加表!BK38</f>
        <v>-19.530470057823827</v>
      </c>
      <c r="BL12" s="157">
        <f>BL2/股权价值增加表!BL38</f>
        <v>-75.496332781702776</v>
      </c>
      <c r="BM12" s="157">
        <f>BM2/股权价值增加表!BM38</f>
        <v>-8.3062959249435355</v>
      </c>
      <c r="BN12" s="157">
        <f>BN2/股权价值增加表!BN38</f>
        <v>-7.0800067537645504</v>
      </c>
      <c r="BO12" s="157">
        <f>BO2/股权价值增加表!BO38</f>
        <v>-8.6301249443167141</v>
      </c>
      <c r="BP12" s="157">
        <f>BP2/股权价值增加表!BP38</f>
        <v>-15.511200920697274</v>
      </c>
      <c r="BQ12" s="157">
        <f>BQ2/股权价值增加表!BQ38</f>
        <v>-2.0916829946917983</v>
      </c>
      <c r="BR12" s="157">
        <f>BR2/股权价值增加表!BR38</f>
        <v>-11.625</v>
      </c>
      <c r="BS12" s="157">
        <f>BS2/股权价值增加表!BS38</f>
        <v>-5.8283566880658215</v>
      </c>
      <c r="BT12" s="157">
        <f>BT2/股权价值增加表!BT38</f>
        <v>-11.853075776272602</v>
      </c>
      <c r="BU12" s="157">
        <f>BU2/股权价值增加表!BU38</f>
        <v>-13.285141378045161</v>
      </c>
      <c r="BV12" s="157">
        <f>BV2/股权价值增加表!BV38</f>
        <v>-38.705149385866775</v>
      </c>
      <c r="BW12" s="157">
        <f>BW2/股权价值增加表!BW38</f>
        <v>-19.112527092609866</v>
      </c>
      <c r="BX12" s="157">
        <f>BX2/股权价值增加表!BX38</f>
        <v>-5.948062846312304</v>
      </c>
      <c r="BY12" s="157">
        <f>BY2/股权价值增加表!BY38</f>
        <v>-5.0894858138564683</v>
      </c>
      <c r="BZ12" s="157">
        <f>BZ2/股权价值增加表!BZ38</f>
        <v>-10.640426755835241</v>
      </c>
      <c r="CA12" s="157">
        <f>CA2/股权价值增加表!CA38</f>
        <v>15.20372750495731</v>
      </c>
      <c r="CB12" s="157">
        <f>CB2/股权价值增加表!CB38</f>
        <v>8.8774211764848925</v>
      </c>
      <c r="CC12" s="157">
        <f>CC2/股权价值增加表!CC38</f>
        <v>9.6111449985966146</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435</v>
      </c>
      <c r="E13" s="63">
        <f>1-E2/股权价值增加表!E38</f>
        <v>-4.0890250461451005E-2</v>
      </c>
      <c r="F13" s="63">
        <f>1-F2/股权价值增加表!F38</f>
        <v>0.19252484114242086</v>
      </c>
      <c r="G13" s="63">
        <f>1-G2/股权价值增加表!G38</f>
        <v>0.22309640975182132</v>
      </c>
      <c r="H13" s="63">
        <f>1-H2/股权价值增加表!H38</f>
        <v>1.045407716522156</v>
      </c>
      <c r="I13" s="63">
        <f>1-I2/股权价值增加表!I38</f>
        <v>0.24855114730676708</v>
      </c>
      <c r="J13" s="63">
        <f>1-J2/股权价值增加表!J38</f>
        <v>-2.511013299231291</v>
      </c>
      <c r="K13" s="63">
        <f>1-K2/股权价值增加表!K38</f>
        <v>-0.86298688960441905</v>
      </c>
      <c r="L13" s="63">
        <f>1-L2/股权价值增加表!L38</f>
        <v>0.38154766826255238</v>
      </c>
      <c r="M13" s="63">
        <f>1-M2/股权价值增加表!M38</f>
        <v>-1.9041142815904255</v>
      </c>
      <c r="N13" s="63">
        <f>1-N2/股权价值增加表!N38</f>
        <v>-0.59886513346063119</v>
      </c>
      <c r="O13" s="63">
        <f>1-O2/股权价值增加表!O38</f>
        <v>-0.50097033294609083</v>
      </c>
      <c r="P13" s="63">
        <f>1-P2/股权价值增加表!P38</f>
        <v>0.10246098407355031</v>
      </c>
      <c r="Q13" s="63">
        <f>1-Q2/股权价值增加表!Q38</f>
        <v>-0.79917176165389869</v>
      </c>
      <c r="R13" s="63">
        <f>1-R2/股权价值增加表!R38</f>
        <v>-1.7389639473076186</v>
      </c>
      <c r="S13" s="63">
        <f>1-S2/股权价值增加表!S38</f>
        <v>-1.1724768379348882E-2</v>
      </c>
      <c r="T13" s="63">
        <f>1-T2/股权价值增加表!T38</f>
        <v>4.0577786757547418E-2</v>
      </c>
      <c r="U13" s="63">
        <f>1-U2/股权价值增加表!U38</f>
        <v>5.7793754778641238E-2</v>
      </c>
      <c r="V13" s="63">
        <f>1-V2/股权价值增加表!V38</f>
        <v>9.0966033492437481E-2</v>
      </c>
      <c r="W13" s="63">
        <f>1-W2/股权价值增加表!W38</f>
        <v>0.15502678804234471</v>
      </c>
      <c r="X13" s="63">
        <f>1-X2/股权价值增加表!X38</f>
        <v>0.14694615778407794</v>
      </c>
      <c r="Y13" s="63">
        <f>1-Y2/股权价值增加表!Y38</f>
        <v>0.16833794285347281</v>
      </c>
      <c r="Z13" s="63">
        <f>1-Z2/股权价值增加表!Z38</f>
        <v>0.15694902407066713</v>
      </c>
      <c r="AA13" s="63">
        <f>1-AA2/股权价值增加表!AA38</f>
        <v>0.16887824528171969</v>
      </c>
      <c r="AB13" s="63">
        <f>1-AB2/股权价值增加表!AB38</f>
        <v>0.18841192231913917</v>
      </c>
      <c r="AC13" s="63">
        <f>1-AC2/股权价值增加表!AC38</f>
        <v>0.20391036713743571</v>
      </c>
      <c r="AD13" s="63">
        <f>1-AD2/股权价值增加表!AD38</f>
        <v>0.21870795297926149</v>
      </c>
      <c r="AE13" s="63">
        <f>1-AE2/股权价值增加表!AE38</f>
        <v>0.17982840342037976</v>
      </c>
      <c r="AF13" s="63">
        <f>1-AF2/股权价值增加表!AF38</f>
        <v>0.16223411811761057</v>
      </c>
      <c r="AG13" s="63">
        <f>1-AG2/股权价值增加表!AG38</f>
        <v>6.3327606897685018E-2</v>
      </c>
      <c r="AH13" s="63">
        <f>1-AH2/股权价值增加表!AH38</f>
        <v>6.8257774323770781E-2</v>
      </c>
      <c r="AI13" s="63">
        <f>1-AI2/股权价值增加表!AI38</f>
        <v>4.5213841755172401E-2</v>
      </c>
      <c r="AJ13" s="63">
        <f>1-AJ2/股权价值增加表!AJ38</f>
        <v>9.7187755824162947E-3</v>
      </c>
      <c r="AK13" s="63">
        <f>1-AK2/股权价值增加表!AK38</f>
        <v>6.7587485078623888E-2</v>
      </c>
      <c r="AL13" s="63">
        <f>1-AL2/股权价值增加表!AL38</f>
        <v>8.6682505268475651E-2</v>
      </c>
      <c r="AM13" s="63">
        <f>1-AM2/股权价值增加表!AM38</f>
        <v>8.7409049019197105E-2</v>
      </c>
      <c r="AN13" s="63">
        <f>1-AN2/股权价值增加表!AN38</f>
        <v>4.4905771169735709E-2</v>
      </c>
      <c r="AO13" s="63">
        <f>1-AO2/股权价值增加表!AO38</f>
        <v>0</v>
      </c>
      <c r="AP13" s="63" t="e">
        <f>1-AP2/股权价值增加表!AP38</f>
        <v>#DIV/0!</v>
      </c>
      <c r="AQ13" s="63">
        <f>1-AQ2/股权价值增加表!AQ38</f>
        <v>5.4623444638231016</v>
      </c>
      <c r="AR13" s="63">
        <f>1-AR2/股权价值增加表!AR38</f>
        <v>21.506440938812048</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436</v>
      </c>
      <c r="E14" s="59">
        <f>E6*E7*E9*E10*E12</f>
        <v>27.597978471275184</v>
      </c>
      <c r="F14" s="59">
        <f t="shared" ref="F14:BQ14" si="4">F6*F7*F9*F10*F12</f>
        <v>-0.16255910859018005</v>
      </c>
      <c r="G14" s="59">
        <f t="shared" si="4"/>
        <v>-5.6428616819549145E-2</v>
      </c>
      <c r="H14" s="59">
        <f t="shared" si="4"/>
        <v>-7.706420090365792E-4</v>
      </c>
      <c r="I14" s="59">
        <f t="shared" si="4"/>
        <v>-3.0809567577488477E-2</v>
      </c>
      <c r="J14" s="59">
        <f t="shared" si="4"/>
        <v>1.2812980289250988E-2</v>
      </c>
      <c r="K14" s="59">
        <f t="shared" si="4"/>
        <v>1.4640490334699245E-2</v>
      </c>
      <c r="L14" s="59">
        <f t="shared" si="4"/>
        <v>1.4378915335578555E-2</v>
      </c>
      <c r="M14" s="59">
        <f t="shared" si="4"/>
        <v>5.7146250773043764E-2</v>
      </c>
      <c r="N14" s="59">
        <f t="shared" si="4"/>
        <v>4.6583408848327262E-2</v>
      </c>
      <c r="O14" s="59">
        <f t="shared" si="4"/>
        <v>3.0736722124599325E-2</v>
      </c>
      <c r="P14" s="59">
        <f t="shared" si="4"/>
        <v>6.2200427917299432E-3</v>
      </c>
      <c r="Q14" s="59">
        <f t="shared" si="4"/>
        <v>3.7638011225033019E-2</v>
      </c>
      <c r="R14" s="59">
        <f t="shared" si="4"/>
        <v>2.3576602765041012E-2</v>
      </c>
      <c r="S14" s="59">
        <f t="shared" si="4"/>
        <v>2.1671643809154071E-2</v>
      </c>
      <c r="T14" s="59">
        <f t="shared" si="4"/>
        <v>1.9992248199645721E-2</v>
      </c>
      <c r="U14" s="59">
        <f t="shared" si="4"/>
        <v>0.10991396892861065</v>
      </c>
      <c r="V14" s="59">
        <f t="shared" si="4"/>
        <v>8.6571677058119315E-2</v>
      </c>
      <c r="W14" s="59">
        <f t="shared" si="4"/>
        <v>7.0377292447828976E-2</v>
      </c>
      <c r="X14" s="59">
        <f t="shared" si="4"/>
        <v>5.2206118453374438E-2</v>
      </c>
      <c r="Y14" s="59">
        <f t="shared" si="4"/>
        <v>0.14760421622886821</v>
      </c>
      <c r="Z14" s="59">
        <f t="shared" si="4"/>
        <v>0.10922243992481925</v>
      </c>
      <c r="AA14" s="59">
        <f t="shared" si="4"/>
        <v>7.9699497865852162E-2</v>
      </c>
      <c r="AB14" s="59">
        <f t="shared" si="4"/>
        <v>4.5974792497782552E-2</v>
      </c>
      <c r="AC14" s="59">
        <f t="shared" si="4"/>
        <v>0.12322979230349473</v>
      </c>
      <c r="AD14" s="59">
        <f t="shared" si="4"/>
        <v>8.6443148503517891E-2</v>
      </c>
      <c r="AE14" s="59">
        <f t="shared" si="4"/>
        <v>5.9462038324013443E-2</v>
      </c>
      <c r="AF14" s="59">
        <f t="shared" si="4"/>
        <v>3.0033449450465228E-2</v>
      </c>
      <c r="AG14" s="59">
        <f t="shared" si="4"/>
        <v>7.4645939354579402E-2</v>
      </c>
      <c r="AH14" s="59">
        <f t="shared" si="4"/>
        <v>5.497218117487998E-2</v>
      </c>
      <c r="AI14" s="59">
        <f t="shared" si="4"/>
        <v>0.14293140181751132</v>
      </c>
      <c r="AJ14" s="59">
        <f t="shared" si="4"/>
        <v>8.4583101364702221E-2</v>
      </c>
      <c r="AK14" s="59">
        <f t="shared" si="4"/>
        <v>0.31175464158976568</v>
      </c>
      <c r="AL14" s="59">
        <f t="shared" si="4"/>
        <v>0.51254826035856593</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697</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39813</v>
      </c>
      <c r="AO18" s="1">
        <v>39447</v>
      </c>
      <c r="AP18" s="1">
        <v>25569</v>
      </c>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8" t="s">
        <v>446</v>
      </c>
      <c r="B19" s="76">
        <v>43373</v>
      </c>
      <c r="C19" s="76">
        <v>43281</v>
      </c>
      <c r="D19" s="76">
        <v>43190</v>
      </c>
      <c r="E19" s="76">
        <f>股权价值增加表!E4</f>
        <v>7025215802.2200003</v>
      </c>
      <c r="F19" s="76">
        <f>股权价值增加表!F4</f>
        <v>6094642044.2700005</v>
      </c>
      <c r="G19" s="76">
        <f>股权价值增加表!G4</f>
        <v>5540886553.04</v>
      </c>
      <c r="H19" s="76">
        <f>股权价值增加表!H4</f>
        <v>4116467940.2800002</v>
      </c>
      <c r="I19" s="76">
        <f>股权价值增加表!I4</f>
        <v>21950951410.470001</v>
      </c>
      <c r="J19" s="76">
        <f>股权价值增加表!J4</f>
        <v>16773829590.549999</v>
      </c>
      <c r="K19" s="76">
        <f>股权价值增加表!K4</f>
        <v>10063138447.610001</v>
      </c>
      <c r="L19" s="76">
        <f>股权价值增加表!L4</f>
        <v>4634512164.1999998</v>
      </c>
      <c r="M19" s="76">
        <f>股权价值增加表!M4</f>
        <v>13016725124.120001</v>
      </c>
      <c r="N19" s="76">
        <f>股权价值增加表!N4</f>
        <v>8374974349.1499996</v>
      </c>
      <c r="O19" s="76">
        <f>股权价值增加表!O4</f>
        <v>4460713020.0600004</v>
      </c>
      <c r="P19" s="76">
        <f>股权价值增加表!P4</f>
        <v>2133457686.29</v>
      </c>
      <c r="Q19" s="76">
        <f>股权价值增加表!Q4</f>
        <v>6818938622.3800001</v>
      </c>
      <c r="R19" s="76">
        <f>股权价值增加表!R4</f>
        <v>4745146054.6599998</v>
      </c>
      <c r="S19" s="76">
        <f>股权价值增加表!S4</f>
        <v>2938801853.1599998</v>
      </c>
      <c r="T19" s="76">
        <f>股权价值增加表!T4</f>
        <v>1026947707.76</v>
      </c>
      <c r="U19" s="76">
        <f>股权价值增加表!U4</f>
        <v>2361244730.8600001</v>
      </c>
      <c r="V19" s="76">
        <f>股权价值增加表!V4</f>
        <v>1365272776.9200001</v>
      </c>
      <c r="W19" s="76">
        <f>股权价值增加表!W4</f>
        <v>751920231.09000003</v>
      </c>
      <c r="X19" s="76">
        <f>股权价值增加表!X4</f>
        <v>341886400.31999999</v>
      </c>
      <c r="Y19" s="76">
        <f>股权价值增加表!Y4</f>
        <v>1167307146.72</v>
      </c>
      <c r="Z19" s="76">
        <f>股权价值增加表!Z4</f>
        <v>828735210.47000003</v>
      </c>
      <c r="AA19" s="76">
        <f>股权价值增加表!AA4</f>
        <v>552975255.67999995</v>
      </c>
      <c r="AB19" s="76">
        <f>股权价值增加表!AB4</f>
        <v>275808462.04000002</v>
      </c>
      <c r="AC19" s="76">
        <f>股权价值增加表!AC4</f>
        <v>598555886.30999994</v>
      </c>
      <c r="AD19" s="76">
        <f>股权价值增加表!AD4</f>
        <v>355895566.29000002</v>
      </c>
      <c r="AE19" s="76">
        <f>股权价值增加表!AE4</f>
        <v>223103383.88</v>
      </c>
      <c r="AF19" s="76">
        <f>股权价值增加表!AF4</f>
        <v>104751988.97</v>
      </c>
      <c r="AG19" s="76">
        <f>股权价值增加表!AG4</f>
        <v>238258165.65000001</v>
      </c>
      <c r="AH19" s="76">
        <f>股权价值增加表!AH4</f>
        <v>173053150.27000001</v>
      </c>
      <c r="AI19" s="76">
        <f>股权价值增加表!AI4</f>
        <v>101973355.54000001</v>
      </c>
      <c r="AJ19" s="76">
        <f>股权价值增加表!AJ4</f>
        <v>45153520.600000001</v>
      </c>
      <c r="AK19" s="76">
        <f>股权价值增加表!AK4</f>
        <v>145731415.40000001</v>
      </c>
      <c r="AL19" s="76">
        <f>股权价值增加表!AL4</f>
        <v>103650975.34999999</v>
      </c>
      <c r="AM19" s="76">
        <f>股权价值增加表!AM4</f>
        <v>59792579.990000002</v>
      </c>
      <c r="AN19" s="76">
        <f>股权价值增加表!AN4</f>
        <v>73607120.709999993</v>
      </c>
      <c r="AO19" s="76">
        <f>股权价值增加表!AO4</f>
        <v>36916305.039999999</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447</v>
      </c>
      <c r="E20" s="76">
        <f>股权价值增加表!E15</f>
        <v>-16757938382.75</v>
      </c>
      <c r="F20" s="76">
        <f>股权价值增加表!F15</f>
        <v>-2618532258.3799996</v>
      </c>
      <c r="G20" s="76">
        <f>股权价值增加表!G15</f>
        <v>-1148393701.2799997</v>
      </c>
      <c r="H20" s="76">
        <f>股权价值增加表!H15</f>
        <v>363972085.55000019</v>
      </c>
      <c r="I20" s="76">
        <f>股权价值增加表!I15</f>
        <v>187292647.74000117</v>
      </c>
      <c r="J20" s="76">
        <f>股权价值增加表!J15</f>
        <v>416321486.47999978</v>
      </c>
      <c r="K20" s="76">
        <f>股权价值增加表!K15</f>
        <v>289430417.09000087</v>
      </c>
      <c r="L20" s="76">
        <f>股权价值增加表!L15</f>
        <v>210229642.16999981</v>
      </c>
      <c r="M20" s="76">
        <f>股权价值增加表!M15</f>
        <v>338209797.12000048</v>
      </c>
      <c r="N20" s="76">
        <f>股权价值增加表!N15</f>
        <v>139373947.47999945</v>
      </c>
      <c r="O20" s="76">
        <f>股权价值增加表!O15</f>
        <v>62658454.760000415</v>
      </c>
      <c r="P20" s="76">
        <f>股权价值增加表!P15</f>
        <v>37761483.829999946</v>
      </c>
      <c r="Q20" s="76">
        <f>股权价值增加表!Q15</f>
        <v>238621545.04000005</v>
      </c>
      <c r="R20" s="76">
        <f>股权价值增加表!R15</f>
        <v>158381133.32999972</v>
      </c>
      <c r="S20" s="76">
        <f>股权价值增加表!S15</f>
        <v>148596143.23999983</v>
      </c>
      <c r="T20" s="76">
        <f>股权价值增加表!T15</f>
        <v>84428199.389999986</v>
      </c>
      <c r="U20" s="76">
        <f>股权价值增加表!U15</f>
        <v>360114541.49000013</v>
      </c>
      <c r="V20" s="76">
        <f>股权价值增加表!V15</f>
        <v>273039667.60000014</v>
      </c>
      <c r="W20" s="76">
        <f>股权价值增加表!W15</f>
        <v>186035486.03000003</v>
      </c>
      <c r="X20" s="76">
        <f>股权价值增加表!X15</f>
        <v>104986016.16</v>
      </c>
      <c r="Y20" s="76">
        <f>股权价值增加表!Y15</f>
        <v>268173574.20000005</v>
      </c>
      <c r="Z20" s="76">
        <f>股权价值增加表!Z15</f>
        <v>177124791.80000004</v>
      </c>
      <c r="AA20" s="76">
        <f>股权价值增加表!AA15</f>
        <v>120247770.29999994</v>
      </c>
      <c r="AB20" s="76">
        <f>股权价值增加表!AB15</f>
        <v>70084496.850000024</v>
      </c>
      <c r="AC20" s="76">
        <f>股权价值增加表!AC15</f>
        <v>165439131.96999997</v>
      </c>
      <c r="AD20" s="76">
        <f>股权价值增加表!AD15</f>
        <v>114827416.30000001</v>
      </c>
      <c r="AE20" s="76">
        <f>股权价值增加表!AE15</f>
        <v>74036574.639999986</v>
      </c>
      <c r="AF20" s="76">
        <f>股权价值增加表!AF15</f>
        <v>35344389.219999991</v>
      </c>
      <c r="AG20" s="76">
        <f>股权价值增加表!AG15</f>
        <v>78526375.020000011</v>
      </c>
      <c r="AH20" s="76">
        <f>股权价值增加表!AH15</f>
        <v>57853805.590000018</v>
      </c>
      <c r="AI20" s="76">
        <f>股权价值增加表!AI15</f>
        <v>34803061.780000009</v>
      </c>
      <c r="AJ20" s="76">
        <f>股权价值增加表!AJ15</f>
        <v>16729157.41</v>
      </c>
      <c r="AK20" s="76">
        <f>股权价值增加表!AK15</f>
        <v>48212127.290000007</v>
      </c>
      <c r="AL20" s="76">
        <f>股权价值增加表!AL15</f>
        <v>33494292.079999998</v>
      </c>
      <c r="AM20" s="76">
        <f>股权价值增加表!AM15</f>
        <v>19683991.180000003</v>
      </c>
      <c r="AN20" s="76">
        <f>股权价值增加表!AN15</f>
        <v>30848690.629999988</v>
      </c>
      <c r="AO20" s="76">
        <f>股权价值增加表!AO15</f>
        <v>14815869.059999999</v>
      </c>
      <c r="AP20" s="76">
        <f>股权价值增加表!AP15</f>
        <v>0</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448</v>
      </c>
      <c r="E21" s="243">
        <f>E20/E19</f>
        <v>-2.3853983784319359</v>
      </c>
      <c r="F21" s="243">
        <f t="shared" ref="F21:BQ21" si="6">F20/F19</f>
        <v>-0.42964496345472253</v>
      </c>
      <c r="G21" s="243">
        <f t="shared" si="6"/>
        <v>-0.20725811479571532</v>
      </c>
      <c r="H21" s="243">
        <f t="shared" si="6"/>
        <v>8.8418540076190405E-2</v>
      </c>
      <c r="I21" s="243">
        <f t="shared" si="6"/>
        <v>8.532324829012547E-3</v>
      </c>
      <c r="J21" s="243">
        <f t="shared" si="6"/>
        <v>2.4819704065346296E-2</v>
      </c>
      <c r="K21" s="243">
        <f t="shared" si="6"/>
        <v>2.8761446401320327E-2</v>
      </c>
      <c r="L21" s="243">
        <f t="shared" si="6"/>
        <v>4.5361762947554854E-2</v>
      </c>
      <c r="M21" s="243">
        <f t="shared" si="6"/>
        <v>2.5982710235871655E-2</v>
      </c>
      <c r="N21" s="243">
        <f t="shared" si="6"/>
        <v>1.6641716340796305E-2</v>
      </c>
      <c r="O21" s="243">
        <f t="shared" si="6"/>
        <v>1.4046735236771095E-2</v>
      </c>
      <c r="P21" s="243">
        <f t="shared" si="6"/>
        <v>1.7699663823970983E-2</v>
      </c>
      <c r="Q21" s="243">
        <f t="shared" si="6"/>
        <v>3.4993942350036063E-2</v>
      </c>
      <c r="R21" s="243">
        <f t="shared" si="6"/>
        <v>3.3377504402516876E-2</v>
      </c>
      <c r="S21" s="243">
        <f t="shared" si="6"/>
        <v>5.0563512160651164E-2</v>
      </c>
      <c r="T21" s="243">
        <f t="shared" si="6"/>
        <v>8.221275411788645E-2</v>
      </c>
      <c r="U21" s="243">
        <f t="shared" si="6"/>
        <v>0.1525104690689309</v>
      </c>
      <c r="V21" s="243">
        <f t="shared" si="6"/>
        <v>0.19998909537767723</v>
      </c>
      <c r="W21" s="243">
        <f t="shared" si="6"/>
        <v>0.24741385899448259</v>
      </c>
      <c r="X21" s="243">
        <f t="shared" si="6"/>
        <v>0.30707865554679808</v>
      </c>
      <c r="Y21" s="243">
        <f t="shared" si="6"/>
        <v>0.22973694194671659</v>
      </c>
      <c r="Z21" s="243">
        <f t="shared" si="6"/>
        <v>0.2137290530947121</v>
      </c>
      <c r="AA21" s="243">
        <f t="shared" si="6"/>
        <v>0.21745596943959072</v>
      </c>
      <c r="AB21" s="243">
        <f t="shared" si="6"/>
        <v>0.25410568019423491</v>
      </c>
      <c r="AC21" s="243">
        <f t="shared" si="6"/>
        <v>0.27639713476030686</v>
      </c>
      <c r="AD21" s="243">
        <f t="shared" si="6"/>
        <v>0.32264357068846811</v>
      </c>
      <c r="AE21" s="243">
        <f t="shared" si="6"/>
        <v>0.3318487301825141</v>
      </c>
      <c r="AF21" s="243">
        <f t="shared" si="6"/>
        <v>0.33741019686148677</v>
      </c>
      <c r="AG21" s="243">
        <f t="shared" si="6"/>
        <v>0.32958524131070011</v>
      </c>
      <c r="AH21" s="243">
        <f t="shared" si="6"/>
        <v>0.33431235143501103</v>
      </c>
      <c r="AI21" s="243">
        <f t="shared" si="6"/>
        <v>0.34129564135357082</v>
      </c>
      <c r="AJ21" s="243">
        <f t="shared" si="6"/>
        <v>0.370495084053313</v>
      </c>
      <c r="AK21" s="243">
        <f t="shared" si="6"/>
        <v>0.33082864911226273</v>
      </c>
      <c r="AL21" s="243">
        <f t="shared" si="6"/>
        <v>0.32314497733281583</v>
      </c>
      <c r="AM21" s="243">
        <f t="shared" si="6"/>
        <v>0.32920457995443664</v>
      </c>
      <c r="AN21" s="243">
        <f t="shared" si="6"/>
        <v>0.41909927100040739</v>
      </c>
      <c r="AO21" s="243">
        <f t="shared" si="6"/>
        <v>0.40133672760441569</v>
      </c>
      <c r="AP21" s="243" t="e">
        <f t="shared" si="6"/>
        <v>#DIV/0!</v>
      </c>
      <c r="AQ21" s="243" t="e">
        <f t="shared" si="6"/>
        <v>#DIV/0!</v>
      </c>
      <c r="AR21" s="243" t="e">
        <f t="shared" si="6"/>
        <v>#DIV/0!</v>
      </c>
      <c r="AS21" s="243" t="e">
        <f t="shared" si="6"/>
        <v>#DIV/0!</v>
      </c>
      <c r="AT21" s="243" t="e">
        <f t="shared" si="6"/>
        <v>#DIV/0!</v>
      </c>
      <c r="AU21" s="243" t="e">
        <f t="shared" si="6"/>
        <v>#DIV/0!</v>
      </c>
      <c r="AV21" s="243" t="e">
        <f t="shared" si="6"/>
        <v>#DIV/0!</v>
      </c>
      <c r="AW21" s="243" t="e">
        <f t="shared" si="6"/>
        <v>#DIV/0!</v>
      </c>
      <c r="AX21" s="243" t="e">
        <f t="shared" si="6"/>
        <v>#DIV/0!</v>
      </c>
      <c r="AY21" s="243" t="e">
        <f t="shared" si="6"/>
        <v>#DIV/0!</v>
      </c>
      <c r="AZ21" s="243" t="e">
        <f t="shared" si="6"/>
        <v>#DIV/0!</v>
      </c>
      <c r="BA21" s="243" t="e">
        <f t="shared" si="6"/>
        <v>#DIV/0!</v>
      </c>
      <c r="BB21" s="243" t="e">
        <f t="shared" si="6"/>
        <v>#DIV/0!</v>
      </c>
      <c r="BC21" s="243" t="e">
        <f t="shared" si="6"/>
        <v>#DIV/0!</v>
      </c>
      <c r="BD21" s="243" t="e">
        <f t="shared" si="6"/>
        <v>#DIV/0!</v>
      </c>
      <c r="BE21" s="243" t="e">
        <f t="shared" si="6"/>
        <v>#DIV/0!</v>
      </c>
      <c r="BF21" s="243" t="e">
        <f t="shared" si="6"/>
        <v>#DIV/0!</v>
      </c>
      <c r="BG21" s="243" t="e">
        <f t="shared" si="6"/>
        <v>#DIV/0!</v>
      </c>
      <c r="BH21" s="243" t="e">
        <f t="shared" si="6"/>
        <v>#DIV/0!</v>
      </c>
      <c r="BI21" s="243" t="e">
        <f t="shared" si="6"/>
        <v>#DIV/0!</v>
      </c>
      <c r="BJ21" s="243" t="e">
        <f t="shared" si="6"/>
        <v>#DIV/0!</v>
      </c>
      <c r="BK21" s="243" t="e">
        <f t="shared" si="6"/>
        <v>#DIV/0!</v>
      </c>
      <c r="BL21" s="243" t="e">
        <f t="shared" si="6"/>
        <v>#DIV/0!</v>
      </c>
      <c r="BM21" s="243" t="e">
        <f t="shared" si="6"/>
        <v>#DIV/0!</v>
      </c>
      <c r="BN21" s="243" t="e">
        <f t="shared" si="6"/>
        <v>#DIV/0!</v>
      </c>
      <c r="BO21" s="243" t="e">
        <f t="shared" si="6"/>
        <v>#DIV/0!</v>
      </c>
      <c r="BP21" s="243" t="e">
        <f t="shared" si="6"/>
        <v>#DIV/0!</v>
      </c>
      <c r="BQ21" s="243" t="e">
        <f t="shared" si="6"/>
        <v>#DIV/0!</v>
      </c>
      <c r="BR21" s="243" t="e">
        <f t="shared" ref="BR21:CK21" si="7">BR20/BR19</f>
        <v>#DIV/0!</v>
      </c>
      <c r="BS21" s="243" t="e">
        <f t="shared" si="7"/>
        <v>#DIV/0!</v>
      </c>
      <c r="BT21" s="243" t="e">
        <f t="shared" si="7"/>
        <v>#DIV/0!</v>
      </c>
      <c r="BU21" s="243" t="e">
        <f t="shared" si="7"/>
        <v>#DIV/0!</v>
      </c>
      <c r="BV21" s="243" t="e">
        <f t="shared" si="7"/>
        <v>#DIV/0!</v>
      </c>
      <c r="BW21" s="243" t="e">
        <f t="shared" si="7"/>
        <v>#DIV/0!</v>
      </c>
      <c r="BX21" s="243" t="e">
        <f t="shared" si="7"/>
        <v>#DIV/0!</v>
      </c>
      <c r="BY21" s="243" t="e">
        <f t="shared" si="7"/>
        <v>#DIV/0!</v>
      </c>
      <c r="BZ21" s="243" t="e">
        <f t="shared" si="7"/>
        <v>#DIV/0!</v>
      </c>
      <c r="CA21" s="243" t="e">
        <f t="shared" si="7"/>
        <v>#DIV/0!</v>
      </c>
      <c r="CB21" s="243" t="e">
        <f t="shared" si="7"/>
        <v>#DIV/0!</v>
      </c>
      <c r="CC21" s="243" t="e">
        <f t="shared" si="7"/>
        <v>#DIV/0!</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684</v>
      </c>
      <c r="E22" s="26">
        <f>资产资本表!E69</f>
        <v>3815939258.8999996</v>
      </c>
      <c r="F22" s="192">
        <f>资产资本表!F69</f>
        <v>17954585533.389999</v>
      </c>
      <c r="G22" s="192">
        <f>资产资本表!G69</f>
        <v>20365665240.82</v>
      </c>
      <c r="H22" s="192">
        <f>资产资本表!H69</f>
        <v>17862645994.290001</v>
      </c>
      <c r="I22" s="192">
        <f>资产资本表!I69</f>
        <v>16864970727.09</v>
      </c>
      <c r="J22" s="192">
        <f>资产资本表!J69</f>
        <v>12263919972.539997</v>
      </c>
      <c r="K22" s="192">
        <f>资产资本表!K69</f>
        <v>9487695483.8100014</v>
      </c>
      <c r="L22" s="192">
        <f>资产资本表!L69</f>
        <v>9639493459.8899994</v>
      </c>
      <c r="M22" s="192">
        <f>资产资本表!M69</f>
        <v>8509856244.3199997</v>
      </c>
      <c r="N22" s="192">
        <f>资产资本表!N69</f>
        <v>7533229772.6100006</v>
      </c>
      <c r="O22" s="192">
        <f>资产资本表!O69</f>
        <v>7227619984.4300013</v>
      </c>
      <c r="P22" s="192">
        <f>资产资本表!P69</f>
        <v>6752981796.3400011</v>
      </c>
      <c r="Q22" s="192">
        <f>资产资本表!Q69</f>
        <v>5736532881.7800007</v>
      </c>
      <c r="R22" s="192">
        <f>资产资本表!R69</f>
        <v>4662192067.6200008</v>
      </c>
      <c r="S22" s="192">
        <f>资产资本表!S69</f>
        <v>4001299389.9800005</v>
      </c>
      <c r="T22" s="192">
        <f>资产资本表!T69</f>
        <v>3132940060.3299999</v>
      </c>
      <c r="U22" s="192">
        <f>资产资本表!U69</f>
        <v>3164187642.2500005</v>
      </c>
      <c r="V22" s="192">
        <f>资产资本表!V69</f>
        <v>2770869624.1000004</v>
      </c>
      <c r="W22" s="192">
        <f>资产资本表!W69</f>
        <v>2811184504.9800005</v>
      </c>
      <c r="X22" s="192">
        <f>资产资本表!X69</f>
        <v>2370766261.0400004</v>
      </c>
      <c r="Y22" s="192">
        <f>资产资本表!Y69</f>
        <v>2231191465.4899998</v>
      </c>
      <c r="Z22" s="192">
        <f>资产资本表!Z69</f>
        <v>1973275784.3500001</v>
      </c>
      <c r="AA22" s="192">
        <f>资产资本表!AA69</f>
        <v>1654053702.5400004</v>
      </c>
      <c r="AB22" s="192">
        <f>资产资本表!AB69</f>
        <v>1432788552.4500003</v>
      </c>
      <c r="AC22" s="192">
        <f>资产资本表!AC69</f>
        <v>1308708267.03</v>
      </c>
      <c r="AD22" s="192">
        <f>资产资本表!AD69</f>
        <v>1157976033.55</v>
      </c>
      <c r="AE22" s="192">
        <f>资产资本表!AE69</f>
        <v>867223905.6099999</v>
      </c>
      <c r="AF22" s="192">
        <f>资产资本表!AF69</f>
        <v>663070400</v>
      </c>
      <c r="AG22" s="192">
        <f>资产资本表!AG69</f>
        <v>465309008.84000003</v>
      </c>
      <c r="AH22" s="192">
        <f>资产资本表!AH69</f>
        <v>379324852.56000006</v>
      </c>
      <c r="AI22" s="192">
        <f>资产资本表!AI69</f>
        <v>293185994.13999999</v>
      </c>
      <c r="AJ22" s="192">
        <f>资产资本表!AJ69</f>
        <v>193444565.37</v>
      </c>
      <c r="AK22" s="192">
        <f>资产资本表!AK69</f>
        <v>103605518.52</v>
      </c>
      <c r="AL22" s="192">
        <f>资产资本表!AL69</f>
        <v>57959422.039999992</v>
      </c>
      <c r="AM22" s="192">
        <f>资产资本表!AM69</f>
        <v>0</v>
      </c>
      <c r="AN22" s="192">
        <f>资产资本表!AN69</f>
        <v>0</v>
      </c>
      <c r="AO22" s="192">
        <f>资产资本表!AO69</f>
        <v>0</v>
      </c>
      <c r="AP22" s="192">
        <f>资产资本表!AP69</f>
        <v>0</v>
      </c>
      <c r="AQ22" s="192">
        <f>资产资本表!AQ69</f>
        <v>0</v>
      </c>
      <c r="AR22" s="192">
        <f>资产资本表!AR69</f>
        <v>0</v>
      </c>
      <c r="AS22" s="192">
        <f>资产资本表!AS69</f>
        <v>0</v>
      </c>
      <c r="AT22" s="192">
        <f>资产资本表!AT69</f>
        <v>0</v>
      </c>
      <c r="AU22" s="192">
        <f>资产资本表!AU69</f>
        <v>0</v>
      </c>
      <c r="AV22" s="192">
        <f>资产资本表!AV69</f>
        <v>0</v>
      </c>
      <c r="AW22" s="192">
        <f>资产资本表!AW69</f>
        <v>0</v>
      </c>
      <c r="AX22" s="192">
        <f>资产资本表!AX69</f>
        <v>0</v>
      </c>
      <c r="AY22" s="192">
        <f>资产资本表!AY69</f>
        <v>0</v>
      </c>
      <c r="AZ22" s="192">
        <f>资产资本表!AZ69</f>
        <v>0</v>
      </c>
      <c r="BA22" s="192">
        <f>资产资本表!BA69</f>
        <v>0</v>
      </c>
      <c r="BB22" s="192">
        <f>资产资本表!BB69</f>
        <v>0</v>
      </c>
      <c r="BC22" s="192">
        <f>资产资本表!BC69</f>
        <v>0</v>
      </c>
      <c r="BD22" s="192">
        <f>资产资本表!BD69</f>
        <v>0</v>
      </c>
      <c r="BE22" s="192">
        <f>资产资本表!BE69</f>
        <v>0</v>
      </c>
      <c r="BF22" s="192">
        <f>资产资本表!BF69</f>
        <v>0</v>
      </c>
      <c r="BG22" s="192">
        <f>资产资本表!BG69</f>
        <v>0</v>
      </c>
      <c r="BH22" s="192">
        <f>资产资本表!BH69</f>
        <v>0</v>
      </c>
      <c r="BI22" s="192">
        <f>资产资本表!BI69</f>
        <v>0</v>
      </c>
      <c r="BJ22" s="192">
        <f>资产资本表!BJ69</f>
        <v>0</v>
      </c>
      <c r="BK22" s="192">
        <f>资产资本表!BK69</f>
        <v>0</v>
      </c>
      <c r="BL22" s="192">
        <f>资产资本表!BL69</f>
        <v>0</v>
      </c>
      <c r="BM22" s="192">
        <f>资产资本表!BM69</f>
        <v>0</v>
      </c>
      <c r="BN22" s="192">
        <f>资产资本表!BN69</f>
        <v>0</v>
      </c>
      <c r="BO22" s="192">
        <f>资产资本表!BO69</f>
        <v>0</v>
      </c>
      <c r="BP22" s="192">
        <f>资产资本表!BP69</f>
        <v>0</v>
      </c>
      <c r="BQ22" s="192">
        <f>资产资本表!BQ69</f>
        <v>0</v>
      </c>
      <c r="BR22" s="192">
        <f>资产资本表!BR69</f>
        <v>0</v>
      </c>
      <c r="BS22" s="192">
        <f>资产资本表!BS69</f>
        <v>0</v>
      </c>
      <c r="BT22" s="192">
        <f>资产资本表!BT69</f>
        <v>0</v>
      </c>
      <c r="BU22" s="192">
        <f>资产资本表!BU69</f>
        <v>0</v>
      </c>
      <c r="BV22" s="192">
        <f>资产资本表!BV69</f>
        <v>0</v>
      </c>
      <c r="BW22" s="192">
        <f>资产资本表!BW69</f>
        <v>0</v>
      </c>
      <c r="BX22" s="192">
        <f>资产资本表!BX69</f>
        <v>0</v>
      </c>
      <c r="BY22" s="192">
        <f>资产资本表!BY69</f>
        <v>0</v>
      </c>
      <c r="BZ22" s="192">
        <f>资产资本表!BZ69</f>
        <v>0</v>
      </c>
      <c r="CA22" s="192">
        <f>资产资本表!CA69</f>
        <v>0</v>
      </c>
      <c r="CB22" s="192">
        <f>资产资本表!CB69</f>
        <v>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685</v>
      </c>
      <c r="E23" s="245">
        <f>E19/E22</f>
        <v>1.8410187703682479</v>
      </c>
      <c r="F23" s="245">
        <f t="shared" ref="F23:BQ23" si="8">F19/F22</f>
        <v>0.33944765992708903</v>
      </c>
      <c r="G23" s="245">
        <f t="shared" si="8"/>
        <v>0.27207000053865671</v>
      </c>
      <c r="H23" s="245">
        <f t="shared" si="8"/>
        <v>0.23045118520491736</v>
      </c>
      <c r="I23" s="245">
        <f t="shared" si="8"/>
        <v>1.301570679586799</v>
      </c>
      <c r="J23" s="245">
        <f t="shared" si="8"/>
        <v>1.3677380175431746</v>
      </c>
      <c r="K23" s="245">
        <f t="shared" si="8"/>
        <v>1.0606515001226533</v>
      </c>
      <c r="L23" s="245">
        <f t="shared" si="8"/>
        <v>0.48078378635601943</v>
      </c>
      <c r="M23" s="245">
        <f t="shared" si="8"/>
        <v>1.5296057595342063</v>
      </c>
      <c r="N23" s="245">
        <f t="shared" si="8"/>
        <v>1.1117375417912367</v>
      </c>
      <c r="O23" s="245">
        <f t="shared" si="8"/>
        <v>0.6171759209351666</v>
      </c>
      <c r="P23" s="245">
        <f t="shared" si="8"/>
        <v>0.31592824483049797</v>
      </c>
      <c r="Q23" s="245">
        <f t="shared" si="8"/>
        <v>1.1886864004628763</v>
      </c>
      <c r="R23" s="245">
        <f t="shared" si="8"/>
        <v>1.0177929149715075</v>
      </c>
      <c r="S23" s="245">
        <f t="shared" si="8"/>
        <v>0.73446187518967154</v>
      </c>
      <c r="T23" s="245">
        <f t="shared" si="8"/>
        <v>0.3277904102805686</v>
      </c>
      <c r="U23" s="245">
        <f t="shared" si="8"/>
        <v>0.74624042497712262</v>
      </c>
      <c r="V23" s="245">
        <f t="shared" si="8"/>
        <v>0.49272357134574712</v>
      </c>
      <c r="W23" s="245">
        <f t="shared" si="8"/>
        <v>0.26747452177470982</v>
      </c>
      <c r="X23" s="245">
        <f t="shared" si="8"/>
        <v>0.14420923983034173</v>
      </c>
      <c r="Y23" s="245">
        <f t="shared" si="8"/>
        <v>0.52317659186798815</v>
      </c>
      <c r="Z23" s="245">
        <f t="shared" si="8"/>
        <v>0.41997941546877421</v>
      </c>
      <c r="AA23" s="245">
        <f t="shared" si="8"/>
        <v>0.33431517660571675</v>
      </c>
      <c r="AB23" s="245">
        <f t="shared" si="8"/>
        <v>0.19249767285506342</v>
      </c>
      <c r="AC23" s="245">
        <f t="shared" si="8"/>
        <v>0.45736387657149186</v>
      </c>
      <c r="AD23" s="245">
        <f t="shared" si="8"/>
        <v>0.30734277392506404</v>
      </c>
      <c r="AE23" s="245">
        <f t="shared" si="8"/>
        <v>0.25726157043960923</v>
      </c>
      <c r="AF23" s="245">
        <f t="shared" si="8"/>
        <v>0.15798019180165485</v>
      </c>
      <c r="AG23" s="245">
        <f t="shared" si="8"/>
        <v>0.51204288144768517</v>
      </c>
      <c r="AH23" s="245">
        <f t="shared" si="8"/>
        <v>0.45621358342880308</v>
      </c>
      <c r="AI23" s="245">
        <f t="shared" si="8"/>
        <v>0.34781114234026628</v>
      </c>
      <c r="AJ23" s="245">
        <f t="shared" si="8"/>
        <v>0.23341839825603367</v>
      </c>
      <c r="AK23" s="245">
        <f t="shared" si="8"/>
        <v>1.4065989677168407</v>
      </c>
      <c r="AL23" s="245">
        <f t="shared" si="8"/>
        <v>1.788336938185245</v>
      </c>
      <c r="AM23" s="245" t="e">
        <f t="shared" si="8"/>
        <v>#DIV/0!</v>
      </c>
      <c r="AN23" s="245" t="e">
        <f t="shared" si="8"/>
        <v>#DIV/0!</v>
      </c>
      <c r="AO23" s="245" t="e">
        <f t="shared" si="8"/>
        <v>#DIV/0!</v>
      </c>
      <c r="AP23" s="245" t="e">
        <f t="shared" si="8"/>
        <v>#DIV/0!</v>
      </c>
      <c r="AQ23" s="245" t="e">
        <f t="shared" si="8"/>
        <v>#DIV/0!</v>
      </c>
      <c r="AR23" s="245" t="e">
        <f t="shared" si="8"/>
        <v>#DIV/0!</v>
      </c>
      <c r="AS23" s="245" t="e">
        <f t="shared" si="8"/>
        <v>#DIV/0!</v>
      </c>
      <c r="AT23" s="245" t="e">
        <f t="shared" si="8"/>
        <v>#DIV/0!</v>
      </c>
      <c r="AU23" s="245" t="e">
        <f t="shared" si="8"/>
        <v>#DIV/0!</v>
      </c>
      <c r="AV23" s="245" t="e">
        <f t="shared" si="8"/>
        <v>#DIV/0!</v>
      </c>
      <c r="AW23" s="245" t="e">
        <f t="shared" si="8"/>
        <v>#DIV/0!</v>
      </c>
      <c r="AX23" s="245" t="e">
        <f t="shared" si="8"/>
        <v>#DIV/0!</v>
      </c>
      <c r="AY23" s="245" t="e">
        <f t="shared" si="8"/>
        <v>#DIV/0!</v>
      </c>
      <c r="AZ23" s="245" t="e">
        <f t="shared" si="8"/>
        <v>#DIV/0!</v>
      </c>
      <c r="BA23" s="245" t="e">
        <f t="shared" si="8"/>
        <v>#DIV/0!</v>
      </c>
      <c r="BB23" s="245" t="e">
        <f t="shared" si="8"/>
        <v>#DIV/0!</v>
      </c>
      <c r="BC23" s="245" t="e">
        <f t="shared" si="8"/>
        <v>#DIV/0!</v>
      </c>
      <c r="BD23" s="245" t="e">
        <f t="shared" si="8"/>
        <v>#DIV/0!</v>
      </c>
      <c r="BE23" s="245" t="e">
        <f t="shared" si="8"/>
        <v>#DIV/0!</v>
      </c>
      <c r="BF23" s="245" t="e">
        <f t="shared" si="8"/>
        <v>#DIV/0!</v>
      </c>
      <c r="BG23" s="245" t="e">
        <f t="shared" si="8"/>
        <v>#DIV/0!</v>
      </c>
      <c r="BH23" s="245" t="e">
        <f t="shared" si="8"/>
        <v>#DIV/0!</v>
      </c>
      <c r="BI23" s="245" t="e">
        <f t="shared" si="8"/>
        <v>#DIV/0!</v>
      </c>
      <c r="BJ23" s="245" t="e">
        <f t="shared" si="8"/>
        <v>#DIV/0!</v>
      </c>
      <c r="BK23" s="245" t="e">
        <f t="shared" si="8"/>
        <v>#DIV/0!</v>
      </c>
      <c r="BL23" s="245" t="e">
        <f t="shared" si="8"/>
        <v>#DIV/0!</v>
      </c>
      <c r="BM23" s="245" t="e">
        <f t="shared" si="8"/>
        <v>#DIV/0!</v>
      </c>
      <c r="BN23" s="245" t="e">
        <f t="shared" si="8"/>
        <v>#DIV/0!</v>
      </c>
      <c r="BO23" s="245" t="e">
        <f t="shared" si="8"/>
        <v>#DIV/0!</v>
      </c>
      <c r="BP23" s="245" t="e">
        <f t="shared" si="8"/>
        <v>#DIV/0!</v>
      </c>
      <c r="BQ23" s="245" t="e">
        <f t="shared" si="8"/>
        <v>#DIV/0!</v>
      </c>
      <c r="BR23" s="245" t="e">
        <f t="shared" ref="BR23:CK23" si="9">BR19/BR22</f>
        <v>#DIV/0!</v>
      </c>
      <c r="BS23" s="245" t="e">
        <f t="shared" si="9"/>
        <v>#DIV/0!</v>
      </c>
      <c r="BT23" s="245" t="e">
        <f t="shared" si="9"/>
        <v>#DIV/0!</v>
      </c>
      <c r="BU23" s="245" t="e">
        <f t="shared" si="9"/>
        <v>#DIV/0!</v>
      </c>
      <c r="BV23" s="245" t="e">
        <f t="shared" si="9"/>
        <v>#DIV/0!</v>
      </c>
      <c r="BW23" s="245" t="e">
        <f t="shared" si="9"/>
        <v>#DIV/0!</v>
      </c>
      <c r="BX23" s="245" t="e">
        <f t="shared" si="9"/>
        <v>#DIV/0!</v>
      </c>
      <c r="BY23" s="245" t="e">
        <f t="shared" si="9"/>
        <v>#DIV/0!</v>
      </c>
      <c r="BZ23" s="245" t="e">
        <f t="shared" si="9"/>
        <v>#DIV/0!</v>
      </c>
      <c r="CA23" s="245" t="e">
        <f t="shared" si="9"/>
        <v>#DIV/0!</v>
      </c>
      <c r="CB23" s="245" t="e">
        <f t="shared" si="9"/>
        <v>#DIV/0!</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692</v>
      </c>
      <c r="E24" s="160">
        <f>E21*E23</f>
        <v>-4.3915631894991751</v>
      </c>
      <c r="F24" s="160">
        <f t="shared" ref="F24:BQ24" si="10">F21*F23</f>
        <v>-0.14584197744416524</v>
      </c>
      <c r="G24" s="160">
        <f t="shared" si="10"/>
        <v>-5.6388715404111243E-2</v>
      </c>
      <c r="H24" s="160">
        <f t="shared" si="10"/>
        <v>2.0376157354646564E-2</v>
      </c>
      <c r="I24" s="160">
        <f t="shared" si="10"/>
        <v>1.1105423826153179E-2</v>
      </c>
      <c r="J24" s="160">
        <f t="shared" si="10"/>
        <v>3.3946852834345016E-2</v>
      </c>
      <c r="K24" s="160">
        <f t="shared" si="10"/>
        <v>3.0505871271257694E-2</v>
      </c>
      <c r="L24" s="160">
        <f t="shared" si="10"/>
        <v>2.1809200145709612E-2</v>
      </c>
      <c r="M24" s="160">
        <f t="shared" si="10"/>
        <v>3.9743303225097656E-2</v>
      </c>
      <c r="N24" s="160">
        <f t="shared" si="10"/>
        <v>1.850122081590394E-2</v>
      </c>
      <c r="O24" s="160">
        <f t="shared" si="10"/>
        <v>8.669306755886657E-3</v>
      </c>
      <c r="P24" s="160">
        <f t="shared" si="10"/>
        <v>5.5918237259970126E-3</v>
      </c>
      <c r="Q24" s="160">
        <f t="shared" si="10"/>
        <v>4.1596823370069771E-2</v>
      </c>
      <c r="R24" s="160">
        <f t="shared" si="10"/>
        <v>3.3971387500311978E-2</v>
      </c>
      <c r="S24" s="160">
        <f t="shared" si="10"/>
        <v>3.7136971957687614E-2</v>
      </c>
      <c r="T24" s="160">
        <f t="shared" si="10"/>
        <v>2.6948552402597505E-2</v>
      </c>
      <c r="U24" s="160">
        <f t="shared" si="10"/>
        <v>0.1138094772514593</v>
      </c>
      <c r="V24" s="160">
        <f t="shared" si="10"/>
        <v>9.8539341304694369E-2</v>
      </c>
      <c r="W24" s="160">
        <f t="shared" si="10"/>
        <v>6.6176903614984725E-2</v>
      </c>
      <c r="X24" s="160">
        <f t="shared" si="10"/>
        <v>4.4283579484527102E-2</v>
      </c>
      <c r="Y24" s="160">
        <f t="shared" si="10"/>
        <v>0.12019299031385704</v>
      </c>
      <c r="Z24" s="160">
        <f t="shared" si="10"/>
        <v>8.976180278741179E-2</v>
      </c>
      <c r="AA24" s="160">
        <f t="shared" si="10"/>
        <v>7.2698830827164121E-2</v>
      </c>
      <c r="AB24" s="160">
        <f t="shared" si="10"/>
        <v>4.8914752096643199E-2</v>
      </c>
      <c r="AC24" s="160">
        <f t="shared" si="10"/>
        <v>0.12641406502722699</v>
      </c>
      <c r="AD24" s="160">
        <f t="shared" si="10"/>
        <v>9.916217000448127E-2</v>
      </c>
      <c r="AE24" s="160">
        <f t="shared" si="10"/>
        <v>8.5371925475143731E-2</v>
      </c>
      <c r="AF24" s="160">
        <f t="shared" si="10"/>
        <v>5.3304127616011797E-2</v>
      </c>
      <c r="AG24" s="160">
        <f t="shared" si="10"/>
        <v>0.16876177664336153</v>
      </c>
      <c r="AH24" s="160">
        <f t="shared" si="10"/>
        <v>0.15251783583267575</v>
      </c>
      <c r="AI24" s="160">
        <f t="shared" si="10"/>
        <v>0.11870642689493929</v>
      </c>
      <c r="AJ24" s="160">
        <f t="shared" si="10"/>
        <v>8.6480369081458883E-2</v>
      </c>
      <c r="AK24" s="160">
        <f t="shared" si="10"/>
        <v>0.46534323633246566</v>
      </c>
      <c r="AL24" s="160">
        <f t="shared" si="10"/>
        <v>0.57789209935330821</v>
      </c>
      <c r="AM24" s="160" t="e">
        <f t="shared" si="10"/>
        <v>#DIV/0!</v>
      </c>
      <c r="AN24" s="160" t="e">
        <f t="shared" si="10"/>
        <v>#DIV/0!</v>
      </c>
      <c r="AO24" s="160" t="e">
        <f t="shared" si="10"/>
        <v>#DIV/0!</v>
      </c>
      <c r="AP24" s="160" t="e">
        <f t="shared" si="10"/>
        <v>#DIV/0!</v>
      </c>
      <c r="AQ24" s="160" t="e">
        <f t="shared" si="10"/>
        <v>#DIV/0!</v>
      </c>
      <c r="AR24" s="160" t="e">
        <f t="shared" si="10"/>
        <v>#DIV/0!</v>
      </c>
      <c r="AS24" s="160" t="e">
        <f t="shared" si="10"/>
        <v>#DIV/0!</v>
      </c>
      <c r="AT24" s="160" t="e">
        <f t="shared" si="10"/>
        <v>#DIV/0!</v>
      </c>
      <c r="AU24" s="160" t="e">
        <f t="shared" si="10"/>
        <v>#DIV/0!</v>
      </c>
      <c r="AV24" s="160" t="e">
        <f t="shared" si="10"/>
        <v>#DIV/0!</v>
      </c>
      <c r="AW24" s="160" t="e">
        <f t="shared" si="10"/>
        <v>#DIV/0!</v>
      </c>
      <c r="AX24" s="160" t="e">
        <f t="shared" si="10"/>
        <v>#DIV/0!</v>
      </c>
      <c r="AY24" s="160" t="e">
        <f t="shared" si="10"/>
        <v>#DIV/0!</v>
      </c>
      <c r="AZ24" s="160" t="e">
        <f t="shared" si="10"/>
        <v>#DIV/0!</v>
      </c>
      <c r="BA24" s="160" t="e">
        <f t="shared" si="10"/>
        <v>#DIV/0!</v>
      </c>
      <c r="BB24" s="160" t="e">
        <f t="shared" si="10"/>
        <v>#DIV/0!</v>
      </c>
      <c r="BC24" s="160" t="e">
        <f t="shared" si="10"/>
        <v>#DIV/0!</v>
      </c>
      <c r="BD24" s="160" t="e">
        <f t="shared" si="10"/>
        <v>#DIV/0!</v>
      </c>
      <c r="BE24" s="160" t="e">
        <f t="shared" si="10"/>
        <v>#DIV/0!</v>
      </c>
      <c r="BF24" s="160" t="e">
        <f t="shared" si="10"/>
        <v>#DIV/0!</v>
      </c>
      <c r="BG24" s="160" t="e">
        <f t="shared" si="10"/>
        <v>#DIV/0!</v>
      </c>
      <c r="BH24" s="160" t="e">
        <f t="shared" si="10"/>
        <v>#DIV/0!</v>
      </c>
      <c r="BI24" s="160" t="e">
        <f t="shared" si="10"/>
        <v>#DIV/0!</v>
      </c>
      <c r="BJ24" s="160" t="e">
        <f t="shared" si="10"/>
        <v>#DIV/0!</v>
      </c>
      <c r="BK24" s="160" t="e">
        <f t="shared" si="10"/>
        <v>#DIV/0!</v>
      </c>
      <c r="BL24" s="160" t="e">
        <f t="shared" si="10"/>
        <v>#DIV/0!</v>
      </c>
      <c r="BM24" s="160" t="e">
        <f t="shared" si="10"/>
        <v>#DIV/0!</v>
      </c>
      <c r="BN24" s="160" t="e">
        <f t="shared" si="10"/>
        <v>#DIV/0!</v>
      </c>
      <c r="BO24" s="160" t="e">
        <f t="shared" si="10"/>
        <v>#DIV/0!</v>
      </c>
      <c r="BP24" s="160" t="e">
        <f t="shared" si="10"/>
        <v>#DIV/0!</v>
      </c>
      <c r="BQ24" s="160" t="e">
        <f t="shared" si="10"/>
        <v>#DIV/0!</v>
      </c>
      <c r="BR24" s="160" t="e">
        <f t="shared" ref="BR24:CK24" si="11">BR21*BR23</f>
        <v>#DIV/0!</v>
      </c>
      <c r="BS24" s="160" t="e">
        <f t="shared" si="11"/>
        <v>#DIV/0!</v>
      </c>
      <c r="BT24" s="160" t="e">
        <f t="shared" si="11"/>
        <v>#DIV/0!</v>
      </c>
      <c r="BU24" s="160" t="e">
        <f t="shared" si="11"/>
        <v>#DIV/0!</v>
      </c>
      <c r="BV24" s="160" t="e">
        <f t="shared" si="11"/>
        <v>#DIV/0!</v>
      </c>
      <c r="BW24" s="160" t="e">
        <f t="shared" si="11"/>
        <v>#DIV/0!</v>
      </c>
      <c r="BX24" s="160" t="e">
        <f t="shared" si="11"/>
        <v>#DIV/0!</v>
      </c>
      <c r="BY24" s="160" t="e">
        <f t="shared" si="11"/>
        <v>#DIV/0!</v>
      </c>
      <c r="BZ24" s="160" t="e">
        <f t="shared" si="11"/>
        <v>#DIV/0!</v>
      </c>
      <c r="CA24" s="160" t="e">
        <f t="shared" si="11"/>
        <v>#DIV/0!</v>
      </c>
      <c r="CB24" s="160" t="e">
        <f t="shared" si="11"/>
        <v>#DIV/0!</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39813</v>
      </c>
      <c r="AO25" s="1">
        <v>39447</v>
      </c>
      <c r="AP25" s="1">
        <v>25569</v>
      </c>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6" t="s">
        <v>442</v>
      </c>
      <c r="E26" s="76">
        <f>利润表!E14</f>
        <v>135941516.66999999</v>
      </c>
      <c r="F26" s="76">
        <f>利润表!F14</f>
        <v>86100130.670000002</v>
      </c>
      <c r="G26" s="76">
        <f>利润表!G14</f>
        <v>26343565.530000001</v>
      </c>
      <c r="H26" s="76">
        <f>利润表!H14</f>
        <v>14093627.93</v>
      </c>
      <c r="I26" s="76">
        <f>利润表!I14</f>
        <v>35828908.5</v>
      </c>
      <c r="J26" s="76">
        <f>利润表!J14</f>
        <v>26124141.59</v>
      </c>
      <c r="K26" s="76">
        <f>利润表!K14</f>
        <v>15074133.289999999</v>
      </c>
      <c r="L26" s="76">
        <f>利润表!L14</f>
        <v>-20.79</v>
      </c>
      <c r="M26" s="76">
        <f>利润表!M14</f>
        <v>45254.04</v>
      </c>
      <c r="N26" s="76">
        <f>利润表!N14</f>
        <v>0</v>
      </c>
      <c r="O26" s="76">
        <f>利润表!O14</f>
        <v>0</v>
      </c>
      <c r="P26" s="76">
        <f>利润表!P14</f>
        <v>0</v>
      </c>
      <c r="Q26" s="76">
        <f>利润表!Q14</f>
        <v>-318733.87</v>
      </c>
      <c r="R26" s="76">
        <f>利润表!R14</f>
        <v>-80695.41</v>
      </c>
      <c r="S26" s="76">
        <f>利润表!S14</f>
        <v>-80695.41</v>
      </c>
      <c r="T26" s="76">
        <f>利润表!T14</f>
        <v>-29100.32</v>
      </c>
      <c r="U26" s="76">
        <f>利润表!U14</f>
        <v>-90791.38</v>
      </c>
      <c r="V26" s="76">
        <f>利润表!V14</f>
        <v>-671136.43</v>
      </c>
      <c r="W26" s="76">
        <f>利润表!W14</f>
        <v>-671136.43</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443</v>
      </c>
      <c r="E27" s="76">
        <f>资产资本表!E19</f>
        <v>2089964469.5799999</v>
      </c>
      <c r="F27" s="76">
        <f>资产资本表!F19</f>
        <v>2054173290.46</v>
      </c>
      <c r="G27" s="76">
        <f>资产资本表!G19</f>
        <v>2048530442.8599999</v>
      </c>
      <c r="H27" s="76">
        <f>资产资本表!H19</f>
        <v>2073200290.8199999</v>
      </c>
      <c r="I27" s="76">
        <f>资产资本表!I19</f>
        <v>2070302115.5899999</v>
      </c>
      <c r="J27" s="76">
        <f>资产资本表!J19</f>
        <v>1984954891.5</v>
      </c>
      <c r="K27" s="76">
        <f>资产资本表!K19</f>
        <v>1963104979.0799999</v>
      </c>
      <c r="L27" s="76">
        <f>资产资本表!L19</f>
        <v>14045233.25</v>
      </c>
      <c r="M27" s="76">
        <f>资产资本表!M19</f>
        <v>10045254.039999999</v>
      </c>
      <c r="N27" s="76">
        <f>资产资本表!N19</f>
        <v>0</v>
      </c>
      <c r="O27" s="76">
        <f>资产资本表!O19</f>
        <v>0</v>
      </c>
      <c r="P27" s="76">
        <f>资产资本表!P19</f>
        <v>0</v>
      </c>
      <c r="Q27" s="76">
        <f>资产资本表!Q19</f>
        <v>0</v>
      </c>
      <c r="R27" s="76">
        <f>资产资本表!R19</f>
        <v>20000000</v>
      </c>
      <c r="S27" s="76">
        <f>资产资本表!S19</f>
        <v>20000000</v>
      </c>
      <c r="T27" s="76">
        <f>资产资本表!T19</f>
        <v>20289633.550000001</v>
      </c>
      <c r="U27" s="76">
        <f>资产资本表!U19</f>
        <v>20318733.870000001</v>
      </c>
      <c r="V27" s="76">
        <f>资产资本表!V19</f>
        <v>20328863.57</v>
      </c>
      <c r="W27" s="76">
        <f>资产资本表!W19</f>
        <v>20328863.57</v>
      </c>
      <c r="X27" s="76">
        <f>资产资本表!X19</f>
        <v>20000000</v>
      </c>
      <c r="Y27" s="76">
        <f>资产资本表!Y19</f>
        <v>20000000</v>
      </c>
      <c r="Z27" s="76">
        <f>资产资本表!Z19</f>
        <v>20000000</v>
      </c>
      <c r="AA27" s="76">
        <f>资产资本表!AA19</f>
        <v>20000000</v>
      </c>
      <c r="AB27" s="76">
        <f>资产资本表!AB19</f>
        <v>20000000</v>
      </c>
      <c r="AC27" s="76">
        <f>资产资本表!AC19</f>
        <v>20000000</v>
      </c>
      <c r="AD27" s="76">
        <f>资产资本表!AD19</f>
        <v>22000000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444</v>
      </c>
      <c r="E28" s="110">
        <f>E26/E27</f>
        <v>6.5044893656646161E-2</v>
      </c>
      <c r="F28" s="110">
        <f t="shared" ref="F28:BQ28" si="12">F26/F27</f>
        <v>4.1914735757624041E-2</v>
      </c>
      <c r="G28" s="110">
        <f t="shared" si="12"/>
        <v>1.2859738366016739E-2</v>
      </c>
      <c r="H28" s="110">
        <f t="shared" si="12"/>
        <v>6.7980059584236479E-3</v>
      </c>
      <c r="I28" s="110">
        <f t="shared" si="12"/>
        <v>1.7306125627847984E-2</v>
      </c>
      <c r="J28" s="110">
        <f t="shared" si="12"/>
        <v>1.3161075700948743E-2</v>
      </c>
      <c r="K28" s="110">
        <f t="shared" si="12"/>
        <v>7.678719910875282E-3</v>
      </c>
      <c r="L28" s="110">
        <f t="shared" si="12"/>
        <v>-1.4802174965659611E-6</v>
      </c>
      <c r="M28" s="110">
        <f t="shared" si="12"/>
        <v>4.5050169781470258E-3</v>
      </c>
      <c r="N28" s="110" t="e">
        <f t="shared" si="12"/>
        <v>#DIV/0!</v>
      </c>
      <c r="O28" s="110" t="e">
        <f t="shared" si="12"/>
        <v>#DIV/0!</v>
      </c>
      <c r="P28" s="110" t="e">
        <f t="shared" si="12"/>
        <v>#DIV/0!</v>
      </c>
      <c r="Q28" s="110" t="e">
        <f t="shared" si="12"/>
        <v>#DIV/0!</v>
      </c>
      <c r="R28" s="110">
        <f t="shared" si="12"/>
        <v>-4.0347704999999998E-3</v>
      </c>
      <c r="S28" s="110">
        <f t="shared" si="12"/>
        <v>-4.0347704999999998E-3</v>
      </c>
      <c r="T28" s="110">
        <f t="shared" si="12"/>
        <v>-1.4342457160839161E-3</v>
      </c>
      <c r="U28" s="110">
        <f t="shared" si="12"/>
        <v>-4.4683581457824369E-3</v>
      </c>
      <c r="V28" s="110">
        <f t="shared" si="12"/>
        <v>-3.301396694847316E-2</v>
      </c>
      <c r="W28" s="110">
        <f t="shared" si="12"/>
        <v>-3.301396694847316E-2</v>
      </c>
      <c r="X28" s="110">
        <f t="shared" si="12"/>
        <v>0</v>
      </c>
      <c r="Y28" s="110">
        <f t="shared" si="12"/>
        <v>0</v>
      </c>
      <c r="Z28" s="110">
        <f t="shared" si="12"/>
        <v>0</v>
      </c>
      <c r="AA28" s="110">
        <f t="shared" si="12"/>
        <v>0</v>
      </c>
      <c r="AB28" s="110">
        <f t="shared" si="12"/>
        <v>0</v>
      </c>
      <c r="AC28" s="110">
        <f t="shared" si="12"/>
        <v>0</v>
      </c>
      <c r="AD28" s="110">
        <f t="shared" si="12"/>
        <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694</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39813</v>
      </c>
      <c r="AO31" s="1">
        <v>39447</v>
      </c>
      <c r="AP31" s="1">
        <v>25569</v>
      </c>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6" t="s">
        <v>449</v>
      </c>
      <c r="E32" s="76">
        <f>股权价值增加表!E29</f>
        <v>-162955496.7494272</v>
      </c>
      <c r="F32" s="76">
        <f>股权价值增加表!F29</f>
        <v>136172040.64461881</v>
      </c>
      <c r="G32" s="76">
        <f>股权价值增加表!G29</f>
        <v>158542423.398469</v>
      </c>
      <c r="H32" s="76">
        <f>股权价值增加表!H29</f>
        <v>-3122583.1143673491</v>
      </c>
      <c r="I32" s="76">
        <f>股权价值增加表!I29</f>
        <v>11491084.631338075</v>
      </c>
      <c r="J32" s="76">
        <f>股权价值增加表!J29</f>
        <v>15453.96</v>
      </c>
      <c r="K32" s="76">
        <f>股权价值增加表!K29</f>
        <v>-6346978.8099999996</v>
      </c>
      <c r="L32" s="76">
        <f>股权价值增加表!L29</f>
        <v>-8058486.3799999999</v>
      </c>
      <c r="M32" s="76">
        <f>股权价值增加表!M29</f>
        <v>212778485.80515698</v>
      </c>
      <c r="N32" s="76">
        <f>股权价值增加表!N29</f>
        <v>152604114.44788611</v>
      </c>
      <c r="O32" s="76">
        <f>股权价值增加表!O29</f>
        <v>126091661.40037924</v>
      </c>
      <c r="P32" s="76">
        <f>股权价值增加表!P29</f>
        <v>18956330.946966805</v>
      </c>
      <c r="Q32" s="76">
        <f>股权价值增加表!Q29</f>
        <v>5126950.6764467945</v>
      </c>
      <c r="R32" s="76">
        <f>股权价值增加表!R29</f>
        <v>-85469.108152734116</v>
      </c>
      <c r="S32" s="76">
        <f>股权价值增加表!S29</f>
        <v>362079.91981345066</v>
      </c>
      <c r="T32" s="76">
        <f>股权价值增加表!T29</f>
        <v>861579.8024863099</v>
      </c>
      <c r="U32" s="76">
        <f>股权价值增加表!U29</f>
        <v>51626.72469123597</v>
      </c>
      <c r="V32" s="76">
        <f>股权价值增加表!V29</f>
        <v>-1393060.7252214814</v>
      </c>
      <c r="W32" s="76">
        <f>股权价值增加表!W29</f>
        <v>-1125546.4128701133</v>
      </c>
      <c r="X32" s="76">
        <f>股权价值增加表!X29</f>
        <v>107849.03</v>
      </c>
      <c r="Y32" s="76">
        <f>股权价值增加表!Y29</f>
        <v>15176028.964064563</v>
      </c>
      <c r="Z32" s="76">
        <f>股权价值增加表!Z29</f>
        <v>0</v>
      </c>
      <c r="AA32" s="76">
        <f>股权价值增加表!AA29</f>
        <v>0</v>
      </c>
      <c r="AB32" s="76">
        <f>股权价值增加表!AB29</f>
        <v>0</v>
      </c>
      <c r="AC32" s="76">
        <f>股权价值增加表!AC29</f>
        <v>9148644.9290076904</v>
      </c>
      <c r="AD32" s="76">
        <f>股权价值增加表!AD29</f>
        <v>0</v>
      </c>
      <c r="AE32" s="76">
        <f>股权价值增加表!AE29</f>
        <v>0</v>
      </c>
      <c r="AF32" s="76">
        <f>股权价值增加表!AF29</f>
        <v>0</v>
      </c>
      <c r="AG32" s="76">
        <f>股权价值增加表!AG29</f>
        <v>834410.54764814256</v>
      </c>
      <c r="AH32" s="76">
        <f>股权价值增加表!AH29</f>
        <v>0</v>
      </c>
      <c r="AI32" s="76">
        <f>股权价值增加表!AI29</f>
        <v>0</v>
      </c>
      <c r="AJ32" s="76">
        <f>股权价值增加表!AJ29</f>
        <v>0</v>
      </c>
      <c r="AK32" s="76">
        <f>股权价值增加表!AK29</f>
        <v>0</v>
      </c>
      <c r="AL32" s="76">
        <f>股权价值增加表!AL29</f>
        <v>0</v>
      </c>
      <c r="AM32" s="76">
        <f>股权价值增加表!AM29</f>
        <v>0</v>
      </c>
      <c r="AN32" s="76">
        <f>股权价值增加表!AN29</f>
        <v>0</v>
      </c>
      <c r="AO32" s="76">
        <f>股权价值增加表!AO29</f>
        <v>0</v>
      </c>
      <c r="AP32" s="76" t="e">
        <f>股权价值增加表!AP29</f>
        <v>#DIV/0!</v>
      </c>
      <c r="AQ32" s="76">
        <f>股权价值增加表!AQ29</f>
        <v>4148059.2674403638</v>
      </c>
      <c r="AR32" s="76">
        <f>股权价值增加表!AR29</f>
        <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450</v>
      </c>
    </row>
    <row r="34" spans="1:89" s="76" customFormat="1" x14ac:dyDescent="0.25">
      <c r="A34" s="146" t="s">
        <v>451</v>
      </c>
      <c r="E34" s="76">
        <f>资产资本表!E4</f>
        <v>853110169.67999995</v>
      </c>
      <c r="F34" s="76">
        <f>资产资本表!F4</f>
        <v>833747348.38999999</v>
      </c>
      <c r="G34" s="76">
        <f>资产资本表!G4</f>
        <v>2982416829.2199998</v>
      </c>
      <c r="H34" s="76">
        <f>资产资本表!H4</f>
        <v>3657615668.0799999</v>
      </c>
      <c r="I34" s="76">
        <f>资产资本表!I4</f>
        <v>3669146356.0799999</v>
      </c>
      <c r="J34" s="76">
        <f>资产资本表!J4</f>
        <v>5610655751.3699999</v>
      </c>
      <c r="K34" s="76">
        <f>资产资本表!K4</f>
        <v>5557284437.8500004</v>
      </c>
      <c r="L34" s="76">
        <f>资产资本表!L4</f>
        <v>2618997247.3200002</v>
      </c>
      <c r="M34" s="76">
        <f>资产资本表!M4</f>
        <v>2729778115.1399999</v>
      </c>
      <c r="N34" s="76">
        <f>资产资本表!N4</f>
        <v>3254753951.73</v>
      </c>
      <c r="O34" s="76">
        <f>资产资本表!O4</f>
        <v>1156372507.3</v>
      </c>
      <c r="P34" s="76">
        <f>资产资本表!P4</f>
        <v>703220105.25</v>
      </c>
      <c r="Q34" s="76">
        <f>资产资本表!Q4</f>
        <v>499850156.29000002</v>
      </c>
      <c r="R34" s="76">
        <f>资产资本表!R4</f>
        <v>420605212.93000001</v>
      </c>
      <c r="S34" s="76">
        <f>资产资本表!S4</f>
        <v>1028350168.02</v>
      </c>
      <c r="T34" s="76">
        <f>资产资本表!T4</f>
        <v>892475943.33000004</v>
      </c>
      <c r="U34" s="76">
        <f>资产资本表!U4</f>
        <v>608218105.28999996</v>
      </c>
      <c r="V34" s="76">
        <f>资产资本表!V4</f>
        <v>514951299.14999998</v>
      </c>
      <c r="W34" s="76">
        <f>资产资本表!W4</f>
        <v>220208941.77000001</v>
      </c>
      <c r="X34" s="76">
        <f>资产资本表!X4</f>
        <v>311140576.07999998</v>
      </c>
      <c r="Y34" s="76">
        <f>资产资本表!Y4</f>
        <v>193520396.46000001</v>
      </c>
      <c r="Z34" s="76">
        <f>资产资本表!Z4</f>
        <v>235316894.03999999</v>
      </c>
      <c r="AA34" s="76">
        <f>资产资本表!AA4</f>
        <v>236059277.34</v>
      </c>
      <c r="AB34" s="76">
        <f>资产资本表!AB4</f>
        <v>102103605.79000001</v>
      </c>
      <c r="AC34" s="76">
        <f>资产资本表!AC4</f>
        <v>133398455.5</v>
      </c>
      <c r="AD34" s="76">
        <f>资产资本表!AD4</f>
        <v>111085605.84</v>
      </c>
      <c r="AE34" s="76">
        <f>资产资本表!AE4</f>
        <v>314833518.51999998</v>
      </c>
      <c r="AF34" s="76">
        <f>资产资本表!AF4</f>
        <v>374656051.39999998</v>
      </c>
      <c r="AG34" s="76">
        <f>资产资本表!AG4</f>
        <v>543353279.10000002</v>
      </c>
      <c r="AH34" s="76">
        <f>资产资本表!AH4</f>
        <v>566092532.38999999</v>
      </c>
      <c r="AI34" s="76">
        <f>资产资本表!AI4</f>
        <v>20506299.109999999</v>
      </c>
      <c r="AJ34" s="76">
        <f>资产资本表!AJ4</f>
        <v>33561197.539999999</v>
      </c>
      <c r="AK34" s="76">
        <f>资产资本表!AK4</f>
        <v>39065039.079999998</v>
      </c>
      <c r="AL34" s="76">
        <f>资产资本表!AL4</f>
        <v>1656390.72</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453</v>
      </c>
      <c r="E36" s="76">
        <f>资产资本表!E13</f>
        <v>24332680.530000001</v>
      </c>
      <c r="F36" s="76">
        <f>资产资本表!F13</f>
        <v>25166043.57</v>
      </c>
      <c r="G36" s="76">
        <f>资产资本表!G13</f>
        <v>14607597.23</v>
      </c>
      <c r="H36" s="76">
        <f>资产资本表!H13</f>
        <v>21814398.289999999</v>
      </c>
      <c r="I36" s="76">
        <f>资产资本表!I13</f>
        <v>18110043.989999998</v>
      </c>
      <c r="J36" s="76">
        <f>资产资本表!J13</f>
        <v>11223272</v>
      </c>
      <c r="K36" s="76">
        <f>资产资本表!K13</f>
        <v>4635588.92</v>
      </c>
      <c r="L36" s="76">
        <f>资产资本表!L13</f>
        <v>92247.39</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455</v>
      </c>
      <c r="E38" s="76">
        <f>资产资本表!E8</f>
        <v>797618603.45000005</v>
      </c>
      <c r="F38" s="76">
        <f>资产资本表!F8</f>
        <v>1678177028.6700001</v>
      </c>
      <c r="G38" s="76">
        <f>资产资本表!G8</f>
        <v>1688080583.9100001</v>
      </c>
      <c r="H38" s="76">
        <f>资产资本表!H8</f>
        <v>1692631521.49</v>
      </c>
      <c r="I38" s="76">
        <f>资产资本表!I8</f>
        <v>1690529135.8599999</v>
      </c>
      <c r="J38" s="76">
        <f>资产资本表!J8</f>
        <v>1367611967.3</v>
      </c>
      <c r="K38" s="76">
        <f>资产资本表!K8</f>
        <v>455032405.51999998</v>
      </c>
      <c r="L38" s="76">
        <f>资产资本表!L8</f>
        <v>159142495.86000001</v>
      </c>
      <c r="M38" s="76">
        <f>资产资本表!M8</f>
        <v>159529787.22999999</v>
      </c>
      <c r="N38" s="76">
        <f>资产资本表!N8</f>
        <v>158382693.03999999</v>
      </c>
      <c r="O38" s="76">
        <f>资产资本表!O8</f>
        <v>76465137.379999995</v>
      </c>
      <c r="P38" s="76">
        <f>资产资本表!P8</f>
        <v>34182785</v>
      </c>
      <c r="Q38" s="76">
        <f>资产资本表!Q8</f>
        <v>20000000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458</v>
      </c>
      <c r="E41" s="76">
        <f>资产资本表!E12</f>
        <v>0</v>
      </c>
      <c r="F41" s="76">
        <f>资产资本表!F12</f>
        <v>0</v>
      </c>
      <c r="G41" s="76">
        <f>资产资本表!G12</f>
        <v>0</v>
      </c>
      <c r="H41" s="76">
        <f>资产资本表!H12</f>
        <v>0</v>
      </c>
      <c r="I41" s="76">
        <f>资产资本表!I12</f>
        <v>0</v>
      </c>
      <c r="J41" s="76">
        <f>资产资本表!J12</f>
        <v>5000000</v>
      </c>
      <c r="K41" s="76">
        <f>资产资本表!K12</f>
        <v>5000000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460</v>
      </c>
      <c r="E43" s="76">
        <f>SUM(E34:E42)</f>
        <v>1675061453.6599998</v>
      </c>
      <c r="F43" s="76">
        <f t="shared" ref="F43:BQ43" si="14">SUM(F34:F42)</f>
        <v>2537090420.6300001</v>
      </c>
      <c r="G43" s="76">
        <f t="shared" si="14"/>
        <v>4685105010.3599997</v>
      </c>
      <c r="H43" s="76">
        <f t="shared" si="14"/>
        <v>5372061587.8599997</v>
      </c>
      <c r="I43" s="76">
        <f t="shared" si="14"/>
        <v>5377785535.9299994</v>
      </c>
      <c r="J43" s="76">
        <f t="shared" si="14"/>
        <v>6994490990.6700001</v>
      </c>
      <c r="K43" s="76">
        <f t="shared" si="14"/>
        <v>6021952432.2900009</v>
      </c>
      <c r="L43" s="76">
        <f t="shared" si="14"/>
        <v>2778231990.5700002</v>
      </c>
      <c r="M43" s="76">
        <f t="shared" si="14"/>
        <v>2889307902.3699999</v>
      </c>
      <c r="N43" s="76">
        <f t="shared" si="14"/>
        <v>3413136644.77</v>
      </c>
      <c r="O43" s="76">
        <f t="shared" si="14"/>
        <v>1232837644.6799998</v>
      </c>
      <c r="P43" s="76">
        <f t="shared" si="14"/>
        <v>737402890.25</v>
      </c>
      <c r="Q43" s="76">
        <f t="shared" si="14"/>
        <v>519850156.29000002</v>
      </c>
      <c r="R43" s="76">
        <f t="shared" si="14"/>
        <v>420605212.93000001</v>
      </c>
      <c r="S43" s="76">
        <f t="shared" si="14"/>
        <v>1028350168.02</v>
      </c>
      <c r="T43" s="76">
        <f t="shared" si="14"/>
        <v>892475943.33000004</v>
      </c>
      <c r="U43" s="76">
        <f t="shared" si="14"/>
        <v>608218105.28999996</v>
      </c>
      <c r="V43" s="76">
        <f t="shared" si="14"/>
        <v>514951299.14999998</v>
      </c>
      <c r="W43" s="76">
        <f t="shared" si="14"/>
        <v>220208941.77000001</v>
      </c>
      <c r="X43" s="76">
        <f t="shared" si="14"/>
        <v>311140576.07999998</v>
      </c>
      <c r="Y43" s="76">
        <f t="shared" si="14"/>
        <v>193520396.46000001</v>
      </c>
      <c r="Z43" s="76">
        <f t="shared" si="14"/>
        <v>235316894.03999999</v>
      </c>
      <c r="AA43" s="76">
        <f t="shared" si="14"/>
        <v>236059277.34</v>
      </c>
      <c r="AB43" s="76">
        <f t="shared" si="14"/>
        <v>102103605.79000001</v>
      </c>
      <c r="AC43" s="76">
        <f t="shared" si="14"/>
        <v>133398455.5</v>
      </c>
      <c r="AD43" s="76">
        <f t="shared" si="14"/>
        <v>111085605.84</v>
      </c>
      <c r="AE43" s="76">
        <f t="shared" si="14"/>
        <v>314833518.51999998</v>
      </c>
      <c r="AF43" s="76">
        <f t="shared" si="14"/>
        <v>374656051.39999998</v>
      </c>
      <c r="AG43" s="76">
        <f t="shared" si="14"/>
        <v>543353279.10000002</v>
      </c>
      <c r="AH43" s="76">
        <f t="shared" si="14"/>
        <v>566092532.38999999</v>
      </c>
      <c r="AI43" s="76">
        <f t="shared" si="14"/>
        <v>20506299.109999999</v>
      </c>
      <c r="AJ43" s="76">
        <f t="shared" si="14"/>
        <v>33561197.539999999</v>
      </c>
      <c r="AK43" s="76">
        <f t="shared" si="14"/>
        <v>39065039.079999998</v>
      </c>
      <c r="AL43" s="76">
        <f t="shared" si="14"/>
        <v>1656390.72</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461</v>
      </c>
      <c r="E44" s="110">
        <f>E32/E43</f>
        <v>-9.7283294528311401E-2</v>
      </c>
      <c r="F44" s="110">
        <f t="shared" ref="F44:BQ44" si="16">F32/F43</f>
        <v>5.3672521695464492E-2</v>
      </c>
      <c r="G44" s="110">
        <f t="shared" si="16"/>
        <v>3.3839673400679386E-2</v>
      </c>
      <c r="H44" s="110">
        <f t="shared" si="16"/>
        <v>-5.812634615775604E-4</v>
      </c>
      <c r="I44" s="110">
        <f t="shared" si="16"/>
        <v>2.1367688530091002E-3</v>
      </c>
      <c r="J44" s="110">
        <f t="shared" si="16"/>
        <v>2.2094474094847137E-6</v>
      </c>
      <c r="K44" s="110">
        <f t="shared" si="16"/>
        <v>-1.0539735876967729E-3</v>
      </c>
      <c r="L44" s="110">
        <f t="shared" si="16"/>
        <v>-2.9005808036738747E-3</v>
      </c>
      <c r="M44" s="110">
        <f t="shared" si="16"/>
        <v>7.3643409769731397E-2</v>
      </c>
      <c r="N44" s="110">
        <f t="shared" si="16"/>
        <v>4.4710813052774682E-2</v>
      </c>
      <c r="O44" s="110">
        <f t="shared" si="16"/>
        <v>0.10227758857339896</v>
      </c>
      <c r="P44" s="110">
        <f t="shared" si="16"/>
        <v>2.570688452352022E-2</v>
      </c>
      <c r="Q44" s="110">
        <f t="shared" si="16"/>
        <v>9.8623624796732954E-3</v>
      </c>
      <c r="R44" s="110">
        <f t="shared" si="16"/>
        <v>-2.0320506148115304E-4</v>
      </c>
      <c r="S44" s="110">
        <f t="shared" si="16"/>
        <v>3.52097885597281E-4</v>
      </c>
      <c r="T44" s="110">
        <f t="shared" si="16"/>
        <v>9.6538154213052436E-4</v>
      </c>
      <c r="U44" s="110">
        <f t="shared" si="16"/>
        <v>8.488192679930206E-5</v>
      </c>
      <c r="V44" s="110">
        <f t="shared" si="16"/>
        <v>-2.7052281012222425E-3</v>
      </c>
      <c r="W44" s="110">
        <f t="shared" si="16"/>
        <v>-5.1112657089361262E-3</v>
      </c>
      <c r="X44" s="110">
        <f t="shared" si="16"/>
        <v>3.4662476800284006E-4</v>
      </c>
      <c r="Y44" s="110">
        <f t="shared" si="16"/>
        <v>7.8420824066477116E-2</v>
      </c>
      <c r="Z44" s="110">
        <f t="shared" si="16"/>
        <v>0</v>
      </c>
      <c r="AA44" s="110">
        <f t="shared" si="16"/>
        <v>0</v>
      </c>
      <c r="AB44" s="110">
        <f t="shared" si="16"/>
        <v>0</v>
      </c>
      <c r="AC44" s="110">
        <f t="shared" si="16"/>
        <v>6.8581340726300163E-2</v>
      </c>
      <c r="AD44" s="110">
        <f t="shared" si="16"/>
        <v>0</v>
      </c>
      <c r="AE44" s="110">
        <f t="shared" si="16"/>
        <v>0</v>
      </c>
      <c r="AF44" s="110">
        <f t="shared" si="16"/>
        <v>0</v>
      </c>
      <c r="AG44" s="110">
        <f t="shared" si="16"/>
        <v>1.5356685599288997E-3</v>
      </c>
      <c r="AH44" s="110">
        <f t="shared" si="16"/>
        <v>0</v>
      </c>
      <c r="AI44" s="110">
        <f t="shared" si="16"/>
        <v>0</v>
      </c>
      <c r="AJ44" s="110">
        <f t="shared" si="16"/>
        <v>0</v>
      </c>
      <c r="AK44" s="110">
        <f t="shared" si="16"/>
        <v>0</v>
      </c>
      <c r="AL44" s="110">
        <f t="shared" si="16"/>
        <v>0</v>
      </c>
      <c r="AM44" s="110" t="e">
        <f t="shared" si="16"/>
        <v>#DIV/0!</v>
      </c>
      <c r="AN44" s="110" t="e">
        <f t="shared" si="16"/>
        <v>#DIV/0!</v>
      </c>
      <c r="AO44" s="110" t="e">
        <f t="shared" si="16"/>
        <v>#DIV/0!</v>
      </c>
      <c r="AP44" s="110" t="e">
        <f t="shared" si="16"/>
        <v>#DIV/0!</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695</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696</v>
      </c>
      <c r="E46" s="57">
        <f>E43/资产资本表!E70</f>
        <v>0.21925936324692971</v>
      </c>
      <c r="F46" s="57">
        <f>F43/资产资本表!F70</f>
        <v>0.10884966907800488</v>
      </c>
      <c r="G46" s="57">
        <f>G43/资产资本表!G70</f>
        <v>0.1681931709593307</v>
      </c>
      <c r="H46" s="57">
        <f>H43/资产资本表!H70</f>
        <v>0.20742553195408783</v>
      </c>
      <c r="I46" s="57">
        <f>I43/资产资本表!I70</f>
        <v>0.21487763286350781</v>
      </c>
      <c r="J46" s="57">
        <f>J43/资产资本表!J70</f>
        <v>0.32067614106285097</v>
      </c>
      <c r="K46" s="57">
        <f>K43/资产资本表!K70</f>
        <v>0.33486712446974498</v>
      </c>
      <c r="L46" s="57">
        <f>L43/资产资本表!L70</f>
        <v>0.22294038793393137</v>
      </c>
      <c r="M46" s="57">
        <f>M43/资产资本表!M70</f>
        <v>0.25324348084847426</v>
      </c>
      <c r="N46" s="57">
        <f>N43/资产资本表!N70</f>
        <v>0.31180544434825613</v>
      </c>
      <c r="O46" s="57">
        <f>O43/资产资本表!O70</f>
        <v>0.14571760757221455</v>
      </c>
      <c r="P46" s="57">
        <f>P43/资产资本表!P70</f>
        <v>9.8446598019213724E-2</v>
      </c>
      <c r="Q46" s="57">
        <f>Q43/资产资本表!Q70</f>
        <v>8.3091165155125463E-2</v>
      </c>
      <c r="R46" s="57">
        <f>R43/资产资本表!R70</f>
        <v>8.2426400620144835E-2</v>
      </c>
      <c r="S46" s="57">
        <f>S43/资产资本表!S70</f>
        <v>0.20364782866779682</v>
      </c>
      <c r="T46" s="57">
        <f>T43/资产资本表!T70</f>
        <v>0.22059833892054229</v>
      </c>
      <c r="U46" s="57">
        <f>U43/资产资本表!U70</f>
        <v>0.16036443149803647</v>
      </c>
      <c r="V46" s="57">
        <f>V43/资产资本表!V70</f>
        <v>0.1557555865142162</v>
      </c>
      <c r="W46" s="57">
        <f>W43/资产资本表!W70</f>
        <v>7.2158905489310102E-2</v>
      </c>
      <c r="X46" s="57">
        <f>X43/资产资本表!X70</f>
        <v>0.11515592314487386</v>
      </c>
      <c r="Y46" s="57">
        <f>Y43/资产资本表!Y70</f>
        <v>7.9158775098199269E-2</v>
      </c>
      <c r="Z46" s="57">
        <f>Z43/资产资本表!Z70</f>
        <v>0.10558990717406454</v>
      </c>
      <c r="AA46" s="57">
        <f>AA43/资产资本表!AA70</f>
        <v>0.12358393447220595</v>
      </c>
      <c r="AB46" s="57">
        <f>AB43/资产资本表!AB70</f>
        <v>6.5666036868802666E-2</v>
      </c>
      <c r="AC46" s="57">
        <f>AC43/资产资本表!AC70</f>
        <v>9.1237153515832281E-2</v>
      </c>
      <c r="AD46" s="57">
        <f>AD43/资产资本表!AD70</f>
        <v>8.604206216868597E-2</v>
      </c>
      <c r="AE46" s="57">
        <f>AE43/资产资本表!AE70</f>
        <v>0.26634367509828805</v>
      </c>
      <c r="AF46" s="57">
        <f>AF43/资产资本表!AF70</f>
        <v>0.36103546449505103</v>
      </c>
      <c r="AG46" s="57">
        <f>AG43/资产资本表!AG70</f>
        <v>0.53868701704878375</v>
      </c>
      <c r="AH46" s="57">
        <f>AH43/资产资本表!AH70</f>
        <v>0.59877525144086352</v>
      </c>
      <c r="AI46" s="57">
        <f>AI43/资产资本表!AI70</f>
        <v>6.5370745635938574E-2</v>
      </c>
      <c r="AJ46" s="57">
        <f>AJ43/资产资本表!AJ70</f>
        <v>0.14784293186999778</v>
      </c>
      <c r="AK46" s="57">
        <f>AK43/资产资本表!AK70</f>
        <v>0.2738128997121127</v>
      </c>
      <c r="AL46" s="57">
        <f>AL43/资产资本表!AL70</f>
        <v>2.778441898742974E-2</v>
      </c>
      <c r="AM46" s="57" t="e">
        <f>AM43/资产资本表!AM70</f>
        <v>#DIV/0!</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39813</v>
      </c>
      <c r="AO48" s="1">
        <v>39447</v>
      </c>
      <c r="AP48" s="1">
        <v>25569</v>
      </c>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6" t="s">
        <v>463</v>
      </c>
      <c r="E49" s="76">
        <f>利润表!E4</f>
        <v>7025215802.2200003</v>
      </c>
      <c r="F49" s="76">
        <f>利润表!F4</f>
        <v>6094642044.2700005</v>
      </c>
      <c r="G49" s="76">
        <f>利润表!G4</f>
        <v>5540886553.04</v>
      </c>
      <c r="H49" s="76">
        <f>利润表!H4</f>
        <v>4116467940.2800002</v>
      </c>
      <c r="I49" s="76">
        <f>利润表!I4</f>
        <v>21950951410.470001</v>
      </c>
      <c r="J49" s="76">
        <f>利润表!J4</f>
        <v>16773829590.549999</v>
      </c>
      <c r="K49" s="76">
        <f>利润表!K4</f>
        <v>10063138447.610001</v>
      </c>
      <c r="L49" s="76">
        <f>利润表!L4</f>
        <v>4634512164.1999998</v>
      </c>
      <c r="M49" s="76">
        <f>利润表!M4</f>
        <v>13016725124.120001</v>
      </c>
      <c r="N49" s="76">
        <f>利润表!N4</f>
        <v>8374974349.1499996</v>
      </c>
      <c r="O49" s="76">
        <f>利润表!O4</f>
        <v>4460713020.0600004</v>
      </c>
      <c r="P49" s="76">
        <f>利润表!P4</f>
        <v>2133457686.29</v>
      </c>
      <c r="Q49" s="76">
        <f>利润表!Q4</f>
        <v>6818938622.3800001</v>
      </c>
      <c r="R49" s="76">
        <f>利润表!R4</f>
        <v>4745146054.6599998</v>
      </c>
      <c r="S49" s="76">
        <f>利润表!S4</f>
        <v>2938801853.1599998</v>
      </c>
      <c r="T49" s="76">
        <f>利润表!T4</f>
        <v>1026947707.76</v>
      </c>
      <c r="U49" s="76">
        <f>利润表!U4</f>
        <v>2361244730.8600001</v>
      </c>
      <c r="V49" s="76">
        <f>利润表!V4</f>
        <v>1365272776.9200001</v>
      </c>
      <c r="W49" s="76">
        <f>利润表!W4</f>
        <v>751920231.09000003</v>
      </c>
      <c r="X49" s="76">
        <f>利润表!X4</f>
        <v>341886400.31999999</v>
      </c>
      <c r="Y49" s="76">
        <f>利润表!Y4</f>
        <v>1167307146.72</v>
      </c>
      <c r="Z49" s="76">
        <f>利润表!Z4</f>
        <v>828735210.47000003</v>
      </c>
      <c r="AA49" s="76">
        <f>利润表!AA4</f>
        <v>552975255.67999995</v>
      </c>
      <c r="AB49" s="76">
        <f>利润表!AB4</f>
        <v>275808462.04000002</v>
      </c>
      <c r="AC49" s="76">
        <f>利润表!AC4</f>
        <v>598555886.30999994</v>
      </c>
      <c r="AD49" s="76">
        <f>利润表!AD4</f>
        <v>355895566.29000002</v>
      </c>
      <c r="AE49" s="76">
        <f>利润表!AE4</f>
        <v>223103383.88</v>
      </c>
      <c r="AF49" s="76">
        <f>利润表!AF4</f>
        <v>104751988.97</v>
      </c>
      <c r="AG49" s="76">
        <f>利润表!AG4</f>
        <v>238258165.65000001</v>
      </c>
      <c r="AH49" s="76">
        <f>利润表!AH4</f>
        <v>173053150.27000001</v>
      </c>
      <c r="AI49" s="76">
        <f>利润表!AI4</f>
        <v>101973355.54000001</v>
      </c>
      <c r="AJ49" s="76">
        <f>利润表!AJ4</f>
        <v>45153520.600000001</v>
      </c>
      <c r="AK49" s="76">
        <f>利润表!AK4</f>
        <v>145731415.40000001</v>
      </c>
      <c r="AL49" s="76">
        <f>利润表!AL4</f>
        <v>103650975.34999999</v>
      </c>
      <c r="AM49" s="76">
        <f>利润表!AM4</f>
        <v>59792579.990000002</v>
      </c>
      <c r="AN49" s="76">
        <f>利润表!AN4</f>
        <v>73607120.709999993</v>
      </c>
      <c r="AO49" s="76">
        <f>利润表!AO4</f>
        <v>36916305.039999999</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6" t="s">
        <v>464</v>
      </c>
      <c r="E50" s="76">
        <f>资产资本表!E50</f>
        <v>-3218419675.6800003</v>
      </c>
      <c r="F50" s="76">
        <f>资产资本表!F50</f>
        <v>4269703297.539999</v>
      </c>
      <c r="G50" s="76">
        <f>资产资本表!G50</f>
        <v>7023949406.7399979</v>
      </c>
      <c r="H50" s="76">
        <f>资产资本表!H50</f>
        <v>4775535602.9500008</v>
      </c>
      <c r="I50" s="76">
        <f>资产资本表!I50</f>
        <v>4978322010.2600002</v>
      </c>
      <c r="J50" s="76">
        <f>资产资本表!J50</f>
        <v>1470606839.9800005</v>
      </c>
      <c r="K50" s="76">
        <f>资产资本表!K50</f>
        <v>507291172.77999973</v>
      </c>
      <c r="L50" s="76">
        <f>资产资本表!L50</f>
        <v>1369393720.9700003</v>
      </c>
      <c r="M50" s="76">
        <f>资产资本表!M50</f>
        <v>815562796.35000134</v>
      </c>
      <c r="N50" s="76">
        <f>资产资本表!N50</f>
        <v>791791807.80999994</v>
      </c>
      <c r="O50" s="76">
        <f>资产资本表!O50</f>
        <v>1255525289.0800009</v>
      </c>
      <c r="P50" s="76">
        <f>资产资本表!P50</f>
        <v>1186117318.750001</v>
      </c>
      <c r="Q50" s="76">
        <f>资产资本表!Q50</f>
        <v>490388035.53000021</v>
      </c>
      <c r="R50" s="76">
        <f>资产资本表!R50</f>
        <v>75226870.349999905</v>
      </c>
      <c r="S50" s="76">
        <f>资产资本表!S50</f>
        <v>-150786682.11999989</v>
      </c>
      <c r="T50" s="76">
        <f>资产资本表!T50</f>
        <v>65052220.150000334</v>
      </c>
      <c r="U50" s="76">
        <f>资产资本表!U50</f>
        <v>250528494.91000032</v>
      </c>
      <c r="V50" s="76">
        <f>资产资本表!V50</f>
        <v>232293231.31000018</v>
      </c>
      <c r="W50" s="76">
        <f>资产资本表!W50</f>
        <v>393481439.77999997</v>
      </c>
      <c r="X50" s="76">
        <f>资产资本表!X50</f>
        <v>240581268.05000019</v>
      </c>
      <c r="Y50" s="76">
        <f>资产资本表!Y50</f>
        <v>241448202.42000002</v>
      </c>
      <c r="Z50" s="76">
        <f>资产资本表!Z50</f>
        <v>264368770.63999993</v>
      </c>
      <c r="AA50" s="76">
        <f>资产资本表!AA50</f>
        <v>115666694.90999997</v>
      </c>
      <c r="AB50" s="76">
        <f>资产资本表!AB50</f>
        <v>90877424.750000119</v>
      </c>
      <c r="AC50" s="76">
        <f>资产资本表!AC50</f>
        <v>218053511.94999999</v>
      </c>
      <c r="AD50" s="76">
        <f>资产资本表!AD50</f>
        <v>474627193.89000005</v>
      </c>
      <c r="AE50" s="76">
        <f>资产资本表!AE50</f>
        <v>375108619.38999999</v>
      </c>
      <c r="AF50" s="76">
        <f>资产资本表!AF50</f>
        <v>257279622.94999999</v>
      </c>
      <c r="AG50" s="76">
        <f>资产资本表!AG50</f>
        <v>107350944.02000001</v>
      </c>
      <c r="AH50" s="76">
        <f>资产资本表!AH50</f>
        <v>110122788.83000001</v>
      </c>
      <c r="AI50" s="76">
        <f>资产资本表!AI50</f>
        <v>66455117.909999996</v>
      </c>
      <c r="AJ50" s="76">
        <f>资产资本表!AJ50</f>
        <v>23632056.580000002</v>
      </c>
      <c r="AK50" s="76">
        <f>资产资本表!AK50</f>
        <v>40927825.619999997</v>
      </c>
      <c r="AL50" s="76">
        <f>资产资本表!AL50</f>
        <v>4943295.12</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465</v>
      </c>
      <c r="E51" s="44">
        <f>E49/E50</f>
        <v>-2.1828153286863325</v>
      </c>
      <c r="F51" s="44">
        <f t="shared" ref="F51:BQ51" si="18">F49/F50</f>
        <v>1.4274158224955455</v>
      </c>
      <c r="G51" s="44">
        <f t="shared" si="18"/>
        <v>0.78885627332724095</v>
      </c>
      <c r="H51" s="44">
        <f t="shared" si="18"/>
        <v>0.86199083883640748</v>
      </c>
      <c r="I51" s="44">
        <f t="shared" si="18"/>
        <v>4.4093072656269534</v>
      </c>
      <c r="J51" s="44">
        <f t="shared" si="18"/>
        <v>11.406059821385107</v>
      </c>
      <c r="K51" s="44">
        <f t="shared" si="18"/>
        <v>19.837006807083053</v>
      </c>
      <c r="L51" s="44">
        <f t="shared" si="18"/>
        <v>3.3843533041156171</v>
      </c>
      <c r="M51" s="44">
        <f t="shared" si="18"/>
        <v>15.960420438960083</v>
      </c>
      <c r="N51" s="44">
        <f t="shared" si="18"/>
        <v>10.577242990571174</v>
      </c>
      <c r="O51" s="44">
        <f t="shared" si="18"/>
        <v>3.5528659270006693</v>
      </c>
      <c r="P51" s="44">
        <f t="shared" si="18"/>
        <v>1.7986902750381901</v>
      </c>
      <c r="Q51" s="44">
        <f t="shared" si="18"/>
        <v>13.905189621949578</v>
      </c>
      <c r="R51" s="44">
        <f t="shared" si="18"/>
        <v>63.077807604952504</v>
      </c>
      <c r="S51" s="44">
        <f t="shared" si="18"/>
        <v>-19.489797187932197</v>
      </c>
      <c r="T51" s="44">
        <f t="shared" si="18"/>
        <v>15.786512826034496</v>
      </c>
      <c r="U51" s="44">
        <f t="shared" si="18"/>
        <v>9.425054550015366</v>
      </c>
      <c r="V51" s="44">
        <f t="shared" si="18"/>
        <v>5.8773678820542772</v>
      </c>
      <c r="W51" s="44">
        <f t="shared" si="18"/>
        <v>1.9109420548791509</v>
      </c>
      <c r="X51" s="44">
        <f t="shared" si="18"/>
        <v>1.4210848712001363</v>
      </c>
      <c r="Y51" s="44">
        <f t="shared" si="18"/>
        <v>4.8346069054159493</v>
      </c>
      <c r="Z51" s="44">
        <f t="shared" si="18"/>
        <v>3.134769694861264</v>
      </c>
      <c r="AA51" s="44">
        <f t="shared" si="18"/>
        <v>4.7807647318899269</v>
      </c>
      <c r="AB51" s="44">
        <f t="shared" si="18"/>
        <v>3.0349502398283978</v>
      </c>
      <c r="AC51" s="44">
        <f t="shared" si="18"/>
        <v>2.7449953956588864</v>
      </c>
      <c r="AD51" s="44">
        <f t="shared" si="18"/>
        <v>0.74984234125548788</v>
      </c>
      <c r="AE51" s="44">
        <f t="shared" si="18"/>
        <v>0.59477008084434246</v>
      </c>
      <c r="AF51" s="44">
        <f t="shared" si="18"/>
        <v>0.40715229511338957</v>
      </c>
      <c r="AG51" s="44">
        <f t="shared" si="18"/>
        <v>2.2194324216246422</v>
      </c>
      <c r="AH51" s="44">
        <f t="shared" si="18"/>
        <v>1.5714562999048958</v>
      </c>
      <c r="AI51" s="44">
        <f t="shared" si="18"/>
        <v>1.5344695600134557</v>
      </c>
      <c r="AJ51" s="44">
        <f t="shared" si="18"/>
        <v>1.91068942506738</v>
      </c>
      <c r="AK51" s="44">
        <f t="shared" si="18"/>
        <v>3.5606928340895334</v>
      </c>
      <c r="AL51" s="44">
        <f t="shared" si="18"/>
        <v>20.967992570510333</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466</v>
      </c>
      <c r="E52" s="76">
        <f>资产资本表!E68</f>
        <v>7034358934.5799999</v>
      </c>
      <c r="F52" s="76">
        <f>资产资本表!F68</f>
        <v>13684882235.849998</v>
      </c>
      <c r="G52" s="76">
        <f>资产资本表!G68</f>
        <v>13341715834.080002</v>
      </c>
      <c r="H52" s="76">
        <f>资产资本表!H68</f>
        <v>13087110391.340002</v>
      </c>
      <c r="I52" s="76">
        <f>资产资本表!I68</f>
        <v>11886648716.83</v>
      </c>
      <c r="J52" s="76">
        <f>资产资本表!J68</f>
        <v>10793313132.559998</v>
      </c>
      <c r="K52" s="76">
        <f>资产资本表!K68</f>
        <v>8980404311.0300007</v>
      </c>
      <c r="L52" s="76">
        <f>资产资本表!L68</f>
        <v>8270099738.9199991</v>
      </c>
      <c r="M52" s="76">
        <f>资产资本表!M68</f>
        <v>7694293447.9699984</v>
      </c>
      <c r="N52" s="76">
        <f>资产资本表!N68</f>
        <v>6741437964.8000002</v>
      </c>
      <c r="O52" s="76">
        <f>资产资本表!O68</f>
        <v>5972094695.3500004</v>
      </c>
      <c r="P52" s="76">
        <f>资产资本表!P68</f>
        <v>5566864477.5900002</v>
      </c>
      <c r="Q52" s="76">
        <f>资产资本表!Q68</f>
        <v>5246144846.25</v>
      </c>
      <c r="R52" s="76">
        <f>资产资本表!R68</f>
        <v>4586965197.2700005</v>
      </c>
      <c r="S52" s="76">
        <f>资产资本表!S68</f>
        <v>4152086072.1000004</v>
      </c>
      <c r="T52" s="76">
        <f>资产资本表!T68</f>
        <v>3067887840.1799998</v>
      </c>
      <c r="U52" s="76">
        <f>资产资本表!U68</f>
        <v>2913659147.3400002</v>
      </c>
      <c r="V52" s="76">
        <f>资产资本表!V68</f>
        <v>2538576392.79</v>
      </c>
      <c r="W52" s="76">
        <f>资产资本表!W68</f>
        <v>2417703065.2000003</v>
      </c>
      <c r="X52" s="76">
        <f>资产资本表!X68</f>
        <v>2130184992.9900002</v>
      </c>
      <c r="Y52" s="76">
        <f>资产资本表!Y68</f>
        <v>1989743263.0699999</v>
      </c>
      <c r="Z52" s="76">
        <f>资产资本表!Z68</f>
        <v>1708907013.7100003</v>
      </c>
      <c r="AA52" s="76">
        <f>资产资本表!AA68</f>
        <v>1538387007.6300004</v>
      </c>
      <c r="AB52" s="76">
        <f>资产资本表!AB68</f>
        <v>1341911127.7</v>
      </c>
      <c r="AC52" s="76">
        <f>资产资本表!AC68</f>
        <v>1090654755.0799999</v>
      </c>
      <c r="AD52" s="76">
        <f>资产资本表!AD68</f>
        <v>683348839.65999997</v>
      </c>
      <c r="AE52" s="76">
        <f>资产资本表!AE68</f>
        <v>492115286.21999997</v>
      </c>
      <c r="AF52" s="76">
        <f>资产资本表!AF68</f>
        <v>405790777.05000007</v>
      </c>
      <c r="AG52" s="76">
        <f>资产资本表!AG68</f>
        <v>357958064.82000005</v>
      </c>
      <c r="AH52" s="76">
        <f>资产资本表!AH68</f>
        <v>269202063.73000002</v>
      </c>
      <c r="AI52" s="76">
        <f>资产资本表!AI68</f>
        <v>226730876.22999999</v>
      </c>
      <c r="AJ52" s="76">
        <f>资产资本表!AJ68</f>
        <v>169812508.78999999</v>
      </c>
      <c r="AK52" s="76">
        <f>资产资本表!AK68</f>
        <v>62677692.899999999</v>
      </c>
      <c r="AL52" s="76">
        <f>资产资本表!AL68</f>
        <v>53016126.919999994</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467</v>
      </c>
      <c r="E53" s="44">
        <f>E49/E52</f>
        <v>0.99870021810871024</v>
      </c>
      <c r="F53" s="44">
        <f t="shared" ref="F53:BQ53" si="20">F49/F52</f>
        <v>0.44535582690686187</v>
      </c>
      <c r="G53" s="44">
        <f t="shared" si="20"/>
        <v>0.41530539414476147</v>
      </c>
      <c r="H53" s="44">
        <f t="shared" si="20"/>
        <v>0.31454368590059023</v>
      </c>
      <c r="I53" s="44">
        <f t="shared" si="20"/>
        <v>1.8466896711930432</v>
      </c>
      <c r="J53" s="44">
        <f t="shared" si="20"/>
        <v>1.5540945939897437</v>
      </c>
      <c r="K53" s="44">
        <f t="shared" si="20"/>
        <v>1.1205663018145133</v>
      </c>
      <c r="L53" s="44">
        <f t="shared" si="20"/>
        <v>0.56039374499795636</v>
      </c>
      <c r="M53" s="44">
        <f t="shared" si="20"/>
        <v>1.6917375470718796</v>
      </c>
      <c r="N53" s="44">
        <f t="shared" si="20"/>
        <v>1.2423127518015309</v>
      </c>
      <c r="O53" s="44">
        <f t="shared" si="20"/>
        <v>0.74692603644299316</v>
      </c>
      <c r="P53" s="44">
        <f t="shared" si="20"/>
        <v>0.38324225331485234</v>
      </c>
      <c r="Q53" s="44">
        <f t="shared" si="20"/>
        <v>1.2997999144560886</v>
      </c>
      <c r="R53" s="44">
        <f t="shared" si="20"/>
        <v>1.0344848610327679</v>
      </c>
      <c r="S53" s="44">
        <f t="shared" si="20"/>
        <v>0.70778924187225289</v>
      </c>
      <c r="T53" s="44">
        <f t="shared" si="20"/>
        <v>0.33474095575141583</v>
      </c>
      <c r="U53" s="44">
        <f t="shared" si="20"/>
        <v>0.8104052709856876</v>
      </c>
      <c r="V53" s="44">
        <f t="shared" si="20"/>
        <v>0.53781039672377517</v>
      </c>
      <c r="W53" s="44">
        <f t="shared" si="20"/>
        <v>0.31100602961257312</v>
      </c>
      <c r="X53" s="44">
        <f t="shared" si="20"/>
        <v>0.16049610782400481</v>
      </c>
      <c r="Y53" s="44">
        <f t="shared" si="20"/>
        <v>0.58666219325147861</v>
      </c>
      <c r="Z53" s="44">
        <f t="shared" si="20"/>
        <v>0.48495044131794729</v>
      </c>
      <c r="AA53" s="44">
        <f t="shared" si="20"/>
        <v>0.35945132982623107</v>
      </c>
      <c r="AB53" s="44">
        <f t="shared" si="20"/>
        <v>0.20553407475853366</v>
      </c>
      <c r="AC53" s="44">
        <f t="shared" si="20"/>
        <v>0.54880417796931136</v>
      </c>
      <c r="AD53" s="44">
        <f t="shared" si="20"/>
        <v>0.52081096159770424</v>
      </c>
      <c r="AE53" s="44">
        <f t="shared" si="20"/>
        <v>0.45335593127717172</v>
      </c>
      <c r="AF53" s="44">
        <f t="shared" si="20"/>
        <v>0.25814285315088087</v>
      </c>
      <c r="AG53" s="44">
        <f t="shared" si="20"/>
        <v>0.66560356942875032</v>
      </c>
      <c r="AH53" s="44">
        <f t="shared" si="20"/>
        <v>0.64283738345916286</v>
      </c>
      <c r="AI53" s="44">
        <f t="shared" si="20"/>
        <v>0.44975504543349604</v>
      </c>
      <c r="AJ53" s="44">
        <f t="shared" si="20"/>
        <v>0.2659022054484777</v>
      </c>
      <c r="AK53" s="44">
        <f t="shared" si="20"/>
        <v>2.3250922083636554</v>
      </c>
      <c r="AL53" s="44">
        <f t="shared" si="20"/>
        <v>1.9550838843132905</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468</v>
      </c>
      <c r="E54" s="76">
        <f>资产资本表!E17</f>
        <v>1733731034.9100001</v>
      </c>
      <c r="F54" s="76">
        <f>资产资本表!F17</f>
        <v>3299446356.0100002</v>
      </c>
      <c r="G54" s="76">
        <f>资产资本表!G17</f>
        <v>5441305129.0899992</v>
      </c>
      <c r="H54" s="76">
        <f>资产资本表!H17</f>
        <v>5962901748.71</v>
      </c>
      <c r="I54" s="76">
        <f>资产资本表!I17</f>
        <v>6091927356.1699991</v>
      </c>
      <c r="J54" s="76">
        <f>资产资本表!J17</f>
        <v>7562822655.7300005</v>
      </c>
      <c r="K54" s="76">
        <f>资产资本表!K17</f>
        <v>6532309828.4700012</v>
      </c>
      <c r="L54" s="76">
        <f>资产资本表!L17</f>
        <v>2808231990.5700002</v>
      </c>
      <c r="M54" s="76">
        <f>资产资本表!M17</f>
        <v>2889307902.3699999</v>
      </c>
      <c r="N54" s="76">
        <f>资产资本表!N17</f>
        <v>3413136644.77</v>
      </c>
      <c r="O54" s="76">
        <f>资产资本表!O17</f>
        <v>1232837644.6799998</v>
      </c>
      <c r="P54" s="76">
        <f>资产资本表!P17</f>
        <v>737402890.25</v>
      </c>
      <c r="Q54" s="76">
        <f>资产资本表!Q17</f>
        <v>519850156.29000002</v>
      </c>
      <c r="R54" s="76">
        <f>资产资本表!R17</f>
        <v>420605212.93000001</v>
      </c>
      <c r="S54" s="76">
        <f>资产资本表!S17</f>
        <v>1028350168.02</v>
      </c>
      <c r="T54" s="76">
        <f>资产资本表!T17</f>
        <v>892475943.33000004</v>
      </c>
      <c r="U54" s="76">
        <f>资产资本表!U17</f>
        <v>608218105.28999996</v>
      </c>
      <c r="V54" s="76">
        <f>资产资本表!V17</f>
        <v>514951299.14999998</v>
      </c>
      <c r="W54" s="76">
        <f>资产资本表!W17</f>
        <v>220208941.77000001</v>
      </c>
      <c r="X54" s="76">
        <f>资产资本表!X17</f>
        <v>311140576.07999998</v>
      </c>
      <c r="Y54" s="76">
        <f>资产资本表!Y17</f>
        <v>193520396.46000001</v>
      </c>
      <c r="Z54" s="76">
        <f>资产资本表!Z17</f>
        <v>235316894.03999999</v>
      </c>
      <c r="AA54" s="76">
        <f>资产资本表!AA17</f>
        <v>236059277.34</v>
      </c>
      <c r="AB54" s="76">
        <f>资产资本表!AB17</f>
        <v>102103605.79000001</v>
      </c>
      <c r="AC54" s="76">
        <f>资产资本表!AC17</f>
        <v>133398455.5</v>
      </c>
      <c r="AD54" s="76">
        <f>资产资本表!AD17</f>
        <v>111085605.84</v>
      </c>
      <c r="AE54" s="76">
        <f>资产资本表!AE17</f>
        <v>314833518.51999998</v>
      </c>
      <c r="AF54" s="76">
        <f>资产资本表!AF17</f>
        <v>374656051.39999998</v>
      </c>
      <c r="AG54" s="76">
        <f>资产资本表!AG17</f>
        <v>543353279.10000002</v>
      </c>
      <c r="AH54" s="76">
        <f>资产资本表!AH17</f>
        <v>566092532.38999999</v>
      </c>
      <c r="AI54" s="76">
        <f>资产资本表!AI17</f>
        <v>20506299.109999999</v>
      </c>
      <c r="AJ54" s="76">
        <f>资产资本表!AJ17</f>
        <v>33561197.539999999</v>
      </c>
      <c r="AK54" s="76">
        <f>资产资本表!AK17</f>
        <v>39065039.079999998</v>
      </c>
      <c r="AL54" s="76">
        <f>资产资本表!AL17</f>
        <v>1656390.72</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469</v>
      </c>
      <c r="E55" s="44">
        <f>E49/E54</f>
        <v>4.052079394532317</v>
      </c>
      <c r="F55" s="44">
        <f t="shared" ref="F55:BQ55" si="22">F49/F54</f>
        <v>1.847171127110008</v>
      </c>
      <c r="G55" s="44">
        <f t="shared" si="22"/>
        <v>1.0183010181541969</v>
      </c>
      <c r="H55" s="44">
        <f t="shared" si="22"/>
        <v>0.6903464309420404</v>
      </c>
      <c r="I55" s="44">
        <f t="shared" si="22"/>
        <v>3.6032851554340573</v>
      </c>
      <c r="J55" s="44">
        <f t="shared" si="22"/>
        <v>2.2179324247199217</v>
      </c>
      <c r="K55" s="44">
        <f t="shared" si="22"/>
        <v>1.54051762881048</v>
      </c>
      <c r="L55" s="44">
        <f t="shared" si="22"/>
        <v>1.6503309483556274</v>
      </c>
      <c r="M55" s="44">
        <f t="shared" si="22"/>
        <v>4.505136027019768</v>
      </c>
      <c r="N55" s="44">
        <f t="shared" si="22"/>
        <v>2.453747160103624</v>
      </c>
      <c r="O55" s="44">
        <f t="shared" si="22"/>
        <v>3.6182485498468377</v>
      </c>
      <c r="P55" s="44">
        <f t="shared" si="22"/>
        <v>2.8932049419642207</v>
      </c>
      <c r="Q55" s="44">
        <f t="shared" si="22"/>
        <v>13.117123347705668</v>
      </c>
      <c r="R55" s="44">
        <f t="shared" si="22"/>
        <v>11.281710042546999</v>
      </c>
      <c r="S55" s="44">
        <f t="shared" si="22"/>
        <v>2.8577832187438745</v>
      </c>
      <c r="T55" s="44">
        <f t="shared" si="22"/>
        <v>1.1506727048891199</v>
      </c>
      <c r="U55" s="44">
        <f t="shared" si="22"/>
        <v>3.8822335447152669</v>
      </c>
      <c r="V55" s="44">
        <f t="shared" si="22"/>
        <v>2.6512658171240195</v>
      </c>
      <c r="W55" s="44">
        <f t="shared" si="22"/>
        <v>3.41457628852943</v>
      </c>
      <c r="X55" s="44">
        <f t="shared" si="22"/>
        <v>1.0988165048331553</v>
      </c>
      <c r="Y55" s="44">
        <f t="shared" si="22"/>
        <v>6.0319592563530033</v>
      </c>
      <c r="Z55" s="44">
        <f t="shared" si="22"/>
        <v>3.5217837369939478</v>
      </c>
      <c r="AA55" s="44">
        <f t="shared" si="22"/>
        <v>2.3425271055267221</v>
      </c>
      <c r="AB55" s="44">
        <f t="shared" si="22"/>
        <v>2.7012607430071056</v>
      </c>
      <c r="AC55" s="44">
        <f t="shared" si="22"/>
        <v>4.4869776345349059</v>
      </c>
      <c r="AD55" s="44">
        <f t="shared" si="22"/>
        <v>3.2037955196698236</v>
      </c>
      <c r="AE55" s="44">
        <f t="shared" si="22"/>
        <v>0.7086392355197314</v>
      </c>
      <c r="AF55" s="44">
        <f t="shared" si="22"/>
        <v>0.27959508081763768</v>
      </c>
      <c r="AG55" s="44">
        <f t="shared" si="22"/>
        <v>0.43849586413584596</v>
      </c>
      <c r="AH55" s="44">
        <f t="shared" si="22"/>
        <v>0.30569763840441888</v>
      </c>
      <c r="AI55" s="44">
        <f t="shared" si="22"/>
        <v>4.9727820214166378</v>
      </c>
      <c r="AJ55" s="44">
        <f t="shared" si="22"/>
        <v>1.3454085047526585</v>
      </c>
      <c r="AK55" s="44">
        <f t="shared" si="22"/>
        <v>3.7304817512549131</v>
      </c>
      <c r="AL55" s="44">
        <f t="shared" si="22"/>
        <v>62.576404285819713</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443</v>
      </c>
      <c r="E56" s="76">
        <f>资产资本表!E19</f>
        <v>2089964469.5799999</v>
      </c>
      <c r="F56" s="76">
        <f>资产资本表!F19</f>
        <v>2054173290.46</v>
      </c>
      <c r="G56" s="76">
        <f>资产资本表!G19</f>
        <v>2048530442.8599999</v>
      </c>
      <c r="H56" s="76">
        <f>资产资本表!H19</f>
        <v>2073200290.8199999</v>
      </c>
      <c r="I56" s="76">
        <f>资产资本表!I19</f>
        <v>2070302115.5899999</v>
      </c>
      <c r="J56" s="76">
        <f>资产资本表!J19</f>
        <v>1984954891.5</v>
      </c>
      <c r="K56" s="76">
        <f>资产资本表!K19</f>
        <v>1963104979.0799999</v>
      </c>
      <c r="L56" s="76">
        <f>资产资本表!L19</f>
        <v>14045233.25</v>
      </c>
      <c r="M56" s="76">
        <f>资产资本表!M19</f>
        <v>10045254.039999999</v>
      </c>
      <c r="N56" s="76">
        <f>资产资本表!N19</f>
        <v>0</v>
      </c>
      <c r="O56" s="76">
        <f>资产资本表!O19</f>
        <v>0</v>
      </c>
      <c r="P56" s="76">
        <f>资产资本表!P19</f>
        <v>0</v>
      </c>
      <c r="Q56" s="76">
        <f>资产资本表!Q19</f>
        <v>0</v>
      </c>
      <c r="R56" s="76">
        <f>资产资本表!R19</f>
        <v>20000000</v>
      </c>
      <c r="S56" s="76">
        <f>资产资本表!S19</f>
        <v>20000000</v>
      </c>
      <c r="T56" s="76">
        <f>资产资本表!T19</f>
        <v>20289633.550000001</v>
      </c>
      <c r="U56" s="76">
        <f>资产资本表!U19</f>
        <v>20318733.870000001</v>
      </c>
      <c r="V56" s="76">
        <f>资产资本表!V19</f>
        <v>20328863.57</v>
      </c>
      <c r="W56" s="76">
        <f>资产资本表!W19</f>
        <v>20328863.57</v>
      </c>
      <c r="X56" s="76">
        <f>资产资本表!X19</f>
        <v>20000000</v>
      </c>
      <c r="Y56" s="76">
        <f>资产资本表!Y19</f>
        <v>20000000</v>
      </c>
      <c r="Z56" s="76">
        <f>资产资本表!Z19</f>
        <v>20000000</v>
      </c>
      <c r="AA56" s="76">
        <f>资产资本表!AA19</f>
        <v>20000000</v>
      </c>
      <c r="AB56" s="76">
        <f>资产资本表!AB19</f>
        <v>20000000</v>
      </c>
      <c r="AC56" s="76">
        <f>资产资本表!AC19</f>
        <v>20000000</v>
      </c>
      <c r="AD56" s="76">
        <f>资产资本表!AD19</f>
        <v>22000000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470</v>
      </c>
      <c r="E57" s="117">
        <f>E49/E56</f>
        <v>3.3614044183400833</v>
      </c>
      <c r="F57" s="117">
        <f t="shared" ref="F57:BQ57" si="24">F49/F56</f>
        <v>2.9669561339224697</v>
      </c>
      <c r="G57" s="117">
        <f t="shared" si="24"/>
        <v>2.7048104519766092</v>
      </c>
      <c r="H57" s="117">
        <f t="shared" si="24"/>
        <v>1.9855621082572004</v>
      </c>
      <c r="I57" s="117">
        <f t="shared" si="24"/>
        <v>10.602776882259217</v>
      </c>
      <c r="J57" s="117">
        <f t="shared" si="24"/>
        <v>8.450484019752345</v>
      </c>
      <c r="K57" s="117">
        <f t="shared" si="24"/>
        <v>5.1261336275179961</v>
      </c>
      <c r="L57" s="117">
        <f t="shared" si="24"/>
        <v>329.97046625765364</v>
      </c>
      <c r="M57" s="117">
        <f t="shared" si="24"/>
        <v>1295.8084556435967</v>
      </c>
      <c r="N57" s="117" t="e">
        <f t="shared" si="24"/>
        <v>#DIV/0!</v>
      </c>
      <c r="O57" s="117" t="e">
        <f t="shared" si="24"/>
        <v>#DIV/0!</v>
      </c>
      <c r="P57" s="117" t="e">
        <f t="shared" si="24"/>
        <v>#DIV/0!</v>
      </c>
      <c r="Q57" s="117" t="e">
        <f t="shared" si="24"/>
        <v>#DIV/0!</v>
      </c>
      <c r="R57" s="117">
        <f t="shared" si="24"/>
        <v>237.25730273299999</v>
      </c>
      <c r="S57" s="117">
        <f t="shared" si="24"/>
        <v>146.940092658</v>
      </c>
      <c r="T57" s="117">
        <f t="shared" si="24"/>
        <v>50.614403913667523</v>
      </c>
      <c r="U57" s="117">
        <f t="shared" si="24"/>
        <v>116.21022973022482</v>
      </c>
      <c r="V57" s="117">
        <f t="shared" si="24"/>
        <v>67.159326059661296</v>
      </c>
      <c r="W57" s="117">
        <f t="shared" si="24"/>
        <v>36.987814321290173</v>
      </c>
      <c r="X57" s="117">
        <f t="shared" si="24"/>
        <v>17.094320016000001</v>
      </c>
      <c r="Y57" s="117">
        <f t="shared" si="24"/>
        <v>58.365357336000002</v>
      </c>
      <c r="Z57" s="117">
        <f t="shared" si="24"/>
        <v>41.436760523499998</v>
      </c>
      <c r="AA57" s="117">
        <f t="shared" si="24"/>
        <v>27.648762783999999</v>
      </c>
      <c r="AB57" s="117">
        <f t="shared" si="24"/>
        <v>13.790423102000002</v>
      </c>
      <c r="AC57" s="117">
        <f t="shared" si="24"/>
        <v>29.927794315499998</v>
      </c>
      <c r="AD57" s="117">
        <f t="shared" si="24"/>
        <v>16.177071195</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693</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39813</v>
      </c>
      <c r="AO61" s="1">
        <v>39447</v>
      </c>
      <c r="AP61" s="1">
        <v>25569</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463</v>
      </c>
      <c r="E63" s="76">
        <f>E49</f>
        <v>7025215802.2200003</v>
      </c>
      <c r="F63" s="76">
        <f t="shared" ref="F63:BQ63" si="26">F49</f>
        <v>6094642044.2700005</v>
      </c>
      <c r="G63" s="76">
        <f t="shared" si="26"/>
        <v>5540886553.04</v>
      </c>
      <c r="H63" s="76">
        <f t="shared" si="26"/>
        <v>4116467940.2800002</v>
      </c>
      <c r="I63" s="76">
        <f t="shared" si="26"/>
        <v>21950951410.470001</v>
      </c>
      <c r="J63" s="76">
        <f t="shared" si="26"/>
        <v>16773829590.549999</v>
      </c>
      <c r="K63" s="76">
        <f t="shared" si="26"/>
        <v>10063138447.610001</v>
      </c>
      <c r="L63" s="76">
        <f t="shared" si="26"/>
        <v>4634512164.1999998</v>
      </c>
      <c r="M63" s="76">
        <f t="shared" si="26"/>
        <v>13016725124.120001</v>
      </c>
      <c r="N63" s="76">
        <f t="shared" si="26"/>
        <v>8374974349.1499996</v>
      </c>
      <c r="O63" s="76">
        <f t="shared" si="26"/>
        <v>4460713020.0600004</v>
      </c>
      <c r="P63" s="76">
        <f t="shared" si="26"/>
        <v>2133457686.29</v>
      </c>
      <c r="Q63" s="76">
        <f t="shared" si="26"/>
        <v>6818938622.3800001</v>
      </c>
      <c r="R63" s="76">
        <f t="shared" si="26"/>
        <v>4745146054.6599998</v>
      </c>
      <c r="S63" s="76">
        <f t="shared" si="26"/>
        <v>2938801853.1599998</v>
      </c>
      <c r="T63" s="76">
        <f t="shared" si="26"/>
        <v>1026947707.76</v>
      </c>
      <c r="U63" s="76">
        <f t="shared" si="26"/>
        <v>2361244730.8600001</v>
      </c>
      <c r="V63" s="76">
        <f t="shared" si="26"/>
        <v>1365272776.9200001</v>
      </c>
      <c r="W63" s="76">
        <f t="shared" si="26"/>
        <v>751920231.09000003</v>
      </c>
      <c r="X63" s="76">
        <f t="shared" si="26"/>
        <v>341886400.31999999</v>
      </c>
      <c r="Y63" s="76">
        <f t="shared" si="26"/>
        <v>1167307146.72</v>
      </c>
      <c r="Z63" s="76">
        <f t="shared" si="26"/>
        <v>828735210.47000003</v>
      </c>
      <c r="AA63" s="76">
        <f t="shared" si="26"/>
        <v>552975255.67999995</v>
      </c>
      <c r="AB63" s="76">
        <f t="shared" si="26"/>
        <v>275808462.04000002</v>
      </c>
      <c r="AC63" s="76">
        <f t="shared" si="26"/>
        <v>598555886.30999994</v>
      </c>
      <c r="AD63" s="76">
        <f t="shared" si="26"/>
        <v>355895566.29000002</v>
      </c>
      <c r="AE63" s="76">
        <f t="shared" si="26"/>
        <v>223103383.88</v>
      </c>
      <c r="AF63" s="76">
        <f t="shared" si="26"/>
        <v>104751988.97</v>
      </c>
      <c r="AG63" s="76">
        <f t="shared" si="26"/>
        <v>238258165.65000001</v>
      </c>
      <c r="AH63" s="76">
        <f t="shared" si="26"/>
        <v>173053150.27000001</v>
      </c>
      <c r="AI63" s="76">
        <f t="shared" si="26"/>
        <v>101973355.54000001</v>
      </c>
      <c r="AJ63" s="76">
        <f t="shared" si="26"/>
        <v>45153520.600000001</v>
      </c>
      <c r="AK63" s="76">
        <f t="shared" si="26"/>
        <v>145731415.40000001</v>
      </c>
      <c r="AL63" s="76">
        <f t="shared" si="26"/>
        <v>103650975.34999999</v>
      </c>
      <c r="AM63" s="76">
        <f t="shared" si="26"/>
        <v>59792579.990000002</v>
      </c>
      <c r="AN63" s="76">
        <f t="shared" si="26"/>
        <v>73607120.709999993</v>
      </c>
      <c r="AO63" s="76">
        <f t="shared" si="26"/>
        <v>36916305.039999999</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6" t="s">
        <v>473</v>
      </c>
      <c r="E64" s="76">
        <f>资产资本表!E22+资产资本表!E23-资产资本表!E37</f>
        <v>3159653136.4699998</v>
      </c>
      <c r="F64" s="76">
        <f>资产资本表!F22+资产资本表!F23-资产资本表!F37</f>
        <v>8931157825.4699993</v>
      </c>
      <c r="G64" s="76">
        <f>资产资本表!G22+资产资本表!G23-资产资本表!G37</f>
        <v>9234911101.2099991</v>
      </c>
      <c r="H64" s="76">
        <f>资产资本表!H22+资产资本表!H23-资产资本表!H37</f>
        <v>9536508616.7300014</v>
      </c>
      <c r="I64" s="76">
        <f>资产资本表!I22+资产资本表!I23-资产资本表!I37</f>
        <v>8509069956.0299997</v>
      </c>
      <c r="J64" s="76">
        <f>资产资本表!J22+资产资本表!J23-资产资本表!J37</f>
        <v>4631424395.7200003</v>
      </c>
      <c r="K64" s="76">
        <f>资产资本表!K22+资产资本表!K23-资产资本表!K37</f>
        <v>3725409486.3299999</v>
      </c>
      <c r="L64" s="76">
        <f>资产资本表!L22+资产资本表!L23-资产资本表!L37</f>
        <v>3741613976.3699999</v>
      </c>
      <c r="M64" s="76">
        <f>资产资本表!M22+资产资本表!M23-资产资本表!M37</f>
        <v>2535737760.77</v>
      </c>
      <c r="N64" s="76">
        <f>资产资本表!N22+资产资本表!N23-资产资本表!N37</f>
        <v>3491741522.6199999</v>
      </c>
      <c r="O64" s="76">
        <f>资产资本表!O22+资产资本表!O23-资产资本表!O37</f>
        <v>2219466030.3700004</v>
      </c>
      <c r="P64" s="76">
        <f>资产资本表!P22+资产资本表!P23-资产资本表!P37</f>
        <v>2139813145.5200002</v>
      </c>
      <c r="Q64" s="76">
        <f>资产资本表!Q22+资产资本表!Q23-资产资本表!Q37</f>
        <v>1580547999.6500001</v>
      </c>
      <c r="R64" s="76">
        <f>资产资本表!R22+资产资本表!R23-资产资本表!R37</f>
        <v>1443915579.1900001</v>
      </c>
      <c r="S64" s="76">
        <f>资产资本表!S22+资产资本表!S23-资产资本表!S37</f>
        <v>1373560145.8699999</v>
      </c>
      <c r="T64" s="76">
        <f>资产资本表!T22+资产资本表!T23-资产资本表!T37</f>
        <v>1146546581.95</v>
      </c>
      <c r="U64" s="76">
        <f>资产资本表!U22+资产资本表!U23-资产资本表!U37</f>
        <v>960283627.35000002</v>
      </c>
      <c r="V64" s="76">
        <f>资产资本表!V22+资产资本表!V23-资产资本表!V37</f>
        <v>748819887.45000005</v>
      </c>
      <c r="W64" s="76">
        <f>资产资本表!W22+资产资本表!W23-资产资本表!W37</f>
        <v>597692216.02999997</v>
      </c>
      <c r="X64" s="76">
        <f>资产资本表!X22+资产资本表!X23-资产资本表!X37</f>
        <v>547648917.77999997</v>
      </c>
      <c r="Y64" s="76">
        <f>资产资本表!Y22+资产资本表!Y23-资产资本表!Y37</f>
        <v>368991051.78000003</v>
      </c>
      <c r="Z64" s="76">
        <f>资产资本表!Z22+资产资本表!Z23-资产资本表!Z37</f>
        <v>369631960.08999997</v>
      </c>
      <c r="AA64" s="76">
        <f>资产资本表!AA22+资产资本表!AA23-资产资本表!AA37</f>
        <v>267859662.79999998</v>
      </c>
      <c r="AB64" s="76">
        <f>资产资本表!AB22+资产资本表!AB23-资产资本表!AB37</f>
        <v>215805155.67000002</v>
      </c>
      <c r="AC64" s="76">
        <f>资产资本表!AC22+资产资本表!AC23-资产资本表!AC37</f>
        <v>163066265.84</v>
      </c>
      <c r="AD64" s="76">
        <f>资产资本表!AD22+资产资本表!AD23-资产资本表!AD37</f>
        <v>122215111.09999999</v>
      </c>
      <c r="AE64" s="76">
        <f>资产资本表!AE22+资产资本表!AE23-资产资本表!AE37</f>
        <v>133268592.75</v>
      </c>
      <c r="AF64" s="76">
        <f>资产资本表!AF22+资产资本表!AF23-资产资本表!AF37</f>
        <v>127627284.56</v>
      </c>
      <c r="AG64" s="76">
        <f>资产资本表!AG22+资产资本表!AG23-资产资本表!AG37</f>
        <v>67702756.590000004</v>
      </c>
      <c r="AH64" s="76">
        <f>资产资本表!AH22+资产资本表!AH23-资产资本表!AH37</f>
        <v>94493125.650000006</v>
      </c>
      <c r="AI64" s="76">
        <f>资产资本表!AI22+资产资本表!AI23-资产资本表!AI37</f>
        <v>47482374.229999997</v>
      </c>
      <c r="AJ64" s="76">
        <f>资产资本表!AJ22+资产资本表!AJ23-资产资本表!AJ37</f>
        <v>20201002.380000003</v>
      </c>
      <c r="AK64" s="76">
        <f>资产资本表!AK22+资产资本表!AK23-资产资本表!AK37</f>
        <v>25451987.379999999</v>
      </c>
      <c r="AL64" s="76">
        <f>资产资本表!AL22+资产资本表!AL23-资产资本表!AL37</f>
        <v>7560591.4900000002</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691</v>
      </c>
      <c r="E65" s="154">
        <f>E63/(E64+I64)*2</f>
        <v>1.2041104663346436</v>
      </c>
      <c r="F65" s="154">
        <f t="shared" ref="F65:BQ65" si="28">F63/(F64+J64)*2</f>
        <v>0.89874360868357539</v>
      </c>
      <c r="G65" s="154">
        <f t="shared" si="28"/>
        <v>0.85505393413909625</v>
      </c>
      <c r="H65" s="154">
        <f t="shared" si="28"/>
        <v>0.62003764634905978</v>
      </c>
      <c r="I65" s="154">
        <f t="shared" si="28"/>
        <v>3.9748906406185633</v>
      </c>
      <c r="J65" s="154">
        <f t="shared" si="28"/>
        <v>4.1298749180240293</v>
      </c>
      <c r="K65" s="154">
        <f t="shared" si="28"/>
        <v>3.3854833189832867</v>
      </c>
      <c r="L65" s="154">
        <f t="shared" si="28"/>
        <v>1.5759821785263222</v>
      </c>
      <c r="M65" s="154">
        <f t="shared" si="28"/>
        <v>6.3245002323608626</v>
      </c>
      <c r="N65" s="154">
        <f t="shared" si="28"/>
        <v>3.3936613408896403</v>
      </c>
      <c r="O65" s="154">
        <f t="shared" si="28"/>
        <v>2.4829838700078772</v>
      </c>
      <c r="P65" s="154">
        <f t="shared" si="28"/>
        <v>1.2983713672346147</v>
      </c>
      <c r="Q65" s="154">
        <f t="shared" si="28"/>
        <v>5.3674856294442685</v>
      </c>
      <c r="R65" s="154">
        <f t="shared" si="28"/>
        <v>4.3280606592560309</v>
      </c>
      <c r="S65" s="154">
        <f t="shared" si="28"/>
        <v>2.9816596900129251</v>
      </c>
      <c r="T65" s="154">
        <f t="shared" si="28"/>
        <v>1.2123131101737223</v>
      </c>
      <c r="U65" s="154">
        <f t="shared" si="28"/>
        <v>3.5526814253400452</v>
      </c>
      <c r="V65" s="154">
        <f t="shared" si="28"/>
        <v>2.4413617446703229</v>
      </c>
      <c r="W65" s="154">
        <f t="shared" si="28"/>
        <v>1.7374353854015077</v>
      </c>
      <c r="X65" s="154">
        <f t="shared" si="28"/>
        <v>0.89563056170500799</v>
      </c>
      <c r="Y65" s="154">
        <f t="shared" si="28"/>
        <v>4.3878999801810865</v>
      </c>
      <c r="Z65" s="154">
        <f t="shared" si="28"/>
        <v>3.3698897849077993</v>
      </c>
      <c r="AA65" s="154">
        <f t="shared" si="28"/>
        <v>2.7570994963782725</v>
      </c>
      <c r="AB65" s="154">
        <f t="shared" si="28"/>
        <v>1.606187591686379</v>
      </c>
      <c r="AC65" s="154">
        <f t="shared" si="28"/>
        <v>5.1874890313023885</v>
      </c>
      <c r="AD65" s="154">
        <f t="shared" si="28"/>
        <v>3.2845596607439522</v>
      </c>
      <c r="AE65" s="154">
        <f t="shared" si="28"/>
        <v>2.4686272788204366</v>
      </c>
      <c r="AF65" s="154">
        <f t="shared" si="28"/>
        <v>1.4172117006607314</v>
      </c>
      <c r="AG65" s="154">
        <f t="shared" si="28"/>
        <v>5.1153200684385931</v>
      </c>
      <c r="AH65" s="154">
        <f t="shared" si="28"/>
        <v>3.3914129758272518</v>
      </c>
      <c r="AI65" s="154">
        <f t="shared" si="28"/>
        <v>4.2952087882569225</v>
      </c>
      <c r="AJ65" s="154">
        <f t="shared" si="28"/>
        <v>4.4704237691397166</v>
      </c>
      <c r="AK65" s="154">
        <f t="shared" si="28"/>
        <v>11.451476320824737</v>
      </c>
      <c r="AL65" s="154">
        <f t="shared" si="28"/>
        <v>27.418747722871611</v>
      </c>
      <c r="AM65" s="154" t="e">
        <f t="shared" si="28"/>
        <v>#DIV/0!</v>
      </c>
      <c r="AN65" s="154" t="e">
        <f t="shared" si="28"/>
        <v>#DIV/0!</v>
      </c>
      <c r="AO65" s="154" t="e">
        <f t="shared" si="28"/>
        <v>#DIV/0!</v>
      </c>
      <c r="AP65" s="154" t="e">
        <f t="shared" si="28"/>
        <v>#DIV/0!</v>
      </c>
      <c r="AQ65" s="154" t="e">
        <f t="shared" si="28"/>
        <v>#DIV/0!</v>
      </c>
      <c r="AR65" s="154" t="e">
        <f t="shared" si="28"/>
        <v>#DIV/0!</v>
      </c>
      <c r="AS65" s="154" t="e">
        <f t="shared" si="28"/>
        <v>#DIV/0!</v>
      </c>
      <c r="AT65" s="154" t="e">
        <f t="shared" si="28"/>
        <v>#DIV/0!</v>
      </c>
      <c r="AU65" s="154" t="e">
        <f t="shared" si="28"/>
        <v>#DIV/0!</v>
      </c>
      <c r="AV65" s="154" t="e">
        <f t="shared" si="28"/>
        <v>#DIV/0!</v>
      </c>
      <c r="AW65" s="154" t="e">
        <f t="shared" si="28"/>
        <v>#DIV/0!</v>
      </c>
      <c r="AX65" s="154" t="e">
        <f t="shared" si="28"/>
        <v>#DIV/0!</v>
      </c>
      <c r="AY65" s="154" t="e">
        <f t="shared" si="28"/>
        <v>#DIV/0!</v>
      </c>
      <c r="AZ65" s="154" t="e">
        <f t="shared" si="28"/>
        <v>#DIV/0!</v>
      </c>
      <c r="BA65" s="154" t="e">
        <f t="shared" si="28"/>
        <v>#DIV/0!</v>
      </c>
      <c r="BB65" s="154" t="e">
        <f t="shared" si="28"/>
        <v>#DIV/0!</v>
      </c>
      <c r="BC65" s="154" t="e">
        <f t="shared" si="28"/>
        <v>#DIV/0!</v>
      </c>
      <c r="BD65" s="154" t="e">
        <f t="shared" si="28"/>
        <v>#DIV/0!</v>
      </c>
      <c r="BE65" s="154" t="e">
        <f t="shared" si="28"/>
        <v>#DIV/0!</v>
      </c>
      <c r="BF65" s="154" t="e">
        <f t="shared" si="28"/>
        <v>#DIV/0!</v>
      </c>
      <c r="BG65" s="154" t="e">
        <f t="shared" si="28"/>
        <v>#DIV/0!</v>
      </c>
      <c r="BH65" s="154" t="e">
        <f t="shared" si="28"/>
        <v>#DIV/0!</v>
      </c>
      <c r="BI65" s="154" t="e">
        <f t="shared" si="28"/>
        <v>#DIV/0!</v>
      </c>
      <c r="BJ65" s="154" t="e">
        <f t="shared" si="28"/>
        <v>#DIV/0!</v>
      </c>
      <c r="BK65" s="154" t="e">
        <f t="shared" si="28"/>
        <v>#DIV/0!</v>
      </c>
      <c r="BL65" s="154" t="e">
        <f t="shared" si="28"/>
        <v>#DIV/0!</v>
      </c>
      <c r="BM65" s="154" t="e">
        <f t="shared" si="28"/>
        <v>#DIV/0!</v>
      </c>
      <c r="BN65" s="154" t="e">
        <f t="shared" si="28"/>
        <v>#DIV/0!</v>
      </c>
      <c r="BO65" s="154" t="e">
        <f t="shared" si="28"/>
        <v>#DIV/0!</v>
      </c>
      <c r="BP65" s="154" t="e">
        <f t="shared" si="28"/>
        <v>#DIV/0!</v>
      </c>
      <c r="BQ65" s="154" t="e">
        <f t="shared" si="28"/>
        <v>#DIV/0!</v>
      </c>
      <c r="BR65" s="154" t="e">
        <f t="shared" ref="BR65:CK65" si="29">BR63/(BR64+BV64)*2</f>
        <v>#DIV/0!</v>
      </c>
      <c r="BS65" s="154" t="e">
        <f t="shared" si="29"/>
        <v>#DIV/0!</v>
      </c>
      <c r="BT65" s="154" t="e">
        <f t="shared" si="29"/>
        <v>#DIV/0!</v>
      </c>
      <c r="BU65" s="154" t="e">
        <f t="shared" si="29"/>
        <v>#DIV/0!</v>
      </c>
      <c r="BV65" s="154" t="e">
        <f t="shared" si="29"/>
        <v>#DIV/0!</v>
      </c>
      <c r="BW65" s="154" t="e">
        <f t="shared" si="29"/>
        <v>#DIV/0!</v>
      </c>
      <c r="BX65" s="154" t="e">
        <f t="shared" si="29"/>
        <v>#DIV/0!</v>
      </c>
      <c r="BY65" s="154" t="e">
        <f t="shared" si="29"/>
        <v>#DIV/0!</v>
      </c>
      <c r="BZ65" s="154" t="e">
        <f t="shared" si="29"/>
        <v>#DIV/0!</v>
      </c>
      <c r="CA65" s="154" t="e">
        <f t="shared" si="29"/>
        <v>#DIV/0!</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474</v>
      </c>
      <c r="E66" s="83">
        <f>E62/E65</f>
        <v>303.12833432224318</v>
      </c>
      <c r="F66" s="83">
        <f t="shared" ref="F66:BQ66" si="30">F62/F65</f>
        <v>406.12249864522505</v>
      </c>
      <c r="G66" s="83">
        <f t="shared" si="30"/>
        <v>426.87365723601653</v>
      </c>
      <c r="H66" s="83">
        <f t="shared" si="30"/>
        <v>588.67393318649818</v>
      </c>
      <c r="I66" s="83">
        <f t="shared" si="30"/>
        <v>91.82642568078289</v>
      </c>
      <c r="J66" s="83">
        <f t="shared" si="30"/>
        <v>88.380400676792675</v>
      </c>
      <c r="K66" s="83">
        <f t="shared" si="30"/>
        <v>107.8132619804534</v>
      </c>
      <c r="L66" s="83">
        <f t="shared" si="30"/>
        <v>231.60160373216033</v>
      </c>
      <c r="M66" s="83">
        <f t="shared" si="30"/>
        <v>57.712069980231426</v>
      </c>
      <c r="N66" s="83">
        <f t="shared" si="30"/>
        <v>107.5534543185491</v>
      </c>
      <c r="O66" s="83">
        <f t="shared" si="30"/>
        <v>147.00055220207372</v>
      </c>
      <c r="P66" s="83">
        <f t="shared" si="30"/>
        <v>281.12141811738275</v>
      </c>
      <c r="Q66" s="83">
        <f t="shared" si="30"/>
        <v>68.00204512849173</v>
      </c>
      <c r="R66" s="83">
        <f t="shared" si="30"/>
        <v>84.333383641333114</v>
      </c>
      <c r="S66" s="83">
        <f t="shared" si="30"/>
        <v>122.41504328028051</v>
      </c>
      <c r="T66" s="83">
        <f t="shared" si="30"/>
        <v>301.07733467280258</v>
      </c>
      <c r="U66" s="83">
        <f t="shared" si="30"/>
        <v>102.73929922243563</v>
      </c>
      <c r="V66" s="83">
        <f t="shared" si="30"/>
        <v>149.50672541536403</v>
      </c>
      <c r="W66" s="83">
        <f t="shared" si="30"/>
        <v>210.07975494619697</v>
      </c>
      <c r="X66" s="83">
        <f t="shared" si="30"/>
        <v>407.53410569772331</v>
      </c>
      <c r="Y66" s="83">
        <f t="shared" si="30"/>
        <v>83.183299903963771</v>
      </c>
      <c r="Z66" s="83">
        <f t="shared" si="30"/>
        <v>108.31214766567994</v>
      </c>
      <c r="AA66" s="83">
        <f t="shared" si="30"/>
        <v>132.38550167647711</v>
      </c>
      <c r="AB66" s="83">
        <f t="shared" si="30"/>
        <v>227.24618337810517</v>
      </c>
      <c r="AC66" s="83">
        <f t="shared" si="30"/>
        <v>70.361594559046594</v>
      </c>
      <c r="AD66" s="83">
        <f t="shared" si="30"/>
        <v>111.12600704513541</v>
      </c>
      <c r="AE66" s="83">
        <f t="shared" si="30"/>
        <v>147.85545113736444</v>
      </c>
      <c r="AF66" s="83">
        <f t="shared" si="30"/>
        <v>257.54797242347769</v>
      </c>
      <c r="AG66" s="83">
        <f t="shared" si="30"/>
        <v>71.354283821268893</v>
      </c>
      <c r="AH66" s="83">
        <f t="shared" si="30"/>
        <v>107.62475776367731</v>
      </c>
      <c r="AI66" s="83">
        <f t="shared" si="30"/>
        <v>84.978406869977547</v>
      </c>
      <c r="AJ66" s="83">
        <f t="shared" si="30"/>
        <v>81.647740538530684</v>
      </c>
      <c r="AK66" s="83">
        <f t="shared" si="30"/>
        <v>31.873619590536133</v>
      </c>
      <c r="AL66" s="83">
        <f t="shared" si="30"/>
        <v>13.312059459795524</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475</v>
      </c>
      <c r="E67" s="76">
        <f>股权价值增加表!E5</f>
        <v>9706710025.6100006</v>
      </c>
      <c r="F67" s="76">
        <f>股权价值增加表!F5</f>
        <v>7081314648.3400002</v>
      </c>
      <c r="G67" s="76">
        <f>股权价值增加表!G5</f>
        <v>5614535512.1999998</v>
      </c>
      <c r="H67" s="76">
        <f>股权价值增加表!H5</f>
        <v>3242219844.21</v>
      </c>
      <c r="I67" s="76">
        <f>股权价值增加表!I5</f>
        <v>18229220564.66</v>
      </c>
      <c r="J67" s="76">
        <f>股权价值增加表!J5</f>
        <v>14245707962.32</v>
      </c>
      <c r="K67" s="76">
        <f>股权价值增加表!K5</f>
        <v>8560174309.6099997</v>
      </c>
      <c r="L67" s="76">
        <f>股权价值增加表!L5</f>
        <v>3909094399</v>
      </c>
      <c r="M67" s="76">
        <f>股权价值增加表!M5</f>
        <v>11112009123.84</v>
      </c>
      <c r="N67" s="76">
        <f>股权价值增加表!N5</f>
        <v>7370724878.0900002</v>
      </c>
      <c r="O67" s="76">
        <f>股权价值增加表!O5</f>
        <v>3787893148.04</v>
      </c>
      <c r="P67" s="76">
        <f>股权价值增加表!P5</f>
        <v>1866500640.98</v>
      </c>
      <c r="Q67" s="76">
        <f>股权价值增加表!Q5</f>
        <v>5828133468.4200001</v>
      </c>
      <c r="R67" s="76">
        <f>股权价值增加表!R5</f>
        <v>4081610878.5500002</v>
      </c>
      <c r="S67" s="76">
        <f>股权价值增加表!S5</f>
        <v>2487947546.4200001</v>
      </c>
      <c r="T67" s="76">
        <f>股权价值增加表!T5</f>
        <v>803278083.25999999</v>
      </c>
      <c r="U67" s="76">
        <f>股权价值增加表!U5</f>
        <v>1668684007.47</v>
      </c>
      <c r="V67" s="76">
        <f>股权价值增加表!V5</f>
        <v>910887880.78999996</v>
      </c>
      <c r="W67" s="76">
        <f>股权价值增加表!W5</f>
        <v>453704141.85000002</v>
      </c>
      <c r="X67" s="76">
        <f>股权价值增加表!X5</f>
        <v>186947889.81999999</v>
      </c>
      <c r="Y67" s="76">
        <f>股权价值增加表!Y5</f>
        <v>684246822.49000001</v>
      </c>
      <c r="Z67" s="76">
        <f>股权价值增加表!Z5</f>
        <v>504623220.58999997</v>
      </c>
      <c r="AA67" s="76">
        <f>股权价值增加表!AA5</f>
        <v>320848865.30000001</v>
      </c>
      <c r="AB67" s="76">
        <f>股权价值增加表!AB5</f>
        <v>153294269.00999999</v>
      </c>
      <c r="AC67" s="76">
        <f>股权价值增加表!AC5</f>
        <v>275090733.32999998</v>
      </c>
      <c r="AD67" s="76">
        <f>股权价值增加表!AD5</f>
        <v>139195015.02000001</v>
      </c>
      <c r="AE67" s="76">
        <f>股权价值增加表!AE5</f>
        <v>86194524.370000005</v>
      </c>
      <c r="AF67" s="76">
        <f>股权价值增加表!AF5</f>
        <v>38086681.520000003</v>
      </c>
      <c r="AG67" s="76">
        <f>股权价值增加表!AG5</f>
        <v>80214851.969999999</v>
      </c>
      <c r="AH67" s="76">
        <f>股权价值增加表!AH5</f>
        <v>58881275.32</v>
      </c>
      <c r="AI67" s="76">
        <f>股权价值增加表!AI5</f>
        <v>34992303.469999999</v>
      </c>
      <c r="AJ67" s="76">
        <f>股权价值增加表!AJ5</f>
        <v>15770790.029999999</v>
      </c>
      <c r="AK67" s="76">
        <f>股权价值增加表!AK5</f>
        <v>49551009.369999997</v>
      </c>
      <c r="AL67" s="76">
        <f>股权价值增加表!AL5</f>
        <v>33338174.170000002</v>
      </c>
      <c r="AM67" s="76">
        <f>股权价值增加表!AM5</f>
        <v>21134492.460000001</v>
      </c>
      <c r="AN67" s="76">
        <f>股权价值增加表!AN5</f>
        <v>14850092.140000001</v>
      </c>
      <c r="AO67" s="76">
        <f>股权价值增加表!AO5</f>
        <v>11821791.91</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476</v>
      </c>
      <c r="E68" s="76">
        <f>资产资本表!E26</f>
        <v>653157850.57000005</v>
      </c>
      <c r="F68" s="76">
        <f>资产资本表!F26</f>
        <v>1230734555.5599999</v>
      </c>
      <c r="G68" s="76">
        <f>资产资本表!G26</f>
        <v>1439652075.0699999</v>
      </c>
      <c r="H68" s="76">
        <f>资产资本表!H26</f>
        <v>1368837455.3900001</v>
      </c>
      <c r="I68" s="76">
        <f>资产资本表!I26</f>
        <v>945179396.74000001</v>
      </c>
      <c r="J68" s="76">
        <f>资产资本表!J26</f>
        <v>1847968181.4000001</v>
      </c>
      <c r="K68" s="76">
        <f>资产资本表!K26</f>
        <v>2041560593.3599999</v>
      </c>
      <c r="L68" s="76">
        <f>资产资本表!L26</f>
        <v>1594583576.05</v>
      </c>
      <c r="M68" s="76">
        <f>资产资本表!M26</f>
        <v>1138787425.0699999</v>
      </c>
      <c r="N68" s="76">
        <f>资产资本表!N26</f>
        <v>539875123.75</v>
      </c>
      <c r="O68" s="76">
        <f>资产资本表!O26</f>
        <v>662120213.14999998</v>
      </c>
      <c r="P68" s="76">
        <f>资产资本表!P26</f>
        <v>775454398.95000005</v>
      </c>
      <c r="Q68" s="76">
        <f>资产资本表!Q26</f>
        <v>733526978.69000006</v>
      </c>
      <c r="R68" s="76">
        <f>资产资本表!R26</f>
        <v>688523485.73000002</v>
      </c>
      <c r="S68" s="76">
        <f>资产资本表!S26</f>
        <v>759085383.42999995</v>
      </c>
      <c r="T68" s="76">
        <f>资产资本表!T26</f>
        <v>165607246.90000001</v>
      </c>
      <c r="U68" s="76">
        <f>资产资本表!U26</f>
        <v>146626151.46000001</v>
      </c>
      <c r="V68" s="76">
        <f>资产资本表!V26</f>
        <v>146709027.59999999</v>
      </c>
      <c r="W68" s="76">
        <f>资产资本表!W26</f>
        <v>58625539.149999999</v>
      </c>
      <c r="X68" s="76">
        <f>资产资本表!X26</f>
        <v>21839774.710000001</v>
      </c>
      <c r="Y68" s="76">
        <f>资产资本表!Y26</f>
        <v>26660434.030000001</v>
      </c>
      <c r="Z68" s="76">
        <f>资产资本表!Z26</f>
        <v>12245837.550000001</v>
      </c>
      <c r="AA68" s="76">
        <f>资产资本表!AA26</f>
        <v>7092733.96</v>
      </c>
      <c r="AB68" s="76">
        <f>资产资本表!AB26</f>
        <v>6168316.7400000002</v>
      </c>
      <c r="AC68" s="76">
        <f>资产资本表!AC26</f>
        <v>5288737.9400000004</v>
      </c>
      <c r="AD68" s="76">
        <f>资产资本表!AD26</f>
        <v>6809425.4699999997</v>
      </c>
      <c r="AE68" s="76">
        <f>资产资本表!AE26</f>
        <v>4519241.28</v>
      </c>
      <c r="AF68" s="76">
        <f>资产资本表!AF26</f>
        <v>3648387.61</v>
      </c>
      <c r="AG68" s="76">
        <f>资产资本表!AG26</f>
        <v>3652147.37</v>
      </c>
      <c r="AH68" s="76">
        <f>资产资本表!AH26</f>
        <v>2171934.36</v>
      </c>
      <c r="AI68" s="76">
        <f>资产资本表!AI26</f>
        <v>1390574.82</v>
      </c>
      <c r="AJ68" s="76">
        <f>资产资本表!AJ26</f>
        <v>1192872.8</v>
      </c>
      <c r="AK68" s="76">
        <f>资产资本表!AK26</f>
        <v>430410</v>
      </c>
      <c r="AL68" s="76">
        <f>资产资本表!AL26</f>
        <v>442910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477</v>
      </c>
      <c r="E69" s="154">
        <f>E67/(E68+I68)*2</f>
        <v>12.146009913672955</v>
      </c>
      <c r="F69" s="154">
        <f t="shared" ref="F69:BQ69" si="32">F67/(F68+J68)*2</f>
        <v>4.6001938175637536</v>
      </c>
      <c r="G69" s="154">
        <f t="shared" si="32"/>
        <v>3.2256205219040019</v>
      </c>
      <c r="H69" s="154">
        <f t="shared" si="32"/>
        <v>2.1881601094222676</v>
      </c>
      <c r="I69" s="154">
        <f t="shared" si="32"/>
        <v>17.494732040721519</v>
      </c>
      <c r="J69" s="154">
        <f t="shared" si="32"/>
        <v>11.931861635640375</v>
      </c>
      <c r="K69" s="154">
        <f t="shared" si="32"/>
        <v>6.3322373624864055</v>
      </c>
      <c r="L69" s="154">
        <f t="shared" si="32"/>
        <v>3.2987609820893269</v>
      </c>
      <c r="M69" s="154">
        <f t="shared" si="32"/>
        <v>11.869811076093583</v>
      </c>
      <c r="N69" s="154">
        <f t="shared" si="32"/>
        <v>12.000542529448387</v>
      </c>
      <c r="O69" s="154">
        <f t="shared" si="32"/>
        <v>5.3305350853602258</v>
      </c>
      <c r="P69" s="154">
        <f t="shared" si="32"/>
        <v>3.9667978165109701</v>
      </c>
      <c r="Q69" s="154">
        <f t="shared" si="32"/>
        <v>13.243453369135301</v>
      </c>
      <c r="R69" s="154">
        <f t="shared" si="32"/>
        <v>9.7735919361591161</v>
      </c>
      <c r="S69" s="154">
        <f t="shared" si="32"/>
        <v>6.085151800516873</v>
      </c>
      <c r="T69" s="154">
        <f t="shared" si="32"/>
        <v>8.5707212241685067</v>
      </c>
      <c r="U69" s="154">
        <f t="shared" si="32"/>
        <v>19.259240439777678</v>
      </c>
      <c r="V69" s="154">
        <f t="shared" si="32"/>
        <v>11.46096258117583</v>
      </c>
      <c r="W69" s="154">
        <f t="shared" si="32"/>
        <v>13.807549114706189</v>
      </c>
      <c r="X69" s="154">
        <f t="shared" si="32"/>
        <v>13.349562939962478</v>
      </c>
      <c r="Y69" s="154">
        <f t="shared" si="32"/>
        <v>42.833462046058777</v>
      </c>
      <c r="Z69" s="154">
        <f t="shared" si="32"/>
        <v>52.964183182395139</v>
      </c>
      <c r="AA69" s="154">
        <f t="shared" si="32"/>
        <v>55.261720537392399</v>
      </c>
      <c r="AB69" s="154">
        <f t="shared" si="32"/>
        <v>31.231310131082839</v>
      </c>
      <c r="AC69" s="154">
        <f t="shared" si="32"/>
        <v>61.535457349469112</v>
      </c>
      <c r="AD69" s="154">
        <f t="shared" si="32"/>
        <v>30.996423181944824</v>
      </c>
      <c r="AE69" s="154">
        <f t="shared" si="32"/>
        <v>29.169951454157768</v>
      </c>
      <c r="AF69" s="154">
        <f t="shared" si="32"/>
        <v>15.734200722328012</v>
      </c>
      <c r="AG69" s="154">
        <f t="shared" si="32"/>
        <v>39.296374649598611</v>
      </c>
      <c r="AH69" s="154">
        <f t="shared" si="32"/>
        <v>45.036160637874453</v>
      </c>
      <c r="AI69" s="154">
        <f t="shared" si="32"/>
        <v>50.327825539081743</v>
      </c>
      <c r="AJ69" s="154">
        <f t="shared" si="32"/>
        <v>26.441696097018891</v>
      </c>
      <c r="AK69" s="154">
        <f t="shared" si="32"/>
        <v>230.25027006807463</v>
      </c>
      <c r="AL69" s="154">
        <f t="shared" si="32"/>
        <v>150.5415283917726</v>
      </c>
      <c r="AM69" s="154" t="e">
        <f t="shared" si="32"/>
        <v>#DIV/0!</v>
      </c>
      <c r="AN69" s="154" t="e">
        <f t="shared" si="32"/>
        <v>#DIV/0!</v>
      </c>
      <c r="AO69" s="154" t="e">
        <f t="shared" si="32"/>
        <v>#DIV/0!</v>
      </c>
      <c r="AP69" s="154" t="e">
        <f t="shared" si="32"/>
        <v>#DIV/0!</v>
      </c>
      <c r="AQ69" s="154" t="e">
        <f t="shared" si="32"/>
        <v>#DIV/0!</v>
      </c>
      <c r="AR69" s="154" t="e">
        <f t="shared" si="32"/>
        <v>#DIV/0!</v>
      </c>
      <c r="AS69" s="154" t="e">
        <f t="shared" si="32"/>
        <v>#DIV/0!</v>
      </c>
      <c r="AT69" s="154" t="e">
        <f t="shared" si="32"/>
        <v>#DIV/0!</v>
      </c>
      <c r="AU69" s="154" t="e">
        <f t="shared" si="32"/>
        <v>#DIV/0!</v>
      </c>
      <c r="AV69" s="154" t="e">
        <f t="shared" si="32"/>
        <v>#DIV/0!</v>
      </c>
      <c r="AW69" s="154" t="e">
        <f t="shared" si="32"/>
        <v>#DIV/0!</v>
      </c>
      <c r="AX69" s="154" t="e">
        <f t="shared" si="32"/>
        <v>#DIV/0!</v>
      </c>
      <c r="AY69" s="154" t="e">
        <f t="shared" si="32"/>
        <v>#DIV/0!</v>
      </c>
      <c r="AZ69" s="154" t="e">
        <f t="shared" si="32"/>
        <v>#DIV/0!</v>
      </c>
      <c r="BA69" s="154" t="e">
        <f t="shared" si="32"/>
        <v>#DIV/0!</v>
      </c>
      <c r="BB69" s="154" t="e">
        <f t="shared" si="32"/>
        <v>#DIV/0!</v>
      </c>
      <c r="BC69" s="154" t="e">
        <f t="shared" si="32"/>
        <v>#DIV/0!</v>
      </c>
      <c r="BD69" s="154" t="e">
        <f t="shared" si="32"/>
        <v>#DIV/0!</v>
      </c>
      <c r="BE69" s="154" t="e">
        <f t="shared" si="32"/>
        <v>#DIV/0!</v>
      </c>
      <c r="BF69" s="154" t="e">
        <f t="shared" si="32"/>
        <v>#DIV/0!</v>
      </c>
      <c r="BG69" s="154" t="e">
        <f t="shared" si="32"/>
        <v>#DIV/0!</v>
      </c>
      <c r="BH69" s="154" t="e">
        <f t="shared" si="32"/>
        <v>#DIV/0!</v>
      </c>
      <c r="BI69" s="154" t="e">
        <f t="shared" si="32"/>
        <v>#DIV/0!</v>
      </c>
      <c r="BJ69" s="154" t="e">
        <f t="shared" si="32"/>
        <v>#DIV/0!</v>
      </c>
      <c r="BK69" s="154" t="e">
        <f t="shared" si="32"/>
        <v>#DIV/0!</v>
      </c>
      <c r="BL69" s="154" t="e">
        <f t="shared" si="32"/>
        <v>#DIV/0!</v>
      </c>
      <c r="BM69" s="154" t="e">
        <f t="shared" si="32"/>
        <v>#DIV/0!</v>
      </c>
      <c r="BN69" s="154" t="e">
        <f t="shared" si="32"/>
        <v>#DIV/0!</v>
      </c>
      <c r="BO69" s="154" t="e">
        <f t="shared" si="32"/>
        <v>#DIV/0!</v>
      </c>
      <c r="BP69" s="154" t="e">
        <f t="shared" si="32"/>
        <v>#DIV/0!</v>
      </c>
      <c r="BQ69" s="154" t="e">
        <f t="shared" si="32"/>
        <v>#DIV/0!</v>
      </c>
      <c r="BR69" s="154" t="e">
        <f t="shared" ref="BR69:CJ69" si="33">BR67/(BR68+BV68)*2</f>
        <v>#DIV/0!</v>
      </c>
      <c r="BS69" s="154" t="e">
        <f t="shared" si="33"/>
        <v>#DIV/0!</v>
      </c>
      <c r="BT69" s="154" t="e">
        <f t="shared" si="33"/>
        <v>#DIV/0!</v>
      </c>
      <c r="BU69" s="154" t="e">
        <f t="shared" si="33"/>
        <v>#DIV/0!</v>
      </c>
      <c r="BV69" s="154" t="e">
        <f t="shared" si="33"/>
        <v>#DIV/0!</v>
      </c>
      <c r="BW69" s="154" t="e">
        <f t="shared" si="33"/>
        <v>#DIV/0!</v>
      </c>
      <c r="BX69" s="154" t="e">
        <f t="shared" si="33"/>
        <v>#DIV/0!</v>
      </c>
      <c r="BY69" s="154" t="e">
        <f t="shared" si="33"/>
        <v>#DIV/0!</v>
      </c>
      <c r="BZ69" s="154" t="e">
        <f t="shared" si="33"/>
        <v>#DIV/0!</v>
      </c>
      <c r="CA69" s="154" t="e">
        <f t="shared" si="33"/>
        <v>#DIV/0!</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478</v>
      </c>
      <c r="E70" s="83">
        <f>E62/E69</f>
        <v>30.051021083814014</v>
      </c>
      <c r="F70" s="83">
        <f t="shared" ref="F70:BQ70" si="34">F62/F69</f>
        <v>79.344482966437866</v>
      </c>
      <c r="G70" s="83">
        <f t="shared" si="34"/>
        <v>113.15652213935871</v>
      </c>
      <c r="H70" s="83">
        <f t="shared" si="34"/>
        <v>166.8068065167177</v>
      </c>
      <c r="I70" s="83">
        <f t="shared" si="34"/>
        <v>20.863423295104475</v>
      </c>
      <c r="J70" s="83">
        <f t="shared" si="34"/>
        <v>30.590364785135282</v>
      </c>
      <c r="K70" s="83">
        <f t="shared" si="34"/>
        <v>57.641553704594507</v>
      </c>
      <c r="L70" s="83">
        <f t="shared" si="34"/>
        <v>110.64760435259574</v>
      </c>
      <c r="M70" s="83">
        <f t="shared" si="34"/>
        <v>30.750278808997134</v>
      </c>
      <c r="N70" s="83">
        <f t="shared" si="34"/>
        <v>30.415291567386951</v>
      </c>
      <c r="O70" s="83">
        <f t="shared" si="34"/>
        <v>68.473426054813046</v>
      </c>
      <c r="P70" s="83">
        <f t="shared" si="34"/>
        <v>92.013764472886294</v>
      </c>
      <c r="Q70" s="83">
        <f t="shared" si="34"/>
        <v>27.560787192459589</v>
      </c>
      <c r="R70" s="83">
        <f t="shared" si="34"/>
        <v>37.345532981545766</v>
      </c>
      <c r="S70" s="83">
        <f t="shared" si="34"/>
        <v>59.982069793065293</v>
      </c>
      <c r="T70" s="83">
        <f t="shared" si="34"/>
        <v>42.586847763842734</v>
      </c>
      <c r="U70" s="83">
        <f t="shared" si="34"/>
        <v>18.951941596104476</v>
      </c>
      <c r="V70" s="83">
        <f t="shared" si="34"/>
        <v>31.847237735467161</v>
      </c>
      <c r="W70" s="83">
        <f t="shared" si="34"/>
        <v>26.434814532815576</v>
      </c>
      <c r="X70" s="83">
        <f t="shared" si="34"/>
        <v>27.341719099084298</v>
      </c>
      <c r="Y70" s="83">
        <f t="shared" si="34"/>
        <v>8.521375171764447</v>
      </c>
      <c r="Z70" s="83">
        <f t="shared" si="34"/>
        <v>6.8914496187552459</v>
      </c>
      <c r="AA70" s="83">
        <f t="shared" si="34"/>
        <v>6.6049336946182429</v>
      </c>
      <c r="AB70" s="83">
        <f t="shared" si="34"/>
        <v>11.686989705780391</v>
      </c>
      <c r="AC70" s="83">
        <f t="shared" si="34"/>
        <v>5.9315395663204411</v>
      </c>
      <c r="AD70" s="83">
        <f t="shared" si="34"/>
        <v>11.775552226058446</v>
      </c>
      <c r="AE70" s="83">
        <f t="shared" si="34"/>
        <v>12.512876498050337</v>
      </c>
      <c r="AF70" s="83">
        <f t="shared" si="34"/>
        <v>23.197873628371703</v>
      </c>
      <c r="AG70" s="83">
        <f t="shared" si="34"/>
        <v>9.2883886428370115</v>
      </c>
      <c r="AH70" s="83">
        <f t="shared" si="34"/>
        <v>8.1045985010774384</v>
      </c>
      <c r="AI70" s="83">
        <f t="shared" si="34"/>
        <v>7.2524492383753323</v>
      </c>
      <c r="AJ70" s="83">
        <f t="shared" si="34"/>
        <v>13.803955641149324</v>
      </c>
      <c r="AK70" s="83">
        <f t="shared" si="34"/>
        <v>1.5852315825387999</v>
      </c>
      <c r="AL70" s="83">
        <f t="shared" si="34"/>
        <v>2.4245801401066949</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479</v>
      </c>
      <c r="E71" s="76">
        <f>资产资本表!E35+资产资本表!E36-资产资本表!E24</f>
        <v>5940096916.4700003</v>
      </c>
      <c r="F71" s="76">
        <f>资产资本表!F35+资产资本表!F36-资产资本表!F24</f>
        <v>4780832174.0699997</v>
      </c>
      <c r="G71" s="76">
        <f>资产资本表!G35+资产资本表!G36-资产资本表!G24</f>
        <v>5092745467.6400003</v>
      </c>
      <c r="H71" s="76">
        <f>资产资本表!H35+资产资本表!H36-资产资本表!H24</f>
        <v>4324586375.8999996</v>
      </c>
      <c r="I71" s="76">
        <f>资产资本表!I35+资产资本表!I36-资产资本表!I24</f>
        <v>5028800223.2700005</v>
      </c>
      <c r="J71" s="76">
        <f>资产资本表!J35+资产资本表!J36-资产资本表!J24</f>
        <v>4030058266.7799997</v>
      </c>
      <c r="K71" s="76">
        <f>资产资本表!K35+资产资本表!K36-资产资本表!K24</f>
        <v>4971871797.2300005</v>
      </c>
      <c r="L71" s="76">
        <f>资产资本表!L35+资产资本表!L36-资产资本表!L24</f>
        <v>3956813777.8200002</v>
      </c>
      <c r="M71" s="76">
        <f>资产资本表!M35+资产资本表!M36-资产资本表!M24</f>
        <v>2712563512.9700003</v>
      </c>
      <c r="N71" s="76">
        <f>资产资本表!N35+资产资本表!N36-资产资本表!N24</f>
        <v>2871032357.3699999</v>
      </c>
      <c r="O71" s="76">
        <f>资产资本表!O35+资产资本表!O36-资产资本表!O24</f>
        <v>1280113130.2800002</v>
      </c>
      <c r="P71" s="76">
        <f>资产资本表!P35+资产资本表!P36-资产资本表!P24</f>
        <v>1151660599.78</v>
      </c>
      <c r="Q71" s="76">
        <f>资产资本表!Q35+资产资本表!Q36-资产资本表!Q24</f>
        <v>1326571288.97</v>
      </c>
      <c r="R71" s="76">
        <f>资产资本表!R35+资产资本表!R36-资产资本表!R24</f>
        <v>1163676067.6600001</v>
      </c>
      <c r="S71" s="76">
        <f>资产资本表!S35+资产资本表!S36-资产资本表!S24</f>
        <v>1543287593.04</v>
      </c>
      <c r="T71" s="76">
        <f>资产资本表!T35+资产资本表!T36-资产资本表!T24</f>
        <v>604080276.38</v>
      </c>
      <c r="U71" s="76">
        <f>资产资本表!U35+资产资本表!U36-资产资本表!U24</f>
        <v>533940058.87</v>
      </c>
      <c r="V71" s="76">
        <f>资产资本表!V35+资产资本表!V36-资产资本表!V24</f>
        <v>298983649.39000005</v>
      </c>
      <c r="W71" s="76">
        <f>资产资本表!W35+资产资本表!W36-资产资本表!W24</f>
        <v>171536788.14000002</v>
      </c>
      <c r="X71" s="76">
        <f>资产资本表!X35+资产资本表!X36-资产资本表!X24</f>
        <v>-9521195.5699999928</v>
      </c>
      <c r="Y71" s="76">
        <f>资产资本表!Y35+资产资本表!Y36-资产资本表!Y24</f>
        <v>80676984.50999999</v>
      </c>
      <c r="Z71" s="76">
        <f>资产资本表!Z35+资产资本表!Z36-资产资本表!Z24</f>
        <v>50660439.409999967</v>
      </c>
      <c r="AA71" s="76">
        <f>资产资本表!AA35+资产资本表!AA36-资产资本表!AA24</f>
        <v>91128768.649999976</v>
      </c>
      <c r="AB71" s="76">
        <f>资产资本表!AB35+资产资本表!AB36-资产资本表!AB24</f>
        <v>75570160.610000014</v>
      </c>
      <c r="AC71" s="76">
        <f>资产资本表!AC35+资产资本表!AC36-资产资本表!AC24</f>
        <v>-64325515.129999995</v>
      </c>
      <c r="AD71" s="76">
        <f>资产资本表!AD35+资产资本表!AD36-资产资本表!AD24</f>
        <v>-283392148.49000001</v>
      </c>
      <c r="AE71" s="76">
        <f>资产资本表!AE35+资产资本表!AE36-资产资本表!AE24</f>
        <v>-188396000.81</v>
      </c>
      <c r="AF71" s="76">
        <f>资产资本表!AF35+资产资本表!AF36-资产资本表!AF24</f>
        <v>-105294122.44</v>
      </c>
      <c r="AG71" s="76">
        <f>资产资本表!AG35+资产资本表!AG36-资产资本表!AG24</f>
        <v>-39110143</v>
      </c>
      <c r="AH71" s="76">
        <f>资产资本表!AH35+资产资本表!AH36-资产资本表!AH24</f>
        <v>-17458580.859999999</v>
      </c>
      <c r="AI71" s="76">
        <f>资产资本表!AI35+资产资本表!AI36-资产资本表!AI24</f>
        <v>-20436308.350000001</v>
      </c>
      <c r="AJ71" s="76">
        <f>资产资本表!AJ35+资产资本表!AJ36-资产资本表!AJ24</f>
        <v>-4671400.1999999993</v>
      </c>
      <c r="AK71" s="76">
        <f>资产资本表!AK35+资产资本表!AK36-资产资本表!AK24</f>
        <v>-11042378.800000001</v>
      </c>
      <c r="AL71" s="76">
        <f>资产资本表!AL35+资产资本表!AL36-资产资本表!AL24</f>
        <v>618671.31999999995</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480</v>
      </c>
      <c r="E72" s="154">
        <f>E67/(E71+I71)*2</f>
        <v>1.7698607074074688</v>
      </c>
      <c r="F72" s="154">
        <f t="shared" ref="F72:BQ72" si="36">F67/(F71+J71)*2</f>
        <v>1.6074004542171692</v>
      </c>
      <c r="G72" s="154">
        <f t="shared" si="36"/>
        <v>1.1156977686170404</v>
      </c>
      <c r="H72" s="154">
        <f t="shared" si="36"/>
        <v>0.78301248195417705</v>
      </c>
      <c r="I72" s="154">
        <f t="shared" si="36"/>
        <v>4.7095631172380426</v>
      </c>
      <c r="J72" s="154">
        <f t="shared" si="36"/>
        <v>4.1285381509026706</v>
      </c>
      <c r="K72" s="154">
        <f t="shared" si="36"/>
        <v>2.7383860994109241</v>
      </c>
      <c r="L72" s="154">
        <f t="shared" si="36"/>
        <v>1.5304351593269698</v>
      </c>
      <c r="M72" s="154">
        <f t="shared" si="36"/>
        <v>5.5021729497628504</v>
      </c>
      <c r="N72" s="154">
        <f t="shared" si="36"/>
        <v>3.6536592495083191</v>
      </c>
      <c r="O72" s="154">
        <f t="shared" si="36"/>
        <v>2.6832132730956206</v>
      </c>
      <c r="P72" s="154">
        <f t="shared" si="36"/>
        <v>2.1261686918883429</v>
      </c>
      <c r="Q72" s="154">
        <f t="shared" si="36"/>
        <v>6.2650877944778935</v>
      </c>
      <c r="R72" s="154">
        <f t="shared" si="36"/>
        <v>5.5810805903400329</v>
      </c>
      <c r="S72" s="154">
        <f t="shared" si="36"/>
        <v>2.9016936937973798</v>
      </c>
      <c r="T72" s="154">
        <f t="shared" si="36"/>
        <v>2.702096761067549</v>
      </c>
      <c r="U72" s="154">
        <f t="shared" si="36"/>
        <v>5.4299958826175958</v>
      </c>
      <c r="V72" s="154">
        <f t="shared" si="36"/>
        <v>5.2103719752061197</v>
      </c>
      <c r="W72" s="154">
        <f t="shared" si="36"/>
        <v>3.4546146620413927</v>
      </c>
      <c r="X72" s="154">
        <f t="shared" si="36"/>
        <v>5.6608877885302871</v>
      </c>
      <c r="Y72" s="154">
        <f t="shared" si="36"/>
        <v>83.692395660407641</v>
      </c>
      <c r="Z72" s="154">
        <f t="shared" si="36"/>
        <v>-4.3365231371762833</v>
      </c>
      <c r="AA72" s="154">
        <f t="shared" si="36"/>
        <v>-6.5972652490454076</v>
      </c>
      <c r="AB72" s="154">
        <f t="shared" si="36"/>
        <v>-10.314524684612008</v>
      </c>
      <c r="AC72" s="154">
        <f t="shared" si="36"/>
        <v>-5.3190696188012936</v>
      </c>
      <c r="AD72" s="154">
        <f t="shared" si="36"/>
        <v>-0.92534271278475133</v>
      </c>
      <c r="AE72" s="154">
        <f t="shared" si="36"/>
        <v>-0.82549031533200912</v>
      </c>
      <c r="AF72" s="154">
        <f t="shared" si="36"/>
        <v>-0.69270223258405095</v>
      </c>
      <c r="AG72" s="154">
        <f t="shared" si="36"/>
        <v>-3.1988362335949376</v>
      </c>
      <c r="AH72" s="154">
        <f t="shared" si="36"/>
        <v>-6.993063137321343</v>
      </c>
      <c r="AI72" s="154">
        <f t="shared" si="36"/>
        <v>-3.4245229491264744</v>
      </c>
      <c r="AJ72" s="154">
        <f t="shared" si="36"/>
        <v>-6.7520612042616266</v>
      </c>
      <c r="AK72" s="154">
        <f t="shared" si="36"/>
        <v>-8.9746983448892355</v>
      </c>
      <c r="AL72" s="154">
        <f t="shared" si="36"/>
        <v>107.77345932247192</v>
      </c>
      <c r="AM72" s="154" t="e">
        <f t="shared" si="36"/>
        <v>#DIV/0!</v>
      </c>
      <c r="AN72" s="154" t="e">
        <f t="shared" si="36"/>
        <v>#DIV/0!</v>
      </c>
      <c r="AO72" s="154" t="e">
        <f t="shared" si="36"/>
        <v>#DIV/0!</v>
      </c>
      <c r="AP72" s="154" t="e">
        <f t="shared" si="36"/>
        <v>#DIV/0!</v>
      </c>
      <c r="AQ72" s="154" t="e">
        <f t="shared" si="36"/>
        <v>#DIV/0!</v>
      </c>
      <c r="AR72" s="154" t="e">
        <f t="shared" si="36"/>
        <v>#DIV/0!</v>
      </c>
      <c r="AS72" s="154" t="e">
        <f t="shared" si="36"/>
        <v>#DIV/0!</v>
      </c>
      <c r="AT72" s="154" t="e">
        <f t="shared" si="36"/>
        <v>#DIV/0!</v>
      </c>
      <c r="AU72" s="154" t="e">
        <f t="shared" si="36"/>
        <v>#DIV/0!</v>
      </c>
      <c r="AV72" s="154" t="e">
        <f t="shared" si="36"/>
        <v>#DIV/0!</v>
      </c>
      <c r="AW72" s="154" t="e">
        <f t="shared" si="36"/>
        <v>#DIV/0!</v>
      </c>
      <c r="AX72" s="154" t="e">
        <f t="shared" si="36"/>
        <v>#DIV/0!</v>
      </c>
      <c r="AY72" s="154" t="e">
        <f t="shared" si="36"/>
        <v>#DIV/0!</v>
      </c>
      <c r="AZ72" s="154" t="e">
        <f t="shared" si="36"/>
        <v>#DIV/0!</v>
      </c>
      <c r="BA72" s="154" t="e">
        <f t="shared" si="36"/>
        <v>#DIV/0!</v>
      </c>
      <c r="BB72" s="154" t="e">
        <f t="shared" si="36"/>
        <v>#DIV/0!</v>
      </c>
      <c r="BC72" s="154" t="e">
        <f t="shared" si="36"/>
        <v>#DIV/0!</v>
      </c>
      <c r="BD72" s="154" t="e">
        <f t="shared" si="36"/>
        <v>#DIV/0!</v>
      </c>
      <c r="BE72" s="154" t="e">
        <f t="shared" si="36"/>
        <v>#DIV/0!</v>
      </c>
      <c r="BF72" s="154" t="e">
        <f t="shared" si="36"/>
        <v>#DIV/0!</v>
      </c>
      <c r="BG72" s="154" t="e">
        <f t="shared" si="36"/>
        <v>#DIV/0!</v>
      </c>
      <c r="BH72" s="154" t="e">
        <f t="shared" si="36"/>
        <v>#DIV/0!</v>
      </c>
      <c r="BI72" s="154" t="e">
        <f t="shared" si="36"/>
        <v>#DIV/0!</v>
      </c>
      <c r="BJ72" s="154" t="e">
        <f t="shared" si="36"/>
        <v>#DIV/0!</v>
      </c>
      <c r="BK72" s="154" t="e">
        <f t="shared" si="36"/>
        <v>#DIV/0!</v>
      </c>
      <c r="BL72" s="154" t="e">
        <f t="shared" si="36"/>
        <v>#DIV/0!</v>
      </c>
      <c r="BM72" s="154" t="e">
        <f t="shared" si="36"/>
        <v>#DIV/0!</v>
      </c>
      <c r="BN72" s="154" t="e">
        <f t="shared" si="36"/>
        <v>#DIV/0!</v>
      </c>
      <c r="BO72" s="154" t="e">
        <f t="shared" si="36"/>
        <v>#DIV/0!</v>
      </c>
      <c r="BP72" s="154" t="e">
        <f t="shared" si="36"/>
        <v>#DIV/0!</v>
      </c>
      <c r="BQ72" s="154" t="e">
        <f t="shared" si="36"/>
        <v>#DIV/0!</v>
      </c>
      <c r="BR72" s="154" t="e">
        <f t="shared" ref="BR72:CJ72" si="37">BR67/(BR71+BV71)*2</f>
        <v>#DIV/0!</v>
      </c>
      <c r="BS72" s="154" t="e">
        <f t="shared" si="37"/>
        <v>#DIV/0!</v>
      </c>
      <c r="BT72" s="154" t="e">
        <f t="shared" si="37"/>
        <v>#DIV/0!</v>
      </c>
      <c r="BU72" s="154" t="e">
        <f t="shared" si="37"/>
        <v>#DIV/0!</v>
      </c>
      <c r="BV72" s="154" t="e">
        <f t="shared" si="37"/>
        <v>#DIV/0!</v>
      </c>
      <c r="BW72" s="154" t="e">
        <f t="shared" si="37"/>
        <v>#DIV/0!</v>
      </c>
      <c r="BX72" s="154" t="e">
        <f t="shared" si="37"/>
        <v>#DIV/0!</v>
      </c>
      <c r="BY72" s="154" t="e">
        <f t="shared" si="37"/>
        <v>#DIV/0!</v>
      </c>
      <c r="BZ72" s="154" t="e">
        <f t="shared" si="37"/>
        <v>#DIV/0!</v>
      </c>
      <c r="CA72" s="154" t="e">
        <f t="shared" si="37"/>
        <v>#DIV/0!</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481</v>
      </c>
      <c r="E73" s="83">
        <f>E62/E72</f>
        <v>206.23091889228959</v>
      </c>
      <c r="F73" s="83">
        <f t="shared" ref="F73:BQ73" si="38">F62/F72</f>
        <v>227.07471497994635</v>
      </c>
      <c r="G73" s="83">
        <f t="shared" si="38"/>
        <v>327.1495294397107</v>
      </c>
      <c r="H73" s="83">
        <f t="shared" si="38"/>
        <v>466.14838002207006</v>
      </c>
      <c r="I73" s="83">
        <f t="shared" si="38"/>
        <v>77.501880941784023</v>
      </c>
      <c r="J73" s="83">
        <f t="shared" si="38"/>
        <v>88.409017104564185</v>
      </c>
      <c r="K73" s="83">
        <f t="shared" si="38"/>
        <v>133.29018872777584</v>
      </c>
      <c r="L73" s="83">
        <f t="shared" si="38"/>
        <v>238.49425947618312</v>
      </c>
      <c r="M73" s="83">
        <f t="shared" si="38"/>
        <v>66.337427654965282</v>
      </c>
      <c r="N73" s="83">
        <f t="shared" si="38"/>
        <v>99.899846995616471</v>
      </c>
      <c r="O73" s="83">
        <f t="shared" si="38"/>
        <v>136.03093114506692</v>
      </c>
      <c r="P73" s="83">
        <f t="shared" si="38"/>
        <v>171.67029191640839</v>
      </c>
      <c r="Q73" s="83">
        <f t="shared" si="38"/>
        <v>58.259359162007975</v>
      </c>
      <c r="R73" s="83">
        <f t="shared" si="38"/>
        <v>65.399521489038747</v>
      </c>
      <c r="S73" s="83">
        <f t="shared" si="38"/>
        <v>125.78860435207855</v>
      </c>
      <c r="T73" s="83">
        <f t="shared" si="38"/>
        <v>135.08028478439653</v>
      </c>
      <c r="U73" s="83">
        <f t="shared" si="38"/>
        <v>67.219203824524314</v>
      </c>
      <c r="V73" s="83">
        <f t="shared" si="38"/>
        <v>70.052580072377808</v>
      </c>
      <c r="W73" s="83">
        <f t="shared" si="38"/>
        <v>105.65577805552272</v>
      </c>
      <c r="X73" s="83">
        <f t="shared" si="38"/>
        <v>64.477519010275856</v>
      </c>
      <c r="Y73" s="83">
        <f t="shared" si="38"/>
        <v>4.3612086512738042</v>
      </c>
      <c r="Z73" s="83">
        <f t="shared" si="38"/>
        <v>-84.168811846272973</v>
      </c>
      <c r="AA73" s="83">
        <f t="shared" si="38"/>
        <v>-55.325954955777128</v>
      </c>
      <c r="AB73" s="83">
        <f t="shared" si="38"/>
        <v>-35.386991757800992</v>
      </c>
      <c r="AC73" s="83">
        <f t="shared" si="38"/>
        <v>-68.621023253735203</v>
      </c>
      <c r="AD73" s="83">
        <f t="shared" si="38"/>
        <v>-394.44845132195309</v>
      </c>
      <c r="AE73" s="83">
        <f t="shared" si="38"/>
        <v>-442.16145631363145</v>
      </c>
      <c r="AF73" s="83">
        <f t="shared" si="38"/>
        <v>-526.9219338855122</v>
      </c>
      <c r="AG73" s="83">
        <f t="shared" si="38"/>
        <v>-114.1039969994973</v>
      </c>
      <c r="AH73" s="83">
        <f t="shared" si="38"/>
        <v>-52.194580948658697</v>
      </c>
      <c r="AI73" s="83">
        <f t="shared" si="38"/>
        <v>-106.58418863658193</v>
      </c>
      <c r="AJ73" s="83">
        <f t="shared" si="38"/>
        <v>-54.057566861157426</v>
      </c>
      <c r="AK73" s="83">
        <f t="shared" si="38"/>
        <v>-40.669890616195943</v>
      </c>
      <c r="AL73" s="83">
        <f t="shared" si="38"/>
        <v>3.3867336382687085</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482</v>
      </c>
      <c r="E74" s="255">
        <f>E66+E70</f>
        <v>333.1793554060572</v>
      </c>
      <c r="F74" s="255">
        <f t="shared" ref="F74:BQ74" si="40">F66+F70</f>
        <v>485.4669816116629</v>
      </c>
      <c r="G74" s="255">
        <f t="shared" si="40"/>
        <v>540.03017937537527</v>
      </c>
      <c r="H74" s="255">
        <f t="shared" si="40"/>
        <v>755.48073970321593</v>
      </c>
      <c r="I74" s="255">
        <f t="shared" si="40"/>
        <v>112.68984897588737</v>
      </c>
      <c r="J74" s="255">
        <f t="shared" si="40"/>
        <v>118.97076546192795</v>
      </c>
      <c r="K74" s="255">
        <f t="shared" si="40"/>
        <v>165.45481568504792</v>
      </c>
      <c r="L74" s="255">
        <f t="shared" si="40"/>
        <v>342.24920808475605</v>
      </c>
      <c r="M74" s="255">
        <f t="shared" si="40"/>
        <v>88.462348789228557</v>
      </c>
      <c r="N74" s="255">
        <f t="shared" si="40"/>
        <v>137.96874588593604</v>
      </c>
      <c r="O74" s="255">
        <f t="shared" si="40"/>
        <v>215.47397825688677</v>
      </c>
      <c r="P74" s="255">
        <f t="shared" si="40"/>
        <v>373.13518259026904</v>
      </c>
      <c r="Q74" s="255">
        <f t="shared" si="40"/>
        <v>95.562832320951316</v>
      </c>
      <c r="R74" s="255">
        <f t="shared" si="40"/>
        <v>121.67891662287889</v>
      </c>
      <c r="S74" s="255">
        <f t="shared" si="40"/>
        <v>182.39711307334579</v>
      </c>
      <c r="T74" s="255">
        <f t="shared" si="40"/>
        <v>343.66418243664532</v>
      </c>
      <c r="U74" s="255">
        <f t="shared" si="40"/>
        <v>121.69124081854011</v>
      </c>
      <c r="V74" s="255">
        <f t="shared" si="40"/>
        <v>181.35396315083119</v>
      </c>
      <c r="W74" s="255">
        <f t="shared" si="40"/>
        <v>236.51456947901255</v>
      </c>
      <c r="X74" s="255">
        <f t="shared" si="40"/>
        <v>434.87582479680759</v>
      </c>
      <c r="Y74" s="255">
        <f t="shared" si="40"/>
        <v>91.704675075728218</v>
      </c>
      <c r="Z74" s="255">
        <f t="shared" si="40"/>
        <v>115.20359728443519</v>
      </c>
      <c r="AA74" s="255">
        <f t="shared" si="40"/>
        <v>138.99043537109534</v>
      </c>
      <c r="AB74" s="255">
        <f t="shared" si="40"/>
        <v>238.93317308388555</v>
      </c>
      <c r="AC74" s="255">
        <f t="shared" si="40"/>
        <v>76.293134125367033</v>
      </c>
      <c r="AD74" s="255">
        <f t="shared" si="40"/>
        <v>122.90155927119386</v>
      </c>
      <c r="AE74" s="255">
        <f t="shared" si="40"/>
        <v>160.36832763541477</v>
      </c>
      <c r="AF74" s="255">
        <f t="shared" si="40"/>
        <v>280.74584605184941</v>
      </c>
      <c r="AG74" s="255">
        <f t="shared" si="40"/>
        <v>80.6426724641059</v>
      </c>
      <c r="AH74" s="255">
        <f t="shared" si="40"/>
        <v>115.72935626475474</v>
      </c>
      <c r="AI74" s="255">
        <f t="shared" si="40"/>
        <v>92.230856108352882</v>
      </c>
      <c r="AJ74" s="255">
        <f t="shared" si="40"/>
        <v>95.451696179680013</v>
      </c>
      <c r="AK74" s="255">
        <f t="shared" si="40"/>
        <v>33.458851173074933</v>
      </c>
      <c r="AL74" s="255">
        <f t="shared" si="40"/>
        <v>15.736639599902219</v>
      </c>
      <c r="AM74" s="255" t="e">
        <f t="shared" si="40"/>
        <v>#DIV/0!</v>
      </c>
      <c r="AN74" s="255" t="e">
        <f t="shared" si="40"/>
        <v>#DIV/0!</v>
      </c>
      <c r="AO74" s="255" t="e">
        <f t="shared" si="40"/>
        <v>#DIV/0!</v>
      </c>
      <c r="AP74" s="255" t="e">
        <f t="shared" si="40"/>
        <v>#DIV/0!</v>
      </c>
      <c r="AQ74" s="255" t="e">
        <f t="shared" si="40"/>
        <v>#DIV/0!</v>
      </c>
      <c r="AR74" s="255" t="e">
        <f t="shared" si="40"/>
        <v>#DIV/0!</v>
      </c>
      <c r="AS74" s="255" t="e">
        <f t="shared" si="40"/>
        <v>#DIV/0!</v>
      </c>
      <c r="AT74" s="255" t="e">
        <f t="shared" si="40"/>
        <v>#DIV/0!</v>
      </c>
      <c r="AU74" s="255" t="e">
        <f t="shared" si="40"/>
        <v>#DIV/0!</v>
      </c>
      <c r="AV74" s="255" t="e">
        <f t="shared" si="40"/>
        <v>#DIV/0!</v>
      </c>
      <c r="AW74" s="255" t="e">
        <f t="shared" si="40"/>
        <v>#DIV/0!</v>
      </c>
      <c r="AX74" s="255" t="e">
        <f t="shared" si="40"/>
        <v>#DIV/0!</v>
      </c>
      <c r="AY74" s="255" t="e">
        <f t="shared" si="40"/>
        <v>#DIV/0!</v>
      </c>
      <c r="AZ74" s="255" t="e">
        <f t="shared" si="40"/>
        <v>#DIV/0!</v>
      </c>
      <c r="BA74" s="255" t="e">
        <f t="shared" si="40"/>
        <v>#DIV/0!</v>
      </c>
      <c r="BB74" s="255" t="e">
        <f t="shared" si="40"/>
        <v>#DIV/0!</v>
      </c>
      <c r="BC74" s="255" t="e">
        <f t="shared" si="40"/>
        <v>#DIV/0!</v>
      </c>
      <c r="BD74" s="255" t="e">
        <f t="shared" si="40"/>
        <v>#DIV/0!</v>
      </c>
      <c r="BE74" s="255" t="e">
        <f t="shared" si="40"/>
        <v>#DIV/0!</v>
      </c>
      <c r="BF74" s="255" t="e">
        <f t="shared" si="40"/>
        <v>#DIV/0!</v>
      </c>
      <c r="BG74" s="255" t="e">
        <f t="shared" si="40"/>
        <v>#DIV/0!</v>
      </c>
      <c r="BH74" s="255" t="e">
        <f t="shared" si="40"/>
        <v>#DIV/0!</v>
      </c>
      <c r="BI74" s="255" t="e">
        <f t="shared" si="40"/>
        <v>#DIV/0!</v>
      </c>
      <c r="BJ74" s="255" t="e">
        <f t="shared" si="40"/>
        <v>#DIV/0!</v>
      </c>
      <c r="BK74" s="255" t="e">
        <f t="shared" si="40"/>
        <v>#DIV/0!</v>
      </c>
      <c r="BL74" s="255" t="e">
        <f t="shared" si="40"/>
        <v>#DIV/0!</v>
      </c>
      <c r="BM74" s="255" t="e">
        <f t="shared" si="40"/>
        <v>#DIV/0!</v>
      </c>
      <c r="BN74" s="255" t="e">
        <f t="shared" si="40"/>
        <v>#DIV/0!</v>
      </c>
      <c r="BO74" s="255" t="e">
        <f t="shared" si="40"/>
        <v>#DIV/0!</v>
      </c>
      <c r="BP74" s="255" t="e">
        <f t="shared" si="40"/>
        <v>#DIV/0!</v>
      </c>
      <c r="BQ74" s="255" t="e">
        <f t="shared" si="40"/>
        <v>#DIV/0!</v>
      </c>
      <c r="BR74" s="255" t="e">
        <f t="shared" ref="BR74:CK74" si="41">BR66+BR70</f>
        <v>#DIV/0!</v>
      </c>
      <c r="BS74" s="255" t="e">
        <f t="shared" si="41"/>
        <v>#DIV/0!</v>
      </c>
      <c r="BT74" s="255" t="e">
        <f t="shared" si="41"/>
        <v>#DIV/0!</v>
      </c>
      <c r="BU74" s="255" t="e">
        <f t="shared" si="41"/>
        <v>#DIV/0!</v>
      </c>
      <c r="BV74" s="255" t="e">
        <f t="shared" si="41"/>
        <v>#DIV/0!</v>
      </c>
      <c r="BW74" s="255" t="e">
        <f t="shared" si="41"/>
        <v>#DIV/0!</v>
      </c>
      <c r="BX74" s="255" t="e">
        <f t="shared" si="41"/>
        <v>#DIV/0!</v>
      </c>
      <c r="BY74" s="255" t="e">
        <f t="shared" si="41"/>
        <v>#DIV/0!</v>
      </c>
      <c r="BZ74" s="255" t="e">
        <f t="shared" si="41"/>
        <v>#DIV/0!</v>
      </c>
      <c r="CA74" s="255" t="e">
        <f t="shared" si="41"/>
        <v>#DIV/0!</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483</v>
      </c>
      <c r="E75" s="255">
        <f>E74-E73</f>
        <v>126.9484365137676</v>
      </c>
      <c r="F75" s="255">
        <f t="shared" ref="F75:BQ75" si="42">F74-F73</f>
        <v>258.39226663171655</v>
      </c>
      <c r="G75" s="255">
        <f t="shared" si="42"/>
        <v>212.88064993566456</v>
      </c>
      <c r="H75" s="255">
        <f t="shared" si="42"/>
        <v>289.33235968114587</v>
      </c>
      <c r="I75" s="255">
        <f t="shared" si="42"/>
        <v>35.187968034103349</v>
      </c>
      <c r="J75" s="255">
        <f t="shared" si="42"/>
        <v>30.561748357363768</v>
      </c>
      <c r="K75" s="255">
        <f t="shared" si="42"/>
        <v>32.164626957272077</v>
      </c>
      <c r="L75" s="255">
        <f t="shared" si="42"/>
        <v>103.75494860857293</v>
      </c>
      <c r="M75" s="255">
        <f t="shared" si="42"/>
        <v>22.124921134263275</v>
      </c>
      <c r="N75" s="255">
        <f t="shared" si="42"/>
        <v>38.068898890319574</v>
      </c>
      <c r="O75" s="255">
        <f t="shared" si="42"/>
        <v>79.443047111819851</v>
      </c>
      <c r="P75" s="255">
        <f t="shared" si="42"/>
        <v>201.46489067386065</v>
      </c>
      <c r="Q75" s="255">
        <f t="shared" si="42"/>
        <v>37.303473158943341</v>
      </c>
      <c r="R75" s="255">
        <f t="shared" si="42"/>
        <v>56.27939513384014</v>
      </c>
      <c r="S75" s="255">
        <f t="shared" si="42"/>
        <v>56.608508721267242</v>
      </c>
      <c r="T75" s="255">
        <f t="shared" si="42"/>
        <v>208.58389765224879</v>
      </c>
      <c r="U75" s="255">
        <f t="shared" si="42"/>
        <v>54.472036994015795</v>
      </c>
      <c r="V75" s="255">
        <f t="shared" si="42"/>
        <v>111.30138307845338</v>
      </c>
      <c r="W75" s="255">
        <f t="shared" si="42"/>
        <v>130.85879142348983</v>
      </c>
      <c r="X75" s="255">
        <f t="shared" si="42"/>
        <v>370.39830578653175</v>
      </c>
      <c r="Y75" s="255">
        <f t="shared" si="42"/>
        <v>87.343466424454419</v>
      </c>
      <c r="Z75" s="255">
        <f t="shared" si="42"/>
        <v>199.37240913070815</v>
      </c>
      <c r="AA75" s="255">
        <f t="shared" si="42"/>
        <v>194.31639032687247</v>
      </c>
      <c r="AB75" s="255">
        <f t="shared" si="42"/>
        <v>274.32016484168656</v>
      </c>
      <c r="AC75" s="255">
        <f t="shared" si="42"/>
        <v>144.91415737910222</v>
      </c>
      <c r="AD75" s="255">
        <f t="shared" si="42"/>
        <v>517.35001059314698</v>
      </c>
      <c r="AE75" s="255">
        <f t="shared" si="42"/>
        <v>602.52978394904619</v>
      </c>
      <c r="AF75" s="255">
        <f t="shared" si="42"/>
        <v>807.66777993736162</v>
      </c>
      <c r="AG75" s="255">
        <f t="shared" si="42"/>
        <v>194.74666946360321</v>
      </c>
      <c r="AH75" s="255">
        <f t="shared" si="42"/>
        <v>167.92393721341344</v>
      </c>
      <c r="AI75" s="255">
        <f t="shared" si="42"/>
        <v>198.81504474493482</v>
      </c>
      <c r="AJ75" s="255">
        <f t="shared" si="42"/>
        <v>149.50926304083742</v>
      </c>
      <c r="AK75" s="255">
        <f t="shared" si="42"/>
        <v>74.128741789270876</v>
      </c>
      <c r="AL75" s="255">
        <f t="shared" si="42"/>
        <v>12.34990596163351</v>
      </c>
      <c r="AM75" s="255" t="e">
        <f t="shared" si="42"/>
        <v>#DIV/0!</v>
      </c>
      <c r="AN75" s="255" t="e">
        <f t="shared" si="42"/>
        <v>#DIV/0!</v>
      </c>
      <c r="AO75" s="255" t="e">
        <f t="shared" si="42"/>
        <v>#DIV/0!</v>
      </c>
      <c r="AP75" s="255" t="e">
        <f t="shared" si="42"/>
        <v>#DIV/0!</v>
      </c>
      <c r="AQ75" s="255" t="e">
        <f t="shared" si="42"/>
        <v>#DIV/0!</v>
      </c>
      <c r="AR75" s="255" t="e">
        <f t="shared" si="42"/>
        <v>#DIV/0!</v>
      </c>
      <c r="AS75" s="255" t="e">
        <f t="shared" si="42"/>
        <v>#DIV/0!</v>
      </c>
      <c r="AT75" s="255" t="e">
        <f t="shared" si="42"/>
        <v>#DIV/0!</v>
      </c>
      <c r="AU75" s="255" t="e">
        <f t="shared" si="42"/>
        <v>#DIV/0!</v>
      </c>
      <c r="AV75" s="255" t="e">
        <f t="shared" si="42"/>
        <v>#DIV/0!</v>
      </c>
      <c r="AW75" s="255" t="e">
        <f t="shared" si="42"/>
        <v>#DIV/0!</v>
      </c>
      <c r="AX75" s="255" t="e">
        <f t="shared" si="42"/>
        <v>#DIV/0!</v>
      </c>
      <c r="AY75" s="255" t="e">
        <f t="shared" si="42"/>
        <v>#DIV/0!</v>
      </c>
      <c r="AZ75" s="255" t="e">
        <f t="shared" si="42"/>
        <v>#DIV/0!</v>
      </c>
      <c r="BA75" s="255" t="e">
        <f t="shared" si="42"/>
        <v>#DIV/0!</v>
      </c>
      <c r="BB75" s="255" t="e">
        <f t="shared" si="42"/>
        <v>#DIV/0!</v>
      </c>
      <c r="BC75" s="255" t="e">
        <f t="shared" si="42"/>
        <v>#DIV/0!</v>
      </c>
      <c r="BD75" s="255" t="e">
        <f t="shared" si="42"/>
        <v>#DIV/0!</v>
      </c>
      <c r="BE75" s="255" t="e">
        <f t="shared" si="42"/>
        <v>#DIV/0!</v>
      </c>
      <c r="BF75" s="255" t="e">
        <f t="shared" si="42"/>
        <v>#DIV/0!</v>
      </c>
      <c r="BG75" s="255" t="e">
        <f t="shared" si="42"/>
        <v>#DIV/0!</v>
      </c>
      <c r="BH75" s="255" t="e">
        <f t="shared" si="42"/>
        <v>#DIV/0!</v>
      </c>
      <c r="BI75" s="255" t="e">
        <f t="shared" si="42"/>
        <v>#DIV/0!</v>
      </c>
      <c r="BJ75" s="255" t="e">
        <f t="shared" si="42"/>
        <v>#DIV/0!</v>
      </c>
      <c r="BK75" s="255" t="e">
        <f t="shared" si="42"/>
        <v>#DIV/0!</v>
      </c>
      <c r="BL75" s="255" t="e">
        <f t="shared" si="42"/>
        <v>#DIV/0!</v>
      </c>
      <c r="BM75" s="255" t="e">
        <f t="shared" si="42"/>
        <v>#DIV/0!</v>
      </c>
      <c r="BN75" s="255" t="e">
        <f t="shared" si="42"/>
        <v>#DIV/0!</v>
      </c>
      <c r="BO75" s="255" t="e">
        <f t="shared" si="42"/>
        <v>#DIV/0!</v>
      </c>
      <c r="BP75" s="255" t="e">
        <f t="shared" si="42"/>
        <v>#DIV/0!</v>
      </c>
      <c r="BQ75" s="255" t="e">
        <f t="shared" si="42"/>
        <v>#DIV/0!</v>
      </c>
      <c r="BR75" s="255" t="e">
        <f t="shared" ref="BR75:CJ75" si="43">BR74-BR73</f>
        <v>#DIV/0!</v>
      </c>
      <c r="BS75" s="255" t="e">
        <f t="shared" si="43"/>
        <v>#DIV/0!</v>
      </c>
      <c r="BT75" s="255" t="e">
        <f t="shared" si="43"/>
        <v>#DIV/0!</v>
      </c>
      <c r="BU75" s="255" t="e">
        <f t="shared" si="43"/>
        <v>#DIV/0!</v>
      </c>
      <c r="BV75" s="255" t="e">
        <f t="shared" si="43"/>
        <v>#DIV/0!</v>
      </c>
      <c r="BW75" s="255" t="e">
        <f t="shared" si="43"/>
        <v>#DIV/0!</v>
      </c>
      <c r="BX75" s="255" t="e">
        <f t="shared" si="43"/>
        <v>#DIV/0!</v>
      </c>
      <c r="BY75" s="255" t="e">
        <f t="shared" si="43"/>
        <v>#DIV/0!</v>
      </c>
      <c r="BZ75" s="255" t="e">
        <f t="shared" si="43"/>
        <v>#DIV/0!</v>
      </c>
      <c r="CA75" s="255" t="e">
        <f t="shared" si="43"/>
        <v>#DIV/0!</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484</v>
      </c>
      <c r="E76" s="120">
        <f>E71-E64-E68</f>
        <v>2127285929.4300003</v>
      </c>
      <c r="F76" s="120">
        <f t="shared" ref="F76:BQ76" si="44">F71-F64-F68</f>
        <v>-5381060206.9599991</v>
      </c>
      <c r="G76" s="120">
        <f t="shared" si="44"/>
        <v>-5581817708.6399984</v>
      </c>
      <c r="H76" s="120">
        <f t="shared" si="44"/>
        <v>-6580759696.2200022</v>
      </c>
      <c r="I76" s="120">
        <f t="shared" si="44"/>
        <v>-4425449129.499999</v>
      </c>
      <c r="J76" s="120">
        <f t="shared" si="44"/>
        <v>-2449334310.3400006</v>
      </c>
      <c r="K76" s="120">
        <f t="shared" si="44"/>
        <v>-795098282.45999932</v>
      </c>
      <c r="L76" s="120">
        <f t="shared" si="44"/>
        <v>-1379383774.5999997</v>
      </c>
      <c r="M76" s="120">
        <f t="shared" si="44"/>
        <v>-961961672.86999965</v>
      </c>
      <c r="N76" s="120">
        <f t="shared" si="44"/>
        <v>-1160584289</v>
      </c>
      <c r="O76" s="120">
        <f t="shared" si="44"/>
        <v>-1601473113.2400002</v>
      </c>
      <c r="P76" s="120">
        <f t="shared" si="44"/>
        <v>-1763606944.6900003</v>
      </c>
      <c r="Q76" s="120">
        <f t="shared" si="44"/>
        <v>-987503689.37000012</v>
      </c>
      <c r="R76" s="120">
        <f t="shared" si="44"/>
        <v>-968762997.25999999</v>
      </c>
      <c r="S76" s="120">
        <f t="shared" si="44"/>
        <v>-589357936.25999987</v>
      </c>
      <c r="T76" s="120">
        <f t="shared" si="44"/>
        <v>-708073552.47000003</v>
      </c>
      <c r="U76" s="120">
        <f t="shared" si="44"/>
        <v>-572969719.94000006</v>
      </c>
      <c r="V76" s="120">
        <f t="shared" si="44"/>
        <v>-596545265.65999997</v>
      </c>
      <c r="W76" s="120">
        <f t="shared" si="44"/>
        <v>-484780967.03999996</v>
      </c>
      <c r="X76" s="120">
        <f t="shared" si="44"/>
        <v>-579009888.05999994</v>
      </c>
      <c r="Y76" s="120">
        <f t="shared" si="44"/>
        <v>-314974501.30000007</v>
      </c>
      <c r="Z76" s="120">
        <f t="shared" si="44"/>
        <v>-331217358.23000002</v>
      </c>
      <c r="AA76" s="120">
        <f t="shared" si="44"/>
        <v>-183823628.11000001</v>
      </c>
      <c r="AB76" s="120">
        <f t="shared" si="44"/>
        <v>-146403311.80000001</v>
      </c>
      <c r="AC76" s="120">
        <f t="shared" si="44"/>
        <v>-232680518.91</v>
      </c>
      <c r="AD76" s="120">
        <f t="shared" si="44"/>
        <v>-412416685.06000006</v>
      </c>
      <c r="AE76" s="120">
        <f t="shared" si="44"/>
        <v>-326183834.83999997</v>
      </c>
      <c r="AF76" s="120">
        <f t="shared" si="44"/>
        <v>-236569794.61000001</v>
      </c>
      <c r="AG76" s="120">
        <f t="shared" si="44"/>
        <v>-110465046.96000001</v>
      </c>
      <c r="AH76" s="120">
        <f t="shared" si="44"/>
        <v>-114123640.87</v>
      </c>
      <c r="AI76" s="120">
        <f t="shared" si="44"/>
        <v>-69309257.399999991</v>
      </c>
      <c r="AJ76" s="120">
        <f t="shared" si="44"/>
        <v>-26065275.380000003</v>
      </c>
      <c r="AK76" s="120">
        <f t="shared" si="44"/>
        <v>-36924776.18</v>
      </c>
      <c r="AL76" s="120">
        <f t="shared" si="44"/>
        <v>-7384830.1699999999</v>
      </c>
      <c r="AM76" s="120">
        <f t="shared" si="44"/>
        <v>0</v>
      </c>
      <c r="AN76" s="120">
        <f t="shared" si="44"/>
        <v>0</v>
      </c>
      <c r="AO76" s="120">
        <f t="shared" si="44"/>
        <v>0</v>
      </c>
      <c r="AP76" s="120">
        <f t="shared" si="44"/>
        <v>0</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690</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39813</v>
      </c>
      <c r="AO80" s="1">
        <v>39447</v>
      </c>
      <c r="AP80" s="1">
        <v>25569</v>
      </c>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579</v>
      </c>
      <c r="E81" s="76">
        <f>股权价值增加表!E4</f>
        <v>7025215802.2200003</v>
      </c>
      <c r="F81" s="76">
        <f>股权价值增加表!F4</f>
        <v>6094642044.2700005</v>
      </c>
      <c r="G81" s="76">
        <f>股权价值增加表!G4</f>
        <v>5540886553.04</v>
      </c>
      <c r="H81" s="76">
        <f>股权价值增加表!H4</f>
        <v>4116467940.2800002</v>
      </c>
      <c r="I81" s="76">
        <f>股权价值增加表!I4</f>
        <v>21950951410.470001</v>
      </c>
      <c r="J81" s="76">
        <f>股权价值增加表!J4</f>
        <v>16773829590.549999</v>
      </c>
      <c r="K81" s="76">
        <f>股权价值增加表!K4</f>
        <v>10063138447.610001</v>
      </c>
      <c r="L81" s="76">
        <f>股权价值增加表!L4</f>
        <v>4634512164.1999998</v>
      </c>
      <c r="M81" s="76">
        <f>股权价值增加表!M4</f>
        <v>13016725124.120001</v>
      </c>
      <c r="N81" s="76">
        <f>股权价值增加表!N4</f>
        <v>8374974349.1499996</v>
      </c>
      <c r="O81" s="76">
        <f>股权价值增加表!O4</f>
        <v>4460713020.0600004</v>
      </c>
      <c r="P81" s="76">
        <f>股权价值增加表!P4</f>
        <v>2133457686.29</v>
      </c>
      <c r="Q81" s="76">
        <f>股权价值增加表!Q4</f>
        <v>6818938622.3800001</v>
      </c>
      <c r="R81" s="76">
        <f>股权价值增加表!R4</f>
        <v>4745146054.6599998</v>
      </c>
      <c r="S81" s="76">
        <f>股权价值增加表!S4</f>
        <v>2938801853.1599998</v>
      </c>
      <c r="T81" s="76">
        <f>股权价值增加表!T4</f>
        <v>1026947707.76</v>
      </c>
      <c r="U81" s="76">
        <f>股权价值增加表!U4</f>
        <v>2361244730.8600001</v>
      </c>
      <c r="V81" s="76">
        <f>股权价值增加表!V4</f>
        <v>1365272776.9200001</v>
      </c>
      <c r="W81" s="76">
        <f>股权价值增加表!W4</f>
        <v>751920231.09000003</v>
      </c>
      <c r="X81" s="76">
        <f>股权价值增加表!X4</f>
        <v>341886400.31999999</v>
      </c>
      <c r="Y81" s="76">
        <f>股权价值增加表!Y4</f>
        <v>1167307146.72</v>
      </c>
      <c r="Z81" s="76">
        <f>股权价值增加表!Z4</f>
        <v>828735210.47000003</v>
      </c>
      <c r="AA81" s="76">
        <f>股权价值增加表!AA4</f>
        <v>552975255.67999995</v>
      </c>
      <c r="AB81" s="76">
        <f>股权价值增加表!AB4</f>
        <v>275808462.04000002</v>
      </c>
      <c r="AC81" s="76">
        <f>股权价值增加表!AC4</f>
        <v>598555886.30999994</v>
      </c>
      <c r="AD81" s="76">
        <f>股权价值增加表!AD4</f>
        <v>355895566.29000002</v>
      </c>
      <c r="AE81" s="76">
        <f>股权价值增加表!AE4</f>
        <v>223103383.88</v>
      </c>
      <c r="AF81" s="76">
        <f>股权价值增加表!AF4</f>
        <v>104751988.97</v>
      </c>
      <c r="AG81" s="76">
        <f>股权价值增加表!AG4</f>
        <v>238258165.65000001</v>
      </c>
      <c r="AH81" s="76">
        <f>股权价值增加表!AH4</f>
        <v>173053150.27000001</v>
      </c>
      <c r="AI81" s="76">
        <f>股权价值增加表!AI4</f>
        <v>101973355.54000001</v>
      </c>
      <c r="AJ81" s="76">
        <f>股权价值增加表!AJ4</f>
        <v>45153520.600000001</v>
      </c>
      <c r="AK81" s="76">
        <f>股权价值增加表!AK4</f>
        <v>145731415.40000001</v>
      </c>
      <c r="AL81" s="76">
        <f>股权价值增加表!AL4</f>
        <v>103650975.34999999</v>
      </c>
      <c r="AM81" s="76">
        <f>股权价值增加表!AM4</f>
        <v>59792579.990000002</v>
      </c>
      <c r="AN81" s="76">
        <f>股权价值增加表!AN4</f>
        <v>73607120.709999993</v>
      </c>
      <c r="AO81" s="76">
        <f>股权价值增加表!AO4</f>
        <v>36916305.039999999</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8438445572.3600016</v>
      </c>
      <c r="F82" s="76">
        <f>投资和筹资活动现金流表!F34</f>
        <v>15756864048.639997</v>
      </c>
      <c r="G82" s="76">
        <f>投资和筹资活动现金流表!G34</f>
        <v>15401898982.620001</v>
      </c>
      <c r="H82" s="76">
        <f>投资和筹资活动现金流表!H34</f>
        <v>15006603429.959999</v>
      </c>
      <c r="I82" s="76">
        <f>投资和筹资活动现金流表!I34</f>
        <v>13926545239.610001</v>
      </c>
      <c r="J82" s="76">
        <f>投资和筹资活动现金流表!J34</f>
        <v>12606752966.610001</v>
      </c>
      <c r="K82" s="76">
        <f>投资和筹资活动现金流表!K34</f>
        <v>10714019963.780001</v>
      </c>
      <c r="L82" s="76">
        <f>投资和筹资活动现金流表!L34</f>
        <v>7573049568.4300003</v>
      </c>
      <c r="M82" s="76">
        <f>投资和筹资活动现金流表!M34</f>
        <v>6963243298.2700005</v>
      </c>
      <c r="N82" s="76">
        <f>投资和筹资活动现金流表!N34</f>
        <v>5993852699.3299999</v>
      </c>
      <c r="O82" s="76">
        <f>投资和筹资活动现金流表!O34</f>
        <v>5224509429.8799992</v>
      </c>
      <c r="P82" s="76">
        <f>投资和筹资活动现金流表!P34</f>
        <v>4819279212.1199999</v>
      </c>
      <c r="Q82" s="76">
        <f>投资和筹资活动现金流表!Q34</f>
        <v>4498559580.7799997</v>
      </c>
      <c r="R82" s="76">
        <f>投资和筹资活动现金流表!R34</f>
        <v>3857873512.5700006</v>
      </c>
      <c r="S82" s="76">
        <f>投资和筹资活动现金流表!S34</f>
        <v>3422994387.3999996</v>
      </c>
      <c r="T82" s="76">
        <f>投资和筹资活动现金流表!T34</f>
        <v>3088177473.73</v>
      </c>
      <c r="U82" s="76">
        <f>投资和筹资活动现金流表!U34</f>
        <v>2933977881.21</v>
      </c>
      <c r="V82" s="76">
        <f>投资和筹资活动现金流表!V34</f>
        <v>2558905256.3600001</v>
      </c>
      <c r="W82" s="76">
        <f>投资和筹资活动现金流表!W34</f>
        <v>2438031928.77</v>
      </c>
      <c r="X82" s="76">
        <f>投资和筹资活动现金流表!X34</f>
        <v>2149330100.0799999</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0</v>
      </c>
      <c r="AQ82" s="76">
        <f>投资和筹资活动现金流表!BR34</f>
        <v>4945499008.7600002</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581</v>
      </c>
      <c r="E83" s="154">
        <f>E81/E82</f>
        <v>0.83252486989203156</v>
      </c>
      <c r="F83" s="154">
        <f t="shared" ref="F83:BQ83" si="46">F81/F82</f>
        <v>0.38679283044242802</v>
      </c>
      <c r="G83" s="154">
        <f t="shared" si="46"/>
        <v>0.35975346671813097</v>
      </c>
      <c r="H83" s="154">
        <f t="shared" si="46"/>
        <v>0.27431043670159627</v>
      </c>
      <c r="I83" s="154">
        <f t="shared" si="46"/>
        <v>1.5761950313446664</v>
      </c>
      <c r="J83" s="154">
        <f t="shared" si="46"/>
        <v>1.330543212433593</v>
      </c>
      <c r="K83" s="154">
        <f t="shared" si="46"/>
        <v>0.93924955167431257</v>
      </c>
      <c r="L83" s="154">
        <f t="shared" si="46"/>
        <v>0.61197436017321616</v>
      </c>
      <c r="M83" s="154">
        <f t="shared" si="46"/>
        <v>1.8693480274276748</v>
      </c>
      <c r="N83" s="154">
        <f t="shared" si="46"/>
        <v>1.3972606217176748</v>
      </c>
      <c r="O83" s="154">
        <f t="shared" si="46"/>
        <v>0.85380514284236975</v>
      </c>
      <c r="P83" s="154">
        <f t="shared" si="46"/>
        <v>0.44269227666340011</v>
      </c>
      <c r="Q83" s="154">
        <f t="shared" si="46"/>
        <v>1.515804892640251</v>
      </c>
      <c r="R83" s="154">
        <f t="shared" si="46"/>
        <v>1.2299900551946621</v>
      </c>
      <c r="S83" s="154">
        <f t="shared" si="46"/>
        <v>0.85854708496680376</v>
      </c>
      <c r="T83" s="154">
        <f t="shared" si="46"/>
        <v>0.33254167433571086</v>
      </c>
      <c r="U83" s="154">
        <f t="shared" si="46"/>
        <v>0.80479295565997944</v>
      </c>
      <c r="V83" s="154">
        <f t="shared" si="46"/>
        <v>0.53353783752903683</v>
      </c>
      <c r="W83" s="154">
        <f t="shared" si="46"/>
        <v>0.30841279075018013</v>
      </c>
      <c r="X83" s="154">
        <f t="shared" si="46"/>
        <v>0.15906649253517396</v>
      </c>
      <c r="Y83" s="154">
        <f t="shared" si="46"/>
        <v>0.21638507738069085</v>
      </c>
      <c r="Z83" s="154">
        <f t="shared" si="46"/>
        <v>0.15064289657481689</v>
      </c>
      <c r="AA83" s="154">
        <f t="shared" si="46"/>
        <v>9.9137395899312142E-2</v>
      </c>
      <c r="AB83" s="154">
        <f t="shared" si="46"/>
        <v>4.8419016142324946E-2</v>
      </c>
      <c r="AC83" s="154">
        <f t="shared" si="46"/>
        <v>0.10356349044313588</v>
      </c>
      <c r="AD83" s="154">
        <f t="shared" si="46"/>
        <v>6.0930662918911485E-2</v>
      </c>
      <c r="AE83" s="154">
        <f t="shared" si="46"/>
        <v>4.1054542099328815E-2</v>
      </c>
      <c r="AF83" s="154">
        <f t="shared" si="46"/>
        <v>1.8978005810731904E-2</v>
      </c>
      <c r="AG83" s="154">
        <f t="shared" si="46"/>
        <v>4.2638908804686501E-2</v>
      </c>
      <c r="AH83" s="154">
        <f t="shared" si="46"/>
        <v>3.0971165912647629E-2</v>
      </c>
      <c r="AI83" s="154">
        <f t="shared" si="46"/>
        <v>1.970409914967404E-2</v>
      </c>
      <c r="AJ83" s="154">
        <f t="shared" si="46"/>
        <v>9.9379706993544606E-3</v>
      </c>
      <c r="AK83" s="154">
        <f t="shared" si="46"/>
        <v>3.2539213694618159E-2</v>
      </c>
      <c r="AL83" s="154">
        <f t="shared" si="46"/>
        <v>2.2927692768585788E-2</v>
      </c>
      <c r="AM83" s="154">
        <f t="shared" si="46"/>
        <v>1.6513294012453036E-2</v>
      </c>
      <c r="AN83" s="154">
        <f t="shared" si="46"/>
        <v>1.9974833143374924E-2</v>
      </c>
      <c r="AO83" s="154">
        <f t="shared" si="46"/>
        <v>1.0476758878727503E-2</v>
      </c>
      <c r="AP83" s="154" t="e">
        <f t="shared" si="46"/>
        <v>#DIV/0!</v>
      </c>
      <c r="AQ83" s="154">
        <f t="shared" si="46"/>
        <v>0</v>
      </c>
      <c r="AR83" s="154">
        <f t="shared" si="46"/>
        <v>0</v>
      </c>
      <c r="AS83" s="154">
        <f t="shared" si="46"/>
        <v>0</v>
      </c>
      <c r="AT83" s="154">
        <f t="shared" si="46"/>
        <v>0</v>
      </c>
      <c r="AU83" s="154">
        <f t="shared" si="46"/>
        <v>0</v>
      </c>
      <c r="AV83" s="154">
        <f t="shared" si="46"/>
        <v>0</v>
      </c>
      <c r="AW83" s="154">
        <f t="shared" si="46"/>
        <v>0</v>
      </c>
      <c r="AX83" s="154">
        <f t="shared" si="46"/>
        <v>0</v>
      </c>
      <c r="AY83" s="154">
        <f t="shared" si="46"/>
        <v>0</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582</v>
      </c>
      <c r="E84" s="76">
        <f>资产资本表!E52</f>
        <v>546878880.96000004</v>
      </c>
      <c r="F84" s="76">
        <f>资产资本表!F52</f>
        <v>1040742800.64</v>
      </c>
      <c r="G84" s="76">
        <f>资产资本表!G52</f>
        <v>1120317724.46</v>
      </c>
      <c r="H84" s="76">
        <f>资产资本表!H52</f>
        <v>1178101662.29</v>
      </c>
      <c r="I84" s="76">
        <f>资产资本表!I52</f>
        <v>1140315635.02</v>
      </c>
      <c r="J84" s="76">
        <f>资产资本表!J52</f>
        <v>1126868064.77</v>
      </c>
      <c r="K84" s="76">
        <f>资产资本表!K52</f>
        <v>873118019.52999997</v>
      </c>
      <c r="L84" s="76">
        <f>资产资本表!L52</f>
        <v>793118188.00999999</v>
      </c>
      <c r="M84" s="76">
        <f>资产资本表!M52</f>
        <v>629348189.65999997</v>
      </c>
      <c r="N84" s="76">
        <f>资产资本表!N52</f>
        <v>461722138.61000001</v>
      </c>
      <c r="O84" s="76">
        <f>资产资本表!O52</f>
        <v>356339897.06</v>
      </c>
      <c r="P84" s="76">
        <f>资产资本表!P52</f>
        <v>326101690.06999999</v>
      </c>
      <c r="Q84" s="76">
        <f>资产资本表!Q52</f>
        <v>343015085.10000002</v>
      </c>
      <c r="R84" s="76">
        <f>资产资本表!R52</f>
        <v>270458033.24000001</v>
      </c>
      <c r="S84" s="76">
        <f>资产资本表!S52</f>
        <v>195820447.78</v>
      </c>
      <c r="T84" s="76">
        <f>资产资本表!T52</f>
        <v>167388132.22999999</v>
      </c>
      <c r="U84" s="76">
        <f>资产资本表!U52</f>
        <v>179456277.56999999</v>
      </c>
      <c r="V84" s="76">
        <f>资产资本表!V52</f>
        <v>166824429.72999999</v>
      </c>
      <c r="W84" s="76">
        <f>资产资本表!W52</f>
        <v>176670585.90000001</v>
      </c>
      <c r="X84" s="76">
        <f>资产资本表!X52</f>
        <v>168204917.50999999</v>
      </c>
      <c r="Y84" s="76">
        <f>资产资本表!Y52</f>
        <v>178687224.06</v>
      </c>
      <c r="Z84" s="76">
        <f>资产资本表!Z52</f>
        <v>161694463.22</v>
      </c>
      <c r="AA84" s="76">
        <f>资产资本表!AA52</f>
        <v>166682355.94</v>
      </c>
      <c r="AB84" s="76">
        <f>资产资本表!AB52</f>
        <v>161246894.71000001</v>
      </c>
      <c r="AC84" s="76">
        <f>资产资本表!AC52</f>
        <v>165596635.18000001</v>
      </c>
      <c r="AD84" s="76">
        <f>资产资本表!AD52</f>
        <v>163072237.41999999</v>
      </c>
      <c r="AE84" s="76">
        <f>资产资本表!AE52</f>
        <v>150876761.75</v>
      </c>
      <c r="AF84" s="76">
        <f>资产资本表!AF52</f>
        <v>145212564.61000001</v>
      </c>
      <c r="AG84" s="76">
        <f>资产资本表!AG52</f>
        <v>140596521.28999999</v>
      </c>
      <c r="AH84" s="76">
        <f>资产资本表!AH52</f>
        <v>142594656.53</v>
      </c>
      <c r="AI84" s="76">
        <f>资产资本表!AI52</f>
        <v>114899751.97</v>
      </c>
      <c r="AJ84" s="76">
        <f>资产资本表!AJ52</f>
        <v>80495671.409999996</v>
      </c>
      <c r="AK84" s="76">
        <f>资产资本表!AK52</f>
        <v>12119848.289999999</v>
      </c>
      <c r="AL84" s="76">
        <f>资产资本表!AL52</f>
        <v>2472205.7599999998</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583</v>
      </c>
      <c r="E85" s="154">
        <f>E81/E84</f>
        <v>12.846017732277067</v>
      </c>
      <c r="F85" s="154">
        <f t="shared" ref="F85:BQ85" si="48">F81/F84</f>
        <v>5.8560501600608035</v>
      </c>
      <c r="G85" s="154">
        <f t="shared" si="48"/>
        <v>4.945817094619958</v>
      </c>
      <c r="H85" s="154">
        <f t="shared" si="48"/>
        <v>3.4941534097137161</v>
      </c>
      <c r="I85" s="154">
        <f t="shared" si="48"/>
        <v>19.249890763871711</v>
      </c>
      <c r="J85" s="154">
        <f t="shared" si="48"/>
        <v>14.885353587488195</v>
      </c>
      <c r="K85" s="154">
        <f t="shared" si="48"/>
        <v>11.525519142334268</v>
      </c>
      <c r="L85" s="154">
        <f t="shared" si="48"/>
        <v>5.8434067384438366</v>
      </c>
      <c r="M85" s="154">
        <f t="shared" si="48"/>
        <v>20.68286735066669</v>
      </c>
      <c r="N85" s="154">
        <f t="shared" si="48"/>
        <v>18.138559208710667</v>
      </c>
      <c r="O85" s="154">
        <f t="shared" si="48"/>
        <v>12.518140844916145</v>
      </c>
      <c r="P85" s="154">
        <f t="shared" si="48"/>
        <v>6.542307970964635</v>
      </c>
      <c r="Q85" s="154">
        <f t="shared" si="48"/>
        <v>19.879413234528908</v>
      </c>
      <c r="R85" s="154">
        <f t="shared" si="48"/>
        <v>17.544851590521017</v>
      </c>
      <c r="S85" s="154">
        <f t="shared" si="48"/>
        <v>15.007635241758203</v>
      </c>
      <c r="T85" s="154">
        <f t="shared" si="48"/>
        <v>6.1351285427387436</v>
      </c>
      <c r="U85" s="154">
        <f t="shared" si="48"/>
        <v>13.157771702575053</v>
      </c>
      <c r="V85" s="154">
        <f t="shared" si="48"/>
        <v>8.1838899682117923</v>
      </c>
      <c r="W85" s="154">
        <f t="shared" si="48"/>
        <v>4.256057833620396</v>
      </c>
      <c r="X85" s="154">
        <f t="shared" si="48"/>
        <v>2.0325588893658502</v>
      </c>
      <c r="Y85" s="154">
        <f t="shared" si="48"/>
        <v>6.5326838718365172</v>
      </c>
      <c r="Z85" s="154">
        <f t="shared" si="48"/>
        <v>5.1253159444453615</v>
      </c>
      <c r="AA85" s="154">
        <f t="shared" si="48"/>
        <v>3.3175392354008504</v>
      </c>
      <c r="AB85" s="154">
        <f t="shared" si="48"/>
        <v>1.710473014293002</v>
      </c>
      <c r="AC85" s="154">
        <f t="shared" si="48"/>
        <v>3.6145413562261242</v>
      </c>
      <c r="AD85" s="154">
        <f t="shared" si="48"/>
        <v>2.182441180183079</v>
      </c>
      <c r="AE85" s="154">
        <f t="shared" si="48"/>
        <v>1.4787127009637056</v>
      </c>
      <c r="AF85" s="154">
        <f t="shared" si="48"/>
        <v>0.72137000852050437</v>
      </c>
      <c r="AG85" s="154">
        <f t="shared" si="48"/>
        <v>1.6946234761993806</v>
      </c>
      <c r="AH85" s="154">
        <f t="shared" si="48"/>
        <v>1.2136019292812137</v>
      </c>
      <c r="AI85" s="154">
        <f t="shared" si="48"/>
        <v>0.88749848273497545</v>
      </c>
      <c r="AJ85" s="154">
        <f t="shared" si="48"/>
        <v>0.56094346204050138</v>
      </c>
      <c r="AK85" s="154">
        <f t="shared" si="48"/>
        <v>12.024194685691072</v>
      </c>
      <c r="AL85" s="154">
        <f t="shared" si="48"/>
        <v>41.926516403715524</v>
      </c>
      <c r="AM85" s="154" t="e">
        <f t="shared" si="48"/>
        <v>#DIV/0!</v>
      </c>
      <c r="AN85" s="154" t="e">
        <f t="shared" si="48"/>
        <v>#DIV/0!</v>
      </c>
      <c r="AO85" s="154" t="e">
        <f t="shared" si="48"/>
        <v>#DIV/0!</v>
      </c>
      <c r="AP85" s="154" t="e">
        <f t="shared" si="48"/>
        <v>#DIV/0!</v>
      </c>
      <c r="AQ85" s="154" t="e">
        <f t="shared" si="48"/>
        <v>#DIV/0!</v>
      </c>
      <c r="AR85" s="154" t="e">
        <f t="shared" si="48"/>
        <v>#DIV/0!</v>
      </c>
      <c r="AS85" s="154" t="e">
        <f t="shared" si="48"/>
        <v>#DIV/0!</v>
      </c>
      <c r="AT85" s="154" t="e">
        <f t="shared" si="48"/>
        <v>#DIV/0!</v>
      </c>
      <c r="AU85" s="154" t="e">
        <f t="shared" si="48"/>
        <v>#DIV/0!</v>
      </c>
      <c r="AV85" s="154" t="e">
        <f t="shared" si="48"/>
        <v>#DIV/0!</v>
      </c>
      <c r="AW85" s="154" t="e">
        <f t="shared" si="48"/>
        <v>#DIV/0!</v>
      </c>
      <c r="AX85" s="154" t="e">
        <f t="shared" si="48"/>
        <v>#DIV/0!</v>
      </c>
      <c r="AY85" s="154" t="e">
        <f t="shared" si="48"/>
        <v>#DIV/0!</v>
      </c>
      <c r="AZ85" s="154" t="e">
        <f t="shared" si="48"/>
        <v>#DIV/0!</v>
      </c>
      <c r="BA85" s="154" t="e">
        <f t="shared" si="48"/>
        <v>#DIV/0!</v>
      </c>
      <c r="BB85" s="154" t="e">
        <f t="shared" si="48"/>
        <v>#DIV/0!</v>
      </c>
      <c r="BC85" s="154" t="e">
        <f t="shared" si="48"/>
        <v>#DIV/0!</v>
      </c>
      <c r="BD85" s="154" t="e">
        <f t="shared" si="48"/>
        <v>#DIV/0!</v>
      </c>
      <c r="BE85" s="154" t="e">
        <f t="shared" si="48"/>
        <v>#DIV/0!</v>
      </c>
      <c r="BF85" s="154" t="e">
        <f t="shared" si="48"/>
        <v>#DIV/0!</v>
      </c>
      <c r="BG85" s="154" t="e">
        <f t="shared" si="48"/>
        <v>#DIV/0!</v>
      </c>
      <c r="BH85" s="154" t="e">
        <f t="shared" si="48"/>
        <v>#DIV/0!</v>
      </c>
      <c r="BI85" s="154" t="e">
        <f t="shared" si="48"/>
        <v>#DIV/0!</v>
      </c>
      <c r="BJ85" s="154" t="e">
        <f t="shared" si="48"/>
        <v>#DIV/0!</v>
      </c>
      <c r="BK85" s="154" t="e">
        <f t="shared" si="48"/>
        <v>#DIV/0!</v>
      </c>
      <c r="BL85" s="154" t="e">
        <f t="shared" si="48"/>
        <v>#DIV/0!</v>
      </c>
      <c r="BM85" s="154" t="e">
        <f t="shared" si="48"/>
        <v>#DIV/0!</v>
      </c>
      <c r="BN85" s="154" t="e">
        <f t="shared" si="48"/>
        <v>#DIV/0!</v>
      </c>
      <c r="BO85" s="154" t="e">
        <f t="shared" si="48"/>
        <v>#DIV/0!</v>
      </c>
      <c r="BP85" s="154" t="e">
        <f t="shared" si="48"/>
        <v>#DIV/0!</v>
      </c>
      <c r="BQ85" s="154" t="e">
        <f t="shared" si="48"/>
        <v>#DIV/0!</v>
      </c>
      <c r="BR85" s="154" t="e">
        <f t="shared" ref="BR85:CK85" si="49">BR81/BR84</f>
        <v>#DIV/0!</v>
      </c>
      <c r="BS85" s="154" t="e">
        <f t="shared" si="49"/>
        <v>#DIV/0!</v>
      </c>
      <c r="BT85" s="154" t="e">
        <f t="shared" si="49"/>
        <v>#DIV/0!</v>
      </c>
      <c r="BU85" s="154" t="e">
        <f t="shared" si="49"/>
        <v>#DIV/0!</v>
      </c>
      <c r="BV85" s="154" t="e">
        <f t="shared" si="49"/>
        <v>#DIV/0!</v>
      </c>
      <c r="BW85" s="154" t="e">
        <f t="shared" si="49"/>
        <v>#DIV/0!</v>
      </c>
      <c r="BX85" s="154" t="e">
        <f t="shared" si="49"/>
        <v>#DIV/0!</v>
      </c>
      <c r="BY85" s="154" t="e">
        <f t="shared" si="49"/>
        <v>#DIV/0!</v>
      </c>
      <c r="BZ85" s="154" t="e">
        <f t="shared" si="49"/>
        <v>#DIV/0!</v>
      </c>
      <c r="CA85" s="154" t="e">
        <f t="shared" si="49"/>
        <v>#DIV/0!</v>
      </c>
      <c r="CB85" s="154" t="e">
        <f t="shared" si="49"/>
        <v>#DIV/0!</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584</v>
      </c>
      <c r="E86" s="76">
        <f>资产资本表!E53</f>
        <v>0</v>
      </c>
      <c r="F86" s="76">
        <f>资产资本表!F53</f>
        <v>0</v>
      </c>
      <c r="G86" s="76">
        <f>资产资本表!G53</f>
        <v>0</v>
      </c>
      <c r="H86" s="76">
        <f>资产资本表!H53</f>
        <v>0</v>
      </c>
      <c r="I86" s="76">
        <f>资产资本表!I53</f>
        <v>0</v>
      </c>
      <c r="J86" s="76">
        <f>资产资本表!J53</f>
        <v>0</v>
      </c>
      <c r="K86" s="76">
        <f>资产资本表!K53</f>
        <v>0</v>
      </c>
      <c r="L86" s="76">
        <f>资产资本表!L53</f>
        <v>0</v>
      </c>
      <c r="M86" s="76">
        <f>资产资本表!M53</f>
        <v>0</v>
      </c>
      <c r="N86" s="76">
        <f>资产资本表!N53</f>
        <v>0</v>
      </c>
      <c r="O86" s="76">
        <f>资产资本表!O53</f>
        <v>0</v>
      </c>
      <c r="P86" s="76">
        <f>资产资本表!P53</f>
        <v>0</v>
      </c>
      <c r="Q86" s="76">
        <f>资产资本表!Q53</f>
        <v>0</v>
      </c>
      <c r="R86" s="76">
        <f>资产资本表!R53</f>
        <v>0</v>
      </c>
      <c r="S86" s="76">
        <f>资产资本表!S53</f>
        <v>0</v>
      </c>
      <c r="T86" s="76">
        <f>资产资本表!T53</f>
        <v>0</v>
      </c>
      <c r="U86" s="76">
        <f>资产资本表!U53</f>
        <v>0</v>
      </c>
      <c r="V86" s="76">
        <f>资产资本表!V53</f>
        <v>0</v>
      </c>
      <c r="W86" s="76">
        <f>资产资本表!W53</f>
        <v>0</v>
      </c>
      <c r="X86" s="76">
        <f>资产资本表!X53</f>
        <v>0</v>
      </c>
      <c r="Y86" s="76">
        <f>资产资本表!Y53</f>
        <v>0</v>
      </c>
      <c r="Z86" s="76">
        <f>资产资本表!Z53</f>
        <v>0</v>
      </c>
      <c r="AA86" s="76">
        <f>资产资本表!AA53</f>
        <v>0</v>
      </c>
      <c r="AB86" s="76">
        <f>资产资本表!AB53</f>
        <v>0</v>
      </c>
      <c r="AC86" s="76">
        <f>资产资本表!AC53</f>
        <v>0</v>
      </c>
      <c r="AD86" s="76">
        <f>资产资本表!AD53</f>
        <v>0</v>
      </c>
      <c r="AE86" s="76">
        <f>资产资本表!AE53</f>
        <v>0</v>
      </c>
      <c r="AF86" s="76">
        <f>资产资本表!AF53</f>
        <v>0</v>
      </c>
      <c r="AG86" s="76">
        <f>资产资本表!AG53</f>
        <v>0</v>
      </c>
      <c r="AH86" s="76">
        <f>资产资本表!AH53</f>
        <v>2500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585</v>
      </c>
      <c r="E87" s="54" t="e">
        <f>E81/E86</f>
        <v>#DIV/0!</v>
      </c>
      <c r="F87" s="54" t="e">
        <f t="shared" ref="F87:BQ87" si="50">F81/F86</f>
        <v>#DIV/0!</v>
      </c>
      <c r="G87" s="54" t="e">
        <f t="shared" si="50"/>
        <v>#DIV/0!</v>
      </c>
      <c r="H87" s="54" t="e">
        <f t="shared" si="50"/>
        <v>#DIV/0!</v>
      </c>
      <c r="I87" s="54" t="e">
        <f t="shared" si="50"/>
        <v>#DIV/0!</v>
      </c>
      <c r="J87" s="54" t="e">
        <f t="shared" si="50"/>
        <v>#DIV/0!</v>
      </c>
      <c r="K87" s="54" t="e">
        <f t="shared" si="50"/>
        <v>#DIV/0!</v>
      </c>
      <c r="L87" s="54" t="e">
        <f t="shared" si="50"/>
        <v>#DIV/0!</v>
      </c>
      <c r="M87" s="54" t="e">
        <f t="shared" si="50"/>
        <v>#DIV/0!</v>
      </c>
      <c r="N87" s="54" t="e">
        <f t="shared" si="50"/>
        <v>#DIV/0!</v>
      </c>
      <c r="O87" s="54" t="e">
        <f t="shared" si="50"/>
        <v>#DIV/0!</v>
      </c>
      <c r="P87" s="54" t="e">
        <f t="shared" si="50"/>
        <v>#DIV/0!</v>
      </c>
      <c r="Q87" s="54" t="e">
        <f t="shared" si="50"/>
        <v>#DIV/0!</v>
      </c>
      <c r="R87" s="54" t="e">
        <f t="shared" si="50"/>
        <v>#DIV/0!</v>
      </c>
      <c r="S87" s="54" t="e">
        <f t="shared" si="50"/>
        <v>#DIV/0!</v>
      </c>
      <c r="T87" s="54" t="e">
        <f t="shared" si="50"/>
        <v>#DIV/0!</v>
      </c>
      <c r="U87" s="54" t="e">
        <f t="shared" si="50"/>
        <v>#DIV/0!</v>
      </c>
      <c r="V87" s="54" t="e">
        <f t="shared" si="50"/>
        <v>#DIV/0!</v>
      </c>
      <c r="W87" s="54" t="e">
        <f t="shared" si="50"/>
        <v>#DIV/0!</v>
      </c>
      <c r="X87" s="54" t="e">
        <f t="shared" si="50"/>
        <v>#DIV/0!</v>
      </c>
      <c r="Y87" s="54" t="e">
        <f t="shared" si="50"/>
        <v>#DIV/0!</v>
      </c>
      <c r="Z87" s="54" t="e">
        <f t="shared" si="50"/>
        <v>#DIV/0!</v>
      </c>
      <c r="AA87" s="54" t="e">
        <f t="shared" si="50"/>
        <v>#DIV/0!</v>
      </c>
      <c r="AB87" s="54" t="e">
        <f t="shared" si="50"/>
        <v>#DIV/0!</v>
      </c>
      <c r="AC87" s="54" t="e">
        <f t="shared" si="50"/>
        <v>#DIV/0!</v>
      </c>
      <c r="AD87" s="54" t="e">
        <f t="shared" si="50"/>
        <v>#DIV/0!</v>
      </c>
      <c r="AE87" s="54" t="e">
        <f t="shared" si="50"/>
        <v>#DIV/0!</v>
      </c>
      <c r="AF87" s="54" t="e">
        <f t="shared" si="50"/>
        <v>#DIV/0!</v>
      </c>
      <c r="AG87" s="54" t="e">
        <f t="shared" si="50"/>
        <v>#DIV/0!</v>
      </c>
      <c r="AH87" s="54">
        <f t="shared" si="50"/>
        <v>69221.260108000002</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4567035177.6099997</v>
      </c>
      <c r="F92" s="76">
        <f>资产资本表!F58</f>
        <v>8600096549.9599991</v>
      </c>
      <c r="G92" s="76">
        <f>资产资本表!G58</f>
        <v>8628405917.8500004</v>
      </c>
      <c r="H92" s="76">
        <f>资产资本表!H58</f>
        <v>7904165566.4799995</v>
      </c>
      <c r="I92" s="76">
        <f>资产资本表!I58</f>
        <v>6882018054.4799995</v>
      </c>
      <c r="J92" s="76">
        <f>资产资本表!J58</f>
        <v>6137808794.4799995</v>
      </c>
      <c r="K92" s="76">
        <f>资产资本表!K58</f>
        <v>5486098788.3400002</v>
      </c>
      <c r="L92" s="76">
        <f>资产资本表!L58</f>
        <v>5079504494.9499998</v>
      </c>
      <c r="M92" s="76">
        <f>资产资本表!M58</f>
        <v>4879832445.9799995</v>
      </c>
      <c r="N92" s="76">
        <f>资产资本表!N58</f>
        <v>4206455153.2199998</v>
      </c>
      <c r="O92" s="76">
        <f>资产资本表!O58</f>
        <v>3789601099.2800002</v>
      </c>
      <c r="P92" s="76">
        <f>资产资本表!P58</f>
        <v>3581581508.8499999</v>
      </c>
      <c r="Q92" s="76">
        <f>资产资本表!Q58</f>
        <v>3338541906.0599999</v>
      </c>
      <c r="R92" s="76">
        <f>资产资本表!R58</f>
        <v>3157881794.0700002</v>
      </c>
      <c r="S92" s="76">
        <f>资产资本表!S58</f>
        <v>2907783900.3400002</v>
      </c>
      <c r="T92" s="76">
        <f>资产资本表!T58</f>
        <v>2725462267.8499999</v>
      </c>
      <c r="U92" s="76">
        <f>资产资本表!U58</f>
        <v>2641514257.4000001</v>
      </c>
      <c r="V92" s="76">
        <f>资产资本表!V58</f>
        <v>2270650638.7399998</v>
      </c>
      <c r="W92" s="76">
        <f>资产资本表!W58</f>
        <v>2150645574.6999998</v>
      </c>
      <c r="X92" s="76">
        <f>资产资本表!X58</f>
        <v>1891354882.9000001</v>
      </c>
      <c r="Y92" s="76">
        <f>资产资本表!Y58</f>
        <v>1751115466.5799999</v>
      </c>
      <c r="Z92" s="76">
        <f>资产资本表!Z58</f>
        <v>1492026311.6400001</v>
      </c>
      <c r="AA92" s="76">
        <f>资产资本表!AA58</f>
        <v>1300136646.25</v>
      </c>
      <c r="AB92" s="76">
        <f>资产资本表!AB58</f>
        <v>1134224399.76</v>
      </c>
      <c r="AC92" s="76">
        <f>资产资本表!AC58</f>
        <v>886051083.40999997</v>
      </c>
      <c r="AD92" s="76">
        <f>资产资本表!AD58</f>
        <v>509088085.60000002</v>
      </c>
      <c r="AE92" s="76">
        <f>资产资本表!AE58</f>
        <v>337207867.27999997</v>
      </c>
      <c r="AF92" s="76">
        <f>资产资本表!AF58</f>
        <v>257340271.84</v>
      </c>
      <c r="AG92" s="76">
        <f>资产资本表!AG58</f>
        <v>214363920.68000001</v>
      </c>
      <c r="AH92" s="76">
        <f>资产资本表!AH58</f>
        <v>125791028.59999999</v>
      </c>
      <c r="AI92" s="76">
        <f>资产资本表!AI58</f>
        <v>111017245.66</v>
      </c>
      <c r="AJ92" s="76">
        <f>资产资本表!AJ58</f>
        <v>88502958.780000001</v>
      </c>
      <c r="AK92" s="76">
        <f>资产资本表!AK58</f>
        <v>50471753.219999999</v>
      </c>
      <c r="AL92" s="76">
        <f>资产资本表!AL58</f>
        <v>50543921.159999996</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689</v>
      </c>
      <c r="E93" s="154">
        <f>E81/E92</f>
        <v>1.5382442939483563</v>
      </c>
      <c r="F93" s="154">
        <f t="shared" ref="F93:BQ93" si="52">F81/F92</f>
        <v>0.70867135140457793</v>
      </c>
      <c r="G93" s="154">
        <f t="shared" si="52"/>
        <v>0.64216804422440299</v>
      </c>
      <c r="H93" s="154">
        <f t="shared" si="52"/>
        <v>0.52079728159252192</v>
      </c>
      <c r="I93" s="154">
        <f t="shared" si="52"/>
        <v>3.1896096808668717</v>
      </c>
      <c r="J93" s="154">
        <f t="shared" si="52"/>
        <v>2.7328693597681699</v>
      </c>
      <c r="K93" s="154">
        <f t="shared" si="52"/>
        <v>1.8342977106059248</v>
      </c>
      <c r="L93" s="154">
        <f t="shared" si="52"/>
        <v>0.91239453942950388</v>
      </c>
      <c r="M93" s="154">
        <f t="shared" si="52"/>
        <v>2.6674532923447329</v>
      </c>
      <c r="N93" s="154">
        <f t="shared" si="52"/>
        <v>1.9909814901364251</v>
      </c>
      <c r="O93" s="154">
        <f t="shared" si="52"/>
        <v>1.1770930246213795</v>
      </c>
      <c r="P93" s="154">
        <f t="shared" si="52"/>
        <v>0.59567475457930485</v>
      </c>
      <c r="Q93" s="154">
        <f t="shared" si="52"/>
        <v>2.0424900493243805</v>
      </c>
      <c r="R93" s="154">
        <f t="shared" si="52"/>
        <v>1.5026357425951249</v>
      </c>
      <c r="S93" s="154">
        <f t="shared" si="52"/>
        <v>1.0106672138931552</v>
      </c>
      <c r="T93" s="154">
        <f t="shared" si="52"/>
        <v>0.37679762434213221</v>
      </c>
      <c r="U93" s="154">
        <f t="shared" si="52"/>
        <v>0.89389815869634381</v>
      </c>
      <c r="V93" s="154">
        <f t="shared" si="52"/>
        <v>0.60126941310425441</v>
      </c>
      <c r="W93" s="154">
        <f t="shared" si="52"/>
        <v>0.34962535897849545</v>
      </c>
      <c r="X93" s="154">
        <f t="shared" si="52"/>
        <v>0.18076269208441104</v>
      </c>
      <c r="Y93" s="154">
        <f t="shared" si="52"/>
        <v>0.66660775317106791</v>
      </c>
      <c r="Z93" s="154">
        <f t="shared" si="52"/>
        <v>0.55544275861936632</v>
      </c>
      <c r="AA93" s="154">
        <f t="shared" si="52"/>
        <v>0.42532087475186031</v>
      </c>
      <c r="AB93" s="154">
        <f t="shared" si="52"/>
        <v>0.24316921951102502</v>
      </c>
      <c r="AC93" s="154">
        <f t="shared" si="52"/>
        <v>0.67553202915393518</v>
      </c>
      <c r="AD93" s="154">
        <f t="shared" si="52"/>
        <v>0.69908445386332174</v>
      </c>
      <c r="AE93" s="154">
        <f t="shared" si="52"/>
        <v>0.66161974712988081</v>
      </c>
      <c r="AF93" s="154">
        <f t="shared" si="52"/>
        <v>0.40705633914589556</v>
      </c>
      <c r="AG93" s="154">
        <f t="shared" si="52"/>
        <v>1.1114657956161804</v>
      </c>
      <c r="AH93" s="154">
        <f t="shared" si="52"/>
        <v>1.3757193354407471</v>
      </c>
      <c r="AI93" s="154">
        <f t="shared" si="52"/>
        <v>0.9185361691669266</v>
      </c>
      <c r="AJ93" s="154">
        <f t="shared" si="52"/>
        <v>0.5101922152935281</v>
      </c>
      <c r="AK93" s="154">
        <f t="shared" si="52"/>
        <v>2.8873856385526211</v>
      </c>
      <c r="AL93" s="154">
        <f t="shared" si="52"/>
        <v>2.0507110048285777</v>
      </c>
      <c r="AM93" s="154" t="e">
        <f t="shared" si="52"/>
        <v>#DIV/0!</v>
      </c>
      <c r="AN93" s="154" t="e">
        <f t="shared" si="52"/>
        <v>#DIV/0!</v>
      </c>
      <c r="AO93" s="154" t="e">
        <f t="shared" si="52"/>
        <v>#DIV/0!</v>
      </c>
      <c r="AP93" s="154" t="e">
        <f t="shared" si="52"/>
        <v>#DIV/0!</v>
      </c>
      <c r="AQ93" s="154" t="e">
        <f t="shared" si="52"/>
        <v>#DIV/0!</v>
      </c>
      <c r="AR93" s="154" t="e">
        <f t="shared" si="52"/>
        <v>#DIV/0!</v>
      </c>
      <c r="AS93" s="154" t="e">
        <f t="shared" si="52"/>
        <v>#DIV/0!</v>
      </c>
      <c r="AT93" s="154" t="e">
        <f t="shared" si="52"/>
        <v>#DIV/0!</v>
      </c>
      <c r="AU93" s="154" t="e">
        <f t="shared" si="52"/>
        <v>#DIV/0!</v>
      </c>
      <c r="AV93" s="154" t="e">
        <f t="shared" si="52"/>
        <v>#DIV/0!</v>
      </c>
      <c r="AW93" s="154" t="e">
        <f t="shared" si="52"/>
        <v>#DIV/0!</v>
      </c>
      <c r="AX93" s="154" t="e">
        <f t="shared" si="52"/>
        <v>#DIV/0!</v>
      </c>
      <c r="AY93" s="154" t="e">
        <f t="shared" si="52"/>
        <v>#DIV/0!</v>
      </c>
      <c r="AZ93" s="154" t="e">
        <f t="shared" si="52"/>
        <v>#DIV/0!</v>
      </c>
      <c r="BA93" s="154" t="e">
        <f t="shared" si="52"/>
        <v>#DIV/0!</v>
      </c>
      <c r="BB93" s="154" t="e">
        <f t="shared" si="52"/>
        <v>#DIV/0!</v>
      </c>
      <c r="BC93" s="154" t="e">
        <f t="shared" si="52"/>
        <v>#DIV/0!</v>
      </c>
      <c r="BD93" s="154" t="e">
        <f t="shared" si="52"/>
        <v>#DIV/0!</v>
      </c>
      <c r="BE93" s="154" t="e">
        <f t="shared" si="52"/>
        <v>#DIV/0!</v>
      </c>
      <c r="BF93" s="154" t="e">
        <f t="shared" si="52"/>
        <v>#DIV/0!</v>
      </c>
      <c r="BG93" s="154" t="e">
        <f t="shared" si="52"/>
        <v>#DIV/0!</v>
      </c>
      <c r="BH93" s="154" t="e">
        <f t="shared" si="52"/>
        <v>#DIV/0!</v>
      </c>
      <c r="BI93" s="154" t="e">
        <f t="shared" si="52"/>
        <v>#DIV/0!</v>
      </c>
      <c r="BJ93" s="154" t="e">
        <f t="shared" si="52"/>
        <v>#DIV/0!</v>
      </c>
      <c r="BK93" s="154" t="e">
        <f t="shared" si="52"/>
        <v>#DIV/0!</v>
      </c>
      <c r="BL93" s="154" t="e">
        <f t="shared" si="52"/>
        <v>#DIV/0!</v>
      </c>
      <c r="BM93" s="154" t="e">
        <f t="shared" si="52"/>
        <v>#DIV/0!</v>
      </c>
      <c r="BN93" s="154" t="e">
        <f t="shared" si="52"/>
        <v>#DIV/0!</v>
      </c>
      <c r="BO93" s="154" t="e">
        <f t="shared" si="52"/>
        <v>#DIV/0!</v>
      </c>
      <c r="BP93" s="154" t="e">
        <f t="shared" si="52"/>
        <v>#DIV/0!</v>
      </c>
      <c r="BQ93" s="154" t="e">
        <f t="shared" si="52"/>
        <v>#DIV/0!</v>
      </c>
      <c r="BR93" s="154" t="e">
        <f t="shared" ref="BR93:CK93" si="53">BR81/BR92</f>
        <v>#DIV/0!</v>
      </c>
      <c r="BS93" s="154" t="e">
        <f t="shared" si="53"/>
        <v>#DIV/0!</v>
      </c>
      <c r="BT93" s="154" t="e">
        <f t="shared" si="53"/>
        <v>#DIV/0!</v>
      </c>
      <c r="BU93" s="154" t="e">
        <f t="shared" si="53"/>
        <v>#DIV/0!</v>
      </c>
      <c r="BV93" s="154" t="e">
        <f t="shared" si="53"/>
        <v>#DIV/0!</v>
      </c>
      <c r="BW93" s="154" t="e">
        <f t="shared" si="53"/>
        <v>#DIV/0!</v>
      </c>
      <c r="BX93" s="154" t="e">
        <f t="shared" si="53"/>
        <v>#DIV/0!</v>
      </c>
      <c r="BY93" s="154" t="e">
        <f t="shared" si="53"/>
        <v>#DIV/0!</v>
      </c>
      <c r="BZ93" s="154" t="e">
        <f t="shared" si="53"/>
        <v>#DIV/0!</v>
      </c>
      <c r="CA93" s="154" t="e">
        <f t="shared" si="53"/>
        <v>#DIV/0!</v>
      </c>
      <c r="CB93" s="154" t="e">
        <f t="shared" si="53"/>
        <v>#DIV/0!</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591</v>
      </c>
      <c r="E94" s="76">
        <f>资产资本表!E59</f>
        <v>148085237.30000001</v>
      </c>
      <c r="F94" s="76">
        <f>资产资本表!F59</f>
        <v>805531300.78999996</v>
      </c>
      <c r="G94" s="76">
        <f>资产资本表!G59</f>
        <v>816890420</v>
      </c>
      <c r="H94" s="76">
        <f>资产资本表!H59</f>
        <v>757836243.44000006</v>
      </c>
      <c r="I94" s="76">
        <f>资产资本表!I59</f>
        <v>696578154.59000003</v>
      </c>
      <c r="J94" s="76">
        <f>资产资本表!J59</f>
        <v>696024803.49000001</v>
      </c>
      <c r="K94" s="76">
        <f>资产资本表!K59</f>
        <v>676291066.61000001</v>
      </c>
      <c r="L94" s="76">
        <f>资产资本表!L59</f>
        <v>580983818.11000001</v>
      </c>
      <c r="M94" s="76">
        <f>资产资本表!M59</f>
        <v>424155254.98000002</v>
      </c>
      <c r="N94" s="76">
        <f>资产资本表!N59</f>
        <v>450987468.44999999</v>
      </c>
      <c r="O94" s="76">
        <f>资产资本表!O59</f>
        <v>435841236.36000001</v>
      </c>
      <c r="P94" s="76">
        <f>资产资本表!P59</f>
        <v>416911304.18000001</v>
      </c>
      <c r="Q94" s="76">
        <f>资产资本表!Q59</f>
        <v>388056048.72000003</v>
      </c>
      <c r="R94" s="76">
        <f>资产资本表!R59</f>
        <v>268854572.16000003</v>
      </c>
      <c r="S94" s="76">
        <f>资产资本表!S59</f>
        <v>210435958.15000001</v>
      </c>
      <c r="T94" s="76">
        <f>资产资本表!T59</f>
        <v>128621168.22</v>
      </c>
      <c r="U94" s="76">
        <f>资产资本表!U59</f>
        <v>65931646.890000001</v>
      </c>
      <c r="V94" s="76">
        <f>资产资本表!V59</f>
        <v>97554491.75</v>
      </c>
      <c r="W94" s="76">
        <f>资产资本表!W59</f>
        <v>86840072.030000001</v>
      </c>
      <c r="X94" s="76">
        <f>资产资本表!X59</f>
        <v>67389778.640000001</v>
      </c>
      <c r="Y94" s="76">
        <f>资产资本表!Y59</f>
        <v>56705158.490000002</v>
      </c>
      <c r="Z94" s="76">
        <f>资产资本表!Z59</f>
        <v>52051866.549999997</v>
      </c>
      <c r="AA94" s="76">
        <f>资产资本表!AA59</f>
        <v>68433633.140000001</v>
      </c>
      <c r="AB94" s="76">
        <f>资产资本表!AB59</f>
        <v>43837150.850000001</v>
      </c>
      <c r="AC94" s="76">
        <f>资产资本表!AC59</f>
        <v>36404354.109999999</v>
      </c>
      <c r="AD94" s="76">
        <f>资产资本表!AD59</f>
        <v>9700688.4700000007</v>
      </c>
      <c r="AE94" s="76">
        <f>资产资本表!AE59</f>
        <v>2542829.0299999998</v>
      </c>
      <c r="AF94" s="76">
        <f>资产资本表!AF59</f>
        <v>2163032.9900000002</v>
      </c>
      <c r="AG94" s="76">
        <f>资产资本表!AG59</f>
        <v>1922715.24</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747585265.47000003</v>
      </c>
      <c r="F95" s="76">
        <f>资产资本表!F60</f>
        <v>747585265.47000003</v>
      </c>
      <c r="G95" s="76">
        <f>资产资本表!G60</f>
        <v>747585265.47000003</v>
      </c>
      <c r="H95" s="76">
        <f>资产资本表!H60</f>
        <v>747585265.47000003</v>
      </c>
      <c r="I95" s="76">
        <f>资产资本表!I60</f>
        <v>747585265.47000003</v>
      </c>
      <c r="J95" s="76">
        <f>资产资本表!J60</f>
        <v>747585265.47000003</v>
      </c>
      <c r="K95" s="76">
        <f>资产资本表!K60</f>
        <v>747585265.47000003</v>
      </c>
      <c r="L95" s="76">
        <f>资产资本表!L60</f>
        <v>747585265.47000003</v>
      </c>
      <c r="M95" s="76">
        <f>资产资本表!M60</f>
        <v>747585265.47000003</v>
      </c>
      <c r="N95" s="76">
        <f>资产资本表!N60</f>
        <v>747585265.47000003</v>
      </c>
      <c r="O95" s="76">
        <f>资产资本表!O60</f>
        <v>747585265.47000003</v>
      </c>
      <c r="P95" s="76">
        <f>资产资本表!P60</f>
        <v>747585265.47000003</v>
      </c>
      <c r="Q95" s="76">
        <f>资产资本表!Q60</f>
        <v>747585265.47000003</v>
      </c>
      <c r="R95" s="76">
        <f>资产资本表!R60</f>
        <v>749091684.70000005</v>
      </c>
      <c r="S95" s="76">
        <f>资产资本表!S60</f>
        <v>749091684.70000005</v>
      </c>
      <c r="T95" s="76">
        <f>资产资本表!T60</f>
        <v>0</v>
      </c>
      <c r="U95" s="76">
        <f>资产资本表!U60</f>
        <v>0</v>
      </c>
      <c r="V95" s="76">
        <f>资产资本表!V60</f>
        <v>0</v>
      </c>
      <c r="W95" s="76">
        <f>资产资本表!W60</f>
        <v>0</v>
      </c>
      <c r="X95" s="76">
        <f>资产资本表!X60</f>
        <v>854892.91</v>
      </c>
      <c r="Y95" s="76">
        <f>资产资本表!Y60</f>
        <v>854892.91</v>
      </c>
      <c r="Z95" s="76">
        <f>资产资本表!Z60</f>
        <v>854892.91</v>
      </c>
      <c r="AA95" s="76">
        <f>资产资本表!AA60</f>
        <v>854892.91</v>
      </c>
      <c r="AB95" s="76">
        <f>资产资本表!AB60</f>
        <v>854892.91</v>
      </c>
      <c r="AC95" s="76">
        <f>资产资本表!AC60</f>
        <v>854892.91</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806666.67</v>
      </c>
      <c r="F96" s="76">
        <f>资产资本表!F61</f>
        <v>1484671.89</v>
      </c>
      <c r="G96" s="76">
        <f>资产资本表!G61</f>
        <v>1264199.1599999999</v>
      </c>
      <c r="H96" s="76">
        <f>资产资本表!H61</f>
        <v>1544969.26</v>
      </c>
      <c r="I96" s="76">
        <f>资产资本表!I61</f>
        <v>1546403.16</v>
      </c>
      <c r="J96" s="76">
        <f>资产资本表!J61</f>
        <v>460415.06</v>
      </c>
      <c r="K96" s="76">
        <f>资产资本表!K61</f>
        <v>460415.06</v>
      </c>
      <c r="L96" s="76">
        <f>资产资本表!L61</f>
        <v>460415.06</v>
      </c>
      <c r="M96" s="76">
        <f>资产资本表!M61</f>
        <v>1082073.1499999999</v>
      </c>
      <c r="N96" s="76">
        <f>资产资本表!N61</f>
        <v>1382058.87</v>
      </c>
      <c r="O96" s="76">
        <f>资产资本表!O61</f>
        <v>1523898.56</v>
      </c>
      <c r="P96" s="76">
        <f>资产资本表!P61</f>
        <v>1700506.61</v>
      </c>
      <c r="Q96" s="76">
        <f>资产资本表!Q61</f>
        <v>1930683</v>
      </c>
      <c r="R96" s="76">
        <f>资产资本表!R61</f>
        <v>0</v>
      </c>
      <c r="S96" s="76">
        <f>资产资本表!S61</f>
        <v>0</v>
      </c>
      <c r="T96" s="76">
        <f>资产资本表!T61</f>
        <v>0</v>
      </c>
      <c r="U96" s="76">
        <f>资产资本表!U61</f>
        <v>0</v>
      </c>
      <c r="V96" s="76">
        <f>资产资本表!V61</f>
        <v>0</v>
      </c>
      <c r="W96" s="76">
        <f>资产资本表!W61</f>
        <v>0</v>
      </c>
      <c r="X96" s="76">
        <f>资产资本表!X61</f>
        <v>0</v>
      </c>
      <c r="Y96" s="76">
        <f>资产资本表!Y61</f>
        <v>0</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55170945.43</v>
      </c>
      <c r="F97" s="76">
        <f>资产资本表!F62</f>
        <v>1116874483.6500001</v>
      </c>
      <c r="G97" s="76">
        <f>资产资本表!G62</f>
        <v>912663733.60000002</v>
      </c>
      <c r="H97" s="76">
        <f>资产资本表!H62</f>
        <v>838852706.37</v>
      </c>
      <c r="I97" s="76">
        <f>资产资本表!I62</f>
        <v>763343422.11000001</v>
      </c>
      <c r="J97" s="76">
        <f>资产资本表!J62</f>
        <v>710151450.64999998</v>
      </c>
      <c r="K97" s="76">
        <f>资产资本表!K62</f>
        <v>631809781.22000003</v>
      </c>
      <c r="L97" s="76">
        <f>资产资本表!L62</f>
        <v>530833720.98000002</v>
      </c>
      <c r="M97" s="76">
        <f>资产资本表!M62</f>
        <v>507251454.37</v>
      </c>
      <c r="N97" s="76">
        <f>资产资本表!N62</f>
        <v>346289271.63999999</v>
      </c>
      <c r="O97" s="76">
        <f>资产资本表!O62</f>
        <v>281692854.08999997</v>
      </c>
      <c r="P97" s="76">
        <f>资产资本表!P62</f>
        <v>234994985.59</v>
      </c>
      <c r="Q97" s="76">
        <f>资产资本表!Q62</f>
        <v>196218582.19</v>
      </c>
      <c r="R97" s="76">
        <f>资产资本表!R62</f>
        <v>140679113.09999999</v>
      </c>
      <c r="S97" s="76">
        <f>资产资本表!S62</f>
        <v>88954081.129999995</v>
      </c>
      <c r="T97" s="76">
        <f>资产资本表!T62</f>
        <v>46416271.880000003</v>
      </c>
      <c r="U97" s="76">
        <f>资产资本表!U62</f>
        <v>26756965.48</v>
      </c>
      <c r="V97" s="76">
        <f>资产资本表!V62</f>
        <v>3546832.57</v>
      </c>
      <c r="W97" s="76">
        <f>资产资本表!W62</f>
        <v>3546832.57</v>
      </c>
      <c r="X97" s="76">
        <f>资产资本表!X62</f>
        <v>2380521.0299999998</v>
      </c>
      <c r="Y97" s="76">
        <f>资产资本表!Y62</f>
        <v>2380521.0299999998</v>
      </c>
      <c r="Z97" s="76">
        <f>资产资本表!Z62</f>
        <v>2279479.39</v>
      </c>
      <c r="AA97" s="76">
        <f>资产资本表!AA62</f>
        <v>2279479.39</v>
      </c>
      <c r="AB97" s="76">
        <f>资产资本表!AB62</f>
        <v>1747789.47</v>
      </c>
      <c r="AC97" s="76">
        <f>资产资本表!AC62</f>
        <v>1747789.47</v>
      </c>
      <c r="AD97" s="76">
        <f>资产资本表!AD62</f>
        <v>1487828.17</v>
      </c>
      <c r="AE97" s="76">
        <f>资产资本表!AE62</f>
        <v>1487828.16</v>
      </c>
      <c r="AF97" s="76">
        <f>资产资本表!AF62</f>
        <v>1074907.6100000001</v>
      </c>
      <c r="AG97" s="76">
        <f>资产资本表!AG62</f>
        <v>1074907.6100000001</v>
      </c>
      <c r="AH97" s="76">
        <f>资产资本表!AH62</f>
        <v>813878.6</v>
      </c>
      <c r="AI97" s="76">
        <f>资产资本表!AI62</f>
        <v>813878.6</v>
      </c>
      <c r="AJ97" s="76">
        <f>资产资本表!AJ62</f>
        <v>813878.6</v>
      </c>
      <c r="AK97" s="76">
        <f>资产资本表!AK62</f>
        <v>86091.39</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3037852.42</v>
      </c>
      <c r="F98" s="76">
        <f>资产资本表!F63</f>
        <v>3037852.42</v>
      </c>
      <c r="G98" s="76">
        <f>资产资本表!G63</f>
        <v>3037852.42</v>
      </c>
      <c r="H98" s="76">
        <f>资产资本表!H63</f>
        <v>3037852.42</v>
      </c>
      <c r="I98" s="76">
        <f>资产资本表!I63</f>
        <v>3037852.42</v>
      </c>
      <c r="J98" s="76">
        <f>资产资本表!J63</f>
        <v>7738542.96</v>
      </c>
      <c r="K98" s="76">
        <f>资产资本表!K63</f>
        <v>7738542.96</v>
      </c>
      <c r="L98" s="76">
        <f>资产资本表!L63</f>
        <v>6489861.7300000004</v>
      </c>
      <c r="M98" s="76">
        <f>资产资本表!M63</f>
        <v>6489861.7300000004</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971834613.55999994</v>
      </c>
      <c r="F99" s="93">
        <f>资产资本表!F64</f>
        <v>1375605015.8699999</v>
      </c>
      <c r="G99" s="93">
        <f>资产资本表!G64</f>
        <v>1117626425.96</v>
      </c>
      <c r="H99" s="93">
        <f>资产资本表!H64</f>
        <v>1662061830.45</v>
      </c>
      <c r="I99" s="93">
        <f>资产资本表!I64</f>
        <v>1658299634.4200001</v>
      </c>
      <c r="J99" s="93">
        <f>资产资本表!J64</f>
        <v>1382152881.5999999</v>
      </c>
      <c r="K99" s="93">
        <f>资产资本表!K64</f>
        <v>572779517.75999999</v>
      </c>
      <c r="L99" s="93">
        <f>资产资本表!L64</f>
        <v>544103698.07000005</v>
      </c>
      <c r="M99" s="93">
        <f>资产资本表!M64</f>
        <v>511528626.08999997</v>
      </c>
      <c r="N99" s="93">
        <f>资产资本表!N64</f>
        <v>527016608.54000002</v>
      </c>
      <c r="O99" s="93">
        <f>资产资本表!O64</f>
        <v>359510444.52999997</v>
      </c>
      <c r="P99" s="93">
        <f>资产资本表!P64</f>
        <v>257989216.81999999</v>
      </c>
      <c r="Q99" s="93">
        <f>资产资本表!Q64</f>
        <v>230797275.71000001</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686</v>
      </c>
      <c r="E100" s="196">
        <f>(E84+I84)/2</f>
        <v>843597257.99000001</v>
      </c>
      <c r="F100" s="196">
        <f t="shared" ref="F100:BQ100" si="54">(F84+J84)/2</f>
        <v>1083805432.7049999</v>
      </c>
      <c r="G100" s="196">
        <f t="shared" si="54"/>
        <v>996717871.995</v>
      </c>
      <c r="H100" s="196">
        <f t="shared" si="54"/>
        <v>985609925.14999998</v>
      </c>
      <c r="I100" s="196">
        <f t="shared" si="54"/>
        <v>884831912.33999991</v>
      </c>
      <c r="J100" s="196">
        <f t="shared" si="54"/>
        <v>794295101.69000006</v>
      </c>
      <c r="K100" s="196">
        <f t="shared" si="54"/>
        <v>614728958.29499996</v>
      </c>
      <c r="L100" s="196">
        <f t="shared" si="54"/>
        <v>559609939.03999996</v>
      </c>
      <c r="M100" s="196">
        <f t="shared" si="54"/>
        <v>486181637.38</v>
      </c>
      <c r="N100" s="196">
        <f t="shared" si="54"/>
        <v>366090085.92500001</v>
      </c>
      <c r="O100" s="196">
        <f t="shared" si="54"/>
        <v>276080172.42000002</v>
      </c>
      <c r="P100" s="196">
        <f t="shared" si="54"/>
        <v>246744911.14999998</v>
      </c>
      <c r="Q100" s="196">
        <f t="shared" si="54"/>
        <v>261235681.33500001</v>
      </c>
      <c r="R100" s="196">
        <f t="shared" si="54"/>
        <v>218641231.48500001</v>
      </c>
      <c r="S100" s="196">
        <f t="shared" si="54"/>
        <v>186245516.84</v>
      </c>
      <c r="T100" s="196">
        <f t="shared" si="54"/>
        <v>167796524.87</v>
      </c>
      <c r="U100" s="196">
        <f t="shared" si="54"/>
        <v>179071750.815</v>
      </c>
      <c r="V100" s="196">
        <f t="shared" si="54"/>
        <v>164259446.47499999</v>
      </c>
      <c r="W100" s="196">
        <f t="shared" si="54"/>
        <v>171676470.92000002</v>
      </c>
      <c r="X100" s="196">
        <f t="shared" si="54"/>
        <v>164725906.11000001</v>
      </c>
      <c r="Y100" s="196">
        <f t="shared" si="54"/>
        <v>172141929.62</v>
      </c>
      <c r="Z100" s="196">
        <f t="shared" si="54"/>
        <v>162383350.31999999</v>
      </c>
      <c r="AA100" s="196">
        <f t="shared" si="54"/>
        <v>158779558.845</v>
      </c>
      <c r="AB100" s="196">
        <f t="shared" si="54"/>
        <v>153229729.66000003</v>
      </c>
      <c r="AC100" s="196">
        <f t="shared" si="54"/>
        <v>153096578.23500001</v>
      </c>
      <c r="AD100" s="196">
        <f t="shared" si="54"/>
        <v>152833446.97499999</v>
      </c>
      <c r="AE100" s="196">
        <f t="shared" si="54"/>
        <v>132888256.86</v>
      </c>
      <c r="AF100" s="196">
        <f t="shared" si="54"/>
        <v>112854118.01000001</v>
      </c>
      <c r="AG100" s="196">
        <f t="shared" si="54"/>
        <v>76358184.789999992</v>
      </c>
      <c r="AH100" s="196">
        <f t="shared" si="54"/>
        <v>72533431.144999996</v>
      </c>
      <c r="AI100" s="196">
        <f t="shared" si="54"/>
        <v>57449875.984999999</v>
      </c>
      <c r="AJ100" s="196">
        <f t="shared" si="54"/>
        <v>40247835.704999998</v>
      </c>
      <c r="AK100" s="196">
        <f t="shared" si="54"/>
        <v>6059924.1449999996</v>
      </c>
      <c r="AL100" s="196">
        <f t="shared" si="54"/>
        <v>1236102.8799999999</v>
      </c>
      <c r="AM100" s="196">
        <f t="shared" si="54"/>
        <v>0</v>
      </c>
      <c r="AN100" s="196">
        <f t="shared" si="54"/>
        <v>0</v>
      </c>
      <c r="AO100" s="196">
        <f t="shared" si="54"/>
        <v>0</v>
      </c>
      <c r="AP100" s="196">
        <f t="shared" si="54"/>
        <v>0</v>
      </c>
      <c r="AQ100" s="196">
        <f t="shared" si="54"/>
        <v>0</v>
      </c>
      <c r="AR100" s="196">
        <f t="shared" si="54"/>
        <v>0</v>
      </c>
      <c r="AS100" s="196">
        <f t="shared" si="54"/>
        <v>0</v>
      </c>
      <c r="AT100" s="196">
        <f t="shared" si="54"/>
        <v>0</v>
      </c>
      <c r="AU100" s="196">
        <f t="shared" si="54"/>
        <v>0</v>
      </c>
      <c r="AV100" s="196">
        <f t="shared" si="54"/>
        <v>0</v>
      </c>
      <c r="AW100" s="196">
        <f t="shared" si="54"/>
        <v>0</v>
      </c>
      <c r="AX100" s="196">
        <f t="shared" si="54"/>
        <v>0</v>
      </c>
      <c r="AY100" s="196">
        <f t="shared" si="54"/>
        <v>0</v>
      </c>
      <c r="AZ100" s="196">
        <f t="shared" si="54"/>
        <v>0</v>
      </c>
      <c r="BA100" s="196">
        <f t="shared" si="54"/>
        <v>0</v>
      </c>
      <c r="BB100" s="196">
        <f t="shared" si="54"/>
        <v>0</v>
      </c>
      <c r="BC100" s="196">
        <f t="shared" si="54"/>
        <v>0</v>
      </c>
      <c r="BD100" s="196">
        <f t="shared" si="54"/>
        <v>0</v>
      </c>
      <c r="BE100" s="196">
        <f t="shared" si="54"/>
        <v>0</v>
      </c>
      <c r="BF100" s="196">
        <f t="shared" si="54"/>
        <v>0</v>
      </c>
      <c r="BG100" s="196">
        <f t="shared" si="54"/>
        <v>0</v>
      </c>
      <c r="BH100" s="196">
        <f t="shared" si="54"/>
        <v>0</v>
      </c>
      <c r="BI100" s="196">
        <f t="shared" si="54"/>
        <v>0</v>
      </c>
      <c r="BJ100" s="196">
        <f t="shared" si="54"/>
        <v>0</v>
      </c>
      <c r="BK100" s="196">
        <f t="shared" si="54"/>
        <v>0</v>
      </c>
      <c r="BL100" s="196">
        <f t="shared" si="54"/>
        <v>0</v>
      </c>
      <c r="BM100" s="196">
        <f t="shared" si="54"/>
        <v>0</v>
      </c>
      <c r="BN100" s="196">
        <f t="shared" si="54"/>
        <v>0</v>
      </c>
      <c r="BO100" s="196">
        <f t="shared" si="54"/>
        <v>0</v>
      </c>
      <c r="BP100" s="196">
        <f t="shared" si="54"/>
        <v>0</v>
      </c>
      <c r="BQ100" s="196">
        <f t="shared" si="54"/>
        <v>0</v>
      </c>
      <c r="BR100" s="196">
        <f t="shared" ref="BR100:CK100" si="55">(BR84+BV84)/2</f>
        <v>0</v>
      </c>
      <c r="BS100" s="196">
        <f t="shared" si="55"/>
        <v>0</v>
      </c>
      <c r="BT100" s="196">
        <f t="shared" si="55"/>
        <v>0</v>
      </c>
      <c r="BU100" s="196">
        <f t="shared" si="55"/>
        <v>0</v>
      </c>
      <c r="BV100" s="196">
        <f t="shared" si="55"/>
        <v>0</v>
      </c>
      <c r="BW100" s="196">
        <f t="shared" si="55"/>
        <v>0</v>
      </c>
      <c r="BX100" s="196">
        <f t="shared" si="55"/>
        <v>0</v>
      </c>
      <c r="BY100" s="196">
        <f t="shared" si="55"/>
        <v>0</v>
      </c>
      <c r="BZ100" s="196">
        <f t="shared" si="55"/>
        <v>0</v>
      </c>
      <c r="CA100" s="196">
        <f t="shared" si="55"/>
        <v>0</v>
      </c>
      <c r="CB100" s="196">
        <f t="shared" si="55"/>
        <v>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687</v>
      </c>
      <c r="E101" s="251">
        <f>E100/E84</f>
        <v>1.5425668961820864</v>
      </c>
      <c r="F101" s="251">
        <f t="shared" ref="F101:BQ101" si="56">F100/F84</f>
        <v>1.041376824359024</v>
      </c>
      <c r="G101" s="251">
        <f t="shared" si="56"/>
        <v>0.88967428635070833</v>
      </c>
      <c r="H101" s="251">
        <f t="shared" si="56"/>
        <v>0.8366085514506163</v>
      </c>
      <c r="I101" s="251">
        <f t="shared" si="56"/>
        <v>0.77595350371959149</v>
      </c>
      <c r="J101" s="251">
        <f t="shared" si="56"/>
        <v>0.70486965291018344</v>
      </c>
      <c r="K101" s="251">
        <f t="shared" si="56"/>
        <v>0.70406170133323898</v>
      </c>
      <c r="L101" s="251">
        <f t="shared" si="56"/>
        <v>0.70558202736985287</v>
      </c>
      <c r="M101" s="251">
        <f t="shared" si="56"/>
        <v>0.77251614506535005</v>
      </c>
      <c r="N101" s="251">
        <f t="shared" si="56"/>
        <v>0.79287964624590601</v>
      </c>
      <c r="O101" s="251">
        <f t="shared" si="56"/>
        <v>0.7747663809127554</v>
      </c>
      <c r="P101" s="251">
        <f t="shared" si="56"/>
        <v>0.75665020655683957</v>
      </c>
      <c r="Q101" s="251">
        <f t="shared" si="56"/>
        <v>0.76158656771273292</v>
      </c>
      <c r="R101" s="251">
        <f t="shared" si="56"/>
        <v>0.80841093483432003</v>
      </c>
      <c r="S101" s="251">
        <f t="shared" si="56"/>
        <v>0.95110351830694806</v>
      </c>
      <c r="T101" s="251">
        <f t="shared" si="56"/>
        <v>1.0024397944738332</v>
      </c>
      <c r="U101" s="251">
        <f t="shared" si="56"/>
        <v>0.99785726774116323</v>
      </c>
      <c r="V101" s="251">
        <f t="shared" si="56"/>
        <v>0.98462465443969249</v>
      </c>
      <c r="W101" s="251">
        <f t="shared" si="56"/>
        <v>0.97173205174727395</v>
      </c>
      <c r="X101" s="251">
        <f t="shared" si="56"/>
        <v>0.97931682704940448</v>
      </c>
      <c r="Y101" s="251">
        <f t="shared" si="56"/>
        <v>0.96337010396556277</v>
      </c>
      <c r="Z101" s="251">
        <f t="shared" si="56"/>
        <v>1.0042604247930413</v>
      </c>
      <c r="AA101" s="251">
        <f t="shared" si="56"/>
        <v>0.95258768061902876</v>
      </c>
      <c r="AB101" s="251">
        <f t="shared" si="56"/>
        <v>0.95028018949190474</v>
      </c>
      <c r="AC101" s="251">
        <f t="shared" si="56"/>
        <v>0.9245150305656108</v>
      </c>
      <c r="AD101" s="251">
        <f t="shared" si="56"/>
        <v>0.93721316021052981</v>
      </c>
      <c r="AE101" s="251">
        <f t="shared" si="56"/>
        <v>0.88077352216899629</v>
      </c>
      <c r="AF101" s="251">
        <f t="shared" si="56"/>
        <v>0.77716496718513528</v>
      </c>
      <c r="AG101" s="251">
        <f t="shared" si="56"/>
        <v>0.54310152263654199</v>
      </c>
      <c r="AH101" s="251">
        <f t="shared" si="56"/>
        <v>0.50866864797097033</v>
      </c>
      <c r="AI101" s="251">
        <f t="shared" si="56"/>
        <v>0.5</v>
      </c>
      <c r="AJ101" s="251">
        <f t="shared" si="56"/>
        <v>0.5</v>
      </c>
      <c r="AK101" s="251">
        <f t="shared" si="56"/>
        <v>0.5</v>
      </c>
      <c r="AL101" s="251">
        <f t="shared" si="56"/>
        <v>0.5</v>
      </c>
      <c r="AM101" s="251" t="e">
        <f t="shared" si="56"/>
        <v>#DIV/0!</v>
      </c>
      <c r="AN101" s="251" t="e">
        <f t="shared" si="56"/>
        <v>#DIV/0!</v>
      </c>
      <c r="AO101" s="251" t="e">
        <f t="shared" si="56"/>
        <v>#DIV/0!</v>
      </c>
      <c r="AP101" s="251" t="e">
        <f t="shared" si="56"/>
        <v>#DIV/0!</v>
      </c>
      <c r="AQ101" s="251" t="e">
        <f t="shared" si="56"/>
        <v>#DIV/0!</v>
      </c>
      <c r="AR101" s="251" t="e">
        <f t="shared" si="56"/>
        <v>#DIV/0!</v>
      </c>
      <c r="AS101" s="251" t="e">
        <f t="shared" si="56"/>
        <v>#DIV/0!</v>
      </c>
      <c r="AT101" s="251" t="e">
        <f t="shared" si="56"/>
        <v>#DIV/0!</v>
      </c>
      <c r="AU101" s="251" t="e">
        <f t="shared" si="56"/>
        <v>#DIV/0!</v>
      </c>
      <c r="AV101" s="251" t="e">
        <f t="shared" si="56"/>
        <v>#DIV/0!</v>
      </c>
      <c r="AW101" s="251" t="e">
        <f t="shared" si="56"/>
        <v>#DIV/0!</v>
      </c>
      <c r="AX101" s="251" t="e">
        <f t="shared" si="56"/>
        <v>#DIV/0!</v>
      </c>
      <c r="AY101" s="251" t="e">
        <f t="shared" si="56"/>
        <v>#DIV/0!</v>
      </c>
      <c r="AZ101" s="251" t="e">
        <f t="shared" si="56"/>
        <v>#DIV/0!</v>
      </c>
      <c r="BA101" s="251" t="e">
        <f t="shared" si="56"/>
        <v>#DIV/0!</v>
      </c>
      <c r="BB101" s="251" t="e">
        <f t="shared" si="56"/>
        <v>#DIV/0!</v>
      </c>
      <c r="BC101" s="251" t="e">
        <f t="shared" si="56"/>
        <v>#DIV/0!</v>
      </c>
      <c r="BD101" s="251" t="e">
        <f t="shared" si="56"/>
        <v>#DIV/0!</v>
      </c>
      <c r="BE101" s="251" t="e">
        <f t="shared" si="56"/>
        <v>#DIV/0!</v>
      </c>
      <c r="BF101" s="251" t="e">
        <f t="shared" si="56"/>
        <v>#DIV/0!</v>
      </c>
      <c r="BG101" s="251" t="e">
        <f t="shared" si="56"/>
        <v>#DIV/0!</v>
      </c>
      <c r="BH101" s="251" t="e">
        <f t="shared" si="56"/>
        <v>#DIV/0!</v>
      </c>
      <c r="BI101" s="251" t="e">
        <f t="shared" si="56"/>
        <v>#DIV/0!</v>
      </c>
      <c r="BJ101" s="251" t="e">
        <f t="shared" si="56"/>
        <v>#DIV/0!</v>
      </c>
      <c r="BK101" s="251" t="e">
        <f t="shared" si="56"/>
        <v>#DIV/0!</v>
      </c>
      <c r="BL101" s="251" t="e">
        <f t="shared" si="56"/>
        <v>#DIV/0!</v>
      </c>
      <c r="BM101" s="251" t="e">
        <f t="shared" si="56"/>
        <v>#DIV/0!</v>
      </c>
      <c r="BN101" s="251" t="e">
        <f t="shared" si="56"/>
        <v>#DIV/0!</v>
      </c>
      <c r="BO101" s="251" t="e">
        <f t="shared" si="56"/>
        <v>#DIV/0!</v>
      </c>
      <c r="BP101" s="251" t="e">
        <f t="shared" si="56"/>
        <v>#DIV/0!</v>
      </c>
      <c r="BQ101" s="251" t="e">
        <f t="shared" si="56"/>
        <v>#DIV/0!</v>
      </c>
      <c r="BR101" s="251" t="e">
        <f t="shared" ref="BR101:CK101" si="57">BR100/BR84</f>
        <v>#DIV/0!</v>
      </c>
      <c r="BS101" s="251" t="e">
        <f t="shared" si="57"/>
        <v>#DIV/0!</v>
      </c>
      <c r="BT101" s="251" t="e">
        <f t="shared" si="57"/>
        <v>#DIV/0!</v>
      </c>
      <c r="BU101" s="251" t="e">
        <f t="shared" si="57"/>
        <v>#DIV/0!</v>
      </c>
      <c r="BV101" s="251" t="e">
        <f t="shared" si="57"/>
        <v>#DIV/0!</v>
      </c>
      <c r="BW101" s="251" t="e">
        <f t="shared" si="57"/>
        <v>#DIV/0!</v>
      </c>
      <c r="BX101" s="251" t="e">
        <f t="shared" si="57"/>
        <v>#DIV/0!</v>
      </c>
      <c r="BY101" s="251" t="e">
        <f t="shared" si="57"/>
        <v>#DIV/0!</v>
      </c>
      <c r="BZ101" s="251" t="e">
        <f t="shared" si="57"/>
        <v>#DIV/0!</v>
      </c>
      <c r="CA101" s="251" t="e">
        <f t="shared" si="57"/>
        <v>#DIV/0!</v>
      </c>
      <c r="CB101" s="251" t="e">
        <f t="shared" si="57"/>
        <v>#DIV/0!</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8" t="s">
        <v>688</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15" workbookViewId="0">
      <selection activeCell="E27" sqref="E27:CL27"/>
    </sheetView>
  </sheetViews>
  <sheetFormatPr defaultRowHeight="14.4" x14ac:dyDescent="0.25"/>
  <cols>
    <col min="1" max="1" width="63.21875" style="17" bestFit="1" customWidth="1"/>
    <col min="2" max="4" width="9.5546875" hidden="1" customWidth="1"/>
    <col min="5" max="5" width="23.88671875" bestFit="1" customWidth="1"/>
    <col min="6" max="7" width="22.6640625" hidden="1" customWidth="1"/>
    <col min="8" max="8" width="20.21875" hidden="1" customWidth="1"/>
    <col min="9" max="9" width="22.6640625" bestFit="1" customWidth="1"/>
    <col min="10" max="10" width="20.44140625" hidden="1" customWidth="1"/>
    <col min="11" max="11" width="21.44140625" hidden="1" customWidth="1"/>
    <col min="12" max="12" width="19.33203125" hidden="1" customWidth="1"/>
    <col min="13" max="13" width="21.44140625" bestFit="1" customWidth="1"/>
    <col min="14" max="14" width="19.33203125" hidden="1" customWidth="1"/>
    <col min="15" max="16" width="20.21875" hidden="1" customWidth="1"/>
    <col min="17" max="17" width="21.44140625" bestFit="1" customWidth="1"/>
    <col min="18" max="20" width="19.33203125" hidden="1" customWidth="1"/>
    <col min="21" max="21" width="20.21875" bestFit="1" customWidth="1"/>
    <col min="22" max="22" width="19.33203125" hidden="1" customWidth="1"/>
    <col min="23" max="23" width="20.21875" hidden="1" customWidth="1"/>
    <col min="24" max="24" width="17.77734375" hidden="1" customWidth="1"/>
    <col min="25" max="25" width="20.21875" bestFit="1" customWidth="1"/>
    <col min="26" max="28" width="17.77734375" hidden="1" customWidth="1"/>
    <col min="29" max="29" width="19" bestFit="1" customWidth="1"/>
    <col min="30" max="30" width="19" hidden="1" customWidth="1"/>
    <col min="31" max="31" width="17.77734375" hidden="1" customWidth="1"/>
    <col min="32" max="32" width="17.21875" hidden="1" customWidth="1"/>
    <col min="33" max="33" width="17.77734375" bestFit="1" customWidth="1"/>
    <col min="34" max="35" width="17.77734375" hidden="1" customWidth="1"/>
    <col min="36" max="36" width="16.5546875" hidden="1" customWidth="1"/>
    <col min="37" max="37" width="17.77734375" bestFit="1" customWidth="1"/>
    <col min="38" max="39" width="17.77734375" hidden="1" customWidth="1"/>
    <col min="40" max="40" width="17.77734375" bestFit="1" customWidth="1"/>
    <col min="41" max="41" width="16.5546875" bestFit="1" customWidth="1"/>
    <col min="42" max="42" width="9.5546875" hidden="1" customWidth="1"/>
    <col min="43" max="44" width="18.3320312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300104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5453436883.5900002</v>
      </c>
      <c r="F2" s="26">
        <f>现金流量表!F4</f>
        <v>4476235969.6300001</v>
      </c>
      <c r="G2" s="26">
        <f>现金流量表!G4</f>
        <v>3583676403.3600001</v>
      </c>
      <c r="H2" s="26">
        <f>现金流量表!H4</f>
        <v>2630848829.8299999</v>
      </c>
      <c r="I2" s="26">
        <f>现金流量表!I4</f>
        <v>14634188704.16</v>
      </c>
      <c r="J2" s="26">
        <f>现金流量表!J4</f>
        <v>11833407221.01</v>
      </c>
      <c r="K2" s="26">
        <f>现金流量表!K4</f>
        <v>7889998858.8400002</v>
      </c>
      <c r="L2" s="26">
        <f>现金流量表!L4</f>
        <v>2821414626.2600002</v>
      </c>
      <c r="M2" s="26">
        <f>现金流量表!M4</f>
        <v>10044744599.42</v>
      </c>
      <c r="N2" s="26">
        <f>现金流量表!N4</f>
        <v>5934236703.9200001</v>
      </c>
      <c r="O2" s="26">
        <f>现金流量表!O4</f>
        <v>3472644595.0900002</v>
      </c>
      <c r="P2" s="26">
        <f>现金流量表!P4</f>
        <v>1385540490.95</v>
      </c>
      <c r="Q2" s="26">
        <f>现金流量表!Q4</f>
        <v>5829074513.6499996</v>
      </c>
      <c r="R2" s="26">
        <f>现金流量表!R4</f>
        <v>4047776079.9099998</v>
      </c>
      <c r="S2" s="26">
        <f>现金流量表!S4</f>
        <v>2289819189.4899998</v>
      </c>
      <c r="T2" s="26">
        <f>现金流量表!T4</f>
        <v>857350832.60000002</v>
      </c>
      <c r="U2" s="26">
        <f>现金流量表!U4</f>
        <v>1458402367.0699999</v>
      </c>
      <c r="V2" s="26">
        <f>现金流量表!V4</f>
        <v>802194781.51999998</v>
      </c>
      <c r="W2" s="26">
        <f>现金流量表!W4</f>
        <v>417553109.73000002</v>
      </c>
      <c r="X2" s="26">
        <f>现金流量表!X4</f>
        <v>132711309.73</v>
      </c>
      <c r="Y2" s="26">
        <f>现金流量表!Y4</f>
        <v>543325957.38999999</v>
      </c>
      <c r="Z2" s="26">
        <f>现金流量表!Z4</f>
        <v>332605024.97000003</v>
      </c>
      <c r="AA2" s="26">
        <f>现金流量表!AA4</f>
        <v>239635028.49000001</v>
      </c>
      <c r="AB2" s="26">
        <f>现金流量表!AB4</f>
        <v>159788004.53999999</v>
      </c>
      <c r="AC2" s="26">
        <f>现金流量表!AC4</f>
        <v>381821132.93000001</v>
      </c>
      <c r="AD2" s="26">
        <f>现金流量表!AD4</f>
        <v>267816515.18000001</v>
      </c>
      <c r="AE2" s="26">
        <f>现金流量表!AE4</f>
        <v>161003561.84</v>
      </c>
      <c r="AF2" s="26">
        <f>现金流量表!AF4</f>
        <v>44988308.93</v>
      </c>
      <c r="AG2" s="26">
        <f>现金流量表!AG4</f>
        <v>184126602.47999999</v>
      </c>
      <c r="AH2" s="26">
        <f>现金流量表!AH4</f>
        <v>102349288.7</v>
      </c>
      <c r="AI2" s="26">
        <f>现金流量表!AI4</f>
        <v>77791983.689999998</v>
      </c>
      <c r="AJ2" s="26">
        <f>现金流量表!AJ4</f>
        <v>26411448.510000002</v>
      </c>
      <c r="AK2" s="26">
        <f>现金流量表!AK4</f>
        <v>151211920.25</v>
      </c>
      <c r="AL2" s="26">
        <f>现金流量表!AL4</f>
        <v>106072152.17</v>
      </c>
      <c r="AM2" s="26">
        <f>现金流量表!AM4</f>
        <v>72838105.950000003</v>
      </c>
      <c r="AN2" s="26">
        <f>现金流量表!AN4</f>
        <v>55148859.439999998</v>
      </c>
      <c r="AO2" s="26">
        <f>现金流量表!AO4</f>
        <v>20703695.34</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7096077561</v>
      </c>
      <c r="F3" s="26">
        <f>利润表!F3</f>
        <v>6152053263.54</v>
      </c>
      <c r="G3" s="26">
        <f>利润表!G3</f>
        <v>5578705425.3900003</v>
      </c>
      <c r="H3" s="26">
        <f>利润表!H3</f>
        <v>4132457522.02</v>
      </c>
      <c r="I3" s="26">
        <f>利润表!I3</f>
        <v>21986878491.369999</v>
      </c>
      <c r="J3" s="26">
        <f>利润表!J3</f>
        <v>16795372832.26</v>
      </c>
      <c r="K3" s="26">
        <f>利润表!K3</f>
        <v>10063138447.610001</v>
      </c>
      <c r="L3" s="26">
        <f>利润表!L3</f>
        <v>4634512164.1999998</v>
      </c>
      <c r="M3" s="26">
        <f>利润表!M3</f>
        <v>13016725124.120001</v>
      </c>
      <c r="N3" s="26">
        <f>利润表!N3</f>
        <v>8374974349.1499996</v>
      </c>
      <c r="O3" s="26">
        <f>利润表!O3</f>
        <v>4460713020.0600004</v>
      </c>
      <c r="P3" s="26">
        <f>利润表!P3</f>
        <v>2133457686.29</v>
      </c>
      <c r="Q3" s="26">
        <f>利润表!Q3</f>
        <v>6818938622.3800001</v>
      </c>
      <c r="R3" s="26">
        <f>利润表!R3</f>
        <v>4745146054.6599998</v>
      </c>
      <c r="S3" s="26">
        <f>利润表!S3</f>
        <v>2938801853.1599998</v>
      </c>
      <c r="T3" s="26">
        <f>利润表!T3</f>
        <v>1026947707.76</v>
      </c>
      <c r="U3" s="26">
        <f>利润表!U3</f>
        <v>2361244730.8600001</v>
      </c>
      <c r="V3" s="26">
        <f>利润表!V3</f>
        <v>1365272776.9200001</v>
      </c>
      <c r="W3" s="26">
        <f>利润表!W3</f>
        <v>751920231.09000003</v>
      </c>
      <c r="X3" s="26">
        <f>利润表!X3</f>
        <v>341886400.31999999</v>
      </c>
      <c r="Y3" s="26">
        <f>利润表!Y3</f>
        <v>1167307146.72</v>
      </c>
      <c r="Z3" s="26">
        <f>利润表!Z3</f>
        <v>828735210.47000003</v>
      </c>
      <c r="AA3" s="26">
        <f>利润表!AA3</f>
        <v>552975255.67999995</v>
      </c>
      <c r="AB3" s="26">
        <f>利润表!AB3</f>
        <v>275808462.04000002</v>
      </c>
      <c r="AC3" s="26">
        <f>利润表!AC3</f>
        <v>598555886.30999994</v>
      </c>
      <c r="AD3" s="26">
        <f>利润表!AD3</f>
        <v>355895566.29000002</v>
      </c>
      <c r="AE3" s="26">
        <f>利润表!AE3</f>
        <v>223103383.88</v>
      </c>
      <c r="AF3" s="26">
        <f>利润表!AF3</f>
        <v>104751988.97</v>
      </c>
      <c r="AG3" s="26">
        <f>利润表!AG3</f>
        <v>238258165.65000001</v>
      </c>
      <c r="AH3" s="26">
        <f>利润表!AH3</f>
        <v>173053150.27000001</v>
      </c>
      <c r="AI3" s="26">
        <f>利润表!AI3</f>
        <v>101973355.54000001</v>
      </c>
      <c r="AJ3" s="26">
        <f>利润表!AJ3</f>
        <v>45153520.600000001</v>
      </c>
      <c r="AK3" s="26">
        <f>利润表!AK3</f>
        <v>145731415.40000001</v>
      </c>
      <c r="AL3" s="26">
        <f>利润表!AL3</f>
        <v>103650975.34999999</v>
      </c>
      <c r="AM3" s="26">
        <f>利润表!AM3</f>
        <v>59792579.990000002</v>
      </c>
      <c r="AN3" s="26">
        <f>利润表!AN3</f>
        <v>73607120.709999993</v>
      </c>
      <c r="AO3" s="26">
        <f>利润表!AO3</f>
        <v>36916305.039999999</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0.65684980545853688</v>
      </c>
      <c r="F5" s="28">
        <f t="shared" ref="F5:BQ5" si="2">(F2/(1+F4))/F3</f>
        <v>0.62188062183389048</v>
      </c>
      <c r="G5" s="28">
        <f t="shared" si="2"/>
        <v>0.54904696544520426</v>
      </c>
      <c r="H5" s="28">
        <f t="shared" si="2"/>
        <v>0.54412870101210498</v>
      </c>
      <c r="I5" s="28">
        <f t="shared" si="2"/>
        <v>0.5688780969162387</v>
      </c>
      <c r="J5" s="28">
        <f t="shared" si="2"/>
        <v>0.60219105385941951</v>
      </c>
      <c r="K5" s="28">
        <f t="shared" si="2"/>
        <v>0.67012779396281907</v>
      </c>
      <c r="L5" s="28">
        <f t="shared" si="2"/>
        <v>0.52032779440253707</v>
      </c>
      <c r="M5" s="28">
        <f t="shared" si="2"/>
        <v>0.65955543445160347</v>
      </c>
      <c r="N5" s="28">
        <f t="shared" si="2"/>
        <v>0.60561345878657868</v>
      </c>
      <c r="O5" s="28">
        <f t="shared" si="2"/>
        <v>0.66538068917417226</v>
      </c>
      <c r="P5" s="28">
        <f t="shared" si="2"/>
        <v>0.55507200796511891</v>
      </c>
      <c r="Q5" s="28">
        <f t="shared" si="2"/>
        <v>0.73062909711199686</v>
      </c>
      <c r="R5" s="28">
        <f t="shared" si="2"/>
        <v>0.72908981837117404</v>
      </c>
      <c r="S5" s="28">
        <f t="shared" si="2"/>
        <v>0.66595521445690631</v>
      </c>
      <c r="T5" s="28">
        <f t="shared" si="2"/>
        <v>0.71354995377521346</v>
      </c>
      <c r="U5" s="28">
        <f t="shared" si="2"/>
        <v>0.52789858388735755</v>
      </c>
      <c r="V5" s="28">
        <f t="shared" si="2"/>
        <v>0.50219749268602398</v>
      </c>
      <c r="W5" s="28">
        <f t="shared" si="2"/>
        <v>0.47462880371217753</v>
      </c>
      <c r="X5" s="28">
        <f t="shared" si="2"/>
        <v>0.33177239500762151</v>
      </c>
      <c r="Y5" s="28">
        <f t="shared" si="2"/>
        <v>0.39782259662099323</v>
      </c>
      <c r="Z5" s="28">
        <f t="shared" si="2"/>
        <v>0.34302609027367847</v>
      </c>
      <c r="AA5" s="28">
        <f t="shared" si="2"/>
        <v>0.37038956366103903</v>
      </c>
      <c r="AB5" s="28">
        <f t="shared" si="2"/>
        <v>0.49516589535050382</v>
      </c>
      <c r="AC5" s="28">
        <f t="shared" si="2"/>
        <v>0.54521700666911899</v>
      </c>
      <c r="AD5" s="28">
        <f t="shared" si="2"/>
        <v>0.64317464478000774</v>
      </c>
      <c r="AE5" s="28">
        <f t="shared" si="2"/>
        <v>0.61679872138804392</v>
      </c>
      <c r="AF5" s="28">
        <f t="shared" si="2"/>
        <v>0.36707222910134207</v>
      </c>
      <c r="AG5" s="28">
        <f t="shared" si="2"/>
        <v>0.66051530315229934</v>
      </c>
      <c r="AH5" s="28">
        <f t="shared" si="2"/>
        <v>0.50549801834540475</v>
      </c>
      <c r="AI5" s="28">
        <f t="shared" si="2"/>
        <v>0.65202203650773327</v>
      </c>
      <c r="AJ5" s="28">
        <f t="shared" si="2"/>
        <v>0.49993637960944776</v>
      </c>
      <c r="AK5" s="28">
        <f t="shared" si="2"/>
        <v>0.88684349303748322</v>
      </c>
      <c r="AL5" s="28">
        <f t="shared" si="2"/>
        <v>0.87466575990746942</v>
      </c>
      <c r="AM5" s="28">
        <f t="shared" si="2"/>
        <v>1.0411792135523874</v>
      </c>
      <c r="AN5" s="28">
        <f t="shared" si="2"/>
        <v>0.64036980178660363</v>
      </c>
      <c r="AO5" s="28">
        <f t="shared" si="2"/>
        <v>0.47934012039911633</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6883536068.8599997</v>
      </c>
      <c r="F6" s="26">
        <f>现金流量表!F8</f>
        <v>6400620812.7700005</v>
      </c>
      <c r="G6" s="26">
        <f>现金流量表!G8</f>
        <v>4856930049.8900003</v>
      </c>
      <c r="H6" s="26">
        <f>现金流量表!H8</f>
        <v>3226163987.21</v>
      </c>
      <c r="I6" s="26">
        <f>现金流量表!I8</f>
        <v>12721979030.65</v>
      </c>
      <c r="J6" s="26">
        <f>现金流量表!J8</f>
        <v>9859277182.4200001</v>
      </c>
      <c r="K6" s="26">
        <f>现金流量表!K8</f>
        <v>6100175876.6300001</v>
      </c>
      <c r="L6" s="26">
        <f>现金流量表!L8</f>
        <v>2158124310.1599998</v>
      </c>
      <c r="M6" s="26">
        <f>现金流量表!M8</f>
        <v>7562564647.71</v>
      </c>
      <c r="N6" s="26">
        <f>现金流量表!N8</f>
        <v>4320795613.9799995</v>
      </c>
      <c r="O6" s="26">
        <f>现金流量表!O8</f>
        <v>2450536318.8499999</v>
      </c>
      <c r="P6" s="26">
        <f>现金流量表!P8</f>
        <v>1357487093.24</v>
      </c>
      <c r="Q6" s="26">
        <f>现金流量表!Q8</f>
        <v>4813753614.6199999</v>
      </c>
      <c r="R6" s="26">
        <f>现金流量表!R8</f>
        <v>3411004897.8099999</v>
      </c>
      <c r="S6" s="26">
        <f>现金流量表!S8</f>
        <v>1448256114.3099999</v>
      </c>
      <c r="T6" s="26">
        <f>现金流量表!T8</f>
        <v>521552124.00999999</v>
      </c>
      <c r="U6" s="26">
        <f>现金流量表!U8</f>
        <v>841089485.95000005</v>
      </c>
      <c r="V6" s="26">
        <f>现金流量表!V8</f>
        <v>356492827.24000001</v>
      </c>
      <c r="W6" s="26">
        <f>现金流量表!W8</f>
        <v>165158304.59999999</v>
      </c>
      <c r="X6" s="26">
        <f>现金流量表!X8</f>
        <v>74038001.140000001</v>
      </c>
      <c r="Y6" s="26">
        <f>现金流量表!Y8</f>
        <v>247139262.31999999</v>
      </c>
      <c r="Z6" s="26">
        <f>现金流量表!Z8</f>
        <v>178091340.78</v>
      </c>
      <c r="AA6" s="26">
        <f>现金流量表!AA8</f>
        <v>88748929.980000004</v>
      </c>
      <c r="AB6" s="26">
        <f>现金流量表!AB8</f>
        <v>35253037.789999999</v>
      </c>
      <c r="AC6" s="26">
        <f>现金流量表!AC8</f>
        <v>72257891.370000005</v>
      </c>
      <c r="AD6" s="26">
        <f>现金流量表!AD8</f>
        <v>69340493.969999999</v>
      </c>
      <c r="AE6" s="26">
        <f>现金流量表!AE8</f>
        <v>38793568.270000003</v>
      </c>
      <c r="AF6" s="26">
        <f>现金流量表!AF8</f>
        <v>12382402.16</v>
      </c>
      <c r="AG6" s="26">
        <f>现金流量表!AG8</f>
        <v>21652705.170000002</v>
      </c>
      <c r="AH6" s="26">
        <f>现金流量表!AH8</f>
        <v>20324480.210000001</v>
      </c>
      <c r="AI6" s="26">
        <f>现金流量表!AI8</f>
        <v>13613789.18</v>
      </c>
      <c r="AJ6" s="26">
        <f>现金流量表!AJ8</f>
        <v>5075904.2699999996</v>
      </c>
      <c r="AK6" s="26">
        <f>现金流量表!AK8</f>
        <v>18813125.079999998</v>
      </c>
      <c r="AL6" s="26">
        <f>现金流量表!AL8</f>
        <v>11133500.42</v>
      </c>
      <c r="AM6" s="26">
        <f>现金流量表!AM8</f>
        <v>8330506.8300000001</v>
      </c>
      <c r="AN6" s="26">
        <f>现金流量表!AN8</f>
        <v>2162417.2000000002</v>
      </c>
      <c r="AO6" s="26">
        <f>现金流量表!AO8</f>
        <v>2057419.7</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1076404820.24</v>
      </c>
      <c r="F7" s="26">
        <f>现金流量表!F9</f>
        <v>749330501.59000003</v>
      </c>
      <c r="G7" s="26">
        <f>现金流量表!G9</f>
        <v>509291781.55000001</v>
      </c>
      <c r="H7" s="26">
        <f>现金流量表!H9</f>
        <v>261428176.31</v>
      </c>
      <c r="I7" s="26">
        <f>现金流量表!I9</f>
        <v>1098193418.77</v>
      </c>
      <c r="J7" s="26">
        <f>现金流量表!J9</f>
        <v>756657743.03999996</v>
      </c>
      <c r="K7" s="26">
        <f>现金流量表!K9</f>
        <v>459197574.50999999</v>
      </c>
      <c r="L7" s="26">
        <f>现金流量表!L9</f>
        <v>232441726.80000001</v>
      </c>
      <c r="M7" s="26">
        <f>现金流量表!M9</f>
        <v>595428336.04999995</v>
      </c>
      <c r="N7" s="26">
        <f>现金流量表!N9</f>
        <v>539646348.51999998</v>
      </c>
      <c r="O7" s="26">
        <f>现金流量表!O9</f>
        <v>286442983.83999997</v>
      </c>
      <c r="P7" s="26">
        <f>现金流量表!P9</f>
        <v>156351924.96000001</v>
      </c>
      <c r="Q7" s="26">
        <f>现金流量表!Q9</f>
        <v>354345989.41000003</v>
      </c>
      <c r="R7" s="26">
        <f>现金流量表!R9</f>
        <v>237955524.22</v>
      </c>
      <c r="S7" s="26">
        <f>现金流量表!S9</f>
        <v>142928553.86000001</v>
      </c>
      <c r="T7" s="26">
        <f>现金流量表!T9</f>
        <v>67721022.340000004</v>
      </c>
      <c r="U7" s="26">
        <f>现金流量表!U9</f>
        <v>213450656.34999999</v>
      </c>
      <c r="V7" s="26">
        <f>现金流量表!V9</f>
        <v>139194837.38</v>
      </c>
      <c r="W7" s="26">
        <f>现金流量表!W9</f>
        <v>92832836.489999995</v>
      </c>
      <c r="X7" s="26">
        <f>现金流量表!X9</f>
        <v>46819114.950000003</v>
      </c>
      <c r="Y7" s="26">
        <f>现金流量表!Y9</f>
        <v>123010909.59999999</v>
      </c>
      <c r="Z7" s="26">
        <f>现金流量表!Z9</f>
        <v>96461181.109999999</v>
      </c>
      <c r="AA7" s="26">
        <f>现金流量表!AA9</f>
        <v>63784447.700000003</v>
      </c>
      <c r="AB7" s="26">
        <f>现金流量表!AB9</f>
        <v>35632997.799999997</v>
      </c>
      <c r="AC7" s="26">
        <f>现金流量表!AC9</f>
        <v>64729605.990000002</v>
      </c>
      <c r="AD7" s="26">
        <f>现金流量表!AD9</f>
        <v>54034847.109999999</v>
      </c>
      <c r="AE7" s="26">
        <f>现金流量表!AE9</f>
        <v>30880606.510000002</v>
      </c>
      <c r="AF7" s="26">
        <f>现金流量表!AF9</f>
        <v>13010331.09</v>
      </c>
      <c r="AG7" s="26">
        <f>现金流量表!AG9</f>
        <v>28056164.039999999</v>
      </c>
      <c r="AH7" s="26">
        <f>现金流量表!AH9</f>
        <v>17928666.629999999</v>
      </c>
      <c r="AI7" s="26">
        <f>现金流量表!AI9</f>
        <v>10743889.789999999</v>
      </c>
      <c r="AJ7" s="26">
        <f>现金流量表!AJ9</f>
        <v>4752167.93</v>
      </c>
      <c r="AK7" s="26">
        <f>现金流量表!AK9</f>
        <v>15422594.58</v>
      </c>
      <c r="AL7" s="26">
        <f>现金流量表!AL9</f>
        <v>10896170.359999999</v>
      </c>
      <c r="AM7" s="26">
        <f>现金流量表!AM9</f>
        <v>6458942.8099999996</v>
      </c>
      <c r="AN7" s="26">
        <f>现金流量表!AN9</f>
        <v>6640624.7999999998</v>
      </c>
      <c r="AO7" s="26">
        <f>现金流量表!AO9</f>
        <v>5294020.55</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9706710025.6100006</v>
      </c>
      <c r="F8" s="58">
        <f>利润表!F6</f>
        <v>7081314648.3400002</v>
      </c>
      <c r="G8" s="58">
        <f>利润表!G6</f>
        <v>5614535512.1999998</v>
      </c>
      <c r="H8" s="58">
        <f>利润表!H6</f>
        <v>3242219844.21</v>
      </c>
      <c r="I8" s="58">
        <f>利润表!I6</f>
        <v>18229220564.66</v>
      </c>
      <c r="J8" s="58">
        <f>利润表!J6</f>
        <v>14245707962.32</v>
      </c>
      <c r="K8" s="58">
        <f>利润表!K6</f>
        <v>8560174309.6099997</v>
      </c>
      <c r="L8" s="58">
        <f>利润表!L6</f>
        <v>3909094399</v>
      </c>
      <c r="M8" s="58">
        <f>利润表!M6</f>
        <v>11112009123.84</v>
      </c>
      <c r="N8" s="58">
        <f>利润表!N6</f>
        <v>7370724878.0900002</v>
      </c>
      <c r="O8" s="58">
        <f>利润表!O6</f>
        <v>3787893148.04</v>
      </c>
      <c r="P8" s="58">
        <f>利润表!P6</f>
        <v>1866500640.98</v>
      </c>
      <c r="Q8" s="58">
        <f>利润表!Q6</f>
        <v>5828133468.4200001</v>
      </c>
      <c r="R8" s="58">
        <f>利润表!R6</f>
        <v>4081610878.5500002</v>
      </c>
      <c r="S8" s="58">
        <f>利润表!S6</f>
        <v>2487947546.4200001</v>
      </c>
      <c r="T8" s="58">
        <f>利润表!T6</f>
        <v>803278083.25999999</v>
      </c>
      <c r="U8" s="58">
        <f>利润表!U6</f>
        <v>1668684007.47</v>
      </c>
      <c r="V8" s="58">
        <f>利润表!V6</f>
        <v>910887880.78999996</v>
      </c>
      <c r="W8" s="58">
        <f>利润表!W6</f>
        <v>453704141.85000002</v>
      </c>
      <c r="X8" s="58">
        <f>利润表!X6</f>
        <v>186947889.81999999</v>
      </c>
      <c r="Y8" s="58">
        <f>利润表!Y6</f>
        <v>684246822.49000001</v>
      </c>
      <c r="Z8" s="58">
        <f>利润表!Z6</f>
        <v>504623220.58999997</v>
      </c>
      <c r="AA8" s="58">
        <f>利润表!AA6</f>
        <v>320848865.30000001</v>
      </c>
      <c r="AB8" s="58">
        <f>利润表!AB6</f>
        <v>153294269.00999999</v>
      </c>
      <c r="AC8" s="58">
        <f>利润表!AC6</f>
        <v>275090733.32999998</v>
      </c>
      <c r="AD8" s="58">
        <f>利润表!AD6</f>
        <v>139195015.02000001</v>
      </c>
      <c r="AE8" s="58">
        <f>利润表!AE6</f>
        <v>86194524.370000005</v>
      </c>
      <c r="AF8" s="58">
        <f>利润表!AF6</f>
        <v>38086681.520000003</v>
      </c>
      <c r="AG8" s="58">
        <f>利润表!AG6</f>
        <v>80214851.969999999</v>
      </c>
      <c r="AH8" s="58">
        <f>利润表!AH6</f>
        <v>58881275.32</v>
      </c>
      <c r="AI8" s="58">
        <f>利润表!AI6</f>
        <v>34992303.469999999</v>
      </c>
      <c r="AJ8" s="58">
        <f>利润表!AJ6</f>
        <v>15770790.029999999</v>
      </c>
      <c r="AK8" s="58">
        <f>利润表!AK6</f>
        <v>49551009.369999997</v>
      </c>
      <c r="AL8" s="58">
        <f>利润表!AL6</f>
        <v>33338174.170000002</v>
      </c>
      <c r="AM8" s="58">
        <f>利润表!AM6</f>
        <v>21134492.460000001</v>
      </c>
      <c r="AN8" s="58">
        <f>利润表!AN6</f>
        <v>14850092.140000001</v>
      </c>
      <c r="AO8" s="58">
        <f>利润表!AO6</f>
        <v>11821791.91</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491</v>
      </c>
      <c r="E9" s="58">
        <f>利润表!E7</f>
        <v>19761340.579999998</v>
      </c>
      <c r="F9" s="58">
        <f>利润表!F7</f>
        <v>23019783.329999998</v>
      </c>
      <c r="G9" s="58">
        <f>利润表!G7</f>
        <v>21550676.539999999</v>
      </c>
      <c r="H9" s="58">
        <f>利润表!H7</f>
        <v>15417466.24</v>
      </c>
      <c r="I9" s="58">
        <f>利润表!I7</f>
        <v>152575155.84</v>
      </c>
      <c r="J9" s="58">
        <f>利润表!J7</f>
        <v>48600322.079999998</v>
      </c>
      <c r="K9" s="58">
        <f>利润表!K7</f>
        <v>29996246.609999999</v>
      </c>
      <c r="L9" s="58">
        <f>利润表!L7</f>
        <v>12013744.15</v>
      </c>
      <c r="M9" s="58">
        <f>利润表!M7</f>
        <v>94680829.109999999</v>
      </c>
      <c r="N9" s="58">
        <f>利润表!N7</f>
        <v>27586610.780000001</v>
      </c>
      <c r="O9" s="58">
        <f>利润表!O7</f>
        <v>16782339.68</v>
      </c>
      <c r="P9" s="58">
        <f>利润表!P7</f>
        <v>8617821.9499999993</v>
      </c>
      <c r="Q9" s="58">
        <f>利润表!Q7</f>
        <v>56848870.420000002</v>
      </c>
      <c r="R9" s="58">
        <f>利润表!R7</f>
        <v>14287081.27</v>
      </c>
      <c r="S9" s="58">
        <f>利润表!S7</f>
        <v>14729224.539999999</v>
      </c>
      <c r="T9" s="58">
        <f>利润表!T7</f>
        <v>5062057.6900000004</v>
      </c>
      <c r="U9" s="58">
        <f>利润表!U7</f>
        <v>25921973.190000001</v>
      </c>
      <c r="V9" s="58">
        <f>利润表!V7</f>
        <v>11531587.32</v>
      </c>
      <c r="W9" s="58">
        <f>利润表!W7</f>
        <v>6793318.6900000004</v>
      </c>
      <c r="X9" s="58">
        <f>利润表!X7</f>
        <v>4961597.5599999996</v>
      </c>
      <c r="Y9" s="58">
        <f>利润表!Y7</f>
        <v>45132765.549999997</v>
      </c>
      <c r="Z9" s="58">
        <f>利润表!Z7</f>
        <v>39552084.32</v>
      </c>
      <c r="AA9" s="58">
        <f>利润表!AA7</f>
        <v>31744242.460000001</v>
      </c>
      <c r="AB9" s="58">
        <f>利润表!AB7</f>
        <v>14292110.83</v>
      </c>
      <c r="AC9" s="58">
        <f>利润表!AC7</f>
        <v>29951803.73</v>
      </c>
      <c r="AD9" s="58">
        <f>利润表!AD7</f>
        <v>15694669.810000001</v>
      </c>
      <c r="AE9" s="58">
        <f>利润表!AE7</f>
        <v>9580628.7100000009</v>
      </c>
      <c r="AF9" s="58">
        <f>利润表!AF7</f>
        <v>6384579.96</v>
      </c>
      <c r="AG9" s="58">
        <f>利润表!AG7</f>
        <v>10159858.869999999</v>
      </c>
      <c r="AH9" s="58">
        <f>利润表!AH7</f>
        <v>7701217.5999999996</v>
      </c>
      <c r="AI9" s="58">
        <f>利润表!AI7</f>
        <v>4624116.79</v>
      </c>
      <c r="AJ9" s="58">
        <f>利润表!AJ7</f>
        <v>1546969.92</v>
      </c>
      <c r="AK9" s="58">
        <f>利润表!AK7</f>
        <v>6468272.5099999998</v>
      </c>
      <c r="AL9" s="58">
        <f>利润表!AL7</f>
        <v>4530224.2699999996</v>
      </c>
      <c r="AM9" s="58">
        <f>利润表!AM7</f>
        <v>2684574.54</v>
      </c>
      <c r="AN9" s="58">
        <f>利润表!AN7</f>
        <v>2991417.66</v>
      </c>
      <c r="AO9" s="58">
        <f>利润表!AO7</f>
        <v>1218238.06</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492</v>
      </c>
      <c r="E10" s="58">
        <f>利润表!E8</f>
        <v>1714570749.99</v>
      </c>
      <c r="F10" s="58">
        <f>利润表!F8</f>
        <v>741217973.05999994</v>
      </c>
      <c r="G10" s="58">
        <f>利润表!G8</f>
        <v>501612381.30000001</v>
      </c>
      <c r="H10" s="58">
        <f>利润表!H8</f>
        <v>371057809.00999999</v>
      </c>
      <c r="I10" s="58">
        <f>利润表!I8</f>
        <v>2365883026.2800002</v>
      </c>
      <c r="J10" s="58">
        <f>利润表!J8</f>
        <v>1636940879.8299999</v>
      </c>
      <c r="K10" s="58">
        <f>利润表!K8</f>
        <v>909152985.83000004</v>
      </c>
      <c r="L10" s="58">
        <f>利润表!L8</f>
        <v>386692167.42000002</v>
      </c>
      <c r="M10" s="58">
        <f>利润表!M8</f>
        <v>1040736778.35</v>
      </c>
      <c r="N10" s="58">
        <f>利润表!N8</f>
        <v>629421133.10000002</v>
      </c>
      <c r="O10" s="58">
        <f>利润表!O8</f>
        <v>442883846.04000002</v>
      </c>
      <c r="P10" s="58">
        <f>利润表!P8</f>
        <v>161772442.53</v>
      </c>
      <c r="Q10" s="58">
        <f>利润表!Q8</f>
        <v>489035465.49000001</v>
      </c>
      <c r="R10" s="58">
        <f>利润表!R8</f>
        <v>355894549.89999998</v>
      </c>
      <c r="S10" s="58">
        <f>利润表!S8</f>
        <v>204615005.91</v>
      </c>
      <c r="T10" s="58">
        <f>利润表!T8</f>
        <v>102396489.15000001</v>
      </c>
      <c r="U10" s="58">
        <f>利润表!U8</f>
        <v>194520082.59999999</v>
      </c>
      <c r="V10" s="58">
        <f>利润表!V8</f>
        <v>110849982.05</v>
      </c>
      <c r="W10" s="58">
        <f>利润表!W8</f>
        <v>65765728.310000002</v>
      </c>
      <c r="X10" s="58">
        <f>利润表!X8</f>
        <v>30762528.91</v>
      </c>
      <c r="Y10" s="58">
        <f>利润表!Y8</f>
        <v>133586195.97</v>
      </c>
      <c r="Z10" s="58">
        <f>利润表!Z8</f>
        <v>85521702.730000004</v>
      </c>
      <c r="AA10" s="58">
        <f>利润表!AA8</f>
        <v>56930976.700000003</v>
      </c>
      <c r="AB10" s="58">
        <f>利润表!AB8</f>
        <v>27073627.390000001</v>
      </c>
      <c r="AC10" s="58">
        <f>利润表!AC8</f>
        <v>96315718.620000005</v>
      </c>
      <c r="AD10" s="58">
        <f>利润表!AD8</f>
        <v>69280089.890000001</v>
      </c>
      <c r="AE10" s="58">
        <f>利润表!AE8</f>
        <v>40216453.469999999</v>
      </c>
      <c r="AF10" s="58">
        <f>利润表!AF8</f>
        <v>19704291.260000002</v>
      </c>
      <c r="AG10" s="58">
        <f>利润表!AG8</f>
        <v>57919042.57</v>
      </c>
      <c r="AH10" s="58">
        <f>利润表!AH8</f>
        <v>40609138.75</v>
      </c>
      <c r="AI10" s="58">
        <f>利润表!AI8</f>
        <v>22455248.260000002</v>
      </c>
      <c r="AJ10" s="58">
        <f>利润表!AJ8</f>
        <v>9053275.0299999993</v>
      </c>
      <c r="AK10" s="58">
        <f>利润表!AK8</f>
        <v>28920126.140000001</v>
      </c>
      <c r="AL10" s="58">
        <f>利润表!AL8</f>
        <v>22303917.510000002</v>
      </c>
      <c r="AM10" s="58">
        <f>利润表!AM8</f>
        <v>12341828.9</v>
      </c>
      <c r="AN10" s="58">
        <f>利润表!AN8</f>
        <v>18297251.940000001</v>
      </c>
      <c r="AO10" s="58">
        <f>利润表!AO8</f>
        <v>5805870.9699999997</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1402733564.9300001</v>
      </c>
      <c r="F11" s="58">
        <f>利润表!F9</f>
        <v>609795815.60000002</v>
      </c>
      <c r="G11" s="58">
        <f>利润表!G9</f>
        <v>311220682.38</v>
      </c>
      <c r="H11" s="58">
        <f>利润表!H9</f>
        <v>148010853.75999999</v>
      </c>
      <c r="I11" s="58">
        <f>利润表!I9</f>
        <v>596273473.80999994</v>
      </c>
      <c r="J11" s="58">
        <f>利润表!J9</f>
        <v>399556960.00999999</v>
      </c>
      <c r="K11" s="58">
        <f>利润表!K9</f>
        <v>242190634.81</v>
      </c>
      <c r="L11" s="58">
        <f>利润表!L9</f>
        <v>116448872.38</v>
      </c>
      <c r="M11" s="58">
        <f>利润表!M9</f>
        <v>309492095.22000003</v>
      </c>
      <c r="N11" s="58">
        <f>利润表!N9</f>
        <v>212487633.71000001</v>
      </c>
      <c r="O11" s="58">
        <f>利润表!O9</f>
        <v>121086828.08</v>
      </c>
      <c r="P11" s="58">
        <f>利润表!P9</f>
        <v>58801948.579999998</v>
      </c>
      <c r="Q11" s="58">
        <f>利润表!Q9</f>
        <v>175454652.59999999</v>
      </c>
      <c r="R11" s="58">
        <f>利润表!R9</f>
        <v>127952076.22</v>
      </c>
      <c r="S11" s="58">
        <f>利润表!S9</f>
        <v>75868697.719999999</v>
      </c>
      <c r="T11" s="58">
        <f>利润表!T9</f>
        <v>31782878.27</v>
      </c>
      <c r="U11" s="58">
        <f>利润表!U9</f>
        <v>89988324.290000007</v>
      </c>
      <c r="V11" s="58">
        <f>利润表!V9</f>
        <v>59066883.990000002</v>
      </c>
      <c r="W11" s="58">
        <f>利润表!W9</f>
        <v>32803373.32</v>
      </c>
      <c r="X11" s="58">
        <f>利润表!X9</f>
        <v>14387067.869999999</v>
      </c>
      <c r="Y11" s="58">
        <f>利润表!Y9</f>
        <v>57784961.579999998</v>
      </c>
      <c r="Z11" s="58">
        <f>利润表!Z9</f>
        <v>41471732.219999999</v>
      </c>
      <c r="AA11" s="58">
        <f>利润表!AA9</f>
        <v>26539044.109999999</v>
      </c>
      <c r="AB11" s="58">
        <f>利润表!AB9</f>
        <v>15175757.869999999</v>
      </c>
      <c r="AC11" s="58">
        <f>利润表!AC9</f>
        <v>30508708.300000001</v>
      </c>
      <c r="AD11" s="58">
        <f>利润表!AD9</f>
        <v>16762454.029999999</v>
      </c>
      <c r="AE11" s="58">
        <f>利润表!AE9</f>
        <v>10401581.449999999</v>
      </c>
      <c r="AF11" s="58">
        <f>利润表!AF9</f>
        <v>5232047.01</v>
      </c>
      <c r="AG11" s="58">
        <f>利润表!AG9</f>
        <v>11602932.65</v>
      </c>
      <c r="AH11" s="58">
        <f>利润表!AH9</f>
        <v>7957713.0099999998</v>
      </c>
      <c r="AI11" s="58">
        <f>利润表!AI9</f>
        <v>5048625.24</v>
      </c>
      <c r="AJ11" s="58">
        <f>利润表!AJ9</f>
        <v>2053328.21</v>
      </c>
      <c r="AK11" s="58">
        <f>利润表!AK9</f>
        <v>8754562.6699999999</v>
      </c>
      <c r="AL11" s="58">
        <f>利润表!AL9</f>
        <v>7175104.9400000004</v>
      </c>
      <c r="AM11" s="58">
        <f>利润表!AM9</f>
        <v>4486200.49</v>
      </c>
      <c r="AN11" s="58">
        <f>利润表!AN9</f>
        <v>5647441.3499999996</v>
      </c>
      <c r="AO11" s="58">
        <f>利润表!AO9</f>
        <v>2916798.09</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12843775681.110001</v>
      </c>
      <c r="F12" s="58">
        <f t="shared" ref="F12:BQ12" si="4">SUM(F8:F11)</f>
        <v>8455348220.3299999</v>
      </c>
      <c r="G12" s="58">
        <f t="shared" si="4"/>
        <v>6448919252.4200001</v>
      </c>
      <c r="H12" s="58">
        <f t="shared" si="4"/>
        <v>3776705973.2200003</v>
      </c>
      <c r="I12" s="58">
        <f t="shared" si="4"/>
        <v>21343952220.59</v>
      </c>
      <c r="J12" s="58">
        <f t="shared" si="4"/>
        <v>16330806124.24</v>
      </c>
      <c r="K12" s="58">
        <f t="shared" si="4"/>
        <v>9741514176.8599987</v>
      </c>
      <c r="L12" s="58">
        <f t="shared" si="4"/>
        <v>4424249182.9499998</v>
      </c>
      <c r="M12" s="58">
        <f t="shared" si="4"/>
        <v>12556918826.52</v>
      </c>
      <c r="N12" s="58">
        <f t="shared" si="4"/>
        <v>8240220255.6800003</v>
      </c>
      <c r="O12" s="58">
        <f t="shared" si="4"/>
        <v>4368646161.8400002</v>
      </c>
      <c r="P12" s="58">
        <f t="shared" si="4"/>
        <v>2095692854.04</v>
      </c>
      <c r="Q12" s="58">
        <f t="shared" si="4"/>
        <v>6549472456.9300003</v>
      </c>
      <c r="R12" s="58">
        <f t="shared" si="4"/>
        <v>4579744585.9400005</v>
      </c>
      <c r="S12" s="58">
        <f t="shared" si="4"/>
        <v>2783160474.5899997</v>
      </c>
      <c r="T12" s="58">
        <f t="shared" si="4"/>
        <v>942519508.37</v>
      </c>
      <c r="U12" s="58">
        <f t="shared" si="4"/>
        <v>1979114387.55</v>
      </c>
      <c r="V12" s="58">
        <f t="shared" si="4"/>
        <v>1092336334.1499999</v>
      </c>
      <c r="W12" s="58">
        <f t="shared" si="4"/>
        <v>559066562.17000008</v>
      </c>
      <c r="X12" s="58">
        <f t="shared" si="4"/>
        <v>237059084.16</v>
      </c>
      <c r="Y12" s="58">
        <f t="shared" si="4"/>
        <v>920750745.59000003</v>
      </c>
      <c r="Z12" s="58">
        <f t="shared" si="4"/>
        <v>671168739.86000001</v>
      </c>
      <c r="AA12" s="58">
        <f t="shared" si="4"/>
        <v>436063128.56999999</v>
      </c>
      <c r="AB12" s="58">
        <f t="shared" si="4"/>
        <v>209835765.10000002</v>
      </c>
      <c r="AC12" s="58">
        <f t="shared" si="4"/>
        <v>431866963.98000002</v>
      </c>
      <c r="AD12" s="58">
        <f t="shared" si="4"/>
        <v>240932228.75000003</v>
      </c>
      <c r="AE12" s="58">
        <f t="shared" si="4"/>
        <v>146393188</v>
      </c>
      <c r="AF12" s="58">
        <f t="shared" si="4"/>
        <v>69407599.750000015</v>
      </c>
      <c r="AG12" s="58">
        <f t="shared" si="4"/>
        <v>159896686.06</v>
      </c>
      <c r="AH12" s="58">
        <f t="shared" si="4"/>
        <v>115149344.68000001</v>
      </c>
      <c r="AI12" s="58">
        <f t="shared" si="4"/>
        <v>67120293.75999999</v>
      </c>
      <c r="AJ12" s="58">
        <f t="shared" si="4"/>
        <v>28424363.189999998</v>
      </c>
      <c r="AK12" s="58">
        <f t="shared" si="4"/>
        <v>93693970.689999998</v>
      </c>
      <c r="AL12" s="58">
        <f t="shared" si="4"/>
        <v>67347420.890000001</v>
      </c>
      <c r="AM12" s="58">
        <f t="shared" si="4"/>
        <v>40647096.390000001</v>
      </c>
      <c r="AN12" s="58">
        <f t="shared" si="4"/>
        <v>41786203.090000004</v>
      </c>
      <c r="AO12" s="58">
        <f t="shared" si="4"/>
        <v>21762699.030000001</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0.54187873990160795</v>
      </c>
      <c r="F13" s="28">
        <f t="shared" ref="F13:BQ13" si="6">(F6/(1+F4)+F7)/F12</f>
        <v>0.73562275837740054</v>
      </c>
      <c r="G13" s="28">
        <f t="shared" si="6"/>
        <v>0.72268140815445303</v>
      </c>
      <c r="H13" s="28">
        <f t="shared" si="6"/>
        <v>0.79932971086167515</v>
      </c>
      <c r="I13" s="28">
        <f t="shared" si="6"/>
        <v>0.56089329876798144</v>
      </c>
      <c r="J13" s="28">
        <f t="shared" si="6"/>
        <v>0.56233539898290752</v>
      </c>
      <c r="K13" s="28">
        <f t="shared" si="6"/>
        <v>0.58235537177237817</v>
      </c>
      <c r="L13" s="28">
        <f t="shared" si="6"/>
        <v>0.46945647348451286</v>
      </c>
      <c r="M13" s="28">
        <f t="shared" si="6"/>
        <v>0.56217284683479685</v>
      </c>
      <c r="N13" s="28">
        <f t="shared" si="6"/>
        <v>0.51365545112205546</v>
      </c>
      <c r="O13" s="28">
        <f t="shared" si="6"/>
        <v>0.54500144480316037</v>
      </c>
      <c r="P13" s="28">
        <f t="shared" si="6"/>
        <v>0.62823963027765206</v>
      </c>
      <c r="Q13" s="28">
        <f t="shared" si="6"/>
        <v>0.68229393245508596</v>
      </c>
      <c r="R13" s="28">
        <f t="shared" si="6"/>
        <v>0.68854152597240947</v>
      </c>
      <c r="S13" s="28">
        <f t="shared" si="6"/>
        <v>0.49611019745093976</v>
      </c>
      <c r="T13" s="28">
        <f t="shared" si="6"/>
        <v>0.54480789409911523</v>
      </c>
      <c r="U13" s="28">
        <f t="shared" si="6"/>
        <v>0.47108472594427714</v>
      </c>
      <c r="V13" s="28">
        <f t="shared" si="6"/>
        <v>0.40636711206916348</v>
      </c>
      <c r="W13" s="28">
        <f t="shared" si="6"/>
        <v>0.4185436876859962</v>
      </c>
      <c r="X13" s="28">
        <f t="shared" si="6"/>
        <v>0.46443888954869422</v>
      </c>
      <c r="Y13" s="28">
        <f t="shared" si="6"/>
        <v>0.36300926166599762</v>
      </c>
      <c r="Z13" s="28">
        <f t="shared" si="6"/>
        <v>0.37051189592256462</v>
      </c>
      <c r="AA13" s="28">
        <f t="shared" si="6"/>
        <v>0.3202248134705033</v>
      </c>
      <c r="AB13" s="28">
        <f t="shared" si="6"/>
        <v>0.31340605496195517</v>
      </c>
      <c r="AC13" s="28">
        <f t="shared" si="6"/>
        <v>0.29288762061614482</v>
      </c>
      <c r="AD13" s="28">
        <f t="shared" si="6"/>
        <v>0.47025766191331281</v>
      </c>
      <c r="AE13" s="28">
        <f t="shared" si="6"/>
        <v>0.43743498821314669</v>
      </c>
      <c r="AF13" s="28">
        <f t="shared" si="6"/>
        <v>0.33992791689071056</v>
      </c>
      <c r="AG13" s="28">
        <f t="shared" si="6"/>
        <v>0.29120522008762773</v>
      </c>
      <c r="AH13" s="28">
        <f t="shared" si="6"/>
        <v>0.30655855953793176</v>
      </c>
      <c r="AI13" s="28">
        <f t="shared" si="6"/>
        <v>0.33342534402315538</v>
      </c>
      <c r="AJ13" s="28">
        <f t="shared" si="6"/>
        <v>0.31981534950084201</v>
      </c>
      <c r="AK13" s="28">
        <f t="shared" si="6"/>
        <v>0.33622428885738675</v>
      </c>
      <c r="AL13" s="28">
        <f t="shared" si="6"/>
        <v>0.30308484593828261</v>
      </c>
      <c r="AM13" s="28">
        <f t="shared" si="6"/>
        <v>0.33407144233389868</v>
      </c>
      <c r="AN13" s="28">
        <f t="shared" si="6"/>
        <v>0.20314946085856081</v>
      </c>
      <c r="AO13" s="28">
        <f t="shared" si="6"/>
        <v>0.32406361528716943</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-2640545383.2399998</v>
      </c>
      <c r="F14" s="26">
        <f>现金流量表!F13</f>
        <v>-2814650512.3899999</v>
      </c>
      <c r="G14" s="26">
        <f>现金流量表!G13</f>
        <v>-2185441404.02</v>
      </c>
      <c r="H14" s="26">
        <f>现金流量表!H13</f>
        <v>-741173904.63999999</v>
      </c>
      <c r="I14" s="26">
        <f>现金流量表!I13</f>
        <v>-1068060768.96</v>
      </c>
      <c r="J14" s="26">
        <f>现金流量表!J13</f>
        <v>543434995.25999999</v>
      </c>
      <c r="K14" s="26">
        <f>现金流量表!K13</f>
        <v>289189615.44</v>
      </c>
      <c r="L14" s="26">
        <f>现金流量表!L13</f>
        <v>64572457.719999999</v>
      </c>
      <c r="M14" s="26">
        <f>现金流量表!M13</f>
        <v>875701876.46000004</v>
      </c>
      <c r="N14" s="26">
        <f>现金流量表!N13</f>
        <v>809723517.28999996</v>
      </c>
      <c r="O14" s="26">
        <f>现金流量表!O13</f>
        <v>465081606.07999998</v>
      </c>
      <c r="P14" s="26">
        <f>现金流量表!P13</f>
        <v>-280250436.31999999</v>
      </c>
      <c r="Q14" s="26">
        <f>现金流量表!Q13</f>
        <v>234182733.96000001</v>
      </c>
      <c r="R14" s="26">
        <f>现金流量表!R13</f>
        <v>343701268.24000001</v>
      </c>
      <c r="S14" s="26">
        <f>现金流量表!S13</f>
        <v>461337454.16000003</v>
      </c>
      <c r="T14" s="26">
        <f>现金流量表!T13</f>
        <v>146987158.5</v>
      </c>
      <c r="U14" s="26">
        <f>现金流量表!U13</f>
        <v>175851396.59</v>
      </c>
      <c r="V14" s="26">
        <f>现金流量表!V13</f>
        <v>220657623.78</v>
      </c>
      <c r="W14" s="26">
        <f>现金流量表!W13</f>
        <v>61760717.340000004</v>
      </c>
      <c r="X14" s="26">
        <f>现金流量表!X13</f>
        <v>88847203.170000002</v>
      </c>
      <c r="Y14" s="26">
        <f>现金流量表!Y13</f>
        <v>106199921.42</v>
      </c>
      <c r="Z14" s="26">
        <f>现金流量表!Z13</f>
        <v>48696901.509999998</v>
      </c>
      <c r="AA14" s="26">
        <f>现金流量表!AA13</f>
        <v>92367781.019999996</v>
      </c>
      <c r="AB14" s="26">
        <f>现金流量表!AB13</f>
        <v>97492162.609999999</v>
      </c>
      <c r="AC14" s="26">
        <f>现金流量表!AC13</f>
        <v>146904755.97999999</v>
      </c>
      <c r="AD14" s="26">
        <f>现金流量表!AD13</f>
        <v>109582989.3</v>
      </c>
      <c r="AE14" s="26">
        <f>现金流量表!AE13</f>
        <v>64777512.509999998</v>
      </c>
      <c r="AF14" s="26">
        <f>现金流量表!AF13</f>
        <v>6861051.7999999998</v>
      </c>
      <c r="AG14" s="26">
        <f>现金流量表!AG13</f>
        <v>65485087</v>
      </c>
      <c r="AH14" s="26">
        <f>现金流量表!AH13</f>
        <v>26963297.239999998</v>
      </c>
      <c r="AI14" s="26">
        <f>现金流量表!AI13</f>
        <v>30549743.460000001</v>
      </c>
      <c r="AJ14" s="26">
        <f>现金流量表!AJ13</f>
        <v>4814777.88</v>
      </c>
      <c r="AK14" s="26">
        <f>现金流量表!AK13</f>
        <v>83403123.849999994</v>
      </c>
      <c r="AL14" s="26">
        <f>现金流量表!AL13</f>
        <v>62706929.460000001</v>
      </c>
      <c r="AM14" s="26">
        <f>现金流量表!AM13</f>
        <v>47099251.689999998</v>
      </c>
      <c r="AN14" s="26">
        <f>现金流量表!AN13</f>
        <v>16494533.359999999</v>
      </c>
      <c r="AO14" s="26">
        <f>现金流量表!AO13</f>
        <v>9458967.0700000003</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-17443174680.43821</v>
      </c>
      <c r="F15" s="26">
        <f>股权价值增加表!F17</f>
        <v>-2114399751.3090856</v>
      </c>
      <c r="G15" s="26">
        <f>股权价值增加表!G17</f>
        <v>-892191189.54282629</v>
      </c>
      <c r="H15" s="26">
        <f>股权价值增加表!H17</f>
        <v>-16527141.282632351</v>
      </c>
      <c r="I15" s="26">
        <f>股权价值增加表!I17</f>
        <v>140740845.26210168</v>
      </c>
      <c r="J15" s="26">
        <f>股权价值增加表!J17</f>
        <v>1461710275.7870193</v>
      </c>
      <c r="K15" s="26">
        <f>股权价值增加表!K17</f>
        <v>539205072.49141037</v>
      </c>
      <c r="L15" s="26">
        <f>股权价值增加表!L17</f>
        <v>130017012.40036564</v>
      </c>
      <c r="M15" s="26">
        <f>股权价值增加表!M17</f>
        <v>982199901.98999381</v>
      </c>
      <c r="N15" s="26">
        <f>股权价值增加表!N17</f>
        <v>222840145.13854432</v>
      </c>
      <c r="O15" s="26">
        <f>股权价值增加表!O17</f>
        <v>94048481.703005388</v>
      </c>
      <c r="P15" s="26">
        <f>股权价值增加表!P17</f>
        <v>33892405.036700696</v>
      </c>
      <c r="Q15" s="26">
        <f>股权价值增加表!Q17</f>
        <v>429321145.55819201</v>
      </c>
      <c r="R15" s="26">
        <f>股权价值增加表!R17</f>
        <v>433800214.12459028</v>
      </c>
      <c r="S15" s="26">
        <f>股权价值增加表!S17</f>
        <v>150338398.60155338</v>
      </c>
      <c r="T15" s="26">
        <f>股权价值增加表!T17</f>
        <v>81002289.918828875</v>
      </c>
      <c r="U15" s="26">
        <f>股权价值增加表!U17</f>
        <v>339302169.9869042</v>
      </c>
      <c r="V15" s="26">
        <f>股权价值增加表!V17</f>
        <v>248202332.05233455</v>
      </c>
      <c r="W15" s="26">
        <f>股权价值增加表!W17</f>
        <v>157195002.16887262</v>
      </c>
      <c r="X15" s="26">
        <f>股权价值增加表!X17</f>
        <v>89558724.464230895</v>
      </c>
      <c r="Y15" s="26">
        <f>股权价值增加表!Y17</f>
        <v>223029786.39150888</v>
      </c>
      <c r="Z15" s="26">
        <f>股权价值增加表!Z17</f>
        <v>149325228.58826992</v>
      </c>
      <c r="AA15" s="26">
        <f>股权价值增加表!AA17</f>
        <v>99940537.852696672</v>
      </c>
      <c r="AB15" s="26">
        <f>股权价值增加表!AB17</f>
        <v>56879742.073721863</v>
      </c>
      <c r="AC15" s="26">
        <f>股权价值增加表!AC17</f>
        <v>131704377.83109862</v>
      </c>
      <c r="AD15" s="26">
        <f>股权价值增加表!AD17</f>
        <v>89713747.135129511</v>
      </c>
      <c r="AE15" s="26">
        <f>股权价值增加表!AE17</f>
        <v>60722695.627775013</v>
      </c>
      <c r="AF15" s="26">
        <f>股权价值增加表!AF17</f>
        <v>29610323.40448771</v>
      </c>
      <c r="AG15" s="26">
        <f>股权价值增加表!AG17</f>
        <v>73553487.611633256</v>
      </c>
      <c r="AH15" s="26">
        <f>股权价值增加表!AH17</f>
        <v>53904833.584266484</v>
      </c>
      <c r="AI15" s="26">
        <f>股权价值增加表!AI17</f>
        <v>33229481.652083598</v>
      </c>
      <c r="AJ15" s="26">
        <f>股权价值增加表!AJ17</f>
        <v>16566570.483449293</v>
      </c>
      <c r="AK15" s="26">
        <f>股权价值增加表!AK17</f>
        <v>44953590.856178418</v>
      </c>
      <c r="AL15" s="26">
        <f>股权价值增加表!AL17</f>
        <v>30590922.930311535</v>
      </c>
      <c r="AM15" s="26">
        <f>股权价值增加表!AM17</f>
        <v>17963432.230053943</v>
      </c>
      <c r="AN15" s="26">
        <f>股权价值增加表!AN17</f>
        <v>29463406.387683239</v>
      </c>
      <c r="AO15" s="26">
        <f>股权价值增加表!AO17</f>
        <v>14815869.059999999</v>
      </c>
      <c r="AP15" s="26" t="e">
        <f>股权价值增加表!AP17</f>
        <v>#DIV/0!</v>
      </c>
      <c r="AQ15" s="26">
        <f>股权价值增加表!AQ17</f>
        <v>0</v>
      </c>
      <c r="AR15" s="26">
        <f>股权价值增加表!AR17</f>
        <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0.1513798624169751</v>
      </c>
      <c r="F16" s="28">
        <f t="shared" ref="F16:BQ16" si="8">F14/F15</f>
        <v>1.3311818215299018</v>
      </c>
      <c r="G16" s="28">
        <f t="shared" si="8"/>
        <v>2.4495213914181968</v>
      </c>
      <c r="H16" s="28">
        <f t="shared" si="8"/>
        <v>44.845862449234772</v>
      </c>
      <c r="I16" s="28">
        <f t="shared" si="8"/>
        <v>-7.5888471962133695</v>
      </c>
      <c r="J16" s="28">
        <f t="shared" si="8"/>
        <v>0.37178023871208116</v>
      </c>
      <c r="K16" s="28">
        <f t="shared" si="8"/>
        <v>0.53632584371618064</v>
      </c>
      <c r="L16" s="28">
        <f t="shared" si="8"/>
        <v>0.49664621981283436</v>
      </c>
      <c r="M16" s="28">
        <f t="shared" si="8"/>
        <v>0.89157194445425758</v>
      </c>
      <c r="N16" s="28">
        <f t="shared" si="8"/>
        <v>3.63365190229336</v>
      </c>
      <c r="O16" s="28">
        <f t="shared" si="8"/>
        <v>4.9451261483271551</v>
      </c>
      <c r="P16" s="28">
        <f t="shared" si="8"/>
        <v>-8.2688270725116233</v>
      </c>
      <c r="Q16" s="28">
        <f t="shared" si="8"/>
        <v>0.54547216316476055</v>
      </c>
      <c r="R16" s="28">
        <f t="shared" si="8"/>
        <v>0.79230313183129675</v>
      </c>
      <c r="S16" s="28">
        <f t="shared" si="8"/>
        <v>3.0686601590236258</v>
      </c>
      <c r="T16" s="28">
        <f t="shared" si="8"/>
        <v>1.814604977801165</v>
      </c>
      <c r="U16" s="28">
        <f t="shared" si="8"/>
        <v>0.5182737163065807</v>
      </c>
      <c r="V16" s="28">
        <f t="shared" si="8"/>
        <v>0.88902316894215716</v>
      </c>
      <c r="W16" s="28">
        <f t="shared" si="8"/>
        <v>0.39289237245374531</v>
      </c>
      <c r="X16" s="28">
        <f t="shared" si="8"/>
        <v>0.99205525426486985</v>
      </c>
      <c r="Y16" s="28">
        <f t="shared" si="8"/>
        <v>0.47616922895480662</v>
      </c>
      <c r="Z16" s="28">
        <f t="shared" si="8"/>
        <v>0.32611302169354478</v>
      </c>
      <c r="AA16" s="28">
        <f t="shared" si="8"/>
        <v>0.92422737564352275</v>
      </c>
      <c r="AB16" s="28">
        <f t="shared" si="8"/>
        <v>1.7140050052203182</v>
      </c>
      <c r="AC16" s="28">
        <f t="shared" si="8"/>
        <v>1.1154128541451733</v>
      </c>
      <c r="AD16" s="28">
        <f t="shared" si="8"/>
        <v>1.2214737740799395</v>
      </c>
      <c r="AE16" s="28">
        <f t="shared" si="8"/>
        <v>1.0667759696815944</v>
      </c>
      <c r="AF16" s="28">
        <f t="shared" si="8"/>
        <v>0.23171147799622296</v>
      </c>
      <c r="AG16" s="28">
        <f t="shared" si="8"/>
        <v>0.89030566906310571</v>
      </c>
      <c r="AH16" s="28">
        <f t="shared" si="8"/>
        <v>0.50020184549590985</v>
      </c>
      <c r="AI16" s="28">
        <f t="shared" si="8"/>
        <v>0.91935660567502209</v>
      </c>
      <c r="AJ16" s="28">
        <f t="shared" si="8"/>
        <v>0.29063214289343514</v>
      </c>
      <c r="AK16" s="28">
        <f t="shared" si="8"/>
        <v>1.8553161663288369</v>
      </c>
      <c r="AL16" s="28">
        <f t="shared" si="8"/>
        <v>2.0498541218534396</v>
      </c>
      <c r="AM16" s="28">
        <f t="shared" si="8"/>
        <v>2.6219517009227231</v>
      </c>
      <c r="AN16" s="28">
        <f t="shared" si="8"/>
        <v>0.55983117304777452</v>
      </c>
      <c r="AO16" s="28">
        <f t="shared" si="8"/>
        <v>0.6384348452118408</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-18393732932.939999</v>
      </c>
      <c r="F17" s="26">
        <f>股权价值增加表!F42</f>
        <v>-2418171200.1199999</v>
      </c>
      <c r="G17" s="26">
        <f>股权价值增加表!G42</f>
        <v>-924966964.56999969</v>
      </c>
      <c r="H17" s="26">
        <f>股权价值增加表!H42</f>
        <v>-11403314.539999753</v>
      </c>
      <c r="I17" s="26">
        <f>股权价值增加表!I42</f>
        <v>-322938269.35999882</v>
      </c>
      <c r="J17" s="26">
        <f>股权价值增加表!J42</f>
        <v>126806848.63999976</v>
      </c>
      <c r="K17" s="26">
        <f>股权价值增加表!K42</f>
        <v>73951129.330000907</v>
      </c>
      <c r="L17" s="26">
        <f>股权价值增加表!L42</f>
        <v>70971483.759999812</v>
      </c>
      <c r="M17" s="26">
        <f>股权价值增加表!M42</f>
        <v>218020620.28000048</v>
      </c>
      <c r="N17" s="26">
        <f>股权价值增加表!N42</f>
        <v>167115121.29999948</v>
      </c>
      <c r="O17" s="26">
        <f>股权价值增加表!O42</f>
        <v>107354824.13000041</v>
      </c>
      <c r="P17" s="26">
        <f>股权价值增加表!P42</f>
        <v>21044313.719999947</v>
      </c>
      <c r="Q17" s="26">
        <f>股权价值增加表!Q42</f>
        <v>125841689.21000004</v>
      </c>
      <c r="R17" s="26">
        <f>股权价值增加表!R42</f>
        <v>74777381.179999739</v>
      </c>
      <c r="S17" s="26">
        <f>股权价值增加表!S42</f>
        <v>67296310.659999833</v>
      </c>
      <c r="T17" s="26">
        <f>股权价值增加表!T42</f>
        <v>43144953.75999999</v>
      </c>
      <c r="U17" s="26">
        <f>股权价值增加表!U42</f>
        <v>228568928.73000017</v>
      </c>
      <c r="V17" s="26">
        <f>股权价值增加表!V42</f>
        <v>172202441.58000013</v>
      </c>
      <c r="W17" s="26">
        <f>股权价值增加表!W42</f>
        <v>111526886.30000004</v>
      </c>
      <c r="X17" s="26">
        <f>股权价值增加表!X42</f>
        <v>70214448.669999987</v>
      </c>
      <c r="Y17" s="26">
        <f>股权价值增加表!Y42</f>
        <v>187963229.45000011</v>
      </c>
      <c r="Z17" s="26">
        <f>股权价值增加表!Z42</f>
        <v>132166141.56000006</v>
      </c>
      <c r="AA17" s="26">
        <f>股权价值增加表!AA42</f>
        <v>90460979.849999934</v>
      </c>
      <c r="AB17" s="26">
        <f>股权价值增加表!AB42</f>
        <v>51027061.670000024</v>
      </c>
      <c r="AC17" s="26">
        <f>股权价值增加表!AC42</f>
        <v>130267041.85999995</v>
      </c>
      <c r="AD17" s="26">
        <f>股权价值增加表!AD42</f>
        <v>87399351.440000013</v>
      </c>
      <c r="AE17" s="26">
        <f>股权价值增加表!AE42</f>
        <v>58395136.189999983</v>
      </c>
      <c r="AF17" s="26">
        <f>股权价值增加表!AF42</f>
        <v>29064163.45999999</v>
      </c>
      <c r="AG17" s="26">
        <f>股权价值增加表!AG42</f>
        <v>70067328.219999999</v>
      </c>
      <c r="AH17" s="26">
        <f>股权价值增加表!AH42</f>
        <v>50524221.480000019</v>
      </c>
      <c r="AI17" s="26">
        <f>股权价值增加表!AI42</f>
        <v>31186530.340000011</v>
      </c>
      <c r="AJ17" s="26">
        <f>股权价值增加表!AJ42</f>
        <v>15817527.4</v>
      </c>
      <c r="AK17" s="26">
        <f>股权价值增加表!AK42</f>
        <v>44478208.550000012</v>
      </c>
      <c r="AL17" s="26">
        <f>股权价值增加表!AL42</f>
        <v>30555981.119999997</v>
      </c>
      <c r="AM17" s="26">
        <f>股权价值增加表!AM42</f>
        <v>17961930.370000001</v>
      </c>
      <c r="AN17" s="26">
        <f>股权价值增加表!AN42</f>
        <v>30254744.839999985</v>
      </c>
      <c r="AO17" s="26">
        <f>股权价值增加表!AO42</f>
        <v>14683477.389999999</v>
      </c>
      <c r="AP17" s="26">
        <f>股权价值增加表!AP42</f>
        <v>0</v>
      </c>
      <c r="AQ17" s="26">
        <f>股权价值增加表!AQ42</f>
        <v>-329680221.73000002</v>
      </c>
      <c r="AR17" s="26">
        <f>股权价值增加表!AR42</f>
        <v>-320202934.91000003</v>
      </c>
      <c r="AS17" s="26">
        <f>股权价值增加表!AS42</f>
        <v>-610135253.33999991</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0.14355679691919626</v>
      </c>
      <c r="F18" s="28">
        <f t="shared" ref="F18:BQ18" si="10">F14/F17</f>
        <v>1.1639583302664116</v>
      </c>
      <c r="G18" s="28">
        <f t="shared" si="10"/>
        <v>2.3627237379617898</v>
      </c>
      <c r="H18" s="28">
        <f t="shared" si="10"/>
        <v>64.996357159154186</v>
      </c>
      <c r="I18" s="28">
        <f t="shared" si="10"/>
        <v>3.3073217710514453</v>
      </c>
      <c r="J18" s="28">
        <f t="shared" si="10"/>
        <v>4.285533479369029</v>
      </c>
      <c r="K18" s="28">
        <f t="shared" si="10"/>
        <v>3.910550360218501</v>
      </c>
      <c r="L18" s="28">
        <f t="shared" si="10"/>
        <v>0.90983665972605232</v>
      </c>
      <c r="M18" s="28">
        <f t="shared" si="10"/>
        <v>4.0166011606395298</v>
      </c>
      <c r="N18" s="28">
        <f t="shared" si="10"/>
        <v>4.8453037103471406</v>
      </c>
      <c r="O18" s="28">
        <f t="shared" si="10"/>
        <v>4.3321910295974533</v>
      </c>
      <c r="P18" s="28">
        <f t="shared" si="10"/>
        <v>-13.317157311414606</v>
      </c>
      <c r="Q18" s="28">
        <f t="shared" si="10"/>
        <v>1.8609312655459065</v>
      </c>
      <c r="R18" s="28">
        <f t="shared" si="10"/>
        <v>4.5963266273348413</v>
      </c>
      <c r="S18" s="28">
        <f t="shared" si="10"/>
        <v>6.8553156872270238</v>
      </c>
      <c r="T18" s="28">
        <f t="shared" si="10"/>
        <v>3.4068215559492128</v>
      </c>
      <c r="U18" s="28">
        <f t="shared" si="10"/>
        <v>0.76935827440363347</v>
      </c>
      <c r="V18" s="28">
        <f t="shared" si="10"/>
        <v>1.2813849894078826</v>
      </c>
      <c r="W18" s="28">
        <f t="shared" si="10"/>
        <v>0.55377424573539791</v>
      </c>
      <c r="X18" s="28">
        <f t="shared" si="10"/>
        <v>1.2653692345797924</v>
      </c>
      <c r="Y18" s="28">
        <f t="shared" si="10"/>
        <v>0.56500370700563074</v>
      </c>
      <c r="Z18" s="28">
        <f t="shared" si="10"/>
        <v>0.36845216887785776</v>
      </c>
      <c r="AA18" s="28">
        <f t="shared" si="10"/>
        <v>1.0210787145259963</v>
      </c>
      <c r="AB18" s="28">
        <f t="shared" si="10"/>
        <v>1.9105972285940553</v>
      </c>
      <c r="AC18" s="28">
        <f t="shared" si="10"/>
        <v>1.1277200578322861</v>
      </c>
      <c r="AD18" s="28">
        <f t="shared" si="10"/>
        <v>1.2538192503090728</v>
      </c>
      <c r="AE18" s="28">
        <f t="shared" si="10"/>
        <v>1.1092963684378387</v>
      </c>
      <c r="AF18" s="28">
        <f t="shared" si="10"/>
        <v>0.23606568994984597</v>
      </c>
      <c r="AG18" s="28">
        <f t="shared" si="10"/>
        <v>0.93460231271253114</v>
      </c>
      <c r="AH18" s="28">
        <f t="shared" si="10"/>
        <v>0.53367071179262804</v>
      </c>
      <c r="AI18" s="28">
        <f t="shared" si="10"/>
        <v>0.97958134896515681</v>
      </c>
      <c r="AJ18" s="28">
        <f t="shared" si="10"/>
        <v>0.3043951028654453</v>
      </c>
      <c r="AK18" s="28">
        <f t="shared" si="10"/>
        <v>1.8751457526946635</v>
      </c>
      <c r="AL18" s="28">
        <f t="shared" si="10"/>
        <v>2.0521982002062451</v>
      </c>
      <c r="AM18" s="28">
        <f t="shared" si="10"/>
        <v>2.6221709315088497</v>
      </c>
      <c r="AN18" s="28">
        <f t="shared" si="10"/>
        <v>0.54518831499753639</v>
      </c>
      <c r="AO18" s="28">
        <f t="shared" si="10"/>
        <v>0.64419121021304626</v>
      </c>
      <c r="AP18" s="28" t="e">
        <f t="shared" si="10"/>
        <v>#DIV/0!</v>
      </c>
      <c r="AQ18" s="28">
        <f t="shared" si="10"/>
        <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10881535091.540001</v>
      </c>
      <c r="F19" s="26">
        <f>现金流量表!F48</f>
        <v>0</v>
      </c>
      <c r="G19" s="26">
        <f>现金流量表!G48</f>
        <v>239159932.38</v>
      </c>
      <c r="H19" s="26">
        <f>现金流量表!H48</f>
        <v>0</v>
      </c>
      <c r="I19" s="26">
        <f>现金流量表!I48</f>
        <v>351968232.14999998</v>
      </c>
      <c r="J19" s="26">
        <f>现金流量表!J48</f>
        <v>0</v>
      </c>
      <c r="K19" s="26">
        <f>现金流量表!K48</f>
        <v>49863462.390000001</v>
      </c>
      <c r="L19" s="26">
        <f>现金流量表!L48</f>
        <v>0</v>
      </c>
      <c r="M19" s="26">
        <f>现金流量表!M48</f>
        <v>120153303.15000001</v>
      </c>
      <c r="N19" s="26">
        <f>现金流量表!N48</f>
        <v>0</v>
      </c>
      <c r="O19" s="26">
        <f>现金流量表!O48</f>
        <v>29455414.280000001</v>
      </c>
      <c r="P19" s="26">
        <f>现金流量表!P48</f>
        <v>0</v>
      </c>
      <c r="Q19" s="26">
        <f>现金流量表!Q48</f>
        <v>53689254.75</v>
      </c>
      <c r="R19" s="26">
        <f>现金流量表!R48</f>
        <v>0</v>
      </c>
      <c r="S19" s="26">
        <f>现金流量表!S48</f>
        <v>20048049.030000001</v>
      </c>
      <c r="T19" s="26">
        <f>现金流量表!T48</f>
        <v>0</v>
      </c>
      <c r="U19" s="26">
        <f>现金流量表!U48</f>
        <v>27769539.780000001</v>
      </c>
      <c r="V19" s="26">
        <f>现金流量表!V48</f>
        <v>0</v>
      </c>
      <c r="W19" s="26">
        <f>现金流量表!W48</f>
        <v>8376882.8899999997</v>
      </c>
      <c r="X19" s="26">
        <f>现金流量表!X48</f>
        <v>0</v>
      </c>
      <c r="Y19" s="26">
        <f>现金流量表!Y48</f>
        <v>6904764.7300000004</v>
      </c>
      <c r="Z19" s="26">
        <f>现金流量表!Z48</f>
        <v>0</v>
      </c>
      <c r="AA19" s="26">
        <f>现金流量表!AA48</f>
        <v>3479156.81</v>
      </c>
      <c r="AB19" s="26">
        <f>现金流量表!AB48</f>
        <v>0</v>
      </c>
      <c r="AC19" s="26">
        <f>现金流量表!AC48</f>
        <v>3937088.97</v>
      </c>
      <c r="AD19" s="26">
        <f>现金流量表!AD48</f>
        <v>0</v>
      </c>
      <c r="AE19" s="26">
        <f>现金流量表!AE48</f>
        <v>2673621.2400000002</v>
      </c>
      <c r="AF19" s="26">
        <f>现金流量表!AF48</f>
        <v>0</v>
      </c>
      <c r="AG19" s="26">
        <f>现金流量表!AG48</f>
        <v>1722398.91</v>
      </c>
      <c r="AH19" s="26">
        <f>现金流量表!AH48</f>
        <v>0</v>
      </c>
      <c r="AI19" s="26">
        <f>现金流量表!AI48</f>
        <v>0</v>
      </c>
      <c r="AJ19" s="26">
        <f>现金流量表!AJ48</f>
        <v>0</v>
      </c>
      <c r="AK19" s="26">
        <f>现金流量表!AK48</f>
        <v>4103784.15</v>
      </c>
      <c r="AL19" s="26">
        <f>现金流量表!AL48</f>
        <v>0</v>
      </c>
      <c r="AM19" s="26">
        <f>现金流量表!AM48</f>
        <v>0</v>
      </c>
      <c r="AN19" s="26">
        <f>现金流量表!AN48</f>
        <v>962227.76</v>
      </c>
      <c r="AO19" s="26">
        <f>现金流量表!AO48</f>
        <v>100730.65</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322727542.98000002</v>
      </c>
      <c r="F20" s="26">
        <f>现金流量表!F49</f>
        <v>0</v>
      </c>
      <c r="G20" s="26">
        <f>现金流量表!G49</f>
        <v>168410310.96000001</v>
      </c>
      <c r="H20" s="26">
        <f>现金流量表!H49</f>
        <v>0</v>
      </c>
      <c r="I20" s="26">
        <f>现金流量表!I49</f>
        <v>209272104.38999999</v>
      </c>
      <c r="J20" s="26">
        <f>现金流量表!J49</f>
        <v>0</v>
      </c>
      <c r="K20" s="26">
        <f>现金流量表!K49</f>
        <v>91393572.840000004</v>
      </c>
      <c r="L20" s="26">
        <f>现金流量表!L49</f>
        <v>0</v>
      </c>
      <c r="M20" s="26">
        <f>现金流量表!M49</f>
        <v>113574965.70999999</v>
      </c>
      <c r="N20" s="26">
        <f>现金流量表!N49</f>
        <v>0</v>
      </c>
      <c r="O20" s="26">
        <f>现金流量表!O49</f>
        <v>37914906.990000002</v>
      </c>
      <c r="P20" s="26">
        <f>现金流量表!P49</f>
        <v>0</v>
      </c>
      <c r="Q20" s="26">
        <f>现金流量表!Q49</f>
        <v>46692204.240000002</v>
      </c>
      <c r="R20" s="26">
        <f>现金流量表!R49</f>
        <v>0</v>
      </c>
      <c r="S20" s="26">
        <f>现金流量表!S49</f>
        <v>21718030.260000002</v>
      </c>
      <c r="T20" s="26">
        <f>现金流量表!T49</f>
        <v>0</v>
      </c>
      <c r="U20" s="26">
        <f>现金流量表!U49</f>
        <v>38929442.439999998</v>
      </c>
      <c r="V20" s="26">
        <f>现金流量表!V49</f>
        <v>0</v>
      </c>
      <c r="W20" s="26">
        <f>现金流量表!W49</f>
        <v>31226277.329999998</v>
      </c>
      <c r="X20" s="26">
        <f>现金流量表!X49</f>
        <v>0</v>
      </c>
      <c r="Y20" s="26">
        <f>现金流量表!Y49</f>
        <v>47893619.409999996</v>
      </c>
      <c r="Z20" s="26">
        <f>现金流量表!Z49</f>
        <v>0</v>
      </c>
      <c r="AA20" s="26">
        <f>现金流量表!AA49</f>
        <v>0</v>
      </c>
      <c r="AB20" s="26">
        <f>现金流量表!AB49</f>
        <v>0</v>
      </c>
      <c r="AC20" s="26">
        <f>现金流量表!AC49</f>
        <v>36926475.149999999</v>
      </c>
      <c r="AD20" s="26">
        <f>现金流量表!AD49</f>
        <v>0</v>
      </c>
      <c r="AE20" s="26">
        <f>现金流量表!AE49</f>
        <v>16852676.739999998</v>
      </c>
      <c r="AF20" s="26">
        <f>现金流量表!AF49</f>
        <v>0</v>
      </c>
      <c r="AG20" s="26">
        <f>现金流量表!AG49</f>
        <v>21308959.489999998</v>
      </c>
      <c r="AH20" s="26">
        <f>现金流量表!AH49</f>
        <v>0</v>
      </c>
      <c r="AI20" s="26">
        <f>现金流量表!AI49</f>
        <v>0</v>
      </c>
      <c r="AJ20" s="26">
        <f>现金流量表!AJ49</f>
        <v>0</v>
      </c>
      <c r="AK20" s="26">
        <f>现金流量表!AK49</f>
        <v>9516243.9800000004</v>
      </c>
      <c r="AL20" s="26">
        <f>现金流量表!AL49</f>
        <v>0</v>
      </c>
      <c r="AM20" s="26">
        <f>现金流量表!AM49</f>
        <v>0</v>
      </c>
      <c r="AN20" s="26">
        <f>现金流量表!AN49</f>
        <v>1237915.47</v>
      </c>
      <c r="AO20" s="26">
        <f>现金流量表!AO49</f>
        <v>551064.29</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3084091100.48</v>
      </c>
      <c r="F21" s="26">
        <f>现金流量表!F50</f>
        <v>0</v>
      </c>
      <c r="G21" s="26">
        <f>现金流量表!G50</f>
        <v>1107234579.5999999</v>
      </c>
      <c r="H21" s="26">
        <f>现金流量表!H50</f>
        <v>0</v>
      </c>
      <c r="I21" s="26">
        <f>现金流量表!I50</f>
        <v>2071436289.1199999</v>
      </c>
      <c r="J21" s="26">
        <f>现金流量表!J50</f>
        <v>0</v>
      </c>
      <c r="K21" s="26">
        <f>现金流量表!K50</f>
        <v>904121875.49000001</v>
      </c>
      <c r="L21" s="26">
        <f>现金流量表!L50</f>
        <v>0</v>
      </c>
      <c r="M21" s="26">
        <f>现金流量表!M50</f>
        <v>1526123746.1099999</v>
      </c>
      <c r="N21" s="26">
        <f>现金流量表!N50</f>
        <v>0</v>
      </c>
      <c r="O21" s="26">
        <f>现金流量表!O50</f>
        <v>655098591.13</v>
      </c>
      <c r="P21" s="26">
        <f>现金流量表!P50</f>
        <v>0</v>
      </c>
      <c r="Q21" s="26">
        <f>现金流量表!Q50</f>
        <v>1032639064.9400001</v>
      </c>
      <c r="R21" s="26">
        <f>现金流量表!R50</f>
        <v>0</v>
      </c>
      <c r="S21" s="26">
        <f>现金流量表!S50</f>
        <v>462359714.06</v>
      </c>
      <c r="T21" s="26">
        <f>现金流量表!T50</f>
        <v>0</v>
      </c>
      <c r="U21" s="26">
        <f>现金流量表!U50</f>
        <v>587085449.21000004</v>
      </c>
      <c r="V21" s="26">
        <f>现金流量表!V50</f>
        <v>0</v>
      </c>
      <c r="W21" s="26">
        <f>现金流量表!W50</f>
        <v>242694855.28999999</v>
      </c>
      <c r="X21" s="26">
        <f>现金流量表!X50</f>
        <v>0</v>
      </c>
      <c r="Y21" s="26">
        <f>现金流量表!Y50</f>
        <v>381190902.93000001</v>
      </c>
      <c r="Z21" s="26">
        <f>现金流量表!Z50</f>
        <v>0</v>
      </c>
      <c r="AA21" s="26">
        <f>现金流量表!AA50</f>
        <v>0</v>
      </c>
      <c r="AB21" s="26">
        <f>现金流量表!AB50</f>
        <v>0</v>
      </c>
      <c r="AC21" s="26">
        <f>现金流量表!AC50</f>
        <v>127101986.55</v>
      </c>
      <c r="AD21" s="26">
        <f>现金流量表!AD50</f>
        <v>0</v>
      </c>
      <c r="AE21" s="26">
        <f>现金流量表!AE50</f>
        <v>28109971.34</v>
      </c>
      <c r="AF21" s="26">
        <f>现金流量表!AF50</f>
        <v>0</v>
      </c>
      <c r="AG21" s="26">
        <f>现金流量表!AG50</f>
        <v>30806720.140000001</v>
      </c>
      <c r="AH21" s="26">
        <f>现金流量表!AH50</f>
        <v>0</v>
      </c>
      <c r="AI21" s="26">
        <f>现金流量表!AI50</f>
        <v>0</v>
      </c>
      <c r="AJ21" s="26">
        <f>现金流量表!AJ50</f>
        <v>0</v>
      </c>
      <c r="AK21" s="26">
        <f>现金流量表!AK50</f>
        <v>16659913.460000001</v>
      </c>
      <c r="AL21" s="26">
        <f>现金流量表!AL50</f>
        <v>0</v>
      </c>
      <c r="AM21" s="26">
        <f>现金流量表!AM50</f>
        <v>0</v>
      </c>
      <c r="AN21" s="26">
        <f>现金流量表!AN50</f>
        <v>8535867.9399999995</v>
      </c>
      <c r="AO21" s="26">
        <f>现金流量表!AO50</f>
        <v>6729869.3300000001</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739736.49</v>
      </c>
      <c r="F22" s="26">
        <f>现金流量表!F51</f>
        <v>0</v>
      </c>
      <c r="G22" s="26">
        <f>现金流量表!G51</f>
        <v>282204</v>
      </c>
      <c r="H22" s="26">
        <f>现金流量表!H51</f>
        <v>0</v>
      </c>
      <c r="I22" s="26">
        <f>现金流量表!I51</f>
        <v>678802.12</v>
      </c>
      <c r="J22" s="26">
        <f>现金流量表!J51</f>
        <v>0</v>
      </c>
      <c r="K22" s="26">
        <f>现金流量表!K51</f>
        <v>621658.09</v>
      </c>
      <c r="L22" s="26">
        <f>现金流量表!L51</f>
        <v>0</v>
      </c>
      <c r="M22" s="26">
        <f>现金流量表!M51</f>
        <v>943669.21</v>
      </c>
      <c r="N22" s="26">
        <f>现金流量表!N51</f>
        <v>0</v>
      </c>
      <c r="O22" s="26">
        <f>现金流量表!O51</f>
        <v>406784.44</v>
      </c>
      <c r="P22" s="26">
        <f>现金流量表!P51</f>
        <v>0</v>
      </c>
      <c r="Q22" s="26">
        <f>现金流量表!Q51</f>
        <v>317023.31</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107972709.81999999</v>
      </c>
      <c r="F23" s="26">
        <f>现金流量表!F54</f>
        <v>0</v>
      </c>
      <c r="G23" s="26">
        <f>现金流量表!G54</f>
        <v>0</v>
      </c>
      <c r="H23" s="26">
        <f>现金流量表!H54</f>
        <v>0</v>
      </c>
      <c r="I23" s="26">
        <f>现金流量表!I54</f>
        <v>35423474.439999998</v>
      </c>
      <c r="J23" s="26">
        <f>现金流量表!J54</f>
        <v>0</v>
      </c>
      <c r="K23" s="26">
        <f>现金流量表!K54</f>
        <v>0</v>
      </c>
      <c r="L23" s="26">
        <f>现金流量表!L54</f>
        <v>0</v>
      </c>
      <c r="M23" s="26">
        <f>现金流量表!M54</f>
        <v>37634806.939999998</v>
      </c>
      <c r="N23" s="26">
        <f>现金流量表!N54</f>
        <v>0</v>
      </c>
      <c r="O23" s="26">
        <f>现金流量表!O54</f>
        <v>0</v>
      </c>
      <c r="P23" s="26">
        <f>现金流量表!P54</f>
        <v>0</v>
      </c>
      <c r="Q23" s="26">
        <f>现金流量表!Q54</f>
        <v>0</v>
      </c>
      <c r="R23" s="26">
        <f>现金流量表!R54</f>
        <v>0</v>
      </c>
      <c r="S23" s="26">
        <f>现金流量表!S54</f>
        <v>0</v>
      </c>
      <c r="T23" s="26">
        <f>现金流量表!T54</f>
        <v>0</v>
      </c>
      <c r="U23" s="26">
        <f>现金流量表!U54</f>
        <v>0</v>
      </c>
      <c r="V23" s="26">
        <f>现金流量表!V54</f>
        <v>0</v>
      </c>
      <c r="W23" s="26">
        <f>现金流量表!W54</f>
        <v>0</v>
      </c>
      <c r="X23" s="26">
        <f>现金流量表!X54</f>
        <v>0</v>
      </c>
      <c r="Y23" s="26">
        <f>现金流量表!Y54</f>
        <v>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39481.25</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11352.3</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1167.33</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14397066181.309999</v>
      </c>
      <c r="F25" s="28">
        <f t="shared" ref="F25:BQ25" si="12">SUM(F19:F24)</f>
        <v>0</v>
      </c>
      <c r="G25" s="28">
        <f t="shared" si="12"/>
        <v>1515087026.9400001</v>
      </c>
      <c r="H25" s="28">
        <f t="shared" si="12"/>
        <v>0</v>
      </c>
      <c r="I25" s="28">
        <f t="shared" si="12"/>
        <v>2668778902.2199998</v>
      </c>
      <c r="J25" s="28">
        <f t="shared" si="12"/>
        <v>0</v>
      </c>
      <c r="K25" s="28">
        <f t="shared" si="12"/>
        <v>1046000568.8100001</v>
      </c>
      <c r="L25" s="28">
        <f t="shared" si="12"/>
        <v>0</v>
      </c>
      <c r="M25" s="28">
        <f t="shared" si="12"/>
        <v>1798430491.1199999</v>
      </c>
      <c r="N25" s="28">
        <f t="shared" si="12"/>
        <v>0</v>
      </c>
      <c r="O25" s="28">
        <f t="shared" si="12"/>
        <v>722875696.84000003</v>
      </c>
      <c r="P25" s="28">
        <f t="shared" si="12"/>
        <v>0</v>
      </c>
      <c r="Q25" s="28">
        <f t="shared" si="12"/>
        <v>1133337547.24</v>
      </c>
      <c r="R25" s="28">
        <f t="shared" si="12"/>
        <v>0</v>
      </c>
      <c r="S25" s="28">
        <f t="shared" si="12"/>
        <v>504125793.35000002</v>
      </c>
      <c r="T25" s="28">
        <f t="shared" si="12"/>
        <v>0</v>
      </c>
      <c r="U25" s="28">
        <f t="shared" si="12"/>
        <v>653785598.76000011</v>
      </c>
      <c r="V25" s="28">
        <f t="shared" si="12"/>
        <v>0</v>
      </c>
      <c r="W25" s="28">
        <f t="shared" si="12"/>
        <v>282298015.50999999</v>
      </c>
      <c r="X25" s="28">
        <f t="shared" si="12"/>
        <v>0</v>
      </c>
      <c r="Y25" s="28">
        <f t="shared" si="12"/>
        <v>435989287.06999999</v>
      </c>
      <c r="Z25" s="28">
        <f t="shared" si="12"/>
        <v>0</v>
      </c>
      <c r="AA25" s="28">
        <f t="shared" si="12"/>
        <v>3479156.81</v>
      </c>
      <c r="AB25" s="28">
        <f t="shared" si="12"/>
        <v>0</v>
      </c>
      <c r="AC25" s="28">
        <f t="shared" si="12"/>
        <v>167965550.66999999</v>
      </c>
      <c r="AD25" s="28">
        <f t="shared" si="12"/>
        <v>0</v>
      </c>
      <c r="AE25" s="28">
        <f t="shared" si="12"/>
        <v>47636269.319999993</v>
      </c>
      <c r="AF25" s="28">
        <f t="shared" si="12"/>
        <v>0</v>
      </c>
      <c r="AG25" s="28">
        <f t="shared" si="12"/>
        <v>53877559.789999999</v>
      </c>
      <c r="AH25" s="28">
        <f t="shared" si="12"/>
        <v>0</v>
      </c>
      <c r="AI25" s="28">
        <f t="shared" si="12"/>
        <v>0</v>
      </c>
      <c r="AJ25" s="28">
        <f t="shared" si="12"/>
        <v>0</v>
      </c>
      <c r="AK25" s="28">
        <f t="shared" si="12"/>
        <v>30279941.590000004</v>
      </c>
      <c r="AL25" s="28">
        <f t="shared" si="12"/>
        <v>0</v>
      </c>
      <c r="AM25" s="28">
        <f t="shared" si="12"/>
        <v>0</v>
      </c>
      <c r="AN25" s="28">
        <f t="shared" si="12"/>
        <v>10736011.17</v>
      </c>
      <c r="AO25" s="28">
        <f t="shared" si="12"/>
        <v>7393016.5700000003</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-17037611564.549999</v>
      </c>
      <c r="F26" s="28">
        <f t="shared" ref="F26:BQ26" si="14">F14-F25</f>
        <v>-2814650512.3899999</v>
      </c>
      <c r="G26" s="28">
        <f t="shared" si="14"/>
        <v>-3700528430.96</v>
      </c>
      <c r="H26" s="28">
        <f t="shared" si="14"/>
        <v>-741173904.63999999</v>
      </c>
      <c r="I26" s="28">
        <f t="shared" si="14"/>
        <v>-3736839671.1799998</v>
      </c>
      <c r="J26" s="28">
        <f t="shared" si="14"/>
        <v>543434995.25999999</v>
      </c>
      <c r="K26" s="28">
        <f t="shared" si="14"/>
        <v>-756810953.37000012</v>
      </c>
      <c r="L26" s="28">
        <f t="shared" si="14"/>
        <v>64572457.719999999</v>
      </c>
      <c r="M26" s="28">
        <f t="shared" si="14"/>
        <v>-922728614.65999985</v>
      </c>
      <c r="N26" s="28">
        <f t="shared" si="14"/>
        <v>809723517.28999996</v>
      </c>
      <c r="O26" s="28">
        <f t="shared" si="14"/>
        <v>-257794090.76000005</v>
      </c>
      <c r="P26" s="28">
        <f t="shared" si="14"/>
        <v>-280250436.31999999</v>
      </c>
      <c r="Q26" s="28">
        <f t="shared" si="14"/>
        <v>-899154813.27999997</v>
      </c>
      <c r="R26" s="28">
        <f t="shared" si="14"/>
        <v>343701268.24000001</v>
      </c>
      <c r="S26" s="28">
        <f t="shared" si="14"/>
        <v>-42788339.189999998</v>
      </c>
      <c r="T26" s="28">
        <f t="shared" si="14"/>
        <v>146987158.5</v>
      </c>
      <c r="U26" s="28">
        <f t="shared" si="14"/>
        <v>-477934202.17000008</v>
      </c>
      <c r="V26" s="28">
        <f t="shared" si="14"/>
        <v>220657623.78</v>
      </c>
      <c r="W26" s="28">
        <f t="shared" si="14"/>
        <v>-220537298.16999999</v>
      </c>
      <c r="X26" s="28">
        <f t="shared" si="14"/>
        <v>88847203.170000002</v>
      </c>
      <c r="Y26" s="28">
        <f t="shared" si="14"/>
        <v>-329789365.64999998</v>
      </c>
      <c r="Z26" s="28">
        <f t="shared" si="14"/>
        <v>48696901.509999998</v>
      </c>
      <c r="AA26" s="28">
        <f t="shared" si="14"/>
        <v>88888624.209999993</v>
      </c>
      <c r="AB26" s="28">
        <f t="shared" si="14"/>
        <v>97492162.609999999</v>
      </c>
      <c r="AC26" s="28">
        <f t="shared" si="14"/>
        <v>-21060794.689999998</v>
      </c>
      <c r="AD26" s="28">
        <f t="shared" si="14"/>
        <v>109582989.3</v>
      </c>
      <c r="AE26" s="28">
        <f t="shared" si="14"/>
        <v>17141243.190000005</v>
      </c>
      <c r="AF26" s="28">
        <f t="shared" si="14"/>
        <v>6861051.7999999998</v>
      </c>
      <c r="AG26" s="28">
        <f t="shared" si="14"/>
        <v>11607527.210000001</v>
      </c>
      <c r="AH26" s="28">
        <f t="shared" si="14"/>
        <v>26963297.239999998</v>
      </c>
      <c r="AI26" s="28">
        <f t="shared" si="14"/>
        <v>30549743.460000001</v>
      </c>
      <c r="AJ26" s="28">
        <f t="shared" si="14"/>
        <v>4814777.88</v>
      </c>
      <c r="AK26" s="28">
        <f t="shared" si="14"/>
        <v>53123182.25999999</v>
      </c>
      <c r="AL26" s="28">
        <f t="shared" si="14"/>
        <v>62706929.460000001</v>
      </c>
      <c r="AM26" s="28">
        <f t="shared" si="14"/>
        <v>47099251.689999998</v>
      </c>
      <c r="AN26" s="28">
        <f t="shared" si="14"/>
        <v>5758522.1899999995</v>
      </c>
      <c r="AO26" s="28">
        <f t="shared" si="14"/>
        <v>2065950.5</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7" t="s">
        <v>751</v>
      </c>
      <c r="E27" s="26">
        <f>E26</f>
        <v>-17037611564.549999</v>
      </c>
      <c r="F27" s="192">
        <f t="shared" ref="F27:BQ27" si="16">F26</f>
        <v>-2814650512.3899999</v>
      </c>
      <c r="G27" s="192">
        <f t="shared" si="16"/>
        <v>-3700528430.96</v>
      </c>
      <c r="H27" s="192">
        <f t="shared" si="16"/>
        <v>-741173904.63999999</v>
      </c>
      <c r="I27" s="192">
        <f t="shared" si="16"/>
        <v>-3736839671.1799998</v>
      </c>
      <c r="J27" s="192">
        <f t="shared" si="16"/>
        <v>543434995.25999999</v>
      </c>
      <c r="K27" s="192">
        <f t="shared" si="16"/>
        <v>-756810953.37000012</v>
      </c>
      <c r="L27" s="192">
        <f t="shared" si="16"/>
        <v>64572457.719999999</v>
      </c>
      <c r="M27" s="192">
        <f t="shared" si="16"/>
        <v>-922728614.65999985</v>
      </c>
      <c r="N27" s="192">
        <f t="shared" si="16"/>
        <v>809723517.28999996</v>
      </c>
      <c r="O27" s="192">
        <f t="shared" si="16"/>
        <v>-257794090.76000005</v>
      </c>
      <c r="P27" s="192">
        <f t="shared" si="16"/>
        <v>-280250436.31999999</v>
      </c>
      <c r="Q27" s="192">
        <f t="shared" si="16"/>
        <v>-899154813.27999997</v>
      </c>
      <c r="R27" s="192">
        <f t="shared" si="16"/>
        <v>343701268.24000001</v>
      </c>
      <c r="S27" s="192">
        <f t="shared" si="16"/>
        <v>-42788339.189999998</v>
      </c>
      <c r="T27" s="192">
        <f t="shared" si="16"/>
        <v>146987158.5</v>
      </c>
      <c r="U27" s="192">
        <f t="shared" si="16"/>
        <v>-477934202.17000008</v>
      </c>
      <c r="V27" s="192">
        <f t="shared" si="16"/>
        <v>220657623.78</v>
      </c>
      <c r="W27" s="192">
        <f t="shared" si="16"/>
        <v>-220537298.16999999</v>
      </c>
      <c r="X27" s="192">
        <f t="shared" si="16"/>
        <v>88847203.170000002</v>
      </c>
      <c r="Y27" s="192">
        <f t="shared" si="16"/>
        <v>-329789365.64999998</v>
      </c>
      <c r="Z27" s="192">
        <f t="shared" si="16"/>
        <v>48696901.509999998</v>
      </c>
      <c r="AA27" s="192">
        <f t="shared" si="16"/>
        <v>88888624.209999993</v>
      </c>
      <c r="AB27" s="192">
        <f t="shared" si="16"/>
        <v>97492162.609999999</v>
      </c>
      <c r="AC27" s="192">
        <f t="shared" si="16"/>
        <v>-21060794.689999998</v>
      </c>
      <c r="AD27" s="192">
        <f t="shared" si="16"/>
        <v>109582989.3</v>
      </c>
      <c r="AE27" s="192">
        <f t="shared" si="16"/>
        <v>17141243.190000005</v>
      </c>
      <c r="AF27" s="192">
        <f t="shared" si="16"/>
        <v>6861051.7999999998</v>
      </c>
      <c r="AG27" s="192">
        <f t="shared" si="16"/>
        <v>11607527.210000001</v>
      </c>
      <c r="AH27" s="192">
        <f t="shared" si="16"/>
        <v>26963297.239999998</v>
      </c>
      <c r="AI27" s="192">
        <f t="shared" si="16"/>
        <v>30549743.460000001</v>
      </c>
      <c r="AJ27" s="192">
        <f t="shared" si="16"/>
        <v>4814777.88</v>
      </c>
      <c r="AK27" s="192">
        <f t="shared" si="16"/>
        <v>53123182.25999999</v>
      </c>
      <c r="AL27" s="192">
        <f t="shared" si="16"/>
        <v>62706929.460000001</v>
      </c>
      <c r="AM27" s="192">
        <f t="shared" si="16"/>
        <v>47099251.689999998</v>
      </c>
      <c r="AN27" s="192">
        <f t="shared" si="16"/>
        <v>5758522.1899999995</v>
      </c>
      <c r="AO27" s="192">
        <f t="shared" si="16"/>
        <v>2065950.5</v>
      </c>
      <c r="AP27" s="192">
        <f t="shared" si="16"/>
        <v>0</v>
      </c>
      <c r="AQ27" s="192">
        <f t="shared" si="16"/>
        <v>0</v>
      </c>
      <c r="AR27" s="192">
        <f t="shared" si="16"/>
        <v>0</v>
      </c>
      <c r="AS27" s="192">
        <f t="shared" si="16"/>
        <v>0</v>
      </c>
      <c r="AT27" s="192">
        <f t="shared" si="16"/>
        <v>0</v>
      </c>
      <c r="AU27" s="192">
        <f t="shared" si="16"/>
        <v>0</v>
      </c>
      <c r="AV27" s="192">
        <f t="shared" si="16"/>
        <v>0</v>
      </c>
      <c r="AW27" s="192">
        <f t="shared" si="16"/>
        <v>0</v>
      </c>
      <c r="AX27" s="192">
        <f t="shared" si="16"/>
        <v>0</v>
      </c>
      <c r="AY27" s="192">
        <f t="shared" si="16"/>
        <v>0</v>
      </c>
      <c r="AZ27" s="192">
        <f t="shared" si="16"/>
        <v>0</v>
      </c>
      <c r="BA27" s="192">
        <f t="shared" si="16"/>
        <v>0</v>
      </c>
      <c r="BB27" s="192">
        <f t="shared" si="16"/>
        <v>0</v>
      </c>
      <c r="BC27" s="192">
        <f t="shared" si="16"/>
        <v>0</v>
      </c>
      <c r="BD27" s="192">
        <f t="shared" si="16"/>
        <v>0</v>
      </c>
      <c r="BE27" s="192">
        <f t="shared" si="16"/>
        <v>0</v>
      </c>
      <c r="BF27" s="192">
        <f t="shared" si="16"/>
        <v>0</v>
      </c>
      <c r="BG27" s="192">
        <f t="shared" si="16"/>
        <v>0</v>
      </c>
      <c r="BH27" s="192">
        <f t="shared" si="16"/>
        <v>0</v>
      </c>
      <c r="BI27" s="192">
        <f t="shared" si="16"/>
        <v>0</v>
      </c>
      <c r="BJ27" s="192">
        <f t="shared" si="16"/>
        <v>0</v>
      </c>
      <c r="BK27" s="192">
        <f t="shared" si="16"/>
        <v>0</v>
      </c>
      <c r="BL27" s="192">
        <f t="shared" si="16"/>
        <v>0</v>
      </c>
      <c r="BM27" s="192">
        <f t="shared" si="16"/>
        <v>0</v>
      </c>
      <c r="BN27" s="192">
        <f t="shared" si="16"/>
        <v>0</v>
      </c>
      <c r="BO27" s="192">
        <f t="shared" si="16"/>
        <v>0</v>
      </c>
      <c r="BP27" s="192">
        <f t="shared" si="16"/>
        <v>0</v>
      </c>
      <c r="BQ27" s="192">
        <f t="shared" si="16"/>
        <v>0</v>
      </c>
      <c r="BR27" s="192">
        <f t="shared" ref="BR27:CL27" si="17">BR26</f>
        <v>0</v>
      </c>
      <c r="BS27" s="192">
        <f t="shared" si="17"/>
        <v>0</v>
      </c>
      <c r="BT27" s="192">
        <f t="shared" si="17"/>
        <v>0</v>
      </c>
      <c r="BU27" s="192">
        <f t="shared" si="17"/>
        <v>0</v>
      </c>
      <c r="BV27" s="192">
        <f t="shared" si="17"/>
        <v>0</v>
      </c>
      <c r="BW27" s="192">
        <f t="shared" si="17"/>
        <v>0</v>
      </c>
      <c r="BX27" s="192">
        <f t="shared" si="17"/>
        <v>0</v>
      </c>
      <c r="BY27" s="192">
        <f t="shared" si="17"/>
        <v>0</v>
      </c>
      <c r="BZ27" s="192">
        <f t="shared" si="17"/>
        <v>0</v>
      </c>
      <c r="CA27" s="192">
        <f t="shared" si="17"/>
        <v>0</v>
      </c>
      <c r="CB27" s="192">
        <f t="shared" si="17"/>
        <v>0</v>
      </c>
      <c r="CC27" s="192">
        <f t="shared" si="17"/>
        <v>0</v>
      </c>
      <c r="CD27" s="192">
        <f t="shared" si="17"/>
        <v>0</v>
      </c>
      <c r="CE27" s="192">
        <f t="shared" si="17"/>
        <v>0</v>
      </c>
      <c r="CF27" s="192">
        <f t="shared" si="17"/>
        <v>0</v>
      </c>
      <c r="CG27" s="192">
        <f t="shared" si="17"/>
        <v>0</v>
      </c>
      <c r="CH27" s="192">
        <f t="shared" si="17"/>
        <v>0</v>
      </c>
      <c r="CI27" s="192">
        <f t="shared" si="17"/>
        <v>0</v>
      </c>
      <c r="CJ27" s="192">
        <f t="shared" si="17"/>
        <v>0</v>
      </c>
      <c r="CK27" s="192">
        <f t="shared" si="17"/>
        <v>0</v>
      </c>
      <c r="CL27" s="192">
        <f t="shared" si="17"/>
        <v>0</v>
      </c>
    </row>
    <row r="28" spans="1:90" s="63" customFormat="1" x14ac:dyDescent="0.25">
      <c r="A28" s="17" t="s">
        <v>509</v>
      </c>
      <c r="E28" s="63">
        <f>(E27-I27)/I27</f>
        <v>3.5593638110703183</v>
      </c>
      <c r="F28" s="63">
        <f t="shared" ref="F28:BQ28" si="18">(F27-J27)/J27</f>
        <v>-6.1793692657635413</v>
      </c>
      <c r="G28" s="63">
        <f t="shared" si="18"/>
        <v>3.889633817377951</v>
      </c>
      <c r="H28" s="63">
        <f t="shared" si="18"/>
        <v>-12.478173989503214</v>
      </c>
      <c r="I28" s="63">
        <f t="shared" si="18"/>
        <v>3.0497710939168421</v>
      </c>
      <c r="J28" s="63">
        <f t="shared" si="18"/>
        <v>-0.32886351494547189</v>
      </c>
      <c r="K28" s="63">
        <f t="shared" si="18"/>
        <v>1.935718779041264</v>
      </c>
      <c r="L28" s="63">
        <f t="shared" si="18"/>
        <v>-1.2304098383142883</v>
      </c>
      <c r="M28" s="63">
        <f t="shared" si="18"/>
        <v>2.6217733622540162E-2</v>
      </c>
      <c r="N28" s="63">
        <f t="shared" si="18"/>
        <v>1.3558933065227607</v>
      </c>
      <c r="O28" s="63">
        <f t="shared" si="18"/>
        <v>5.0248678878438158</v>
      </c>
      <c r="P28" s="63">
        <f t="shared" si="18"/>
        <v>-2.9066321111309867</v>
      </c>
      <c r="Q28" s="63">
        <f t="shared" si="18"/>
        <v>0.88133598557604942</v>
      </c>
      <c r="R28" s="63">
        <f t="shared" si="18"/>
        <v>0.5576224485344633</v>
      </c>
      <c r="S28" s="63">
        <f t="shared" si="18"/>
        <v>-0.80598139387280954</v>
      </c>
      <c r="T28" s="63">
        <f t="shared" si="18"/>
        <v>0.65438137899237148</v>
      </c>
      <c r="U28" s="63">
        <f t="shared" si="18"/>
        <v>0.44921047174463402</v>
      </c>
      <c r="V28" s="63">
        <f t="shared" si="18"/>
        <v>3.5312456632315214</v>
      </c>
      <c r="W28" s="63">
        <f t="shared" si="18"/>
        <v>-3.4810519920859515</v>
      </c>
      <c r="X28" s="63">
        <f t="shared" si="18"/>
        <v>-8.8673378542053843E-2</v>
      </c>
      <c r="Y28" s="63">
        <f t="shared" si="18"/>
        <v>14.658923155762459</v>
      </c>
      <c r="Z28" s="63">
        <f t="shared" si="18"/>
        <v>-0.55561623367761148</v>
      </c>
      <c r="AA28" s="63">
        <f t="shared" si="18"/>
        <v>4.1856579610198015</v>
      </c>
      <c r="AB28" s="63">
        <f t="shared" si="18"/>
        <v>13.209506858700587</v>
      </c>
      <c r="AC28" s="63">
        <f t="shared" si="18"/>
        <v>-2.8144083842298393</v>
      </c>
      <c r="AD28" s="63">
        <f t="shared" si="18"/>
        <v>3.0641538875829268</v>
      </c>
      <c r="AE28" s="63">
        <f t="shared" si="18"/>
        <v>-0.43890713149707067</v>
      </c>
      <c r="AF28" s="63">
        <f t="shared" si="18"/>
        <v>0.42499861281243567</v>
      </c>
      <c r="AG28" s="63">
        <f t="shared" si="18"/>
        <v>-0.78149789383494661</v>
      </c>
      <c r="AH28" s="63">
        <f t="shared" si="18"/>
        <v>-0.57001088281320544</v>
      </c>
      <c r="AI28" s="63">
        <f t="shared" si="18"/>
        <v>-0.35137518402471241</v>
      </c>
      <c r="AJ28" s="63">
        <f t="shared" si="18"/>
        <v>-0.16388654569029276</v>
      </c>
      <c r="AK28" s="63">
        <f t="shared" si="18"/>
        <v>24.71367622796383</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736</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1.0436575327006925</v>
      </c>
      <c r="F31" s="112"/>
      <c r="G31" s="112"/>
      <c r="H31" s="112"/>
      <c r="I31" s="112">
        <f>POWER(E27/Y27,1/6)-1</f>
        <v>0.92987276633805815</v>
      </c>
      <c r="M31" s="112">
        <f>POWER(E27/AC27,1/7)-1</f>
        <v>1.6026701841726196</v>
      </c>
      <c r="Q31" s="115" t="s">
        <v>602</v>
      </c>
      <c r="R31" s="115"/>
      <c r="S31" s="115"/>
      <c r="T31" s="115"/>
      <c r="U31" s="115">
        <f>POWER(E14/U14,1/5)-1</f>
        <v>-2.7191333399336495</v>
      </c>
      <c r="V31" s="115"/>
      <c r="W31" s="115"/>
      <c r="X31" s="115"/>
      <c r="Y31" s="115" t="e">
        <f>POWER(E14/Y14,1/6)-1</f>
        <v>#NUM!</v>
      </c>
      <c r="Z31" s="115"/>
      <c r="AA31" s="115"/>
      <c r="AB31" s="115"/>
      <c r="AC31" s="115">
        <f>POWER(E14/AC14,1/7)-1</f>
        <v>-2.5109038425979175</v>
      </c>
    </row>
    <row r="32" spans="1:90" s="66" customFormat="1" x14ac:dyDescent="0.25">
      <c r="A32" s="46" t="s">
        <v>511</v>
      </c>
      <c r="E32" s="66">
        <v>0.17</v>
      </c>
    </row>
    <row r="39" spans="1:13" ht="43.2" x14ac:dyDescent="0.25">
      <c r="A39" s="67" t="s">
        <v>512</v>
      </c>
    </row>
    <row r="41" spans="1:13" ht="111" customHeight="1" x14ac:dyDescent="0.25">
      <c r="A41" s="279" t="s">
        <v>735</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opLeftCell="A51" workbookViewId="0">
      <selection activeCell="C55" sqref="C55"/>
    </sheetView>
  </sheetViews>
  <sheetFormatPr defaultRowHeight="14.4" x14ac:dyDescent="0.25"/>
  <cols>
    <col min="1" max="1" width="43.5546875" style="17" bestFit="1" customWidth="1"/>
    <col min="2" max="2" width="25.109375" style="26" bestFit="1" customWidth="1"/>
    <col min="3" max="3" width="38" bestFit="1" customWidth="1"/>
    <col min="4" max="4" width="26.33203125" bestFit="1" customWidth="1"/>
    <col min="5" max="5" width="20.44140625" bestFit="1" customWidth="1"/>
    <col min="6" max="11" width="21.5546875" bestFit="1" customWidth="1"/>
    <col min="12" max="12" width="40.21875" bestFit="1" customWidth="1"/>
    <col min="13" max="18" width="21.5546875" bestFit="1" customWidth="1"/>
    <col min="19" max="19" width="23.77734375" bestFit="1" customWidth="1"/>
    <col min="20" max="74" width="9.44140625" bestFit="1" customWidth="1"/>
  </cols>
  <sheetData>
    <row r="1" spans="1:10" ht="16.2" customHeight="1" x14ac:dyDescent="0.25">
      <c r="A1" s="68" t="s">
        <v>513</v>
      </c>
      <c r="B1" s="69">
        <f>自由现金流分析表!E1</f>
        <v>43100</v>
      </c>
      <c r="C1" s="190" t="s">
        <v>750</v>
      </c>
      <c r="D1" s="273">
        <v>0.08</v>
      </c>
      <c r="E1" s="261" t="s">
        <v>749</v>
      </c>
      <c r="F1" s="63">
        <f>平均资本成本表!E13</f>
        <v>6.9810647408657472E-2</v>
      </c>
    </row>
    <row r="2" spans="1:10" x14ac:dyDescent="0.25">
      <c r="A2" s="70" t="s">
        <v>514</v>
      </c>
      <c r="B2" s="71">
        <f>(自由现金流分析表!E27+自由现金流分析表!I27+自由现金流分析表!M27)/3</f>
        <v>-7232393283.4633331</v>
      </c>
      <c r="C2" t="s">
        <v>547</v>
      </c>
      <c r="D2" s="63"/>
      <c r="E2" s="63"/>
      <c r="F2" s="56"/>
    </row>
    <row r="3" spans="1:10" s="63" customFormat="1" x14ac:dyDescent="0.25">
      <c r="A3" s="72" t="s">
        <v>515</v>
      </c>
      <c r="B3" s="98">
        <v>0.03</v>
      </c>
      <c r="D3" s="189"/>
      <c r="E3" s="189"/>
      <c r="F3" s="259"/>
    </row>
    <row r="4" spans="1:10" s="63" customFormat="1" x14ac:dyDescent="0.25">
      <c r="A4" s="72" t="s">
        <v>516</v>
      </c>
      <c r="B4" s="98">
        <f>F1</f>
        <v>6.9810647408657472E-2</v>
      </c>
      <c r="D4" s="189"/>
      <c r="E4" s="189"/>
      <c r="F4" s="260"/>
    </row>
    <row r="5" spans="1:10" x14ac:dyDescent="0.25">
      <c r="A5" s="70" t="s">
        <v>517</v>
      </c>
      <c r="B5" s="71">
        <f>B2*(1+B3)/(B4-B3)</f>
        <v>-187119918083.70462</v>
      </c>
      <c r="D5" s="63"/>
      <c r="E5" s="63"/>
    </row>
    <row r="6" spans="1:10" x14ac:dyDescent="0.25">
      <c r="A6" s="70" t="s">
        <v>518</v>
      </c>
      <c r="B6" s="71">
        <f>资产资本表!E17</f>
        <v>1733731034.9100001</v>
      </c>
      <c r="D6" s="189"/>
      <c r="E6" s="189"/>
      <c r="F6" s="189"/>
      <c r="G6" s="189"/>
    </row>
    <row r="7" spans="1:10" x14ac:dyDescent="0.25">
      <c r="A7" s="70" t="s">
        <v>519</v>
      </c>
      <c r="B7" s="71">
        <f>资产资本表!E19</f>
        <v>2089964469.5799999</v>
      </c>
      <c r="D7" s="189"/>
      <c r="E7" s="189"/>
      <c r="F7" s="189"/>
      <c r="G7" s="189"/>
    </row>
    <row r="8" spans="1:10" x14ac:dyDescent="0.25">
      <c r="A8" s="70" t="s">
        <v>520</v>
      </c>
      <c r="B8" s="196">
        <f>资产资本表!E89</f>
        <v>7862345269.1099997</v>
      </c>
      <c r="C8" s="271" t="s">
        <v>747</v>
      </c>
      <c r="D8" s="272">
        <f>B2/B4</f>
        <v>-103600146280.3569</v>
      </c>
      <c r="E8" s="63"/>
      <c r="F8" s="189"/>
      <c r="G8" s="189"/>
    </row>
    <row r="9" spans="1:10" x14ac:dyDescent="0.25">
      <c r="A9" s="70" t="s">
        <v>521</v>
      </c>
      <c r="B9" s="196">
        <f>B5+B6+B7-B8</f>
        <v>-191158567848.32462</v>
      </c>
      <c r="C9" s="271" t="s">
        <v>748</v>
      </c>
      <c r="D9" s="272">
        <f>(D8+资产资本结构分析表!$E$2+资产资本结构分析表!$E$3)/B55</f>
        <v>-25.010138258482481</v>
      </c>
      <c r="E9" s="189"/>
      <c r="F9" s="189"/>
      <c r="G9" s="189"/>
    </row>
    <row r="10" spans="1:10" x14ac:dyDescent="0.25">
      <c r="A10" s="70" t="s">
        <v>522</v>
      </c>
      <c r="B10" s="73">
        <f>资产资本表!E103/资产资本表!E107</f>
        <v>1.9947464343710166</v>
      </c>
      <c r="D10" s="189"/>
      <c r="E10" s="189"/>
      <c r="F10" s="189"/>
      <c r="G10" s="189"/>
    </row>
    <row r="11" spans="1:10" x14ac:dyDescent="0.25">
      <c r="A11" s="70" t="s">
        <v>548</v>
      </c>
      <c r="B11" s="196">
        <f>B9*(1-B10)</f>
        <v>190154303766.59097</v>
      </c>
      <c r="C11" s="268" t="s">
        <v>744</v>
      </c>
      <c r="D11" s="269">
        <f>资产资本结构分析表!E2</f>
        <v>1733731034.9100001</v>
      </c>
      <c r="E11" s="63"/>
      <c r="F11" s="189"/>
      <c r="G11" s="189"/>
    </row>
    <row r="12" spans="1:10" x14ac:dyDescent="0.25">
      <c r="A12" s="70" t="s">
        <v>523</v>
      </c>
      <c r="B12" s="267">
        <f>B55</f>
        <v>3989440192</v>
      </c>
      <c r="C12" s="268" t="s">
        <v>745</v>
      </c>
      <c r="D12" s="270">
        <f>D11/B55</f>
        <v>0.43458002914460037</v>
      </c>
      <c r="E12" s="189"/>
      <c r="F12" s="189"/>
      <c r="G12" s="189"/>
    </row>
    <row r="13" spans="1:10" ht="15" thickBot="1" x14ac:dyDescent="0.3">
      <c r="A13" s="74" t="s">
        <v>524</v>
      </c>
      <c r="B13" s="75">
        <f>B11/B12</f>
        <v>47.664407690057928</v>
      </c>
      <c r="D13" s="189"/>
      <c r="E13" s="189"/>
    </row>
    <row r="14" spans="1:10" s="16" customFormat="1" ht="53.25" customHeight="1" x14ac:dyDescent="0.25">
      <c r="A14" s="279" t="s">
        <v>737</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540</v>
      </c>
      <c r="D17" s="90">
        <v>0.1</v>
      </c>
      <c r="E17" s="90"/>
      <c r="F17" s="90"/>
      <c r="G17" s="90"/>
      <c r="H17" s="90" t="s">
        <v>541</v>
      </c>
      <c r="I17" s="90">
        <v>0.04</v>
      </c>
      <c r="J17" s="78"/>
    </row>
    <row r="18" spans="1:10" s="2" customFormat="1" x14ac:dyDescent="0.25">
      <c r="A18" s="300" t="s">
        <v>525</v>
      </c>
      <c r="B18" s="300"/>
      <c r="C18" s="65" t="s">
        <v>539</v>
      </c>
      <c r="D18" s="97">
        <v>1</v>
      </c>
      <c r="E18" s="97">
        <v>2</v>
      </c>
      <c r="F18" s="97">
        <v>3</v>
      </c>
      <c r="G18" s="97">
        <v>4</v>
      </c>
      <c r="H18" s="97">
        <v>5</v>
      </c>
      <c r="I18" s="96">
        <v>6</v>
      </c>
      <c r="J18" s="80"/>
    </row>
    <row r="19" spans="1:10" s="26" customFormat="1" x14ac:dyDescent="0.25">
      <c r="A19" s="99" t="s">
        <v>526</v>
      </c>
      <c r="B19" s="94"/>
      <c r="C19" s="89">
        <f>B2</f>
        <v>-7232393283.4633331</v>
      </c>
      <c r="D19" s="89">
        <f>C19*(1+$D$17)</f>
        <v>-7955632611.8096666</v>
      </c>
      <c r="E19" s="89">
        <f>D19*(1+$D$17)</f>
        <v>-8751195872.9906349</v>
      </c>
      <c r="F19" s="89">
        <f>E19*(1+$D$17)</f>
        <v>-9626315460.2896996</v>
      </c>
      <c r="G19" s="89">
        <f>F19*(1+$D$17)</f>
        <v>-10588947006.31867</v>
      </c>
      <c r="H19" s="89">
        <f>G19*(1+$D$17)</f>
        <v>-11647841706.950539</v>
      </c>
      <c r="I19" s="89">
        <f>H19*(1+I17)</f>
        <v>-12113755375.228561</v>
      </c>
      <c r="J19" s="76"/>
    </row>
    <row r="20" spans="1:10" s="26" customFormat="1" x14ac:dyDescent="0.25">
      <c r="A20" s="99" t="s">
        <v>527</v>
      </c>
      <c r="B20" s="95">
        <f>B4</f>
        <v>6.9810647408657472E-2</v>
      </c>
      <c r="C20" s="89"/>
      <c r="D20" s="89">
        <f t="shared" ref="D20:I20" si="0">(1+$B$20)^D18</f>
        <v>1.0698106474086575</v>
      </c>
      <c r="E20" s="89">
        <f t="shared" si="0"/>
        <v>1.144494821308931</v>
      </c>
      <c r="F20" s="89">
        <f t="shared" si="0"/>
        <v>1.2243927457403632</v>
      </c>
      <c r="G20" s="89">
        <f t="shared" si="0"/>
        <v>1.3098683960029618</v>
      </c>
      <c r="H20" s="89">
        <f t="shared" si="0"/>
        <v>1.4013111567480683</v>
      </c>
      <c r="I20" s="89">
        <f t="shared" si="0"/>
        <v>1.4991375958216258</v>
      </c>
      <c r="J20" s="76"/>
    </row>
    <row r="21" spans="1:10" s="26" customFormat="1" x14ac:dyDescent="0.25">
      <c r="A21" s="301" t="s">
        <v>528</v>
      </c>
      <c r="B21" s="301"/>
      <c r="C21" s="89"/>
      <c r="D21" s="89">
        <f>D19/D20</f>
        <v>-7436486663.392396</v>
      </c>
      <c r="E21" s="89">
        <f>E19/E20</f>
        <v>-7646339424.2204647</v>
      </c>
      <c r="F21" s="89">
        <f>F19/F20</f>
        <v>-7862114091.8871422</v>
      </c>
      <c r="G21" s="89">
        <f>G19/G20</f>
        <v>-8083977778.7071114</v>
      </c>
      <c r="H21" s="89">
        <f>H19/H20</f>
        <v>-8312102312.794631</v>
      </c>
      <c r="I21" s="89">
        <f>I19/((B20-I17)*I20)</f>
        <v>-271060288205.02231</v>
      </c>
      <c r="J21" s="76"/>
    </row>
    <row r="22" spans="1:10" s="26" customFormat="1" x14ac:dyDescent="0.25">
      <c r="A22" s="301" t="s">
        <v>546</v>
      </c>
      <c r="B22" s="301"/>
      <c r="C22" s="89"/>
      <c r="D22" s="297">
        <f>SUM(D21:H21)</f>
        <v>-39341020271.001747</v>
      </c>
      <c r="E22" s="298"/>
      <c r="F22" s="298"/>
      <c r="G22" s="298"/>
      <c r="H22" s="299"/>
      <c r="I22" s="89">
        <f>I21</f>
        <v>-271060288205.02231</v>
      </c>
      <c r="J22" s="76"/>
    </row>
    <row r="23" spans="1:10" x14ac:dyDescent="0.25">
      <c r="A23" s="92" t="s">
        <v>529</v>
      </c>
      <c r="B23" s="76">
        <f>D22+I22</f>
        <v>-310401308476.02405</v>
      </c>
      <c r="C23" s="77"/>
      <c r="D23" s="77"/>
      <c r="E23" s="77"/>
      <c r="F23" s="77"/>
      <c r="G23" s="77"/>
      <c r="H23" s="77"/>
      <c r="I23" s="79"/>
      <c r="J23" s="77"/>
    </row>
    <row r="24" spans="1:10" x14ac:dyDescent="0.25">
      <c r="A24" s="92" t="s">
        <v>530</v>
      </c>
      <c r="B24" s="76">
        <f>B23</f>
        <v>-310401308476.02405</v>
      </c>
      <c r="C24" s="77"/>
      <c r="D24" s="77"/>
      <c r="E24" s="77"/>
      <c r="F24" s="77"/>
      <c r="G24" s="77"/>
      <c r="H24" s="77"/>
      <c r="I24" s="79"/>
      <c r="J24" s="77"/>
    </row>
    <row r="25" spans="1:10" x14ac:dyDescent="0.25">
      <c r="A25" s="70" t="s">
        <v>531</v>
      </c>
      <c r="B25" s="71">
        <f>资产资本表!E17</f>
        <v>1733731034.9100001</v>
      </c>
      <c r="C25" s="77"/>
      <c r="D25" s="77"/>
      <c r="E25" s="77"/>
      <c r="F25" s="77"/>
      <c r="G25" s="77"/>
      <c r="H25" s="77"/>
      <c r="I25" s="79"/>
      <c r="J25" s="77"/>
    </row>
    <row r="26" spans="1:10" x14ac:dyDescent="0.25">
      <c r="A26" s="70" t="s">
        <v>532</v>
      </c>
      <c r="B26" s="71">
        <f>资产资本表!E19</f>
        <v>2089964469.5799999</v>
      </c>
      <c r="C26" s="77"/>
      <c r="D26" s="77"/>
      <c r="E26" s="77"/>
      <c r="F26" s="77"/>
      <c r="G26" s="77"/>
      <c r="H26" s="77"/>
      <c r="I26" s="79"/>
      <c r="J26" s="77"/>
    </row>
    <row r="27" spans="1:10" x14ac:dyDescent="0.25">
      <c r="A27" s="70" t="s">
        <v>533</v>
      </c>
      <c r="B27" s="71">
        <f>资产资本表!E89</f>
        <v>7862345269.1099997</v>
      </c>
      <c r="C27" s="77"/>
      <c r="D27" s="77"/>
      <c r="E27" s="77"/>
      <c r="F27" s="77"/>
      <c r="G27" s="77"/>
      <c r="H27" s="77"/>
      <c r="I27" s="79"/>
      <c r="J27" s="77"/>
    </row>
    <row r="28" spans="1:10" s="2" customFormat="1" x14ac:dyDescent="0.25">
      <c r="A28" s="82" t="s">
        <v>534</v>
      </c>
      <c r="B28" s="83">
        <f>B24+B25+B26-B27</f>
        <v>-314439958240.64404</v>
      </c>
      <c r="C28" s="80"/>
      <c r="D28" s="80"/>
      <c r="E28" s="80"/>
      <c r="F28" s="80"/>
      <c r="G28" s="80"/>
      <c r="H28" s="80"/>
      <c r="I28" s="81"/>
      <c r="J28" s="80"/>
    </row>
    <row r="29" spans="1:10" x14ac:dyDescent="0.25">
      <c r="A29" s="70" t="s">
        <v>535</v>
      </c>
      <c r="B29" s="78">
        <f>资产资本表!E103/资产资本表!E107</f>
        <v>1.9947464343710166</v>
      </c>
      <c r="C29" s="302" t="s">
        <v>542</v>
      </c>
      <c r="D29" s="302"/>
      <c r="E29" s="302"/>
      <c r="F29" s="77"/>
      <c r="G29" s="77"/>
      <c r="H29" s="77"/>
      <c r="I29" s="79"/>
      <c r="J29" s="77"/>
    </row>
    <row r="30" spans="1:10" s="2" customFormat="1" x14ac:dyDescent="0.25">
      <c r="A30" s="82" t="s">
        <v>536</v>
      </c>
      <c r="B30" s="83">
        <f>B28*(1-B29)</f>
        <v>312788027283.65204</v>
      </c>
      <c r="C30" s="91">
        <v>0.4</v>
      </c>
      <c r="D30" s="91">
        <v>0.3</v>
      </c>
      <c r="E30" s="91">
        <v>0.2</v>
      </c>
      <c r="F30" s="80"/>
      <c r="G30" s="80"/>
      <c r="H30" s="80"/>
      <c r="I30" s="81"/>
      <c r="J30" s="80"/>
    </row>
    <row r="31" spans="1:10" x14ac:dyDescent="0.25">
      <c r="A31" s="70" t="s">
        <v>746</v>
      </c>
      <c r="B31" s="101">
        <f>B55</f>
        <v>3989440192</v>
      </c>
      <c r="C31" s="214">
        <f>$B$32*(1-C30)</f>
        <v>47.042393754023529</v>
      </c>
      <c r="D31" s="214">
        <f>$B$32*(1-D30)</f>
        <v>54.882792713027449</v>
      </c>
      <c r="E31" s="214">
        <f>$B$32*(1-E30)</f>
        <v>62.723191672031376</v>
      </c>
      <c r="F31" s="77"/>
      <c r="G31" s="77"/>
      <c r="H31" s="77"/>
      <c r="I31" s="79"/>
      <c r="J31" s="77"/>
    </row>
    <row r="32" spans="1:10" s="2" customFormat="1" ht="15" thickBot="1" x14ac:dyDescent="0.3">
      <c r="A32" s="84" t="s">
        <v>537</v>
      </c>
      <c r="B32" s="85">
        <f>B30/B31</f>
        <v>78.403989590039217</v>
      </c>
      <c r="C32" s="86"/>
      <c r="D32" s="86"/>
      <c r="E32" s="86"/>
      <c r="F32" s="86"/>
      <c r="G32" s="86"/>
      <c r="H32" s="86"/>
      <c r="I32" s="87"/>
      <c r="J32" s="80"/>
    </row>
    <row r="33" spans="1:19" ht="63" customHeight="1" x14ac:dyDescent="0.25">
      <c r="A33" s="303" t="s">
        <v>738</v>
      </c>
      <c r="B33" s="304"/>
      <c r="C33" s="304"/>
      <c r="D33" s="304"/>
      <c r="E33" s="304"/>
      <c r="F33" s="304"/>
      <c r="G33" s="304"/>
      <c r="H33" s="304"/>
      <c r="I33" s="304"/>
    </row>
    <row r="37" spans="1:19" s="63" customFormat="1" x14ac:dyDescent="0.25">
      <c r="A37" s="203"/>
      <c r="B37" s="203"/>
      <c r="C37" s="213" t="s">
        <v>540</v>
      </c>
      <c r="D37" s="213">
        <v>0.15</v>
      </c>
      <c r="E37" s="213"/>
      <c r="F37" s="213"/>
      <c r="G37" s="213"/>
      <c r="H37" s="213" t="s">
        <v>635</v>
      </c>
      <c r="I37" s="213">
        <v>0.09</v>
      </c>
      <c r="J37" s="213"/>
      <c r="K37" s="213"/>
      <c r="L37" s="213"/>
      <c r="M37" s="213"/>
      <c r="N37" s="213"/>
      <c r="O37" s="213"/>
      <c r="P37" s="213"/>
      <c r="Q37" s="213"/>
      <c r="R37" s="213" t="s">
        <v>545</v>
      </c>
      <c r="S37" s="213">
        <v>0.02</v>
      </c>
    </row>
    <row r="38" spans="1:19" s="24" customFormat="1" x14ac:dyDescent="0.25">
      <c r="A38" s="311" t="s">
        <v>543</v>
      </c>
      <c r="B38" s="312"/>
      <c r="C38" s="215" t="s">
        <v>539</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526</v>
      </c>
      <c r="B39" s="94"/>
      <c r="C39" s="89">
        <f>B2</f>
        <v>-7232393283.4633331</v>
      </c>
      <c r="D39" s="89">
        <f>$C$39*(1+$D$37)^D38</f>
        <v>-8317252275.9828329</v>
      </c>
      <c r="E39" s="89">
        <f>$C$39*(1+$D$37)^E38</f>
        <v>-9564840117.3802567</v>
      </c>
      <c r="F39" s="89">
        <f>$C$39*(1+$D$37)^F38</f>
        <v>-10999566134.987293</v>
      </c>
      <c r="G39" s="89">
        <f>$C$39*(1+$D$37)^G38</f>
        <v>-12649501055.235388</v>
      </c>
      <c r="H39" s="89">
        <f>$C$39*(1+$D$37)^H38</f>
        <v>-14546926213.520695</v>
      </c>
      <c r="I39" s="89">
        <f>H39*(1+$I$37)</f>
        <v>-15856149572.737558</v>
      </c>
      <c r="J39" s="89">
        <f t="shared" ref="J39:N39" si="1">I39*(1+$I$37)</f>
        <v>-17283203034.283939</v>
      </c>
      <c r="K39" s="89">
        <f t="shared" si="1"/>
        <v>-18838691307.369495</v>
      </c>
      <c r="L39" s="89">
        <f t="shared" si="1"/>
        <v>-20534173525.032753</v>
      </c>
      <c r="M39" s="89">
        <f t="shared" si="1"/>
        <v>-22382249142.285702</v>
      </c>
      <c r="N39" s="89">
        <f t="shared" si="1"/>
        <v>-24396651565.091415</v>
      </c>
      <c r="O39" s="89">
        <f t="shared" ref="O39" si="2">N39*(1+$I$37)</f>
        <v>-26592350205.949646</v>
      </c>
      <c r="P39" s="89">
        <f t="shared" ref="P39" si="3">O39*(1+$I$37)</f>
        <v>-28985661724.485115</v>
      </c>
      <c r="Q39" s="89">
        <f t="shared" ref="Q39" si="4">P39*(1+$I$37)</f>
        <v>-31594371279.688778</v>
      </c>
      <c r="R39" s="89">
        <f t="shared" ref="R39" si="5">Q39*(1+$I$37)</f>
        <v>-34437864694.860771</v>
      </c>
      <c r="S39" s="89">
        <f>R39*(1+S37)</f>
        <v>-35126621988.757988</v>
      </c>
    </row>
    <row r="40" spans="1:19" s="23" customFormat="1" x14ac:dyDescent="0.25">
      <c r="A40" s="209" t="s">
        <v>527</v>
      </c>
      <c r="B40" s="208">
        <f>B4</f>
        <v>6.9810647408657472E-2</v>
      </c>
      <c r="C40" s="214"/>
      <c r="D40" s="214">
        <f>(1+$B$40)^D38</f>
        <v>1.0698106474086575</v>
      </c>
      <c r="E40" s="214">
        <f t="shared" ref="E40:R40" si="6">(1+$B$40)^E38</f>
        <v>1.144494821308931</v>
      </c>
      <c r="F40" s="214">
        <f t="shared" si="6"/>
        <v>1.2243927457403632</v>
      </c>
      <c r="G40" s="214">
        <f t="shared" si="6"/>
        <v>1.3098683960029618</v>
      </c>
      <c r="H40" s="214">
        <f t="shared" si="6"/>
        <v>1.4013111567480683</v>
      </c>
      <c r="I40" s="214">
        <f t="shared" si="6"/>
        <v>1.4991375958216258</v>
      </c>
      <c r="J40" s="214">
        <f t="shared" si="6"/>
        <v>1.6037933619405917</v>
      </c>
      <c r="K40" s="214">
        <f t="shared" si="6"/>
        <v>1.7157552148473718</v>
      </c>
      <c r="L40" s="214">
        <f t="shared" si="6"/>
        <v>1.835533197190647</v>
      </c>
      <c r="M40" s="214">
        <f t="shared" si="6"/>
        <v>1.9636729580266092</v>
      </c>
      <c r="N40" s="214">
        <f t="shared" si="6"/>
        <v>2.1007582385253203</v>
      </c>
      <c r="O40" s="214">
        <f t="shared" si="6"/>
        <v>2.2474135312058441</v>
      </c>
      <c r="P40" s="214">
        <f t="shared" si="6"/>
        <v>2.4043069248143012</v>
      </c>
      <c r="Q40" s="214">
        <f t="shared" si="6"/>
        <v>2.5721531478047059</v>
      </c>
      <c r="R40" s="214">
        <f t="shared" si="6"/>
        <v>2.7517168242871688</v>
      </c>
      <c r="S40" s="182">
        <f>(1+$B$40)^S38</f>
        <v>2.9438159572759508</v>
      </c>
    </row>
    <row r="41" spans="1:19" s="192" customFormat="1" x14ac:dyDescent="0.25">
      <c r="A41" s="313" t="s">
        <v>528</v>
      </c>
      <c r="B41" s="314"/>
      <c r="C41" s="89"/>
      <c r="D41" s="89">
        <f t="shared" ref="D41:R41" si="7">D39/D40</f>
        <v>-7774508784.4556866</v>
      </c>
      <c r="E41" s="89">
        <f t="shared" si="7"/>
        <v>-8357259412.0095549</v>
      </c>
      <c r="F41" s="89">
        <f t="shared" si="7"/>
        <v>-8983691036.4379025</v>
      </c>
      <c r="G41" s="89">
        <f t="shared" si="7"/>
        <v>-9657077836.0903263</v>
      </c>
      <c r="H41" s="89">
        <f t="shared" si="7"/>
        <v>-10380939410.543766</v>
      </c>
      <c r="I41" s="89">
        <f t="shared" si="7"/>
        <v>-10576847393.415777</v>
      </c>
      <c r="J41" s="89">
        <f t="shared" si="7"/>
        <v>-10776452530.874205</v>
      </c>
      <c r="K41" s="89">
        <f t="shared" si="7"/>
        <v>-10979824595.226614</v>
      </c>
      <c r="L41" s="89">
        <f t="shared" si="7"/>
        <v>-11187034675.516129</v>
      </c>
      <c r="M41" s="89">
        <f t="shared" si="7"/>
        <v>-11398155202.370722</v>
      </c>
      <c r="N41" s="89">
        <f t="shared" si="7"/>
        <v>-11613259973.321468</v>
      </c>
      <c r="O41" s="89">
        <f t="shared" si="7"/>
        <v>-11832424178.598581</v>
      </c>
      <c r="P41" s="89">
        <f t="shared" si="7"/>
        <v>-12055724427.414295</v>
      </c>
      <c r="Q41" s="89">
        <f t="shared" si="7"/>
        <v>-12283238774.741737</v>
      </c>
      <c r="R41" s="89">
        <f t="shared" si="7"/>
        <v>-12515046748.599173</v>
      </c>
      <c r="S41" s="89">
        <f>S39/((B40-S37)*S40)</f>
        <v>-239554065411.61795</v>
      </c>
    </row>
    <row r="42" spans="1:19" s="23" customFormat="1" x14ac:dyDescent="0.25">
      <c r="A42" s="315" t="s">
        <v>546</v>
      </c>
      <c r="B42" s="316"/>
      <c r="C42" s="214"/>
      <c r="D42" s="308">
        <f>SUM(D41:H41)</f>
        <v>-45153476479.537231</v>
      </c>
      <c r="E42" s="309"/>
      <c r="F42" s="309"/>
      <c r="G42" s="309"/>
      <c r="H42" s="310"/>
      <c r="I42" s="308">
        <f>SUM(I41:R41)</f>
        <v>-115218008500.07869</v>
      </c>
      <c r="J42" s="309"/>
      <c r="K42" s="309"/>
      <c r="L42" s="309"/>
      <c r="M42" s="309"/>
      <c r="N42" s="309"/>
      <c r="O42" s="309"/>
      <c r="P42" s="309"/>
      <c r="Q42" s="309"/>
      <c r="R42" s="310"/>
      <c r="S42" s="214">
        <f>S41</f>
        <v>-239554065411.61795</v>
      </c>
    </row>
    <row r="43" spans="1:19" x14ac:dyDescent="0.25">
      <c r="A43" s="205" t="s">
        <v>544</v>
      </c>
      <c r="B43" s="196">
        <f>D42+I42+S42</f>
        <v>-399925550391.23389</v>
      </c>
      <c r="C43" s="197"/>
      <c r="D43" s="197"/>
      <c r="E43" s="197"/>
      <c r="F43" s="197"/>
      <c r="G43" s="197"/>
      <c r="H43" s="197"/>
      <c r="I43" s="197"/>
      <c r="J43" s="197"/>
      <c r="K43" s="197"/>
      <c r="L43" s="197"/>
      <c r="M43" s="197"/>
      <c r="N43" s="197"/>
      <c r="O43" s="197"/>
      <c r="P43" s="197"/>
      <c r="Q43" s="197"/>
      <c r="R43" s="197"/>
      <c r="S43" s="199"/>
    </row>
    <row r="44" spans="1:19" x14ac:dyDescent="0.25">
      <c r="A44" s="205" t="s">
        <v>530</v>
      </c>
      <c r="B44" s="196">
        <f>B43</f>
        <v>-399925550391.23389</v>
      </c>
      <c r="C44" s="197"/>
      <c r="D44" s="197"/>
      <c r="E44" s="197"/>
      <c r="F44" s="197"/>
      <c r="G44" s="197"/>
      <c r="H44" s="197"/>
      <c r="I44" s="197"/>
      <c r="J44" s="197"/>
      <c r="K44" s="197"/>
      <c r="L44" s="197"/>
      <c r="M44" s="197"/>
      <c r="N44" s="197"/>
      <c r="O44" s="197"/>
      <c r="P44" s="197"/>
      <c r="Q44" s="197"/>
      <c r="R44" s="197"/>
      <c r="S44" s="199"/>
    </row>
    <row r="45" spans="1:19" x14ac:dyDescent="0.25">
      <c r="A45" s="195" t="s">
        <v>531</v>
      </c>
      <c r="B45" s="196">
        <f>资产资本表!E17</f>
        <v>1733731034.9100001</v>
      </c>
      <c r="C45" s="197"/>
      <c r="D45" s="197"/>
      <c r="E45" s="197"/>
      <c r="F45" s="197"/>
      <c r="G45" s="197"/>
      <c r="H45" s="197"/>
      <c r="I45" s="197"/>
      <c r="J45" s="197"/>
      <c r="K45" s="197"/>
      <c r="L45" s="197"/>
      <c r="M45" s="197"/>
      <c r="N45" s="197"/>
      <c r="O45" s="197"/>
      <c r="P45" s="197"/>
      <c r="Q45" s="197"/>
      <c r="R45" s="197"/>
      <c r="S45" s="199"/>
    </row>
    <row r="46" spans="1:19" x14ac:dyDescent="0.25">
      <c r="A46" s="195" t="s">
        <v>532</v>
      </c>
      <c r="B46" s="196">
        <f>资产资本表!E19</f>
        <v>2089964469.5799999</v>
      </c>
      <c r="C46" s="197"/>
      <c r="D46" s="197"/>
      <c r="E46" s="197"/>
      <c r="F46" s="197"/>
      <c r="G46" s="197"/>
      <c r="H46" s="197"/>
      <c r="I46" s="197"/>
      <c r="J46" s="197"/>
      <c r="K46" s="197"/>
      <c r="L46" s="197"/>
      <c r="M46" s="197"/>
      <c r="N46" s="197"/>
      <c r="O46" s="197"/>
      <c r="P46" s="197"/>
      <c r="Q46" s="197"/>
      <c r="R46" s="197"/>
      <c r="S46" s="199"/>
    </row>
    <row r="47" spans="1:19" x14ac:dyDescent="0.25">
      <c r="A47" s="195" t="s">
        <v>533</v>
      </c>
      <c r="B47" s="196">
        <f>资产资本表!E89</f>
        <v>7862345269.1099997</v>
      </c>
      <c r="C47" s="197"/>
      <c r="D47" s="197"/>
      <c r="E47" s="197"/>
      <c r="F47" s="197"/>
      <c r="G47" s="197"/>
      <c r="H47" s="197"/>
      <c r="I47" s="197"/>
      <c r="J47" s="197"/>
      <c r="K47" s="197"/>
      <c r="L47" s="197"/>
      <c r="M47" s="197"/>
      <c r="N47" s="197"/>
      <c r="O47" s="197"/>
      <c r="P47" s="197"/>
      <c r="Q47" s="197"/>
      <c r="R47" s="197"/>
      <c r="S47" s="199"/>
    </row>
    <row r="48" spans="1:19" x14ac:dyDescent="0.25">
      <c r="A48" s="200" t="s">
        <v>534</v>
      </c>
      <c r="B48" s="196">
        <f>B44+B45+B46-B47</f>
        <v>-403964200155.85388</v>
      </c>
      <c r="C48" s="197"/>
      <c r="D48" s="197"/>
      <c r="E48" s="197"/>
      <c r="F48" s="197"/>
      <c r="G48" s="197"/>
      <c r="H48" s="197"/>
      <c r="I48" s="197"/>
      <c r="J48" s="197"/>
      <c r="K48" s="197"/>
      <c r="L48" s="197"/>
      <c r="M48" s="197"/>
      <c r="N48" s="197"/>
      <c r="O48" s="197"/>
      <c r="P48" s="197"/>
      <c r="Q48" s="197"/>
      <c r="R48" s="197"/>
      <c r="S48" s="199"/>
    </row>
    <row r="49" spans="1:74" x14ac:dyDescent="0.25">
      <c r="A49" s="195" t="s">
        <v>535</v>
      </c>
      <c r="B49" s="198">
        <f>资产资本表!E103/资产资本表!E107</f>
        <v>1.9947464343710166</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536</v>
      </c>
      <c r="B50" s="196">
        <f>B48*(1-B49)</f>
        <v>401841947718.57532</v>
      </c>
      <c r="C50" s="305" t="s">
        <v>542</v>
      </c>
      <c r="D50" s="306"/>
      <c r="E50" s="307"/>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538</v>
      </c>
      <c r="B51" s="210">
        <f>B55</f>
        <v>3989440192</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537</v>
      </c>
      <c r="B52" s="206">
        <f>B50/B51</f>
        <v>100.72639979022283</v>
      </c>
      <c r="C52" s="207">
        <f>$B$52*(1-C51)</f>
        <v>60.435839874133691</v>
      </c>
      <c r="D52" s="207">
        <f>$B$52*(1-D51)</f>
        <v>70.508479853155976</v>
      </c>
      <c r="E52" s="207">
        <f>$B$52*(1-E51)</f>
        <v>80.581119832178274</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300104</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549</v>
      </c>
      <c r="B55" s="100">
        <v>3989440192</v>
      </c>
      <c r="C55" s="274"/>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5" t="s">
        <v>739</v>
      </c>
      <c r="B57" s="296"/>
      <c r="C57" s="296"/>
      <c r="D57" s="296"/>
      <c r="E57" s="296"/>
      <c r="F57" s="296"/>
      <c r="G57" s="296"/>
      <c r="H57" s="296"/>
      <c r="I57" s="296"/>
    </row>
    <row r="60" spans="1:74" s="155" customFormat="1" ht="51" customHeight="1" x14ac:dyDescent="0.25">
      <c r="A60" s="293" t="s">
        <v>607</v>
      </c>
      <c r="B60" s="294"/>
      <c r="C60" s="294"/>
      <c r="D60" s="294"/>
      <c r="E60" s="294"/>
      <c r="F60" s="294"/>
      <c r="G60" s="294"/>
      <c r="H60" s="294"/>
      <c r="I60" s="294"/>
    </row>
    <row r="63" spans="1:74" s="4" customFormat="1" x14ac:dyDescent="0.25">
      <c r="A63" s="177" t="s">
        <v>609</v>
      </c>
      <c r="B63" s="176"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8">
        <f>股权价值增加表!M1</f>
        <v>42369</v>
      </c>
      <c r="B64" s="166">
        <v>42366</v>
      </c>
      <c r="C64" s="165">
        <v>17.39</v>
      </c>
      <c r="D64" s="165">
        <v>3.4</v>
      </c>
      <c r="E64" s="167">
        <f>股权价值增加表!M42/100000000</f>
        <v>2.1802062028000049</v>
      </c>
      <c r="F64" s="167">
        <v>0</v>
      </c>
      <c r="G64" s="165">
        <v>16.47</v>
      </c>
      <c r="H64" s="167">
        <f>G64*D64</f>
        <v>55.997999999999998</v>
      </c>
      <c r="I64" s="167">
        <f>C64*D64</f>
        <v>59.125999999999998</v>
      </c>
      <c r="J64" s="167">
        <f>H64/E64</f>
        <v>25.684726485083218</v>
      </c>
      <c r="K64" s="167">
        <f>I64/E64</f>
        <v>27.119453161845609</v>
      </c>
      <c r="L64" s="262">
        <v>0</v>
      </c>
    </row>
    <row r="65" spans="1:12" s="26" customFormat="1" x14ac:dyDescent="0.25">
      <c r="A65" s="178">
        <f>股权价值增加表!I1</f>
        <v>42735</v>
      </c>
      <c r="B65" s="166">
        <v>42543</v>
      </c>
      <c r="C65" s="165">
        <v>23.13</v>
      </c>
      <c r="D65" s="165">
        <v>3.64</v>
      </c>
      <c r="E65" s="167">
        <f>股权价值增加表!I42/100000000</f>
        <v>-3.2293826935999883</v>
      </c>
      <c r="F65" s="167">
        <f>(E65-E64)/E64*100</f>
        <v>-248.12281010174831</v>
      </c>
      <c r="G65" s="165">
        <v>23.11</v>
      </c>
      <c r="H65" s="167">
        <f t="shared" ref="H65:H66" si="8">G65*D65</f>
        <v>84.120400000000004</v>
      </c>
      <c r="I65" s="167">
        <f t="shared" ref="I65:I66" si="9">C65*D65</f>
        <v>84.193200000000004</v>
      </c>
      <c r="J65" s="167">
        <f t="shared" ref="J65:J66" si="10">H65/E65</f>
        <v>-26.048445780895019</v>
      </c>
      <c r="K65" s="167">
        <f t="shared" ref="K65:K66" si="11">I65/E65</f>
        <v>-26.070988788926947</v>
      </c>
      <c r="L65" s="262">
        <f>K65/F65</f>
        <v>0.1050729224702717</v>
      </c>
    </row>
    <row r="66" spans="1:12" s="26" customFormat="1" x14ac:dyDescent="0.25">
      <c r="A66" s="178">
        <f>股权价值增加表!E1</f>
        <v>43100</v>
      </c>
      <c r="B66" s="166">
        <v>42872</v>
      </c>
      <c r="C66" s="165">
        <v>16.399999999999999</v>
      </c>
      <c r="D66" s="165">
        <v>9.09</v>
      </c>
      <c r="E66" s="167">
        <f>股权价值增加表!E42/100000000</f>
        <v>-183.93732932939997</v>
      </c>
      <c r="F66" s="167">
        <f t="shared" ref="F66" si="12">(E66-E65)/E65*100</f>
        <v>5595.7427094016502</v>
      </c>
      <c r="G66" s="165">
        <v>15.76</v>
      </c>
      <c r="H66" s="167">
        <f t="shared" si="8"/>
        <v>143.25839999999999</v>
      </c>
      <c r="I66" s="167">
        <f t="shared" si="9"/>
        <v>149.07599999999999</v>
      </c>
      <c r="J66" s="167">
        <f t="shared" si="10"/>
        <v>-0.77884353612337687</v>
      </c>
      <c r="K66" s="167">
        <f t="shared" si="11"/>
        <v>-0.81047170002686419</v>
      </c>
      <c r="L66" s="262">
        <f t="shared" ref="L66" si="13">K66/F66</f>
        <v>-1.448371989414659E-4</v>
      </c>
    </row>
    <row r="67" spans="1:12" s="26" customFormat="1" x14ac:dyDescent="0.25">
      <c r="A67" s="161"/>
      <c r="B67" s="162"/>
      <c r="C67" s="83"/>
      <c r="D67" s="83"/>
      <c r="E67" s="83"/>
      <c r="F67" s="164"/>
      <c r="G67" s="83"/>
      <c r="H67" s="164"/>
      <c r="I67" s="164"/>
      <c r="J67" s="164"/>
      <c r="K67" s="164"/>
      <c r="L67" s="263"/>
    </row>
    <row r="68" spans="1:12" s="156" customFormat="1" ht="15" thickBot="1" x14ac:dyDescent="0.3">
      <c r="A68" s="163" t="s">
        <v>621</v>
      </c>
      <c r="B68" s="44" t="s">
        <v>610</v>
      </c>
      <c r="C68" s="44" t="s">
        <v>611</v>
      </c>
      <c r="D68" s="44" t="s">
        <v>612</v>
      </c>
      <c r="E68" s="44" t="s">
        <v>620</v>
      </c>
      <c r="F68" s="44" t="s">
        <v>613</v>
      </c>
      <c r="G68" s="44" t="s">
        <v>614</v>
      </c>
      <c r="H68" s="44" t="s">
        <v>615</v>
      </c>
      <c r="I68" s="44" t="s">
        <v>616</v>
      </c>
      <c r="J68" s="44" t="s">
        <v>617</v>
      </c>
      <c r="K68" s="44" t="s">
        <v>618</v>
      </c>
      <c r="L68" s="264" t="s">
        <v>619</v>
      </c>
    </row>
    <row r="69" spans="1:12" s="26" customFormat="1" ht="15" thickBot="1" x14ac:dyDescent="0.3">
      <c r="A69" s="168" t="s">
        <v>626</v>
      </c>
      <c r="B69" s="169">
        <v>43305</v>
      </c>
      <c r="C69" s="170">
        <v>11.65</v>
      </c>
      <c r="D69" s="170">
        <v>9.09</v>
      </c>
      <c r="E69" s="170">
        <v>4.33</v>
      </c>
      <c r="F69" s="171">
        <f>(E69-E66)/E66*100</f>
        <v>-102.35406266677154</v>
      </c>
      <c r="G69" s="170">
        <v>10.119999999999999</v>
      </c>
      <c r="H69" s="171">
        <f>G69*D69</f>
        <v>91.990799999999993</v>
      </c>
      <c r="I69" s="171">
        <f>C69*D69</f>
        <v>105.8985</v>
      </c>
      <c r="J69" s="171">
        <f>H69/E69</f>
        <v>21.244988452655885</v>
      </c>
      <c r="K69" s="171">
        <f>I69/E69</f>
        <v>24.456928406466513</v>
      </c>
      <c r="L69" s="265">
        <f>K69/F69</f>
        <v>-0.23894438353746233</v>
      </c>
    </row>
    <row r="70" spans="1:12" s="26" customFormat="1" ht="15" thickBot="1" x14ac:dyDescent="0.3">
      <c r="A70" s="172" t="s">
        <v>625</v>
      </c>
      <c r="B70" s="173">
        <v>43305</v>
      </c>
      <c r="C70" s="174">
        <v>11.65</v>
      </c>
      <c r="D70" s="174">
        <v>9.09</v>
      </c>
      <c r="E70" s="174">
        <v>3.86</v>
      </c>
      <c r="F70" s="175">
        <f>(E70-E66)/E66*100</f>
        <v>-102.0985408530573</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-0.26870946764136805</v>
      </c>
    </row>
    <row r="71" spans="1:12" s="88" customFormat="1" ht="138" customHeight="1" x14ac:dyDescent="0.25">
      <c r="A71" s="291" t="s">
        <v>628</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2019-02-14T01:30:29Z</dcterms:modified>
</cp:coreProperties>
</file>