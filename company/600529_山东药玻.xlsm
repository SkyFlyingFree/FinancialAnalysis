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Z31" i="12" l="1"/>
  <c r="AA31" i="12"/>
  <c r="AB31" i="12"/>
  <c r="AC31" i="12"/>
  <c r="AD31" i="12"/>
  <c r="AE31" i="12"/>
  <c r="AF31" i="12"/>
  <c r="AG31" i="12"/>
  <c r="AH31" i="12"/>
  <c r="AI31" i="12"/>
  <c r="AJ31" i="12"/>
  <c r="AK31" i="12"/>
  <c r="AL31" i="12"/>
  <c r="AM31" i="12"/>
  <c r="AN31" i="12"/>
  <c r="AO31" i="12"/>
  <c r="AP31" i="12"/>
  <c r="AQ31" i="12"/>
  <c r="AR31" i="12"/>
  <c r="AS31" i="12"/>
  <c r="AT31" i="12"/>
  <c r="AU31" i="12"/>
  <c r="AV31" i="12"/>
  <c r="AW31" i="12"/>
  <c r="AX31" i="12"/>
  <c r="AY31" i="12"/>
  <c r="AZ31" i="12"/>
  <c r="BA31" i="12"/>
  <c r="BB31" i="12"/>
  <c r="BC31" i="12"/>
  <c r="BD31" i="12"/>
  <c r="BE31" i="12"/>
  <c r="BF31" i="12"/>
  <c r="BG31" i="12"/>
  <c r="BH31" i="12"/>
  <c r="BI31" i="12"/>
  <c r="BJ31" i="12"/>
  <c r="BK31" i="12"/>
  <c r="BL31" i="12"/>
  <c r="BM31" i="12"/>
  <c r="BN31" i="12"/>
  <c r="BO31" i="12"/>
  <c r="BP31" i="12"/>
  <c r="BQ31" i="12"/>
  <c r="BR31" i="12"/>
  <c r="BS31" i="12"/>
  <c r="BT31" i="12"/>
  <c r="BU31" i="12"/>
  <c r="BV31" i="12"/>
  <c r="BW31" i="12"/>
  <c r="BX31" i="12"/>
  <c r="BY31" i="12"/>
  <c r="BZ31" i="12"/>
  <c r="CA31" i="12"/>
  <c r="CB31" i="12"/>
  <c r="CC31" i="12"/>
  <c r="CD31" i="12"/>
  <c r="CE31" i="12"/>
  <c r="CF31" i="12"/>
  <c r="CG31" i="12"/>
  <c r="CH31" i="12"/>
  <c r="CI31" i="12"/>
  <c r="CJ31" i="12"/>
  <c r="CK31" i="12"/>
  <c r="CL27" i="12" l="1"/>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E100" i="11" l="1"/>
  <c r="BE101" i="11" s="1"/>
  <c r="AW100" i="11"/>
  <c r="AW101" i="11" s="1"/>
  <c r="AO100" i="11"/>
  <c r="AO101" i="11" s="1"/>
  <c r="AG100" i="11"/>
  <c r="AG101" i="11" s="1"/>
  <c r="Y100" i="11"/>
  <c r="Y101" i="11" s="1"/>
  <c r="Q100" i="11"/>
  <c r="Q101" i="11" s="1"/>
  <c r="I100" i="11"/>
  <c r="I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F29" i="12" s="1"/>
  <c r="CE14" i="12"/>
  <c r="CD14" i="12"/>
  <c r="CC14" i="12"/>
  <c r="CB14" i="12"/>
  <c r="CA14" i="12"/>
  <c r="BZ14" i="12"/>
  <c r="BY14" i="12"/>
  <c r="BX14" i="12"/>
  <c r="BX29" i="12" s="1"/>
  <c r="BW14" i="12"/>
  <c r="BV14" i="12"/>
  <c r="BU14" i="12"/>
  <c r="BT14" i="12"/>
  <c r="BS14" i="12"/>
  <c r="BR14" i="12"/>
  <c r="BQ14" i="12"/>
  <c r="BP14" i="12"/>
  <c r="BP29" i="12" s="1"/>
  <c r="BO14" i="12"/>
  <c r="BN14" i="12"/>
  <c r="BM14" i="12"/>
  <c r="BL14" i="12"/>
  <c r="BK14" i="12"/>
  <c r="BJ14" i="12"/>
  <c r="BI14" i="12"/>
  <c r="BH14" i="12"/>
  <c r="BH29" i="12" s="1"/>
  <c r="BG14" i="12"/>
  <c r="BF14" i="12"/>
  <c r="BE14" i="12"/>
  <c r="BD14" i="12"/>
  <c r="BC14" i="12"/>
  <c r="BB14" i="12"/>
  <c r="BA14" i="12"/>
  <c r="AZ14" i="12"/>
  <c r="AZ29" i="12" s="1"/>
  <c r="AY14" i="12"/>
  <c r="AX14" i="12"/>
  <c r="AW14" i="12"/>
  <c r="AV14" i="12"/>
  <c r="AU14" i="12"/>
  <c r="AT14" i="12"/>
  <c r="AS14" i="12"/>
  <c r="AR14" i="12"/>
  <c r="AR29" i="12" s="1"/>
  <c r="AQ14" i="12"/>
  <c r="AP14" i="12"/>
  <c r="AO14" i="12"/>
  <c r="AN14" i="12"/>
  <c r="AM14" i="12"/>
  <c r="AL14" i="12"/>
  <c r="AK14" i="12"/>
  <c r="AJ14" i="12"/>
  <c r="AJ29" i="12" s="1"/>
  <c r="AI14" i="12"/>
  <c r="AH14" i="12"/>
  <c r="AG14" i="12"/>
  <c r="AF14" i="12"/>
  <c r="AE14" i="12"/>
  <c r="AD14" i="12"/>
  <c r="AC14" i="12"/>
  <c r="AB14" i="12"/>
  <c r="AB29" i="12" s="1"/>
  <c r="AA14" i="12"/>
  <c r="Z14" i="12"/>
  <c r="Y14" i="12"/>
  <c r="X14" i="12"/>
  <c r="W14" i="12"/>
  <c r="V14" i="12"/>
  <c r="U14" i="12"/>
  <c r="T14" i="12"/>
  <c r="T29" i="12" s="1"/>
  <c r="T31" i="12" s="1"/>
  <c r="S14" i="12"/>
  <c r="R14" i="12"/>
  <c r="Q14" i="12"/>
  <c r="P14" i="12"/>
  <c r="O14" i="12"/>
  <c r="N14" i="12"/>
  <c r="M14" i="12"/>
  <c r="L14" i="12"/>
  <c r="L29" i="12" s="1"/>
  <c r="L31" i="12" s="1"/>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T24" i="6" s="1"/>
  <c r="BS67" i="6"/>
  <c r="BS24" i="6" s="1"/>
  <c r="BR67" i="6"/>
  <c r="BR24" i="6" s="1"/>
  <c r="BQ67" i="6"/>
  <c r="BQ24" i="6" s="1"/>
  <c r="BP67" i="6"/>
  <c r="BP24" i="6" s="1"/>
  <c r="BO67" i="6"/>
  <c r="BO24" i="6" s="1"/>
  <c r="BN67" i="6"/>
  <c r="BN24" i="6" s="1"/>
  <c r="BM67" i="6"/>
  <c r="BM24" i="6" s="1"/>
  <c r="BL67" i="6"/>
  <c r="BL24" i="6" s="1"/>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N24" i="6" s="1"/>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AX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J29" i="12" l="1"/>
  <c r="J31" i="12" s="1"/>
  <c r="R29" i="12"/>
  <c r="R31" i="12" s="1"/>
  <c r="Z29" i="12"/>
  <c r="AH29" i="12"/>
  <c r="AP29" i="12"/>
  <c r="AX29" i="12"/>
  <c r="BF29" i="12"/>
  <c r="BN29" i="12"/>
  <c r="BV29" i="12"/>
  <c r="CD29" i="12"/>
  <c r="CL29" i="12"/>
  <c r="K29" i="12"/>
  <c r="K31" i="12" s="1"/>
  <c r="S29" i="12"/>
  <c r="S31" i="12" s="1"/>
  <c r="AA29" i="12"/>
  <c r="AI29" i="12"/>
  <c r="AQ29" i="12"/>
  <c r="AY29" i="12"/>
  <c r="BG29" i="12"/>
  <c r="BO29" i="12"/>
  <c r="BW29" i="12"/>
  <c r="CE29" i="12"/>
  <c r="E29" i="12"/>
  <c r="M29" i="12"/>
  <c r="M31" i="12" s="1"/>
  <c r="U29" i="12"/>
  <c r="U31" i="12" s="1"/>
  <c r="AC29" i="12"/>
  <c r="AK29" i="12"/>
  <c r="AS29" i="12"/>
  <c r="BA29" i="12"/>
  <c r="BI29" i="12"/>
  <c r="BQ29" i="12"/>
  <c r="BY29" i="12"/>
  <c r="CG29" i="12"/>
  <c r="F29" i="12"/>
  <c r="F31" i="12" s="1"/>
  <c r="N29" i="12"/>
  <c r="N31" i="12" s="1"/>
  <c r="V29" i="12"/>
  <c r="V31" i="12" s="1"/>
  <c r="AD29" i="12"/>
  <c r="AL29" i="12"/>
  <c r="AT29" i="12"/>
  <c r="BB29" i="12"/>
  <c r="BJ29" i="12"/>
  <c r="BR29" i="12"/>
  <c r="BZ29" i="12"/>
  <c r="CH29" i="12"/>
  <c r="G29" i="12"/>
  <c r="G31" i="12" s="1"/>
  <c r="O29" i="12"/>
  <c r="O31" i="12" s="1"/>
  <c r="W29" i="12"/>
  <c r="W31" i="12" s="1"/>
  <c r="AE29" i="12"/>
  <c r="AM29" i="12"/>
  <c r="AU29" i="12"/>
  <c r="BC29" i="12"/>
  <c r="BK29" i="12"/>
  <c r="BS29" i="12"/>
  <c r="CA29" i="12"/>
  <c r="CI29" i="12"/>
  <c r="H29" i="12"/>
  <c r="H31" i="12" s="1"/>
  <c r="P29" i="12"/>
  <c r="P31" i="12" s="1"/>
  <c r="X29" i="12"/>
  <c r="X31" i="12" s="1"/>
  <c r="AF29" i="12"/>
  <c r="AN29" i="12"/>
  <c r="AV29" i="12"/>
  <c r="BD29" i="12"/>
  <c r="BL29" i="12"/>
  <c r="BT29" i="12"/>
  <c r="CB29" i="12"/>
  <c r="CJ29" i="12"/>
  <c r="I29" i="12"/>
  <c r="Q29" i="12"/>
  <c r="Q31" i="12" s="1"/>
  <c r="Y29" i="12"/>
  <c r="AG29" i="12"/>
  <c r="AO29" i="12"/>
  <c r="AW29" i="12"/>
  <c r="BE29" i="12"/>
  <c r="BM29" i="12"/>
  <c r="BU29" i="12"/>
  <c r="CC29" i="12"/>
  <c r="CK29" i="12"/>
  <c r="F3" i="10"/>
  <c r="N3" i="10"/>
  <c r="V3" i="10"/>
  <c r="AD3" i="10"/>
  <c r="AL3" i="10"/>
  <c r="AT3" i="10"/>
  <c r="BB3" i="10"/>
  <c r="BJ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N13" i="12" s="1"/>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Q13" i="12" s="1"/>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5" i="12"/>
  <c r="Y35" i="12"/>
  <c r="U35" i="12"/>
  <c r="K25" i="12"/>
  <c r="K26" i="12" s="1"/>
  <c r="K27" i="12" s="1"/>
  <c r="S25" i="12"/>
  <c r="S26" i="12" s="1"/>
  <c r="S27" i="12" s="1"/>
  <c r="E12" i="12"/>
  <c r="E13" i="12" s="1"/>
  <c r="M12" i="12"/>
  <c r="M13" i="12" s="1"/>
  <c r="U12" i="12"/>
  <c r="U13" i="12" s="1"/>
  <c r="AC12" i="12"/>
  <c r="AC13" i="12" s="1"/>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L13" i="12" s="1"/>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CF52" i="11"/>
  <c r="CF53" i="11" s="1"/>
  <c r="CF7" i="9"/>
  <c r="J10" i="9"/>
  <c r="J89" i="5"/>
  <c r="R10" i="9"/>
  <c r="R78" i="9" s="1"/>
  <c r="R79" i="9" s="1"/>
  <c r="R89" i="5"/>
  <c r="Z10" i="9"/>
  <c r="Z89" i="5"/>
  <c r="AH10" i="9"/>
  <c r="AH34" i="9" s="1"/>
  <c r="AH89" i="5"/>
  <c r="AP10" i="9"/>
  <c r="AL34" i="9" s="1"/>
  <c r="AP89" i="5"/>
  <c r="AX10" i="9"/>
  <c r="AT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53" i="11" s="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53" i="11" s="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53" i="11" s="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J5" i="12"/>
  <c r="R5" i="12"/>
  <c r="Z5" i="12"/>
  <c r="AH5" i="12"/>
  <c r="AP5" i="12"/>
  <c r="AX5" i="12"/>
  <c r="BF5" i="12"/>
  <c r="BN5" i="12"/>
  <c r="BV5" i="12"/>
  <c r="CD5" i="12"/>
  <c r="CC25" i="12"/>
  <c r="CK25" i="12"/>
  <c r="CK26"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BO13" i="12"/>
  <c r="AC26" i="12"/>
  <c r="AC27" i="12" s="1"/>
  <c r="CK18" i="12"/>
  <c r="CC26" i="12"/>
  <c r="CC27" i="12" s="1"/>
  <c r="R13" i="12"/>
  <c r="AP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2" i="13" l="1"/>
  <c r="E31" i="12"/>
  <c r="I31" i="12"/>
  <c r="Y31" i="12" s="1"/>
  <c r="Q28" i="12"/>
  <c r="R28" i="12"/>
  <c r="AB28" i="12"/>
  <c r="AM28" i="12"/>
  <c r="AW28" i="12"/>
  <c r="BE28" i="12"/>
  <c r="BM28" i="12"/>
  <c r="BU28" i="12"/>
  <c r="CC28" i="12"/>
  <c r="BS28" i="12"/>
  <c r="BD28" i="12"/>
  <c r="AS28" i="12"/>
  <c r="M28" i="12"/>
  <c r="S28" i="12"/>
  <c r="AD28" i="12"/>
  <c r="AN28" i="12"/>
  <c r="AX28" i="12"/>
  <c r="BF28" i="12"/>
  <c r="BN28" i="12"/>
  <c r="BV28" i="12"/>
  <c r="CD28" i="12"/>
  <c r="I28" i="12"/>
  <c r="AA28" i="12"/>
  <c r="AO28" i="12"/>
  <c r="J28" i="12"/>
  <c r="T28" i="12"/>
  <c r="AE28" i="12"/>
  <c r="AP28" i="12"/>
  <c r="AY28" i="12"/>
  <c r="BG28" i="12"/>
  <c r="BO28" i="12"/>
  <c r="BW28" i="12"/>
  <c r="CE28" i="12"/>
  <c r="AU28" i="12"/>
  <c r="BL28" i="12"/>
  <c r="AK28" i="12"/>
  <c r="K28" i="12"/>
  <c r="V28" i="12"/>
  <c r="AF28" i="12"/>
  <c r="AQ28" i="12"/>
  <c r="AZ28" i="12"/>
  <c r="BH28" i="12"/>
  <c r="BP28" i="12"/>
  <c r="BX28" i="12"/>
  <c r="CF28" i="12"/>
  <c r="Z28" i="12"/>
  <c r="CA28" i="12"/>
  <c r="BT28" i="12"/>
  <c r="AG28" i="12"/>
  <c r="L28" i="12"/>
  <c r="W28" i="12"/>
  <c r="AH28" i="12"/>
  <c r="AR28" i="12"/>
  <c r="BA28" i="12"/>
  <c r="BI28" i="12"/>
  <c r="BQ28" i="12"/>
  <c r="BY28" i="12"/>
  <c r="CG28" i="12"/>
  <c r="AJ28" i="12"/>
  <c r="AL28" i="12"/>
  <c r="AC28" i="12"/>
  <c r="N28" i="12"/>
  <c r="X28" i="12"/>
  <c r="AI28" i="12"/>
  <c r="AT28" i="12"/>
  <c r="BB28" i="12"/>
  <c r="BJ28" i="12"/>
  <c r="BR28" i="12"/>
  <c r="BZ28" i="12"/>
  <c r="O28" i="12"/>
  <c r="BK28" i="12"/>
  <c r="AV28" i="12"/>
  <c r="Y28" i="12"/>
  <c r="BC28" i="12"/>
  <c r="U28" i="12"/>
  <c r="P28" i="12"/>
  <c r="CB28" i="12"/>
  <c r="F30" i="12"/>
  <c r="H30" i="12"/>
  <c r="AS30" i="12"/>
  <c r="M30" i="12"/>
  <c r="S30" i="12"/>
  <c r="AD30" i="12"/>
  <c r="AN30" i="12"/>
  <c r="AX30" i="12"/>
  <c r="BF30" i="12"/>
  <c r="BN30" i="12"/>
  <c r="BV30" i="12"/>
  <c r="CD30" i="12"/>
  <c r="AA30" i="12"/>
  <c r="BT30" i="12"/>
  <c r="AO30" i="12"/>
  <c r="J30" i="12"/>
  <c r="T30" i="12"/>
  <c r="AE30" i="12"/>
  <c r="AP30" i="12"/>
  <c r="AY30" i="12"/>
  <c r="BG30" i="12"/>
  <c r="BO30" i="12"/>
  <c r="BW30" i="12"/>
  <c r="CE30" i="12"/>
  <c r="AL30" i="12"/>
  <c r="CJ30" i="12"/>
  <c r="AK30" i="12"/>
  <c r="K30" i="12"/>
  <c r="V30" i="12"/>
  <c r="AF30" i="12"/>
  <c r="AQ30" i="12"/>
  <c r="AZ30" i="12"/>
  <c r="BH30" i="12"/>
  <c r="BP30" i="12"/>
  <c r="BX30" i="12"/>
  <c r="CF30" i="12"/>
  <c r="AV30" i="12"/>
  <c r="AG30" i="12"/>
  <c r="L30" i="12"/>
  <c r="W30" i="12"/>
  <c r="AH30" i="12"/>
  <c r="AR30" i="12"/>
  <c r="BA30" i="12"/>
  <c r="BI30" i="12"/>
  <c r="BQ30" i="12"/>
  <c r="BY30" i="12"/>
  <c r="CG30" i="12"/>
  <c r="BD30" i="12"/>
  <c r="AC30" i="12"/>
  <c r="N30" i="12"/>
  <c r="X30" i="12"/>
  <c r="AI30" i="12"/>
  <c r="AT30" i="12"/>
  <c r="BB30" i="12"/>
  <c r="BJ30" i="12"/>
  <c r="BR30" i="12"/>
  <c r="BZ30" i="12"/>
  <c r="CH30" i="12"/>
  <c r="P30" i="12"/>
  <c r="BL30" i="12"/>
  <c r="Y30" i="12"/>
  <c r="O30" i="12"/>
  <c r="Z30" i="12"/>
  <c r="AJ30" i="12"/>
  <c r="AU30" i="12"/>
  <c r="BC30" i="12"/>
  <c r="BK30" i="12"/>
  <c r="BS30" i="12"/>
  <c r="CA30" i="12"/>
  <c r="CI30" i="12"/>
  <c r="U30" i="12"/>
  <c r="CB30" i="12"/>
  <c r="Q30" i="12"/>
  <c r="R30" i="12"/>
  <c r="AB30" i="12"/>
  <c r="AM30" i="12"/>
  <c r="AW30" i="12"/>
  <c r="BE30" i="12"/>
  <c r="BM30" i="12"/>
  <c r="BU30" i="12"/>
  <c r="CC30" i="12"/>
  <c r="I30" i="12"/>
  <c r="G30" i="12"/>
  <c r="I23" i="7"/>
  <c r="O23" i="7"/>
  <c r="CC9" i="10"/>
  <c r="AX34" i="9"/>
  <c r="AU32" i="9"/>
  <c r="BQ32" i="9"/>
  <c r="D11" i="13"/>
  <c r="D12" i="13" s="1"/>
  <c r="CH27" i="12"/>
  <c r="CH28" i="12" s="1"/>
  <c r="CK27" i="12"/>
  <c r="CK28" i="12" s="1"/>
  <c r="CI27" i="12"/>
  <c r="CI28" i="12" s="1"/>
  <c r="CJ27" i="12"/>
  <c r="CJ28" i="12"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AI8" i="10"/>
  <c r="AF9" i="10"/>
  <c r="AD9" i="10"/>
  <c r="L74" i="11"/>
  <c r="L75" i="11" s="1"/>
  <c r="U74" i="11"/>
  <c r="U75" i="11" s="1"/>
  <c r="AJ8" i="10"/>
  <c r="Y9" i="10"/>
  <c r="AH8" i="10"/>
  <c r="S9" i="10"/>
  <c r="W9" i="10"/>
  <c r="AI74" i="11"/>
  <c r="AI75" i="11" s="1"/>
  <c r="O74" i="11"/>
  <c r="O75" i="11" s="1"/>
  <c r="AD32" i="9"/>
  <c r="X32" i="9"/>
  <c r="E23" i="7"/>
  <c r="N23" i="7"/>
  <c r="S74" i="11"/>
  <c r="S75" i="11" s="1"/>
  <c r="L9" i="10"/>
  <c r="M74" i="11"/>
  <c r="M75" i="11" s="1"/>
  <c r="H9" i="10"/>
  <c r="K8" i="10"/>
  <c r="F9" i="10"/>
  <c r="E74" i="11"/>
  <c r="E75" i="11" s="1"/>
  <c r="K74" i="11"/>
  <c r="K75" i="11" s="1"/>
  <c r="J8" i="10"/>
  <c r="I9" i="10"/>
  <c r="E8" i="10"/>
  <c r="O16" i="9"/>
  <c r="M34" i="9"/>
  <c r="N16" i="9"/>
  <c r="H16" i="9"/>
  <c r="L16" i="9"/>
  <c r="F16" i="9"/>
  <c r="I74" i="11"/>
  <c r="I75" i="11" s="1"/>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I35" i="12"/>
  <c r="M35"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E35" i="12"/>
  <c r="C39" i="13"/>
  <c r="CL17" i="9"/>
  <c r="CL15" i="9"/>
  <c r="BH5" i="8" l="1"/>
  <c r="BE5" i="8"/>
  <c r="AM29" i="9"/>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29" i="10" s="1"/>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2" i="11" l="1"/>
  <c r="AL14" i="11" s="1"/>
  <c r="AL13" i="1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<sst xmlns="http://schemas.openxmlformats.org/spreadsheetml/2006/main" count="1008" uniqueCount="756">
  <si>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</si>
  <si>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</si>
  <si>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</si>
  <si>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</si>
  <si>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</si>
  <si>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</si>
  <si>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</si>
  <si>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</si>
  <si>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</si>
  <si>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</si>
  <si>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</si>
  <si>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</si>
  <si>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</si>
  <si>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</si>
  <si>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</si>
  <si>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</si>
  <si>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</si>
  <si>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</si>
  <si>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</si>
  <si>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</si>
  <si>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</si>
  <si>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</si>
  <si>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</si>
  <si>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</si>
  <si>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</si>
  <si>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</si>
  <si>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</si>
  <si>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</si>
  <si>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</si>
  <si>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</si>
  <si>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</si>
  <si>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</si>
  <si>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</si>
  <si>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</si>
  <si>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</si>
  <si>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</si>
  <si>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</si>
  <si>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</si>
  <si>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</si>
  <si>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</si>
  <si>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</si>
  <si>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</si>
  <si>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</si>
  <si>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</si>
  <si>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</si>
  <si>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</si>
  <si>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</si>
  <si>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</si>
  <si>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</si>
  <si>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</si>
  <si>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</si>
  <si>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</si>
  <si>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</si>
  <si>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</si>
  <si>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</si>
  <si>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</si>
  <si>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</si>
  <si>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</si>
  <si>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</si>
  <si>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</si>
  <si>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</si>
  <si>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</si>
  <si>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</si>
  <si>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</si>
  <si>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</si>
  <si>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</si>
  <si>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</si>
  <si>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</si>
  <si>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</si>
  <si>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</si>
  <si>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</si>
  <si>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</si>
  <si>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</si>
  <si>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</si>
  <si>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</si>
  <si>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</si>
  <si>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</si>
  <si>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</si>
  <si>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</si>
  <si>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</si>
  <si>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</si>
  <si>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</si>
  <si>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</si>
  <si>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</si>
  <si>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</si>
  <si>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</si>
  <si>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</si>
  <si>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</si>
  <si>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</si>
  <si>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</si>
  <si>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</si>
  <si>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</si>
  <si>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</si>
  <si>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</si>
  <si>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</si>
  <si>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</si>
  <si>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</si>
  <si>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</si>
  <si>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</si>
  <si>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</si>
  <si>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</si>
  <si>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</si>
  <si>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</si>
  <si>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</si>
  <si>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</si>
  <si>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</si>
  <si>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</si>
  <si>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</si>
  <si>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</si>
  <si>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</si>
  <si>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</si>
  <si>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</si>
  <si>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</si>
  <si>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</si>
  <si>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</si>
  <si>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</si>
  <si>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</si>
  <si>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</si>
  <si>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</si>
  <si>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</si>
  <si>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</si>
  <si>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</si>
  <si>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</si>
  <si>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</si>
  <si>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</si>
  <si>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</si>
  <si>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</si>
  <si>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</si>
  <si>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</si>
  <si>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</si>
  <si>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</si>
  <si>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</si>
  <si>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</si>
  <si>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</si>
  <si>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</si>
  <si>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</si>
  <si>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</si>
  <si>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</si>
  <si>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</si>
  <si>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</si>
  <si>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</si>
  <si>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</si>
  <si>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</si>
  <si>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</si>
  <si>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</si>
  <si>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</si>
  <si>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</si>
  <si>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</si>
  <si>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</si>
  <si>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</si>
  <si>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</si>
  <si>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</si>
  <si>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</si>
  <si>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</si>
  <si>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</si>
  <si>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</si>
  <si>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</si>
  <si>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</si>
  <si>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</si>
  <si>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</si>
  <si>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</si>
  <si>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</si>
  <si>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</si>
  <si>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</si>
  <si>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</si>
  <si>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</si>
  <si>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</si>
  <si>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</si>
  <si>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</si>
  <si>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</si>
  <si>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</si>
  <si>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</si>
  <si>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</si>
  <si>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</si>
  <si>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</si>
  <si>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</si>
  <si>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</si>
  <si>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</si>
  <si>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</si>
  <si>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</si>
  <si>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</si>
  <si>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</si>
  <si>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</si>
  <si>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</si>
  <si>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</si>
  <si>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</si>
  <si>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</si>
  <si>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</si>
  <si>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</si>
  <si>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</si>
  <si>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</si>
  <si>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</si>
  <si>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</si>
  <si>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</si>
  <si>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</si>
  <si>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</si>
  <si>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</si>
  <si>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</si>
  <si>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</si>
  <si>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</si>
  <si>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</si>
  <si>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</si>
  <si>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</si>
  <si>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</si>
  <si>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</si>
  <si>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</si>
  <si>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</si>
  <si>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</si>
  <si>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</si>
  <si>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</si>
  <si>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</si>
  <si>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</si>
  <si>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</si>
  <si>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</si>
  <si>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</si>
  <si>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</si>
  <si>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</si>
  <si>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</si>
  <si>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</si>
  <si>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</si>
  <si>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</si>
  <si>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</si>
  <si>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</si>
  <si>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</si>
  <si>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</si>
  <si>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</si>
  <si>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</si>
  <si>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</si>
  <si>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</si>
  <si>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</si>
  <si>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</si>
  <si>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</si>
  <si>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</si>
  <si>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</si>
  <si>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</si>
  <si>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</si>
  <si>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</si>
  <si>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</si>
  <si>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</si>
  <si>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</si>
  <si>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</si>
  <si>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</si>
  <si>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</si>
  <si>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</si>
  <si>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</si>
  <si>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</si>
  <si>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</si>
  <si>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</si>
  <si>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</si>
  <si>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</si>
  <si>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</si>
  <si>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</si>
  <si>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</si>
  <si>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</si>
  <si>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</si>
  <si>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</si>
  <si>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</si>
  <si>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</si>
  <si>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</si>
  <si>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</si>
  <si>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</si>
  <si>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</si>
  <si>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</si>
  <si>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</si>
  <si>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</si>
  <si>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</si>
  <si>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</si>
  <si>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</si>
  <si>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</si>
  <si>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</si>
  <si>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</si>
  <si>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</si>
  <si>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</si>
  <si>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</si>
  <si>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</si>
  <si>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</si>
  <si>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</si>
  <si>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</si>
  <si>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</si>
  <si>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</si>
  <si>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</si>
  <si>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</si>
  <si>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</si>
  <si>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</si>
  <si>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</si>
  <si>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</si>
  <si>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</si>
  <si>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</si>
  <si>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</si>
  <si>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</si>
  <si>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</si>
  <si>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</si>
  <si>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</si>
  <si>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</si>
  <si>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</si>
  <si>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</si>
  <si>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</si>
  <si>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</si>
  <si>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</si>
  <si>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</si>
  <si>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</si>
  <si>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</si>
  <si>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</si>
  <si>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</si>
  <si>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</si>
  <si>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</si>
  <si>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</si>
  <si>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</si>
  <si>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</si>
  <si>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</si>
  <si>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</si>
  <si>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</si>
  <si>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</si>
  <si>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</si>
  <si>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</si>
  <si>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</si>
  <si>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</si>
  <si>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</si>
  <si>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</si>
  <si>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</si>
  <si>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</si>
  <si>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</si>
  <si>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</si>
  <si>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</si>
  <si>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</si>
  <si>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</si>
  <si>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</si>
  <si>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</si>
  <si>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</si>
  <si>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</si>
  <si>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</si>
  <si>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</si>
  <si>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</si>
  <si>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</si>
  <si>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</si>
  <si>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</si>
  <si>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</si>
  <si>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</si>
  <si>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</si>
  <si>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</si>
  <si>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</si>
  <si>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</si>
  <si>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</si>
  <si>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</si>
  <si>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</si>
  <si>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</si>
  <si>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</si>
  <si>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</si>
  <si>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</si>
  <si>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</si>
  <si>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</si>
  <si>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</si>
  <si>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</si>
  <si>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</si>
  <si>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</si>
  <si>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</si>
  <si>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</si>
  <si>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</si>
  <si>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</si>
  <si>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</si>
  <si>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</si>
  <si>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</si>
  <si>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</si>
  <si>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</si>
  <si>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</si>
  <si>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</si>
  <si>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</si>
  <si>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</si>
  <si>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</si>
  <si>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</si>
  <si>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</si>
  <si>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</si>
  <si>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</si>
  <si>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</si>
  <si>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</si>
  <si>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</si>
  <si>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</si>
  <si>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</si>
  <si>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</si>
  <si>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</si>
  <si>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</si>
  <si>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</si>
  <si>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</si>
  <si>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</si>
  <si>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</si>
  <si>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</si>
  <si>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</si>
  <si>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</si>
  <si>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</si>
  <si>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</si>
  <si>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</si>
  <si>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</si>
  <si>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</si>
  <si>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</si>
  <si>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</si>
  <si>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</si>
  <si>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</si>
  <si>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</si>
  <si>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</si>
  <si>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</si>
  <si>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</si>
  <si>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</si>
  <si>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</si>
  <si>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</si>
  <si>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</si>
  <si>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</si>
  <si>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</si>
  <si>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</si>
  <si>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</si>
  <si>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</si>
  <si>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</si>
  <si>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</si>
  <si>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</si>
  <si>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</si>
  <si>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</si>
  <si>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</si>
  <si>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</si>
  <si>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</si>
  <si>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</si>
  <si>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</si>
  <si>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</si>
  <si>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</si>
  <si>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</si>
  <si>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</si>
  <si>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</si>
  <si>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</si>
  <si>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</si>
  <si>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</si>
  <si>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</si>
  <si>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</si>
  <si>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</si>
  <si>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</si>
  <si>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</si>
  <si>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</si>
  <si>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</si>
  <si>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</si>
  <si>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</si>
  <si>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</si>
  <si>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</si>
  <si>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</si>
  <si>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</si>
  <si>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</si>
  <si>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</si>
  <si>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</si>
  <si>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</si>
  <si>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</si>
  <si>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</si>
  <si>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</si>
  <si>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</si>
  <si>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</si>
  <si>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</si>
  <si>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</si>
  <si>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</si>
  <si>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</si>
  <si>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</si>
  <si>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</si>
  <si>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</si>
  <si>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</si>
  <si>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</si>
  <si>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</si>
  <si>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</si>
  <si>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</si>
  <si>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</si>
  <si>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</si>
  <si>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</si>
  <si>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</si>
  <si>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</si>
  <si>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</si>
  <si>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</si>
  <si>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</si>
  <si>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</si>
  <si>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</si>
  <si>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</si>
  <si>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</si>
  <si>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</si>
  <si>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</si>
  <si>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</si>
  <si>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</si>
  <si>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</si>
  <si>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</si>
  <si>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</si>
  <si>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</si>
  <si>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</si>
  <si>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</si>
  <si>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</si>
  <si>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</si>
  <si>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</si>
  <si>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</si>
  <si>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</si>
  <si>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</si>
  <si>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</si>
  <si>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</si>
  <si>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</si>
  <si>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</si>
  <si>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</si>
  <si>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</si>
  <si>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</si>
  <si>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</si>
  <si>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</si>
  <si>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</si>
  <si>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</si>
  <si>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</si>
  <si>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</si>
  <si>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</si>
  <si>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</si>
  <si>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</si>
  <si>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</si>
  <si>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</si>
  <si>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</si>
  <si>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</si>
  <si>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</si>
  <si>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</si>
  <si>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</si>
  <si>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</si>
  <si>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</si>
  <si>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</si>
  <si>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</si>
  <si>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</si>
  <si>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</si>
  <si>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</si>
  <si>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</si>
  <si>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</si>
  <si>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</si>
  <si>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</si>
  <si>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</si>
  <si>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</si>
  <si>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</si>
  <si>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</si>
  <si>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</si>
  <si>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</si>
  <si>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</si>
  <si>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</si>
  <si>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</si>
  <si>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</si>
  <si>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</si>
  <si>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</si>
  <si>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</si>
  <si>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</si>
  <si>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</si>
  <si>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</si>
  <si>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</si>
  <si>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</si>
  <si>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</si>
  <si>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</si>
  <si>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</si>
  <si>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</si>
  <si>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</si>
  <si>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</si>
  <si>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</si>
  <si>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</si>
  <si>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</si>
  <si>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</si>
  <si>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</si>
  <si>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</si>
  <si>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</si>
  <si>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</si>
  <si>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</si>
  <si>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</si>
  <si>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</si>
  <si>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</si>
  <si>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</si>
  <si>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</si>
  <si>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</si>
  <si>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</si>
  <si>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</si>
  <si>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</si>
  <si>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</si>
  <si>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</si>
  <si>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</si>
  <si>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</si>
  <si>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</si>
  <si>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</si>
  <si>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</si>
  <si>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</si>
  <si>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</si>
  <si>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</si>
  <si>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</si>
  <si>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</si>
  <si>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</si>
  <si>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</si>
  <si>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</si>
  <si>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</si>
  <si>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</si>
  <si>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</si>
  <si>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</si>
  <si>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</si>
  <si>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</si>
  <si>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</si>
  <si>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</si>
  <si>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</si>
  <si>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</si>
  <si>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</si>
  <si>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</si>
  <si>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</si>
  <si>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</si>
  <si>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</si>
  <si>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</si>
  <si>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</si>
  <si>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</si>
  <si>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</si>
  <si>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</si>
  <si>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</si>
  <si>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</si>
  <si>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</si>
  <si>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</si>
  <si>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</si>
  <si>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</si>
  <si>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</si>
  <si>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</si>
  <si>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</si>
  <si>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</si>
  <si>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</si>
  <si>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</si>
  <si>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</si>
  <si>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</si>
  <si>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</si>
  <si>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</si>
  <si>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</si>
  <si>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</si>
  <si>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</si>
  <si>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</si>
  <si>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</si>
  <si>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</si>
  <si>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</si>
  <si>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</si>
  <si>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</si>
  <si>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</si>
  <si>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</si>
  <si>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</si>
  <si>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</si>
  <si>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</si>
  <si>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</si>
  <si>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</si>
  <si>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</si>
  <si>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</si>
  <si>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</si>
  <si>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</si>
  <si>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</si>
  <si>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</si>
  <si>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</si>
  <si>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</si>
  <si>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</si>
  <si>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</si>
  <si>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</si>
  <si>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</si>
  <si>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</si>
  <si>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</si>
  <si>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</si>
  <si>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</si>
  <si>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</si>
  <si>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</si>
  <si>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</si>
  <si>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</si>
  <si>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</si>
  <si>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</si>
  <si>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</si>
  <si>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</si>
  <si>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</si>
  <si>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</si>
  <si>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</si>
  <si>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</si>
  <si>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</si>
  <si>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</si>
  <si>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</si>
  <si>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</si>
  <si>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</si>
  <si>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</si>
  <si>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</si>
  <si>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</si>
  <si>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</si>
  <si>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</si>
  <si>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</si>
  <si>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</si>
  <si>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</si>
  <si>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</si>
  <si>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</si>
  <si>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</si>
  <si>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</si>
  <si>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</si>
  <si>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</si>
  <si>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</si>
  <si>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</si>
  <si>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</si>
  <si>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</si>
  <si>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</si>
  <si>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</si>
  <si>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</si>
  <si>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</si>
  <si>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</si>
  <si>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</si>
  <si>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</si>
  <si>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</si>
  <si>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</si>
  <si>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</si>
  <si>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</si>
  <si>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</si>
  <si>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</si>
  <si>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</si>
  <si>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</si>
  <si>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</si>
  <si>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</si>
  <si>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</si>
  <si>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</si>
  <si>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</si>
  <si>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</si>
  <si>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</si>
  <si>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</si>
  <si>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</si>
  <si>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</si>
  <si>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</si>
  <si>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</si>
  <si>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</si>
  <si>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</si>
  <si>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</si>
  <si>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</si>
  <si>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</si>
  <si>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</si>
  <si>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</si>
  <si>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</si>
  <si>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</si>
  <si>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</si>
  <si>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</si>
  <si>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</si>
  <si>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</si>
  <si>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</si>
  <si>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</si>
  <si>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</si>
  <si>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</si>
  <si>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</si>
  <si>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</si>
  <si>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</si>
  <si>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</si>
  <si>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</si>
  <si>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</si>
  <si>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</si>
  <si>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</si>
  <si>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</si>
  <si>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</si>
  <si>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</si>
  <si>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</si>
  <si>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</si>
  <si>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</si>
  <si>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</si>
  <si>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</si>
  <si>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</si>
  <si>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</si>
  <si>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</si>
  <si>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</si>
  <si>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</si>
  <si>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</si>
  <si>
    <t>现金流量表自由现金流-可用于支付利息、扩张规模、股东分红
=11-15-16-17</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</si>
  <si>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</si>
  <si>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自由现金流复合增长率</t>
    <phoneticPr fontId="1" type="noConversion"/>
  </si>
  <si>
    <t>现金流量表自由现金流增长率=power(现值/基础值，1/年)-1 
 最近年为现值</t>
    <phoneticPr fontId="1" type="noConversion"/>
  </si>
  <si>
    <t>现金流量表自由现金流-可用于支付利息、扩张规模、股东分红
--剔除营运资本变动影响</t>
    <phoneticPr fontId="1" type="noConversion"/>
  </si>
  <si>
    <t xml:space="preserve">营运资本变动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</si>
</sst>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4">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
      <sz val="9"/>
      <color rgb="FF000000"/>
      <name val="宋体"/>
      <family val="3"/>
      <charset val="134"/>
      <scheme val="minor"/>
    </font>
    <font>
      <sz val="11"/>
      <color rgb="FF7030A0"/>
      <name val="宋体"/>
      <family val="2"/>
      <charset val="134"/>
      <scheme val="minor"/>
    </font>
    <font>
      <sz val="11"/>
      <color rgb="FF7030A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2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0" fontId="31" fillId="0" borderId="0" xfId="0" applyFont="1">
      <alignment vertical="center"/>
    </xf>
    <xf numFmtId="49" fontId="32" fillId="0" borderId="0" xfId="0" applyNumberFormat="1" applyFont="1">
      <alignment vertical="center"/>
    </xf>
    <xf numFmtId="179" fontId="33" fillId="0" borderId="0" xfId="0" applyNumberFormat="1" applyFont="1">
      <alignment vertical="center"/>
    </xf>
    <xf numFmtId="49" fontId="26" fillId="6" borderId="16" xfId="0" applyNumberFormat="1" applyFont="1" applyFill="1" applyBorder="1" applyAlignment="1">
      <alignment vertical="center" wrapText="1"/>
    </xf>
    <xf numFmtId="179" fontId="0" fillId="6" borderId="16" xfId="0" applyNumberFormat="1" applyFill="1" applyBorder="1">
      <alignment vertical="center"/>
    </xf>
    <xf numFmtId="179" fontId="5" fillId="4" borderId="16" xfId="0" applyNumberFormat="1" applyFont="1" applyFill="1" applyBorder="1" applyAlignment="1">
      <alignment vertical="center" wrapText="1"/>
    </xf>
    <xf numFmtId="179" fontId="5" fillId="4" borderId="16" xfId="0" applyNumberFormat="1" applyFont="1" applyFill="1" applyBorder="1">
      <alignment vertical="center"/>
    </xf>
    <xf numFmtId="10" fontId="8" fillId="4" borderId="16" xfId="0" applyNumberFormat="1" applyFont="1" applyFill="1" applyBorder="1" applyAlignment="1">
      <alignment horizontal="left" vertical="center" wrapText="1"/>
    </xf>
    <xf numFmtId="10" fontId="8" fillId="4" borderId="16" xfId="0" applyNumberFormat="1" applyFont="1" applyFill="1" applyBorder="1" applyAlignment="1">
      <alignment horizontal="left" vertical="center"/>
    </xf>
    <xf numFmtId="179" fontId="8" fillId="4" borderId="16" xfId="0" applyNumberFormat="1" applyFont="1" applyFill="1" applyBorder="1" applyAlignment="1">
      <alignment horizontal="left" vertical="center" wrapText="1"/>
    </xf>
    <xf numFmtId="179" fontId="8" fillId="4" borderId="16" xfId="0" applyNumberFormat="1" applyFont="1" applyFill="1" applyBorder="1" applyAlignment="1">
      <alignment horizontal="left" vertical="center"/>
    </xf>
    <xf numFmtId="10" fontId="26" fillId="6" borderId="16" xfId="0" applyNumberFormat="1" applyFont="1" applyFill="1" applyBorder="1" applyAlignment="1">
      <alignment horizontal="left" vertical="center" wrapText="1"/>
    </xf>
    <xf numFmtId="10" fontId="5" fillId="6" borderId="16" xfId="0" applyNumberFormat="1" applyFont="1" applyFill="1" applyBorder="1" applyAlignment="1">
      <alignment horizontal="left"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0.32220256300870231</c:v>
                </c:pt>
                <c:pt idx="1">
                  <c:v>0.32805763934756949</c:v>
                </c:pt>
                <c:pt idx="2">
                  <c:v>0.3130621900646916</c:v>
                </c:pt>
                <c:pt idx="3">
                  <c:v>0.26470598837330211</c:v>
                </c:pt>
                <c:pt idx="4">
                  <c:v>0.2846206564552759</c:v>
                </c:pt>
                <c:pt idx="5">
                  <c:v>0.27757016133627521</c:v>
                </c:pt>
              </c:numCache>
            </c:numRef>
          </c:val>
          <c:smooth val="0"/>
          <c:extLst xmlns:c16r2="http://schemas.microsoft.com/office/drawing/2015/06/char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2124544"/>
        <c:axId val="216390400"/>
      </c:lineChart>
      <c:catAx>
        <c:axId val="222124544"/>
        <c:scaling>
          <c:orientation val="minMax"/>
        </c:scaling>
        <c:delete val="0"/>
        <c:axPos val="b"/>
        <c:majorTickMark val="out"/>
        <c:minorTickMark val="none"/>
        <c:tickLblPos val="nextTo"/>
        <c:crossAx val="216390400"/>
        <c:crosses val="autoZero"/>
        <c:auto val="1"/>
        <c:lblAlgn val="ctr"/>
        <c:lblOffset val="100"/>
        <c:noMultiLvlLbl val="0"/>
      </c:catAx>
      <c:valAx>
        <c:axId val="216390400"/>
        <c:scaling>
          <c:orientation val="minMax"/>
        </c:scaling>
        <c:delete val="0"/>
        <c:axPos val="l"/>
        <c:majorGridlines/>
        <c:numFmt formatCode="0.00%" sourceLinked="1"/>
        <c:majorTickMark val="out"/>
        <c:minorTickMark val="none"/>
        <c:tickLblPos val="nextTo"/>
        <c:crossAx val="22212454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0.10638001592126169</c:v>
                </c:pt>
                <c:pt idx="1">
                  <c:v>8.5346979366189249E-2</c:v>
                </c:pt>
                <c:pt idx="2">
                  <c:v>8.0982537756223369E-2</c:v>
                </c:pt>
                <c:pt idx="3">
                  <c:v>7.3605613208075973E-2</c:v>
                </c:pt>
                <c:pt idx="4">
                  <c:v>8.2234715597187841E-2</c:v>
                </c:pt>
                <c:pt idx="5">
                  <c:v>8.3506081017673858E-2</c:v>
                </c:pt>
              </c:numCache>
            </c:numRef>
          </c:val>
          <c:smooth val="0"/>
          <c:extLst xmlns:c16r2="http://schemas.microsoft.com/office/drawing/2015/06/char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3140352"/>
        <c:axId val="220865088"/>
      </c:lineChart>
      <c:catAx>
        <c:axId val="223140352"/>
        <c:scaling>
          <c:orientation val="minMax"/>
        </c:scaling>
        <c:delete val="0"/>
        <c:axPos val="b"/>
        <c:majorTickMark val="out"/>
        <c:minorTickMark val="none"/>
        <c:tickLblPos val="nextTo"/>
        <c:crossAx val="220865088"/>
        <c:crosses val="autoZero"/>
        <c:auto val="1"/>
        <c:lblAlgn val="ctr"/>
        <c:lblOffset val="100"/>
        <c:noMultiLvlLbl val="0"/>
      </c:catAx>
      <c:valAx>
        <c:axId val="220865088"/>
        <c:scaling>
          <c:orientation val="minMax"/>
        </c:scaling>
        <c:delete val="0"/>
        <c:axPos val="l"/>
        <c:majorGridlines/>
        <c:numFmt formatCode="0.00%" sourceLinked="1"/>
        <c:majorTickMark val="out"/>
        <c:minorTickMark val="none"/>
        <c:tickLblPos val="nextTo"/>
        <c:crossAx val="223140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0.12938817505091663</c:v>
                </c:pt>
                <c:pt idx="1">
                  <c:v>0.11614026754773114</c:v>
                </c:pt>
                <c:pt idx="2">
                  <c:v>0.11524464324398724</c:v>
                </c:pt>
                <c:pt idx="3">
                  <c:v>0.10216924762654143</c:v>
                </c:pt>
                <c:pt idx="4">
                  <c:v>0.10976209226794595</c:v>
                </c:pt>
                <c:pt idx="5">
                  <c:v>0.11244873965902087</c:v>
                </c:pt>
              </c:numCache>
            </c:numRef>
          </c:val>
          <c:smooth val="0"/>
          <c:extLst xmlns:c16r2="http://schemas.microsoft.com/office/drawing/2015/06/char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0.10758329896556959</c:v>
                </c:pt>
                <c:pt idx="1">
                  <c:v>9.3058641802393482E-2</c:v>
                </c:pt>
                <c:pt idx="2">
                  <c:v>8.5736416430919477E-2</c:v>
                </c:pt>
                <c:pt idx="3">
                  <c:v>7.4944069921402415E-2</c:v>
                </c:pt>
                <c:pt idx="4">
                  <c:v>8.0535492873288955E-2</c:v>
                </c:pt>
                <c:pt idx="5">
                  <c:v>8.3697304075729118E-2</c:v>
                </c:pt>
              </c:numCache>
            </c:numRef>
          </c:val>
          <c:smooth val="0"/>
          <c:extLst xmlns:c16r2="http://schemas.microsoft.com/office/drawing/2015/06/char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0.12090108924942503</c:v>
                </c:pt>
                <c:pt idx="1">
                  <c:v>0.12279384095215216</c:v>
                </c:pt>
                <c:pt idx="2">
                  <c:v>0.11478115377750679</c:v>
                </c:pt>
                <c:pt idx="3">
                  <c:v>9.9289439603180943E-2</c:v>
                </c:pt>
                <c:pt idx="4">
                  <c:v>0.10218002694548256</c:v>
                </c:pt>
                <c:pt idx="5">
                  <c:v>0.1078445565068613</c:v>
                </c:pt>
              </c:numCache>
            </c:numRef>
          </c:val>
          <c:smooth val="0"/>
          <c:extLst xmlns:c16r2="http://schemas.microsoft.com/office/drawing/2015/06/char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0.10052648184322435</c:v>
                </c:pt>
                <c:pt idx="1">
                  <c:v>9.8389889243281986E-2</c:v>
                </c:pt>
                <c:pt idx="2">
                  <c:v>8.5391602782398005E-2</c:v>
                </c:pt>
                <c:pt idx="3">
                  <c:v>7.2831648239960203E-2</c:v>
                </c:pt>
                <c:pt idx="4">
                  <c:v>7.4972321152295948E-2</c:v>
                </c:pt>
                <c:pt idx="5">
                  <c:v>8.0270340656884473E-2</c:v>
                </c:pt>
              </c:numCache>
            </c:numRef>
          </c:val>
          <c:smooth val="0"/>
          <c:extLst xmlns:c16r2="http://schemas.microsoft.com/office/drawing/2015/06/char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3141376"/>
        <c:axId val="220866816"/>
      </c:lineChart>
      <c:catAx>
        <c:axId val="223141376"/>
        <c:scaling>
          <c:orientation val="minMax"/>
        </c:scaling>
        <c:delete val="0"/>
        <c:axPos val="b"/>
        <c:majorTickMark val="out"/>
        <c:minorTickMark val="none"/>
        <c:tickLblPos val="nextTo"/>
        <c:crossAx val="220866816"/>
        <c:crosses val="autoZero"/>
        <c:auto val="1"/>
        <c:lblAlgn val="ctr"/>
        <c:lblOffset val="100"/>
        <c:noMultiLvlLbl val="0"/>
      </c:catAx>
      <c:valAx>
        <c:axId val="220866816"/>
        <c:scaling>
          <c:orientation val="minMax"/>
        </c:scaling>
        <c:delete val="0"/>
        <c:axPos val="l"/>
        <c:majorGridlines/>
        <c:numFmt formatCode="0.00%" sourceLinked="1"/>
        <c:majorTickMark val="out"/>
        <c:minorTickMark val="none"/>
        <c:tickLblPos val="nextTo"/>
        <c:crossAx val="223141376"/>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xmlns:c16r2="http://schemas.microsoft.com/office/drawing/2015/06/char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xmlns:c16r2="http://schemas.microsoft.com/office/drawing/2015/06/char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xmlns:c16r2="http://schemas.microsoft.com/office/drawing/2015/06/char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310240856.22000003</c:v>
                </c:pt>
              </c:numCache>
            </c:numRef>
          </c:val>
          <c:extLst xmlns:c16r2="http://schemas.microsoft.com/office/drawing/2015/06/char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xmlns:c16r2="http://schemas.microsoft.com/office/drawing/2015/06/char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xmlns:c16r2="http://schemas.microsoft.com/office/drawing/2015/06/char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xmlns:c16r2="http://schemas.microsoft.com/office/drawing/2015/06/char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239257081.53999999</c:v>
                </c:pt>
              </c:numCache>
            </c:numRef>
          </c:val>
          <c:extLst xmlns:c16r2="http://schemas.microsoft.com/office/drawing/2015/06/char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xmlns:c16r2="http://schemas.microsoft.com/office/drawing/2015/06/char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xmlns:c16r2="http://schemas.microsoft.com/office/drawing/2015/06/char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xmlns:c16r2="http://schemas.microsoft.com/office/drawing/2015/06/char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195316759.22999999</c:v>
                </c:pt>
              </c:numCache>
            </c:numRef>
          </c:val>
          <c:extLst xmlns:c16r2="http://schemas.microsoft.com/office/drawing/2015/06/char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xmlns:c16r2="http://schemas.microsoft.com/office/drawing/2015/06/char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xmlns:c16r2="http://schemas.microsoft.com/office/drawing/2015/06/char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xmlns:c16r2="http://schemas.microsoft.com/office/drawing/2015/06/char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168379522.80000001</c:v>
                </c:pt>
              </c:numCache>
            </c:numRef>
          </c:val>
          <c:extLst xmlns:c16r2="http://schemas.microsoft.com/office/drawing/2015/06/char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xmlns:c16r2="http://schemas.microsoft.com/office/drawing/2015/06/char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xmlns:c16r2="http://schemas.microsoft.com/office/drawing/2015/06/char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xmlns:c16r2="http://schemas.microsoft.com/office/drawing/2015/06/char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164357231.83000001</c:v>
                </c:pt>
              </c:numCache>
            </c:numRef>
          </c:val>
          <c:extLst xmlns:c16r2="http://schemas.microsoft.com/office/drawing/2015/06/char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xmlns:c16r2="http://schemas.microsoft.com/office/drawing/2015/06/char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xmlns:c16r2="http://schemas.microsoft.com/office/drawing/2015/06/char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xmlns:c16r2="http://schemas.microsoft.com/office/drawing/2015/06/char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160309651.03</c:v>
                </c:pt>
              </c:numCache>
            </c:numRef>
          </c:val>
          <c:extLst xmlns:c16r2="http://schemas.microsoft.com/office/drawing/2015/06/char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4126464"/>
        <c:axId val="220869120"/>
      </c:barChart>
      <c:catAx>
        <c:axId val="224126464"/>
        <c:scaling>
          <c:orientation val="minMax"/>
        </c:scaling>
        <c:delete val="0"/>
        <c:axPos val="b"/>
        <c:numFmt formatCode="General" sourceLinked="1"/>
        <c:majorTickMark val="out"/>
        <c:minorTickMark val="none"/>
        <c:tickLblPos val="nextTo"/>
        <c:crossAx val="220869120"/>
        <c:crosses val="autoZero"/>
        <c:auto val="1"/>
        <c:lblAlgn val="ctr"/>
        <c:lblOffset val="100"/>
        <c:noMultiLvlLbl val="0"/>
      </c:catAx>
      <c:valAx>
        <c:axId val="220869120"/>
        <c:scaling>
          <c:orientation val="minMax"/>
        </c:scaling>
        <c:delete val="0"/>
        <c:axPos val="l"/>
        <c:majorGridlines/>
        <c:numFmt formatCode="General" sourceLinked="1"/>
        <c:majorTickMark val="out"/>
        <c:minorTickMark val="none"/>
        <c:tickLblPos val="nextTo"/>
        <c:crossAx val="22412646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-25749506.939599872</c:v>
                </c:pt>
                <c:pt idx="1">
                  <c:v>-41053537.496800005</c:v>
                </c:pt>
                <c:pt idx="2">
                  <c:v>-31849438.914800137</c:v>
                </c:pt>
                <c:pt idx="3">
                  <c:v>-46882981.925999969</c:v>
                </c:pt>
                <c:pt idx="4">
                  <c:v>-46600495.982400134</c:v>
                </c:pt>
                <c:pt idx="5">
                  <c:v>-37383442.231600076</c:v>
                </c:pt>
              </c:numCache>
            </c:numRef>
          </c:val>
          <c:extLst xmlns:c16r2="http://schemas.microsoft.com/office/drawing/2015/06/char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4128512"/>
        <c:axId val="224026624"/>
      </c:barChart>
      <c:catAx>
        <c:axId val="224128512"/>
        <c:scaling>
          <c:orientation val="minMax"/>
        </c:scaling>
        <c:delete val="0"/>
        <c:axPos val="b"/>
        <c:majorTickMark val="out"/>
        <c:minorTickMark val="none"/>
        <c:tickLblPos val="nextTo"/>
        <c:crossAx val="224026624"/>
        <c:crosses val="autoZero"/>
        <c:auto val="1"/>
        <c:lblAlgn val="ctr"/>
        <c:lblOffset val="100"/>
        <c:noMultiLvlLbl val="0"/>
      </c:catAx>
      <c:valAx>
        <c:axId val="224026624"/>
        <c:scaling>
          <c:orientation val="minMax"/>
        </c:scaling>
        <c:delete val="0"/>
        <c:axPos val="l"/>
        <c:majorGridlines/>
        <c:numFmt formatCode="#,##0.00_ " sourceLinked="1"/>
        <c:majorTickMark val="out"/>
        <c:minorTickMark val="none"/>
        <c:tickLblPos val="nextTo"/>
        <c:crossAx val="22412851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xmlns:c16r2="http://schemas.microsoft.com/office/drawing/2015/06/char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xmlns:c16r2="http://schemas.microsoft.com/office/drawing/2015/06/char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xmlns:c16r2="http://schemas.microsoft.com/office/drawing/2015/06/char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3250316273.8699999</c:v>
                </c:pt>
              </c:numCache>
            </c:numRef>
          </c:val>
          <c:extLst xmlns:c16r2="http://schemas.microsoft.com/office/drawing/2015/06/char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xmlns:c16r2="http://schemas.microsoft.com/office/drawing/2015/06/char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xmlns:c16r2="http://schemas.microsoft.com/office/drawing/2015/06/char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xmlns:c16r2="http://schemas.microsoft.com/office/drawing/2015/06/char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3043601049.46</c:v>
                </c:pt>
              </c:numCache>
            </c:numRef>
          </c:val>
          <c:extLst xmlns:c16r2="http://schemas.microsoft.com/office/drawing/2015/06/char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xmlns:c16r2="http://schemas.microsoft.com/office/drawing/2015/06/char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xmlns:c16r2="http://schemas.microsoft.com/office/drawing/2015/06/char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xmlns:c16r2="http://schemas.microsoft.com/office/drawing/2015/06/char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2237460759.3099999</c:v>
                </c:pt>
              </c:numCache>
            </c:numRef>
          </c:val>
          <c:extLst xmlns:c16r2="http://schemas.microsoft.com/office/drawing/2015/06/char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xmlns:c16r2="http://schemas.microsoft.com/office/drawing/2015/06/char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xmlns:c16r2="http://schemas.microsoft.com/office/drawing/2015/06/char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xmlns:c16r2="http://schemas.microsoft.com/office/drawing/2015/06/char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2125618618.45</c:v>
                </c:pt>
              </c:numCache>
            </c:numRef>
          </c:val>
          <c:extLst xmlns:c16r2="http://schemas.microsoft.com/office/drawing/2015/06/char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xmlns:c16r2="http://schemas.microsoft.com/office/drawing/2015/06/char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xmlns:c16r2="http://schemas.microsoft.com/office/drawing/2015/06/char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xmlns:c16r2="http://schemas.microsoft.com/office/drawing/2015/06/char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2029982702.03</c:v>
                </c:pt>
              </c:numCache>
            </c:numRef>
          </c:val>
          <c:extLst xmlns:c16r2="http://schemas.microsoft.com/office/drawing/2015/06/char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xmlns:c16r2="http://schemas.microsoft.com/office/drawing/2015/06/char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xmlns:c16r2="http://schemas.microsoft.com/office/drawing/2015/06/char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xmlns:c16r2="http://schemas.microsoft.com/office/drawing/2015/06/char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1940346924.02</c:v>
                </c:pt>
              </c:numCache>
            </c:numRef>
          </c:val>
          <c:extLst xmlns:c16r2="http://schemas.microsoft.com/office/drawing/2015/06/char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4215552"/>
        <c:axId val="224028352"/>
      </c:barChart>
      <c:catAx>
        <c:axId val="224215552"/>
        <c:scaling>
          <c:orientation val="minMax"/>
        </c:scaling>
        <c:delete val="0"/>
        <c:axPos val="b"/>
        <c:numFmt formatCode="General" sourceLinked="0"/>
        <c:majorTickMark val="out"/>
        <c:minorTickMark val="none"/>
        <c:tickLblPos val="nextTo"/>
        <c:crossAx val="224028352"/>
        <c:crosses val="autoZero"/>
        <c:auto val="1"/>
        <c:lblAlgn val="ctr"/>
        <c:lblOffset val="100"/>
        <c:noMultiLvlLbl val="0"/>
      </c:catAx>
      <c:valAx>
        <c:axId val="224028352"/>
        <c:scaling>
          <c:orientation val="minMax"/>
        </c:scaling>
        <c:delete val="0"/>
        <c:axPos val="l"/>
        <c:majorGridlines/>
        <c:numFmt formatCode="General" sourceLinked="1"/>
        <c:majorTickMark val="out"/>
        <c:minorTickMark val="none"/>
        <c:tickLblPos val="nextTo"/>
        <c:crossAx val="22421555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1"/>
                <c:pt idx="0">
                  <c:v>(10)期初长期资产净值 1,400,796,408.98  1,428,998,969.86  1,423,833,637.80  1,405,965,721.28  1,341,839,010.07  1,323,035,245.71  1,292,183,664.47  1,291,537,398.03  1,291,726,633.25  1,265,736,800.58  1,262,305,125.37  1,269,497,260.80  1,280,998,904.85  1,271,01</c:v>
                </c:pt>
              </c:strCache>
            </c:strRef>
          </c:tx>
          <c:invertIfNegative val="0"/>
          <c:cat>
            <c:numRef>
              <c:f>投资和筹资活动现金流表!$E$12</c:f>
              <c:numCache>
                <c:formatCode>#,##0.00_ </c:formatCode>
                <c:ptCount val="1"/>
                <c:pt idx="0">
                  <c:v>1400796408.98</c:v>
                </c:pt>
              </c:numCache>
            </c:numRef>
          </c:cat>
          <c:val>
            <c:numRef>
              <c:f>投资和筹资活动现金流表!$E$12:$U$12</c:f>
              <c:numCache>
                <c:formatCode>#,##0.00_ </c:formatCode>
                <c:ptCount val="5"/>
                <c:pt idx="0">
                  <c:v>1400796408.98</c:v>
                </c:pt>
                <c:pt idx="1">
                  <c:v>1341839010.0699999</c:v>
                </c:pt>
                <c:pt idx="2">
                  <c:v>1291726633.25</c:v>
                </c:pt>
                <c:pt idx="3">
                  <c:v>1280998904.8499999</c:v>
                </c:pt>
                <c:pt idx="4">
                  <c:v>1284183058.6300001</c:v>
                </c:pt>
              </c:numCache>
            </c:numRef>
          </c:val>
          <c:extLst xmlns:c16r2="http://schemas.microsoft.com/office/drawing/2015/06/char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222384128"/>
        <c:axId val="224031808"/>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8.4175929524162221E-3</c:v>
                </c:pt>
                <c:pt idx="1">
                  <c:v>3.211610118396533E-2</c:v>
                </c:pt>
                <c:pt idx="2">
                  <c:v>7.4576122935258891E-3</c:v>
                </c:pt>
                <c:pt idx="3">
                  <c:v>-1.1064353705797786E-2</c:v>
                </c:pt>
                <c:pt idx="4">
                  <c:v>1.3368684569250666E-2</c:v>
                </c:pt>
              </c:numCache>
            </c:numRef>
          </c:val>
          <c:smooth val="0"/>
          <c:extLst xmlns:c16r2="http://schemas.microsoft.com/office/drawing/2015/06/char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224217600"/>
        <c:axId val="224032384"/>
      </c:lineChart>
      <c:valAx>
        <c:axId val="224031808"/>
        <c:scaling>
          <c:orientation val="minMax"/>
        </c:scaling>
        <c:delete val="0"/>
        <c:axPos val="r"/>
        <c:numFmt formatCode="#,##0.00_ " sourceLinked="1"/>
        <c:majorTickMark val="out"/>
        <c:minorTickMark val="none"/>
        <c:tickLblPos val="nextTo"/>
        <c:crossAx val="222384128"/>
        <c:crosses val="max"/>
        <c:crossBetween val="between"/>
      </c:valAx>
      <c:catAx>
        <c:axId val="222384128"/>
        <c:scaling>
          <c:orientation val="minMax"/>
        </c:scaling>
        <c:delete val="1"/>
        <c:axPos val="b"/>
        <c:numFmt formatCode="#,##0.00_ " sourceLinked="1"/>
        <c:majorTickMark val="out"/>
        <c:minorTickMark val="none"/>
        <c:tickLblPos val="nextTo"/>
        <c:crossAx val="224031808"/>
        <c:crosses val="autoZero"/>
        <c:auto val="1"/>
        <c:lblAlgn val="ctr"/>
        <c:lblOffset val="100"/>
        <c:noMultiLvlLbl val="0"/>
      </c:catAx>
      <c:valAx>
        <c:axId val="224032384"/>
        <c:scaling>
          <c:orientation val="minMax"/>
        </c:scaling>
        <c:delete val="0"/>
        <c:axPos val="l"/>
        <c:numFmt formatCode="0.00%" sourceLinked="1"/>
        <c:majorTickMark val="out"/>
        <c:minorTickMark val="none"/>
        <c:tickLblPos val="nextTo"/>
        <c:crossAx val="224217600"/>
        <c:crosses val="autoZero"/>
        <c:crossBetween val="between"/>
      </c:valAx>
      <c:catAx>
        <c:axId val="224217600"/>
        <c:scaling>
          <c:orientation val="minMax"/>
        </c:scaling>
        <c:delete val="1"/>
        <c:axPos val="b"/>
        <c:majorTickMark val="out"/>
        <c:minorTickMark val="none"/>
        <c:tickLblPos val="nextTo"/>
        <c:crossAx val="224032384"/>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2.508392387877985</c:v>
                </c:pt>
                <c:pt idx="1">
                  <c:v>2.1925016049806487</c:v>
                </c:pt>
                <c:pt idx="2">
                  <c:v>2.5155659241578698</c:v>
                </c:pt>
                <c:pt idx="3">
                  <c:v>1.9474161229284919</c:v>
                </c:pt>
                <c:pt idx="4">
                  <c:v>1.842645936119542</c:v>
                </c:pt>
                <c:pt idx="5">
                  <c:v>0.24504706961658237</c:v>
                </c:pt>
              </c:numCache>
            </c:numRef>
          </c:val>
          <c:smooth val="0"/>
          <c:extLst xmlns:c16r2="http://schemas.microsoft.com/office/drawing/2015/06/char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19418624"/>
        <c:axId val="224460800"/>
      </c:lineChart>
      <c:catAx>
        <c:axId val="219418624"/>
        <c:scaling>
          <c:orientation val="minMax"/>
        </c:scaling>
        <c:delete val="0"/>
        <c:axPos val="b"/>
        <c:majorTickMark val="out"/>
        <c:minorTickMark val="none"/>
        <c:tickLblPos val="nextTo"/>
        <c:crossAx val="224460800"/>
        <c:crosses val="autoZero"/>
        <c:auto val="1"/>
        <c:lblAlgn val="ctr"/>
        <c:lblOffset val="100"/>
        <c:noMultiLvlLbl val="0"/>
      </c:catAx>
      <c:valAx>
        <c:axId val="224460800"/>
        <c:scaling>
          <c:orientation val="minMax"/>
        </c:scaling>
        <c:delete val="0"/>
        <c:axPos val="l"/>
        <c:majorGridlines/>
        <c:numFmt formatCode="#,##0.00_ " sourceLinked="1"/>
        <c:majorTickMark val="out"/>
        <c:minorTickMark val="none"/>
        <c:tickLblPos val="nextTo"/>
        <c:crossAx val="2194186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163734385.08000001</c:v>
                </c:pt>
                <c:pt idx="1">
                  <c:v>196534517.60999998</c:v>
                </c:pt>
                <c:pt idx="2">
                  <c:v>154889304.39000002</c:v>
                </c:pt>
                <c:pt idx="3">
                  <c:v>131218987.75999999</c:v>
                </c:pt>
                <c:pt idx="4">
                  <c:v>145767523.09</c:v>
                </c:pt>
                <c:pt idx="5">
                  <c:v>116382956.72999999</c:v>
                </c:pt>
              </c:numCache>
            </c:numRef>
          </c:val>
          <c:extLst xmlns:c16r2="http://schemas.microsoft.com/office/drawing/2015/06/char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499465.29</c:v>
                </c:pt>
                <c:pt idx="1">
                  <c:v>34492956.340000004</c:v>
                </c:pt>
                <c:pt idx="2">
                  <c:v>0</c:v>
                </c:pt>
                <c:pt idx="3">
                  <c:v>5697971.4100000001</c:v>
                </c:pt>
                <c:pt idx="4">
                  <c:v>0</c:v>
                </c:pt>
                <c:pt idx="5">
                  <c:v>0</c:v>
                </c:pt>
              </c:numCache>
            </c:numRef>
          </c:val>
          <c:extLst xmlns:c16r2="http://schemas.microsoft.com/office/drawing/2015/06/char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411962940.10000002</c:v>
                </c:pt>
                <c:pt idx="1">
                  <c:v>506528107.43000001</c:v>
                </c:pt>
                <c:pt idx="2">
                  <c:v>389634256.13999999</c:v>
                </c:pt>
                <c:pt idx="3">
                  <c:v>266634293.78999999</c:v>
                </c:pt>
                <c:pt idx="4">
                  <c:v>268597934.04000002</c:v>
                </c:pt>
                <c:pt idx="5">
                  <c:v>28519302.5</c:v>
                </c:pt>
              </c:numCache>
            </c:numRef>
          </c:val>
          <c:extLst xmlns:c16r2="http://schemas.microsoft.com/office/drawing/2015/06/char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-59066799.079999998</c:v>
                </c:pt>
                <c:pt idx="1">
                  <c:v>532075653.13</c:v>
                </c:pt>
                <c:pt idx="2">
                  <c:v>-157989176.72999999</c:v>
                </c:pt>
                <c:pt idx="3">
                  <c:v>-32503373.629999999</c:v>
                </c:pt>
                <c:pt idx="4">
                  <c:v>-68313141.379999995</c:v>
                </c:pt>
                <c:pt idx="5">
                  <c:v>29293398.370000001</c:v>
                </c:pt>
              </c:numCache>
            </c:numRef>
          </c:val>
          <c:extLst xmlns:c16r2="http://schemas.microsoft.com/office/drawing/2015/06/char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2387712"/>
        <c:axId val="224462528"/>
      </c:barChart>
      <c:catAx>
        <c:axId val="222387712"/>
        <c:scaling>
          <c:orientation val="minMax"/>
        </c:scaling>
        <c:delete val="0"/>
        <c:axPos val="b"/>
        <c:majorTickMark val="none"/>
        <c:minorTickMark val="none"/>
        <c:tickLblPos val="nextTo"/>
        <c:crossAx val="224462528"/>
        <c:crosses val="autoZero"/>
        <c:auto val="1"/>
        <c:lblAlgn val="ctr"/>
        <c:lblOffset val="100"/>
        <c:noMultiLvlLbl val="0"/>
      </c:catAx>
      <c:valAx>
        <c:axId val="224462528"/>
        <c:scaling>
          <c:orientation val="minMax"/>
        </c:scaling>
        <c:delete val="0"/>
        <c:axPos val="l"/>
        <c:majorGridlines/>
        <c:numFmt formatCode="#,##0.00_ " sourceLinked="1"/>
        <c:majorTickMark val="none"/>
        <c:minorTickMark val="none"/>
        <c:tickLblPos val="nextTo"/>
        <c:crossAx val="222387712"/>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-91066491.900000006</c:v>
                </c:pt>
                <c:pt idx="1">
                  <c:v>605788985.07999992</c:v>
                </c:pt>
                <c:pt idx="2">
                  <c:v>-43754618.869999997</c:v>
                </c:pt>
                <c:pt idx="3">
                  <c:v>-32127016.649999999</c:v>
                </c:pt>
                <c:pt idx="4">
                  <c:v>-38607016.649999999</c:v>
                </c:pt>
                <c:pt idx="5">
                  <c:v>-36033215.539999999</c:v>
                </c:pt>
              </c:numCache>
            </c:numRef>
          </c:val>
          <c:extLst xmlns:c16r2="http://schemas.microsoft.com/office/drawing/2015/06/char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-3157876</c:v>
                </c:pt>
                <c:pt idx="1">
                  <c:v>-29375142.129999995</c:v>
                </c:pt>
                <c:pt idx="2">
                  <c:v>-117345497.75</c:v>
                </c:pt>
                <c:pt idx="3">
                  <c:v>574159.43999999762</c:v>
                </c:pt>
                <c:pt idx="4">
                  <c:v>-35931331.480000019</c:v>
                </c:pt>
                <c:pt idx="5">
                  <c:v>54548356.879999995</c:v>
                </c:pt>
              </c:numCache>
            </c:numRef>
          </c:val>
          <c:extLst xmlns:c16r2="http://schemas.microsoft.com/office/drawing/2015/06/char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4867840"/>
        <c:axId val="224464832"/>
      </c:barChart>
      <c:catAx>
        <c:axId val="224867840"/>
        <c:scaling>
          <c:orientation val="minMax"/>
        </c:scaling>
        <c:delete val="0"/>
        <c:axPos val="b"/>
        <c:majorTickMark val="out"/>
        <c:minorTickMark val="none"/>
        <c:tickLblPos val="nextTo"/>
        <c:crossAx val="224464832"/>
        <c:crosses val="autoZero"/>
        <c:auto val="1"/>
        <c:lblAlgn val="ctr"/>
        <c:lblOffset val="100"/>
        <c:noMultiLvlLbl val="0"/>
      </c:catAx>
      <c:valAx>
        <c:axId val="224464832"/>
        <c:scaling>
          <c:orientation val="minMax"/>
        </c:scaling>
        <c:delete val="0"/>
        <c:axPos val="l"/>
        <c:majorGridlines/>
        <c:numFmt formatCode="#,##0.00_ " sourceLinked="1"/>
        <c:majorTickMark val="out"/>
        <c:minorTickMark val="none"/>
        <c:tickLblPos val="nextTo"/>
        <c:crossAx val="22486784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88641120</c:v>
                </c:pt>
                <c:pt idx="2">
                  <c:v>164806100</c:v>
                </c:pt>
                <c:pt idx="3">
                  <c:v>242766960</c:v>
                </c:pt>
                <c:pt idx="4">
                  <c:v>170000000</c:v>
                </c:pt>
                <c:pt idx="5">
                  <c:v>190000000</c:v>
                </c:pt>
              </c:numCache>
            </c:numRef>
          </c:val>
          <c:extLst xmlns:c16r2="http://schemas.microsoft.com/office/drawing/2015/06/char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4868864"/>
        <c:axId val="224466560"/>
      </c:barChart>
      <c:catAx>
        <c:axId val="224868864"/>
        <c:scaling>
          <c:orientation val="minMax"/>
        </c:scaling>
        <c:delete val="0"/>
        <c:axPos val="b"/>
        <c:majorTickMark val="out"/>
        <c:minorTickMark val="none"/>
        <c:tickLblPos val="nextTo"/>
        <c:crossAx val="224466560"/>
        <c:crosses val="autoZero"/>
        <c:auto val="1"/>
        <c:lblAlgn val="ctr"/>
        <c:lblOffset val="100"/>
        <c:noMultiLvlLbl val="0"/>
      </c:catAx>
      <c:valAx>
        <c:axId val="224466560"/>
        <c:scaling>
          <c:orientation val="minMax"/>
        </c:scaling>
        <c:delete val="0"/>
        <c:axPos val="l"/>
        <c:majorGridlines/>
        <c:numFmt formatCode="General" sourceLinked="1"/>
        <c:majorTickMark val="out"/>
        <c:minorTickMark val="none"/>
        <c:tickLblPos val="nextTo"/>
        <c:crossAx val="22486886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320176000</c:v>
                </c:pt>
                <c:pt idx="1">
                  <c:v>98673840</c:v>
                </c:pt>
                <c:pt idx="2">
                  <c:v>-30000000</c:v>
                </c:pt>
                <c:pt idx="3">
                  <c:v>30000000</c:v>
                </c:pt>
                <c:pt idx="4">
                  <c:v>0</c:v>
                </c:pt>
                <c:pt idx="5">
                  <c:v>0</c:v>
                </c:pt>
              </c:numCache>
            </c:numRef>
          </c:val>
          <c:extLst xmlns:c16r2="http://schemas.microsoft.com/office/drawing/2015/06/char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5021952"/>
        <c:axId val="224468288"/>
      </c:barChart>
      <c:catAx>
        <c:axId val="225021952"/>
        <c:scaling>
          <c:orientation val="minMax"/>
        </c:scaling>
        <c:delete val="0"/>
        <c:axPos val="b"/>
        <c:majorTickMark val="out"/>
        <c:minorTickMark val="none"/>
        <c:tickLblPos val="nextTo"/>
        <c:crossAx val="224468288"/>
        <c:crosses val="autoZero"/>
        <c:auto val="1"/>
        <c:lblAlgn val="ctr"/>
        <c:lblOffset val="100"/>
        <c:noMultiLvlLbl val="0"/>
      </c:catAx>
      <c:valAx>
        <c:axId val="224468288"/>
        <c:scaling>
          <c:orientation val="minMax"/>
        </c:scaling>
        <c:delete val="0"/>
        <c:axPos val="l"/>
        <c:majorGridlines/>
        <c:numFmt formatCode="#,##0.00_ " sourceLinked="1"/>
        <c:majorTickMark val="out"/>
        <c:minorTickMark val="none"/>
        <c:tickLblPos val="nextTo"/>
        <c:crossAx val="22502195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157876</c:v>
                </c:pt>
                <c:pt idx="1">
                  <c:v>755142.13</c:v>
                </c:pt>
                <c:pt idx="2">
                  <c:v>3141467.75</c:v>
                </c:pt>
                <c:pt idx="3">
                  <c:v>4400164.51</c:v>
                </c:pt>
                <c:pt idx="4">
                  <c:v>5175253.71</c:v>
                </c:pt>
                <c:pt idx="5">
                  <c:v>4775537.5599999996</c:v>
                </c:pt>
              </c:numCache>
            </c:numRef>
          </c:val>
          <c:extLst xmlns:c16r2="http://schemas.microsoft.com/office/drawing/2015/06/char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0</c:v>
                </c:pt>
                <c:pt idx="1">
                  <c:v>1000000</c:v>
                </c:pt>
                <c:pt idx="2">
                  <c:v>2800000</c:v>
                </c:pt>
                <c:pt idx="3">
                  <c:v>113985036.05</c:v>
                </c:pt>
                <c:pt idx="4">
                  <c:v>85756077.769999996</c:v>
                </c:pt>
                <c:pt idx="5">
                  <c:v>117238605.56</c:v>
                </c:pt>
              </c:numCache>
            </c:numRef>
          </c:val>
          <c:extLst xmlns:c16r2="http://schemas.microsoft.com/office/drawing/2015/06/char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3250316273.8699999</c:v>
                </c:pt>
                <c:pt idx="1">
                  <c:v>3043601049.46</c:v>
                </c:pt>
                <c:pt idx="2">
                  <c:v>2237460759.3099999</c:v>
                </c:pt>
                <c:pt idx="3">
                  <c:v>2125618618.45</c:v>
                </c:pt>
                <c:pt idx="4">
                  <c:v>2029982702.03</c:v>
                </c:pt>
                <c:pt idx="5">
                  <c:v>1940346924.02</c:v>
                </c:pt>
              </c:numCache>
            </c:numRef>
          </c:val>
          <c:extLst xmlns:c16r2="http://schemas.microsoft.com/office/drawing/2015/06/char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3259824425.6699996</c:v>
                </c:pt>
                <c:pt idx="1">
                  <c:v>3049264334.3900003</c:v>
                </c:pt>
                <c:pt idx="2">
                  <c:v>2240260759.3099995</c:v>
                </c:pt>
                <c:pt idx="3">
                  <c:v>2243718320.1199999</c:v>
                </c:pt>
                <c:pt idx="4">
                  <c:v>2120266850.1600003</c:v>
                </c:pt>
                <c:pt idx="5">
                  <c:v>2059298244.2799997</c:v>
                </c:pt>
              </c:numCache>
            </c:numRef>
          </c:val>
          <c:extLst xmlns:c16r2="http://schemas.microsoft.com/office/drawing/2015/06/char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4743424"/>
        <c:axId val="224969856"/>
      </c:barChart>
      <c:catAx>
        <c:axId val="224743424"/>
        <c:scaling>
          <c:orientation val="minMax"/>
        </c:scaling>
        <c:delete val="0"/>
        <c:axPos val="b"/>
        <c:majorTickMark val="out"/>
        <c:minorTickMark val="none"/>
        <c:tickLblPos val="nextTo"/>
        <c:crossAx val="224969856"/>
        <c:crosses val="autoZero"/>
        <c:auto val="1"/>
        <c:lblAlgn val="ctr"/>
        <c:lblOffset val="100"/>
        <c:noMultiLvlLbl val="0"/>
      </c:catAx>
      <c:valAx>
        <c:axId val="224969856"/>
        <c:scaling>
          <c:orientation val="minMax"/>
        </c:scaling>
        <c:delete val="0"/>
        <c:axPos val="l"/>
        <c:majorGridlines/>
        <c:numFmt formatCode="#,##0.00_ " sourceLinked="1"/>
        <c:majorTickMark val="out"/>
        <c:minorTickMark val="none"/>
        <c:tickLblPos val="nextTo"/>
        <c:crossAx val="224743424"/>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19"/>
                <c:pt idx="0">
                  <c:v>7.9766658554365655E-2</c:v>
                </c:pt>
                <c:pt idx="1">
                  <c:v>7.9955855869279488E-2</c:v>
                </c:pt>
                <c:pt idx="2">
                  <c:v>7.995003575779111E-2</c:v>
                </c:pt>
                <c:pt idx="3">
                  <c:v>7.7430972783139138E-2</c:v>
                </c:pt>
                <c:pt idx="4">
                  <c:v>7.8106644873064165E-2</c:v>
                </c:pt>
                <c:pt idx="5">
                  <c:v>7.7658444226990531E-2</c:v>
                </c:pt>
                <c:pt idx="6">
                  <c:v>7.8710178038304102E-2</c:v>
                </c:pt>
                <c:pt idx="7">
                  <c:v>7.7234644892027471E-2</c:v>
                </c:pt>
                <c:pt idx="8">
                  <c:v>7.6894030525202439E-2</c:v>
                </c:pt>
                <c:pt idx="9">
                  <c:v>7.8197330221605077E-2</c:v>
                </c:pt>
                <c:pt idx="10">
                  <c:v>7.6253113257315805E-2</c:v>
                </c:pt>
                <c:pt idx="11">
                  <c:v>6.9359752058928192E-2</c:v>
                </c:pt>
                <c:pt idx="12">
                  <c:v>6.0799109495105412E-2</c:v>
                </c:pt>
                <c:pt idx="13">
                  <c:v>6.6458895642037788E-2</c:v>
                </c:pt>
                <c:pt idx="14">
                  <c:v>6.6459825530493191E-2</c:v>
                </c:pt>
                <c:pt idx="15">
                  <c:v>7.122991246679021E-2</c:v>
                </c:pt>
                <c:pt idx="16">
                  <c:v>6.8241143098158388E-2</c:v>
                </c:pt>
                <c:pt idx="17">
                  <c:v>0</c:v>
                </c:pt>
                <c:pt idx="18">
                  <c:v>0</c:v>
                </c:pt>
              </c:numCache>
            </c:numRef>
          </c:val>
          <c:smooth val="0"/>
          <c:extLst xmlns:c16r2="http://schemas.microsoft.com/office/drawing/2015/06/char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24744960"/>
        <c:axId val="224972160"/>
      </c:lineChart>
      <c:catAx>
        <c:axId val="224744960"/>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224972160"/>
        <c:crosses val="autoZero"/>
        <c:auto val="1"/>
        <c:lblAlgn val="ctr"/>
        <c:lblOffset val="100"/>
        <c:noMultiLvlLbl val="0"/>
      </c:catAx>
      <c:valAx>
        <c:axId val="22497216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224744960"/>
        <c:crosses val="autoZero"/>
        <c:crossBetween val="between"/>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-0.35120753099364849</c:v>
                </c:pt>
                <c:pt idx="1">
                  <c:v>2.2607767672688026</c:v>
                </c:pt>
                <c:pt idx="2">
                  <c:v>0.33211364577851338</c:v>
                </c:pt>
                <c:pt idx="3">
                  <c:v>0.45070588578517828</c:v>
                </c:pt>
                <c:pt idx="4">
                  <c:v>0.13411572221823811</c:v>
                </c:pt>
                <c:pt idx="5">
                  <c:v>-0.28036667748891031</c:v>
                </c:pt>
              </c:numCache>
            </c:numRef>
          </c:val>
          <c:smooth val="0"/>
          <c:extLst xmlns:c16r2="http://schemas.microsoft.com/office/drawing/2015/06/char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c:v>
                </c:pt>
                <c:pt idx="1">
                  <c:v>0</c:v>
                </c:pt>
                <c:pt idx="2">
                  <c:v>0</c:v>
                </c:pt>
                <c:pt idx="3">
                  <c:v>-1</c:v>
                </c:pt>
                <c:pt idx="4">
                  <c:v>-0.99154637995202088</c:v>
                </c:pt>
                <c:pt idx="5">
                  <c:v>-0.49787762410831155</c:v>
                </c:pt>
              </c:numCache>
            </c:numRef>
          </c:val>
          <c:smooth val="0"/>
          <c:extLst xmlns:c16r2="http://schemas.microsoft.com/office/drawing/2015/06/char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0.95687094372927628</c:v>
                </c:pt>
                <c:pt idx="1">
                  <c:v>-2.6591263564009048E-2</c:v>
                </c:pt>
                <c:pt idx="2">
                  <c:v>-0.19186416293899916</c:v>
                </c:pt>
                <c:pt idx="3">
                  <c:v>4.9571086631815316E-2</c:v>
                </c:pt>
                <c:pt idx="4">
                  <c:v>6.4672437182459033E-2</c:v>
                </c:pt>
                <c:pt idx="5">
                  <c:v>0.3708857498259881</c:v>
                </c:pt>
              </c:numCache>
            </c:numRef>
          </c:val>
          <c:smooth val="0"/>
          <c:extLst xmlns:c16r2="http://schemas.microsoft.com/office/drawing/2015/06/char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0.42870279921721877</c:v>
                </c:pt>
                <c:pt idx="1">
                  <c:v>8.082662979681611E-2</c:v>
                </c:pt>
                <c:pt idx="2">
                  <c:v>1.4839881256075752E-2</c:v>
                </c:pt>
                <c:pt idx="3">
                  <c:v>1.8419097696810067E-2</c:v>
                </c:pt>
                <c:pt idx="4">
                  <c:v>6.2103738040410944E-2</c:v>
                </c:pt>
                <c:pt idx="5">
                  <c:v>0.13886163580512387</c:v>
                </c:pt>
              </c:numCache>
            </c:numRef>
          </c:val>
          <c:smooth val="0"/>
          <c:extLst xmlns:c16r2="http://schemas.microsoft.com/office/drawing/2015/06/char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7.646485513406584E-2</c:v>
                </c:pt>
                <c:pt idx="1">
                  <c:v>0.16668847822670457</c:v>
                </c:pt>
                <c:pt idx="2">
                  <c:v>0.27564645736563914</c:v>
                </c:pt>
                <c:pt idx="3">
                  <c:v>-1.8343242205502017E-2</c:v>
                </c:pt>
                <c:pt idx="4">
                  <c:v>5.908832522228382E-2</c:v>
                </c:pt>
                <c:pt idx="5">
                  <c:v>-4.9907608473610136E-2</c:v>
                </c:pt>
              </c:numCache>
            </c:numRef>
          </c:val>
          <c:smooth val="0"/>
          <c:extLst xmlns:c16r2="http://schemas.microsoft.com/office/drawing/2015/06/char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3.73392415744008E-2</c:v>
                </c:pt>
                <c:pt idx="1">
                  <c:v>4.6756909684474178E-2</c:v>
                </c:pt>
                <c:pt idx="2">
                  <c:v>4.0668403406508159E-2</c:v>
                </c:pt>
                <c:pt idx="3">
                  <c:v>8.4116762461848536E-3</c:v>
                </c:pt>
                <c:pt idx="4">
                  <c:v>3.3834592762356981E-3</c:v>
                </c:pt>
                <c:pt idx="5">
                  <c:v>3.0509060997306828E-2</c:v>
                </c:pt>
              </c:numCache>
            </c:numRef>
          </c:val>
          <c:smooth val="0"/>
          <c:extLst xmlns:c16r2="http://schemas.microsoft.com/office/drawing/2015/06/char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c:v>
                </c:pt>
                <c:pt idx="1">
                  <c:v>-0.6428571428571429</c:v>
                </c:pt>
                <c:pt idx="2">
                  <c:v>-0.97543537207136766</c:v>
                </c:pt>
                <c:pt idx="3">
                  <c:v>0.32917734828907164</c:v>
                </c:pt>
                <c:pt idx="4">
                  <c:v>-0.26853379601046157</c:v>
                </c:pt>
                <c:pt idx="5">
                  <c:v>1.1316110101818182</c:v>
                </c:pt>
              </c:numCache>
            </c:numRef>
          </c:val>
          <c:smooth val="0"/>
          <c:extLst xmlns:c16r2="http://schemas.microsoft.com/office/drawing/2015/06/char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0</c:v>
                </c:pt>
                <c:pt idx="4">
                  <c:v>0</c:v>
                </c:pt>
                <c:pt idx="5">
                  <c:v>-1</c:v>
                </c:pt>
              </c:numCache>
            </c:numRef>
          </c:val>
          <c:smooth val="0"/>
          <c:extLst xmlns:c16r2="http://schemas.microsoft.com/office/drawing/2015/06/char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5546752"/>
        <c:axId val="224973888"/>
      </c:lineChart>
      <c:catAx>
        <c:axId val="225546752"/>
        <c:scaling>
          <c:orientation val="minMax"/>
        </c:scaling>
        <c:delete val="0"/>
        <c:axPos val="b"/>
        <c:majorTickMark val="out"/>
        <c:minorTickMark val="none"/>
        <c:tickLblPos val="nextTo"/>
        <c:crossAx val="224973888"/>
        <c:crosses val="autoZero"/>
        <c:auto val="1"/>
        <c:lblAlgn val="ctr"/>
        <c:lblOffset val="100"/>
        <c:noMultiLvlLbl val="0"/>
      </c:catAx>
      <c:valAx>
        <c:axId val="224973888"/>
        <c:scaling>
          <c:orientation val="minMax"/>
        </c:scaling>
        <c:delete val="0"/>
        <c:axPos val="l"/>
        <c:majorGridlines/>
        <c:numFmt formatCode="0.00%" sourceLinked="1"/>
        <c:majorTickMark val="out"/>
        <c:minorTickMark val="none"/>
        <c:tickLblPos val="nextTo"/>
        <c:crossAx val="225546752"/>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0.21902796041024553</c:v>
                </c:pt>
                <c:pt idx="1">
                  <c:v>0.36090499634566831</c:v>
                </c:pt>
                <c:pt idx="2">
                  <c:v>0.1506497199611479</c:v>
                </c:pt>
                <c:pt idx="3">
                  <c:v>0.11291646912543372</c:v>
                </c:pt>
                <c:pt idx="4">
                  <c:v>8.2367470116707808E-2</c:v>
                </c:pt>
                <c:pt idx="5">
                  <c:v>7.4777274184410158E-2</c:v>
                </c:pt>
              </c:numCache>
            </c:numRef>
          </c:val>
          <c:smooth val="0"/>
          <c:extLst xmlns:c16r2="http://schemas.microsoft.com/office/drawing/2015/06/char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c:v>
                </c:pt>
                <c:pt idx="1">
                  <c:v>0</c:v>
                </c:pt>
                <c:pt idx="2">
                  <c:v>0</c:v>
                </c:pt>
                <c:pt idx="3">
                  <c:v>0</c:v>
                </c:pt>
                <c:pt idx="4">
                  <c:v>2.3581937337852962E-5</c:v>
                </c:pt>
                <c:pt idx="5">
                  <c:v>2.872156039771671E-3</c:v>
                </c:pt>
              </c:numCache>
            </c:numRef>
          </c:val>
          <c:smooth val="0"/>
          <c:extLst xmlns:c16r2="http://schemas.microsoft.com/office/drawing/2015/06/char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0.43869460450652176</c:v>
                </c:pt>
                <c:pt idx="1">
                  <c:v>0.45210636508027924</c:v>
                </c:pt>
                <c:pt idx="2">
                  <c:v>0.58788352193681215</c:v>
                </c:pt>
                <c:pt idx="3">
                  <c:v>0.56403902904902747</c:v>
                </c:pt>
                <c:pt idx="4">
                  <c:v>0.59190103766669544</c:v>
                </c:pt>
                <c:pt idx="5">
                  <c:v>0.60737014141791135</c:v>
                </c:pt>
              </c:numCache>
            </c:numRef>
          </c:val>
          <c:smooth val="0"/>
          <c:extLst xmlns:c16r2="http://schemas.microsoft.com/office/drawing/2015/06/char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1</c:v>
                </c:pt>
                <c:pt idx="2">
                  <c:v>1</c:v>
                </c:pt>
                <c:pt idx="3">
                  <c:v>1</c:v>
                </c:pt>
                <c:pt idx="4">
                  <c:v>1</c:v>
                </c:pt>
                <c:pt idx="5">
                  <c:v>1</c:v>
                </c:pt>
              </c:numCache>
            </c:numRef>
          </c:val>
          <c:smooth val="0"/>
          <c:extLst xmlns:c16r2="http://schemas.microsoft.com/office/drawing/2015/06/char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5548288"/>
        <c:axId val="224976192"/>
      </c:lineChart>
      <c:catAx>
        <c:axId val="225548288"/>
        <c:scaling>
          <c:orientation val="minMax"/>
        </c:scaling>
        <c:delete val="0"/>
        <c:axPos val="b"/>
        <c:majorTickMark val="out"/>
        <c:minorTickMark val="none"/>
        <c:tickLblPos val="nextTo"/>
        <c:crossAx val="224976192"/>
        <c:crosses val="autoZero"/>
        <c:auto val="1"/>
        <c:lblAlgn val="ctr"/>
        <c:lblOffset val="100"/>
        <c:noMultiLvlLbl val="0"/>
      </c:catAx>
      <c:valAx>
        <c:axId val="224976192"/>
        <c:scaling>
          <c:orientation val="minMax"/>
        </c:scaling>
        <c:delete val="0"/>
        <c:axPos val="l"/>
        <c:majorGridlines/>
        <c:numFmt formatCode="0.00%" sourceLinked="1"/>
        <c:majorTickMark val="out"/>
        <c:minorTickMark val="none"/>
        <c:tickLblPos val="nextTo"/>
        <c:crossAx val="22554828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1.6399135261633118</c:v>
                </c:pt>
                <c:pt idx="1">
                  <c:v>2.9283366686942416</c:v>
                </c:pt>
                <c:pt idx="2">
                  <c:v>1.5713914324776754</c:v>
                </c:pt>
                <c:pt idx="3">
                  <c:v>1.1922788384315255</c:v>
                </c:pt>
                <c:pt idx="4">
                  <c:v>1.1287091278640453</c:v>
                </c:pt>
                <c:pt idx="5">
                  <c:v>1.0566572840994521</c:v>
                </c:pt>
              </c:numCache>
            </c:numRef>
          </c:val>
          <c:smooth val="0"/>
          <c:extLst xmlns:c16r2="http://schemas.microsoft.com/office/drawing/2015/06/char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5549824"/>
        <c:axId val="224814784"/>
      </c:lineChart>
      <c:catAx>
        <c:axId val="225549824"/>
        <c:scaling>
          <c:orientation val="minMax"/>
        </c:scaling>
        <c:delete val="0"/>
        <c:axPos val="b"/>
        <c:majorTickMark val="out"/>
        <c:minorTickMark val="none"/>
        <c:tickLblPos val="nextTo"/>
        <c:crossAx val="224814784"/>
        <c:crosses val="autoZero"/>
        <c:auto val="1"/>
        <c:lblAlgn val="ctr"/>
        <c:lblOffset val="100"/>
        <c:noMultiLvlLbl val="0"/>
      </c:catAx>
      <c:valAx>
        <c:axId val="224814784"/>
        <c:scaling>
          <c:orientation val="minMax"/>
        </c:scaling>
        <c:delete val="0"/>
        <c:axPos val="l"/>
        <c:majorGridlines/>
        <c:numFmt formatCode="0.00%" sourceLinked="1"/>
        <c:majorTickMark val="out"/>
        <c:minorTickMark val="none"/>
        <c:tickLblPos val="nextTo"/>
        <c:crossAx val="2255498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713992695.25</c:v>
                </c:pt>
                <c:pt idx="1">
                  <c:v>1100494733.4599998</c:v>
                </c:pt>
                <c:pt idx="2">
                  <c:v>337494656.02999997</c:v>
                </c:pt>
                <c:pt idx="3">
                  <c:v>253352750.41999999</c:v>
                </c:pt>
                <c:pt idx="4">
                  <c:v>174641016.42000002</c:v>
                </c:pt>
                <c:pt idx="5">
                  <c:v>153988709.44</c:v>
                </c:pt>
              </c:numCache>
            </c:numRef>
          </c:val>
          <c:extLst xmlns:c16r2="http://schemas.microsoft.com/office/drawing/2015/06/char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0</c:v>
                </c:pt>
                <c:pt idx="1">
                  <c:v>0</c:v>
                </c:pt>
                <c:pt idx="2">
                  <c:v>0</c:v>
                </c:pt>
                <c:pt idx="3">
                  <c:v>0</c:v>
                </c:pt>
                <c:pt idx="4">
                  <c:v>50000</c:v>
                </c:pt>
                <c:pt idx="5">
                  <c:v>5914625.8899999997</c:v>
                </c:pt>
              </c:numCache>
            </c:numRef>
          </c:val>
          <c:extLst xmlns:c16r2="http://schemas.microsoft.com/office/drawing/2015/06/char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1430067387.1799998</c:v>
                </c:pt>
                <c:pt idx="1">
                  <c:v>1378591814.3900001</c:v>
                </c:pt>
                <c:pt idx="2">
                  <c:v>1317012385.2399995</c:v>
                </c:pt>
                <c:pt idx="3">
                  <c:v>1265544702.7399998</c:v>
                </c:pt>
                <c:pt idx="4">
                  <c:v>1254988148.74</c:v>
                </c:pt>
                <c:pt idx="5">
                  <c:v>1250756265.8499999</c:v>
                </c:pt>
              </c:numCache>
            </c:numRef>
          </c:val>
          <c:extLst xmlns:c16r2="http://schemas.microsoft.com/office/drawing/2015/06/char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3259824425.6699996</c:v>
                </c:pt>
                <c:pt idx="1">
                  <c:v>3049264334.3900003</c:v>
                </c:pt>
                <c:pt idx="2">
                  <c:v>2240260759.3099995</c:v>
                </c:pt>
                <c:pt idx="3">
                  <c:v>2243718320.1199999</c:v>
                </c:pt>
                <c:pt idx="4">
                  <c:v>2120266850.1600003</c:v>
                </c:pt>
                <c:pt idx="5">
                  <c:v>2059298244.2799997</c:v>
                </c:pt>
              </c:numCache>
            </c:numRef>
          </c:val>
          <c:extLst xmlns:c16r2="http://schemas.microsoft.com/office/drawing/2015/06/char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6234880"/>
        <c:axId val="224816512"/>
      </c:barChart>
      <c:catAx>
        <c:axId val="226234880"/>
        <c:scaling>
          <c:orientation val="minMax"/>
        </c:scaling>
        <c:delete val="0"/>
        <c:axPos val="b"/>
        <c:majorTickMark val="out"/>
        <c:minorTickMark val="none"/>
        <c:tickLblPos val="nextTo"/>
        <c:crossAx val="224816512"/>
        <c:crosses val="autoZero"/>
        <c:auto val="1"/>
        <c:lblAlgn val="ctr"/>
        <c:lblOffset val="100"/>
        <c:noMultiLvlLbl val="0"/>
      </c:catAx>
      <c:valAx>
        <c:axId val="224816512"/>
        <c:scaling>
          <c:orientation val="minMax"/>
        </c:scaling>
        <c:delete val="0"/>
        <c:axPos val="l"/>
        <c:majorGridlines/>
        <c:numFmt formatCode="#,##0.00_ " sourceLinked="1"/>
        <c:majorTickMark val="out"/>
        <c:minorTickMark val="none"/>
        <c:tickLblPos val="nextTo"/>
        <c:crossAx val="22623488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1000000</c:v>
                </c:pt>
                <c:pt idx="2">
                  <c:v>2800000</c:v>
                </c:pt>
                <c:pt idx="3">
                  <c:v>113985036.05</c:v>
                </c:pt>
                <c:pt idx="4">
                  <c:v>85756077.769999996</c:v>
                </c:pt>
                <c:pt idx="5">
                  <c:v>117238605.56</c:v>
                </c:pt>
              </c:numCache>
            </c:numRef>
          </c:val>
          <c:extLst xmlns:c16r2="http://schemas.microsoft.com/office/drawing/2015/06/char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6236416"/>
        <c:axId val="224818816"/>
      </c:barChart>
      <c:catAx>
        <c:axId val="226236416"/>
        <c:scaling>
          <c:orientation val="minMax"/>
        </c:scaling>
        <c:delete val="0"/>
        <c:axPos val="b"/>
        <c:majorTickMark val="out"/>
        <c:minorTickMark val="none"/>
        <c:tickLblPos val="nextTo"/>
        <c:crossAx val="224818816"/>
        <c:crosses val="autoZero"/>
        <c:auto val="1"/>
        <c:lblAlgn val="ctr"/>
        <c:lblOffset val="100"/>
        <c:noMultiLvlLbl val="0"/>
      </c:catAx>
      <c:valAx>
        <c:axId val="224818816"/>
        <c:scaling>
          <c:orientation val="minMax"/>
        </c:scaling>
        <c:delete val="0"/>
        <c:axPos val="l"/>
        <c:majorGridlines/>
        <c:numFmt formatCode="#,##0.00_ " sourceLinked="1"/>
        <c:majorTickMark val="out"/>
        <c:minorTickMark val="none"/>
        <c:tickLblPos val="nextTo"/>
        <c:crossAx val="2262364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713992695.25</c:v>
                </c:pt>
                <c:pt idx="1">
                  <c:v>1099494733.4600003</c:v>
                </c:pt>
                <c:pt idx="2">
                  <c:v>334694656.02999997</c:v>
                </c:pt>
                <c:pt idx="3">
                  <c:v>139367714.37000012</c:v>
                </c:pt>
                <c:pt idx="4">
                  <c:v>88884938.650000095</c:v>
                </c:pt>
                <c:pt idx="5">
                  <c:v>36750103.879999638</c:v>
                </c:pt>
              </c:numCache>
            </c:numRef>
          </c:val>
          <c:extLst xmlns:c16r2="http://schemas.microsoft.com/office/drawing/2015/06/char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-713992695.25</c:v>
                </c:pt>
                <c:pt idx="1">
                  <c:v>-1099494733.4599998</c:v>
                </c:pt>
                <c:pt idx="2">
                  <c:v>-334694656.02999997</c:v>
                </c:pt>
                <c:pt idx="3">
                  <c:v>-139367714.37</c:v>
                </c:pt>
                <c:pt idx="4">
                  <c:v>-88884938.650000021</c:v>
                </c:pt>
                <c:pt idx="5">
                  <c:v>-36750103.879999995</c:v>
                </c:pt>
              </c:numCache>
            </c:numRef>
          </c:val>
          <c:extLst xmlns:c16r2="http://schemas.microsoft.com/office/drawing/2015/06/char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6119680"/>
        <c:axId val="224820544"/>
      </c:barChart>
      <c:catAx>
        <c:axId val="226119680"/>
        <c:scaling>
          <c:orientation val="minMax"/>
        </c:scaling>
        <c:delete val="0"/>
        <c:axPos val="b"/>
        <c:majorTickMark val="out"/>
        <c:minorTickMark val="none"/>
        <c:tickLblPos val="nextTo"/>
        <c:crossAx val="224820544"/>
        <c:crosses val="autoZero"/>
        <c:auto val="1"/>
        <c:lblAlgn val="ctr"/>
        <c:lblOffset val="100"/>
        <c:noMultiLvlLbl val="0"/>
      </c:catAx>
      <c:valAx>
        <c:axId val="224820544"/>
        <c:scaling>
          <c:orientation val="minMax"/>
        </c:scaling>
        <c:delete val="0"/>
        <c:axPos val="l"/>
        <c:majorGridlines/>
        <c:numFmt formatCode="#,##0.00_ " sourceLinked="1"/>
        <c:majorTickMark val="out"/>
        <c:minorTickMark val="none"/>
        <c:tickLblPos val="nextTo"/>
        <c:crossAx val="226119680"/>
        <c:crosses val="autoZero"/>
        <c:crossBetween val="between"/>
      </c:valAx>
    </c:plotArea>
    <c:legend>
      <c:legendPos val="r"/>
      <c:layout>
        <c:manualLayout>
          <c:xMode val="edge"/>
          <c:yMode val="edge"/>
          <c:x val="0.66450039918320125"/>
          <c:y val="0.28846189112168219"/>
          <c:w val="0.3354996008167988"/>
          <c:h val="0.70255232841743898"/>
        </c:manualLayout>
      </c:layout>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0.67779743699129769</c:v>
                </c:pt>
                <c:pt idx="1">
                  <c:v>0.67194236065243051</c:v>
                </c:pt>
                <c:pt idx="2">
                  <c:v>0.6869378099353084</c:v>
                </c:pt>
                <c:pt idx="3">
                  <c:v>0.73529401162669783</c:v>
                </c:pt>
                <c:pt idx="4">
                  <c:v>0.7153793435447241</c:v>
                </c:pt>
                <c:pt idx="5">
                  <c:v>0.72242983866372479</c:v>
                </c:pt>
              </c:numCache>
            </c:numRef>
          </c:val>
          <c:smooth val="0"/>
          <c:extLst xmlns:c16r2="http://schemas.microsoft.com/office/drawing/2015/06/char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0.32220256300870231</c:v>
                </c:pt>
                <c:pt idx="1">
                  <c:v>0.32805763934756949</c:v>
                </c:pt>
                <c:pt idx="2">
                  <c:v>0.3130621900646916</c:v>
                </c:pt>
                <c:pt idx="3">
                  <c:v>0.26470598837330211</c:v>
                </c:pt>
                <c:pt idx="4">
                  <c:v>0.2846206564552759</c:v>
                </c:pt>
                <c:pt idx="5">
                  <c:v>0.27757016133627521</c:v>
                </c:pt>
              </c:numCache>
            </c:numRef>
          </c:val>
          <c:smooth val="0"/>
          <c:extLst xmlns:c16r2="http://schemas.microsoft.com/office/drawing/2015/06/char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1.3992442084781337E-2</c:v>
                </c:pt>
                <c:pt idx="1">
                  <c:v>1.2785966536288494E-2</c:v>
                </c:pt>
                <c:pt idx="2">
                  <c:v>8.1983516717118749E-3</c:v>
                </c:pt>
                <c:pt idx="3">
                  <c:v>8.0884295832631715E-3</c:v>
                </c:pt>
                <c:pt idx="4">
                  <c:v>7.7766277595094583E-3</c:v>
                </c:pt>
                <c:pt idx="5">
                  <c:v>6.5325476598441061E-3</c:v>
                </c:pt>
              </c:numCache>
            </c:numRef>
          </c:val>
          <c:smooth val="0"/>
          <c:extLst xmlns:c16r2="http://schemas.microsoft.com/office/drawing/2015/06/char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8.389474719746863E-2</c:v>
                </c:pt>
                <c:pt idx="1">
                  <c:v>9.4132191292432402E-2</c:v>
                </c:pt>
                <c:pt idx="2">
                  <c:v>0.10251024103565334</c:v>
                </c:pt>
                <c:pt idx="3">
                  <c:v>9.2467620369836051E-2</c:v>
                </c:pt>
                <c:pt idx="4">
                  <c:v>8.8635244929201579E-2</c:v>
                </c:pt>
                <c:pt idx="5">
                  <c:v>8.2572249778562049E-2</c:v>
                </c:pt>
              </c:numCache>
            </c:numRef>
          </c:val>
          <c:smooth val="0"/>
          <c:extLst xmlns:c16r2="http://schemas.microsoft.com/office/drawing/2015/06/char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8.4704143605156434E-2</c:v>
                </c:pt>
                <c:pt idx="1">
                  <c:v>6.4767316731072319E-2</c:v>
                </c:pt>
                <c:pt idx="2">
                  <c:v>6.4518495021535435E-2</c:v>
                </c:pt>
                <c:pt idx="3">
                  <c:v>5.4899615821071161E-2</c:v>
                </c:pt>
                <c:pt idx="4">
                  <c:v>5.9591877644765687E-2</c:v>
                </c:pt>
                <c:pt idx="5">
                  <c:v>6.041588896475316E-2</c:v>
                </c:pt>
              </c:numCache>
            </c:numRef>
          </c:val>
          <c:smooth val="0"/>
          <c:extLst xmlns:c16r2="http://schemas.microsoft.com/office/drawing/2015/06/char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7.9458819765095053E-3</c:v>
                </c:pt>
                <c:pt idx="1">
                  <c:v>4.1424594465649341E-2</c:v>
                </c:pt>
                <c:pt idx="2">
                  <c:v>2.6527396346879673E-2</c:v>
                </c:pt>
                <c:pt idx="3">
                  <c:v>6.5414844937836496E-3</c:v>
                </c:pt>
                <c:pt idx="4">
                  <c:v>1.7586012018473672E-2</c:v>
                </c:pt>
                <c:pt idx="5">
                  <c:v>1.939472539582475E-2</c:v>
                </c:pt>
              </c:numCache>
            </c:numRef>
          </c:val>
          <c:smooth val="0"/>
          <c:extLst xmlns:c16r2="http://schemas.microsoft.com/office/drawing/2015/06/char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1.02137523592182E-3</c:v>
                </c:pt>
                <c:pt idx="1">
                  <c:v>9.4011956119077528E-4</c:v>
                </c:pt>
                <c:pt idx="2">
                  <c:v>9.8312470690470138E-4</c:v>
                </c:pt>
                <c:pt idx="3">
                  <c:v>1.0489887549537883E-3</c:v>
                </c:pt>
                <c:pt idx="4">
                  <c:v>1.0822487217161066E-3</c:v>
                </c:pt>
                <c:pt idx="5">
                  <c:v>1.0382998863753931E-3</c:v>
                </c:pt>
              </c:numCache>
            </c:numRef>
          </c:val>
          <c:smooth val="0"/>
          <c:extLst xmlns:c16r2="http://schemas.microsoft.com/office/drawing/2015/06/char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-2.7029611134876752E-3</c:v>
                </c:pt>
                <c:pt idx="1">
                  <c:v>-7.4915933833039133E-3</c:v>
                </c:pt>
                <c:pt idx="2">
                  <c:v>-1.4699771217262336E-3</c:v>
                </c:pt>
                <c:pt idx="3">
                  <c:v>-1.3152839905708324E-3</c:v>
                </c:pt>
                <c:pt idx="4">
                  <c:v>2.1293232130366905E-3</c:v>
                </c:pt>
                <c:pt idx="5">
                  <c:v>4.5753786044522345E-3</c:v>
                </c:pt>
              </c:numCache>
            </c:numRef>
          </c:val>
          <c:smooth val="0"/>
          <c:extLst xmlns:c16r2="http://schemas.microsoft.com/office/drawing/2015/06/char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0.18885562898635008</c:v>
                </c:pt>
                <c:pt idx="1">
                  <c:v>0.20655859520332942</c:v>
                </c:pt>
                <c:pt idx="2">
                  <c:v>0.20126763166095882</c:v>
                </c:pt>
                <c:pt idx="3">
                  <c:v>0.161730855032337</c:v>
                </c:pt>
                <c:pt idx="4">
                  <c:v>0.17680133428670322</c:v>
                </c:pt>
                <c:pt idx="5">
                  <c:v>0.17452909028981167</c:v>
                </c:pt>
              </c:numCache>
            </c:numRef>
          </c:val>
          <c:smooth val="0"/>
          <c:extLst xmlns:c16r2="http://schemas.microsoft.com/office/drawing/2015/06/char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0.10638001592126169</c:v>
                </c:pt>
                <c:pt idx="1">
                  <c:v>8.5346979366189249E-2</c:v>
                </c:pt>
                <c:pt idx="2">
                  <c:v>8.0982537756223369E-2</c:v>
                </c:pt>
                <c:pt idx="3">
                  <c:v>7.3605613208075973E-2</c:v>
                </c:pt>
                <c:pt idx="4">
                  <c:v>8.2234715597187841E-2</c:v>
                </c:pt>
                <c:pt idx="5">
                  <c:v>8.3506081017673858E-2</c:v>
                </c:pt>
              </c:numCache>
            </c:numRef>
          </c:val>
          <c:smooth val="0"/>
          <c:extLst xmlns:c16r2="http://schemas.microsoft.com/office/drawing/2015/06/char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6122240"/>
        <c:axId val="226165888"/>
      </c:lineChart>
      <c:catAx>
        <c:axId val="226122240"/>
        <c:scaling>
          <c:orientation val="minMax"/>
        </c:scaling>
        <c:delete val="0"/>
        <c:axPos val="b"/>
        <c:majorTickMark val="out"/>
        <c:minorTickMark val="none"/>
        <c:tickLblPos val="nextTo"/>
        <c:crossAx val="226165888"/>
        <c:crosses val="autoZero"/>
        <c:auto val="1"/>
        <c:lblAlgn val="ctr"/>
        <c:lblOffset val="100"/>
        <c:noMultiLvlLbl val="0"/>
      </c:catAx>
      <c:valAx>
        <c:axId val="226165888"/>
        <c:scaling>
          <c:orientation val="minMax"/>
        </c:scaling>
        <c:delete val="0"/>
        <c:axPos val="l"/>
        <c:majorGridlines/>
        <c:numFmt formatCode="0.00%" sourceLinked="1"/>
        <c:majorTickMark val="out"/>
        <c:minorTickMark val="none"/>
        <c:tickLblPos val="nextTo"/>
        <c:crossAx val="22612224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0.98881533606165961</c:v>
                </c:pt>
                <c:pt idx="1">
                  <c:v>0.91713115206882501</c:v>
                </c:pt>
                <c:pt idx="2">
                  <c:v>0.9445523982387759</c:v>
                </c:pt>
                <c:pt idx="3">
                  <c:v>0.98214059211449101</c:v>
                </c:pt>
                <c:pt idx="4">
                  <c:v>1.0210990541347076</c:v>
                </c:pt>
                <c:pt idx="5">
                  <c:v>0.9977153020617936</c:v>
                </c:pt>
              </c:numCache>
            </c:numRef>
          </c:val>
          <c:smooth val="0"/>
          <c:extLst xmlns:c16r2="http://schemas.microsoft.com/office/drawing/2015/06/char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1.1184663938340335E-2</c:v>
                </c:pt>
                <c:pt idx="1">
                  <c:v>8.2868847931175077E-2</c:v>
                </c:pt>
                <c:pt idx="2">
                  <c:v>5.5447601761224152E-2</c:v>
                </c:pt>
                <c:pt idx="3">
                  <c:v>1.7859407885509035E-2</c:v>
                </c:pt>
                <c:pt idx="4">
                  <c:v>-2.1099054134707654E-2</c:v>
                </c:pt>
                <c:pt idx="5">
                  <c:v>2.2846979382064748E-3</c:v>
                </c:pt>
              </c:numCache>
            </c:numRef>
          </c:val>
          <c:smooth val="0"/>
          <c:extLst xmlns:c16r2="http://schemas.microsoft.com/office/drawing/2015/06/char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5619968"/>
        <c:axId val="226168192"/>
      </c:lineChart>
      <c:catAx>
        <c:axId val="225619968"/>
        <c:scaling>
          <c:orientation val="minMax"/>
        </c:scaling>
        <c:delete val="0"/>
        <c:axPos val="b"/>
        <c:majorTickMark val="out"/>
        <c:minorTickMark val="none"/>
        <c:tickLblPos val="nextTo"/>
        <c:crossAx val="226168192"/>
        <c:crosses val="autoZero"/>
        <c:auto val="1"/>
        <c:lblAlgn val="ctr"/>
        <c:lblOffset val="100"/>
        <c:noMultiLvlLbl val="0"/>
      </c:catAx>
      <c:valAx>
        <c:axId val="226168192"/>
        <c:scaling>
          <c:orientation val="minMax"/>
        </c:scaling>
        <c:delete val="0"/>
        <c:axPos val="l"/>
        <c:majorGridlines/>
        <c:numFmt formatCode="0.00%" sourceLinked="1"/>
        <c:majorTickMark val="out"/>
        <c:minorTickMark val="none"/>
        <c:tickLblPos val="nextTo"/>
        <c:crossAx val="22561996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0.10052648184322435</c:v>
                </c:pt>
                <c:pt idx="1">
                  <c:v>9.8389889243281986E-2</c:v>
                </c:pt>
                <c:pt idx="2">
                  <c:v>8.5391602782398005E-2</c:v>
                </c:pt>
                <c:pt idx="3">
                  <c:v>7.2831648239960203E-2</c:v>
                </c:pt>
                <c:pt idx="4">
                  <c:v>7.4972321152295948E-2</c:v>
                </c:pt>
                <c:pt idx="5">
                  <c:v>8.0270340656884473E-2</c:v>
                </c:pt>
                <c:pt idx="6">
                  <c:v>9.2425518125685641E-2</c:v>
                </c:pt>
              </c:numCache>
            </c:numRef>
          </c:val>
          <c:smooth val="0"/>
          <c:extLst xmlns:c16r2="http://schemas.microsoft.com/office/drawing/2015/06/char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5620992"/>
        <c:axId val="226170496"/>
      </c:lineChart>
      <c:catAx>
        <c:axId val="225620992"/>
        <c:scaling>
          <c:orientation val="minMax"/>
        </c:scaling>
        <c:delete val="0"/>
        <c:axPos val="b"/>
        <c:majorTickMark val="out"/>
        <c:minorTickMark val="none"/>
        <c:tickLblPos val="nextTo"/>
        <c:crossAx val="226170496"/>
        <c:crosses val="autoZero"/>
        <c:auto val="1"/>
        <c:lblAlgn val="ctr"/>
        <c:lblOffset val="100"/>
        <c:noMultiLvlLbl val="0"/>
      </c:catAx>
      <c:valAx>
        <c:axId val="226170496"/>
        <c:scaling>
          <c:orientation val="minMax"/>
        </c:scaling>
        <c:delete val="0"/>
        <c:axPos val="l"/>
        <c:majorGridlines/>
        <c:numFmt formatCode="0.00%" sourceLinked="1"/>
        <c:majorTickMark val="out"/>
        <c:minorTickMark val="none"/>
        <c:tickLblPos val="nextTo"/>
        <c:crossAx val="2256209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0.98881533606165961</c:v>
                </c:pt>
                <c:pt idx="1">
                  <c:v>0.91713115206882501</c:v>
                </c:pt>
                <c:pt idx="2">
                  <c:v>0.9445523982387759</c:v>
                </c:pt>
                <c:pt idx="3">
                  <c:v>0.98214059211449101</c:v>
                </c:pt>
                <c:pt idx="4">
                  <c:v>1.0210990541347076</c:v>
                </c:pt>
                <c:pt idx="5">
                  <c:v>0.9977153020617936</c:v>
                </c:pt>
              </c:numCache>
            </c:numRef>
          </c:val>
          <c:smooth val="0"/>
          <c:extLst xmlns:c16r2="http://schemas.microsoft.com/office/drawing/2015/06/char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1.1184663938340335E-2</c:v>
                </c:pt>
                <c:pt idx="1">
                  <c:v>8.2868847931175077E-2</c:v>
                </c:pt>
                <c:pt idx="2">
                  <c:v>5.5447601761224152E-2</c:v>
                </c:pt>
                <c:pt idx="3">
                  <c:v>1.7859407885509035E-2</c:v>
                </c:pt>
                <c:pt idx="4">
                  <c:v>-2.1099054134707654E-2</c:v>
                </c:pt>
                <c:pt idx="5">
                  <c:v>2.2846979382064748E-3</c:v>
                </c:pt>
              </c:numCache>
            </c:numRef>
          </c:val>
          <c:smooth val="0"/>
          <c:extLst xmlns:c16r2="http://schemas.microsoft.com/office/drawing/2015/06/char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25622016"/>
        <c:axId val="226172224"/>
      </c:lineChart>
      <c:catAx>
        <c:axId val="225622016"/>
        <c:scaling>
          <c:orientation val="minMax"/>
        </c:scaling>
        <c:delete val="0"/>
        <c:axPos val="b"/>
        <c:majorTickMark val="out"/>
        <c:minorTickMark val="none"/>
        <c:tickLblPos val="nextTo"/>
        <c:crossAx val="226172224"/>
        <c:crosses val="autoZero"/>
        <c:auto val="1"/>
        <c:lblAlgn val="ctr"/>
        <c:lblOffset val="100"/>
        <c:noMultiLvlLbl val="0"/>
      </c:catAx>
      <c:valAx>
        <c:axId val="226172224"/>
        <c:scaling>
          <c:orientation val="minMax"/>
        </c:scaling>
        <c:delete val="0"/>
        <c:axPos val="l"/>
        <c:majorGridlines/>
        <c:numFmt formatCode="0.00%" sourceLinked="1"/>
        <c:majorTickMark val="out"/>
        <c:minorTickMark val="none"/>
        <c:tickLblPos val="nextTo"/>
        <c:crossAx val="225622016"/>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6.5593983361708075E-2</c:v>
                </c:pt>
                <c:pt idx="1">
                  <c:v>-5.7289117245115317E-2</c:v>
                </c:pt>
                <c:pt idx="2">
                  <c:v>4.0217875072873221E-3</c:v>
                </c:pt>
                <c:pt idx="3">
                  <c:v>2.8186642167387088E-2</c:v>
                </c:pt>
                <c:pt idx="4">
                  <c:v>6.9077266712030294E-2</c:v>
                </c:pt>
                <c:pt idx="5">
                  <c:v>4.0944728825959897E-2</c:v>
                </c:pt>
              </c:numCache>
            </c:numRef>
          </c:val>
          <c:smooth val="0"/>
          <c:extLst xmlns:c16r2="http://schemas.microsoft.com/office/drawing/2015/06/char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25623552"/>
        <c:axId val="227043008"/>
      </c:lineChart>
      <c:catAx>
        <c:axId val="225623552"/>
        <c:scaling>
          <c:orientation val="minMax"/>
        </c:scaling>
        <c:delete val="0"/>
        <c:axPos val="b"/>
        <c:majorTickMark val="out"/>
        <c:minorTickMark val="none"/>
        <c:tickLblPos val="nextTo"/>
        <c:crossAx val="227043008"/>
        <c:crosses val="autoZero"/>
        <c:auto val="1"/>
        <c:lblAlgn val="ctr"/>
        <c:lblOffset val="100"/>
        <c:noMultiLvlLbl val="0"/>
      </c:catAx>
      <c:valAx>
        <c:axId val="227043008"/>
        <c:scaling>
          <c:orientation val="minMax"/>
        </c:scaling>
        <c:delete val="0"/>
        <c:axPos val="l"/>
        <c:majorGridlines/>
        <c:numFmt formatCode="0.00%" sourceLinked="1"/>
        <c:majorTickMark val="out"/>
        <c:minorTickMark val="none"/>
        <c:tickLblPos val="nextTo"/>
        <c:crossAx val="22562355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2330488351.6700001</c:v>
                </c:pt>
                <c:pt idx="1">
                  <c:v>2057473059.6500001</c:v>
                </c:pt>
                <c:pt idx="2">
                  <c:v>1723207165.99</c:v>
                </c:pt>
                <c:pt idx="3">
                  <c:v>1691112456.28</c:v>
                </c:pt>
                <c:pt idx="4">
                  <c:v>1544544952.0599999</c:v>
                </c:pt>
                <c:pt idx="5">
                  <c:v>1468092831.3699999</c:v>
                </c:pt>
              </c:numCache>
            </c:numRef>
          </c:val>
          <c:extLst xmlns:c16r2="http://schemas.microsoft.com/office/drawing/2015/06/char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1579599031.7</c:v>
                </c:pt>
                <c:pt idx="1">
                  <c:v>1382503304.6800001</c:v>
                </c:pt>
                <c:pt idx="2">
                  <c:v>1183736156.6700001</c:v>
                </c:pt>
                <c:pt idx="3">
                  <c:v>1243464862.0899999</c:v>
                </c:pt>
                <c:pt idx="4">
                  <c:v>1104935553.8800001</c:v>
                </c:pt>
                <c:pt idx="5">
                  <c:v>1060594067.3099999</c:v>
                </c:pt>
              </c:numCache>
            </c:numRef>
          </c:val>
          <c:extLst xmlns:c16r2="http://schemas.microsoft.com/office/drawing/2015/06/char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750889319.97000003</c:v>
                </c:pt>
                <c:pt idx="1">
                  <c:v>674969754.97000003</c:v>
                </c:pt>
                <c:pt idx="2">
                  <c:v>539471009.31999993</c:v>
                </c:pt>
                <c:pt idx="3">
                  <c:v>447647594.19000006</c:v>
                </c:pt>
                <c:pt idx="4">
                  <c:v>439609398.17999983</c:v>
                </c:pt>
                <c:pt idx="5">
                  <c:v>407498764.05999994</c:v>
                </c:pt>
              </c:numCache>
            </c:numRef>
          </c:val>
          <c:extLst xmlns:c16r2="http://schemas.microsoft.com/office/drawing/2015/06/char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26800128"/>
        <c:axId val="227044736"/>
      </c:barChart>
      <c:catAx>
        <c:axId val="226800128"/>
        <c:scaling>
          <c:orientation val="minMax"/>
        </c:scaling>
        <c:delete val="0"/>
        <c:axPos val="b"/>
        <c:majorTickMark val="out"/>
        <c:minorTickMark val="none"/>
        <c:tickLblPos val="nextTo"/>
        <c:crossAx val="227044736"/>
        <c:crosses val="autoZero"/>
        <c:auto val="1"/>
        <c:lblAlgn val="ctr"/>
        <c:lblOffset val="100"/>
        <c:noMultiLvlLbl val="0"/>
      </c:catAx>
      <c:valAx>
        <c:axId val="227044736"/>
        <c:scaling>
          <c:orientation val="minMax"/>
        </c:scaling>
        <c:delete val="0"/>
        <c:axPos val="l"/>
        <c:majorGridlines/>
        <c:numFmt formatCode="#,##0.00_ " sourceLinked="1"/>
        <c:majorTickMark val="out"/>
        <c:minorTickMark val="none"/>
        <c:tickLblPos val="nextTo"/>
        <c:crossAx val="22680012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6800640"/>
        <c:axId val="227047040"/>
      </c:lineChart>
      <c:catAx>
        <c:axId val="226800640"/>
        <c:scaling>
          <c:orientation val="minMax"/>
        </c:scaling>
        <c:delete val="0"/>
        <c:axPos val="b"/>
        <c:majorTickMark val="out"/>
        <c:minorTickMark val="none"/>
        <c:tickLblPos val="nextTo"/>
        <c:crossAx val="227047040"/>
        <c:crosses val="autoZero"/>
        <c:auto val="1"/>
        <c:lblAlgn val="ctr"/>
        <c:lblOffset val="100"/>
        <c:noMultiLvlLbl val="0"/>
      </c:catAx>
      <c:valAx>
        <c:axId val="227047040"/>
        <c:scaling>
          <c:orientation val="minMax"/>
        </c:scaling>
        <c:delete val="0"/>
        <c:axPos val="l"/>
        <c:majorGridlines/>
        <c:numFmt formatCode="0.00%" sourceLinked="1"/>
        <c:majorTickMark val="out"/>
        <c:minorTickMark val="none"/>
        <c:tickLblPos val="nextTo"/>
        <c:crossAx val="22680064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3.9275431487988486E-3</c:v>
                </c:pt>
                <c:pt idx="1">
                  <c:v>1.4417640743922572E-2</c:v>
                </c:pt>
                <c:pt idx="2">
                  <c:v>2.4272733366643817E-2</c:v>
                </c:pt>
                <c:pt idx="3">
                  <c:v>8.9341079437487755E-3</c:v>
                </c:pt>
                <c:pt idx="4">
                  <c:v>-1.5028118447912932E-2</c:v>
                </c:pt>
                <c:pt idx="5">
                  <c:v>1.8230765212884597E-3</c:v>
                </c:pt>
              </c:numCache>
            </c:numRef>
          </c:val>
          <c:smooth val="0"/>
          <c:extLst xmlns:c16r2="http://schemas.microsoft.com/office/drawing/2015/06/char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32448512"/>
        <c:axId val="227048768"/>
      </c:lineChart>
      <c:catAx>
        <c:axId val="232448512"/>
        <c:scaling>
          <c:orientation val="minMax"/>
        </c:scaling>
        <c:delete val="0"/>
        <c:axPos val="b"/>
        <c:majorTickMark val="out"/>
        <c:minorTickMark val="none"/>
        <c:tickLblPos val="nextTo"/>
        <c:crossAx val="227048768"/>
        <c:crosses val="autoZero"/>
        <c:auto val="1"/>
        <c:lblAlgn val="ctr"/>
        <c:lblOffset val="100"/>
        <c:noMultiLvlLbl val="0"/>
      </c:catAx>
      <c:valAx>
        <c:axId val="227048768"/>
        <c:scaling>
          <c:orientation val="minMax"/>
        </c:scaling>
        <c:delete val="0"/>
        <c:axPos val="l"/>
        <c:majorGridlines/>
        <c:numFmt formatCode="0.00%" sourceLinked="1"/>
        <c:majorTickMark val="out"/>
        <c:minorTickMark val="none"/>
        <c:tickLblPos val="nextTo"/>
        <c:crossAx val="23244851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2.0886922635497003</c:v>
                </c:pt>
                <c:pt idx="1">
                  <c:v>3.6084763528500963</c:v>
                </c:pt>
                <c:pt idx="2">
                  <c:v>2.9418629586442089</c:v>
                </c:pt>
                <c:pt idx="3">
                  <c:v>2.3331453789027377</c:v>
                </c:pt>
                <c:pt idx="4">
                  <c:v>2.2365660228360422</c:v>
                </c:pt>
                <c:pt idx="5">
                  <c:v>2.2633446942871478</c:v>
                </c:pt>
              </c:numCache>
            </c:numRef>
          </c:val>
          <c:smooth val="0"/>
          <c:extLst xmlns:c16r2="http://schemas.microsoft.com/office/drawing/2015/06/char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1.6296353392587828</c:v>
                </c:pt>
                <c:pt idx="1">
                  <c:v>1.4924454346629004</c:v>
                </c:pt>
                <c:pt idx="2">
                  <c:v>1.3084213825946516</c:v>
                </c:pt>
                <c:pt idx="3">
                  <c:v>1.3362723992432775</c:v>
                </c:pt>
                <c:pt idx="4">
                  <c:v>1.2307247312340863</c:v>
                </c:pt>
                <c:pt idx="5">
                  <c:v>1.1737641229183053</c:v>
                </c:pt>
              </c:numCache>
            </c:numRef>
          </c:val>
          <c:smooth val="0"/>
          <c:extLst xmlns:c16r2="http://schemas.microsoft.com/office/drawing/2015/06/char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3.2640226814281266</c:v>
                </c:pt>
                <c:pt idx="1">
                  <c:v>1.8695891921092815</c:v>
                </c:pt>
                <c:pt idx="2">
                  <c:v>5.1058798567667507</c:v>
                </c:pt>
                <c:pt idx="3">
                  <c:v>6.6749322968727531</c:v>
                </c:pt>
                <c:pt idx="4">
                  <c:v>8.8441133916987305</c:v>
                </c:pt>
                <c:pt idx="5">
                  <c:v>9.5337693049634016</c:v>
                </c:pt>
              </c:numCache>
            </c:numRef>
          </c:val>
          <c:smooth val="0"/>
          <c:extLst xmlns:c16r2="http://schemas.microsoft.com/office/drawing/2015/06/char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0</c:v>
                </c:pt>
                <c:pt idx="1">
                  <c:v>0</c:v>
                </c:pt>
                <c:pt idx="2">
                  <c:v>0</c:v>
                </c:pt>
                <c:pt idx="3">
                  <c:v>0</c:v>
                </c:pt>
                <c:pt idx="4">
                  <c:v>30890.899041199998</c:v>
                </c:pt>
                <c:pt idx="5">
                  <c:v>248.21397983127551</c:v>
                </c:pt>
              </c:numCache>
            </c:numRef>
          </c:val>
          <c:smooth val="0"/>
          <c:extLst xmlns:c16r2="http://schemas.microsoft.com/office/drawing/2015/06/char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32449536"/>
        <c:axId val="226944128"/>
      </c:lineChart>
      <c:catAx>
        <c:axId val="232449536"/>
        <c:scaling>
          <c:orientation val="minMax"/>
        </c:scaling>
        <c:delete val="0"/>
        <c:axPos val="b"/>
        <c:majorTickMark val="out"/>
        <c:minorTickMark val="none"/>
        <c:tickLblPos val="nextTo"/>
        <c:crossAx val="226944128"/>
        <c:crosses val="autoZero"/>
        <c:auto val="1"/>
        <c:lblAlgn val="ctr"/>
        <c:lblOffset val="100"/>
        <c:noMultiLvlLbl val="0"/>
      </c:catAx>
      <c:valAx>
        <c:axId val="226944128"/>
        <c:scaling>
          <c:orientation val="minMax"/>
        </c:scaling>
        <c:delete val="0"/>
        <c:axPos val="l"/>
        <c:majorGridlines/>
        <c:numFmt formatCode="#,##0.00_ " sourceLinked="1"/>
        <c:majorTickMark val="out"/>
        <c:minorTickMark val="none"/>
        <c:tickLblPos val="nextTo"/>
        <c:crossAx val="23244953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1.6296353392587826</c:v>
                </c:pt>
                <c:pt idx="1">
                  <c:v>1.4687880740272341</c:v>
                </c:pt>
                <c:pt idx="2">
                  <c:v>1.2842130487025454</c:v>
                </c:pt>
                <c:pt idx="3">
                  <c:v>1.3091875732446117</c:v>
                </c:pt>
                <c:pt idx="4">
                  <c:v>1.2057347950979398</c:v>
                </c:pt>
                <c:pt idx="5">
                  <c:v>2.0676337931533926</c:v>
                </c:pt>
              </c:numCache>
            </c:numRef>
          </c:val>
          <c:smooth val="0"/>
          <c:extLst xmlns:c16r2="http://schemas.microsoft.com/office/drawing/2015/06/char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1.9099184297923151</c:v>
                </c:pt>
                <c:pt idx="1">
                  <c:v>1.7322005504829168</c:v>
                </c:pt>
                <c:pt idx="2">
                  <c:v>1.5974982730983609</c:v>
                </c:pt>
                <c:pt idx="3">
                  <c:v>1.5375536887381647</c:v>
                </c:pt>
                <c:pt idx="4">
                  <c:v>1.3765664449355826</c:v>
                </c:pt>
                <c:pt idx="5">
                  <c:v>1.3181678038386542</c:v>
                </c:pt>
              </c:numCache>
            </c:numRef>
          </c:val>
          <c:smooth val="0"/>
          <c:extLst xmlns:c16r2="http://schemas.microsoft.com/office/drawing/2015/06/char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42.439284802728842</c:v>
                </c:pt>
                <c:pt idx="1">
                  <c:v>45.445269902102943</c:v>
                </c:pt>
                <c:pt idx="2">
                  <c:v>17.953066479375288</c:v>
                </c:pt>
                <c:pt idx="3">
                  <c:v>39.354987015946165</c:v>
                </c:pt>
                <c:pt idx="4">
                  <c:v>70.07275839315885</c:v>
                </c:pt>
                <c:pt idx="5">
                  <c:v>48.445208701674716</c:v>
                </c:pt>
              </c:numCache>
            </c:numRef>
          </c:val>
          <c:smooth val="0"/>
          <c:extLst xmlns:c16r2="http://schemas.microsoft.com/office/drawing/2015/06/char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20.711291549008116</c:v>
                </c:pt>
                <c:pt idx="1">
                  <c:v>20.848105307208623</c:v>
                </c:pt>
                <c:pt idx="2">
                  <c:v>19.354069707031169</c:v>
                </c:pt>
                <c:pt idx="3">
                  <c:v>20.633859156694587</c:v>
                </c:pt>
                <c:pt idx="4">
                  <c:v>19.375800295079795</c:v>
                </c:pt>
                <c:pt idx="5">
                  <c:v>17.89105695920334</c:v>
                </c:pt>
              </c:numCache>
            </c:numRef>
          </c:val>
          <c:smooth val="0"/>
          <c:extLst xmlns:c16r2="http://schemas.microsoft.com/office/drawing/2015/06/char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32451584"/>
        <c:axId val="226946432"/>
      </c:lineChart>
      <c:catAx>
        <c:axId val="232451584"/>
        <c:scaling>
          <c:orientation val="minMax"/>
        </c:scaling>
        <c:delete val="0"/>
        <c:axPos val="b"/>
        <c:majorTickMark val="out"/>
        <c:minorTickMark val="none"/>
        <c:tickLblPos val="nextTo"/>
        <c:crossAx val="226946432"/>
        <c:crosses val="autoZero"/>
        <c:auto val="1"/>
        <c:lblAlgn val="ctr"/>
        <c:lblOffset val="100"/>
        <c:noMultiLvlLbl val="0"/>
      </c:catAx>
      <c:valAx>
        <c:axId val="226946432"/>
        <c:scaling>
          <c:orientation val="minMax"/>
        </c:scaling>
        <c:delete val="0"/>
        <c:axPos val="l"/>
        <c:majorGridlines/>
        <c:numFmt formatCode="#,##0.00_ " sourceLinked="1"/>
        <c:majorTickMark val="out"/>
        <c:minorTickMark val="none"/>
        <c:tickLblPos val="nextTo"/>
        <c:crossAx val="232451584"/>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3.8959933201726042</c:v>
                </c:pt>
                <c:pt idx="1">
                  <c:v>3.5981018992739937</c:v>
                </c:pt>
                <c:pt idx="2">
                  <c:v>2.7924943027941391</c:v>
                </c:pt>
                <c:pt idx="3">
                  <c:v>2.5158162325286315</c:v>
                </c:pt>
                <c:pt idx="4">
                  <c:v>2.3092081821524229</c:v>
                </c:pt>
                <c:pt idx="5">
                  <c:v>2.5080530707856674</c:v>
                </c:pt>
              </c:numCache>
            </c:numRef>
          </c:val>
          <c:smooth val="0"/>
          <c:extLst xmlns:c16r2="http://schemas.microsoft.com/office/drawing/2015/06/char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2.9878053073618664</c:v>
                </c:pt>
                <c:pt idx="1">
                  <c:v>2.6514696487456644</c:v>
                </c:pt>
                <c:pt idx="2">
                  <c:v>2.3548485417118816</c:v>
                </c:pt>
                <c:pt idx="3">
                  <c:v>2.5866165028542336</c:v>
                </c:pt>
                <c:pt idx="4">
                  <c:v>2.3578303795913285</c:v>
                </c:pt>
                <c:pt idx="5">
                  <c:v>2.5046836243377659</c:v>
                </c:pt>
              </c:numCache>
            </c:numRef>
          </c:val>
          <c:smooth val="0"/>
          <c:extLst xmlns:c16r2="http://schemas.microsoft.com/office/drawing/2015/06/char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2.4471530545985001</c:v>
                </c:pt>
                <c:pt idx="1">
                  <c:v>2.4285505545599047</c:v>
                </c:pt>
                <c:pt idx="2">
                  <c:v>2.4370099237491942</c:v>
                </c:pt>
                <c:pt idx="3">
                  <c:v>2.6679276987594798</c:v>
                </c:pt>
                <c:pt idx="4">
                  <c:v>2.4073766985732594</c:v>
                </c:pt>
                <c:pt idx="5">
                  <c:v>2.3930427484913488</c:v>
                </c:pt>
              </c:numCache>
            </c:numRef>
          </c:val>
          <c:smooth val="0"/>
          <c:extLst xmlns:c16r2="http://schemas.microsoft.com/office/drawing/2015/06/char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32727552"/>
        <c:axId val="226948736"/>
      </c:lineChart>
      <c:catAx>
        <c:axId val="232727552"/>
        <c:scaling>
          <c:orientation val="minMax"/>
        </c:scaling>
        <c:delete val="0"/>
        <c:axPos val="b"/>
        <c:majorTickMark val="out"/>
        <c:minorTickMark val="none"/>
        <c:tickLblPos val="nextTo"/>
        <c:crossAx val="226948736"/>
        <c:crosses val="autoZero"/>
        <c:auto val="1"/>
        <c:lblAlgn val="ctr"/>
        <c:lblOffset val="100"/>
        <c:noMultiLvlLbl val="0"/>
      </c:catAx>
      <c:valAx>
        <c:axId val="226948736"/>
        <c:scaling>
          <c:orientation val="minMax"/>
        </c:scaling>
        <c:delete val="0"/>
        <c:axPos val="l"/>
        <c:majorGridlines/>
        <c:numFmt formatCode="#,##0.00_ " sourceLinked="1"/>
        <c:majorTickMark val="out"/>
        <c:minorTickMark val="none"/>
        <c:tickLblPos val="nextTo"/>
        <c:crossAx val="2327275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0.11711891014918345</c:v>
                </c:pt>
                <c:pt idx="1">
                  <c:v>0.11245737150015818</c:v>
                </c:pt>
                <c:pt idx="2">
                  <c:v>9.8582286922522966E-2</c:v>
                </c:pt>
                <c:pt idx="3">
                  <c:v>8.5257676772200877E-2</c:v>
                </c:pt>
                <c:pt idx="4">
                  <c:v>8.8975951298300104E-2</c:v>
                </c:pt>
                <c:pt idx="5">
                  <c:v>8.6716047317959719E-2</c:v>
                </c:pt>
              </c:numCache>
            </c:numRef>
          </c:val>
          <c:smooth val="0"/>
          <c:extLst xmlns:c16r2="http://schemas.microsoft.com/office/drawing/2015/06/char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2728064"/>
        <c:axId val="232521728"/>
      </c:lineChart>
      <c:catAx>
        <c:axId val="232728064"/>
        <c:scaling>
          <c:orientation val="minMax"/>
        </c:scaling>
        <c:delete val="0"/>
        <c:axPos val="b"/>
        <c:majorTickMark val="out"/>
        <c:minorTickMark val="none"/>
        <c:tickLblPos val="nextTo"/>
        <c:crossAx val="232521728"/>
        <c:crosses val="autoZero"/>
        <c:auto val="1"/>
        <c:lblAlgn val="ctr"/>
        <c:lblOffset val="100"/>
        <c:noMultiLvlLbl val="0"/>
      </c:catAx>
      <c:valAx>
        <c:axId val="232521728"/>
        <c:scaling>
          <c:orientation val="minMax"/>
        </c:scaling>
        <c:delete val="0"/>
        <c:axPos val="l"/>
        <c:majorGridlines/>
        <c:numFmt formatCode="0.00%" sourceLinked="1"/>
        <c:majorTickMark val="out"/>
        <c:minorTickMark val="none"/>
        <c:tickLblPos val="nextTo"/>
        <c:crossAx val="23272806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0.12794101179537698</c:v>
                </c:pt>
                <c:pt idx="1">
                  <c:v>0.10651585737763224</c:v>
                </c:pt>
                <c:pt idx="2">
                  <c:v>0.1088546041602803</c:v>
                </c:pt>
                <c:pt idx="3">
                  <c:v>0.10034456535982345</c:v>
                </c:pt>
                <c:pt idx="4">
                  <c:v>0.11207796859464612</c:v>
                </c:pt>
                <c:pt idx="5">
                  <c:v>0.112191828255368</c:v>
                </c:pt>
              </c:numCache>
            </c:numRef>
          </c:val>
          <c:smooth val="0"/>
          <c:extLst xmlns:c16r2="http://schemas.microsoft.com/office/drawing/2015/06/char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2476672"/>
        <c:axId val="232523456"/>
      </c:lineChart>
      <c:catAx>
        <c:axId val="232476672"/>
        <c:scaling>
          <c:orientation val="minMax"/>
        </c:scaling>
        <c:delete val="0"/>
        <c:axPos val="b"/>
        <c:majorTickMark val="out"/>
        <c:minorTickMark val="none"/>
        <c:tickLblPos val="nextTo"/>
        <c:crossAx val="232523456"/>
        <c:crosses val="autoZero"/>
        <c:auto val="1"/>
        <c:lblAlgn val="ctr"/>
        <c:lblOffset val="100"/>
        <c:noMultiLvlLbl val="0"/>
      </c:catAx>
      <c:valAx>
        <c:axId val="232523456"/>
        <c:scaling>
          <c:orientation val="minMax"/>
        </c:scaling>
        <c:delete val="0"/>
        <c:axPos val="l"/>
        <c:majorGridlines/>
        <c:numFmt formatCode="0.00%" sourceLinked="1"/>
        <c:majorTickMark val="out"/>
        <c:minorTickMark val="none"/>
        <c:tickLblPos val="nextTo"/>
        <c:crossAx val="23247667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234275794.97000012</c:v>
                </c:pt>
                <c:pt idx="1">
                  <c:v>202434546.46000001</c:v>
                </c:pt>
                <c:pt idx="2">
                  <c:v>147147421.82999986</c:v>
                </c:pt>
                <c:pt idx="3">
                  <c:v>123166507.55000004</c:v>
                </c:pt>
                <c:pt idx="4">
                  <c:v>115798120.17999987</c:v>
                </c:pt>
                <c:pt idx="5">
                  <c:v>117844311.68999994</c:v>
                </c:pt>
              </c:numCache>
            </c:numRef>
          </c:val>
          <c:extLst xmlns:c16r2="http://schemas.microsoft.com/office/drawing/2015/06/char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3250316273.8699999</c:v>
                </c:pt>
                <c:pt idx="1">
                  <c:v>3043601049.46</c:v>
                </c:pt>
                <c:pt idx="2">
                  <c:v>2237460759.3099999</c:v>
                </c:pt>
                <c:pt idx="3">
                  <c:v>2125618618.45</c:v>
                </c:pt>
                <c:pt idx="4">
                  <c:v>2029982702.03</c:v>
                </c:pt>
                <c:pt idx="5">
                  <c:v>1940346924.02</c:v>
                </c:pt>
              </c:numCache>
            </c:numRef>
          </c:val>
          <c:extLst xmlns:c16r2="http://schemas.microsoft.com/office/drawing/2015/06/char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2478208"/>
        <c:axId val="232526336"/>
      </c:barChart>
      <c:catAx>
        <c:axId val="232478208"/>
        <c:scaling>
          <c:orientation val="minMax"/>
        </c:scaling>
        <c:delete val="0"/>
        <c:axPos val="b"/>
        <c:majorTickMark val="out"/>
        <c:minorTickMark val="none"/>
        <c:tickLblPos val="nextTo"/>
        <c:crossAx val="232526336"/>
        <c:crosses val="autoZero"/>
        <c:auto val="1"/>
        <c:lblAlgn val="ctr"/>
        <c:lblOffset val="100"/>
        <c:noMultiLvlLbl val="0"/>
      </c:catAx>
      <c:valAx>
        <c:axId val="232526336"/>
        <c:scaling>
          <c:orientation val="minMax"/>
        </c:scaling>
        <c:delete val="0"/>
        <c:axPos val="l"/>
        <c:majorGridlines/>
        <c:numFmt formatCode="#,##0.00_ " sourceLinked="1"/>
        <c:majorTickMark val="out"/>
        <c:minorTickMark val="none"/>
        <c:tickLblPos val="nextTo"/>
        <c:crossAx val="2324782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2330488351.6700001</c:v>
                </c:pt>
                <c:pt idx="1">
                  <c:v>2057473059.6500001</c:v>
                </c:pt>
                <c:pt idx="2">
                  <c:v>1723207165.99</c:v>
                </c:pt>
                <c:pt idx="3">
                  <c:v>1691112456.28</c:v>
                </c:pt>
                <c:pt idx="4">
                  <c:v>1544544952.0599999</c:v>
                </c:pt>
                <c:pt idx="5">
                  <c:v>1468092831.3699999</c:v>
                </c:pt>
              </c:numCache>
            </c:numRef>
          </c:val>
          <c:extLst xmlns:c16r2="http://schemas.microsoft.com/office/drawing/2015/06/char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298165037.69000012</c:v>
                </c:pt>
                <c:pt idx="1">
                  <c:v>219153506.98000002</c:v>
                </c:pt>
                <c:pt idx="2">
                  <c:v>187579033.93999988</c:v>
                </c:pt>
                <c:pt idx="3">
                  <c:v>169693944.40000004</c:v>
                </c:pt>
                <c:pt idx="4">
                  <c:v>173109460.62999988</c:v>
                </c:pt>
                <c:pt idx="5">
                  <c:v>164708018.79999995</c:v>
                </c:pt>
              </c:numCache>
            </c:numRef>
          </c:val>
          <c:extLst xmlns:c16r2="http://schemas.microsoft.com/office/drawing/2015/06/char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2479232"/>
        <c:axId val="232528064"/>
      </c:barChart>
      <c:catAx>
        <c:axId val="232479232"/>
        <c:scaling>
          <c:orientation val="minMax"/>
        </c:scaling>
        <c:delete val="0"/>
        <c:axPos val="b"/>
        <c:majorTickMark val="out"/>
        <c:minorTickMark val="none"/>
        <c:tickLblPos val="nextTo"/>
        <c:crossAx val="232528064"/>
        <c:crosses val="autoZero"/>
        <c:auto val="1"/>
        <c:lblAlgn val="ctr"/>
        <c:lblOffset val="100"/>
        <c:noMultiLvlLbl val="0"/>
      </c:catAx>
      <c:valAx>
        <c:axId val="232528064"/>
        <c:scaling>
          <c:orientation val="minMax"/>
        </c:scaling>
        <c:delete val="0"/>
        <c:axPos val="l"/>
        <c:majorGridlines/>
        <c:numFmt formatCode="#,##0.00_ " sourceLinked="1"/>
        <c:majorTickMark val="out"/>
        <c:minorTickMark val="none"/>
        <c:tickLblPos val="nextTo"/>
        <c:crossAx val="2324792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0</c:v>
                </c:pt>
                <c:pt idx="1">
                  <c:v>0</c:v>
                </c:pt>
                <c:pt idx="2">
                  <c:v>0</c:v>
                </c:pt>
                <c:pt idx="3">
                  <c:v>0</c:v>
                </c:pt>
                <c:pt idx="4">
                  <c:v>50000</c:v>
                </c:pt>
                <c:pt idx="5">
                  <c:v>5914625.8899999997</c:v>
                </c:pt>
              </c:numCache>
            </c:numRef>
          </c:val>
          <c:extLst xmlns:c16r2="http://schemas.microsoft.com/office/drawing/2015/06/char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2480256"/>
        <c:axId val="232685568"/>
      </c:barChart>
      <c:catAx>
        <c:axId val="232480256"/>
        <c:scaling>
          <c:orientation val="minMax"/>
        </c:scaling>
        <c:delete val="0"/>
        <c:axPos val="b"/>
        <c:majorTickMark val="out"/>
        <c:minorTickMark val="none"/>
        <c:tickLblPos val="nextTo"/>
        <c:crossAx val="232685568"/>
        <c:crosses val="autoZero"/>
        <c:auto val="1"/>
        <c:lblAlgn val="ctr"/>
        <c:lblOffset val="100"/>
        <c:noMultiLvlLbl val="0"/>
      </c:catAx>
      <c:valAx>
        <c:axId val="232685568"/>
        <c:scaling>
          <c:orientation val="minMax"/>
        </c:scaling>
        <c:delete val="0"/>
        <c:axPos val="l"/>
        <c:majorGridlines/>
        <c:numFmt formatCode="#,##0.00_ " sourceLinked="1"/>
        <c:majorTickMark val="out"/>
        <c:minorTickMark val="none"/>
        <c:tickLblPos val="nextTo"/>
        <c:crossAx val="232480256"/>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0.81884961224699193</c:v>
                </c:pt>
                <c:pt idx="1">
                  <c:v>0.7848873020748337</c:v>
                </c:pt>
                <c:pt idx="2">
                  <c:v>0.99128160920971153</c:v>
                </c:pt>
                <c:pt idx="3">
                  <c:v>0.97402218444229394</c:v>
                </c:pt>
                <c:pt idx="4">
                  <c:v>0.94037051950391526</c:v>
                </c:pt>
                <c:pt idx="5">
                  <c:v>0.87882560882603677</c:v>
                </c:pt>
              </c:numCache>
            </c:numRef>
          </c:val>
          <c:smooth val="0"/>
          <c:extLst xmlns:c16r2="http://schemas.microsoft.com/office/drawing/2015/06/char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0.63157520749535112</c:v>
                </c:pt>
                <c:pt idx="1">
                  <c:v>0.53575364035163087</c:v>
                </c:pt>
                <c:pt idx="2">
                  <c:v>0.77724580579301639</c:v>
                </c:pt>
                <c:pt idx="3">
                  <c:v>0.79773013758005429</c:v>
                </c:pt>
                <c:pt idx="4">
                  <c:v>0.76948679803722297</c:v>
                </c:pt>
                <c:pt idx="5">
                  <c:v>0.87772689998687925</c:v>
                </c:pt>
              </c:numCache>
            </c:numRef>
          </c:val>
          <c:smooth val="0"/>
          <c:extLst xmlns:c16r2="http://schemas.microsoft.com/office/drawing/2015/06/char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1.6616944196541266</c:v>
                </c:pt>
                <c:pt idx="1">
                  <c:v>2.8845710277995353</c:v>
                </c:pt>
                <c:pt idx="2">
                  <c:v>2.7920825755089829</c:v>
                </c:pt>
                <c:pt idx="3">
                  <c:v>2.1420646926855724</c:v>
                </c:pt>
                <c:pt idx="4">
                  <c:v>2.1146910182109737</c:v>
                </c:pt>
                <c:pt idx="5">
                  <c:v>0.2326308348106263</c:v>
                </c:pt>
              </c:numCache>
            </c:numRef>
          </c:val>
          <c:smooth val="0"/>
          <c:extLst xmlns:c16r2="http://schemas.microsoft.com/office/drawing/2015/06/char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1.7584528531970338</c:v>
                </c:pt>
                <c:pt idx="1">
                  <c:v>2.5021821437483118</c:v>
                </c:pt>
                <c:pt idx="2">
                  <c:v>2.6479176549226011</c:v>
                </c:pt>
                <c:pt idx="3">
                  <c:v>2.1648279154278893</c:v>
                </c:pt>
                <c:pt idx="4">
                  <c:v>2.3195362206440295</c:v>
                </c:pt>
                <c:pt idx="5">
                  <c:v>0.24200830817377583</c:v>
                </c:pt>
              </c:numCache>
            </c:numRef>
          </c:val>
          <c:smooth val="0"/>
          <c:extLst xmlns:c16r2="http://schemas.microsoft.com/office/drawing/2015/06/char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2864256"/>
        <c:axId val="232687296"/>
      </c:lineChart>
      <c:catAx>
        <c:axId val="232864256"/>
        <c:scaling>
          <c:orientation val="minMax"/>
        </c:scaling>
        <c:delete val="0"/>
        <c:axPos val="b"/>
        <c:majorTickMark val="out"/>
        <c:minorTickMark val="none"/>
        <c:tickLblPos val="nextTo"/>
        <c:crossAx val="232687296"/>
        <c:crosses val="autoZero"/>
        <c:auto val="1"/>
        <c:lblAlgn val="ctr"/>
        <c:lblOffset val="100"/>
        <c:noMultiLvlLbl val="0"/>
      </c:catAx>
      <c:valAx>
        <c:axId val="232687296"/>
        <c:scaling>
          <c:orientation val="minMax"/>
        </c:scaling>
        <c:delete val="0"/>
        <c:axPos val="l"/>
        <c:majorGridlines/>
        <c:numFmt formatCode="#,##0.00_ " sourceLinked="1"/>
        <c:majorTickMark val="out"/>
        <c:minorTickMark val="none"/>
        <c:tickLblPos val="nextTo"/>
        <c:crossAx val="23286425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自由现金流分析表!$A$29</c:f>
              <c:strCache>
                <c:ptCount val="1"/>
                <c:pt idx="0">
                  <c:v>现金流量表自由现金流-可用于支付利息、扩张规模、股东分红
=11-15-16-17</c:v>
                </c:pt>
              </c:strCache>
            </c:strRef>
          </c:tx>
          <c:val>
            <c:numRef>
              <c:f>自由现金流分析表!$B$29:$Y$29</c:f>
              <c:numCache>
                <c:formatCode>#,##0.00_ </c:formatCode>
                <c:ptCount val="6"/>
                <c:pt idx="0">
                  <c:v>266271026.48999998</c:v>
                </c:pt>
                <c:pt idx="1">
                  <c:v>370472457.29000002</c:v>
                </c:pt>
                <c:pt idx="2">
                  <c:v>251522125.45999998</c:v>
                </c:pt>
                <c:pt idx="3">
                  <c:v>123576129.02</c:v>
                </c:pt>
                <c:pt idx="4">
                  <c:v>140876767.49000001</c:v>
                </c:pt>
                <c:pt idx="5">
                  <c:v>-89876364.790000007</c:v>
                </c:pt>
              </c:numCache>
            </c:numRef>
          </c:val>
          <c:smooth val="0"/>
          <c:extLst xmlns:c16r2="http://schemas.microsoft.com/office/drawing/2015/06/char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222196224"/>
        <c:axId val="232689600"/>
      </c:lineChart>
      <c:catAx>
        <c:axId val="222196224"/>
        <c:scaling>
          <c:orientation val="minMax"/>
        </c:scaling>
        <c:delete val="0"/>
        <c:axPos val="b"/>
        <c:majorTickMark val="out"/>
        <c:minorTickMark val="none"/>
        <c:tickLblPos val="nextTo"/>
        <c:crossAx val="232689600"/>
        <c:crosses val="autoZero"/>
        <c:auto val="1"/>
        <c:lblAlgn val="ctr"/>
        <c:lblOffset val="100"/>
        <c:noMultiLvlLbl val="0"/>
      </c:catAx>
      <c:valAx>
        <c:axId val="232689600"/>
        <c:scaling>
          <c:orientation val="minMax"/>
        </c:scaling>
        <c:delete val="0"/>
        <c:axPos val="l"/>
        <c:majorGridlines/>
        <c:numFmt formatCode="#,##0.00_ " sourceLinked="1"/>
        <c:majorTickMark val="out"/>
        <c:minorTickMark val="none"/>
        <c:tickLblPos val="nextTo"/>
        <c:crossAx val="2221962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411962940.10000002</c:v>
                </c:pt>
                <c:pt idx="1">
                  <c:v>506528107.43000001</c:v>
                </c:pt>
                <c:pt idx="2">
                  <c:v>389634256.13999999</c:v>
                </c:pt>
                <c:pt idx="3">
                  <c:v>266634293.78999999</c:v>
                </c:pt>
                <c:pt idx="4">
                  <c:v>268597934.04000002</c:v>
                </c:pt>
                <c:pt idx="5">
                  <c:v>28519302.5</c:v>
                </c:pt>
              </c:numCache>
            </c:numRef>
          </c:val>
          <c:smooth val="0"/>
          <c:extLst xmlns:c16r2="http://schemas.microsoft.com/office/drawing/2015/06/char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247917387.95496953</c:v>
                </c:pt>
                <c:pt idx="1">
                  <c:v>175599110.76843882</c:v>
                </c:pt>
                <c:pt idx="2">
                  <c:v>139549689.38157985</c:v>
                </c:pt>
                <c:pt idx="3">
                  <c:v>124475369.34830497</c:v>
                </c:pt>
                <c:pt idx="4">
                  <c:v>127015214.85972622</c:v>
                </c:pt>
                <c:pt idx="5">
                  <c:v>122594678.91784942</c:v>
                </c:pt>
              </c:numCache>
            </c:numRef>
          </c:val>
          <c:smooth val="0"/>
          <c:extLst xmlns:c16r2="http://schemas.microsoft.com/office/drawing/2015/06/char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234275794.97000012</c:v>
                </c:pt>
                <c:pt idx="1">
                  <c:v>202434546.46000001</c:v>
                </c:pt>
                <c:pt idx="2">
                  <c:v>147147421.82999986</c:v>
                </c:pt>
                <c:pt idx="3">
                  <c:v>123166507.55000004</c:v>
                </c:pt>
                <c:pt idx="4">
                  <c:v>115798120.17999987</c:v>
                </c:pt>
                <c:pt idx="5">
                  <c:v>117844311.68999994</c:v>
                </c:pt>
              </c:numCache>
            </c:numRef>
          </c:val>
          <c:smooth val="0"/>
          <c:extLst xmlns:c16r2="http://schemas.microsoft.com/office/drawing/2015/06/char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222197248"/>
        <c:axId val="232691328"/>
      </c:lineChart>
      <c:catAx>
        <c:axId val="222197248"/>
        <c:scaling>
          <c:orientation val="minMax"/>
        </c:scaling>
        <c:delete val="0"/>
        <c:axPos val="b"/>
        <c:majorTickMark val="out"/>
        <c:minorTickMark val="none"/>
        <c:tickLblPos val="nextTo"/>
        <c:crossAx val="232691328"/>
        <c:crosses val="autoZero"/>
        <c:auto val="1"/>
        <c:lblAlgn val="ctr"/>
        <c:lblOffset val="100"/>
        <c:noMultiLvlLbl val="0"/>
      </c:catAx>
      <c:valAx>
        <c:axId val="232691328"/>
        <c:scaling>
          <c:orientation val="minMax"/>
        </c:scaling>
        <c:delete val="0"/>
        <c:axPos val="l"/>
        <c:majorGridlines/>
        <c:numFmt formatCode="#,##0.00_ " sourceLinked="1"/>
        <c:majorTickMark val="out"/>
        <c:minorTickMark val="none"/>
        <c:tickLblPos val="nextTo"/>
        <c:crossAx val="22219724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xmlns=""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xmlns=""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xmlns=""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xmlns=""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xmlns=""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xmlns=""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xmlns=""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xmlns=""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xmlns=""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xmlns=""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xmlns=""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xmlns=""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xmlns=""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1428749</xdr:colOff>
      <xdr:row>17</xdr:row>
      <xdr:rowOff>338136</xdr:rowOff>
    </xdr:from>
    <xdr:to>
      <xdr:col>40</xdr:col>
      <xdr:colOff>285750</xdr:colOff>
      <xdr:row>17</xdr:row>
      <xdr:rowOff>1952625</xdr:rowOff>
    </xdr:to>
    <xdr:graphicFrame macro="">
      <xdr:nvGraphicFramePr>
        <xdr:cNvPr id="2" name="图表 1">
          <a:extLst>
            <a:ext uri="{FF2B5EF4-FFF2-40B4-BE49-F238E27FC236}">
              <a16:creationId xmlns:a16="http://schemas.microsoft.com/office/drawing/2014/main" xmlns=""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xmlns=""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1447799</xdr:colOff>
      <xdr:row>17</xdr:row>
      <xdr:rowOff>2147888</xdr:rowOff>
    </xdr:from>
    <xdr:to>
      <xdr:col>40</xdr:col>
      <xdr:colOff>20955</xdr:colOff>
      <xdr:row>17</xdr:row>
      <xdr:rowOff>3238500</xdr:rowOff>
    </xdr:to>
    <xdr:graphicFrame macro="">
      <xdr:nvGraphicFramePr>
        <xdr:cNvPr id="7" name="图表 6">
          <a:extLst>
            <a:ext uri="{FF2B5EF4-FFF2-40B4-BE49-F238E27FC236}">
              <a16:creationId xmlns:a16="http://schemas.microsoft.com/office/drawing/2014/main" xmlns=""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xmlns=""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xmlns=""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xmlns=""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xmlns=""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xmlns=""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xmlns=""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xmlns=""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xmlns=""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xmlns=""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xmlns=""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xmlns=""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xmlns=""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xmlns=""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xmlns=""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xmlns=""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37</xdr:row>
      <xdr:rowOff>9525</xdr:rowOff>
    </xdr:from>
    <xdr:to>
      <xdr:col>4</xdr:col>
      <xdr:colOff>222248</xdr:colOff>
      <xdr:row>41</xdr:row>
      <xdr:rowOff>9439</xdr:rowOff>
    </xdr:to>
    <xdr:pic>
      <xdr:nvPicPr>
        <xdr:cNvPr id="2" name="图片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xmlns=""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1485900</xdr:colOff>
      <xdr:row>32</xdr:row>
      <xdr:rowOff>80962</xdr:rowOff>
    </xdr:from>
    <xdr:to>
      <xdr:col>36</xdr:col>
      <xdr:colOff>885825</xdr:colOff>
      <xdr:row>33</xdr:row>
      <xdr:rowOff>161925</xdr:rowOff>
    </xdr:to>
    <xdr:graphicFrame macro="">
      <xdr:nvGraphicFramePr>
        <xdr:cNvPr id="3" name="图表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36</xdr:row>
      <xdr:rowOff>67627</xdr:rowOff>
    </xdr:from>
    <xdr:to>
      <xdr:col>28</xdr:col>
      <xdr:colOff>312420</xdr:colOff>
      <xdr:row>50</xdr:row>
      <xdr:rowOff>67627</xdr:rowOff>
    </xdr:to>
    <xdr:graphicFrame macro="">
      <xdr:nvGraphicFramePr>
        <xdr:cNvPr id="5" name="图表 4">
          <a:extLst>
            <a:ext uri="{FF2B5EF4-FFF2-40B4-BE49-F238E27FC236}">
              <a16:creationId xmlns:a16="http://schemas.microsoft.com/office/drawing/2014/main" xmlns=""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365271</xdr:colOff>
      <xdr:row>27</xdr:row>
      <xdr:rowOff>38002</xdr:rowOff>
    </xdr:to>
    <xdr:pic>
      <xdr:nvPicPr>
        <xdr:cNvPr id="2" name="图片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1012865</xdr:colOff>
      <xdr:row>47</xdr:row>
      <xdr:rowOff>38016</xdr:rowOff>
    </xdr:to>
    <xdr:pic>
      <xdr:nvPicPr>
        <xdr:cNvPr id="4" name="图片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BS85"/>
  <sheetViews>
    <sheetView topLeftCell="A33" workbookViewId="0">
      <selection activeCell="E60" sqref="E60"/>
    </sheetView>
  </sheetViews>
  <sheetFormatPr defaultRowHeight="13.5"/>
  <cols>
    <col min="1" max="1" width="34" style="188" bestFit="1" customWidth="1"/>
    <col min="2" max="4" width="12.75" style="188" hidden="1" customWidth="1"/>
    <col min="5" max="5" width="19.375" style="188" bestFit="1" customWidth="1"/>
    <col min="6" max="8" width="12.75" style="188" hidden="1" customWidth="1"/>
    <col min="9" max="9" width="19.375" style="188" bestFit="1" customWidth="1"/>
    <col min="10" max="12" width="12.75" style="188" hidden="1" customWidth="1"/>
    <col min="13" max="13" width="19.375" style="188" bestFit="1" customWidth="1"/>
    <col min="14" max="16" width="12.75" style="188" hidden="1" customWidth="1"/>
    <col min="17" max="17" width="19.375" style="188" bestFit="1" customWidth="1"/>
    <col min="18" max="20" width="12.75" style="188" hidden="1" customWidth="1"/>
    <col min="21" max="21" width="19.375" style="188" bestFit="1" customWidth="1"/>
    <col min="22" max="24" width="12.75" style="188" hidden="1" customWidth="1"/>
    <col min="25" max="25" width="19.375" style="188" bestFit="1" customWidth="1"/>
    <col min="26" max="26" width="12.75" style="188" hidden="1" customWidth="1"/>
    <col min="27" max="28" width="13.875" style="188" hidden="1" customWidth="1"/>
    <col min="29" max="29" width="19.375" style="188" bestFit="1" customWidth="1"/>
    <col min="30" max="30" width="12.75" style="188" hidden="1" customWidth="1"/>
    <col min="31" max="32" width="13.875" style="188" hidden="1" customWidth="1"/>
    <col min="33" max="33" width="19.375" style="188" bestFit="1" customWidth="1"/>
    <col min="34" max="34" width="13.875" style="188" hidden="1" customWidth="1"/>
    <col min="35" max="36" width="12.75" style="188" hidden="1" customWidth="1"/>
    <col min="37" max="37" width="19.375" style="188" bestFit="1" customWidth="1"/>
    <col min="38" max="39" width="12.75" style="188" hidden="1" customWidth="1"/>
    <col min="40" max="40" width="13.875" style="188" hidden="1" customWidth="1"/>
    <col min="41" max="41" width="19.375" style="188" bestFit="1" customWidth="1"/>
    <col min="42" max="44" width="12.75" style="188" hidden="1" customWidth="1"/>
    <col min="45" max="45" width="19.375" style="188" bestFit="1" customWidth="1"/>
    <col min="46" max="48" width="12.75" style="188" hidden="1" customWidth="1"/>
    <col min="49" max="49" width="17.25" style="188" bestFit="1" customWidth="1"/>
    <col min="50" max="52" width="12.75" style="188" hidden="1" customWidth="1"/>
    <col min="53" max="53" width="17.25" style="188" bestFit="1" customWidth="1"/>
    <col min="54" max="56" width="12.75" style="188" hidden="1" customWidth="1"/>
    <col min="57" max="57" width="17.25" style="188" bestFit="1" customWidth="1"/>
    <col min="58" max="60" width="12.75" style="188" hidden="1" customWidth="1"/>
    <col min="61" max="61" width="17.25" style="188" bestFit="1" customWidth="1"/>
    <col min="62" max="64" width="12.75" style="188" hidden="1" customWidth="1"/>
    <col min="65" max="65" width="17.25" style="188" bestFit="1" customWidth="1"/>
    <col min="66" max="67" width="12.75" style="188" hidden="1" customWidth="1"/>
    <col min="68" max="70" width="17.25" style="188" bestFit="1" customWidth="1"/>
    <col min="71" max="71" width="9.5" style="188" hidden="1" customWidth="1"/>
    <col min="72" max="16384" width="9" style="188"/>
  </cols>
  <sheetData>
    <row r="1" spans="1:71">
      <c r="A1" s="188">
        <v>600529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20011231</v>
      </c>
      <c r="BQ1" s="188">
        <v>20001231</v>
      </c>
      <c r="BR1" s="188">
        <v>19991231</v>
      </c>
      <c r="BS1" s="188">
        <v>19700101</v>
      </c>
    </row>
    <row r="2" spans="1:71">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row>
    <row r="3" spans="1:71">
      <c r="A3" s="188" t="s">
        <v>107</v>
      </c>
    </row>
    <row r="4" spans="1:71">
      <c r="A4" s="188" t="s">
        <v>108</v>
      </c>
      <c r="B4" s="188">
        <v>733989454.92999995</v>
      </c>
      <c r="C4" s="188">
        <v>879091642.16999996</v>
      </c>
      <c r="D4" s="188">
        <v>710218918.48000002</v>
      </c>
      <c r="E4" s="188">
        <v>713942695.25</v>
      </c>
      <c r="F4" s="188">
        <v>601571716.59000003</v>
      </c>
      <c r="G4" s="188">
        <v>535954591.54000002</v>
      </c>
      <c r="H4" s="188">
        <v>528354241.22000003</v>
      </c>
      <c r="I4" s="188">
        <v>1078240138.8699999</v>
      </c>
      <c r="J4" s="188">
        <v>339118397.24000001</v>
      </c>
      <c r="K4" s="188">
        <v>397000886.69999999</v>
      </c>
      <c r="L4" s="188">
        <v>368744523.05000001</v>
      </c>
      <c r="M4" s="188">
        <v>312618031.19999999</v>
      </c>
      <c r="N4" s="188">
        <v>306930411.37</v>
      </c>
      <c r="O4" s="188">
        <v>288677365.18000001</v>
      </c>
      <c r="P4" s="188">
        <v>258022907.75</v>
      </c>
      <c r="Q4" s="188">
        <v>227120819.91</v>
      </c>
      <c r="R4" s="188">
        <v>229431380.47999999</v>
      </c>
      <c r="S4" s="188">
        <v>194521812.88999999</v>
      </c>
      <c r="T4" s="188">
        <v>160411134.41</v>
      </c>
      <c r="U4" s="188">
        <v>148680260.31</v>
      </c>
      <c r="V4" s="188">
        <v>117640298.03</v>
      </c>
      <c r="W4" s="188">
        <v>162703822.84</v>
      </c>
      <c r="X4" s="188">
        <v>132240322.95999999</v>
      </c>
      <c r="Y4" s="188">
        <v>126775899.48999999</v>
      </c>
      <c r="Z4" s="188">
        <v>94799529.849999994</v>
      </c>
      <c r="AA4" s="188">
        <v>96455897.629999995</v>
      </c>
      <c r="AB4" s="188">
        <v>74553704.019999996</v>
      </c>
      <c r="AC4" s="188">
        <v>185517319.38999999</v>
      </c>
      <c r="AD4" s="188">
        <v>134987630.12</v>
      </c>
      <c r="AE4" s="188">
        <v>121269775.04000001</v>
      </c>
      <c r="AF4" s="188">
        <v>180710631.56999999</v>
      </c>
      <c r="AG4" s="188">
        <v>223719451.68000001</v>
      </c>
      <c r="AH4" s="188">
        <v>304625700.07999998</v>
      </c>
      <c r="AI4" s="188">
        <v>339912743.56</v>
      </c>
      <c r="AJ4" s="188">
        <v>256361145.43000001</v>
      </c>
      <c r="AK4" s="188">
        <v>218418668.06999999</v>
      </c>
      <c r="AL4" s="188">
        <v>142234005.25999999</v>
      </c>
      <c r="AM4" s="188">
        <v>132712242.61</v>
      </c>
      <c r="AN4" s="188">
        <v>143090344.43000001</v>
      </c>
      <c r="AO4" s="188">
        <v>94409400.719999999</v>
      </c>
      <c r="AP4" s="188">
        <v>89373038.579999998</v>
      </c>
      <c r="AQ4" s="188">
        <v>109796457.90000001</v>
      </c>
      <c r="AR4" s="188">
        <v>113159313.25</v>
      </c>
      <c r="AS4" s="188">
        <v>160309449.33000001</v>
      </c>
      <c r="AT4" s="188">
        <v>205222650.12</v>
      </c>
      <c r="AU4" s="188">
        <v>231610074.34</v>
      </c>
      <c r="AV4" s="188">
        <v>244324951.41</v>
      </c>
      <c r="AW4" s="188">
        <v>86294866.900000006</v>
      </c>
      <c r="AX4" s="188">
        <v>87372178.870000005</v>
      </c>
      <c r="AY4" s="188">
        <v>74882838.620000005</v>
      </c>
      <c r="AZ4" s="188">
        <v>92206563.329999998</v>
      </c>
      <c r="BA4" s="188">
        <v>116013260.98999999</v>
      </c>
      <c r="BB4" s="188">
        <v>76929286.680000007</v>
      </c>
      <c r="BC4" s="188">
        <v>56822877.539999999</v>
      </c>
      <c r="BD4" s="188">
        <v>61151621.789999999</v>
      </c>
      <c r="BE4" s="188">
        <v>90040933.799999997</v>
      </c>
      <c r="BF4" s="188">
        <v>103493177.39</v>
      </c>
      <c r="BG4" s="188">
        <v>157832520.27000001</v>
      </c>
      <c r="BH4" s="188">
        <v>165549418.27000001</v>
      </c>
      <c r="BI4" s="188">
        <v>184363966.44</v>
      </c>
      <c r="BJ4" s="188">
        <v>252915507.03999999</v>
      </c>
      <c r="BK4" s="188">
        <v>301312103.19999999</v>
      </c>
      <c r="BL4" s="188">
        <v>369620785.82999998</v>
      </c>
      <c r="BM4" s="188">
        <v>419764979.19999999</v>
      </c>
      <c r="BN4" s="188">
        <v>424856147.61000001</v>
      </c>
      <c r="BO4" s="188">
        <v>444289951.50999999</v>
      </c>
      <c r="BP4" s="188">
        <v>49386377.25</v>
      </c>
      <c r="BQ4" s="188">
        <v>29301999.25</v>
      </c>
      <c r="BR4" s="188">
        <v>28088071.710000001</v>
      </c>
      <c r="BS4" s="188">
        <v>0</v>
      </c>
    </row>
    <row r="5" spans="1:71">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row>
    <row r="6" spans="1:71">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row>
    <row r="7" spans="1:71">
      <c r="A7" s="188" t="s">
        <v>111</v>
      </c>
      <c r="B7" s="188">
        <v>348196477.42000002</v>
      </c>
      <c r="C7" s="188">
        <v>344370225.79000002</v>
      </c>
      <c r="D7" s="188">
        <v>329803710.51999998</v>
      </c>
      <c r="E7" s="188">
        <v>323930646.61000001</v>
      </c>
      <c r="F7" s="188">
        <v>347912479.25999999</v>
      </c>
      <c r="G7" s="188">
        <v>325692483.89999998</v>
      </c>
      <c r="H7" s="188">
        <v>241726979.72</v>
      </c>
      <c r="I7" s="188">
        <v>228426989.36000001</v>
      </c>
      <c r="J7" s="188">
        <v>241100670.13</v>
      </c>
      <c r="K7" s="188">
        <v>262434791.56</v>
      </c>
      <c r="L7" s="188">
        <v>279160397.07999998</v>
      </c>
      <c r="M7" s="188">
        <v>281222281.94999999</v>
      </c>
      <c r="N7" s="188">
        <v>261245163.86000001</v>
      </c>
      <c r="O7" s="188">
        <v>302710951.27999997</v>
      </c>
      <c r="P7" s="188">
        <v>279943754.69</v>
      </c>
      <c r="Q7" s="188">
        <v>297827894.62</v>
      </c>
      <c r="R7" s="188">
        <v>349996528.19999999</v>
      </c>
      <c r="S7" s="188">
        <v>337237152.39999998</v>
      </c>
      <c r="T7" s="188">
        <v>311683282.38999999</v>
      </c>
      <c r="U7" s="188">
        <v>313550929.00999999</v>
      </c>
      <c r="V7" s="188">
        <v>302743073.80000001</v>
      </c>
      <c r="W7" s="188">
        <v>292180088.22000003</v>
      </c>
      <c r="X7" s="188">
        <v>284207343.92000002</v>
      </c>
      <c r="Y7" s="188">
        <v>313372374.36000001</v>
      </c>
      <c r="Z7" s="188">
        <v>301808964.54000002</v>
      </c>
      <c r="AA7" s="188">
        <v>255648724.28999999</v>
      </c>
      <c r="AB7" s="188">
        <v>205765681.16999999</v>
      </c>
      <c r="AC7" s="188">
        <v>225996070.65000001</v>
      </c>
      <c r="AD7" s="188">
        <v>278130127.38</v>
      </c>
      <c r="AE7" s="188">
        <v>288261009.91000003</v>
      </c>
      <c r="AF7" s="188">
        <v>289554595.38999999</v>
      </c>
      <c r="AG7" s="188">
        <v>277283548.85000002</v>
      </c>
      <c r="AH7" s="188">
        <v>280904335.86000001</v>
      </c>
      <c r="AI7" s="188">
        <v>308900927.99000001</v>
      </c>
      <c r="AJ7" s="188">
        <v>297909936.68000001</v>
      </c>
      <c r="AK7" s="188">
        <v>274239817.10000002</v>
      </c>
      <c r="AL7" s="188">
        <v>251703165.25999999</v>
      </c>
      <c r="AM7" s="188">
        <v>233063785.08000001</v>
      </c>
      <c r="AN7" s="188">
        <v>212171123.55000001</v>
      </c>
      <c r="AO7" s="188">
        <v>212136626.12</v>
      </c>
      <c r="AP7" s="188">
        <v>235412623.81999999</v>
      </c>
      <c r="AQ7" s="188">
        <v>217373608.62</v>
      </c>
      <c r="AR7" s="188">
        <v>188261989.75</v>
      </c>
      <c r="AS7" s="188">
        <v>227128108.77000001</v>
      </c>
      <c r="AT7" s="188">
        <v>235827763.59999999</v>
      </c>
      <c r="AU7" s="188">
        <v>216641709.44</v>
      </c>
      <c r="AV7" s="188">
        <v>223658699.87</v>
      </c>
      <c r="AW7" s="188">
        <v>209460803.59</v>
      </c>
      <c r="AX7" s="188">
        <v>215058412.13</v>
      </c>
      <c r="AY7" s="188">
        <v>217392110.41</v>
      </c>
      <c r="AZ7" s="188">
        <v>179486834.84999999</v>
      </c>
      <c r="BA7" s="188">
        <v>148221826.34999999</v>
      </c>
      <c r="BB7" s="188">
        <v>99606759.519999996</v>
      </c>
      <c r="BC7" s="188">
        <v>112071713.16</v>
      </c>
      <c r="BD7" s="188">
        <v>126491916.48</v>
      </c>
      <c r="BE7" s="188">
        <v>137065952.31999999</v>
      </c>
      <c r="BF7" s="188">
        <v>107309840.70999999</v>
      </c>
      <c r="BG7" s="188">
        <v>88523690.620000005</v>
      </c>
      <c r="BH7" s="188">
        <v>80542830.459999993</v>
      </c>
      <c r="BI7" s="188">
        <v>79139865.090000004</v>
      </c>
      <c r="BJ7" s="188">
        <v>66357765.439999998</v>
      </c>
      <c r="BK7" s="188">
        <v>69482829.079999998</v>
      </c>
      <c r="BL7" s="188">
        <v>57841115.289999999</v>
      </c>
      <c r="BM7" s="188">
        <v>47053802.149999999</v>
      </c>
      <c r="BN7" s="188">
        <v>52886287.619999997</v>
      </c>
      <c r="BO7" s="188">
        <v>58080845.520000003</v>
      </c>
      <c r="BP7" s="188">
        <v>27008773.75</v>
      </c>
      <c r="BQ7" s="188">
        <v>19075600</v>
      </c>
      <c r="BR7" s="188">
        <v>0</v>
      </c>
      <c r="BS7" s="188">
        <v>0</v>
      </c>
    </row>
    <row r="8" spans="1:71">
      <c r="A8" s="188" t="s">
        <v>112</v>
      </c>
      <c r="B8" s="188">
        <v>387369220.55000001</v>
      </c>
      <c r="C8" s="188">
        <v>432644777.74000001</v>
      </c>
      <c r="D8" s="188">
        <v>454921823.19999999</v>
      </c>
      <c r="E8" s="188">
        <v>388486239.58999997</v>
      </c>
      <c r="F8" s="188">
        <v>404449545.85000002</v>
      </c>
      <c r="G8" s="188">
        <v>439148548.98000002</v>
      </c>
      <c r="H8" s="188">
        <v>470879311.04000002</v>
      </c>
      <c r="I8" s="188">
        <v>436168965.38</v>
      </c>
      <c r="J8" s="188">
        <v>422138166.01999998</v>
      </c>
      <c r="K8" s="188">
        <v>441664090.00999999</v>
      </c>
      <c r="L8" s="188">
        <v>434729892.25</v>
      </c>
      <c r="M8" s="188">
        <v>390738800.44999999</v>
      </c>
      <c r="N8" s="188">
        <v>418176786.83999997</v>
      </c>
      <c r="O8" s="188">
        <v>438356878.94</v>
      </c>
      <c r="P8" s="188">
        <v>458825049.38</v>
      </c>
      <c r="Q8" s="188">
        <v>424066386.16000003</v>
      </c>
      <c r="R8" s="188">
        <v>463642752.38999999</v>
      </c>
      <c r="S8" s="188">
        <v>447852823.82999998</v>
      </c>
      <c r="T8" s="188">
        <v>437317504.86000001</v>
      </c>
      <c r="U8" s="188">
        <v>407322278.18000001</v>
      </c>
      <c r="V8" s="188">
        <v>410278534.89999998</v>
      </c>
      <c r="W8" s="188">
        <v>414672349.29000002</v>
      </c>
      <c r="X8" s="188">
        <v>388648986.5</v>
      </c>
      <c r="Y8" s="188">
        <v>374226132.73000002</v>
      </c>
      <c r="Z8" s="188">
        <v>372696959.29000002</v>
      </c>
      <c r="AA8" s="188">
        <v>368014819.49000001</v>
      </c>
      <c r="AB8" s="188">
        <v>360478100.11000001</v>
      </c>
      <c r="AC8" s="188">
        <v>330838886.63</v>
      </c>
      <c r="AD8" s="188">
        <v>374398717.81999999</v>
      </c>
      <c r="AE8" s="188">
        <v>378774956.91000003</v>
      </c>
      <c r="AF8" s="188">
        <v>391340911.60000002</v>
      </c>
      <c r="AG8" s="188">
        <v>373852374.68000001</v>
      </c>
      <c r="AH8" s="188">
        <v>377923552.94</v>
      </c>
      <c r="AI8" s="188">
        <v>360724078.42000002</v>
      </c>
      <c r="AJ8" s="188">
        <v>339110021.69</v>
      </c>
      <c r="AK8" s="188">
        <v>338014759.60000002</v>
      </c>
      <c r="AL8" s="188">
        <v>335968297.06999999</v>
      </c>
      <c r="AM8" s="188">
        <v>340099874.16000003</v>
      </c>
      <c r="AN8" s="188">
        <v>322166958.30000001</v>
      </c>
      <c r="AO8" s="188">
        <v>315032402.91000003</v>
      </c>
      <c r="AP8" s="188">
        <v>337221411.62</v>
      </c>
      <c r="AQ8" s="188">
        <v>318768944.50999999</v>
      </c>
      <c r="AR8" s="188">
        <v>308552269.73000002</v>
      </c>
      <c r="AS8" s="188">
        <v>284709374.88999999</v>
      </c>
      <c r="AT8" s="188">
        <v>299345271.23000002</v>
      </c>
      <c r="AU8" s="188">
        <v>303701760.94999999</v>
      </c>
      <c r="AV8" s="188">
        <v>264724955.97</v>
      </c>
      <c r="AW8" s="188">
        <v>250356594.58000001</v>
      </c>
      <c r="AX8" s="188">
        <v>237452290.93000001</v>
      </c>
      <c r="AY8" s="188">
        <v>226819260.06999999</v>
      </c>
      <c r="AZ8" s="188">
        <v>10525597.98</v>
      </c>
      <c r="BA8" s="188">
        <v>209120520.77000001</v>
      </c>
      <c r="BB8" s="188">
        <v>205546771.09999999</v>
      </c>
      <c r="BC8" s="188">
        <v>196571133.63</v>
      </c>
      <c r="BD8" s="188">
        <v>177206133.47</v>
      </c>
      <c r="BE8" s="188">
        <v>163118059.19</v>
      </c>
      <c r="BF8" s="188">
        <v>163374969.38999999</v>
      </c>
      <c r="BG8" s="188">
        <v>168771357.72999999</v>
      </c>
      <c r="BH8" s="188">
        <v>156521554.16</v>
      </c>
      <c r="BI8" s="188">
        <v>112947996.34</v>
      </c>
      <c r="BJ8" s="188">
        <v>102418978.91</v>
      </c>
      <c r="BK8" s="188">
        <v>86747530.049999997</v>
      </c>
      <c r="BL8" s="188">
        <v>69228636.310000002</v>
      </c>
      <c r="BM8" s="188">
        <v>85555565.090000004</v>
      </c>
      <c r="BN8" s="188">
        <v>74548993.980000004</v>
      </c>
      <c r="BO8" s="188">
        <v>72417498.859999999</v>
      </c>
      <c r="BP8" s="188">
        <v>85165392.760000005</v>
      </c>
      <c r="BQ8" s="188">
        <v>92486191.140000001</v>
      </c>
      <c r="BR8" s="188">
        <v>92322941.989999995</v>
      </c>
      <c r="BS8" s="188">
        <v>0</v>
      </c>
    </row>
    <row r="9" spans="1:71">
      <c r="A9" s="188" t="s">
        <v>113</v>
      </c>
      <c r="B9" s="188">
        <v>51937518.5</v>
      </c>
      <c r="C9" s="188">
        <v>42629576.710000001</v>
      </c>
      <c r="D9" s="188">
        <v>54495799.890000001</v>
      </c>
      <c r="E9" s="188">
        <v>38212128.859999999</v>
      </c>
      <c r="F9" s="188">
        <v>46137277.799999997</v>
      </c>
      <c r="G9" s="188">
        <v>49240466.32</v>
      </c>
      <c r="H9" s="188">
        <v>58621546.369999997</v>
      </c>
      <c r="I9" s="188">
        <v>43040671.700000003</v>
      </c>
      <c r="J9" s="188">
        <v>32036114.309999999</v>
      </c>
      <c r="K9" s="188">
        <v>32173673.399999999</v>
      </c>
      <c r="L9" s="188">
        <v>29942355.100000001</v>
      </c>
      <c r="M9" s="188">
        <v>21579766.550000001</v>
      </c>
      <c r="N9" s="188">
        <v>35806977.229999997</v>
      </c>
      <c r="O9" s="188">
        <v>29659825.41</v>
      </c>
      <c r="P9" s="188">
        <v>32172845.43</v>
      </c>
      <c r="Q9" s="188">
        <v>26052588.25</v>
      </c>
      <c r="R9" s="188">
        <v>45668922.770000003</v>
      </c>
      <c r="S9" s="188">
        <v>48311640.859999999</v>
      </c>
      <c r="T9" s="188">
        <v>40551776.909999996</v>
      </c>
      <c r="U9" s="188">
        <v>32753958.59</v>
      </c>
      <c r="V9" s="188">
        <v>72663656.939999998</v>
      </c>
      <c r="W9" s="188">
        <v>58659247.960000001</v>
      </c>
      <c r="X9" s="188">
        <v>64781308.399999999</v>
      </c>
      <c r="Y9" s="188">
        <v>57470877.740000002</v>
      </c>
      <c r="Z9" s="188">
        <v>74282707.859999999</v>
      </c>
      <c r="AA9" s="188">
        <v>106478977.39</v>
      </c>
      <c r="AB9" s="188">
        <v>109040335.76000001</v>
      </c>
      <c r="AC9" s="188">
        <v>92975945.689999998</v>
      </c>
      <c r="AD9" s="188">
        <v>203837691.24000001</v>
      </c>
      <c r="AE9" s="188">
        <v>152245673.72</v>
      </c>
      <c r="AF9" s="188">
        <v>300965846.77999997</v>
      </c>
      <c r="AG9" s="188">
        <v>241987617.37</v>
      </c>
      <c r="AH9" s="188">
        <v>185647147.06999999</v>
      </c>
      <c r="AI9" s="188">
        <v>184063160.97999999</v>
      </c>
      <c r="AJ9" s="188">
        <v>170811296.16999999</v>
      </c>
      <c r="AK9" s="188">
        <v>142386287.05000001</v>
      </c>
      <c r="AL9" s="188">
        <v>192976462.38999999</v>
      </c>
      <c r="AM9" s="188">
        <v>154545915.61000001</v>
      </c>
      <c r="AN9" s="188">
        <v>159385579.46000001</v>
      </c>
      <c r="AO9" s="188">
        <v>132778894.62</v>
      </c>
      <c r="AP9" s="188">
        <v>137365487.40000001</v>
      </c>
      <c r="AQ9" s="188">
        <v>141032768.18000001</v>
      </c>
      <c r="AR9" s="188">
        <v>124196895.43000001</v>
      </c>
      <c r="AS9" s="188">
        <v>130453211.69</v>
      </c>
      <c r="AT9" s="188">
        <v>118090449.04000001</v>
      </c>
      <c r="AU9" s="188">
        <v>89777490.569999993</v>
      </c>
      <c r="AV9" s="188">
        <v>75591728.840000004</v>
      </c>
      <c r="AW9" s="188">
        <v>90437490.340000004</v>
      </c>
      <c r="AX9" s="188">
        <v>67236393.450000003</v>
      </c>
      <c r="AY9" s="188">
        <v>56898942.520000003</v>
      </c>
      <c r="AZ9" s="188">
        <v>47618892.43</v>
      </c>
      <c r="BA9" s="188">
        <v>59954980.390000001</v>
      </c>
      <c r="BB9" s="188">
        <v>51727174.020000003</v>
      </c>
      <c r="BC9" s="188">
        <v>39381765.960000001</v>
      </c>
      <c r="BD9" s="188">
        <v>38877412.009999998</v>
      </c>
      <c r="BE9" s="188">
        <v>41688875.520000003</v>
      </c>
      <c r="BF9" s="188">
        <v>52846509.280000001</v>
      </c>
      <c r="BG9" s="188">
        <v>33379368.140000001</v>
      </c>
      <c r="BH9" s="188">
        <v>32205297.010000002</v>
      </c>
      <c r="BI9" s="188">
        <v>24107572.670000002</v>
      </c>
      <c r="BJ9" s="188">
        <v>28114274.32</v>
      </c>
      <c r="BK9" s="188">
        <v>14058768.470000001</v>
      </c>
      <c r="BL9" s="188">
        <v>33799580.780000001</v>
      </c>
      <c r="BM9" s="188">
        <v>12658938.26</v>
      </c>
      <c r="BN9" s="188">
        <v>13505525.449999999</v>
      </c>
      <c r="BO9" s="188">
        <v>15161331.390000001</v>
      </c>
      <c r="BP9" s="188">
        <v>14818695.23</v>
      </c>
      <c r="BQ9" s="188">
        <v>6082388.8200000003</v>
      </c>
      <c r="BR9" s="188">
        <v>7535180.3499999996</v>
      </c>
      <c r="BS9" s="188">
        <v>0</v>
      </c>
    </row>
    <row r="10" spans="1:71">
      <c r="A10" s="188" t="s">
        <v>114</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88">
        <v>0</v>
      </c>
      <c r="AT10" s="188">
        <v>0</v>
      </c>
      <c r="AU10" s="188">
        <v>0</v>
      </c>
      <c r="AV10" s="188">
        <v>0</v>
      </c>
      <c r="AW10" s="188">
        <v>0</v>
      </c>
      <c r="AX10" s="188">
        <v>0</v>
      </c>
      <c r="AY10" s="188">
        <v>0</v>
      </c>
      <c r="AZ10" s="188">
        <v>246917266.59</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row>
    <row r="11" spans="1:71">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row>
    <row r="12" spans="1:71">
      <c r="A12" s="188" t="s">
        <v>116</v>
      </c>
      <c r="B12" s="188">
        <v>34569181.549999997</v>
      </c>
      <c r="C12" s="188">
        <v>29568295.649999999</v>
      </c>
      <c r="D12" s="188">
        <v>14872016.27</v>
      </c>
      <c r="E12" s="188">
        <v>11782872.24</v>
      </c>
      <c r="F12" s="188">
        <v>8787719.3499999996</v>
      </c>
      <c r="G12" s="188">
        <v>15344293.41</v>
      </c>
      <c r="H12" s="188">
        <v>15476233.1</v>
      </c>
      <c r="I12" s="188">
        <v>25195527.949999999</v>
      </c>
      <c r="J12" s="188">
        <v>12956162.859999999</v>
      </c>
      <c r="K12" s="188">
        <v>12473207.58</v>
      </c>
      <c r="L12" s="188">
        <v>11426202.32</v>
      </c>
      <c r="M12" s="188">
        <v>8817428.1099999994</v>
      </c>
      <c r="N12" s="188">
        <v>10231039.130000001</v>
      </c>
      <c r="O12" s="188">
        <v>8610895.1899999995</v>
      </c>
      <c r="P12" s="188">
        <v>40681750.740000002</v>
      </c>
      <c r="Q12" s="188">
        <v>8035265.5800000001</v>
      </c>
      <c r="R12" s="188">
        <v>9951036.3000000007</v>
      </c>
      <c r="S12" s="188">
        <v>7748824.9100000001</v>
      </c>
      <c r="T12" s="188">
        <v>8082650.1500000004</v>
      </c>
      <c r="U12" s="188">
        <v>6309525.8300000001</v>
      </c>
      <c r="V12" s="188">
        <v>7668698.9000000004</v>
      </c>
      <c r="W12" s="188">
        <v>6492431.7000000002</v>
      </c>
      <c r="X12" s="188">
        <v>6652302.0599999996</v>
      </c>
      <c r="Y12" s="188">
        <v>5715775.2800000003</v>
      </c>
      <c r="Z12" s="188">
        <v>7128198.0099999998</v>
      </c>
      <c r="AA12" s="188">
        <v>7635250.3799999999</v>
      </c>
      <c r="AB12" s="188">
        <v>9330765.6300000008</v>
      </c>
      <c r="AC12" s="188">
        <v>8425894.4100000001</v>
      </c>
      <c r="AD12" s="188">
        <v>7812048.4000000004</v>
      </c>
      <c r="AE12" s="188">
        <v>23238321.050000001</v>
      </c>
      <c r="AF12" s="188">
        <v>20446814.43</v>
      </c>
      <c r="AG12" s="188">
        <v>19479768.239999998</v>
      </c>
      <c r="AH12" s="188">
        <v>14689171.119999999</v>
      </c>
      <c r="AI12" s="188">
        <v>15211688.98</v>
      </c>
      <c r="AJ12" s="188">
        <v>9638032.0999999996</v>
      </c>
      <c r="AK12" s="188">
        <v>8999045.4900000002</v>
      </c>
      <c r="AL12" s="188">
        <v>10012006.640000001</v>
      </c>
      <c r="AM12" s="188">
        <v>18679123.41</v>
      </c>
      <c r="AN12" s="188">
        <v>18779506.510000002</v>
      </c>
      <c r="AO12" s="188">
        <v>10715641.199999999</v>
      </c>
      <c r="AP12" s="188">
        <v>18912622.43</v>
      </c>
      <c r="AQ12" s="188">
        <v>10621675.199999999</v>
      </c>
      <c r="AR12" s="188">
        <v>8487841.1699999999</v>
      </c>
      <c r="AS12" s="188">
        <v>8035777.6100000003</v>
      </c>
      <c r="AT12" s="188">
        <v>9707790.6400000006</v>
      </c>
      <c r="AU12" s="188">
        <v>8145832.8700000001</v>
      </c>
      <c r="AV12" s="188">
        <v>6628810.4100000001</v>
      </c>
      <c r="AW12" s="188">
        <v>7218248.9400000004</v>
      </c>
      <c r="AX12" s="188">
        <v>10677414.9</v>
      </c>
      <c r="AY12" s="188">
        <v>16023913.300000001</v>
      </c>
      <c r="AZ12" s="188">
        <v>0</v>
      </c>
      <c r="BA12" s="188">
        <v>10789758.52</v>
      </c>
      <c r="BB12" s="188">
        <v>14825720.720000001</v>
      </c>
      <c r="BC12" s="188">
        <v>17579681.93</v>
      </c>
      <c r="BD12" s="188">
        <v>9288310.4399999995</v>
      </c>
      <c r="BE12" s="188">
        <v>8665270.2200000007</v>
      </c>
      <c r="BF12" s="188">
        <v>6128303.6200000001</v>
      </c>
      <c r="BG12" s="188">
        <v>5900231.3399999999</v>
      </c>
      <c r="BH12" s="188">
        <v>3898349.43</v>
      </c>
      <c r="BI12" s="188">
        <v>5466734.3499999996</v>
      </c>
      <c r="BJ12" s="188">
        <v>8612673.7100000009</v>
      </c>
      <c r="BK12" s="188">
        <v>5538754.5</v>
      </c>
      <c r="BL12" s="188">
        <v>12338711.16</v>
      </c>
      <c r="BM12" s="188">
        <v>5151168.32</v>
      </c>
      <c r="BN12" s="188">
        <v>9637279.6400000006</v>
      </c>
      <c r="BO12" s="188">
        <v>12855507.029999999</v>
      </c>
      <c r="BP12" s="188">
        <v>11486467.65</v>
      </c>
      <c r="BQ12" s="188">
        <v>16655091.92</v>
      </c>
      <c r="BR12" s="188">
        <v>22745119.420000002</v>
      </c>
      <c r="BS12" s="188">
        <v>0</v>
      </c>
    </row>
    <row r="13" spans="1:71">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row>
    <row r="14" spans="1:71">
      <c r="A14" s="188" t="s">
        <v>118</v>
      </c>
      <c r="B14" s="188">
        <v>528998936.36000001</v>
      </c>
      <c r="C14" s="188">
        <v>501166981.38999999</v>
      </c>
      <c r="D14" s="188">
        <v>515000806.07999998</v>
      </c>
      <c r="E14" s="188">
        <v>545291064.50999999</v>
      </c>
      <c r="F14" s="188">
        <v>550534766.14999998</v>
      </c>
      <c r="G14" s="188">
        <v>515278965.76999998</v>
      </c>
      <c r="H14" s="188">
        <v>497163786.93000001</v>
      </c>
      <c r="I14" s="188">
        <v>512073033.35000002</v>
      </c>
      <c r="J14" s="188">
        <v>566861245.27999997</v>
      </c>
      <c r="K14" s="188">
        <v>550696325.96000004</v>
      </c>
      <c r="L14" s="188">
        <v>561817538.32000005</v>
      </c>
      <c r="M14" s="188">
        <v>530747355.20999998</v>
      </c>
      <c r="N14" s="188">
        <v>480304413.70999998</v>
      </c>
      <c r="O14" s="188">
        <v>448626613.17000002</v>
      </c>
      <c r="P14" s="188">
        <v>470613052.47000003</v>
      </c>
      <c r="Q14" s="188">
        <v>474613402.13999999</v>
      </c>
      <c r="R14" s="188">
        <v>479223258.83999997</v>
      </c>
      <c r="S14" s="188">
        <v>474156870.66000003</v>
      </c>
      <c r="T14" s="188">
        <v>480524282.19</v>
      </c>
      <c r="U14" s="188">
        <v>486847147.36000001</v>
      </c>
      <c r="V14" s="188">
        <v>491494705.63</v>
      </c>
      <c r="W14" s="188">
        <v>461585494.5</v>
      </c>
      <c r="X14" s="188">
        <v>471964742.36000001</v>
      </c>
      <c r="Y14" s="188">
        <v>450400555.81999999</v>
      </c>
      <c r="Z14" s="188">
        <v>467892313.20999998</v>
      </c>
      <c r="AA14" s="188">
        <v>437615528.61000001</v>
      </c>
      <c r="AB14" s="188">
        <v>428630165.13999999</v>
      </c>
      <c r="AC14" s="188">
        <v>396488094.70999998</v>
      </c>
      <c r="AD14" s="188">
        <v>359222925.75999999</v>
      </c>
      <c r="AE14" s="188">
        <v>310715386.38999999</v>
      </c>
      <c r="AF14" s="188">
        <v>324363556.52999997</v>
      </c>
      <c r="AG14" s="188">
        <v>334691103.43000001</v>
      </c>
      <c r="AH14" s="188">
        <v>296673879.00999999</v>
      </c>
      <c r="AI14" s="188">
        <v>279109872.02999997</v>
      </c>
      <c r="AJ14" s="188">
        <v>270969144.06999999</v>
      </c>
      <c r="AK14" s="188">
        <v>288921075.75</v>
      </c>
      <c r="AL14" s="188">
        <v>284413805.39999998</v>
      </c>
      <c r="AM14" s="188">
        <v>284792781.08999997</v>
      </c>
      <c r="AN14" s="188">
        <v>303234897.13</v>
      </c>
      <c r="AO14" s="188">
        <v>297654530.12</v>
      </c>
      <c r="AP14" s="188">
        <v>272505406.82999998</v>
      </c>
      <c r="AQ14" s="188">
        <v>249173476.86000001</v>
      </c>
      <c r="AR14" s="188">
        <v>221629112.31999999</v>
      </c>
      <c r="AS14" s="188">
        <v>214624775.91999999</v>
      </c>
      <c r="AT14" s="188">
        <v>198603051.72999999</v>
      </c>
      <c r="AU14" s="188">
        <v>195983729.46000001</v>
      </c>
      <c r="AV14" s="188">
        <v>202806268.65000001</v>
      </c>
      <c r="AW14" s="188">
        <v>212274968.80000001</v>
      </c>
      <c r="AX14" s="188">
        <v>212189161.06999999</v>
      </c>
      <c r="AY14" s="188">
        <v>194033471.12</v>
      </c>
      <c r="AZ14" s="188">
        <v>175646280.34999999</v>
      </c>
      <c r="BA14" s="188">
        <v>172990972.13999999</v>
      </c>
      <c r="BB14" s="188">
        <v>177740717.18000001</v>
      </c>
      <c r="BC14" s="188">
        <v>156430444.75999999</v>
      </c>
      <c r="BD14" s="188">
        <v>132274858.62</v>
      </c>
      <c r="BE14" s="188">
        <v>125866850.59</v>
      </c>
      <c r="BF14" s="188">
        <v>110101067.83</v>
      </c>
      <c r="BG14" s="188">
        <v>90459845.810000002</v>
      </c>
      <c r="BH14" s="188">
        <v>79210920.370000005</v>
      </c>
      <c r="BI14" s="188">
        <v>78545858.030000001</v>
      </c>
      <c r="BJ14" s="188">
        <v>58494993.869999997</v>
      </c>
      <c r="BK14" s="188">
        <v>57477330.259999998</v>
      </c>
      <c r="BL14" s="188">
        <v>74980107.290000007</v>
      </c>
      <c r="BM14" s="188">
        <v>71573188.620000005</v>
      </c>
      <c r="BN14" s="188">
        <v>90310247.879999995</v>
      </c>
      <c r="BO14" s="188">
        <v>84013222.239999995</v>
      </c>
      <c r="BP14" s="188">
        <v>83588211.629999995</v>
      </c>
      <c r="BQ14" s="188">
        <v>81256659.780000001</v>
      </c>
      <c r="BR14" s="188">
        <v>67536923.650000006</v>
      </c>
      <c r="BS14" s="188">
        <v>0</v>
      </c>
    </row>
    <row r="15" spans="1:71">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row>
    <row r="16" spans="1:71">
      <c r="A16" s="188" t="s">
        <v>120</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row>
    <row r="17" spans="1:71">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0</v>
      </c>
      <c r="AX17" s="188">
        <v>717231.59</v>
      </c>
      <c r="AY17" s="188">
        <v>1195269.8799999999</v>
      </c>
      <c r="AZ17" s="188">
        <v>277500.78000000003</v>
      </c>
      <c r="BA17" s="188">
        <v>0</v>
      </c>
      <c r="BB17" s="188">
        <v>381732.57</v>
      </c>
      <c r="BC17" s="188">
        <v>478170.48</v>
      </c>
      <c r="BD17" s="188">
        <v>217682.14</v>
      </c>
      <c r="BE17" s="188">
        <v>0</v>
      </c>
      <c r="BF17" s="188">
        <v>0</v>
      </c>
      <c r="BG17" s="188">
        <v>0</v>
      </c>
      <c r="BH17" s="188">
        <v>0</v>
      </c>
      <c r="BI17" s="188">
        <v>0</v>
      </c>
      <c r="BJ17" s="188">
        <v>0</v>
      </c>
      <c r="BK17" s="188">
        <v>0</v>
      </c>
      <c r="BL17" s="188">
        <v>0</v>
      </c>
      <c r="BM17" s="188">
        <v>0</v>
      </c>
      <c r="BN17" s="188">
        <v>0</v>
      </c>
      <c r="BO17" s="188">
        <v>0</v>
      </c>
      <c r="BP17" s="188">
        <v>0</v>
      </c>
      <c r="BQ17" s="188">
        <v>0</v>
      </c>
      <c r="BR17" s="188">
        <v>0</v>
      </c>
      <c r="BS17" s="188">
        <v>0</v>
      </c>
    </row>
    <row r="18" spans="1:71">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c r="BS18" s="188">
        <v>0</v>
      </c>
    </row>
    <row r="19" spans="1:71">
      <c r="A19" s="188" t="s">
        <v>123</v>
      </c>
      <c r="B19" s="188">
        <v>831023946.91999996</v>
      </c>
      <c r="C19" s="188">
        <v>648192622.17999995</v>
      </c>
      <c r="D19" s="188">
        <v>678529968.23000002</v>
      </c>
      <c r="E19" s="188">
        <v>728396978.54999995</v>
      </c>
      <c r="F19" s="188">
        <v>720979085.41999996</v>
      </c>
      <c r="G19" s="188">
        <v>776585454.23000002</v>
      </c>
      <c r="H19" s="188">
        <v>763071787.85000002</v>
      </c>
      <c r="I19" s="188">
        <v>180233708.52000001</v>
      </c>
      <c r="J19" s="188">
        <v>130478892.43000001</v>
      </c>
      <c r="K19" s="188">
        <v>69045953.640000001</v>
      </c>
      <c r="L19" s="188">
        <v>50552154.899999999</v>
      </c>
      <c r="M19" s="188">
        <v>85458193.760000005</v>
      </c>
      <c r="N19" s="188">
        <v>104579493.64</v>
      </c>
      <c r="O19" s="188">
        <v>100314273.84999999</v>
      </c>
      <c r="P19" s="188">
        <v>63373325.369999997</v>
      </c>
      <c r="Q19" s="188">
        <v>68687089.390000001</v>
      </c>
      <c r="R19" s="188">
        <v>502885.37</v>
      </c>
      <c r="S19" s="188">
        <v>260620.98</v>
      </c>
      <c r="T19" s="188">
        <v>434338.61</v>
      </c>
      <c r="U19" s="188">
        <v>29000000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c r="BS19" s="188">
        <v>0</v>
      </c>
    </row>
    <row r="20" spans="1:71" s="191" customFormat="1">
      <c r="A20" s="191" t="s">
        <v>124</v>
      </c>
      <c r="B20" s="191">
        <v>2916084736.23</v>
      </c>
      <c r="C20" s="191">
        <v>2877664121.6300001</v>
      </c>
      <c r="D20" s="191">
        <v>2757843042.6700001</v>
      </c>
      <c r="E20" s="191">
        <v>2750042625.6100001</v>
      </c>
      <c r="F20" s="191">
        <v>2680372590.4200001</v>
      </c>
      <c r="G20" s="191">
        <v>2657244804.1500001</v>
      </c>
      <c r="H20" s="191">
        <v>2575293886.23</v>
      </c>
      <c r="I20" s="191">
        <v>2503379035.1300001</v>
      </c>
      <c r="J20" s="191">
        <v>1744689648.27</v>
      </c>
      <c r="K20" s="191">
        <v>1765488928.8499999</v>
      </c>
      <c r="L20" s="191">
        <v>1736373063.02</v>
      </c>
      <c r="M20" s="191">
        <v>1631181857.23</v>
      </c>
      <c r="N20" s="191">
        <v>1617274285.78</v>
      </c>
      <c r="O20" s="191">
        <v>1616956803.02</v>
      </c>
      <c r="P20" s="191">
        <v>1603632685.8299999</v>
      </c>
      <c r="Q20" s="191">
        <v>1526403446.05</v>
      </c>
      <c r="R20" s="191">
        <v>1578416764.3499999</v>
      </c>
      <c r="S20" s="191">
        <v>1510089746.53</v>
      </c>
      <c r="T20" s="191">
        <v>1439004969.52</v>
      </c>
      <c r="U20" s="191">
        <v>1424464099.28</v>
      </c>
      <c r="V20" s="191">
        <v>1402488968.2</v>
      </c>
      <c r="W20" s="191">
        <v>1396293434.51</v>
      </c>
      <c r="X20" s="191">
        <v>1348495006.2</v>
      </c>
      <c r="Y20" s="191">
        <v>1327961615.4200001</v>
      </c>
      <c r="Z20" s="191">
        <v>1318608672.76</v>
      </c>
      <c r="AA20" s="191">
        <v>1271849197.79</v>
      </c>
      <c r="AB20" s="191">
        <v>1187798751.8299999</v>
      </c>
      <c r="AC20" s="191">
        <v>1240242211.48</v>
      </c>
      <c r="AD20" s="191">
        <v>1358389140.72</v>
      </c>
      <c r="AE20" s="191">
        <v>1274505123.02</v>
      </c>
      <c r="AF20" s="191">
        <v>1507382356.3</v>
      </c>
      <c r="AG20" s="191">
        <v>1471013864.25</v>
      </c>
      <c r="AH20" s="191">
        <v>1460463786.0799999</v>
      </c>
      <c r="AI20" s="191">
        <v>1487922471.96</v>
      </c>
      <c r="AJ20" s="191">
        <v>1344799576.1400001</v>
      </c>
      <c r="AK20" s="191">
        <v>1270979653.0599999</v>
      </c>
      <c r="AL20" s="191">
        <v>1217307742.02</v>
      </c>
      <c r="AM20" s="191">
        <v>1163893721.96</v>
      </c>
      <c r="AN20" s="191">
        <v>1158828409.3800001</v>
      </c>
      <c r="AO20" s="191">
        <v>1062727495.6900001</v>
      </c>
      <c r="AP20" s="191">
        <v>1090790590.6800001</v>
      </c>
      <c r="AQ20" s="191">
        <v>1046766931.27</v>
      </c>
      <c r="AR20" s="191">
        <v>964287421.64999998</v>
      </c>
      <c r="AS20" s="191">
        <v>1025260698.21</v>
      </c>
      <c r="AT20" s="191">
        <v>1066796976.36</v>
      </c>
      <c r="AU20" s="191">
        <v>1045860597.63</v>
      </c>
      <c r="AV20" s="191">
        <v>1017735415.15</v>
      </c>
      <c r="AW20" s="191">
        <v>856042973.14999998</v>
      </c>
      <c r="AX20" s="191">
        <v>830703082.94000006</v>
      </c>
      <c r="AY20" s="191">
        <v>787245805.91999996</v>
      </c>
      <c r="AZ20" s="191">
        <v>752678936.30999994</v>
      </c>
      <c r="BA20" s="191">
        <v>717091319.15999997</v>
      </c>
      <c r="BB20" s="191">
        <v>626758161.78999996</v>
      </c>
      <c r="BC20" s="191">
        <v>579335787.46000004</v>
      </c>
      <c r="BD20" s="191">
        <v>545507934.95000005</v>
      </c>
      <c r="BE20" s="191">
        <v>566445941.63999999</v>
      </c>
      <c r="BF20" s="191">
        <v>543253868.22000003</v>
      </c>
      <c r="BG20" s="191">
        <v>544867013.90999997</v>
      </c>
      <c r="BH20" s="191">
        <v>517928369.69999999</v>
      </c>
      <c r="BI20" s="191">
        <v>484571992.92000002</v>
      </c>
      <c r="BJ20" s="191">
        <v>516914193.29000002</v>
      </c>
      <c r="BK20" s="191">
        <v>534617315.56</v>
      </c>
      <c r="BL20" s="191">
        <v>617808936.65999997</v>
      </c>
      <c r="BM20" s="191">
        <v>641757641.63999999</v>
      </c>
      <c r="BN20" s="191">
        <v>665744482.17999995</v>
      </c>
      <c r="BO20" s="191">
        <v>686818356.54999995</v>
      </c>
      <c r="BP20" s="191">
        <v>271453918.26999998</v>
      </c>
      <c r="BQ20" s="191">
        <v>244857930.91</v>
      </c>
      <c r="BR20" s="191">
        <v>218228237.12</v>
      </c>
      <c r="BS20" s="191">
        <v>0</v>
      </c>
    </row>
    <row r="21" spans="1:71">
      <c r="A21" s="188" t="s">
        <v>125</v>
      </c>
    </row>
    <row r="22" spans="1:71">
      <c r="A22" s="188" t="s">
        <v>126</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row>
    <row r="23" spans="1:71">
      <c r="A23" s="188" t="s">
        <v>127</v>
      </c>
      <c r="B23" s="188">
        <v>50000</v>
      </c>
      <c r="C23" s="188">
        <v>50000</v>
      </c>
      <c r="D23" s="188">
        <v>50000</v>
      </c>
      <c r="E23" s="188">
        <v>50000</v>
      </c>
      <c r="F23" s="188">
        <v>50000</v>
      </c>
      <c r="G23" s="188">
        <v>50000</v>
      </c>
      <c r="H23" s="188">
        <v>50000</v>
      </c>
      <c r="I23" s="188">
        <v>50000</v>
      </c>
      <c r="J23" s="188">
        <v>50000</v>
      </c>
      <c r="K23" s="188">
        <v>50000</v>
      </c>
      <c r="L23" s="188">
        <v>50000</v>
      </c>
      <c r="M23" s="188">
        <v>50000</v>
      </c>
      <c r="N23" s="188">
        <v>50000</v>
      </c>
      <c r="O23" s="188">
        <v>50000</v>
      </c>
      <c r="P23" s="188">
        <v>50000</v>
      </c>
      <c r="Q23" s="188">
        <v>50000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c r="BS23" s="188">
        <v>0</v>
      </c>
    </row>
    <row r="24" spans="1:71">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11953419.17</v>
      </c>
      <c r="AO24" s="188">
        <v>11953419.17</v>
      </c>
      <c r="AP24" s="188">
        <v>13731180.140000001</v>
      </c>
      <c r="AQ24" s="188">
        <v>13731180.140000001</v>
      </c>
      <c r="AR24" s="188">
        <v>13731180.140000001</v>
      </c>
      <c r="AS24" s="188">
        <v>13731180.140000001</v>
      </c>
      <c r="AT24" s="188">
        <v>25211138.18</v>
      </c>
      <c r="AU24" s="188">
        <v>25211138.18</v>
      </c>
      <c r="AV24" s="188">
        <v>25211138.18</v>
      </c>
      <c r="AW24" s="188">
        <v>25211138.18</v>
      </c>
      <c r="AX24" s="188">
        <v>23361109.379999999</v>
      </c>
      <c r="AY24" s="188">
        <v>15490906.380000001</v>
      </c>
      <c r="AZ24" s="188">
        <v>14350906.380000001</v>
      </c>
      <c r="BA24" s="188">
        <v>14330906.380000001</v>
      </c>
      <c r="BB24" s="188">
        <v>0</v>
      </c>
      <c r="BC24" s="188">
        <v>0</v>
      </c>
      <c r="BD24" s="188">
        <v>0</v>
      </c>
      <c r="BE24" s="188">
        <v>0</v>
      </c>
      <c r="BF24" s="188">
        <v>0</v>
      </c>
      <c r="BG24" s="188">
        <v>0</v>
      </c>
      <c r="BH24" s="188">
        <v>0</v>
      </c>
      <c r="BI24" s="188">
        <v>0</v>
      </c>
      <c r="BJ24" s="188">
        <v>0</v>
      </c>
      <c r="BK24" s="188">
        <v>0</v>
      </c>
      <c r="BL24" s="188">
        <v>0</v>
      </c>
      <c r="BM24" s="188">
        <v>0</v>
      </c>
      <c r="BN24" s="188">
        <v>0</v>
      </c>
      <c r="BO24" s="188">
        <v>0</v>
      </c>
      <c r="BP24" s="188">
        <v>0</v>
      </c>
      <c r="BQ24" s="188">
        <v>113607.5</v>
      </c>
      <c r="BR24" s="188">
        <v>91000</v>
      </c>
      <c r="BS24" s="188">
        <v>0</v>
      </c>
    </row>
    <row r="25" spans="1:71">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c r="BH25" s="188">
        <v>0</v>
      </c>
      <c r="BI25" s="188">
        <v>0</v>
      </c>
      <c r="BJ25" s="188">
        <v>0</v>
      </c>
      <c r="BK25" s="188">
        <v>0</v>
      </c>
      <c r="BL25" s="188">
        <v>0</v>
      </c>
      <c r="BM25" s="188">
        <v>0</v>
      </c>
      <c r="BN25" s="188">
        <v>0</v>
      </c>
      <c r="BO25" s="188">
        <v>0</v>
      </c>
      <c r="BP25" s="188">
        <v>0</v>
      </c>
      <c r="BQ25" s="188">
        <v>0</v>
      </c>
      <c r="BR25" s="188">
        <v>0</v>
      </c>
      <c r="BS25" s="188">
        <v>0</v>
      </c>
    </row>
    <row r="26" spans="1:71">
      <c r="A26" s="188" t="s">
        <v>130</v>
      </c>
      <c r="B26" s="188">
        <v>0</v>
      </c>
      <c r="C26" s="188">
        <v>0</v>
      </c>
      <c r="D26" s="188">
        <v>0</v>
      </c>
      <c r="E26" s="188">
        <v>0</v>
      </c>
      <c r="F26" s="188">
        <v>0</v>
      </c>
      <c r="G26" s="188">
        <v>0</v>
      </c>
      <c r="H26" s="188">
        <v>0</v>
      </c>
      <c r="I26" s="188">
        <v>0</v>
      </c>
      <c r="J26" s="188">
        <v>0</v>
      </c>
      <c r="K26" s="188">
        <v>0</v>
      </c>
      <c r="L26" s="188">
        <v>0</v>
      </c>
      <c r="M26" s="188">
        <v>0</v>
      </c>
      <c r="N26" s="188">
        <v>0</v>
      </c>
      <c r="O26" s="188">
        <v>0</v>
      </c>
      <c r="P26" s="188">
        <v>0</v>
      </c>
      <c r="Q26" s="188">
        <v>0</v>
      </c>
      <c r="R26" s="188">
        <v>50000</v>
      </c>
      <c r="S26" s="188">
        <v>50000</v>
      </c>
      <c r="T26" s="188">
        <v>50000</v>
      </c>
      <c r="U26" s="188">
        <v>50000</v>
      </c>
      <c r="V26" s="188">
        <v>5914625.8899999997</v>
      </c>
      <c r="W26" s="188">
        <v>5914625.8899999997</v>
      </c>
      <c r="X26" s="188">
        <v>5914625.8899999997</v>
      </c>
      <c r="Y26" s="188">
        <v>5914625.8899999997</v>
      </c>
      <c r="Z26" s="188">
        <v>11779251.779999999</v>
      </c>
      <c r="AA26" s="188">
        <v>11779251.779999999</v>
      </c>
      <c r="AB26" s="188">
        <v>11779251.779999999</v>
      </c>
      <c r="AC26" s="188">
        <v>11779251.779999999</v>
      </c>
      <c r="AD26" s="188">
        <v>50000</v>
      </c>
      <c r="AE26" s="188">
        <v>50000</v>
      </c>
      <c r="AF26" s="188">
        <v>50000</v>
      </c>
      <c r="AG26" s="188">
        <v>50000</v>
      </c>
      <c r="AH26" s="188">
        <v>50000</v>
      </c>
      <c r="AI26" s="188">
        <v>50000</v>
      </c>
      <c r="AJ26" s="188">
        <v>50000</v>
      </c>
      <c r="AK26" s="188">
        <v>50000</v>
      </c>
      <c r="AL26" s="188">
        <v>50000</v>
      </c>
      <c r="AM26" s="188">
        <v>50000</v>
      </c>
      <c r="AN26" s="188">
        <v>50000</v>
      </c>
      <c r="AO26" s="188">
        <v>50000</v>
      </c>
      <c r="AP26" s="188">
        <v>50000</v>
      </c>
      <c r="AQ26" s="188">
        <v>50000</v>
      </c>
      <c r="AR26" s="188">
        <v>50000</v>
      </c>
      <c r="AS26" s="188">
        <v>50000</v>
      </c>
      <c r="AT26" s="188">
        <v>50000</v>
      </c>
      <c r="AU26" s="188">
        <v>50000</v>
      </c>
      <c r="AV26" s="188">
        <v>29341260.710000001</v>
      </c>
      <c r="AW26" s="188">
        <v>31356717.039999999</v>
      </c>
      <c r="AX26" s="188">
        <v>2130471.0499999998</v>
      </c>
      <c r="AY26" s="188">
        <v>2195485.77</v>
      </c>
      <c r="AZ26" s="188">
        <v>2260500.4900000002</v>
      </c>
      <c r="BA26" s="188">
        <v>2325515.21</v>
      </c>
      <c r="BB26" s="188">
        <v>2390529.91</v>
      </c>
      <c r="BC26" s="188">
        <v>2455544.65</v>
      </c>
      <c r="BD26" s="188">
        <v>2520559.35</v>
      </c>
      <c r="BE26" s="188">
        <v>2585574.09</v>
      </c>
      <c r="BF26" s="188">
        <v>1750982.62</v>
      </c>
      <c r="BG26" s="188">
        <v>50000</v>
      </c>
      <c r="BH26" s="188">
        <v>50000</v>
      </c>
      <c r="BI26" s="188">
        <v>50000</v>
      </c>
      <c r="BJ26" s="188">
        <v>50000</v>
      </c>
      <c r="BK26" s="188">
        <v>50000</v>
      </c>
      <c r="BL26" s="188">
        <v>50000</v>
      </c>
      <c r="BM26" s="188">
        <v>50000</v>
      </c>
      <c r="BN26" s="188">
        <v>50000</v>
      </c>
      <c r="BO26" s="188">
        <v>50000</v>
      </c>
      <c r="BP26" s="188">
        <v>50000</v>
      </c>
      <c r="BQ26" s="188">
        <v>50000</v>
      </c>
      <c r="BR26" s="188">
        <v>50000</v>
      </c>
      <c r="BS26" s="188">
        <v>0</v>
      </c>
    </row>
    <row r="27" spans="1:71">
      <c r="A27" s="188" t="s">
        <v>131</v>
      </c>
      <c r="B27" s="188">
        <v>0</v>
      </c>
      <c r="C27" s="188">
        <v>0</v>
      </c>
      <c r="D27" s="188">
        <v>0</v>
      </c>
      <c r="E27" s="188">
        <v>0</v>
      </c>
      <c r="F27" s="188">
        <v>0</v>
      </c>
      <c r="G27" s="188">
        <v>0</v>
      </c>
      <c r="H27" s="188">
        <v>21891581.129999999</v>
      </c>
      <c r="I27" s="188">
        <v>22204594.59</v>
      </c>
      <c r="J27" s="188">
        <v>22517608.050000001</v>
      </c>
      <c r="K27" s="188">
        <v>22830621.510000002</v>
      </c>
      <c r="L27" s="188">
        <v>24544360.710000001</v>
      </c>
      <c r="M27" s="188">
        <v>24826624.829999998</v>
      </c>
      <c r="N27" s="188">
        <v>25165451.25</v>
      </c>
      <c r="O27" s="188">
        <v>25523347.23</v>
      </c>
      <c r="P27" s="188">
        <v>25862065.920000002</v>
      </c>
      <c r="Q27" s="188">
        <v>26181930.510000002</v>
      </c>
      <c r="R27" s="188">
        <v>26539718.77</v>
      </c>
      <c r="S27" s="188">
        <v>25334729.190000001</v>
      </c>
      <c r="T27" s="188">
        <v>25647742.649999999</v>
      </c>
      <c r="U27" s="188">
        <v>25960756.109999999</v>
      </c>
      <c r="V27" s="188">
        <v>26273769.57</v>
      </c>
      <c r="W27" s="188">
        <v>26586783.030000001</v>
      </c>
      <c r="X27" s="188">
        <v>26899796.489999998</v>
      </c>
      <c r="Y27" s="188">
        <v>27212809.949999999</v>
      </c>
      <c r="Z27" s="188">
        <v>27525823.41</v>
      </c>
      <c r="AA27" s="188">
        <v>27838836.870000001</v>
      </c>
      <c r="AB27" s="188">
        <v>28151850.329999998</v>
      </c>
      <c r="AC27" s="188">
        <v>28464863.789999999</v>
      </c>
      <c r="AD27" s="188">
        <v>28777877.25</v>
      </c>
      <c r="AE27" s="188">
        <v>29090890.710000001</v>
      </c>
      <c r="AF27" s="188">
        <v>29403904.170000002</v>
      </c>
      <c r="AG27" s="188">
        <v>29716917.629999999</v>
      </c>
      <c r="AH27" s="188">
        <v>30029931.09</v>
      </c>
      <c r="AI27" s="188">
        <v>30342944.550000001</v>
      </c>
      <c r="AJ27" s="188">
        <v>30655958.010000002</v>
      </c>
      <c r="AK27" s="188">
        <v>30966519.68</v>
      </c>
      <c r="AL27" s="188">
        <v>31473626.199999999</v>
      </c>
      <c r="AM27" s="188">
        <v>31788167.890000001</v>
      </c>
      <c r="AN27" s="188">
        <v>32102709.579999998</v>
      </c>
      <c r="AO27" s="188">
        <v>32208766.399999999</v>
      </c>
      <c r="AP27" s="188">
        <v>32520182.109999999</v>
      </c>
      <c r="AQ27" s="188">
        <v>32830692.550000001</v>
      </c>
      <c r="AR27" s="188">
        <v>33141202.989999998</v>
      </c>
      <c r="AS27" s="188">
        <v>33451713.43</v>
      </c>
      <c r="AT27" s="188">
        <v>33762223.869999997</v>
      </c>
      <c r="AU27" s="188">
        <v>34072734.310000002</v>
      </c>
      <c r="AV27" s="188">
        <v>34383244.75</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row>
    <row r="28" spans="1:71">
      <c r="A28" s="188" t="s">
        <v>132</v>
      </c>
      <c r="B28" s="188">
        <v>1176739521.3499999</v>
      </c>
      <c r="C28" s="188">
        <v>1182477577.26</v>
      </c>
      <c r="D28" s="188">
        <v>1221996900.1900001</v>
      </c>
      <c r="E28" s="188">
        <v>1220203080.5699999</v>
      </c>
      <c r="F28" s="188">
        <v>1235917528.76</v>
      </c>
      <c r="G28" s="188">
        <v>1236470024.5999999</v>
      </c>
      <c r="H28" s="188">
        <v>1208145619.49</v>
      </c>
      <c r="I28" s="188">
        <v>1187779936.3800001</v>
      </c>
      <c r="J28" s="188">
        <v>1210571022.54</v>
      </c>
      <c r="K28" s="188">
        <v>1205611464.9000001</v>
      </c>
      <c r="L28" s="188">
        <v>1091819401.52</v>
      </c>
      <c r="M28" s="188">
        <v>1078691097.8299999</v>
      </c>
      <c r="N28" s="188">
        <v>1050536012.78</v>
      </c>
      <c r="O28" s="188">
        <v>1057483421.04</v>
      </c>
      <c r="P28" s="188">
        <v>1081066480.4400001</v>
      </c>
      <c r="Q28" s="188">
        <v>1099872133.6800001</v>
      </c>
      <c r="R28" s="188">
        <v>1080266556.47</v>
      </c>
      <c r="S28" s="188">
        <v>1087123016.8199999</v>
      </c>
      <c r="T28" s="188">
        <v>1107760703.1300001</v>
      </c>
      <c r="U28" s="188">
        <v>1122027169.6600001</v>
      </c>
      <c r="V28" s="188">
        <v>1089484369.26</v>
      </c>
      <c r="W28" s="188">
        <v>1085353646.22</v>
      </c>
      <c r="X28" s="188">
        <v>1094953462.4400001</v>
      </c>
      <c r="Y28" s="188">
        <v>1113737436.99</v>
      </c>
      <c r="Z28" s="188">
        <v>1082181075.97</v>
      </c>
      <c r="AA28" s="188">
        <v>1089572221.7</v>
      </c>
      <c r="AB28" s="188">
        <v>1095555146.6800001</v>
      </c>
      <c r="AC28" s="188">
        <v>1063134488.66</v>
      </c>
      <c r="AD28" s="188">
        <v>814979215.21000004</v>
      </c>
      <c r="AE28" s="188">
        <v>743608921.49000001</v>
      </c>
      <c r="AF28" s="188">
        <v>751428739.14999998</v>
      </c>
      <c r="AG28" s="188">
        <v>769312694.21000004</v>
      </c>
      <c r="AH28" s="188">
        <v>777388620.5</v>
      </c>
      <c r="AI28" s="188">
        <v>705787333.25999999</v>
      </c>
      <c r="AJ28" s="188">
        <v>723769840.38</v>
      </c>
      <c r="AK28" s="188">
        <v>740308886.82000005</v>
      </c>
      <c r="AL28" s="188">
        <v>724218249.30999994</v>
      </c>
      <c r="AM28" s="188">
        <v>738298625.72000003</v>
      </c>
      <c r="AN28" s="188">
        <v>740112700.96000004</v>
      </c>
      <c r="AO28" s="188">
        <v>752306309.12</v>
      </c>
      <c r="AP28" s="188">
        <v>763362823.07000005</v>
      </c>
      <c r="AQ28" s="188">
        <v>773752440.51999998</v>
      </c>
      <c r="AR28" s="188">
        <v>753938933.88</v>
      </c>
      <c r="AS28" s="188">
        <v>683650077.24000001</v>
      </c>
      <c r="AT28" s="188">
        <v>693686764.98000002</v>
      </c>
      <c r="AU28" s="188">
        <v>701401016.99000001</v>
      </c>
      <c r="AV28" s="188">
        <v>686829610.03999996</v>
      </c>
      <c r="AW28" s="188">
        <v>651787253.65999997</v>
      </c>
      <c r="AX28" s="188">
        <v>652563475.94000006</v>
      </c>
      <c r="AY28" s="188">
        <v>631796840.89999998</v>
      </c>
      <c r="AZ28" s="188">
        <v>636775596.35000002</v>
      </c>
      <c r="BA28" s="188">
        <v>644191250</v>
      </c>
      <c r="BB28" s="188">
        <v>603235859.48000002</v>
      </c>
      <c r="BC28" s="188">
        <v>605229820.41999996</v>
      </c>
      <c r="BD28" s="188">
        <v>600772889.55999994</v>
      </c>
      <c r="BE28" s="188">
        <v>549614834.86000001</v>
      </c>
      <c r="BF28" s="188">
        <v>542120599.97000003</v>
      </c>
      <c r="BG28" s="188">
        <v>466702052.69</v>
      </c>
      <c r="BH28" s="188">
        <v>431073628.88999999</v>
      </c>
      <c r="BI28" s="188">
        <v>431876561.54000002</v>
      </c>
      <c r="BJ28" s="188">
        <v>203233178.59999999</v>
      </c>
      <c r="BK28" s="188">
        <v>181220657.69999999</v>
      </c>
      <c r="BL28" s="188">
        <v>183257067.25</v>
      </c>
      <c r="BM28" s="188">
        <v>186273337.91</v>
      </c>
      <c r="BN28" s="188">
        <v>123178957.62</v>
      </c>
      <c r="BO28" s="188">
        <v>131244246.86</v>
      </c>
      <c r="BP28" s="188">
        <v>134929680.96000001</v>
      </c>
      <c r="BQ28" s="188">
        <v>125962845.39</v>
      </c>
      <c r="BR28" s="188">
        <v>110827866.56</v>
      </c>
      <c r="BS28" s="188">
        <v>0</v>
      </c>
    </row>
    <row r="29" spans="1:71">
      <c r="A29" s="188" t="s">
        <v>133</v>
      </c>
      <c r="B29" s="188">
        <v>102305260.90000001</v>
      </c>
      <c r="C29" s="188">
        <v>74775840.439999998</v>
      </c>
      <c r="D29" s="188">
        <v>71536463.150000006</v>
      </c>
      <c r="E29" s="188">
        <v>54913469.030000001</v>
      </c>
      <c r="F29" s="188">
        <v>28473904.75</v>
      </c>
      <c r="G29" s="188">
        <v>15843281.199999999</v>
      </c>
      <c r="H29" s="188">
        <v>27971047.84</v>
      </c>
      <c r="I29" s="188">
        <v>45273645.950000003</v>
      </c>
      <c r="J29" s="188">
        <v>39996823.5</v>
      </c>
      <c r="K29" s="188">
        <v>22420057.670000002</v>
      </c>
      <c r="L29" s="188">
        <v>120870111.56</v>
      </c>
      <c r="M29" s="188">
        <v>95984001.840000004</v>
      </c>
      <c r="N29" s="188">
        <v>107713987.34999999</v>
      </c>
      <c r="O29" s="188">
        <v>76136611.450000003</v>
      </c>
      <c r="P29" s="188">
        <v>70914863.689999998</v>
      </c>
      <c r="Q29" s="188">
        <v>42970728.350000001</v>
      </c>
      <c r="R29" s="188">
        <v>50289333.270000003</v>
      </c>
      <c r="S29" s="188">
        <v>46000377.990000002</v>
      </c>
      <c r="T29" s="188">
        <v>30804275.949999999</v>
      </c>
      <c r="U29" s="188">
        <v>22042017.289999999</v>
      </c>
      <c r="V29" s="188">
        <v>44579370.170000002</v>
      </c>
      <c r="W29" s="188">
        <v>39542145.579999998</v>
      </c>
      <c r="X29" s="188">
        <v>35491915.619999997</v>
      </c>
      <c r="Y29" s="188">
        <v>30304190.460000001</v>
      </c>
      <c r="Z29" s="188">
        <v>35560235.399999999</v>
      </c>
      <c r="AA29" s="188">
        <v>13431304.710000001</v>
      </c>
      <c r="AB29" s="188">
        <v>6788280.21</v>
      </c>
      <c r="AC29" s="188">
        <v>39284556.810000002</v>
      </c>
      <c r="AD29" s="188">
        <v>200214178.88999999</v>
      </c>
      <c r="AE29" s="188">
        <v>260857001.62</v>
      </c>
      <c r="AF29" s="188">
        <v>216017375.83000001</v>
      </c>
      <c r="AG29" s="188">
        <v>195033201.06</v>
      </c>
      <c r="AH29" s="188">
        <v>143960793.94999999</v>
      </c>
      <c r="AI29" s="188">
        <v>181193196.47999999</v>
      </c>
      <c r="AJ29" s="188">
        <v>153523914.5</v>
      </c>
      <c r="AK29" s="188">
        <v>114781688.02</v>
      </c>
      <c r="AL29" s="188">
        <v>133403957.48999999</v>
      </c>
      <c r="AM29" s="188">
        <v>101625943.95</v>
      </c>
      <c r="AN29" s="188">
        <v>77837725.230000004</v>
      </c>
      <c r="AO29" s="188">
        <v>75594208.439999998</v>
      </c>
      <c r="AP29" s="188">
        <v>56137178.890000001</v>
      </c>
      <c r="AQ29" s="188">
        <v>43041909.829999998</v>
      </c>
      <c r="AR29" s="188">
        <v>44927771.840000004</v>
      </c>
      <c r="AS29" s="188">
        <v>53597573.289999999</v>
      </c>
      <c r="AT29" s="188">
        <v>34798116.560000002</v>
      </c>
      <c r="AU29" s="188">
        <v>11929333.529999999</v>
      </c>
      <c r="AV29" s="188">
        <v>18653983.609999999</v>
      </c>
      <c r="AW29" s="188">
        <v>43923188.670000002</v>
      </c>
      <c r="AX29" s="188">
        <v>29566440.289999999</v>
      </c>
      <c r="AY29" s="188">
        <v>60050530.119999997</v>
      </c>
      <c r="AZ29" s="188">
        <v>44063678.390000001</v>
      </c>
      <c r="BA29" s="188">
        <v>33394380.48</v>
      </c>
      <c r="BB29" s="188">
        <v>59566443.219999999</v>
      </c>
      <c r="BC29" s="188">
        <v>45633945.380000003</v>
      </c>
      <c r="BD29" s="188">
        <v>49492805.960000001</v>
      </c>
      <c r="BE29" s="188">
        <v>70334170.150000006</v>
      </c>
      <c r="BF29" s="188">
        <v>77513841.670000002</v>
      </c>
      <c r="BG29" s="188">
        <v>103756030.93000001</v>
      </c>
      <c r="BH29" s="188">
        <v>105820446.45</v>
      </c>
      <c r="BI29" s="188">
        <v>86724243.980000004</v>
      </c>
      <c r="BJ29" s="188">
        <v>256978412.22999999</v>
      </c>
      <c r="BK29" s="188">
        <v>206108022.38</v>
      </c>
      <c r="BL29" s="188">
        <v>117097230.72</v>
      </c>
      <c r="BM29" s="188">
        <v>92343934.980000004</v>
      </c>
      <c r="BN29" s="188">
        <v>110226599.75</v>
      </c>
      <c r="BO29" s="188">
        <v>80407084.859999999</v>
      </c>
      <c r="BP29" s="188">
        <v>32434295.100000001</v>
      </c>
      <c r="BQ29" s="188">
        <v>13528367.57</v>
      </c>
      <c r="BR29" s="188">
        <v>17315406.129999999</v>
      </c>
      <c r="BS29" s="188">
        <v>0</v>
      </c>
    </row>
    <row r="30" spans="1:71">
      <c r="A30" s="188" t="s">
        <v>134</v>
      </c>
      <c r="B30" s="188">
        <v>0</v>
      </c>
      <c r="C30" s="188">
        <v>2451918.25</v>
      </c>
      <c r="D30" s="188">
        <v>954413.28</v>
      </c>
      <c r="E30" s="188">
        <v>1125295.81</v>
      </c>
      <c r="F30" s="188">
        <v>13895986.470000001</v>
      </c>
      <c r="G30" s="188">
        <v>6730409.6799999997</v>
      </c>
      <c r="H30" s="188">
        <v>10372837.939999999</v>
      </c>
      <c r="I30" s="188">
        <v>6120144.8399999999</v>
      </c>
      <c r="J30" s="188">
        <v>7720836.3799999999</v>
      </c>
      <c r="K30" s="188">
        <v>5312424.63</v>
      </c>
      <c r="L30" s="188">
        <v>2863459.91</v>
      </c>
      <c r="M30" s="188">
        <v>5379453.5999999996</v>
      </c>
      <c r="N30" s="188">
        <v>12441264.710000001</v>
      </c>
      <c r="O30" s="188">
        <v>10804186.539999999</v>
      </c>
      <c r="P30" s="188">
        <v>2684124.09</v>
      </c>
      <c r="Q30" s="188">
        <v>417747.77</v>
      </c>
      <c r="R30" s="188">
        <v>1694612.76</v>
      </c>
      <c r="S30" s="188">
        <v>532775.56999999995</v>
      </c>
      <c r="T30" s="188">
        <v>1017467.06</v>
      </c>
      <c r="U30" s="188">
        <v>5809933.0899999999</v>
      </c>
      <c r="V30" s="188">
        <v>1146182.6599999999</v>
      </c>
      <c r="W30" s="188">
        <v>7537910.0999999996</v>
      </c>
      <c r="X30" s="188">
        <v>4790432.91</v>
      </c>
      <c r="Y30" s="188">
        <v>1981293.08</v>
      </c>
      <c r="Z30" s="188">
        <v>2633026.7400000002</v>
      </c>
      <c r="AA30" s="188">
        <v>7700774.79</v>
      </c>
      <c r="AB30" s="188">
        <v>7537378.8499999996</v>
      </c>
      <c r="AC30" s="188">
        <v>7155527</v>
      </c>
      <c r="AD30" s="188">
        <v>25992512.690000001</v>
      </c>
      <c r="AE30" s="188">
        <v>10875749.82</v>
      </c>
      <c r="AF30" s="188">
        <v>4316144.93</v>
      </c>
      <c r="AG30" s="188">
        <v>4675897.74</v>
      </c>
      <c r="AH30" s="188">
        <v>8003717.7300000004</v>
      </c>
      <c r="AI30" s="188">
        <v>6905369.0499999998</v>
      </c>
      <c r="AJ30" s="188">
        <v>4082943.65</v>
      </c>
      <c r="AK30" s="188">
        <v>6121486.5899999999</v>
      </c>
      <c r="AL30" s="188">
        <v>7290519.6500000004</v>
      </c>
      <c r="AM30" s="188">
        <v>6651767.8899999997</v>
      </c>
      <c r="AN30" s="188">
        <v>4156270.06</v>
      </c>
      <c r="AO30" s="188">
        <v>2996430.87</v>
      </c>
      <c r="AP30" s="188">
        <v>3449992.11</v>
      </c>
      <c r="AQ30" s="188">
        <v>2014647.27</v>
      </c>
      <c r="AR30" s="188">
        <v>3855210.18</v>
      </c>
      <c r="AS30" s="188">
        <v>7723753.04</v>
      </c>
      <c r="AT30" s="188">
        <v>6250579.5599999996</v>
      </c>
      <c r="AU30" s="188">
        <v>3438697.06</v>
      </c>
      <c r="AV30" s="188">
        <v>681464.62</v>
      </c>
      <c r="AW30" s="188">
        <v>13138715.6</v>
      </c>
      <c r="AX30" s="188">
        <v>7006835.4800000004</v>
      </c>
      <c r="AY30" s="188">
        <v>6113277.9100000001</v>
      </c>
      <c r="AZ30" s="188">
        <v>2877814.53</v>
      </c>
      <c r="BA30" s="188">
        <v>4614753.72</v>
      </c>
      <c r="BB30" s="188">
        <v>13187135.73</v>
      </c>
      <c r="BC30" s="188">
        <v>14513294.98</v>
      </c>
      <c r="BD30" s="188">
        <v>29156565.829999998</v>
      </c>
      <c r="BE30" s="188">
        <v>32888198.719999999</v>
      </c>
      <c r="BF30" s="188">
        <v>53856666.060000002</v>
      </c>
      <c r="BG30" s="188">
        <v>43710113.170000002</v>
      </c>
      <c r="BH30" s="188">
        <v>22805700.239999998</v>
      </c>
      <c r="BI30" s="188">
        <v>22086546.98</v>
      </c>
      <c r="BJ30" s="188">
        <v>10281765.970000001</v>
      </c>
      <c r="BK30" s="188">
        <v>15460919.609999999</v>
      </c>
      <c r="BL30" s="188">
        <v>19629083.949999999</v>
      </c>
      <c r="BM30" s="188">
        <v>16289262.380000001</v>
      </c>
      <c r="BN30" s="188">
        <v>2387077.7000000002</v>
      </c>
      <c r="BO30" s="188">
        <v>873456.67</v>
      </c>
      <c r="BP30" s="188">
        <v>21320314.969999999</v>
      </c>
      <c r="BQ30" s="188">
        <v>2607239.5</v>
      </c>
      <c r="BR30" s="188">
        <v>0</v>
      </c>
      <c r="BS30" s="188">
        <v>0</v>
      </c>
    </row>
    <row r="31" spans="1:71">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c r="BS31" s="188">
        <v>0</v>
      </c>
    </row>
    <row r="32" spans="1:71">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row>
    <row r="33" spans="1:71">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row>
    <row r="34" spans="1:71">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c r="BH34" s="188">
        <v>0</v>
      </c>
      <c r="BI34" s="188">
        <v>0</v>
      </c>
      <c r="BJ34" s="188">
        <v>0</v>
      </c>
      <c r="BK34" s="188">
        <v>0</v>
      </c>
      <c r="BL34" s="188">
        <v>0</v>
      </c>
      <c r="BM34" s="188">
        <v>0</v>
      </c>
      <c r="BN34" s="188">
        <v>0</v>
      </c>
      <c r="BO34" s="188">
        <v>0</v>
      </c>
      <c r="BP34" s="188">
        <v>0</v>
      </c>
      <c r="BQ34" s="188">
        <v>0</v>
      </c>
      <c r="BR34" s="188">
        <v>0</v>
      </c>
      <c r="BS34" s="188">
        <v>0</v>
      </c>
    </row>
    <row r="35" spans="1:71">
      <c r="A35" s="188" t="s">
        <v>139</v>
      </c>
      <c r="B35" s="188">
        <v>127737509.62</v>
      </c>
      <c r="C35" s="188">
        <v>128630278.95</v>
      </c>
      <c r="D35" s="188">
        <v>111745935.73</v>
      </c>
      <c r="E35" s="188">
        <v>112522598.90000001</v>
      </c>
      <c r="F35" s="188">
        <v>113130628.53</v>
      </c>
      <c r="G35" s="188">
        <v>113539138.93000001</v>
      </c>
      <c r="H35" s="188">
        <v>114325112.44</v>
      </c>
      <c r="I35" s="188">
        <v>98688731.150000006</v>
      </c>
      <c r="J35" s="188">
        <v>99115153.260000005</v>
      </c>
      <c r="K35" s="188">
        <v>99895645.349999994</v>
      </c>
      <c r="L35" s="188">
        <v>100045833.29000001</v>
      </c>
      <c r="M35" s="188">
        <v>89035907.799999997</v>
      </c>
      <c r="N35" s="188">
        <v>89660247.810000002</v>
      </c>
      <c r="O35" s="188">
        <v>80667174.819999993</v>
      </c>
      <c r="P35" s="188">
        <v>81325674.450000003</v>
      </c>
      <c r="Q35" s="188">
        <v>81958127.340000004</v>
      </c>
      <c r="R35" s="188">
        <v>82612721.310000002</v>
      </c>
      <c r="S35" s="188">
        <v>78486121.219999999</v>
      </c>
      <c r="T35" s="188">
        <v>79100085.840000004</v>
      </c>
      <c r="U35" s="188">
        <v>79715156.459999993</v>
      </c>
      <c r="V35" s="188">
        <v>80313202.75</v>
      </c>
      <c r="W35" s="188">
        <v>80933531.430000007</v>
      </c>
      <c r="X35" s="188">
        <v>81433930.109999999</v>
      </c>
      <c r="Y35" s="188">
        <v>82057356.069999993</v>
      </c>
      <c r="Z35" s="188">
        <v>82064964.5</v>
      </c>
      <c r="AA35" s="188">
        <v>78915607.299999997</v>
      </c>
      <c r="AB35" s="188">
        <v>82405835.159999996</v>
      </c>
      <c r="AC35" s="188">
        <v>82972146.090000004</v>
      </c>
      <c r="AD35" s="188">
        <v>38907773.789999999</v>
      </c>
      <c r="AE35" s="188">
        <v>39247533.030000001</v>
      </c>
      <c r="AF35" s="188">
        <v>39587292.270000003</v>
      </c>
      <c r="AG35" s="188">
        <v>39903119.890000001</v>
      </c>
      <c r="AH35" s="188">
        <v>39772893.939999998</v>
      </c>
      <c r="AI35" s="188">
        <v>40116157.770000003</v>
      </c>
      <c r="AJ35" s="188">
        <v>40466604.229999997</v>
      </c>
      <c r="AK35" s="188">
        <v>40825323.07</v>
      </c>
      <c r="AL35" s="188">
        <v>41285507.689999998</v>
      </c>
      <c r="AM35" s="188">
        <v>41647435.609999999</v>
      </c>
      <c r="AN35" s="188">
        <v>41995391.850000001</v>
      </c>
      <c r="AO35" s="188">
        <v>42359316.75</v>
      </c>
      <c r="AP35" s="188">
        <v>42724518.119999997</v>
      </c>
      <c r="AQ35" s="188">
        <v>43088879.890000001</v>
      </c>
      <c r="AR35" s="188">
        <v>43451308.719999999</v>
      </c>
      <c r="AS35" s="188">
        <v>43522413.43</v>
      </c>
      <c r="AT35" s="188">
        <v>38643132.469999999</v>
      </c>
      <c r="AU35" s="188">
        <v>39505706.640000001</v>
      </c>
      <c r="AV35" s="188">
        <v>30797720.670000002</v>
      </c>
      <c r="AW35" s="188">
        <v>9142481.2699999996</v>
      </c>
      <c r="AX35" s="188">
        <v>9330564.7400000002</v>
      </c>
      <c r="AY35" s="188">
        <v>9518648.2100000009</v>
      </c>
      <c r="AZ35" s="188">
        <v>9706731.6799999997</v>
      </c>
      <c r="BA35" s="188">
        <v>9894815.1500000004</v>
      </c>
      <c r="BB35" s="188">
        <v>10082898.619999999</v>
      </c>
      <c r="BC35" s="188">
        <v>10057602.09</v>
      </c>
      <c r="BD35" s="188">
        <v>10014630.68</v>
      </c>
      <c r="BE35" s="188">
        <v>10166747.66</v>
      </c>
      <c r="BF35" s="188">
        <v>10338887.279999999</v>
      </c>
      <c r="BG35" s="188">
        <v>10415298.289999999</v>
      </c>
      <c r="BH35" s="188">
        <v>10574625.279999999</v>
      </c>
      <c r="BI35" s="188">
        <v>10719830.6</v>
      </c>
      <c r="BJ35" s="188">
        <v>10804669.85</v>
      </c>
      <c r="BK35" s="188">
        <v>10936261.220000001</v>
      </c>
      <c r="BL35" s="188">
        <v>6680859.8700000001</v>
      </c>
      <c r="BM35" s="188">
        <v>6801540.2400000002</v>
      </c>
      <c r="BN35" s="188">
        <v>6715730.8600000003</v>
      </c>
      <c r="BO35" s="188">
        <v>6826344.79</v>
      </c>
      <c r="BP35" s="188">
        <v>7047572.6500000004</v>
      </c>
      <c r="BQ35" s="188">
        <v>7490028.3700000001</v>
      </c>
      <c r="BR35" s="188">
        <v>6936424.29</v>
      </c>
      <c r="BS35" s="188">
        <v>0</v>
      </c>
    </row>
    <row r="36" spans="1:71">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8603308.8000000007</v>
      </c>
      <c r="AA36" s="188">
        <v>5191343.1900000004</v>
      </c>
      <c r="AB36" s="188">
        <v>2607583.98</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c r="BS36" s="188">
        <v>0</v>
      </c>
    </row>
    <row r="37" spans="1:71">
      <c r="A37" s="188" t="s">
        <v>141</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2015456.33</v>
      </c>
      <c r="AU37" s="188">
        <v>2015456.33</v>
      </c>
      <c r="AV37" s="188">
        <v>2015456.33</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0</v>
      </c>
      <c r="BQ37" s="188">
        <v>0</v>
      </c>
      <c r="BR37" s="188">
        <v>0</v>
      </c>
      <c r="BS37" s="188">
        <v>0</v>
      </c>
    </row>
    <row r="38" spans="1:71">
      <c r="A38" s="188" t="s">
        <v>142</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443718.62</v>
      </c>
      <c r="BL38" s="188">
        <v>84740.46</v>
      </c>
      <c r="BM38" s="188">
        <v>78058.710000000006</v>
      </c>
      <c r="BN38" s="188">
        <v>20666</v>
      </c>
      <c r="BO38" s="188">
        <v>0</v>
      </c>
      <c r="BP38" s="188">
        <v>0</v>
      </c>
      <c r="BQ38" s="188">
        <v>0</v>
      </c>
      <c r="BR38" s="188">
        <v>0</v>
      </c>
      <c r="BS38" s="188">
        <v>0</v>
      </c>
    </row>
    <row r="39" spans="1:71">
      <c r="A39" s="188" t="s">
        <v>143</v>
      </c>
      <c r="B39" s="188">
        <v>34907595.280000001</v>
      </c>
      <c r="C39" s="188">
        <v>34197018.020000003</v>
      </c>
      <c r="D39" s="188">
        <v>32118043.600000001</v>
      </c>
      <c r="E39" s="188">
        <v>31066505.75</v>
      </c>
      <c r="F39" s="188">
        <v>30607344.719999999</v>
      </c>
      <c r="G39" s="188">
        <v>32406267.920000002</v>
      </c>
      <c r="H39" s="188">
        <v>32617323.640000001</v>
      </c>
      <c r="I39" s="188">
        <v>31660229.559999999</v>
      </c>
      <c r="J39" s="188">
        <v>35686116.479999997</v>
      </c>
      <c r="K39" s="188">
        <v>32823742.98</v>
      </c>
      <c r="L39" s="188">
        <v>31283975.609999999</v>
      </c>
      <c r="M39" s="188">
        <v>29303283.109999999</v>
      </c>
      <c r="N39" s="188">
        <v>26310836.329999998</v>
      </c>
      <c r="O39" s="188">
        <v>24568386.940000001</v>
      </c>
      <c r="P39" s="188">
        <v>23583513.120000001</v>
      </c>
      <c r="Q39" s="188">
        <v>23782818.489999998</v>
      </c>
      <c r="R39" s="188">
        <v>24283858</v>
      </c>
      <c r="S39" s="188">
        <v>24778104.579999998</v>
      </c>
      <c r="T39" s="188">
        <v>25116986.170000002</v>
      </c>
      <c r="U39" s="188">
        <v>25393872.239999998</v>
      </c>
      <c r="V39" s="188">
        <v>23306424.77</v>
      </c>
      <c r="W39" s="188">
        <v>23715443.41</v>
      </c>
      <c r="X39" s="188">
        <v>22983356.43</v>
      </c>
      <c r="Y39" s="188">
        <v>22975346.190000001</v>
      </c>
      <c r="Z39" s="188">
        <v>20518558.559999999</v>
      </c>
      <c r="AA39" s="188">
        <v>20632468.539999999</v>
      </c>
      <c r="AB39" s="188">
        <v>21791614.960000001</v>
      </c>
      <c r="AC39" s="188">
        <v>21516626.030000001</v>
      </c>
      <c r="AD39" s="188">
        <v>18571348.899999999</v>
      </c>
      <c r="AE39" s="188">
        <v>18586045.719999999</v>
      </c>
      <c r="AF39" s="188">
        <v>13490643.4</v>
      </c>
      <c r="AG39" s="188">
        <v>13008932.289999999</v>
      </c>
      <c r="AH39" s="188">
        <v>11958127.800000001</v>
      </c>
      <c r="AI39" s="188">
        <v>11584390.59</v>
      </c>
      <c r="AJ39" s="188">
        <v>11839255.630000001</v>
      </c>
      <c r="AK39" s="188">
        <v>11462286.67</v>
      </c>
      <c r="AL39" s="188">
        <v>7952242.0499999998</v>
      </c>
      <c r="AM39" s="188">
        <v>8576263.5999999996</v>
      </c>
      <c r="AN39" s="188">
        <v>5443959.8099999996</v>
      </c>
      <c r="AO39" s="188">
        <v>7647739.2599999998</v>
      </c>
      <c r="AP39" s="188">
        <v>10464301.15</v>
      </c>
      <c r="AQ39" s="188">
        <v>9943028.5800000001</v>
      </c>
      <c r="AR39" s="188">
        <v>9602977.2100000009</v>
      </c>
      <c r="AS39" s="188">
        <v>8642598.5</v>
      </c>
      <c r="AT39" s="188">
        <v>12683857.67</v>
      </c>
      <c r="AU39" s="188">
        <v>13129913.52</v>
      </c>
      <c r="AV39" s="188">
        <v>11994571.539999999</v>
      </c>
      <c r="AW39" s="188">
        <v>0</v>
      </c>
      <c r="AX39" s="188">
        <v>0</v>
      </c>
      <c r="AY39" s="188">
        <v>0</v>
      </c>
      <c r="AZ39" s="188">
        <v>0</v>
      </c>
      <c r="BA39" s="188">
        <v>0</v>
      </c>
      <c r="BB39" s="188">
        <v>0</v>
      </c>
      <c r="BC39" s="188">
        <v>0</v>
      </c>
      <c r="BD39" s="188">
        <v>0</v>
      </c>
      <c r="BE39" s="188">
        <v>0</v>
      </c>
      <c r="BF39" s="188">
        <v>0</v>
      </c>
      <c r="BG39" s="188">
        <v>0</v>
      </c>
      <c r="BH39" s="188">
        <v>0</v>
      </c>
      <c r="BI39" s="188">
        <v>0</v>
      </c>
      <c r="BJ39" s="188">
        <v>0</v>
      </c>
      <c r="BK39" s="188">
        <v>0</v>
      </c>
      <c r="BL39" s="188">
        <v>0</v>
      </c>
      <c r="BM39" s="188">
        <v>0</v>
      </c>
      <c r="BN39" s="188">
        <v>0</v>
      </c>
      <c r="BO39" s="188">
        <v>0</v>
      </c>
      <c r="BP39" s="188">
        <v>0</v>
      </c>
      <c r="BQ39" s="188">
        <v>0</v>
      </c>
      <c r="BR39" s="188">
        <v>0</v>
      </c>
      <c r="BS39" s="188">
        <v>0</v>
      </c>
    </row>
    <row r="40" spans="1:71">
      <c r="A40" s="188" t="s">
        <v>144</v>
      </c>
      <c r="B40" s="188">
        <v>93309468.689999998</v>
      </c>
      <c r="C40" s="188">
        <v>49848947.310000002</v>
      </c>
      <c r="D40" s="188">
        <v>20855975.170000002</v>
      </c>
      <c r="E40" s="188">
        <v>10236437.119999999</v>
      </c>
      <c r="F40" s="188">
        <v>8668668.1799999997</v>
      </c>
      <c r="G40" s="188">
        <v>9141618.4100000001</v>
      </c>
      <c r="H40" s="188">
        <v>11398946.74</v>
      </c>
      <c r="I40" s="188">
        <v>9069126.5099999998</v>
      </c>
      <c r="J40" s="188">
        <v>13391409.65</v>
      </c>
      <c r="K40" s="188">
        <v>34939680.759999998</v>
      </c>
      <c r="L40" s="188">
        <v>34538578.68</v>
      </c>
      <c r="M40" s="188">
        <v>18618641.059999999</v>
      </c>
      <c r="N40" s="188">
        <v>11207445.48</v>
      </c>
      <c r="O40" s="188">
        <v>17000536.449999999</v>
      </c>
      <c r="P40" s="188">
        <v>6100676.3200000003</v>
      </c>
      <c r="Q40" s="188">
        <v>16543147.109999999</v>
      </c>
      <c r="R40" s="188">
        <v>0</v>
      </c>
      <c r="S40" s="188">
        <v>0</v>
      </c>
      <c r="T40" s="188">
        <v>0</v>
      </c>
      <c r="U40" s="188">
        <v>0</v>
      </c>
      <c r="V40" s="188">
        <v>0</v>
      </c>
      <c r="W40" s="188">
        <v>0</v>
      </c>
      <c r="X40" s="188">
        <v>0</v>
      </c>
      <c r="Y40" s="188">
        <v>0</v>
      </c>
      <c r="Z40" s="188">
        <v>0</v>
      </c>
      <c r="AA40" s="188">
        <v>0</v>
      </c>
      <c r="AB40" s="188">
        <v>0</v>
      </c>
      <c r="AC40" s="188">
        <v>0</v>
      </c>
      <c r="AD40" s="188">
        <v>0</v>
      </c>
      <c r="AE40" s="188">
        <v>0</v>
      </c>
      <c r="AF40" s="188">
        <v>910206.09</v>
      </c>
      <c r="AG40" s="188">
        <v>975220.81</v>
      </c>
      <c r="AH40" s="188">
        <v>1040235.53</v>
      </c>
      <c r="AI40" s="188">
        <v>1105250.25</v>
      </c>
      <c r="AJ40" s="188">
        <v>1170264.97</v>
      </c>
      <c r="AK40" s="188">
        <v>1235279.69</v>
      </c>
      <c r="AL40" s="188">
        <v>1300294.4099999999</v>
      </c>
      <c r="AM40" s="188">
        <v>1365309.13</v>
      </c>
      <c r="AN40" s="188">
        <v>1430323.85</v>
      </c>
      <c r="AO40" s="188">
        <v>1495338.57</v>
      </c>
      <c r="AP40" s="188">
        <v>1560353.29</v>
      </c>
      <c r="AQ40" s="188">
        <v>1625368.01</v>
      </c>
      <c r="AR40" s="188">
        <v>1690382.73</v>
      </c>
      <c r="AS40" s="188">
        <v>1755397.45</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0</v>
      </c>
      <c r="BQ40" s="188">
        <v>0</v>
      </c>
      <c r="BR40" s="188">
        <v>0</v>
      </c>
      <c r="BS40" s="188">
        <v>0</v>
      </c>
    </row>
    <row r="41" spans="1:71">
      <c r="A41" s="188" t="s">
        <v>145</v>
      </c>
      <c r="B41" s="188">
        <v>1535049355.8399999</v>
      </c>
      <c r="C41" s="188">
        <v>1472431580.23</v>
      </c>
      <c r="D41" s="188">
        <v>1459257731.1199999</v>
      </c>
      <c r="E41" s="188">
        <v>1430117387.1800001</v>
      </c>
      <c r="F41" s="188">
        <v>1430744061.4100001</v>
      </c>
      <c r="G41" s="188">
        <v>1414180740.74</v>
      </c>
      <c r="H41" s="188">
        <v>1426772469.22</v>
      </c>
      <c r="I41" s="188">
        <v>1400846408.98</v>
      </c>
      <c r="J41" s="188">
        <v>1429048969.8599999</v>
      </c>
      <c r="K41" s="188">
        <v>1423883637.8</v>
      </c>
      <c r="L41" s="188">
        <v>1406015721.28</v>
      </c>
      <c r="M41" s="188">
        <v>1341889010.0699999</v>
      </c>
      <c r="N41" s="188">
        <v>1323085245.71</v>
      </c>
      <c r="O41" s="188">
        <v>1292233664.47</v>
      </c>
      <c r="P41" s="188">
        <v>1291587398.03</v>
      </c>
      <c r="Q41" s="188">
        <v>1291776633.25</v>
      </c>
      <c r="R41" s="188">
        <v>1265736800.5799999</v>
      </c>
      <c r="S41" s="188">
        <v>1262305125.3699999</v>
      </c>
      <c r="T41" s="188">
        <v>1269497260.8</v>
      </c>
      <c r="U41" s="188">
        <v>1280998904.8499999</v>
      </c>
      <c r="V41" s="188">
        <v>1271017945.0699999</v>
      </c>
      <c r="W41" s="188">
        <v>1269584085.6600001</v>
      </c>
      <c r="X41" s="188">
        <v>1272467519.8900001</v>
      </c>
      <c r="Y41" s="188">
        <v>1284183058.6300001</v>
      </c>
      <c r="Z41" s="188">
        <v>1270866245.1600001</v>
      </c>
      <c r="AA41" s="188">
        <v>1255061808.8800001</v>
      </c>
      <c r="AB41" s="188">
        <v>1256616941.95</v>
      </c>
      <c r="AC41" s="188">
        <v>1254307460.1600001</v>
      </c>
      <c r="AD41" s="188">
        <v>1127492906.73</v>
      </c>
      <c r="AE41" s="188">
        <v>1102316142.3900001</v>
      </c>
      <c r="AF41" s="188">
        <v>1055204305.84</v>
      </c>
      <c r="AG41" s="188">
        <v>1052675983.63</v>
      </c>
      <c r="AH41" s="188">
        <v>1012204320.54</v>
      </c>
      <c r="AI41" s="188">
        <v>977084641.95000005</v>
      </c>
      <c r="AJ41" s="188">
        <v>965558781.37</v>
      </c>
      <c r="AK41" s="188">
        <v>945751470.53999996</v>
      </c>
      <c r="AL41" s="188">
        <v>946974396.79999995</v>
      </c>
      <c r="AM41" s="188">
        <v>930003513.78999996</v>
      </c>
      <c r="AN41" s="188">
        <v>915082500.50999999</v>
      </c>
      <c r="AO41" s="188">
        <v>926611528.58000004</v>
      </c>
      <c r="AP41" s="188">
        <v>924000528.88</v>
      </c>
      <c r="AQ41" s="188">
        <v>920078146.78999996</v>
      </c>
      <c r="AR41" s="188">
        <v>904388967.69000006</v>
      </c>
      <c r="AS41" s="188">
        <v>846124706.51999998</v>
      </c>
      <c r="AT41" s="188">
        <v>847101269.62</v>
      </c>
      <c r="AU41" s="188">
        <v>830753996.55999994</v>
      </c>
      <c r="AV41" s="188">
        <v>839908450.45000005</v>
      </c>
      <c r="AW41" s="188">
        <v>774559494.41999996</v>
      </c>
      <c r="AX41" s="188">
        <v>723958896.88</v>
      </c>
      <c r="AY41" s="188">
        <v>725165689.28999996</v>
      </c>
      <c r="AZ41" s="188">
        <v>710035227.82000005</v>
      </c>
      <c r="BA41" s="188">
        <v>708751620.94000006</v>
      </c>
      <c r="BB41" s="188">
        <v>688462866.96000004</v>
      </c>
      <c r="BC41" s="188">
        <v>677890207.51999998</v>
      </c>
      <c r="BD41" s="188">
        <v>691957451.38</v>
      </c>
      <c r="BE41" s="188">
        <v>665589525.48000002</v>
      </c>
      <c r="BF41" s="188">
        <v>685580977.60000002</v>
      </c>
      <c r="BG41" s="188">
        <v>624633495.08000004</v>
      </c>
      <c r="BH41" s="188">
        <v>570324400.86000001</v>
      </c>
      <c r="BI41" s="188">
        <v>551457183.10000002</v>
      </c>
      <c r="BJ41" s="188">
        <v>481348026.64999998</v>
      </c>
      <c r="BK41" s="188">
        <v>414219579.52999997</v>
      </c>
      <c r="BL41" s="188">
        <v>326798982.25</v>
      </c>
      <c r="BM41" s="188">
        <v>301836134.22000003</v>
      </c>
      <c r="BN41" s="188">
        <v>242579031.93000001</v>
      </c>
      <c r="BO41" s="188">
        <v>219401133.18000001</v>
      </c>
      <c r="BP41" s="188">
        <v>195781863.68000001</v>
      </c>
      <c r="BQ41" s="188">
        <v>149752088.33000001</v>
      </c>
      <c r="BR41" s="188">
        <v>135220696.97999999</v>
      </c>
      <c r="BS41" s="188">
        <v>0</v>
      </c>
    </row>
    <row r="42" spans="1:71">
      <c r="A42" s="188" t="s">
        <v>146</v>
      </c>
      <c r="B42" s="188">
        <v>4451134092.0699997</v>
      </c>
      <c r="C42" s="188">
        <v>4350095701.8599997</v>
      </c>
      <c r="D42" s="188">
        <v>4217100773.79</v>
      </c>
      <c r="E42" s="188">
        <v>4180160012.79</v>
      </c>
      <c r="F42" s="188">
        <v>4111116651.8299999</v>
      </c>
      <c r="G42" s="188">
        <v>4071425544.8899999</v>
      </c>
      <c r="H42" s="188">
        <v>4002066355.4499998</v>
      </c>
      <c r="I42" s="188">
        <v>3904225444.1100001</v>
      </c>
      <c r="J42" s="188">
        <v>3173738618.1300001</v>
      </c>
      <c r="K42" s="188">
        <v>3189372566.6500001</v>
      </c>
      <c r="L42" s="188">
        <v>3142388784.3000002</v>
      </c>
      <c r="M42" s="188">
        <v>2973070867.3000002</v>
      </c>
      <c r="N42" s="188">
        <v>2940359531.4899998</v>
      </c>
      <c r="O42" s="188">
        <v>2909190467.4899998</v>
      </c>
      <c r="P42" s="188">
        <v>2895220083.8600001</v>
      </c>
      <c r="Q42" s="188">
        <v>2818180079.3000002</v>
      </c>
      <c r="R42" s="188">
        <v>2844153564.9299998</v>
      </c>
      <c r="S42" s="188">
        <v>2772394871.9000001</v>
      </c>
      <c r="T42" s="188">
        <v>2708502230.3200002</v>
      </c>
      <c r="U42" s="188">
        <v>2705463004.1300001</v>
      </c>
      <c r="V42" s="188">
        <v>2673506913.27</v>
      </c>
      <c r="W42" s="188">
        <v>2665877520.1700001</v>
      </c>
      <c r="X42" s="188">
        <v>2620962526.0900002</v>
      </c>
      <c r="Y42" s="188">
        <v>2612144674.0500002</v>
      </c>
      <c r="Z42" s="188">
        <v>2589474917.9200001</v>
      </c>
      <c r="AA42" s="188">
        <v>2526911006.6700001</v>
      </c>
      <c r="AB42" s="188">
        <v>2444415693.7800002</v>
      </c>
      <c r="AC42" s="188">
        <v>2494549671.6399999</v>
      </c>
      <c r="AD42" s="188">
        <v>2485882047.4499998</v>
      </c>
      <c r="AE42" s="188">
        <v>2376821265.4099998</v>
      </c>
      <c r="AF42" s="188">
        <v>2562586662.1399999</v>
      </c>
      <c r="AG42" s="188">
        <v>2523689847.8800001</v>
      </c>
      <c r="AH42" s="188">
        <v>2472668106.6199999</v>
      </c>
      <c r="AI42" s="188">
        <v>2465007113.9099998</v>
      </c>
      <c r="AJ42" s="188">
        <v>2310358357.5100002</v>
      </c>
      <c r="AK42" s="188">
        <v>2216731123.5999999</v>
      </c>
      <c r="AL42" s="188">
        <v>2164282138.8200002</v>
      </c>
      <c r="AM42" s="188">
        <v>2093897235.75</v>
      </c>
      <c r="AN42" s="188">
        <v>2073910909.8900001</v>
      </c>
      <c r="AO42" s="188">
        <v>1989339024.27</v>
      </c>
      <c r="AP42" s="188">
        <v>2014791119.5599999</v>
      </c>
      <c r="AQ42" s="188">
        <v>1966845078.0599999</v>
      </c>
      <c r="AR42" s="188">
        <v>1868676389.3399999</v>
      </c>
      <c r="AS42" s="188">
        <v>1871385404.73</v>
      </c>
      <c r="AT42" s="188">
        <v>1913898245.98</v>
      </c>
      <c r="AU42" s="188">
        <v>1876614594.1900001</v>
      </c>
      <c r="AV42" s="188">
        <v>1857643865.5999999</v>
      </c>
      <c r="AW42" s="188">
        <v>1630602467.5699999</v>
      </c>
      <c r="AX42" s="188">
        <v>1554661979.8199999</v>
      </c>
      <c r="AY42" s="188">
        <v>1512411495.21</v>
      </c>
      <c r="AZ42" s="188">
        <v>1462714164.1300001</v>
      </c>
      <c r="BA42" s="188">
        <v>1425842940.0999999</v>
      </c>
      <c r="BB42" s="188">
        <v>1315221028.75</v>
      </c>
      <c r="BC42" s="188">
        <v>1257225994.98</v>
      </c>
      <c r="BD42" s="188">
        <v>1237465386.3299999</v>
      </c>
      <c r="BE42" s="188">
        <v>1232035467.1199999</v>
      </c>
      <c r="BF42" s="188">
        <v>1228834845.8199999</v>
      </c>
      <c r="BG42" s="188">
        <v>1169500508.99</v>
      </c>
      <c r="BH42" s="188">
        <v>1088252770.5599999</v>
      </c>
      <c r="BI42" s="188">
        <v>1036029176.02</v>
      </c>
      <c r="BJ42" s="188">
        <v>998262219.94000006</v>
      </c>
      <c r="BK42" s="188">
        <v>948836895.09000003</v>
      </c>
      <c r="BL42" s="188">
        <v>944607918.90999997</v>
      </c>
      <c r="BM42" s="188">
        <v>943593775.86000001</v>
      </c>
      <c r="BN42" s="188">
        <v>908323514.11000001</v>
      </c>
      <c r="BO42" s="188">
        <v>906219489.73000002</v>
      </c>
      <c r="BP42" s="188">
        <v>467235781.94999999</v>
      </c>
      <c r="BQ42" s="188">
        <v>394610019.24000001</v>
      </c>
      <c r="BR42" s="188">
        <v>353448934.10000002</v>
      </c>
      <c r="BS42" s="188">
        <v>0</v>
      </c>
    </row>
    <row r="43" spans="1:71">
      <c r="A43" s="188" t="s">
        <v>147</v>
      </c>
    </row>
    <row r="44" spans="1:71">
      <c r="A44" s="188" t="s">
        <v>148</v>
      </c>
      <c r="B44" s="188">
        <v>0</v>
      </c>
      <c r="C44" s="188">
        <v>0</v>
      </c>
      <c r="D44" s="188">
        <v>0</v>
      </c>
      <c r="E44" s="188">
        <v>0</v>
      </c>
      <c r="F44" s="188">
        <v>0</v>
      </c>
      <c r="G44" s="188">
        <v>0</v>
      </c>
      <c r="H44" s="188">
        <v>0</v>
      </c>
      <c r="I44" s="188">
        <v>1000000</v>
      </c>
      <c r="J44" s="188">
        <v>2800000</v>
      </c>
      <c r="K44" s="188">
        <v>32379520</v>
      </c>
      <c r="L44" s="188">
        <v>62861600</v>
      </c>
      <c r="M44" s="188">
        <v>2800000</v>
      </c>
      <c r="N44" s="188">
        <v>50254270</v>
      </c>
      <c r="O44" s="188">
        <v>123135460</v>
      </c>
      <c r="P44" s="188">
        <v>146310260</v>
      </c>
      <c r="Q44" s="188">
        <v>113742400</v>
      </c>
      <c r="R44" s="188">
        <v>143295600</v>
      </c>
      <c r="S44" s="188">
        <v>75000000</v>
      </c>
      <c r="T44" s="188">
        <v>55000000</v>
      </c>
      <c r="U44" s="188">
        <v>85000000</v>
      </c>
      <c r="V44" s="188">
        <v>85000000</v>
      </c>
      <c r="W44" s="188">
        <v>85000000</v>
      </c>
      <c r="X44" s="188">
        <v>115000000</v>
      </c>
      <c r="Y44" s="188">
        <v>115000000</v>
      </c>
      <c r="Z44" s="188">
        <v>110000000</v>
      </c>
      <c r="AA44" s="188">
        <v>80000000</v>
      </c>
      <c r="AB44" s="188">
        <v>55000000</v>
      </c>
      <c r="AC44" s="188">
        <v>55000000</v>
      </c>
      <c r="AD44" s="188">
        <v>55000000</v>
      </c>
      <c r="AE44" s="188">
        <v>25000000</v>
      </c>
      <c r="AF44" s="188">
        <v>104929000</v>
      </c>
      <c r="AG44" s="188">
        <v>114929000</v>
      </c>
      <c r="AH44" s="188">
        <v>129929000</v>
      </c>
      <c r="AI44" s="188">
        <v>149929000</v>
      </c>
      <c r="AJ44" s="188">
        <v>80000000</v>
      </c>
      <c r="AK44" s="188">
        <v>134000000</v>
      </c>
      <c r="AL44" s="188">
        <v>134000000</v>
      </c>
      <c r="AM44" s="188">
        <v>114000000</v>
      </c>
      <c r="AN44" s="188">
        <v>150928000</v>
      </c>
      <c r="AO44" s="188">
        <v>136928000</v>
      </c>
      <c r="AP44" s="188">
        <v>119000000</v>
      </c>
      <c r="AQ44" s="188">
        <v>129530000</v>
      </c>
      <c r="AR44" s="188">
        <v>130000000</v>
      </c>
      <c r="AS44" s="188">
        <v>130000000</v>
      </c>
      <c r="AT44" s="188">
        <v>160000000</v>
      </c>
      <c r="AU44" s="188">
        <v>160000000</v>
      </c>
      <c r="AV44" s="188">
        <v>170000000</v>
      </c>
      <c r="AW44" s="188">
        <v>250000000</v>
      </c>
      <c r="AX44" s="188">
        <v>250000000</v>
      </c>
      <c r="AY44" s="188">
        <v>243000000</v>
      </c>
      <c r="AZ44" s="188">
        <v>231530000</v>
      </c>
      <c r="BA44" s="188">
        <v>236530000</v>
      </c>
      <c r="BB44" s="188">
        <v>171530000</v>
      </c>
      <c r="BC44" s="188">
        <v>157530000</v>
      </c>
      <c r="BD44" s="188">
        <v>161500000</v>
      </c>
      <c r="BE44" s="188">
        <v>144110000</v>
      </c>
      <c r="BF44" s="188">
        <v>110000000</v>
      </c>
      <c r="BG44" s="188">
        <v>130000000</v>
      </c>
      <c r="BH44" s="188">
        <v>90000000</v>
      </c>
      <c r="BI44" s="188">
        <v>50000000</v>
      </c>
      <c r="BJ44" s="188">
        <v>60000000</v>
      </c>
      <c r="BK44" s="188">
        <v>59000000</v>
      </c>
      <c r="BL44" s="188">
        <v>15000000</v>
      </c>
      <c r="BM44" s="188">
        <v>15000000</v>
      </c>
      <c r="BN44" s="188">
        <v>10000000</v>
      </c>
      <c r="BO44" s="188">
        <v>21919024</v>
      </c>
      <c r="BP44" s="188">
        <v>21918592</v>
      </c>
      <c r="BQ44" s="188">
        <v>12000000</v>
      </c>
      <c r="BR44" s="188">
        <v>11050000</v>
      </c>
      <c r="BS44" s="188">
        <v>0</v>
      </c>
    </row>
    <row r="45" spans="1:71">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row>
    <row r="46" spans="1:71">
      <c r="A46" s="188" t="s">
        <v>150</v>
      </c>
      <c r="B46" s="188">
        <v>0</v>
      </c>
      <c r="C46" s="188">
        <v>329595094.35000002</v>
      </c>
      <c r="D46" s="188">
        <v>339232304.29000002</v>
      </c>
      <c r="E46" s="188">
        <v>378501421.49000001</v>
      </c>
      <c r="F46" s="188">
        <v>359910271.20999998</v>
      </c>
      <c r="G46" s="188">
        <v>335204713.42000002</v>
      </c>
      <c r="H46" s="188">
        <v>365972248.5</v>
      </c>
      <c r="I46" s="188">
        <v>340252841.19999999</v>
      </c>
      <c r="J46" s="188">
        <v>266555947.05000001</v>
      </c>
      <c r="K46" s="188">
        <v>254808464.52000001</v>
      </c>
      <c r="L46" s="188">
        <v>243484572.55000001</v>
      </c>
      <c r="M46" s="188">
        <v>229609818.15000001</v>
      </c>
      <c r="N46" s="188">
        <v>238915697.02000001</v>
      </c>
      <c r="O46" s="188">
        <v>218232847.30000001</v>
      </c>
      <c r="P46" s="188">
        <v>209066735.30000001</v>
      </c>
      <c r="Q46" s="188">
        <v>244203703.90000001</v>
      </c>
      <c r="R46" s="188">
        <v>241968422.53</v>
      </c>
      <c r="S46" s="188">
        <v>256784221.22999999</v>
      </c>
      <c r="T46" s="188">
        <v>272577219.81</v>
      </c>
      <c r="U46" s="188">
        <v>275118621.43000001</v>
      </c>
      <c r="V46" s="188">
        <v>234369907.72</v>
      </c>
      <c r="W46" s="188">
        <v>259812491.28</v>
      </c>
      <c r="X46" s="188">
        <v>261799546.99000001</v>
      </c>
      <c r="Y46" s="188">
        <v>263629209.21000001</v>
      </c>
      <c r="Z46" s="188">
        <v>266802773.71000001</v>
      </c>
      <c r="AA46" s="188">
        <v>257531837.41999999</v>
      </c>
      <c r="AB46" s="188">
        <v>254462749.53</v>
      </c>
      <c r="AC46" s="188">
        <v>330562394.56999999</v>
      </c>
      <c r="AD46" s="188">
        <v>378404895.39999998</v>
      </c>
      <c r="AE46" s="188">
        <v>292303771.33999997</v>
      </c>
      <c r="AF46" s="188">
        <v>278298579.89999998</v>
      </c>
      <c r="AG46" s="188">
        <v>270950626.98000002</v>
      </c>
      <c r="AH46" s="188">
        <v>245297269.80000001</v>
      </c>
      <c r="AI46" s="188">
        <v>279252025</v>
      </c>
      <c r="AJ46" s="188">
        <v>283089212</v>
      </c>
      <c r="AK46" s="188">
        <v>247876487.19999999</v>
      </c>
      <c r="AL46" s="188">
        <v>220271188.06999999</v>
      </c>
      <c r="AM46" s="188">
        <v>229887485.31999999</v>
      </c>
      <c r="AN46" s="188">
        <v>235503268.65000001</v>
      </c>
      <c r="AO46" s="188">
        <v>189738731.96000001</v>
      </c>
      <c r="AP46" s="188">
        <v>225523230.96000001</v>
      </c>
      <c r="AQ46" s="188">
        <v>202918532.18000001</v>
      </c>
      <c r="AR46" s="188">
        <v>141981920.19999999</v>
      </c>
      <c r="AS46" s="188">
        <v>181453769.30000001</v>
      </c>
      <c r="AT46" s="188">
        <v>192095206.08000001</v>
      </c>
      <c r="AU46" s="188">
        <v>186071894.78</v>
      </c>
      <c r="AV46" s="188">
        <v>161514166.88</v>
      </c>
      <c r="AW46" s="188">
        <v>142418444.47</v>
      </c>
      <c r="AX46" s="188">
        <v>152806690</v>
      </c>
      <c r="AY46" s="188">
        <v>121779965.47</v>
      </c>
      <c r="AZ46" s="188">
        <v>118076222.05</v>
      </c>
      <c r="BA46" s="188">
        <v>104592555.89</v>
      </c>
      <c r="BB46" s="188">
        <v>109872786.41</v>
      </c>
      <c r="BC46" s="188">
        <v>90249382.920000002</v>
      </c>
      <c r="BD46" s="188">
        <v>55631302.43</v>
      </c>
      <c r="BE46" s="188">
        <v>85411785.069999993</v>
      </c>
      <c r="BF46" s="188">
        <v>105145494.7</v>
      </c>
      <c r="BG46" s="188">
        <v>76729751.989999995</v>
      </c>
      <c r="BH46" s="188">
        <v>53578198.960000001</v>
      </c>
      <c r="BI46" s="188">
        <v>55143820.719999999</v>
      </c>
      <c r="BJ46" s="188">
        <v>64920897.359999999</v>
      </c>
      <c r="BK46" s="188">
        <v>42969816</v>
      </c>
      <c r="BL46" s="188">
        <v>42860319.460000001</v>
      </c>
      <c r="BM46" s="188">
        <v>48240319.460000001</v>
      </c>
      <c r="BN46" s="188">
        <v>38730000</v>
      </c>
      <c r="BO46" s="188">
        <v>22780000</v>
      </c>
      <c r="BP46" s="188">
        <v>8000000</v>
      </c>
      <c r="BQ46" s="188">
        <v>5080000</v>
      </c>
      <c r="BR46" s="188">
        <v>3080000</v>
      </c>
      <c r="BS46" s="188">
        <v>0</v>
      </c>
    </row>
    <row r="47" spans="1:71">
      <c r="A47" s="188" t="s">
        <v>151</v>
      </c>
      <c r="B47" s="188">
        <v>0</v>
      </c>
      <c r="C47" s="188">
        <v>342139063.32999998</v>
      </c>
      <c r="D47" s="188">
        <v>332868367.97000003</v>
      </c>
      <c r="E47" s="188">
        <v>335580194.27999997</v>
      </c>
      <c r="F47" s="188">
        <v>318948691.55000001</v>
      </c>
      <c r="G47" s="188">
        <v>320548820.20999998</v>
      </c>
      <c r="H47" s="188">
        <v>315317579</v>
      </c>
      <c r="I47" s="188">
        <v>317887070.48000002</v>
      </c>
      <c r="J47" s="188">
        <v>337344618.77999997</v>
      </c>
      <c r="K47" s="188">
        <v>346126858.75999999</v>
      </c>
      <c r="L47" s="188">
        <v>300030875.29000002</v>
      </c>
      <c r="M47" s="188">
        <v>315412627.66000003</v>
      </c>
      <c r="N47" s="188">
        <v>264455150.06</v>
      </c>
      <c r="O47" s="188">
        <v>241853412.97999999</v>
      </c>
      <c r="P47" s="188">
        <v>262476864.78</v>
      </c>
      <c r="Q47" s="188">
        <v>229872217.71000001</v>
      </c>
      <c r="R47" s="188">
        <v>256828859.87</v>
      </c>
      <c r="S47" s="188">
        <v>253303335.19999999</v>
      </c>
      <c r="T47" s="188">
        <v>237396272.36000001</v>
      </c>
      <c r="U47" s="188">
        <v>241769845.00999999</v>
      </c>
      <c r="V47" s="188">
        <v>260066066.37</v>
      </c>
      <c r="W47" s="188">
        <v>221847608.50999999</v>
      </c>
      <c r="X47" s="188">
        <v>204897439.63</v>
      </c>
      <c r="Y47" s="188">
        <v>227665330.28</v>
      </c>
      <c r="Z47" s="188">
        <v>220978312.31999999</v>
      </c>
      <c r="AA47" s="188">
        <v>224986537.18000001</v>
      </c>
      <c r="AB47" s="188">
        <v>207437110.03999999</v>
      </c>
      <c r="AC47" s="188">
        <v>214987817.68000001</v>
      </c>
      <c r="AD47" s="188">
        <v>177239448.19999999</v>
      </c>
      <c r="AE47" s="188">
        <v>180941722.12</v>
      </c>
      <c r="AF47" s="188">
        <v>193139920.63999999</v>
      </c>
      <c r="AG47" s="188">
        <v>220978068.84999999</v>
      </c>
      <c r="AH47" s="188">
        <v>205751131.11000001</v>
      </c>
      <c r="AI47" s="188">
        <v>196583571.66999999</v>
      </c>
      <c r="AJ47" s="188">
        <v>149107441.84999999</v>
      </c>
      <c r="AK47" s="188">
        <v>158917465.69</v>
      </c>
      <c r="AL47" s="188">
        <v>169402964.50999999</v>
      </c>
      <c r="AM47" s="188">
        <v>134647002.75</v>
      </c>
      <c r="AN47" s="188">
        <v>117530505.62</v>
      </c>
      <c r="AO47" s="188">
        <v>139158493.34999999</v>
      </c>
      <c r="AP47" s="188">
        <v>131862541.22</v>
      </c>
      <c r="AQ47" s="188">
        <v>121780127.20999999</v>
      </c>
      <c r="AR47" s="188">
        <v>124510965.2</v>
      </c>
      <c r="AS47" s="188">
        <v>125786035.55</v>
      </c>
      <c r="AT47" s="188">
        <v>128047037.8</v>
      </c>
      <c r="AU47" s="188">
        <v>132472538.41</v>
      </c>
      <c r="AV47" s="188">
        <v>157492974.50999999</v>
      </c>
      <c r="AW47" s="188">
        <v>155166545.78</v>
      </c>
      <c r="AX47" s="188">
        <v>83783754.840000004</v>
      </c>
      <c r="AY47" s="188">
        <v>111538910.06</v>
      </c>
      <c r="AZ47" s="188">
        <v>84671640.060000002</v>
      </c>
      <c r="BA47" s="188">
        <v>93099933.900000006</v>
      </c>
      <c r="BB47" s="188">
        <v>113141399.14</v>
      </c>
      <c r="BC47" s="188">
        <v>110637125.73</v>
      </c>
      <c r="BD47" s="188">
        <v>119983660.81</v>
      </c>
      <c r="BE47" s="188">
        <v>102628842.26000001</v>
      </c>
      <c r="BF47" s="188">
        <v>137920989.44999999</v>
      </c>
      <c r="BG47" s="188">
        <v>105699642.54000001</v>
      </c>
      <c r="BH47" s="188">
        <v>100648009.65000001</v>
      </c>
      <c r="BI47" s="188">
        <v>98283594.359999999</v>
      </c>
      <c r="BJ47" s="188">
        <v>69046113.5</v>
      </c>
      <c r="BK47" s="188">
        <v>56161490.469999999</v>
      </c>
      <c r="BL47" s="188">
        <v>47498438.969999999</v>
      </c>
      <c r="BM47" s="188">
        <v>68099331.049999997</v>
      </c>
      <c r="BN47" s="188">
        <v>55332938.07</v>
      </c>
      <c r="BO47" s="188">
        <v>37223204.770000003</v>
      </c>
      <c r="BP47" s="188">
        <v>32172170.890000001</v>
      </c>
      <c r="BQ47" s="188">
        <v>38891008.359999999</v>
      </c>
      <c r="BR47" s="188">
        <v>25827101.129999999</v>
      </c>
      <c r="BS47" s="188">
        <v>0</v>
      </c>
    </row>
    <row r="48" spans="1:71">
      <c r="A48" s="188" t="s">
        <v>152</v>
      </c>
      <c r="B48" s="188">
        <v>102694610.69</v>
      </c>
      <c r="C48" s="188">
        <v>91019232.25</v>
      </c>
      <c r="D48" s="188">
        <v>73275591.060000002</v>
      </c>
      <c r="E48" s="188">
        <v>87735859.439999998</v>
      </c>
      <c r="F48" s="188">
        <v>87741313.939999998</v>
      </c>
      <c r="G48" s="188">
        <v>95545830.519999996</v>
      </c>
      <c r="H48" s="188">
        <v>91194953.390000001</v>
      </c>
      <c r="I48" s="188">
        <v>92925673.810000002</v>
      </c>
      <c r="J48" s="188">
        <v>145172206.44999999</v>
      </c>
      <c r="K48" s="188">
        <v>135468565.56999999</v>
      </c>
      <c r="L48" s="188">
        <v>123171694.95999999</v>
      </c>
      <c r="M48" s="188">
        <v>99987788.329999998</v>
      </c>
      <c r="N48" s="188">
        <v>95930970.769999996</v>
      </c>
      <c r="O48" s="188">
        <v>74473793.430000007</v>
      </c>
      <c r="P48" s="188">
        <v>79315969.329999998</v>
      </c>
      <c r="Q48" s="188">
        <v>59696988.170000002</v>
      </c>
      <c r="R48" s="188">
        <v>67017607.130000003</v>
      </c>
      <c r="S48" s="188">
        <v>65742338.710000001</v>
      </c>
      <c r="T48" s="188">
        <v>50186000.359999999</v>
      </c>
      <c r="U48" s="188">
        <v>38685775.340000004</v>
      </c>
      <c r="V48" s="188">
        <v>49422822.189999998</v>
      </c>
      <c r="W48" s="188">
        <v>53843789.539999999</v>
      </c>
      <c r="X48" s="188">
        <v>37408776.530000001</v>
      </c>
      <c r="Y48" s="188">
        <v>32059038.440000001</v>
      </c>
      <c r="Z48" s="188">
        <v>46078763.710000001</v>
      </c>
      <c r="AA48" s="188">
        <v>44014432.219999999</v>
      </c>
      <c r="AB48" s="188">
        <v>43195146.520000003</v>
      </c>
      <c r="AC48" s="188">
        <v>41671263.009999998</v>
      </c>
      <c r="AD48" s="188">
        <v>44817690.369999997</v>
      </c>
      <c r="AE48" s="188">
        <v>61029163.189999998</v>
      </c>
      <c r="AF48" s="188">
        <v>137457108.15000001</v>
      </c>
      <c r="AG48" s="188">
        <v>116899776.2</v>
      </c>
      <c r="AH48" s="188">
        <v>153397936.09999999</v>
      </c>
      <c r="AI48" s="188">
        <v>140634810.96000001</v>
      </c>
      <c r="AJ48" s="188">
        <v>139592125.28</v>
      </c>
      <c r="AK48" s="188">
        <v>63223120.109999999</v>
      </c>
      <c r="AL48" s="188">
        <v>61997205.960000001</v>
      </c>
      <c r="AM48" s="188">
        <v>63602655.109999999</v>
      </c>
      <c r="AN48" s="188">
        <v>64669402.979999997</v>
      </c>
      <c r="AO48" s="188">
        <v>55739593.899999999</v>
      </c>
      <c r="AP48" s="188">
        <v>74124821.609999999</v>
      </c>
      <c r="AQ48" s="188">
        <v>78923781.310000002</v>
      </c>
      <c r="AR48" s="188">
        <v>75727929.730000004</v>
      </c>
      <c r="AS48" s="188">
        <v>64906968.159999996</v>
      </c>
      <c r="AT48" s="188">
        <v>85079497.200000003</v>
      </c>
      <c r="AU48" s="188">
        <v>71236219.379999995</v>
      </c>
      <c r="AV48" s="188">
        <v>62361297.259999998</v>
      </c>
      <c r="AW48" s="188">
        <v>65950194.280000001</v>
      </c>
      <c r="AX48" s="188">
        <v>55796169.539999999</v>
      </c>
      <c r="AY48" s="188">
        <v>50323151.409999996</v>
      </c>
      <c r="AZ48" s="188">
        <v>46368596.539999999</v>
      </c>
      <c r="BA48" s="188">
        <v>35037506.170000002</v>
      </c>
      <c r="BB48" s="188">
        <v>27468196.210000001</v>
      </c>
      <c r="BC48" s="188">
        <v>16737698.859999999</v>
      </c>
      <c r="BD48" s="188">
        <v>28919245.850000001</v>
      </c>
      <c r="BE48" s="188">
        <v>23943283.239999998</v>
      </c>
      <c r="BF48" s="188">
        <v>26274465.390000001</v>
      </c>
      <c r="BG48" s="188">
        <v>31906408.850000001</v>
      </c>
      <c r="BH48" s="188">
        <v>38561989.369999997</v>
      </c>
      <c r="BI48" s="188">
        <v>38794367.850000001</v>
      </c>
      <c r="BJ48" s="188">
        <v>24693907.440000001</v>
      </c>
      <c r="BK48" s="188">
        <v>21321239.760000002</v>
      </c>
      <c r="BL48" s="188">
        <v>36696266.479999997</v>
      </c>
      <c r="BM48" s="188">
        <v>30547517.010000002</v>
      </c>
      <c r="BN48" s="188">
        <v>34664199.460000001</v>
      </c>
      <c r="BO48" s="188">
        <v>26931406.75</v>
      </c>
      <c r="BP48" s="188">
        <v>27768578</v>
      </c>
      <c r="BQ48" s="188">
        <v>22514186.300000001</v>
      </c>
      <c r="BR48" s="188">
        <v>19361036.399999999</v>
      </c>
      <c r="BS48" s="188">
        <v>0</v>
      </c>
    </row>
    <row r="49" spans="1:71">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c r="BH49" s="188">
        <v>0</v>
      </c>
      <c r="BI49" s="188">
        <v>0</v>
      </c>
      <c r="BJ49" s="188">
        <v>0</v>
      </c>
      <c r="BK49" s="188">
        <v>0</v>
      </c>
      <c r="BL49" s="188">
        <v>0</v>
      </c>
      <c r="BM49" s="188">
        <v>0</v>
      </c>
      <c r="BN49" s="188">
        <v>0</v>
      </c>
      <c r="BO49" s="188">
        <v>0</v>
      </c>
      <c r="BP49" s="188">
        <v>0</v>
      </c>
      <c r="BQ49" s="188">
        <v>0</v>
      </c>
      <c r="BR49" s="188">
        <v>0</v>
      </c>
      <c r="BS49" s="188">
        <v>0</v>
      </c>
    </row>
    <row r="50" spans="1:71">
      <c r="A50" s="188" t="s">
        <v>154</v>
      </c>
      <c r="B50" s="188">
        <v>47630375.340000004</v>
      </c>
      <c r="C50" s="188">
        <v>31631822.359999999</v>
      </c>
      <c r="D50" s="188">
        <v>17310806.309999999</v>
      </c>
      <c r="E50" s="188">
        <v>17967674.120000001</v>
      </c>
      <c r="F50" s="188">
        <v>35783602.609999999</v>
      </c>
      <c r="G50" s="188">
        <v>26514158.77</v>
      </c>
      <c r="H50" s="188">
        <v>20005870.649999999</v>
      </c>
      <c r="I50" s="188">
        <v>11555808.58</v>
      </c>
      <c r="J50" s="188">
        <v>20392967.309999999</v>
      </c>
      <c r="K50" s="188">
        <v>19631859.73</v>
      </c>
      <c r="L50" s="188">
        <v>16970838.149999999</v>
      </c>
      <c r="M50" s="188">
        <v>12116055.550000001</v>
      </c>
      <c r="N50" s="188">
        <v>14297982.939999999</v>
      </c>
      <c r="O50" s="188">
        <v>8570898.4299999997</v>
      </c>
      <c r="P50" s="188">
        <v>7509021.1200000001</v>
      </c>
      <c r="Q50" s="188">
        <v>6766648.0599999996</v>
      </c>
      <c r="R50" s="188">
        <v>9206870.4299999997</v>
      </c>
      <c r="S50" s="188">
        <v>7586943.5700000003</v>
      </c>
      <c r="T50" s="188">
        <v>6839967.1200000001</v>
      </c>
      <c r="U50" s="188">
        <v>6209790.75</v>
      </c>
      <c r="V50" s="188">
        <v>11925954.039999999</v>
      </c>
      <c r="W50" s="188">
        <v>16934073.899999999</v>
      </c>
      <c r="X50" s="188">
        <v>10592174.59</v>
      </c>
      <c r="Y50" s="188">
        <v>10989331.779999999</v>
      </c>
      <c r="Z50" s="188">
        <v>10701622.380000001</v>
      </c>
      <c r="AA50" s="188">
        <v>10786114.880000001</v>
      </c>
      <c r="AB50" s="188">
        <v>10174810.289999999</v>
      </c>
      <c r="AC50" s="188">
        <v>9740152.6300000008</v>
      </c>
      <c r="AD50" s="188">
        <v>8184175.5499999998</v>
      </c>
      <c r="AE50" s="188">
        <v>12840353.59</v>
      </c>
      <c r="AF50" s="188">
        <v>6168736.8399999999</v>
      </c>
      <c r="AG50" s="188">
        <v>7049082.4699999997</v>
      </c>
      <c r="AH50" s="188">
        <v>11530490.029999999</v>
      </c>
      <c r="AI50" s="188">
        <v>11882983.289999999</v>
      </c>
      <c r="AJ50" s="188">
        <v>6196556.9199999999</v>
      </c>
      <c r="AK50" s="188">
        <v>5817671.7300000004</v>
      </c>
      <c r="AL50" s="188">
        <v>14283075.720000001</v>
      </c>
      <c r="AM50" s="188">
        <v>14469678.689999999</v>
      </c>
      <c r="AN50" s="188">
        <v>7675869.7999999998</v>
      </c>
      <c r="AO50" s="188">
        <v>7518037.8700000001</v>
      </c>
      <c r="AP50" s="188">
        <v>8596602.2200000007</v>
      </c>
      <c r="AQ50" s="188">
        <v>8290680.5800000001</v>
      </c>
      <c r="AR50" s="188">
        <v>11549992.640000001</v>
      </c>
      <c r="AS50" s="188">
        <v>20095268.789999999</v>
      </c>
      <c r="AT50" s="188">
        <v>38542205.960000001</v>
      </c>
      <c r="AU50" s="188">
        <v>39952200.219999999</v>
      </c>
      <c r="AV50" s="188">
        <v>33988996.359999999</v>
      </c>
      <c r="AW50" s="188">
        <v>28666619.969999999</v>
      </c>
      <c r="AX50" s="188">
        <v>30931435.350000001</v>
      </c>
      <c r="AY50" s="188">
        <v>29910482.09</v>
      </c>
      <c r="AZ50" s="188">
        <v>28224788.23</v>
      </c>
      <c r="BA50" s="188">
        <v>26844445.940000001</v>
      </c>
      <c r="BB50" s="188">
        <v>26692412.489999998</v>
      </c>
      <c r="BC50" s="188">
        <v>26636413.23</v>
      </c>
      <c r="BD50" s="188">
        <v>24743134.98</v>
      </c>
      <c r="BE50" s="188">
        <v>24299673.91</v>
      </c>
      <c r="BF50" s="188">
        <v>23223799.609999999</v>
      </c>
      <c r="BG50" s="188">
        <v>21367183.52</v>
      </c>
      <c r="BH50" s="188">
        <v>20466372.120000001</v>
      </c>
      <c r="BI50" s="188">
        <v>18997388.329999998</v>
      </c>
      <c r="BJ50" s="188">
        <v>19307481.370000001</v>
      </c>
      <c r="BK50" s="188">
        <v>18066769.550000001</v>
      </c>
      <c r="BL50" s="188">
        <v>17413776.050000001</v>
      </c>
      <c r="BM50" s="188">
        <v>16786765.940000001</v>
      </c>
      <c r="BN50" s="188">
        <v>19069419.07</v>
      </c>
      <c r="BO50" s="188">
        <v>19309158.609999999</v>
      </c>
      <c r="BP50" s="188">
        <v>18801226.43</v>
      </c>
      <c r="BQ50" s="188">
        <v>14187285.720000001</v>
      </c>
      <c r="BR50" s="188">
        <v>8139231.7000000002</v>
      </c>
      <c r="BS50" s="188">
        <v>0</v>
      </c>
    </row>
    <row r="51" spans="1:71">
      <c r="A51" s="188" t="s">
        <v>155</v>
      </c>
      <c r="B51" s="188">
        <v>19703259.140000001</v>
      </c>
      <c r="C51" s="188">
        <v>21484156.350000001</v>
      </c>
      <c r="D51" s="188">
        <v>12658705.949999999</v>
      </c>
      <c r="E51" s="188">
        <v>15111230.189999999</v>
      </c>
      <c r="F51" s="188">
        <v>7837223</v>
      </c>
      <c r="G51" s="188">
        <v>12551773.4</v>
      </c>
      <c r="H51" s="188">
        <v>9543484.2699999996</v>
      </c>
      <c r="I51" s="188">
        <v>25892403.199999999</v>
      </c>
      <c r="J51" s="188">
        <v>18268166.32</v>
      </c>
      <c r="K51" s="188">
        <v>23928089.699999999</v>
      </c>
      <c r="L51" s="188">
        <v>20433889.59</v>
      </c>
      <c r="M51" s="188">
        <v>17462220.91</v>
      </c>
      <c r="N51" s="188">
        <v>14042397.310000001</v>
      </c>
      <c r="O51" s="188">
        <v>16421664.9</v>
      </c>
      <c r="P51" s="188">
        <v>2513378.42</v>
      </c>
      <c r="Q51" s="188">
        <v>11336123.52</v>
      </c>
      <c r="R51" s="188">
        <v>-421286.62</v>
      </c>
      <c r="S51" s="188">
        <v>-2799057.03</v>
      </c>
      <c r="T51" s="188">
        <v>7944809.7999999998</v>
      </c>
      <c r="U51" s="188">
        <v>2071388.96</v>
      </c>
      <c r="V51" s="188">
        <v>-1242752.8400000001</v>
      </c>
      <c r="W51" s="188">
        <v>-808613.32</v>
      </c>
      <c r="X51" s="188">
        <v>-2960089.17</v>
      </c>
      <c r="Y51" s="188">
        <v>923786.61</v>
      </c>
      <c r="Z51" s="188">
        <v>-4648511.58</v>
      </c>
      <c r="AA51" s="188">
        <v>-22651910.859999999</v>
      </c>
      <c r="AB51" s="188">
        <v>-21835737.969999999</v>
      </c>
      <c r="AC51" s="188">
        <v>-30109154.530000001</v>
      </c>
      <c r="AD51" s="188">
        <v>-39836237</v>
      </c>
      <c r="AE51" s="188">
        <v>-27382411.75</v>
      </c>
      <c r="AF51" s="188">
        <v>-15953424.869999999</v>
      </c>
      <c r="AG51" s="188">
        <v>-22266630.82</v>
      </c>
      <c r="AH51" s="188">
        <v>-19851247.780000001</v>
      </c>
      <c r="AI51" s="188">
        <v>-6579461.6200000001</v>
      </c>
      <c r="AJ51" s="188">
        <v>-6710602.9400000004</v>
      </c>
      <c r="AK51" s="188">
        <v>-3907037.48</v>
      </c>
      <c r="AL51" s="188">
        <v>-13370464.9</v>
      </c>
      <c r="AM51" s="188">
        <v>-7803462.71</v>
      </c>
      <c r="AN51" s="188">
        <v>-10603612.369999999</v>
      </c>
      <c r="AO51" s="188">
        <v>-8862524.2300000004</v>
      </c>
      <c r="AP51" s="188">
        <v>12444048.49</v>
      </c>
      <c r="AQ51" s="188">
        <v>11252753.48</v>
      </c>
      <c r="AR51" s="188">
        <v>17385841.699999999</v>
      </c>
      <c r="AS51" s="188">
        <v>18864212</v>
      </c>
      <c r="AT51" s="188">
        <v>7220037.1399999997</v>
      </c>
      <c r="AU51" s="188">
        <v>14257067.59</v>
      </c>
      <c r="AV51" s="188">
        <v>8474630.2300000004</v>
      </c>
      <c r="AW51" s="188">
        <v>14818910.48</v>
      </c>
      <c r="AX51" s="188">
        <v>12337692.810000001</v>
      </c>
      <c r="AY51" s="188">
        <v>6657084.4299999997</v>
      </c>
      <c r="AZ51" s="188">
        <v>12535845.51</v>
      </c>
      <c r="BA51" s="188">
        <v>9265389.4900000002</v>
      </c>
      <c r="BB51" s="188">
        <v>2672526.5299999998</v>
      </c>
      <c r="BC51" s="188">
        <v>8834230.3499999996</v>
      </c>
      <c r="BD51" s="188">
        <v>9052461.0399999991</v>
      </c>
      <c r="BE51" s="188">
        <v>12592670.24</v>
      </c>
      <c r="BF51" s="188">
        <v>8404662.5099999998</v>
      </c>
      <c r="BG51" s="188">
        <v>7354032.1500000004</v>
      </c>
      <c r="BH51" s="188">
        <v>7260051.0499999998</v>
      </c>
      <c r="BI51" s="188">
        <v>8658305.0199999996</v>
      </c>
      <c r="BJ51" s="188">
        <v>6185361.3499999996</v>
      </c>
      <c r="BK51" s="188">
        <v>9096286.9100000001</v>
      </c>
      <c r="BL51" s="188">
        <v>-947851.02</v>
      </c>
      <c r="BM51" s="188">
        <v>6183675.6399999997</v>
      </c>
      <c r="BN51" s="188">
        <v>2482855.12</v>
      </c>
      <c r="BO51" s="188">
        <v>7541966.25</v>
      </c>
      <c r="BP51" s="188">
        <v>7342010.8499999996</v>
      </c>
      <c r="BQ51" s="188">
        <v>14423566.02</v>
      </c>
      <c r="BR51" s="188">
        <v>16800400.66</v>
      </c>
      <c r="BS51" s="188">
        <v>0</v>
      </c>
    </row>
    <row r="52" spans="1:71">
      <c r="A52" s="188" t="s">
        <v>156</v>
      </c>
      <c r="B52" s="188">
        <v>43875</v>
      </c>
      <c r="C52" s="188">
        <v>0</v>
      </c>
      <c r="D52" s="188">
        <v>0</v>
      </c>
      <c r="E52" s="188">
        <v>0</v>
      </c>
      <c r="F52" s="188">
        <v>0</v>
      </c>
      <c r="G52" s="188">
        <v>0</v>
      </c>
      <c r="H52" s="188">
        <v>0</v>
      </c>
      <c r="I52" s="188">
        <v>0</v>
      </c>
      <c r="J52" s="188">
        <v>0</v>
      </c>
      <c r="K52" s="188">
        <v>0</v>
      </c>
      <c r="L52" s="188">
        <v>0</v>
      </c>
      <c r="M52" s="188">
        <v>0</v>
      </c>
      <c r="N52" s="188">
        <v>0</v>
      </c>
      <c r="O52" s="188">
        <v>0</v>
      </c>
      <c r="P52" s="188">
        <v>932741.44</v>
      </c>
      <c r="Q52" s="188">
        <v>242636.05</v>
      </c>
      <c r="R52" s="188">
        <v>420211.12</v>
      </c>
      <c r="S52" s="188">
        <v>406311.11</v>
      </c>
      <c r="T52" s="188">
        <v>24577.78</v>
      </c>
      <c r="U52" s="188">
        <v>756077.77</v>
      </c>
      <c r="V52" s="188">
        <v>157084.44</v>
      </c>
      <c r="W52" s="188">
        <v>777255.55</v>
      </c>
      <c r="X52" s="188">
        <v>124233.33</v>
      </c>
      <c r="Y52" s="188">
        <v>676105.56</v>
      </c>
      <c r="Z52" s="188">
        <v>0</v>
      </c>
      <c r="AA52" s="188">
        <v>0</v>
      </c>
      <c r="AB52" s="188">
        <v>0</v>
      </c>
      <c r="AC52" s="188">
        <v>0</v>
      </c>
      <c r="AD52" s="188">
        <v>0</v>
      </c>
      <c r="AE52" s="188">
        <v>0</v>
      </c>
      <c r="AF52" s="188">
        <v>88437.21</v>
      </c>
      <c r="AG52" s="188">
        <v>88437.2</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0</v>
      </c>
      <c r="AY52" s="188">
        <v>0</v>
      </c>
      <c r="AZ52" s="188">
        <v>0</v>
      </c>
      <c r="BA52" s="188">
        <v>0</v>
      </c>
      <c r="BB52" s="188">
        <v>0</v>
      </c>
      <c r="BC52" s="188">
        <v>0</v>
      </c>
      <c r="BD52" s="188">
        <v>0</v>
      </c>
      <c r="BE52" s="188">
        <v>0</v>
      </c>
      <c r="BF52" s="188">
        <v>0</v>
      </c>
      <c r="BG52" s="188">
        <v>0</v>
      </c>
      <c r="BH52" s="188">
        <v>0</v>
      </c>
      <c r="BI52" s="188">
        <v>0</v>
      </c>
      <c r="BJ52" s="188">
        <v>0</v>
      </c>
      <c r="BK52" s="188">
        <v>0</v>
      </c>
      <c r="BL52" s="188">
        <v>0</v>
      </c>
      <c r="BM52" s="188">
        <v>0</v>
      </c>
      <c r="BN52" s="188">
        <v>0</v>
      </c>
      <c r="BO52" s="188">
        <v>0</v>
      </c>
      <c r="BP52" s="188">
        <v>0</v>
      </c>
      <c r="BQ52" s="188">
        <v>0</v>
      </c>
      <c r="BR52" s="188">
        <v>0</v>
      </c>
      <c r="BS52" s="188">
        <v>0</v>
      </c>
    </row>
    <row r="53" spans="1:71">
      <c r="A53" s="188" t="s">
        <v>157</v>
      </c>
      <c r="B53" s="188">
        <v>0</v>
      </c>
      <c r="C53" s="188">
        <v>91066491.900000006</v>
      </c>
      <c r="D53" s="188">
        <v>9508151.8000000007</v>
      </c>
      <c r="E53" s="188">
        <v>9508151.8000000007</v>
      </c>
      <c r="F53" s="188">
        <v>9508151.8000000007</v>
      </c>
      <c r="G53" s="188">
        <v>60710994.600000001</v>
      </c>
      <c r="H53" s="188">
        <v>4663284.93</v>
      </c>
      <c r="I53" s="188">
        <v>4663284.93</v>
      </c>
      <c r="J53" s="188">
        <v>4663284.93</v>
      </c>
      <c r="K53" s="188">
        <v>41550551.270000003</v>
      </c>
      <c r="L53" s="188">
        <v>77223241.109999999</v>
      </c>
      <c r="M53" s="188">
        <v>0</v>
      </c>
      <c r="N53" s="188">
        <v>4971070.4800000004</v>
      </c>
      <c r="O53" s="188">
        <v>38607068.420000002</v>
      </c>
      <c r="P53" s="188">
        <v>4114665.62</v>
      </c>
      <c r="Q53" s="188">
        <v>4114665.62</v>
      </c>
      <c r="R53" s="188">
        <v>7483000.2699999996</v>
      </c>
      <c r="S53" s="188">
        <v>41118998.210000001</v>
      </c>
      <c r="T53" s="188">
        <v>2511981.56</v>
      </c>
      <c r="U53" s="188">
        <v>4528070.3600000003</v>
      </c>
      <c r="V53" s="188">
        <v>8368420.96</v>
      </c>
      <c r="W53" s="188">
        <v>37745930.240000002</v>
      </c>
      <c r="X53" s="188">
        <v>1712714.7</v>
      </c>
      <c r="Y53" s="188">
        <v>1712714.7</v>
      </c>
      <c r="Z53" s="188">
        <v>1712714.7</v>
      </c>
      <c r="AA53" s="188">
        <v>26879820.899999999</v>
      </c>
      <c r="AB53" s="188">
        <v>1141809.8</v>
      </c>
      <c r="AC53" s="188">
        <v>2581873.23</v>
      </c>
      <c r="AD53" s="188">
        <v>2581873.23</v>
      </c>
      <c r="AE53" s="188">
        <v>5324980.8</v>
      </c>
      <c r="AF53" s="188">
        <v>570904.9</v>
      </c>
      <c r="AG53" s="188">
        <v>570904.9</v>
      </c>
      <c r="AH53" s="188">
        <v>3320212.47</v>
      </c>
      <c r="AI53" s="188">
        <v>4760275.9000000004</v>
      </c>
      <c r="AJ53" s="188">
        <v>0</v>
      </c>
      <c r="AK53" s="188">
        <v>0</v>
      </c>
      <c r="AL53" s="188">
        <v>2501621.14</v>
      </c>
      <c r="AM53" s="188">
        <v>3318167.7</v>
      </c>
      <c r="AN53" s="188">
        <v>0</v>
      </c>
      <c r="AO53" s="188">
        <v>0</v>
      </c>
      <c r="AP53" s="188">
        <v>0</v>
      </c>
      <c r="AQ53" s="188">
        <v>0</v>
      </c>
      <c r="AR53" s="188">
        <v>0</v>
      </c>
      <c r="AS53" s="188">
        <v>0</v>
      </c>
      <c r="AT53" s="188">
        <v>0</v>
      </c>
      <c r="AU53" s="188">
        <v>4362372.74</v>
      </c>
      <c r="AV53" s="188">
        <v>0</v>
      </c>
      <c r="AW53" s="188">
        <v>0</v>
      </c>
      <c r="AX53" s="188">
        <v>0</v>
      </c>
      <c r="AY53" s="188">
        <v>0</v>
      </c>
      <c r="AZ53" s="188">
        <v>0</v>
      </c>
      <c r="BA53" s="188">
        <v>0</v>
      </c>
      <c r="BB53" s="188">
        <v>0</v>
      </c>
      <c r="BC53" s="188">
        <v>0</v>
      </c>
      <c r="BD53" s="188">
        <v>0</v>
      </c>
      <c r="BE53" s="188">
        <v>0</v>
      </c>
      <c r="BF53" s="188">
        <v>2246041.02</v>
      </c>
      <c r="BG53" s="188">
        <v>2246041.02</v>
      </c>
      <c r="BH53" s="188">
        <v>0</v>
      </c>
      <c r="BI53" s="188">
        <v>0</v>
      </c>
      <c r="BJ53" s="188">
        <v>0</v>
      </c>
      <c r="BK53" s="188">
        <v>0</v>
      </c>
      <c r="BL53" s="188">
        <v>8240744.7999999998</v>
      </c>
      <c r="BM53" s="188">
        <v>8240744.7999999998</v>
      </c>
      <c r="BN53" s="188">
        <v>0</v>
      </c>
      <c r="BO53" s="188">
        <v>15757243.640000001</v>
      </c>
      <c r="BP53" s="188">
        <v>1005516</v>
      </c>
      <c r="BQ53" s="188">
        <v>9986541.4399999995</v>
      </c>
      <c r="BR53" s="188">
        <v>10572685.199999999</v>
      </c>
      <c r="BS53" s="188">
        <v>0</v>
      </c>
    </row>
    <row r="54" spans="1:71">
      <c r="A54" s="188" t="s">
        <v>158</v>
      </c>
      <c r="B54" s="188">
        <v>66002400.799999997</v>
      </c>
      <c r="C54" s="188">
        <v>81306343.849999994</v>
      </c>
      <c r="D54" s="188">
        <v>65927556.259999998</v>
      </c>
      <c r="E54" s="188">
        <v>55391759.829999998</v>
      </c>
      <c r="F54" s="188">
        <v>75105614.280000001</v>
      </c>
      <c r="G54" s="188">
        <v>72250531.829999998</v>
      </c>
      <c r="H54" s="188">
        <v>55159506.770000003</v>
      </c>
      <c r="I54" s="188">
        <v>39200218.009999998</v>
      </c>
      <c r="J54" s="188">
        <v>34420965.340000004</v>
      </c>
      <c r="K54" s="188">
        <v>36109025.68</v>
      </c>
      <c r="L54" s="188">
        <v>39266741.310000002</v>
      </c>
      <c r="M54" s="188">
        <v>32700997.390000001</v>
      </c>
      <c r="N54" s="188">
        <v>28747138.93</v>
      </c>
      <c r="O54" s="188">
        <v>27717986.809999999</v>
      </c>
      <c r="P54" s="188">
        <v>25835474.559999999</v>
      </c>
      <c r="Q54" s="188">
        <v>22586077.82</v>
      </c>
      <c r="R54" s="188">
        <v>21049401.390000001</v>
      </c>
      <c r="S54" s="188">
        <v>18790842.73</v>
      </c>
      <c r="T54" s="188">
        <v>17641601.359999999</v>
      </c>
      <c r="U54" s="188">
        <v>21340732.48</v>
      </c>
      <c r="V54" s="188">
        <v>16818809.77</v>
      </c>
      <c r="W54" s="188">
        <v>16933496.52</v>
      </c>
      <c r="X54" s="188">
        <v>16509164.720000001</v>
      </c>
      <c r="Y54" s="188">
        <v>17280376.510000002</v>
      </c>
      <c r="Z54" s="188">
        <v>14059627.810000001</v>
      </c>
      <c r="AA54" s="188">
        <v>13904214.949999999</v>
      </c>
      <c r="AB54" s="188">
        <v>13439024.640000001</v>
      </c>
      <c r="AC54" s="188">
        <v>14719464.02</v>
      </c>
      <c r="AD54" s="188">
        <v>19088271.02</v>
      </c>
      <c r="AE54" s="188">
        <v>17955890.43</v>
      </c>
      <c r="AF54" s="188">
        <v>60921435.770000003</v>
      </c>
      <c r="AG54" s="188">
        <v>60078499.079999998</v>
      </c>
      <c r="AH54" s="188">
        <v>29285133.09</v>
      </c>
      <c r="AI54" s="188">
        <v>23057522.07</v>
      </c>
      <c r="AJ54" s="188">
        <v>18857027.170000002</v>
      </c>
      <c r="AK54" s="188">
        <v>17583579.140000001</v>
      </c>
      <c r="AL54" s="188">
        <v>19363495.18</v>
      </c>
      <c r="AM54" s="188">
        <v>21876230.370000001</v>
      </c>
      <c r="AN54" s="188">
        <v>19703329.530000001</v>
      </c>
      <c r="AO54" s="188">
        <v>14296597.32</v>
      </c>
      <c r="AP54" s="188">
        <v>16496940.869999999</v>
      </c>
      <c r="AQ54" s="188">
        <v>26105133.719999999</v>
      </c>
      <c r="AR54" s="188">
        <v>17118175.760000002</v>
      </c>
      <c r="AS54" s="188">
        <v>10922016.32</v>
      </c>
      <c r="AT54" s="188">
        <v>11309143.050000001</v>
      </c>
      <c r="AU54" s="188">
        <v>12799071.300000001</v>
      </c>
      <c r="AV54" s="188">
        <v>13533793.109999999</v>
      </c>
      <c r="AW54" s="188">
        <v>13463738.380000001</v>
      </c>
      <c r="AX54" s="188">
        <v>18839821.93</v>
      </c>
      <c r="AY54" s="188">
        <v>24748322.030000001</v>
      </c>
      <c r="AZ54" s="188">
        <v>19664155.039999999</v>
      </c>
      <c r="BA54" s="188">
        <v>20119172.489999998</v>
      </c>
      <c r="BB54" s="188">
        <v>19613046.16</v>
      </c>
      <c r="BC54" s="188">
        <v>26979732.600000001</v>
      </c>
      <c r="BD54" s="188">
        <v>20490937.870000001</v>
      </c>
      <c r="BE54" s="188">
        <v>23546496</v>
      </c>
      <c r="BF54" s="188">
        <v>22010858.460000001</v>
      </c>
      <c r="BG54" s="188">
        <v>20197598.760000002</v>
      </c>
      <c r="BH54" s="188">
        <v>12169756.939999999</v>
      </c>
      <c r="BI54" s="188">
        <v>21601170.579999998</v>
      </c>
      <c r="BJ54" s="188">
        <v>30640359.859999999</v>
      </c>
      <c r="BK54" s="188">
        <v>36122289.219999999</v>
      </c>
      <c r="BL54" s="188">
        <v>46327969.490000002</v>
      </c>
      <c r="BM54" s="188">
        <v>34096486.649999999</v>
      </c>
      <c r="BN54" s="188">
        <v>38684465.810000002</v>
      </c>
      <c r="BO54" s="188">
        <v>52593133.890000001</v>
      </c>
      <c r="BP54" s="188">
        <v>54091123.979999997</v>
      </c>
      <c r="BQ54" s="188">
        <v>34971670.630000003</v>
      </c>
      <c r="BR54" s="188">
        <v>32590766.420000002</v>
      </c>
      <c r="BS54" s="188">
        <v>0</v>
      </c>
    </row>
    <row r="55" spans="1:71">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0</v>
      </c>
      <c r="AY55" s="188">
        <v>0</v>
      </c>
      <c r="AZ55" s="188">
        <v>0</v>
      </c>
      <c r="BA55" s="188">
        <v>0</v>
      </c>
      <c r="BB55" s="188">
        <v>0</v>
      </c>
      <c r="BC55" s="188">
        <v>0</v>
      </c>
      <c r="BD55" s="188">
        <v>0</v>
      </c>
      <c r="BE55" s="188">
        <v>0</v>
      </c>
      <c r="BF55" s="188">
        <v>0</v>
      </c>
      <c r="BG55" s="188">
        <v>0</v>
      </c>
      <c r="BH55" s="188">
        <v>0</v>
      </c>
      <c r="BI55" s="188">
        <v>0</v>
      </c>
      <c r="BJ55" s="188">
        <v>0</v>
      </c>
      <c r="BK55" s="188">
        <v>0</v>
      </c>
      <c r="BL55" s="188">
        <v>0</v>
      </c>
      <c r="BM55" s="188">
        <v>0</v>
      </c>
      <c r="BN55" s="188">
        <v>15440</v>
      </c>
      <c r="BO55" s="188">
        <v>3860</v>
      </c>
      <c r="BP55" s="188">
        <v>0</v>
      </c>
      <c r="BQ55" s="188">
        <v>0</v>
      </c>
      <c r="BR55" s="188">
        <v>0</v>
      </c>
      <c r="BS55" s="188">
        <v>0</v>
      </c>
    </row>
    <row r="56" spans="1:71">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row>
    <row r="57" spans="1:71">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row>
    <row r="58" spans="1:71">
      <c r="A58" s="188" t="s">
        <v>162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1562500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10000000</v>
      </c>
      <c r="AX58" s="188">
        <v>0</v>
      </c>
      <c r="AY58" s="188">
        <v>0</v>
      </c>
      <c r="AZ58" s="188">
        <v>0</v>
      </c>
      <c r="BA58" s="188">
        <v>0</v>
      </c>
      <c r="BB58" s="188">
        <v>0</v>
      </c>
      <c r="BC58" s="188">
        <v>0</v>
      </c>
      <c r="BD58" s="188">
        <v>0</v>
      </c>
      <c r="BE58" s="188">
        <v>18000000</v>
      </c>
      <c r="BF58" s="188">
        <v>0</v>
      </c>
      <c r="BG58" s="188">
        <v>0</v>
      </c>
      <c r="BH58" s="188">
        <v>0</v>
      </c>
      <c r="BI58" s="188">
        <v>0</v>
      </c>
      <c r="BJ58" s="188">
        <v>0</v>
      </c>
      <c r="BK58" s="188">
        <v>1000000</v>
      </c>
      <c r="BL58" s="188">
        <v>47870000</v>
      </c>
      <c r="BM58" s="188">
        <v>47870000</v>
      </c>
      <c r="BN58" s="188">
        <v>52870000</v>
      </c>
      <c r="BO58" s="188">
        <v>10000000</v>
      </c>
      <c r="BP58" s="188">
        <v>5000000</v>
      </c>
      <c r="BQ58" s="188">
        <v>10000000</v>
      </c>
      <c r="BR58" s="188">
        <v>0</v>
      </c>
      <c r="BS58" s="188">
        <v>0</v>
      </c>
    </row>
    <row r="59" spans="1:71">
      <c r="A59" s="188" t="s">
        <v>163</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1562500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row>
    <row r="60" spans="1:71" s="191" customFormat="1">
      <c r="A60" s="191" t="s">
        <v>164</v>
      </c>
      <c r="B60" s="191">
        <v>988747169.00999999</v>
      </c>
      <c r="C60" s="191">
        <v>988242204.38999999</v>
      </c>
      <c r="D60" s="191">
        <v>850781483.63999999</v>
      </c>
      <c r="E60" s="191">
        <v>899796291.14999998</v>
      </c>
      <c r="F60" s="191">
        <v>894834868.38999999</v>
      </c>
      <c r="G60" s="191">
        <v>923326822.75</v>
      </c>
      <c r="H60" s="191">
        <v>861856927.50999999</v>
      </c>
      <c r="I60" s="191">
        <v>833377300.21000004</v>
      </c>
      <c r="J60" s="191">
        <v>829618156.17999995</v>
      </c>
      <c r="K60" s="191">
        <v>890002935.23000002</v>
      </c>
      <c r="L60" s="191">
        <v>883443452.96000004</v>
      </c>
      <c r="M60" s="191">
        <v>710089507.99000001</v>
      </c>
      <c r="N60" s="191">
        <v>711614677.50999999</v>
      </c>
      <c r="O60" s="191">
        <v>749013132.26999998</v>
      </c>
      <c r="P60" s="191">
        <v>738075110.57000005</v>
      </c>
      <c r="Q60" s="191">
        <v>692561460.85000002</v>
      </c>
      <c r="R60" s="191">
        <v>746848686.12</v>
      </c>
      <c r="S60" s="191">
        <v>715933933.73000002</v>
      </c>
      <c r="T60" s="191">
        <v>650122430.14999998</v>
      </c>
      <c r="U60" s="191">
        <v>675480302.10000002</v>
      </c>
      <c r="V60" s="191">
        <v>664886312.64999998</v>
      </c>
      <c r="W60" s="191">
        <v>692086032.22000003</v>
      </c>
      <c r="X60" s="191">
        <v>646646461.32000005</v>
      </c>
      <c r="Y60" s="191">
        <v>671498393.09000003</v>
      </c>
      <c r="Z60" s="191">
        <v>665685303.04999995</v>
      </c>
      <c r="AA60" s="191">
        <v>635451046.69000006</v>
      </c>
      <c r="AB60" s="191">
        <v>563014912.85000002</v>
      </c>
      <c r="AC60" s="191">
        <v>639153810.61000001</v>
      </c>
      <c r="AD60" s="191">
        <v>645480116.76999998</v>
      </c>
      <c r="AE60" s="191">
        <v>568013469.72000003</v>
      </c>
      <c r="AF60" s="191">
        <v>765620698.53999996</v>
      </c>
      <c r="AG60" s="191">
        <v>769277764.86000001</v>
      </c>
      <c r="AH60" s="191">
        <v>758659924.82000005</v>
      </c>
      <c r="AI60" s="191">
        <v>799520727.26999998</v>
      </c>
      <c r="AJ60" s="191">
        <v>670131760.27999997</v>
      </c>
      <c r="AK60" s="191">
        <v>623511286.38999999</v>
      </c>
      <c r="AL60" s="191">
        <v>608449085.67999995</v>
      </c>
      <c r="AM60" s="191">
        <v>573997757.23000002</v>
      </c>
      <c r="AN60" s="191">
        <v>585406764.21000004</v>
      </c>
      <c r="AO60" s="191">
        <v>534516930.17000002</v>
      </c>
      <c r="AP60" s="191">
        <v>588048185.37</v>
      </c>
      <c r="AQ60" s="191">
        <v>578801008.48000002</v>
      </c>
      <c r="AR60" s="191">
        <v>518274825.23000002</v>
      </c>
      <c r="AS60" s="191">
        <v>552028270.12</v>
      </c>
      <c r="AT60" s="191">
        <v>622293127.23000002</v>
      </c>
      <c r="AU60" s="191">
        <v>621151364.41999996</v>
      </c>
      <c r="AV60" s="191">
        <v>607365858.35000002</v>
      </c>
      <c r="AW60" s="191">
        <v>680864935.37</v>
      </c>
      <c r="AX60" s="191">
        <v>604728919.19000006</v>
      </c>
      <c r="AY60" s="191">
        <v>588053814.97000003</v>
      </c>
      <c r="AZ60" s="191">
        <v>541262237.75999999</v>
      </c>
      <c r="BA60" s="191">
        <v>526051423.75999999</v>
      </c>
      <c r="BB60" s="191">
        <v>471070709.23000002</v>
      </c>
      <c r="BC60" s="191">
        <v>437715584.85000002</v>
      </c>
      <c r="BD60" s="191">
        <v>420457982.82999998</v>
      </c>
      <c r="BE60" s="191">
        <v>434850449.92000002</v>
      </c>
      <c r="BF60" s="191">
        <v>435358032.07999998</v>
      </c>
      <c r="BG60" s="191">
        <v>395580898.47000003</v>
      </c>
      <c r="BH60" s="191">
        <v>322867659.22000003</v>
      </c>
      <c r="BI60" s="191">
        <v>291597568.37</v>
      </c>
      <c r="BJ60" s="191">
        <v>274893956.20999998</v>
      </c>
      <c r="BK60" s="191">
        <v>243803421.99000001</v>
      </c>
      <c r="BL60" s="191">
        <v>260736799.37</v>
      </c>
      <c r="BM60" s="191">
        <v>267037904.97</v>
      </c>
      <c r="BN60" s="191">
        <v>251996361.21000001</v>
      </c>
      <c r="BO60" s="191">
        <v>214254869.94999999</v>
      </c>
      <c r="BP60" s="191">
        <v>177028562.88</v>
      </c>
      <c r="BQ60" s="191">
        <v>163015662.69</v>
      </c>
      <c r="BR60" s="191">
        <v>128480917.86</v>
      </c>
      <c r="BS60" s="191">
        <v>0</v>
      </c>
    </row>
    <row r="61" spans="1:71">
      <c r="A61" s="188" t="s">
        <v>165</v>
      </c>
    </row>
    <row r="62" spans="1:71">
      <c r="A62" s="188" t="s">
        <v>166</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25000000</v>
      </c>
      <c r="AX62" s="188">
        <v>35000000</v>
      </c>
      <c r="AY62" s="188">
        <v>35000000</v>
      </c>
      <c r="AZ62" s="188">
        <v>35000000</v>
      </c>
      <c r="BA62" s="188">
        <v>35000000</v>
      </c>
      <c r="BB62" s="188">
        <v>0</v>
      </c>
      <c r="BC62" s="188">
        <v>0</v>
      </c>
      <c r="BD62" s="188">
        <v>0</v>
      </c>
      <c r="BE62" s="188">
        <v>0</v>
      </c>
      <c r="BF62" s="188">
        <v>18000000</v>
      </c>
      <c r="BG62" s="188">
        <v>18000000</v>
      </c>
      <c r="BH62" s="188">
        <v>18000000</v>
      </c>
      <c r="BI62" s="188">
        <v>18000000</v>
      </c>
      <c r="BJ62" s="188">
        <v>18000000</v>
      </c>
      <c r="BK62" s="188">
        <v>18000000</v>
      </c>
      <c r="BL62" s="188">
        <v>18000000</v>
      </c>
      <c r="BM62" s="188">
        <v>18000000</v>
      </c>
      <c r="BN62" s="188">
        <v>18000000</v>
      </c>
      <c r="BO62" s="188">
        <v>60870000</v>
      </c>
      <c r="BP62" s="188">
        <v>65870000</v>
      </c>
      <c r="BQ62" s="188">
        <v>47870000</v>
      </c>
      <c r="BR62" s="188">
        <v>62870000</v>
      </c>
      <c r="BS62" s="188">
        <v>0</v>
      </c>
    </row>
    <row r="63" spans="1:71">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row>
    <row r="64" spans="1:71">
      <c r="A64" s="188" t="s">
        <v>168</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10366159.09</v>
      </c>
      <c r="AQ64" s="188">
        <v>9676295.6899999995</v>
      </c>
      <c r="AR64" s="188">
        <v>8940892.8399999999</v>
      </c>
      <c r="AS64" s="188">
        <v>7357541.8399999999</v>
      </c>
      <c r="AT64" s="188">
        <v>3251250.12</v>
      </c>
      <c r="AU64" s="188">
        <v>1993347.08</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row>
    <row r="65" spans="1:71">
      <c r="A65" s="188" t="s">
        <v>169</v>
      </c>
      <c r="B65" s="188">
        <v>0</v>
      </c>
      <c r="C65" s="188">
        <v>0</v>
      </c>
      <c r="D65" s="188">
        <v>0</v>
      </c>
      <c r="E65" s="188">
        <v>0</v>
      </c>
      <c r="F65" s="188">
        <v>0</v>
      </c>
      <c r="G65" s="188">
        <v>0</v>
      </c>
      <c r="H65" s="188">
        <v>0</v>
      </c>
      <c r="I65" s="188">
        <v>0</v>
      </c>
      <c r="J65" s="188">
        <v>0</v>
      </c>
      <c r="K65" s="188">
        <v>0</v>
      </c>
      <c r="L65" s="188">
        <v>0</v>
      </c>
      <c r="M65" s="188">
        <v>0</v>
      </c>
      <c r="N65" s="188">
        <v>0</v>
      </c>
      <c r="O65" s="188">
        <v>0</v>
      </c>
      <c r="P65" s="188">
        <v>0</v>
      </c>
      <c r="Q65" s="188">
        <v>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c r="BH65" s="188">
        <v>0</v>
      </c>
      <c r="BI65" s="188">
        <v>0</v>
      </c>
      <c r="BJ65" s="188">
        <v>0</v>
      </c>
      <c r="BK65" s="188">
        <v>0</v>
      </c>
      <c r="BL65" s="188">
        <v>0</v>
      </c>
      <c r="BM65" s="188">
        <v>0</v>
      </c>
      <c r="BN65" s="188">
        <v>0</v>
      </c>
      <c r="BO65" s="188">
        <v>0</v>
      </c>
      <c r="BP65" s="188">
        <v>0</v>
      </c>
      <c r="BQ65" s="188">
        <v>0</v>
      </c>
      <c r="BR65" s="188">
        <v>0</v>
      </c>
      <c r="BS65" s="188">
        <v>0</v>
      </c>
    </row>
    <row r="66" spans="1:71">
      <c r="A66" s="188" t="s">
        <v>170</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3534100</v>
      </c>
      <c r="AY66" s="188">
        <v>3534100</v>
      </c>
      <c r="AZ66" s="188">
        <v>3218100</v>
      </c>
      <c r="BA66" s="188">
        <v>3218100</v>
      </c>
      <c r="BB66" s="188">
        <v>3218100</v>
      </c>
      <c r="BC66" s="188">
        <v>0</v>
      </c>
      <c r="BD66" s="188">
        <v>0</v>
      </c>
      <c r="BE66" s="188">
        <v>0</v>
      </c>
      <c r="BF66" s="188">
        <v>4710952.2699999996</v>
      </c>
      <c r="BG66" s="188">
        <v>4710952.2699999996</v>
      </c>
      <c r="BH66" s="188">
        <v>4710952.2699999996</v>
      </c>
      <c r="BI66" s="188">
        <v>1200952.27</v>
      </c>
      <c r="BJ66" s="188">
        <v>3342000</v>
      </c>
      <c r="BK66" s="188">
        <v>3342000</v>
      </c>
      <c r="BL66" s="188">
        <v>3342000</v>
      </c>
      <c r="BM66" s="188">
        <v>0</v>
      </c>
      <c r="BN66" s="188">
        <v>0</v>
      </c>
      <c r="BO66" s="188">
        <v>0</v>
      </c>
      <c r="BP66" s="188">
        <v>0</v>
      </c>
      <c r="BQ66" s="188">
        <v>0</v>
      </c>
      <c r="BR66" s="188">
        <v>0</v>
      </c>
      <c r="BS66" s="188">
        <v>0</v>
      </c>
    </row>
    <row r="67" spans="1:71">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c r="BS67" s="188">
        <v>0</v>
      </c>
    </row>
    <row r="68" spans="1:71">
      <c r="A68" s="188" t="s">
        <v>172</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299356.94</v>
      </c>
      <c r="Z68" s="188">
        <v>0</v>
      </c>
      <c r="AA68" s="188">
        <v>0</v>
      </c>
      <c r="AB68" s="188">
        <v>0</v>
      </c>
      <c r="AC68" s="188">
        <v>336737.82</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0</v>
      </c>
      <c r="BL68" s="188">
        <v>0</v>
      </c>
      <c r="BM68" s="188">
        <v>0</v>
      </c>
      <c r="BN68" s="188">
        <v>0</v>
      </c>
      <c r="BO68" s="188">
        <v>0</v>
      </c>
      <c r="BP68" s="188">
        <v>0</v>
      </c>
      <c r="BQ68" s="188">
        <v>0</v>
      </c>
      <c r="BR68" s="188">
        <v>0</v>
      </c>
      <c r="BS68" s="188">
        <v>0</v>
      </c>
    </row>
    <row r="69" spans="1:71">
      <c r="A69" s="188" t="s">
        <v>173</v>
      </c>
      <c r="B69" s="188">
        <v>35675397.770000003</v>
      </c>
      <c r="C69" s="188">
        <v>32401647.77</v>
      </c>
      <c r="D69" s="188">
        <v>31658197.77</v>
      </c>
      <c r="E69" s="188">
        <v>30047447.77</v>
      </c>
      <c r="F69" s="188">
        <v>30156152.539999999</v>
      </c>
      <c r="G69" s="188">
        <v>30254489.84</v>
      </c>
      <c r="H69" s="188">
        <v>30433546.940000001</v>
      </c>
      <c r="I69" s="188">
        <v>27247094.440000001</v>
      </c>
      <c r="J69" s="188">
        <v>26249600</v>
      </c>
      <c r="K69" s="188">
        <v>26249600</v>
      </c>
      <c r="L69" s="188">
        <v>26249600</v>
      </c>
      <c r="M69" s="188">
        <v>25520600</v>
      </c>
      <c r="N69" s="188">
        <v>26120600</v>
      </c>
      <c r="O69" s="188">
        <v>640000</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5272100</v>
      </c>
      <c r="AU69" s="188">
        <v>0</v>
      </c>
      <c r="AV69" s="188">
        <v>0</v>
      </c>
      <c r="AW69" s="188">
        <v>0</v>
      </c>
      <c r="AX69" s="188">
        <v>0</v>
      </c>
      <c r="AY69" s="188">
        <v>0</v>
      </c>
      <c r="AZ69" s="188">
        <v>0</v>
      </c>
      <c r="BA69" s="188">
        <v>0</v>
      </c>
      <c r="BB69" s="188">
        <v>0</v>
      </c>
      <c r="BC69" s="188">
        <v>0</v>
      </c>
      <c r="BD69" s="188">
        <v>0</v>
      </c>
      <c r="BE69" s="188">
        <v>0</v>
      </c>
      <c r="BF69" s="188">
        <v>0</v>
      </c>
      <c r="BG69" s="188">
        <v>0</v>
      </c>
      <c r="BH69" s="188">
        <v>0</v>
      </c>
      <c r="BI69" s="188">
        <v>0</v>
      </c>
      <c r="BJ69" s="188">
        <v>0</v>
      </c>
      <c r="BK69" s="188">
        <v>0</v>
      </c>
      <c r="BL69" s="188">
        <v>0</v>
      </c>
      <c r="BM69" s="188">
        <v>0</v>
      </c>
      <c r="BN69" s="188">
        <v>0</v>
      </c>
      <c r="BO69" s="188">
        <v>0</v>
      </c>
      <c r="BP69" s="188">
        <v>0</v>
      </c>
      <c r="BQ69" s="188">
        <v>0</v>
      </c>
      <c r="BR69" s="188">
        <v>0</v>
      </c>
      <c r="BS69" s="188">
        <v>0</v>
      </c>
    </row>
    <row r="70" spans="1:71">
      <c r="A70" s="188" t="s">
        <v>174</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5312500</v>
      </c>
      <c r="AA70" s="188">
        <v>5312500</v>
      </c>
      <c r="AB70" s="188">
        <v>5312500</v>
      </c>
      <c r="AC70" s="188">
        <v>5312500</v>
      </c>
      <c r="AD70" s="188">
        <v>9062500</v>
      </c>
      <c r="AE70" s="188">
        <v>9062500</v>
      </c>
      <c r="AF70" s="188">
        <v>9062500</v>
      </c>
      <c r="AG70" s="188">
        <v>9062500</v>
      </c>
      <c r="AH70" s="188">
        <v>0</v>
      </c>
      <c r="AI70" s="188">
        <v>0</v>
      </c>
      <c r="AJ70" s="188">
        <v>0</v>
      </c>
      <c r="AK70" s="188">
        <v>0</v>
      </c>
      <c r="AL70" s="188">
        <v>0</v>
      </c>
      <c r="AM70" s="188">
        <v>0</v>
      </c>
      <c r="AN70" s="188">
        <v>0</v>
      </c>
      <c r="AO70" s="188">
        <v>0</v>
      </c>
      <c r="AP70" s="188">
        <v>10792100</v>
      </c>
      <c r="AQ70" s="188">
        <v>5272100</v>
      </c>
      <c r="AR70" s="188">
        <v>5272100</v>
      </c>
      <c r="AS70" s="188">
        <v>5272100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-4601299.0599999996</v>
      </c>
      <c r="BR70" s="188">
        <v>3315309.93</v>
      </c>
      <c r="BS70" s="188">
        <v>0</v>
      </c>
    </row>
    <row r="71" spans="1:71">
      <c r="A71" s="188" t="s">
        <v>175</v>
      </c>
      <c r="B71" s="188">
        <v>35675397.770000003</v>
      </c>
      <c r="C71" s="188">
        <v>32401647.77</v>
      </c>
      <c r="D71" s="188">
        <v>31658197.77</v>
      </c>
      <c r="E71" s="188">
        <v>30047447.77</v>
      </c>
      <c r="F71" s="188">
        <v>30156152.539999999</v>
      </c>
      <c r="G71" s="188">
        <v>30254489.84</v>
      </c>
      <c r="H71" s="188">
        <v>30433546.940000001</v>
      </c>
      <c r="I71" s="188">
        <v>27247094.440000001</v>
      </c>
      <c r="J71" s="188">
        <v>26249600</v>
      </c>
      <c r="K71" s="188">
        <v>26249600</v>
      </c>
      <c r="L71" s="188">
        <v>26249600</v>
      </c>
      <c r="M71" s="188">
        <v>25520600</v>
      </c>
      <c r="N71" s="188">
        <v>26120600</v>
      </c>
      <c r="O71" s="188">
        <v>640000</v>
      </c>
      <c r="P71" s="188">
        <v>0</v>
      </c>
      <c r="Q71" s="188">
        <v>0</v>
      </c>
      <c r="R71" s="188">
        <v>0</v>
      </c>
      <c r="S71" s="188">
        <v>0</v>
      </c>
      <c r="T71" s="188">
        <v>0</v>
      </c>
      <c r="U71" s="188">
        <v>0</v>
      </c>
      <c r="V71" s="188">
        <v>0</v>
      </c>
      <c r="W71" s="188">
        <v>0</v>
      </c>
      <c r="X71" s="188">
        <v>0</v>
      </c>
      <c r="Y71" s="188">
        <v>299356.94</v>
      </c>
      <c r="Z71" s="188">
        <v>5312500</v>
      </c>
      <c r="AA71" s="188">
        <v>5312500</v>
      </c>
      <c r="AB71" s="188">
        <v>5312500</v>
      </c>
      <c r="AC71" s="188">
        <v>5649237.8200000003</v>
      </c>
      <c r="AD71" s="188">
        <v>9062500</v>
      </c>
      <c r="AE71" s="188">
        <v>9062500</v>
      </c>
      <c r="AF71" s="188">
        <v>9062500</v>
      </c>
      <c r="AG71" s="188">
        <v>9062500</v>
      </c>
      <c r="AH71" s="188">
        <v>0</v>
      </c>
      <c r="AI71" s="188">
        <v>0</v>
      </c>
      <c r="AJ71" s="188">
        <v>0</v>
      </c>
      <c r="AK71" s="188">
        <v>0</v>
      </c>
      <c r="AL71" s="188">
        <v>0</v>
      </c>
      <c r="AM71" s="188">
        <v>0</v>
      </c>
      <c r="AN71" s="188">
        <v>0</v>
      </c>
      <c r="AO71" s="188">
        <v>0</v>
      </c>
      <c r="AP71" s="188">
        <v>21158259.09</v>
      </c>
      <c r="AQ71" s="188">
        <v>14948395.689999999</v>
      </c>
      <c r="AR71" s="188">
        <v>14212992.84</v>
      </c>
      <c r="AS71" s="188">
        <v>12629641.84</v>
      </c>
      <c r="AT71" s="188">
        <v>8523350.1199999992</v>
      </c>
      <c r="AU71" s="188">
        <v>1993347.08</v>
      </c>
      <c r="AV71" s="188">
        <v>0</v>
      </c>
      <c r="AW71" s="188">
        <v>25000000</v>
      </c>
      <c r="AX71" s="188">
        <v>38534100</v>
      </c>
      <c r="AY71" s="188">
        <v>38534100</v>
      </c>
      <c r="AZ71" s="188">
        <v>38218100</v>
      </c>
      <c r="BA71" s="188">
        <v>38218100</v>
      </c>
      <c r="BB71" s="188">
        <v>3218100</v>
      </c>
      <c r="BC71" s="188">
        <v>0</v>
      </c>
      <c r="BD71" s="188">
        <v>0</v>
      </c>
      <c r="BE71" s="188">
        <v>0</v>
      </c>
      <c r="BF71" s="188">
        <v>22710952.27</v>
      </c>
      <c r="BG71" s="188">
        <v>22710952.27</v>
      </c>
      <c r="BH71" s="188">
        <v>22710952.27</v>
      </c>
      <c r="BI71" s="188">
        <v>19200952.27</v>
      </c>
      <c r="BJ71" s="188">
        <v>21342000</v>
      </c>
      <c r="BK71" s="188">
        <v>21342000</v>
      </c>
      <c r="BL71" s="188">
        <v>21342000</v>
      </c>
      <c r="BM71" s="188">
        <v>18000000</v>
      </c>
      <c r="BN71" s="188">
        <v>18000000</v>
      </c>
      <c r="BO71" s="188">
        <v>60870000</v>
      </c>
      <c r="BP71" s="188">
        <v>65870000</v>
      </c>
      <c r="BQ71" s="188">
        <v>43268700.939999998</v>
      </c>
      <c r="BR71" s="188">
        <v>66185309.93</v>
      </c>
      <c r="BS71" s="188">
        <v>0</v>
      </c>
    </row>
    <row r="72" spans="1:71">
      <c r="A72" s="188" t="s">
        <v>176</v>
      </c>
      <c r="B72" s="188">
        <v>1024422566.78</v>
      </c>
      <c r="C72" s="188">
        <v>1020643852.16</v>
      </c>
      <c r="D72" s="188">
        <v>882439681.40999997</v>
      </c>
      <c r="E72" s="188">
        <v>929843738.91999996</v>
      </c>
      <c r="F72" s="188">
        <v>924991020.92999995</v>
      </c>
      <c r="G72" s="188">
        <v>953581312.59000003</v>
      </c>
      <c r="H72" s="188">
        <v>892290474.45000005</v>
      </c>
      <c r="I72" s="188">
        <v>860624394.64999998</v>
      </c>
      <c r="J72" s="188">
        <v>855867756.17999995</v>
      </c>
      <c r="K72" s="188">
        <v>916252535.23000002</v>
      </c>
      <c r="L72" s="188">
        <v>909693052.96000004</v>
      </c>
      <c r="M72" s="188">
        <v>735610107.99000001</v>
      </c>
      <c r="N72" s="188">
        <v>737735277.50999999</v>
      </c>
      <c r="O72" s="188">
        <v>749653132.26999998</v>
      </c>
      <c r="P72" s="188">
        <v>738075110.57000005</v>
      </c>
      <c r="Q72" s="188">
        <v>692561460.85000002</v>
      </c>
      <c r="R72" s="188">
        <v>746848686.12</v>
      </c>
      <c r="S72" s="188">
        <v>715933933.73000002</v>
      </c>
      <c r="T72" s="188">
        <v>650122430.14999998</v>
      </c>
      <c r="U72" s="188">
        <v>675480302.10000002</v>
      </c>
      <c r="V72" s="188">
        <v>664886312.64999998</v>
      </c>
      <c r="W72" s="188">
        <v>692086032.22000003</v>
      </c>
      <c r="X72" s="188">
        <v>646646461.32000005</v>
      </c>
      <c r="Y72" s="188">
        <v>671797750.02999997</v>
      </c>
      <c r="Z72" s="188">
        <v>670997803.04999995</v>
      </c>
      <c r="AA72" s="188">
        <v>640763546.69000006</v>
      </c>
      <c r="AB72" s="188">
        <v>568327412.85000002</v>
      </c>
      <c r="AC72" s="188">
        <v>644803048.42999995</v>
      </c>
      <c r="AD72" s="188">
        <v>654542616.76999998</v>
      </c>
      <c r="AE72" s="188">
        <v>577075969.72000003</v>
      </c>
      <c r="AF72" s="188">
        <v>774683198.53999996</v>
      </c>
      <c r="AG72" s="188">
        <v>778340264.86000001</v>
      </c>
      <c r="AH72" s="188">
        <v>758659924.82000005</v>
      </c>
      <c r="AI72" s="188">
        <v>799520727.26999998</v>
      </c>
      <c r="AJ72" s="188">
        <v>670131760.27999997</v>
      </c>
      <c r="AK72" s="188">
        <v>623511286.38999999</v>
      </c>
      <c r="AL72" s="188">
        <v>608449085.67999995</v>
      </c>
      <c r="AM72" s="188">
        <v>573997757.23000002</v>
      </c>
      <c r="AN72" s="188">
        <v>585406764.21000004</v>
      </c>
      <c r="AO72" s="188">
        <v>534516930.17000002</v>
      </c>
      <c r="AP72" s="188">
        <v>609206444.46000004</v>
      </c>
      <c r="AQ72" s="188">
        <v>593749404.16999996</v>
      </c>
      <c r="AR72" s="188">
        <v>532487818.06999999</v>
      </c>
      <c r="AS72" s="188">
        <v>564657911.96000004</v>
      </c>
      <c r="AT72" s="188">
        <v>630816477.35000002</v>
      </c>
      <c r="AU72" s="188">
        <v>623144711.5</v>
      </c>
      <c r="AV72" s="188">
        <v>607365858.35000002</v>
      </c>
      <c r="AW72" s="188">
        <v>705864935.37</v>
      </c>
      <c r="AX72" s="188">
        <v>643263019.19000006</v>
      </c>
      <c r="AY72" s="188">
        <v>626587914.97000003</v>
      </c>
      <c r="AZ72" s="188">
        <v>579480337.75999999</v>
      </c>
      <c r="BA72" s="188">
        <v>564269523.75999999</v>
      </c>
      <c r="BB72" s="188">
        <v>474288809.23000002</v>
      </c>
      <c r="BC72" s="188">
        <v>437715584.85000002</v>
      </c>
      <c r="BD72" s="188">
        <v>420457982.82999998</v>
      </c>
      <c r="BE72" s="188">
        <v>434850449.92000002</v>
      </c>
      <c r="BF72" s="188">
        <v>458068984.35000002</v>
      </c>
      <c r="BG72" s="188">
        <v>418291850.74000001</v>
      </c>
      <c r="BH72" s="188">
        <v>345578611.49000001</v>
      </c>
      <c r="BI72" s="188">
        <v>310798520.63999999</v>
      </c>
      <c r="BJ72" s="188">
        <v>296235956.20999998</v>
      </c>
      <c r="BK72" s="188">
        <v>265145421.99000001</v>
      </c>
      <c r="BL72" s="188">
        <v>282078799.37</v>
      </c>
      <c r="BM72" s="188">
        <v>285037904.97000003</v>
      </c>
      <c r="BN72" s="188">
        <v>269996361.20999998</v>
      </c>
      <c r="BO72" s="188">
        <v>275124869.94999999</v>
      </c>
      <c r="BP72" s="188">
        <v>242898562.88</v>
      </c>
      <c r="BQ72" s="188">
        <v>206284363.63</v>
      </c>
      <c r="BR72" s="188">
        <v>194666227.78999999</v>
      </c>
      <c r="BS72" s="188">
        <v>0</v>
      </c>
    </row>
    <row r="73" spans="1:71">
      <c r="A73" s="188" t="s">
        <v>177</v>
      </c>
    </row>
    <row r="74" spans="1:71">
      <c r="A74" s="188" t="s">
        <v>178</v>
      </c>
      <c r="B74" s="188">
        <v>424976962</v>
      </c>
      <c r="C74" s="188">
        <v>303554973</v>
      </c>
      <c r="D74" s="188">
        <v>303554973</v>
      </c>
      <c r="E74" s="188">
        <v>303554973</v>
      </c>
      <c r="F74" s="188">
        <v>303554973</v>
      </c>
      <c r="G74" s="188">
        <v>303554973</v>
      </c>
      <c r="H74" s="188">
        <v>303554973</v>
      </c>
      <c r="I74" s="188">
        <v>303554973</v>
      </c>
      <c r="J74" s="188">
        <v>257380111</v>
      </c>
      <c r="K74" s="188">
        <v>257380111</v>
      </c>
      <c r="L74" s="188">
        <v>257380111</v>
      </c>
      <c r="M74" s="188">
        <v>257380111</v>
      </c>
      <c r="N74" s="188">
        <v>257380111</v>
      </c>
      <c r="O74" s="188">
        <v>257380111</v>
      </c>
      <c r="P74" s="188">
        <v>257380111</v>
      </c>
      <c r="Q74" s="188">
        <v>257380111</v>
      </c>
      <c r="R74" s="188">
        <v>257380111</v>
      </c>
      <c r="S74" s="188">
        <v>257380111</v>
      </c>
      <c r="T74" s="188">
        <v>257380111</v>
      </c>
      <c r="U74" s="188">
        <v>257380111</v>
      </c>
      <c r="V74" s="188">
        <v>257380111</v>
      </c>
      <c r="W74" s="188">
        <v>257380111</v>
      </c>
      <c r="X74" s="188">
        <v>257380111</v>
      </c>
      <c r="Y74" s="188">
        <v>257380111</v>
      </c>
      <c r="Z74" s="188">
        <v>257380111</v>
      </c>
      <c r="AA74" s="188">
        <v>257380111</v>
      </c>
      <c r="AB74" s="188">
        <v>257380111</v>
      </c>
      <c r="AC74" s="188">
        <v>257380111</v>
      </c>
      <c r="AD74" s="188">
        <v>257380111</v>
      </c>
      <c r="AE74" s="188">
        <v>257380111</v>
      </c>
      <c r="AF74" s="188">
        <v>257380111</v>
      </c>
      <c r="AG74" s="188">
        <v>257380111</v>
      </c>
      <c r="AH74" s="188">
        <v>257380111</v>
      </c>
      <c r="AI74" s="188">
        <v>257380111</v>
      </c>
      <c r="AJ74" s="188">
        <v>257380111</v>
      </c>
      <c r="AK74" s="188">
        <v>257380111</v>
      </c>
      <c r="AL74" s="188">
        <v>257380111</v>
      </c>
      <c r="AM74" s="188">
        <v>257380111</v>
      </c>
      <c r="AN74" s="188">
        <v>257380111</v>
      </c>
      <c r="AO74" s="188">
        <v>257380111</v>
      </c>
      <c r="AP74" s="188">
        <v>257380111</v>
      </c>
      <c r="AQ74" s="188">
        <v>257380111</v>
      </c>
      <c r="AR74" s="188">
        <v>257380111</v>
      </c>
      <c r="AS74" s="188">
        <v>257380111</v>
      </c>
      <c r="AT74" s="188">
        <v>257380111</v>
      </c>
      <c r="AU74" s="188">
        <v>257380111</v>
      </c>
      <c r="AV74" s="188">
        <v>257380111</v>
      </c>
      <c r="AW74" s="188">
        <v>222500111</v>
      </c>
      <c r="AX74" s="188">
        <v>222500111</v>
      </c>
      <c r="AY74" s="188">
        <v>222500111</v>
      </c>
      <c r="AZ74" s="188">
        <v>222500111</v>
      </c>
      <c r="BA74" s="188">
        <v>222500111</v>
      </c>
      <c r="BB74" s="188">
        <v>222500111</v>
      </c>
      <c r="BC74" s="188">
        <v>222500111</v>
      </c>
      <c r="BD74" s="188">
        <v>185416759</v>
      </c>
      <c r="BE74" s="188">
        <v>185416759</v>
      </c>
      <c r="BF74" s="188">
        <v>185416759</v>
      </c>
      <c r="BG74" s="188">
        <v>185416759</v>
      </c>
      <c r="BH74" s="188">
        <v>123611172</v>
      </c>
      <c r="BI74" s="188">
        <v>123611172</v>
      </c>
      <c r="BJ74" s="188">
        <v>123611172</v>
      </c>
      <c r="BK74" s="188">
        <v>123611172</v>
      </c>
      <c r="BL74" s="188">
        <v>82407448</v>
      </c>
      <c r="BM74" s="188">
        <v>82407448</v>
      </c>
      <c r="BN74" s="188">
        <v>82407448</v>
      </c>
      <c r="BO74" s="188">
        <v>82407448</v>
      </c>
      <c r="BP74" s="188">
        <v>50407448</v>
      </c>
      <c r="BQ74" s="188">
        <v>50407448</v>
      </c>
      <c r="BR74" s="188">
        <v>50407448</v>
      </c>
      <c r="BS74" s="188">
        <v>0</v>
      </c>
    </row>
    <row r="75" spans="1:71">
      <c r="A75" s="188" t="s">
        <v>179</v>
      </c>
      <c r="B75" s="188">
        <v>1083437361.6300001</v>
      </c>
      <c r="C75" s="188">
        <v>1204859350.6300001</v>
      </c>
      <c r="D75" s="188">
        <v>1204859350.6300001</v>
      </c>
      <c r="E75" s="188">
        <v>1204859350.6300001</v>
      </c>
      <c r="F75" s="188">
        <v>1204859350.6300001</v>
      </c>
      <c r="G75" s="188">
        <v>1204859350.6300001</v>
      </c>
      <c r="H75" s="188">
        <v>1204859350.6300001</v>
      </c>
      <c r="I75" s="188">
        <v>1204859350.6300001</v>
      </c>
      <c r="J75" s="188">
        <v>585803451.86000001</v>
      </c>
      <c r="K75" s="188">
        <v>585994232.95000005</v>
      </c>
      <c r="L75" s="188">
        <v>586673352.75999999</v>
      </c>
      <c r="M75" s="188">
        <v>586673352.75999999</v>
      </c>
      <c r="N75" s="188">
        <v>586673352.75999999</v>
      </c>
      <c r="O75" s="188">
        <v>586673352.75999999</v>
      </c>
      <c r="P75" s="188">
        <v>586673352.75999999</v>
      </c>
      <c r="Q75" s="188">
        <v>586673352.75999999</v>
      </c>
      <c r="R75" s="188">
        <v>586673352.75999999</v>
      </c>
      <c r="S75" s="188">
        <v>586673352.75999999</v>
      </c>
      <c r="T75" s="188">
        <v>586673352.75999999</v>
      </c>
      <c r="U75" s="188">
        <v>586673352.75999999</v>
      </c>
      <c r="V75" s="188">
        <v>582835681.13</v>
      </c>
      <c r="W75" s="188">
        <v>586673352.75999999</v>
      </c>
      <c r="X75" s="188">
        <v>586673352.75999999</v>
      </c>
      <c r="Y75" s="188">
        <v>586673352.75999999</v>
      </c>
      <c r="Z75" s="188">
        <v>586673352.75999999</v>
      </c>
      <c r="AA75" s="188">
        <v>586673352.75999999</v>
      </c>
      <c r="AB75" s="188">
        <v>586673352.75999999</v>
      </c>
      <c r="AC75" s="188">
        <v>586673352.75999999</v>
      </c>
      <c r="AD75" s="188">
        <v>586673352.75999999</v>
      </c>
      <c r="AE75" s="188">
        <v>586673352.75999999</v>
      </c>
      <c r="AF75" s="188">
        <v>586673352.75999999</v>
      </c>
      <c r="AG75" s="188">
        <v>586673352.75999999</v>
      </c>
      <c r="AH75" s="188">
        <v>586673352.75999999</v>
      </c>
      <c r="AI75" s="188">
        <v>586673352.75999999</v>
      </c>
      <c r="AJ75" s="188">
        <v>586673352.75999999</v>
      </c>
      <c r="AK75" s="188">
        <v>586673352.75999999</v>
      </c>
      <c r="AL75" s="188">
        <v>586673352.75999999</v>
      </c>
      <c r="AM75" s="188">
        <v>586673352.75999999</v>
      </c>
      <c r="AN75" s="188">
        <v>586673352.75999999</v>
      </c>
      <c r="AO75" s="188">
        <v>586673352.75999999</v>
      </c>
      <c r="AP75" s="188">
        <v>586673352.75999999</v>
      </c>
      <c r="AQ75" s="188">
        <v>586673352.75999999</v>
      </c>
      <c r="AR75" s="188">
        <v>586673352.75999999</v>
      </c>
      <c r="AS75" s="188">
        <v>586673352.75999999</v>
      </c>
      <c r="AT75" s="188">
        <v>587074361.14999998</v>
      </c>
      <c r="AU75" s="188">
        <v>587184361.14999998</v>
      </c>
      <c r="AV75" s="188">
        <v>587534361.14999998</v>
      </c>
      <c r="AW75" s="188">
        <v>331875450.14999998</v>
      </c>
      <c r="AX75" s="188">
        <v>326513350.14999998</v>
      </c>
      <c r="AY75" s="188">
        <v>326313350.14999998</v>
      </c>
      <c r="AZ75" s="188">
        <v>327813350.14999998</v>
      </c>
      <c r="BA75" s="188">
        <v>327813350.14999998</v>
      </c>
      <c r="BB75" s="188">
        <v>327813350.14999998</v>
      </c>
      <c r="BC75" s="188">
        <v>327713350.14999998</v>
      </c>
      <c r="BD75" s="188">
        <v>364796702.14999998</v>
      </c>
      <c r="BE75" s="188">
        <v>364696702.14999998</v>
      </c>
      <c r="BF75" s="188">
        <v>357433910.36000001</v>
      </c>
      <c r="BG75" s="188">
        <v>357433910.36000001</v>
      </c>
      <c r="BH75" s="188">
        <v>382157675.36000001</v>
      </c>
      <c r="BI75" s="188">
        <v>382004675.36000001</v>
      </c>
      <c r="BJ75" s="188">
        <v>377573627.63</v>
      </c>
      <c r="BK75" s="188">
        <v>377573627.63</v>
      </c>
      <c r="BL75" s="188">
        <v>394055117.23000002</v>
      </c>
      <c r="BM75" s="188">
        <v>394045445.12</v>
      </c>
      <c r="BN75" s="188">
        <v>385920025.55000001</v>
      </c>
      <c r="BO75" s="188">
        <v>385920025.55000001</v>
      </c>
      <c r="BP75" s="188">
        <v>21783828.469999999</v>
      </c>
      <c r="BQ75" s="188">
        <v>21783828.469999999</v>
      </c>
      <c r="BR75" s="188">
        <v>21783828.469999999</v>
      </c>
      <c r="BS75" s="188">
        <v>0</v>
      </c>
    </row>
    <row r="76" spans="1:71">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row>
    <row r="77" spans="1:71">
      <c r="A77" s="188" t="s">
        <v>181</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row>
    <row r="78" spans="1:71">
      <c r="A78" s="188" t="s">
        <v>182</v>
      </c>
      <c r="B78" s="188">
        <v>48176538.579999998</v>
      </c>
      <c r="C78" s="188">
        <v>45729626.920000002</v>
      </c>
      <c r="D78" s="188">
        <v>44398486.780000001</v>
      </c>
      <c r="E78" s="188">
        <v>43120155.630000003</v>
      </c>
      <c r="F78" s="188">
        <v>42117180.840000004</v>
      </c>
      <c r="G78" s="188">
        <v>41291949.609999999</v>
      </c>
      <c r="H78" s="188">
        <v>39847121.960000001</v>
      </c>
      <c r="I78" s="188">
        <v>38452007.609999999</v>
      </c>
      <c r="J78" s="188">
        <v>37641610.619999997</v>
      </c>
      <c r="K78" s="188">
        <v>36445896.93</v>
      </c>
      <c r="L78" s="188">
        <v>34460715.25</v>
      </c>
      <c r="M78" s="188">
        <v>33969846.619999997</v>
      </c>
      <c r="N78" s="188">
        <v>30772758.129999999</v>
      </c>
      <c r="O78" s="188">
        <v>28118312.050000001</v>
      </c>
      <c r="P78" s="188">
        <v>27522810.91</v>
      </c>
      <c r="Q78" s="188">
        <v>28193163.460000001</v>
      </c>
      <c r="R78" s="188">
        <v>26900986.739999998</v>
      </c>
      <c r="S78" s="188">
        <v>25608094.440000001</v>
      </c>
      <c r="T78" s="188">
        <v>26438203.640000001</v>
      </c>
      <c r="U78" s="188">
        <v>27940843.440000001</v>
      </c>
      <c r="V78" s="188">
        <v>26750212.309999999</v>
      </c>
      <c r="W78" s="188">
        <v>26802593.100000001</v>
      </c>
      <c r="X78" s="188">
        <v>27131396.460000001</v>
      </c>
      <c r="Y78" s="188">
        <v>24605557.079999998</v>
      </c>
      <c r="Z78" s="188">
        <v>26606700.109999999</v>
      </c>
      <c r="AA78" s="188">
        <v>27138296.940000001</v>
      </c>
      <c r="AB78" s="188">
        <v>27690774.66</v>
      </c>
      <c r="AC78" s="188">
        <v>28095387.579999998</v>
      </c>
      <c r="AD78" s="188">
        <v>28268010.859999999</v>
      </c>
      <c r="AE78" s="188">
        <v>27023576.32</v>
      </c>
      <c r="AF78" s="188">
        <v>29851600.579999998</v>
      </c>
      <c r="AG78" s="188">
        <v>26827115.170000002</v>
      </c>
      <c r="AH78" s="188">
        <v>25704646.670000002</v>
      </c>
      <c r="AI78" s="188">
        <v>25110796.239999998</v>
      </c>
      <c r="AJ78" s="188">
        <v>23781650.329999998</v>
      </c>
      <c r="AK78" s="188">
        <v>20954695.120000001</v>
      </c>
      <c r="AL78" s="188">
        <v>17940270.25</v>
      </c>
      <c r="AM78" s="188">
        <v>18511541.620000001</v>
      </c>
      <c r="AN78" s="188">
        <v>0</v>
      </c>
      <c r="AO78" s="188">
        <v>12793874.880000001</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c r="BH78" s="188">
        <v>0</v>
      </c>
      <c r="BI78" s="188">
        <v>0</v>
      </c>
      <c r="BJ78" s="188">
        <v>0</v>
      </c>
      <c r="BK78" s="188">
        <v>0</v>
      </c>
      <c r="BL78" s="188">
        <v>0</v>
      </c>
      <c r="BM78" s="188">
        <v>0</v>
      </c>
      <c r="BN78" s="188">
        <v>0</v>
      </c>
      <c r="BO78" s="188">
        <v>0</v>
      </c>
      <c r="BP78" s="188">
        <v>0</v>
      </c>
      <c r="BQ78" s="188">
        <v>0</v>
      </c>
      <c r="BR78" s="188">
        <v>0</v>
      </c>
      <c r="BS78" s="188">
        <v>0</v>
      </c>
    </row>
    <row r="79" spans="1:71">
      <c r="A79" s="188" t="s">
        <v>183</v>
      </c>
      <c r="B79" s="188">
        <v>247802275.59999999</v>
      </c>
      <c r="C79" s="188">
        <v>247802275.59999999</v>
      </c>
      <c r="D79" s="188">
        <v>247802275.59999999</v>
      </c>
      <c r="E79" s="188">
        <v>247802275.59999999</v>
      </c>
      <c r="F79" s="188">
        <v>224623491.25</v>
      </c>
      <c r="G79" s="188">
        <v>224623491.25</v>
      </c>
      <c r="H79" s="188">
        <v>224623491.25</v>
      </c>
      <c r="I79" s="188">
        <v>224623491.25</v>
      </c>
      <c r="J79" s="188">
        <v>206371223.30000001</v>
      </c>
      <c r="K79" s="188">
        <v>206371223.30000001</v>
      </c>
      <c r="L79" s="188">
        <v>206371223.30000001</v>
      </c>
      <c r="M79" s="188">
        <v>206371223.30000001</v>
      </c>
      <c r="N79" s="188">
        <v>192201640.21000001</v>
      </c>
      <c r="O79" s="188">
        <v>192201640.21000001</v>
      </c>
      <c r="P79" s="188">
        <v>192201640.21000001</v>
      </c>
      <c r="Q79" s="188">
        <v>192201640.21000001</v>
      </c>
      <c r="R79" s="188">
        <v>179214800.55000001</v>
      </c>
      <c r="S79" s="188">
        <v>179214800.55000001</v>
      </c>
      <c r="T79" s="188">
        <v>179214800.55000001</v>
      </c>
      <c r="U79" s="188">
        <v>179214800.55000001</v>
      </c>
      <c r="V79" s="188">
        <v>171081863.28</v>
      </c>
      <c r="W79" s="188">
        <v>167244191.65000001</v>
      </c>
      <c r="X79" s="188">
        <v>167244191.65000001</v>
      </c>
      <c r="Y79" s="188">
        <v>167244191.65000001</v>
      </c>
      <c r="Z79" s="188">
        <v>155554844.13</v>
      </c>
      <c r="AA79" s="188">
        <v>155554844.13</v>
      </c>
      <c r="AB79" s="188">
        <v>155554844.13</v>
      </c>
      <c r="AC79" s="188">
        <v>155554844.13</v>
      </c>
      <c r="AD79" s="188">
        <v>138979968.19</v>
      </c>
      <c r="AE79" s="188">
        <v>138979968.19</v>
      </c>
      <c r="AF79" s="188">
        <v>138979968.19</v>
      </c>
      <c r="AG79" s="188">
        <v>138979968.19</v>
      </c>
      <c r="AH79" s="188">
        <v>122561496.11</v>
      </c>
      <c r="AI79" s="188">
        <v>122561496.11</v>
      </c>
      <c r="AJ79" s="188">
        <v>122561496.11</v>
      </c>
      <c r="AK79" s="188">
        <v>122561496.11</v>
      </c>
      <c r="AL79" s="188">
        <v>108063123.09</v>
      </c>
      <c r="AM79" s="188">
        <v>108063123.09</v>
      </c>
      <c r="AN79" s="188">
        <v>114970571.66</v>
      </c>
      <c r="AO79" s="188">
        <v>108063123.09</v>
      </c>
      <c r="AP79" s="188">
        <v>95529973.349999994</v>
      </c>
      <c r="AQ79" s="188">
        <v>95529973.349999994</v>
      </c>
      <c r="AR79" s="188">
        <v>95529973.349999994</v>
      </c>
      <c r="AS79" s="188">
        <v>95529973.349999994</v>
      </c>
      <c r="AT79" s="188">
        <v>85654172.299999997</v>
      </c>
      <c r="AU79" s="188">
        <v>85654172.299999997</v>
      </c>
      <c r="AV79" s="188">
        <v>88088913.659999996</v>
      </c>
      <c r="AW79" s="188">
        <v>88088913.659999996</v>
      </c>
      <c r="AX79" s="188">
        <v>81140411.420000002</v>
      </c>
      <c r="AY79" s="188">
        <v>81140411.420000002</v>
      </c>
      <c r="AZ79" s="188">
        <v>81140411.420000002</v>
      </c>
      <c r="BA79" s="188">
        <v>81140411.420000002</v>
      </c>
      <c r="BB79" s="188">
        <v>66831056.240000002</v>
      </c>
      <c r="BC79" s="188">
        <v>66831056.240000002</v>
      </c>
      <c r="BD79" s="188">
        <v>66831056.240000002</v>
      </c>
      <c r="BE79" s="188">
        <v>66831056.240000002</v>
      </c>
      <c r="BF79" s="188">
        <v>55774902.469999999</v>
      </c>
      <c r="BG79" s="188">
        <v>55774902.469999999</v>
      </c>
      <c r="BH79" s="188">
        <v>55774902.469999999</v>
      </c>
      <c r="BI79" s="188">
        <v>55774902.469999999</v>
      </c>
      <c r="BJ79" s="188">
        <v>46018616.340000004</v>
      </c>
      <c r="BK79" s="188">
        <v>46018616.340000004</v>
      </c>
      <c r="BL79" s="188">
        <v>46018616.340000004</v>
      </c>
      <c r="BM79" s="188">
        <v>46018616.340000004</v>
      </c>
      <c r="BN79" s="188">
        <v>36856540.890000001</v>
      </c>
      <c r="BO79" s="188">
        <v>36856540.890000001</v>
      </c>
      <c r="BP79" s="188">
        <v>37072062.350000001</v>
      </c>
      <c r="BQ79" s="188">
        <v>30358159.82</v>
      </c>
      <c r="BR79" s="188">
        <v>25700043.550000001</v>
      </c>
      <c r="BS79" s="188">
        <v>0</v>
      </c>
    </row>
    <row r="80" spans="1:71">
      <c r="A80" s="188" t="s">
        <v>184</v>
      </c>
      <c r="B80" s="188">
        <v>0</v>
      </c>
      <c r="C80" s="188">
        <v>0</v>
      </c>
      <c r="D80" s="188">
        <v>0</v>
      </c>
      <c r="E80" s="188">
        <v>0</v>
      </c>
      <c r="F80" s="188">
        <v>0</v>
      </c>
      <c r="G80" s="188">
        <v>0</v>
      </c>
      <c r="H80" s="188">
        <v>0</v>
      </c>
      <c r="I80" s="188">
        <v>0</v>
      </c>
      <c r="J80" s="188">
        <v>0</v>
      </c>
      <c r="K80" s="188">
        <v>0</v>
      </c>
      <c r="L80" s="188">
        <v>0</v>
      </c>
      <c r="M80" s="188">
        <v>0</v>
      </c>
      <c r="N80" s="188">
        <v>0</v>
      </c>
      <c r="O80" s="188">
        <v>0</v>
      </c>
      <c r="P80" s="188">
        <v>0</v>
      </c>
      <c r="Q80" s="188">
        <v>0</v>
      </c>
      <c r="R80" s="188">
        <v>0</v>
      </c>
      <c r="S80" s="188">
        <v>0</v>
      </c>
      <c r="T80" s="188">
        <v>0</v>
      </c>
      <c r="U80" s="188">
        <v>0</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c r="BH80" s="188">
        <v>0</v>
      </c>
      <c r="BI80" s="188">
        <v>0</v>
      </c>
      <c r="BJ80" s="188">
        <v>0</v>
      </c>
      <c r="BK80" s="188">
        <v>0</v>
      </c>
      <c r="BL80" s="188">
        <v>0</v>
      </c>
      <c r="BM80" s="188">
        <v>0</v>
      </c>
      <c r="BN80" s="188">
        <v>0</v>
      </c>
      <c r="BO80" s="188">
        <v>0</v>
      </c>
      <c r="BP80" s="188">
        <v>0</v>
      </c>
      <c r="BQ80" s="188">
        <v>0</v>
      </c>
      <c r="BR80" s="188">
        <v>0</v>
      </c>
      <c r="BS80" s="188">
        <v>0</v>
      </c>
    </row>
    <row r="81" spans="1:71">
      <c r="A81" s="188" t="s">
        <v>185</v>
      </c>
      <c r="B81" s="188">
        <v>1622318387.48</v>
      </c>
      <c r="C81" s="188">
        <v>1527505623.55</v>
      </c>
      <c r="D81" s="188">
        <v>1534046006.3699999</v>
      </c>
      <c r="E81" s="188">
        <v>1450979519.01</v>
      </c>
      <c r="F81" s="188">
        <v>1410970635.1800001</v>
      </c>
      <c r="G81" s="188">
        <v>1343514467.8099999</v>
      </c>
      <c r="H81" s="188">
        <v>1336890944.1600001</v>
      </c>
      <c r="I81" s="188">
        <v>1272111226.97</v>
      </c>
      <c r="J81" s="188">
        <v>1230674465.1700001</v>
      </c>
      <c r="K81" s="188">
        <v>1186928567.24</v>
      </c>
      <c r="L81" s="188">
        <v>1139404583.79</v>
      </c>
      <c r="M81" s="188">
        <v>1144513187.1400001</v>
      </c>
      <c r="N81" s="188">
        <v>1126619653.72</v>
      </c>
      <c r="O81" s="188">
        <v>1086068786.72</v>
      </c>
      <c r="P81" s="188">
        <v>1084277103.23</v>
      </c>
      <c r="Q81" s="188">
        <v>1051882405.05</v>
      </c>
      <c r="R81" s="188">
        <v>1038482386.24</v>
      </c>
      <c r="S81" s="188">
        <v>1007584579.42</v>
      </c>
      <c r="T81" s="188">
        <v>1008673332.22</v>
      </c>
      <c r="U81" s="188">
        <v>978773594.27999997</v>
      </c>
      <c r="V81" s="188">
        <v>970572732.89999998</v>
      </c>
      <c r="W81" s="188">
        <v>935691239.44000006</v>
      </c>
      <c r="X81" s="188">
        <v>935887012.89999998</v>
      </c>
      <c r="Y81" s="188">
        <v>904443711.52999997</v>
      </c>
      <c r="Z81" s="188">
        <v>892262106.87</v>
      </c>
      <c r="AA81" s="188">
        <v>859400855.14999998</v>
      </c>
      <c r="AB81" s="188">
        <v>848789198.38</v>
      </c>
      <c r="AC81" s="188">
        <v>822042927.74000001</v>
      </c>
      <c r="AD81" s="188">
        <v>820037987.87</v>
      </c>
      <c r="AE81" s="188">
        <v>789688287.41999996</v>
      </c>
      <c r="AF81" s="188">
        <v>771369887.01999998</v>
      </c>
      <c r="AG81" s="188">
        <v>731822831.71000004</v>
      </c>
      <c r="AH81" s="188">
        <v>718522647.05999994</v>
      </c>
      <c r="AI81" s="188">
        <v>670771887.34000003</v>
      </c>
      <c r="AJ81" s="188">
        <v>646859176.26999998</v>
      </c>
      <c r="AK81" s="188">
        <v>602649187.00999999</v>
      </c>
      <c r="AL81" s="188">
        <v>582950753.42999995</v>
      </c>
      <c r="AM81" s="188">
        <v>547300969.73000002</v>
      </c>
      <c r="AN81" s="188">
        <v>527832333.04000002</v>
      </c>
      <c r="AO81" s="188">
        <v>488228491.00999999</v>
      </c>
      <c r="AP81" s="188">
        <v>464441601.31999999</v>
      </c>
      <c r="AQ81" s="188">
        <v>431959741.75</v>
      </c>
      <c r="AR81" s="188">
        <v>395080348.10000002</v>
      </c>
      <c r="AS81" s="188">
        <v>365599179.79000002</v>
      </c>
      <c r="AT81" s="188">
        <v>351230213.02999997</v>
      </c>
      <c r="AU81" s="188">
        <v>321512118.50999999</v>
      </c>
      <c r="AV81" s="188">
        <v>315787692.94</v>
      </c>
      <c r="AW81" s="188">
        <v>280859158.74000001</v>
      </c>
      <c r="AX81" s="188">
        <v>270098943.12</v>
      </c>
      <c r="AY81" s="188">
        <v>244774340.22</v>
      </c>
      <c r="AZ81" s="188">
        <v>240714247.44</v>
      </c>
      <c r="BA81" s="188">
        <v>219126598.53</v>
      </c>
      <c r="BB81" s="188">
        <v>212906254.28</v>
      </c>
      <c r="BC81" s="188">
        <v>191699550.63999999</v>
      </c>
      <c r="BD81" s="188">
        <v>189209956.22</v>
      </c>
      <c r="BE81" s="188">
        <v>169555382.52000001</v>
      </c>
      <c r="BF81" s="188">
        <v>161414620.24000001</v>
      </c>
      <c r="BG81" s="188">
        <v>143026656.59</v>
      </c>
      <c r="BH81" s="188">
        <v>171705063.91999999</v>
      </c>
      <c r="BI81" s="188">
        <v>154561917.91</v>
      </c>
      <c r="BJ81" s="188">
        <v>145595407.88999999</v>
      </c>
      <c r="BK81" s="188">
        <v>127447983.37</v>
      </c>
      <c r="BL81" s="188">
        <v>131109978.77</v>
      </c>
      <c r="BM81" s="188">
        <v>127323933.70999999</v>
      </c>
      <c r="BN81" s="188">
        <v>120073902.72</v>
      </c>
      <c r="BO81" s="188">
        <v>115323851.95999999</v>
      </c>
      <c r="BP81" s="188">
        <v>106184269.69</v>
      </c>
      <c r="BQ81" s="188">
        <v>79288066.489999995</v>
      </c>
      <c r="BR81" s="188">
        <v>55048455.060000002</v>
      </c>
      <c r="BS81" s="188">
        <v>0</v>
      </c>
    </row>
    <row r="82" spans="1:71">
      <c r="A82" s="188" t="s">
        <v>186</v>
      </c>
      <c r="B82" s="188">
        <v>3426711525.29</v>
      </c>
      <c r="C82" s="188">
        <v>3329451849.6999998</v>
      </c>
      <c r="D82" s="188">
        <v>3334661092.3800001</v>
      </c>
      <c r="E82" s="188">
        <v>3250316273.8699999</v>
      </c>
      <c r="F82" s="188">
        <v>3186125630.9000001</v>
      </c>
      <c r="G82" s="188">
        <v>3117844232.3000002</v>
      </c>
      <c r="H82" s="188">
        <v>3109775881</v>
      </c>
      <c r="I82" s="188">
        <v>3043601049.46</v>
      </c>
      <c r="J82" s="188">
        <v>2317870861.9499998</v>
      </c>
      <c r="K82" s="188">
        <v>2273120031.4200001</v>
      </c>
      <c r="L82" s="188">
        <v>2224289986.0999999</v>
      </c>
      <c r="M82" s="188">
        <v>2228907720.8200002</v>
      </c>
      <c r="N82" s="188">
        <v>2193647515.8200002</v>
      </c>
      <c r="O82" s="188">
        <v>2150442202.7399998</v>
      </c>
      <c r="P82" s="188">
        <v>2148055018.1100001</v>
      </c>
      <c r="Q82" s="188">
        <v>2116330672.48</v>
      </c>
      <c r="R82" s="188">
        <v>2088651637.29</v>
      </c>
      <c r="S82" s="188">
        <v>2056460938.1700001</v>
      </c>
      <c r="T82" s="188">
        <v>2058379800.1700001</v>
      </c>
      <c r="U82" s="188">
        <v>2029982702.03</v>
      </c>
      <c r="V82" s="188">
        <v>2008620600.6199999</v>
      </c>
      <c r="W82" s="188">
        <v>1973791487.95</v>
      </c>
      <c r="X82" s="188">
        <v>1974316064.77</v>
      </c>
      <c r="Y82" s="188">
        <v>1940346924.02</v>
      </c>
      <c r="Z82" s="188">
        <v>1918477114.8699999</v>
      </c>
      <c r="AA82" s="188">
        <v>1886147459.98</v>
      </c>
      <c r="AB82" s="188">
        <v>1876088280.9300001</v>
      </c>
      <c r="AC82" s="188">
        <v>1849746623.21</v>
      </c>
      <c r="AD82" s="188">
        <v>1831339430.6800001</v>
      </c>
      <c r="AE82" s="188">
        <v>1799745295.6900001</v>
      </c>
      <c r="AF82" s="188">
        <v>1784254919.55</v>
      </c>
      <c r="AG82" s="188">
        <v>1741683378.8299999</v>
      </c>
      <c r="AH82" s="188">
        <v>1710842253.5999999</v>
      </c>
      <c r="AI82" s="188">
        <v>1662497643.45</v>
      </c>
      <c r="AJ82" s="188">
        <v>1637255786.47</v>
      </c>
      <c r="AK82" s="188">
        <v>1590218842</v>
      </c>
      <c r="AL82" s="188">
        <v>1553007610.53</v>
      </c>
      <c r="AM82" s="188">
        <v>1517929098.2</v>
      </c>
      <c r="AN82" s="188">
        <v>1486856368.46</v>
      </c>
      <c r="AO82" s="188">
        <v>1453138952.74</v>
      </c>
      <c r="AP82" s="188">
        <v>1404025038.4300001</v>
      </c>
      <c r="AQ82" s="188">
        <v>1371543178.8599999</v>
      </c>
      <c r="AR82" s="188">
        <v>1334663785.21</v>
      </c>
      <c r="AS82" s="188">
        <v>1305182616.9000001</v>
      </c>
      <c r="AT82" s="188">
        <v>1281338857.48</v>
      </c>
      <c r="AU82" s="188">
        <v>1251730762.96</v>
      </c>
      <c r="AV82" s="188">
        <v>1248791078.75</v>
      </c>
      <c r="AW82" s="188">
        <v>923323633.54999995</v>
      </c>
      <c r="AX82" s="188">
        <v>900252815.69000006</v>
      </c>
      <c r="AY82" s="188">
        <v>874728212.78999996</v>
      </c>
      <c r="AZ82" s="188">
        <v>872168120.00999999</v>
      </c>
      <c r="BA82" s="188">
        <v>850580471.10000002</v>
      </c>
      <c r="BB82" s="188">
        <v>830050771.66999996</v>
      </c>
      <c r="BC82" s="188">
        <v>808744068.02999997</v>
      </c>
      <c r="BD82" s="188">
        <v>806254473.61000001</v>
      </c>
      <c r="BE82" s="188">
        <v>786499899.90999997</v>
      </c>
      <c r="BF82" s="188">
        <v>760040192.07000005</v>
      </c>
      <c r="BG82" s="188">
        <v>741652228.41999996</v>
      </c>
      <c r="BH82" s="188">
        <v>733248813.75</v>
      </c>
      <c r="BI82" s="188">
        <v>649795443.16999996</v>
      </c>
      <c r="BJ82" s="188">
        <v>692798823.86000001</v>
      </c>
      <c r="BK82" s="188">
        <v>674651399.34000003</v>
      </c>
      <c r="BL82" s="188">
        <v>653591160.34000003</v>
      </c>
      <c r="BM82" s="188">
        <v>649795443.16999996</v>
      </c>
      <c r="BN82" s="188">
        <v>625257917.15999997</v>
      </c>
      <c r="BO82" s="188">
        <v>620507866.39999998</v>
      </c>
      <c r="BP82" s="188">
        <v>215447608.50999999</v>
      </c>
      <c r="BQ82" s="188">
        <v>181837502.78</v>
      </c>
      <c r="BR82" s="188">
        <v>152939775.08000001</v>
      </c>
      <c r="BS82" s="188">
        <v>0</v>
      </c>
    </row>
    <row r="83" spans="1:71">
      <c r="A83" s="188" t="s">
        <v>187</v>
      </c>
      <c r="B83" s="188">
        <v>0</v>
      </c>
      <c r="C83" s="188">
        <v>0</v>
      </c>
      <c r="D83" s="188">
        <v>0</v>
      </c>
      <c r="E83" s="188">
        <v>0</v>
      </c>
      <c r="F83" s="188">
        <v>0</v>
      </c>
      <c r="G83" s="188">
        <v>0</v>
      </c>
      <c r="H83" s="188">
        <v>0</v>
      </c>
      <c r="I83" s="188">
        <v>0</v>
      </c>
      <c r="J83" s="188">
        <v>0</v>
      </c>
      <c r="K83" s="188">
        <v>0</v>
      </c>
      <c r="L83" s="188">
        <v>8405745.2400000002</v>
      </c>
      <c r="M83" s="188">
        <v>8553038.4900000002</v>
      </c>
      <c r="N83" s="188">
        <v>8976738.1600000001</v>
      </c>
      <c r="O83" s="188">
        <v>9095132.4800000004</v>
      </c>
      <c r="P83" s="188">
        <v>9089955.1799999997</v>
      </c>
      <c r="Q83" s="188">
        <v>9287945.9700000007</v>
      </c>
      <c r="R83" s="188">
        <v>8653241.5199999996</v>
      </c>
      <c r="S83" s="188">
        <v>0</v>
      </c>
      <c r="T83" s="188">
        <v>0</v>
      </c>
      <c r="U83" s="188">
        <v>0</v>
      </c>
      <c r="V83" s="188">
        <v>0</v>
      </c>
      <c r="W83" s="188">
        <v>0</v>
      </c>
      <c r="X83" s="188">
        <v>0</v>
      </c>
      <c r="Y83" s="188">
        <v>0</v>
      </c>
      <c r="Z83" s="188">
        <v>0</v>
      </c>
      <c r="AA83" s="188">
        <v>0</v>
      </c>
      <c r="AB83" s="188">
        <v>0</v>
      </c>
      <c r="AC83" s="188">
        <v>0</v>
      </c>
      <c r="AD83" s="188">
        <v>0</v>
      </c>
      <c r="AE83" s="188">
        <v>0</v>
      </c>
      <c r="AF83" s="188">
        <v>3648544.05</v>
      </c>
      <c r="AG83" s="188">
        <v>3666204.19</v>
      </c>
      <c r="AH83" s="188">
        <v>3165928.2</v>
      </c>
      <c r="AI83" s="188">
        <v>2988743.19</v>
      </c>
      <c r="AJ83" s="188">
        <v>2970810.76</v>
      </c>
      <c r="AK83" s="188">
        <v>3000995.21</v>
      </c>
      <c r="AL83" s="188">
        <v>2825442.61</v>
      </c>
      <c r="AM83" s="188">
        <v>1970380.32</v>
      </c>
      <c r="AN83" s="188">
        <v>1647777.22</v>
      </c>
      <c r="AO83" s="188">
        <v>1683141.36</v>
      </c>
      <c r="AP83" s="188">
        <v>1559636.67</v>
      </c>
      <c r="AQ83" s="188">
        <v>1552495.03</v>
      </c>
      <c r="AR83" s="188">
        <v>1524786.06</v>
      </c>
      <c r="AS83" s="188">
        <v>1544875.87</v>
      </c>
      <c r="AT83" s="188">
        <v>1742911.15</v>
      </c>
      <c r="AU83" s="188">
        <v>1739119.73</v>
      </c>
      <c r="AV83" s="188">
        <v>1486928.5</v>
      </c>
      <c r="AW83" s="188">
        <v>1413898.65</v>
      </c>
      <c r="AX83" s="188">
        <v>11146144.939999999</v>
      </c>
      <c r="AY83" s="188">
        <v>11095367.449999999</v>
      </c>
      <c r="AZ83" s="188">
        <v>11065706.359999999</v>
      </c>
      <c r="BA83" s="188">
        <v>10992945.24</v>
      </c>
      <c r="BB83" s="188">
        <v>10881447.85</v>
      </c>
      <c r="BC83" s="188">
        <v>10766342.1</v>
      </c>
      <c r="BD83" s="188">
        <v>10752929.890000001</v>
      </c>
      <c r="BE83" s="188">
        <v>10685117.289999999</v>
      </c>
      <c r="BF83" s="188">
        <v>10725669.4</v>
      </c>
      <c r="BG83" s="188">
        <v>9556429.8300000001</v>
      </c>
      <c r="BH83" s="188">
        <v>9425345.3200000003</v>
      </c>
      <c r="BI83" s="188">
        <v>9277987.6400000006</v>
      </c>
      <c r="BJ83" s="188">
        <v>9227439.8699999992</v>
      </c>
      <c r="BK83" s="188">
        <v>9040073.7599999998</v>
      </c>
      <c r="BL83" s="188">
        <v>8937959.1999999993</v>
      </c>
      <c r="BM83" s="188">
        <v>8760427.7200000007</v>
      </c>
      <c r="BN83" s="188">
        <v>13069235.74</v>
      </c>
      <c r="BO83" s="188">
        <v>10586753.380000001</v>
      </c>
      <c r="BP83" s="188">
        <v>8889610.5600000005</v>
      </c>
      <c r="BQ83" s="188">
        <v>6488152.8300000001</v>
      </c>
      <c r="BR83" s="188">
        <v>5842931.2300000004</v>
      </c>
      <c r="BS83" s="188">
        <v>0</v>
      </c>
    </row>
    <row r="84" spans="1:71">
      <c r="A84" s="188" t="s">
        <v>188</v>
      </c>
      <c r="B84" s="188">
        <v>3426711525.29</v>
      </c>
      <c r="C84" s="188">
        <v>3329451849.6999998</v>
      </c>
      <c r="D84" s="188">
        <v>3334661092.3800001</v>
      </c>
      <c r="E84" s="188">
        <v>3250316273.8699999</v>
      </c>
      <c r="F84" s="188">
        <v>3186125630.9000001</v>
      </c>
      <c r="G84" s="188">
        <v>3117844232.3000002</v>
      </c>
      <c r="H84" s="188">
        <v>3109775881</v>
      </c>
      <c r="I84" s="188">
        <v>3043601049.46</v>
      </c>
      <c r="J84" s="188">
        <v>2317870861.9499998</v>
      </c>
      <c r="K84" s="188">
        <v>2273120031.4200001</v>
      </c>
      <c r="L84" s="188">
        <v>2232695731.3400002</v>
      </c>
      <c r="M84" s="188">
        <v>2237460759.3099999</v>
      </c>
      <c r="N84" s="188">
        <v>2202624253.98</v>
      </c>
      <c r="O84" s="188">
        <v>2159537335.2199998</v>
      </c>
      <c r="P84" s="188">
        <v>2157144973.29</v>
      </c>
      <c r="Q84" s="188">
        <v>2125618618.45</v>
      </c>
      <c r="R84" s="188">
        <v>2097304878.8099999</v>
      </c>
      <c r="S84" s="188">
        <v>2056460938.1700001</v>
      </c>
      <c r="T84" s="188">
        <v>2058379800.1700001</v>
      </c>
      <c r="U84" s="188">
        <v>2029982702.03</v>
      </c>
      <c r="V84" s="188">
        <v>2008620600.6199999</v>
      </c>
      <c r="W84" s="188">
        <v>1973791487.95</v>
      </c>
      <c r="X84" s="188">
        <v>1974316064.77</v>
      </c>
      <c r="Y84" s="188">
        <v>1940346924.02</v>
      </c>
      <c r="Z84" s="188">
        <v>1918477114.8699999</v>
      </c>
      <c r="AA84" s="188">
        <v>1886147459.98</v>
      </c>
      <c r="AB84" s="188">
        <v>1876088280.9300001</v>
      </c>
      <c r="AC84" s="188">
        <v>1849746623.21</v>
      </c>
      <c r="AD84" s="188">
        <v>1831339430.6800001</v>
      </c>
      <c r="AE84" s="188">
        <v>1799745295.6900001</v>
      </c>
      <c r="AF84" s="188">
        <v>1787903463.5999999</v>
      </c>
      <c r="AG84" s="188">
        <v>1745349583.02</v>
      </c>
      <c r="AH84" s="188">
        <v>1714008181.8</v>
      </c>
      <c r="AI84" s="188">
        <v>1665486386.6400001</v>
      </c>
      <c r="AJ84" s="188">
        <v>1640226597.23</v>
      </c>
      <c r="AK84" s="188">
        <v>1593219837.21</v>
      </c>
      <c r="AL84" s="188">
        <v>1555833053.1400001</v>
      </c>
      <c r="AM84" s="188">
        <v>1519899478.52</v>
      </c>
      <c r="AN84" s="188">
        <v>1488504145.6800001</v>
      </c>
      <c r="AO84" s="188">
        <v>1454822094.0999999</v>
      </c>
      <c r="AP84" s="188">
        <v>1405584675.0999999</v>
      </c>
      <c r="AQ84" s="188">
        <v>1373095673.8900001</v>
      </c>
      <c r="AR84" s="188">
        <v>1336188571.27</v>
      </c>
      <c r="AS84" s="188">
        <v>1306727492.77</v>
      </c>
      <c r="AT84" s="188">
        <v>1283081768.6300001</v>
      </c>
      <c r="AU84" s="188">
        <v>1253469882.6900001</v>
      </c>
      <c r="AV84" s="188">
        <v>1250278007.25</v>
      </c>
      <c r="AW84" s="188">
        <v>924737532.20000005</v>
      </c>
      <c r="AX84" s="188">
        <v>911398960.63</v>
      </c>
      <c r="AY84" s="188">
        <v>885823580.24000001</v>
      </c>
      <c r="AZ84" s="188">
        <v>883233826.37</v>
      </c>
      <c r="BA84" s="188">
        <v>861573416.34000003</v>
      </c>
      <c r="BB84" s="188">
        <v>840932219.51999998</v>
      </c>
      <c r="BC84" s="188">
        <v>819510410.13</v>
      </c>
      <c r="BD84" s="188">
        <v>817007403.5</v>
      </c>
      <c r="BE84" s="188">
        <v>797185017.20000005</v>
      </c>
      <c r="BF84" s="188">
        <v>770765861.47000003</v>
      </c>
      <c r="BG84" s="188">
        <v>751208658.25</v>
      </c>
      <c r="BH84" s="188">
        <v>742674159.07000005</v>
      </c>
      <c r="BI84" s="188">
        <v>659073430.80999994</v>
      </c>
      <c r="BJ84" s="188">
        <v>702026263.73000002</v>
      </c>
      <c r="BK84" s="188">
        <v>683691473.10000002</v>
      </c>
      <c r="BL84" s="188">
        <v>662529119.53999996</v>
      </c>
      <c r="BM84" s="188">
        <v>658555870.88999999</v>
      </c>
      <c r="BN84" s="188">
        <v>638327152.89999998</v>
      </c>
      <c r="BO84" s="188">
        <v>631094619.77999997</v>
      </c>
      <c r="BP84" s="188">
        <v>224337219.06999999</v>
      </c>
      <c r="BQ84" s="188">
        <v>188325655.61000001</v>
      </c>
      <c r="BR84" s="188">
        <v>158782706.31</v>
      </c>
      <c r="BS84" s="188">
        <v>0</v>
      </c>
    </row>
    <row r="85" spans="1:71">
      <c r="A85" s="188" t="s">
        <v>189</v>
      </c>
      <c r="B85" s="188">
        <v>4451134092.0699997</v>
      </c>
      <c r="C85" s="188">
        <v>4350095701.8599997</v>
      </c>
      <c r="D85" s="188">
        <v>4217100773.79</v>
      </c>
      <c r="E85" s="188">
        <v>4180160012.79</v>
      </c>
      <c r="F85" s="188">
        <v>4111116651.8299999</v>
      </c>
      <c r="G85" s="188">
        <v>4071425544.8899999</v>
      </c>
      <c r="H85" s="188">
        <v>4002066355.4499998</v>
      </c>
      <c r="I85" s="188">
        <v>3904225444.1100001</v>
      </c>
      <c r="J85" s="188">
        <v>3173738618.1300001</v>
      </c>
      <c r="K85" s="188">
        <v>3189372566.6500001</v>
      </c>
      <c r="L85" s="188">
        <v>3142388784.3000002</v>
      </c>
      <c r="M85" s="188">
        <v>2973070867.3000002</v>
      </c>
      <c r="N85" s="188">
        <v>2940359531.4899998</v>
      </c>
      <c r="O85" s="188">
        <v>2909190467.4899998</v>
      </c>
      <c r="P85" s="188">
        <v>2895220083.8600001</v>
      </c>
      <c r="Q85" s="188">
        <v>2818180079.3000002</v>
      </c>
      <c r="R85" s="188">
        <v>2844153564.9299998</v>
      </c>
      <c r="S85" s="188">
        <v>2772394871.9000001</v>
      </c>
      <c r="T85" s="188">
        <v>2708502230.3200002</v>
      </c>
      <c r="U85" s="188">
        <v>2705463004.1300001</v>
      </c>
      <c r="V85" s="188">
        <v>2673506913.27</v>
      </c>
      <c r="W85" s="188">
        <v>2665877520.1700001</v>
      </c>
      <c r="X85" s="188">
        <v>2620962526.0900002</v>
      </c>
      <c r="Y85" s="188">
        <v>2612144674.0500002</v>
      </c>
      <c r="Z85" s="188">
        <v>2589474917.9200001</v>
      </c>
      <c r="AA85" s="188">
        <v>2526911006.6700001</v>
      </c>
      <c r="AB85" s="188">
        <v>2444415693.7800002</v>
      </c>
      <c r="AC85" s="188">
        <v>2494549671.6399999</v>
      </c>
      <c r="AD85" s="188">
        <v>2485882047.4499998</v>
      </c>
      <c r="AE85" s="188">
        <v>2376821265.4099998</v>
      </c>
      <c r="AF85" s="188">
        <v>2562586662.1399999</v>
      </c>
      <c r="AG85" s="188">
        <v>2523689847.8800001</v>
      </c>
      <c r="AH85" s="188">
        <v>2472668106.6199999</v>
      </c>
      <c r="AI85" s="188">
        <v>2465007113.9099998</v>
      </c>
      <c r="AJ85" s="188">
        <v>2310358357.5100002</v>
      </c>
      <c r="AK85" s="188">
        <v>2216731123.5999999</v>
      </c>
      <c r="AL85" s="188">
        <v>2164282138.8200002</v>
      </c>
      <c r="AM85" s="188">
        <v>2093897235.75</v>
      </c>
      <c r="AN85" s="188">
        <v>2073910909.8900001</v>
      </c>
      <c r="AO85" s="188">
        <v>1989339024.27</v>
      </c>
      <c r="AP85" s="188">
        <v>2014791119.5599999</v>
      </c>
      <c r="AQ85" s="188">
        <v>1966845078.0599999</v>
      </c>
      <c r="AR85" s="188">
        <v>1868676389.3399999</v>
      </c>
      <c r="AS85" s="188">
        <v>1871385404.73</v>
      </c>
      <c r="AT85" s="188">
        <v>1913898245.98</v>
      </c>
      <c r="AU85" s="188">
        <v>1876614594.1900001</v>
      </c>
      <c r="AV85" s="188">
        <v>1857643865.5999999</v>
      </c>
      <c r="AW85" s="188">
        <v>1630602467.5699999</v>
      </c>
      <c r="AX85" s="188">
        <v>1554661979.8199999</v>
      </c>
      <c r="AY85" s="188">
        <v>1512411495.21</v>
      </c>
      <c r="AZ85" s="188">
        <v>1462714164.1300001</v>
      </c>
      <c r="BA85" s="188">
        <v>1425842940.0999999</v>
      </c>
      <c r="BB85" s="188">
        <v>1315221028.75</v>
      </c>
      <c r="BC85" s="188">
        <v>1257225994.98</v>
      </c>
      <c r="BD85" s="188">
        <v>1237465386.3299999</v>
      </c>
      <c r="BE85" s="188">
        <v>1232035467.1199999</v>
      </c>
      <c r="BF85" s="188">
        <v>1228834845.8199999</v>
      </c>
      <c r="BG85" s="188">
        <v>1169500508.99</v>
      </c>
      <c r="BH85" s="188">
        <v>1088252770.5599999</v>
      </c>
      <c r="BI85" s="188">
        <v>1036029176.02</v>
      </c>
      <c r="BJ85" s="188">
        <v>998262219.94000006</v>
      </c>
      <c r="BK85" s="188">
        <v>948836895.09000003</v>
      </c>
      <c r="BL85" s="188">
        <v>944607918.90999997</v>
      </c>
      <c r="BM85" s="188">
        <v>943593775.86000001</v>
      </c>
      <c r="BN85" s="188">
        <v>908323514.11000001</v>
      </c>
      <c r="BO85" s="188">
        <v>906219489.73000002</v>
      </c>
      <c r="BP85" s="188">
        <v>467235781.94999999</v>
      </c>
      <c r="BQ85" s="188">
        <v>394610019.24000001</v>
      </c>
      <c r="BR85" s="188">
        <v>353448934.10000002</v>
      </c>
      <c r="BS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BT31"/>
  <sheetViews>
    <sheetView workbookViewId="0">
      <selection activeCell="E22" sqref="E22"/>
    </sheetView>
  </sheetViews>
  <sheetFormatPr defaultRowHeight="13.5"/>
  <cols>
    <col min="1" max="1" width="37" style="188" bestFit="1" customWidth="1"/>
    <col min="2" max="2" width="13.875" style="188" hidden="1" customWidth="1"/>
    <col min="3" max="4" width="12.75" style="188" hidden="1" customWidth="1"/>
    <col min="5" max="5" width="19.375" style="188" bestFit="1" customWidth="1"/>
    <col min="6" max="8" width="12.75" style="188" hidden="1" customWidth="1"/>
    <col min="9" max="9" width="19.375" style="188" bestFit="1" customWidth="1"/>
    <col min="10" max="12" width="12.75" style="188" hidden="1" customWidth="1"/>
    <col min="13" max="13" width="19.375" style="188" bestFit="1" customWidth="1"/>
    <col min="14" max="16" width="12.75" style="188" hidden="1" customWidth="1"/>
    <col min="17" max="17" width="19.375" style="188" bestFit="1" customWidth="1"/>
    <col min="18" max="20" width="12.75" style="188" hidden="1" customWidth="1"/>
    <col min="21" max="21" width="19.375" style="188" bestFit="1" customWidth="1"/>
    <col min="22" max="24" width="12.75" style="188" hidden="1" customWidth="1"/>
    <col min="25" max="25" width="19.375" style="188" bestFit="1" customWidth="1"/>
    <col min="26" max="28" width="12.75" style="188" hidden="1" customWidth="1"/>
    <col min="29" max="29" width="19.375" style="188" bestFit="1" customWidth="1"/>
    <col min="30" max="32" width="12.75" style="188" hidden="1" customWidth="1"/>
    <col min="33" max="33" width="19.375" style="188" bestFit="1" customWidth="1"/>
    <col min="34" max="36" width="12.75" style="188" hidden="1" customWidth="1"/>
    <col min="37" max="37" width="19.375" style="188" bestFit="1" customWidth="1"/>
    <col min="38" max="40" width="12.75" style="188" hidden="1" customWidth="1"/>
    <col min="41" max="41" width="19.375" style="188" bestFit="1" customWidth="1"/>
    <col min="42" max="44" width="12.75" style="188" hidden="1" customWidth="1"/>
    <col min="45" max="45" width="19.375" style="188" bestFit="1" customWidth="1"/>
    <col min="46" max="48" width="12.75" style="188" hidden="1" customWidth="1"/>
    <col min="49" max="49" width="17.25" style="188" bestFit="1" customWidth="1"/>
    <col min="50" max="52" width="12.75" style="188" hidden="1" customWidth="1"/>
    <col min="53" max="53" width="17.25" style="188" bestFit="1" customWidth="1"/>
    <col min="54" max="56" width="12.75" style="188" hidden="1" customWidth="1"/>
    <col min="57" max="57" width="17.25" style="188" bestFit="1" customWidth="1"/>
    <col min="58" max="60" width="12.75" style="188" hidden="1" customWidth="1"/>
    <col min="61" max="61" width="17.25" style="188" bestFit="1" customWidth="1"/>
    <col min="62" max="64" width="12.75" style="188" hidden="1" customWidth="1"/>
    <col min="65" max="65" width="17.25" style="188" bestFit="1" customWidth="1"/>
    <col min="66" max="67" width="12.75" style="188" hidden="1" customWidth="1"/>
    <col min="68" max="68" width="17.25" style="188" bestFit="1" customWidth="1"/>
    <col min="69" max="69" width="12.75" style="188" hidden="1" customWidth="1"/>
    <col min="70" max="71" width="17.25" style="188" bestFit="1" customWidth="1"/>
    <col min="72" max="72" width="9.5" style="188" hidden="1" customWidth="1"/>
    <col min="73" max="16384" width="9" style="188"/>
  </cols>
  <sheetData>
    <row r="1" spans="1:72">
      <c r="A1" s="188">
        <v>600529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20011231</v>
      </c>
      <c r="BQ1" s="188">
        <v>20010630</v>
      </c>
      <c r="BR1" s="188">
        <v>20001231</v>
      </c>
      <c r="BS1" s="188">
        <v>19991231</v>
      </c>
      <c r="BT1" s="188">
        <v>19700101</v>
      </c>
    </row>
    <row r="2" spans="1:72">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row>
    <row r="3" spans="1:72" s="191" customFormat="1" ht="12" customHeight="1">
      <c r="A3" s="191" t="s">
        <v>190</v>
      </c>
      <c r="B3" s="191">
        <v>1920682063.4400001</v>
      </c>
      <c r="C3" s="191">
        <v>1300106472.46</v>
      </c>
      <c r="D3" s="191">
        <v>644403416.61000001</v>
      </c>
      <c r="E3" s="191">
        <v>2330488351.6700001</v>
      </c>
      <c r="F3" s="191">
        <v>1704720603.5799999</v>
      </c>
      <c r="G3" s="191">
        <v>1150037339.97</v>
      </c>
      <c r="H3" s="191">
        <v>574570999.27999997</v>
      </c>
      <c r="I3" s="191">
        <v>2057473059.6500001</v>
      </c>
      <c r="J3" s="191">
        <v>1447732454.8499999</v>
      </c>
      <c r="K3" s="191">
        <v>971033253.88</v>
      </c>
      <c r="L3" s="191">
        <v>450581543.13999999</v>
      </c>
      <c r="M3" s="191">
        <v>1723207165.99</v>
      </c>
      <c r="N3" s="191">
        <v>1310745450.45</v>
      </c>
      <c r="O3" s="191">
        <v>892965130.71000004</v>
      </c>
      <c r="P3" s="191">
        <v>415868291.43000001</v>
      </c>
      <c r="Q3" s="191">
        <v>1691112456.28</v>
      </c>
      <c r="R3" s="191">
        <v>1230791444.55</v>
      </c>
      <c r="S3" s="191">
        <v>813544477.90999997</v>
      </c>
      <c r="T3" s="191">
        <v>390024307.39999998</v>
      </c>
      <c r="U3" s="191">
        <v>1544544952.0599999</v>
      </c>
      <c r="V3" s="191">
        <v>1122396553.02</v>
      </c>
      <c r="W3" s="191">
        <v>758927999.57000005</v>
      </c>
      <c r="X3" s="191">
        <v>357205871.04000002</v>
      </c>
      <c r="Y3" s="191">
        <v>1468092831.3699999</v>
      </c>
      <c r="Z3" s="191">
        <v>1071348975.9400001</v>
      </c>
      <c r="AA3" s="191">
        <v>712807830.32000005</v>
      </c>
      <c r="AB3" s="191">
        <v>327266570.35000002</v>
      </c>
      <c r="AC3" s="191">
        <v>1397177995.0899999</v>
      </c>
      <c r="AD3" s="191">
        <v>1078566017.5699999</v>
      </c>
      <c r="AE3" s="191">
        <v>740726211.59000003</v>
      </c>
      <c r="AF3" s="191">
        <v>374073213.12</v>
      </c>
      <c r="AG3" s="191">
        <v>1513418307.2</v>
      </c>
      <c r="AH3" s="191">
        <v>1059696048.1799999</v>
      </c>
      <c r="AI3" s="191">
        <v>704411712.97000003</v>
      </c>
      <c r="AJ3" s="191">
        <v>336232983.76999998</v>
      </c>
      <c r="AK3" s="191">
        <v>1242158522.8800001</v>
      </c>
      <c r="AL3" s="191">
        <v>858937268.99000001</v>
      </c>
      <c r="AM3" s="191">
        <v>562273598.74000001</v>
      </c>
      <c r="AN3" s="191">
        <v>266084878.52000001</v>
      </c>
      <c r="AO3" s="191">
        <v>1158292067.4300001</v>
      </c>
      <c r="AP3" s="191">
        <v>895209049.78999996</v>
      </c>
      <c r="AQ3" s="191">
        <v>566191025.21000004</v>
      </c>
      <c r="AR3" s="191">
        <v>252070387.78999999</v>
      </c>
      <c r="AS3" s="191">
        <v>1012129757.92</v>
      </c>
      <c r="AT3" s="191">
        <v>746141351.75999999</v>
      </c>
      <c r="AU3" s="191">
        <v>484537373.37</v>
      </c>
      <c r="AV3" s="191">
        <v>223429170.63999999</v>
      </c>
      <c r="AW3" s="191">
        <v>829278399.13999999</v>
      </c>
      <c r="AX3" s="191">
        <v>604368257.61000001</v>
      </c>
      <c r="AY3" s="191">
        <v>397989474.13</v>
      </c>
      <c r="AZ3" s="191">
        <v>206202253.63</v>
      </c>
      <c r="BA3" s="191">
        <v>673678119.20000005</v>
      </c>
      <c r="BB3" s="191">
        <v>488274338.36000001</v>
      </c>
      <c r="BC3" s="191">
        <v>325152418.97000003</v>
      </c>
      <c r="BD3" s="191">
        <v>152075196.27000001</v>
      </c>
      <c r="BE3" s="191">
        <v>563859826.89999998</v>
      </c>
      <c r="BF3" s="191">
        <v>404272508.00999999</v>
      </c>
      <c r="BG3" s="191">
        <v>270230089.94999999</v>
      </c>
      <c r="BH3" s="191">
        <v>133814273.94</v>
      </c>
      <c r="BI3" s="191">
        <v>469375396.10000002</v>
      </c>
      <c r="BJ3" s="191">
        <v>349471578.36000001</v>
      </c>
      <c r="BK3" s="191">
        <v>236802495.53999999</v>
      </c>
      <c r="BL3" s="191">
        <v>90877867.269999996</v>
      </c>
      <c r="BM3" s="191">
        <v>421461542.02999997</v>
      </c>
      <c r="BN3" s="191">
        <v>292640988.19</v>
      </c>
      <c r="BO3" s="191">
        <v>188234370.24000001</v>
      </c>
      <c r="BP3" s="191">
        <v>350145366.77999997</v>
      </c>
      <c r="BQ3" s="191">
        <v>162231430.43000001</v>
      </c>
      <c r="BR3" s="191">
        <v>293473920.06</v>
      </c>
      <c r="BS3" s="191">
        <v>231107107.62</v>
      </c>
      <c r="BT3" s="191">
        <v>0</v>
      </c>
    </row>
    <row r="4" spans="1:72" s="191" customFormat="1">
      <c r="A4" s="191" t="s">
        <v>191</v>
      </c>
      <c r="B4" s="191">
        <v>1920682063.4400001</v>
      </c>
      <c r="C4" s="191">
        <v>1300106472.46</v>
      </c>
      <c r="D4" s="191">
        <v>644403416.61000001</v>
      </c>
      <c r="E4" s="191">
        <v>2330488351.6700001</v>
      </c>
      <c r="F4" s="191">
        <v>1704720603.5799999</v>
      </c>
      <c r="G4" s="191">
        <v>1150037339.97</v>
      </c>
      <c r="H4" s="191">
        <v>574570999.27999997</v>
      </c>
      <c r="I4" s="191">
        <v>2057473059.6500001</v>
      </c>
      <c r="J4" s="191">
        <v>1447732454.8499999</v>
      </c>
      <c r="K4" s="191">
        <v>971033253.88</v>
      </c>
      <c r="L4" s="191">
        <v>450581543.13999999</v>
      </c>
      <c r="M4" s="191">
        <v>1723207165.99</v>
      </c>
      <c r="N4" s="191">
        <v>1310745450.45</v>
      </c>
      <c r="O4" s="191">
        <v>892965130.71000004</v>
      </c>
      <c r="P4" s="191">
        <v>415868291.43000001</v>
      </c>
      <c r="Q4" s="191">
        <v>1691112456.28</v>
      </c>
      <c r="R4" s="191">
        <v>1230791444.55</v>
      </c>
      <c r="S4" s="191">
        <v>813544477.90999997</v>
      </c>
      <c r="T4" s="191">
        <v>390024307.39999998</v>
      </c>
      <c r="U4" s="191">
        <v>1544544952.0599999</v>
      </c>
      <c r="V4" s="191">
        <v>1122396553.02</v>
      </c>
      <c r="W4" s="191">
        <v>758927999.57000005</v>
      </c>
      <c r="X4" s="191">
        <v>357205871.04000002</v>
      </c>
      <c r="Y4" s="191">
        <v>1468092831.3699999</v>
      </c>
      <c r="Z4" s="191">
        <v>1071348975.9400001</v>
      </c>
      <c r="AA4" s="191">
        <v>712807830.32000005</v>
      </c>
      <c r="AB4" s="191">
        <v>327266570.35000002</v>
      </c>
      <c r="AC4" s="191">
        <v>1397177995.0899999</v>
      </c>
      <c r="AD4" s="191">
        <v>1078566017.5699999</v>
      </c>
      <c r="AE4" s="191">
        <v>740726211.59000003</v>
      </c>
      <c r="AF4" s="191">
        <v>374073213.12</v>
      </c>
      <c r="AG4" s="191">
        <v>1513418307.2</v>
      </c>
      <c r="AH4" s="191">
        <v>1059696048.1799999</v>
      </c>
      <c r="AI4" s="191">
        <v>704411712.97000003</v>
      </c>
      <c r="AJ4" s="191">
        <v>336232983.76999998</v>
      </c>
      <c r="AK4" s="191">
        <v>1242158522.8800001</v>
      </c>
      <c r="AL4" s="191">
        <v>858937268.99000001</v>
      </c>
      <c r="AM4" s="191">
        <v>562273598.74000001</v>
      </c>
      <c r="AN4" s="191">
        <v>266084878.52000001</v>
      </c>
      <c r="AO4" s="191">
        <v>1158292067.4300001</v>
      </c>
      <c r="AP4" s="191">
        <v>895209049.78999996</v>
      </c>
      <c r="AQ4" s="191">
        <v>566191025.21000004</v>
      </c>
      <c r="AR4" s="191">
        <v>252070387.78999999</v>
      </c>
      <c r="AS4" s="191">
        <v>1012129757.92</v>
      </c>
      <c r="AT4" s="191">
        <v>746141351.75999999</v>
      </c>
      <c r="AU4" s="191">
        <v>484537373.37</v>
      </c>
      <c r="AV4" s="191">
        <v>223429170.63999999</v>
      </c>
      <c r="AW4" s="191">
        <v>826714232.19000006</v>
      </c>
      <c r="AX4" s="191">
        <v>604132127.04999995</v>
      </c>
      <c r="AY4" s="191">
        <v>397478607.14999998</v>
      </c>
      <c r="AZ4" s="191">
        <v>206387131.80000001</v>
      </c>
      <c r="BA4" s="191">
        <v>672138979.24000001</v>
      </c>
      <c r="BB4" s="191">
        <v>487785389.63999999</v>
      </c>
      <c r="BC4" s="191">
        <v>325059703.41000003</v>
      </c>
      <c r="BD4" s="191">
        <v>152709264.69999999</v>
      </c>
      <c r="BE4" s="191">
        <v>560177649.26999998</v>
      </c>
      <c r="BF4" s="191">
        <v>400883377.24000001</v>
      </c>
      <c r="BG4" s="191">
        <v>266980572.90000001</v>
      </c>
      <c r="BH4" s="191">
        <v>133017428.58</v>
      </c>
      <c r="BI4" s="191">
        <v>467989529.66000003</v>
      </c>
      <c r="BJ4" s="191">
        <v>349199614.76999998</v>
      </c>
      <c r="BK4" s="191">
        <v>236419705.41999999</v>
      </c>
      <c r="BL4" s="191">
        <v>91150481.840000004</v>
      </c>
      <c r="BM4" s="191">
        <v>422318260.42000002</v>
      </c>
      <c r="BN4" s="191">
        <v>293379263.36000001</v>
      </c>
      <c r="BO4" s="191">
        <v>187830345.75999999</v>
      </c>
      <c r="BP4" s="191">
        <v>350108854.74000001</v>
      </c>
      <c r="BQ4" s="191">
        <v>160917980.02000001</v>
      </c>
      <c r="BR4" s="191">
        <v>293114742.19</v>
      </c>
      <c r="BS4" s="191">
        <v>231107107.62</v>
      </c>
      <c r="BT4" s="191">
        <v>0</v>
      </c>
    </row>
    <row r="5" spans="1:72" s="191" customFormat="1">
      <c r="A5" s="191" t="s">
        <v>192</v>
      </c>
      <c r="B5" s="191">
        <v>1613991036.3299999</v>
      </c>
      <c r="C5" s="191">
        <v>1101791375.1300001</v>
      </c>
      <c r="D5" s="191">
        <v>553788672.53999996</v>
      </c>
      <c r="E5" s="191">
        <v>2040388123.21</v>
      </c>
      <c r="F5" s="191">
        <v>1478317558.4300001</v>
      </c>
      <c r="G5" s="191">
        <v>998184547.70000005</v>
      </c>
      <c r="H5" s="191">
        <v>498936362.94999999</v>
      </c>
      <c r="I5" s="191">
        <v>1804688473.3800001</v>
      </c>
      <c r="J5" s="191">
        <v>1250285417.5999999</v>
      </c>
      <c r="K5" s="191">
        <v>839841542.87</v>
      </c>
      <c r="L5" s="191">
        <v>396669827.51999998</v>
      </c>
      <c r="M5" s="191">
        <v>1528175666.3099999</v>
      </c>
      <c r="N5" s="191">
        <v>1158634470.77</v>
      </c>
      <c r="O5" s="191">
        <v>797608666.46000004</v>
      </c>
      <c r="P5" s="191">
        <v>373300540.64999998</v>
      </c>
      <c r="Q5" s="191">
        <v>1520178014.9200001</v>
      </c>
      <c r="R5" s="191">
        <v>1100394066.49</v>
      </c>
      <c r="S5" s="191">
        <v>723348899.13999999</v>
      </c>
      <c r="T5" s="191">
        <v>349820478.22000003</v>
      </c>
      <c r="U5" s="191">
        <v>1383481756.77</v>
      </c>
      <c r="V5" s="191">
        <v>992340890.63</v>
      </c>
      <c r="W5" s="191">
        <v>673178861.48000002</v>
      </c>
      <c r="X5" s="191">
        <v>316231370.00999999</v>
      </c>
      <c r="Y5" s="191">
        <v>1314543208.8199999</v>
      </c>
      <c r="Z5" s="191">
        <v>943932415.12</v>
      </c>
      <c r="AA5" s="191">
        <v>630055889.42999995</v>
      </c>
      <c r="AB5" s="191">
        <v>290896271.13999999</v>
      </c>
      <c r="AC5" s="191">
        <v>1256304140.7</v>
      </c>
      <c r="AD5" s="191">
        <v>939383692.90999997</v>
      </c>
      <c r="AE5" s="191">
        <v>645933395.83000004</v>
      </c>
      <c r="AF5" s="191">
        <v>323775641.29000002</v>
      </c>
      <c r="AG5" s="191">
        <v>1312174030.72</v>
      </c>
      <c r="AH5" s="191">
        <v>890643012.34000003</v>
      </c>
      <c r="AI5" s="191">
        <v>592583963.57000005</v>
      </c>
      <c r="AJ5" s="191">
        <v>282943248.80000001</v>
      </c>
      <c r="AK5" s="191">
        <v>1070532414.61</v>
      </c>
      <c r="AL5" s="191">
        <v>728952592.35000002</v>
      </c>
      <c r="AM5" s="191">
        <v>478348401.72000003</v>
      </c>
      <c r="AN5" s="191">
        <v>223993988.66</v>
      </c>
      <c r="AO5" s="191">
        <v>1017005681.1900001</v>
      </c>
      <c r="AP5" s="191">
        <v>770264807.25999999</v>
      </c>
      <c r="AQ5" s="191">
        <v>483555267.22000003</v>
      </c>
      <c r="AR5" s="191">
        <v>212856213.69999999</v>
      </c>
      <c r="AS5" s="191">
        <v>862896512.88999999</v>
      </c>
      <c r="AT5" s="191">
        <v>515912786.25</v>
      </c>
      <c r="AU5" s="191">
        <v>410399479.48000002</v>
      </c>
      <c r="AV5" s="191">
        <v>189762439.5</v>
      </c>
      <c r="AW5" s="191">
        <v>691719965.05999994</v>
      </c>
      <c r="AX5" s="191">
        <v>501197758.07999998</v>
      </c>
      <c r="AY5" s="191">
        <v>330542872.19999999</v>
      </c>
      <c r="AZ5" s="191">
        <v>174059308.69999999</v>
      </c>
      <c r="BA5" s="191">
        <v>552215478.82000005</v>
      </c>
      <c r="BB5" s="191">
        <v>397935033.01999998</v>
      </c>
      <c r="BC5" s="191">
        <v>264061988.37</v>
      </c>
      <c r="BD5" s="191">
        <v>122586793.92</v>
      </c>
      <c r="BE5" s="191">
        <v>449094274.57999998</v>
      </c>
      <c r="BF5" s="191">
        <v>321998423.77999997</v>
      </c>
      <c r="BG5" s="191">
        <v>214293391.74000001</v>
      </c>
      <c r="BH5" s="191">
        <v>108270536.73</v>
      </c>
      <c r="BI5" s="191">
        <v>364619784.61000001</v>
      </c>
      <c r="BJ5" s="191">
        <v>273551735.14999998</v>
      </c>
      <c r="BK5" s="191">
        <v>187731092.99000001</v>
      </c>
      <c r="BL5" s="191">
        <v>72391773.780000001</v>
      </c>
      <c r="BM5" s="191">
        <v>338809188.52999997</v>
      </c>
      <c r="BN5" s="191">
        <v>234703100.50999999</v>
      </c>
      <c r="BO5" s="191">
        <v>148839351.31</v>
      </c>
      <c r="BP5" s="191">
        <v>289009227.91000003</v>
      </c>
      <c r="BQ5" s="191">
        <v>131497165.02</v>
      </c>
      <c r="BR5" s="191">
        <v>248056067.28</v>
      </c>
      <c r="BS5" s="191">
        <v>188820176.59</v>
      </c>
      <c r="BT5" s="191">
        <v>0</v>
      </c>
    </row>
    <row r="6" spans="1:72" s="191" customFormat="1">
      <c r="A6" s="191" t="s">
        <v>193</v>
      </c>
      <c r="B6" s="191">
        <v>1243408197.8699999</v>
      </c>
      <c r="C6" s="191">
        <v>854568934.95000005</v>
      </c>
      <c r="D6" s="191">
        <v>440081312.91000003</v>
      </c>
      <c r="E6" s="191">
        <v>1579599031.7</v>
      </c>
      <c r="F6" s="191">
        <v>1153215749.49</v>
      </c>
      <c r="G6" s="191">
        <v>796388753.14999998</v>
      </c>
      <c r="H6" s="191">
        <v>411318554.22000003</v>
      </c>
      <c r="I6" s="191">
        <v>1382503304.6800001</v>
      </c>
      <c r="J6" s="191">
        <v>970886286.33000004</v>
      </c>
      <c r="K6" s="191">
        <v>649258615.39999998</v>
      </c>
      <c r="L6" s="191">
        <v>307907841.31999999</v>
      </c>
      <c r="M6" s="191">
        <v>1183736156.6700001</v>
      </c>
      <c r="N6" s="191">
        <v>908369418.73000002</v>
      </c>
      <c r="O6" s="191">
        <v>624520521.64999998</v>
      </c>
      <c r="P6" s="191">
        <v>292314282.32999998</v>
      </c>
      <c r="Q6" s="191">
        <v>1243464862.0899999</v>
      </c>
      <c r="R6" s="191">
        <v>902356240.62</v>
      </c>
      <c r="S6" s="191">
        <v>593503600.02999997</v>
      </c>
      <c r="T6" s="191">
        <v>291515172.32999998</v>
      </c>
      <c r="U6" s="191">
        <v>1104935553.8800001</v>
      </c>
      <c r="V6" s="191">
        <v>808786141.90999997</v>
      </c>
      <c r="W6" s="191">
        <v>545516762.55999994</v>
      </c>
      <c r="X6" s="191">
        <v>258279524.25999999</v>
      </c>
      <c r="Y6" s="191">
        <v>1060594067.3099999</v>
      </c>
      <c r="Z6" s="191">
        <v>777805780.02999997</v>
      </c>
      <c r="AA6" s="191">
        <v>519428180.99000001</v>
      </c>
      <c r="AB6" s="191">
        <v>242687344.61000001</v>
      </c>
      <c r="AC6" s="191">
        <v>1013706164.67</v>
      </c>
      <c r="AD6" s="191">
        <v>790385986.66999996</v>
      </c>
      <c r="AE6" s="191">
        <v>538361908.03999996</v>
      </c>
      <c r="AF6" s="191">
        <v>273131191.94</v>
      </c>
      <c r="AG6" s="191">
        <v>1055308223.25</v>
      </c>
      <c r="AH6" s="191">
        <v>715710989.24000001</v>
      </c>
      <c r="AI6" s="191">
        <v>478525587.07999998</v>
      </c>
      <c r="AJ6" s="191">
        <v>231108203.18000001</v>
      </c>
      <c r="AK6" s="191">
        <v>853986940.02999997</v>
      </c>
      <c r="AL6" s="191">
        <v>582879138.94000006</v>
      </c>
      <c r="AM6" s="191">
        <v>386402196.72000003</v>
      </c>
      <c r="AN6" s="191">
        <v>187493809.56999999</v>
      </c>
      <c r="AO6" s="191">
        <v>826362337.98000002</v>
      </c>
      <c r="AP6" s="191">
        <v>634021966.73000002</v>
      </c>
      <c r="AQ6" s="191">
        <v>397642299.64999998</v>
      </c>
      <c r="AR6" s="191">
        <v>178944728.38</v>
      </c>
      <c r="AS6" s="191">
        <v>711281672.12</v>
      </c>
      <c r="AT6" s="191">
        <v>0</v>
      </c>
      <c r="AU6" s="191">
        <v>334221833.19999999</v>
      </c>
      <c r="AV6" s="191">
        <v>155088250.44</v>
      </c>
      <c r="AW6" s="191">
        <v>549849844.25</v>
      </c>
      <c r="AX6" s="191">
        <v>399752333.11000001</v>
      </c>
      <c r="AY6" s="191">
        <v>264472201.12</v>
      </c>
      <c r="AZ6" s="191">
        <v>139406531.86000001</v>
      </c>
      <c r="BA6" s="191">
        <v>438848747.44</v>
      </c>
      <c r="BB6" s="191">
        <v>316063792.14999998</v>
      </c>
      <c r="BC6" s="191">
        <v>210801945.63</v>
      </c>
      <c r="BD6" s="191">
        <v>99686734.280000001</v>
      </c>
      <c r="BE6" s="191">
        <v>348115005.56</v>
      </c>
      <c r="BF6" s="191">
        <v>248121787.66999999</v>
      </c>
      <c r="BG6" s="191">
        <v>163159453.94999999</v>
      </c>
      <c r="BH6" s="191">
        <v>82341285.030000001</v>
      </c>
      <c r="BI6" s="191">
        <v>286673483.69999999</v>
      </c>
      <c r="BJ6" s="191">
        <v>217006307.15000001</v>
      </c>
      <c r="BK6" s="191">
        <v>146837244.50999999</v>
      </c>
      <c r="BL6" s="191">
        <v>53834394.850000001</v>
      </c>
      <c r="BM6" s="191">
        <v>265049811.56</v>
      </c>
      <c r="BN6" s="191">
        <v>184150130.88</v>
      </c>
      <c r="BO6" s="191">
        <v>117979340.59</v>
      </c>
      <c r="BP6" s="191">
        <v>220947506.97999999</v>
      </c>
      <c r="BQ6" s="191">
        <v>99360610.209999993</v>
      </c>
      <c r="BR6" s="191">
        <v>192752420.78999999</v>
      </c>
      <c r="BS6" s="191">
        <v>144715708.33000001</v>
      </c>
      <c r="BT6" s="191">
        <v>0</v>
      </c>
    </row>
    <row r="7" spans="1:72" s="191" customFormat="1">
      <c r="A7" s="191" t="s">
        <v>194</v>
      </c>
      <c r="B7" s="191">
        <v>30094425.390000001</v>
      </c>
      <c r="C7" s="191">
        <v>21041697.530000001</v>
      </c>
      <c r="D7" s="191">
        <v>10181924.699999999</v>
      </c>
      <c r="E7" s="191">
        <v>32609223.289999999</v>
      </c>
      <c r="F7" s="191">
        <v>23958370.800000001</v>
      </c>
      <c r="G7" s="191">
        <v>16453610.789999999</v>
      </c>
      <c r="H7" s="191">
        <v>8827932.0099999998</v>
      </c>
      <c r="I7" s="191">
        <v>26306781.690000001</v>
      </c>
      <c r="J7" s="191">
        <v>11254195.640000001</v>
      </c>
      <c r="K7" s="191">
        <v>8091865.9900000002</v>
      </c>
      <c r="L7" s="191">
        <v>3842736.13</v>
      </c>
      <c r="M7" s="191">
        <v>14127458.35</v>
      </c>
      <c r="N7" s="191">
        <v>10982454.4</v>
      </c>
      <c r="O7" s="191">
        <v>7736321.0700000003</v>
      </c>
      <c r="P7" s="191">
        <v>3855290.08</v>
      </c>
      <c r="Q7" s="191">
        <v>13678444.02</v>
      </c>
      <c r="R7" s="191">
        <v>9834744</v>
      </c>
      <c r="S7" s="191">
        <v>6293788.2800000003</v>
      </c>
      <c r="T7" s="191">
        <v>2925789.53</v>
      </c>
      <c r="U7" s="191">
        <v>12011351.15</v>
      </c>
      <c r="V7" s="191">
        <v>9009604.8100000005</v>
      </c>
      <c r="W7" s="191">
        <v>6465348.3600000003</v>
      </c>
      <c r="X7" s="191">
        <v>2635022.39</v>
      </c>
      <c r="Y7" s="191">
        <v>9590386.3900000006</v>
      </c>
      <c r="Z7" s="191">
        <v>6347982.5099999998</v>
      </c>
      <c r="AA7" s="191">
        <v>4029760.16</v>
      </c>
      <c r="AB7" s="191">
        <v>1529153.15</v>
      </c>
      <c r="AC7" s="191">
        <v>7181078.29</v>
      </c>
      <c r="AD7" s="191">
        <v>6657156.9199999999</v>
      </c>
      <c r="AE7" s="191">
        <v>5118884.42</v>
      </c>
      <c r="AF7" s="191">
        <v>2569824.13</v>
      </c>
      <c r="AG7" s="191">
        <v>14515701.470000001</v>
      </c>
      <c r="AH7" s="191">
        <v>8177518.0199999996</v>
      </c>
      <c r="AI7" s="191">
        <v>5182403.62</v>
      </c>
      <c r="AJ7" s="191">
        <v>1873141.16</v>
      </c>
      <c r="AK7" s="191">
        <v>11808952.529999999</v>
      </c>
      <c r="AL7" s="191">
        <v>7236297.5999999996</v>
      </c>
      <c r="AM7" s="191">
        <v>4689256.97</v>
      </c>
      <c r="AN7" s="191">
        <v>1804981.4</v>
      </c>
      <c r="AO7" s="191">
        <v>8934334.1699999999</v>
      </c>
      <c r="AP7" s="191">
        <v>7119661.3700000001</v>
      </c>
      <c r="AQ7" s="191">
        <v>4526248.92</v>
      </c>
      <c r="AR7" s="191">
        <v>1977399.43</v>
      </c>
      <c r="AS7" s="191">
        <v>9883236.0399999991</v>
      </c>
      <c r="AT7" s="191">
        <v>7156603.3700000001</v>
      </c>
      <c r="AU7" s="191">
        <v>4775319.4800000004</v>
      </c>
      <c r="AV7" s="191">
        <v>1415613.3</v>
      </c>
      <c r="AW7" s="191">
        <v>7000235.2800000003</v>
      </c>
      <c r="AX7" s="191">
        <v>4508247.88</v>
      </c>
      <c r="AY7" s="191">
        <v>2600189.25</v>
      </c>
      <c r="AZ7" s="191">
        <v>1423981.97</v>
      </c>
      <c r="BA7" s="191">
        <v>5174727.4400000004</v>
      </c>
      <c r="BB7" s="191">
        <v>3457734.19</v>
      </c>
      <c r="BC7" s="191">
        <v>2110781.17</v>
      </c>
      <c r="BD7" s="191">
        <v>1245538.25</v>
      </c>
      <c r="BE7" s="191">
        <v>4323490.9000000004</v>
      </c>
      <c r="BF7" s="191">
        <v>2917693.14</v>
      </c>
      <c r="BG7" s="191">
        <v>2086460.14</v>
      </c>
      <c r="BH7" s="191">
        <v>1097748.3899999999</v>
      </c>
      <c r="BI7" s="191">
        <v>3741638.11</v>
      </c>
      <c r="BJ7" s="191">
        <v>2814428.05</v>
      </c>
      <c r="BK7" s="191">
        <v>1940266.44</v>
      </c>
      <c r="BL7" s="191">
        <v>619804.93999999994</v>
      </c>
      <c r="BM7" s="191">
        <v>2854778.81</v>
      </c>
      <c r="BN7" s="191">
        <v>2057152.93</v>
      </c>
      <c r="BO7" s="191">
        <v>1275812.6000000001</v>
      </c>
      <c r="BP7" s="191">
        <v>2525421.6800000002</v>
      </c>
      <c r="BQ7" s="191">
        <v>1251046.1200000001</v>
      </c>
      <c r="BR7" s="191">
        <v>2129550.58</v>
      </c>
      <c r="BS7" s="191">
        <v>1848556.21</v>
      </c>
      <c r="BT7" s="191">
        <v>0</v>
      </c>
    </row>
    <row r="8" spans="1:72" s="191" customFormat="1">
      <c r="A8" s="191" t="s">
        <v>195</v>
      </c>
      <c r="B8" s="191">
        <v>146237021.12</v>
      </c>
      <c r="C8" s="191">
        <v>102197579.59</v>
      </c>
      <c r="D8" s="191">
        <v>38866313.32</v>
      </c>
      <c r="E8" s="191">
        <v>195515731.11000001</v>
      </c>
      <c r="F8" s="191">
        <v>136476829.38999999</v>
      </c>
      <c r="G8" s="191">
        <v>91569975.510000005</v>
      </c>
      <c r="H8" s="191">
        <v>39320130.140000001</v>
      </c>
      <c r="I8" s="191">
        <v>193674447.63</v>
      </c>
      <c r="J8" s="191">
        <v>136905223.27000001</v>
      </c>
      <c r="K8" s="191">
        <v>95464307.890000001</v>
      </c>
      <c r="L8" s="191">
        <v>42386417.810000002</v>
      </c>
      <c r="M8" s="191">
        <v>176646381.94</v>
      </c>
      <c r="N8" s="191">
        <v>131087134.95999999</v>
      </c>
      <c r="O8" s="191">
        <v>96208814.079999998</v>
      </c>
      <c r="P8" s="191">
        <v>40851492.890000001</v>
      </c>
      <c r="Q8" s="191">
        <v>156373144.61000001</v>
      </c>
      <c r="R8" s="191">
        <v>112695222.38</v>
      </c>
      <c r="S8" s="191">
        <v>72217973.909999996</v>
      </c>
      <c r="T8" s="191">
        <v>31381634.989999998</v>
      </c>
      <c r="U8" s="191">
        <v>136901120.13</v>
      </c>
      <c r="V8" s="191">
        <v>100782662.40000001</v>
      </c>
      <c r="W8" s="191">
        <v>68236768.319999993</v>
      </c>
      <c r="X8" s="191">
        <v>32360470.100000001</v>
      </c>
      <c r="Y8" s="191">
        <v>121223727.97</v>
      </c>
      <c r="Z8" s="191">
        <v>89826584.159999996</v>
      </c>
      <c r="AA8" s="191">
        <v>59299407.460000001</v>
      </c>
      <c r="AB8" s="191">
        <v>21389877.350000001</v>
      </c>
      <c r="AC8" s="191">
        <v>118874325.77</v>
      </c>
      <c r="AD8" s="191">
        <v>78213334.299999997</v>
      </c>
      <c r="AE8" s="191">
        <v>60316363.409999996</v>
      </c>
      <c r="AF8" s="191">
        <v>29241170.300000001</v>
      </c>
      <c r="AG8" s="191">
        <v>144614384.90000001</v>
      </c>
      <c r="AH8" s="191">
        <v>101157630.55</v>
      </c>
      <c r="AI8" s="191">
        <v>65968283.810000002</v>
      </c>
      <c r="AJ8" s="191">
        <v>32530306.699999999</v>
      </c>
      <c r="AK8" s="191">
        <v>114100864.88</v>
      </c>
      <c r="AL8" s="191">
        <v>81063805.120000005</v>
      </c>
      <c r="AM8" s="191">
        <v>48276995.700000003</v>
      </c>
      <c r="AN8" s="191">
        <v>17157224.27</v>
      </c>
      <c r="AO8" s="191">
        <v>107969902.64</v>
      </c>
      <c r="AP8" s="191">
        <v>77724808.670000002</v>
      </c>
      <c r="AQ8" s="191">
        <v>48046909.369999997</v>
      </c>
      <c r="AR8" s="191">
        <v>17952830.829999998</v>
      </c>
      <c r="AS8" s="191">
        <v>84961328.189999998</v>
      </c>
      <c r="AT8" s="191">
        <v>54355061.079999998</v>
      </c>
      <c r="AU8" s="191">
        <v>33253698.199999999</v>
      </c>
      <c r="AV8" s="191">
        <v>16410012.84</v>
      </c>
      <c r="AW8" s="191">
        <v>61663457.020000003</v>
      </c>
      <c r="AX8" s="191">
        <v>44019409.439999998</v>
      </c>
      <c r="AY8" s="191">
        <v>28606536.489999998</v>
      </c>
      <c r="AZ8" s="191">
        <v>12788351.35</v>
      </c>
      <c r="BA8" s="191">
        <v>52247632.82</v>
      </c>
      <c r="BB8" s="191">
        <v>37205674.159999996</v>
      </c>
      <c r="BC8" s="191">
        <v>22670069.52</v>
      </c>
      <c r="BD8" s="191">
        <v>9745368.2100000009</v>
      </c>
      <c r="BE8" s="191">
        <v>52620458.640000001</v>
      </c>
      <c r="BF8" s="191">
        <v>38976523.07</v>
      </c>
      <c r="BG8" s="191">
        <v>26526774.940000001</v>
      </c>
      <c r="BH8" s="191">
        <v>12247541.789999999</v>
      </c>
      <c r="BI8" s="191">
        <v>40337440.609999999</v>
      </c>
      <c r="BJ8" s="191">
        <v>30067251.440000001</v>
      </c>
      <c r="BK8" s="191">
        <v>20385282.850000001</v>
      </c>
      <c r="BL8" s="191">
        <v>9854951.4399999995</v>
      </c>
      <c r="BM8" s="191">
        <v>41270031.350000001</v>
      </c>
      <c r="BN8" s="191">
        <v>27704403.34</v>
      </c>
      <c r="BO8" s="191">
        <v>15177775.140000001</v>
      </c>
      <c r="BP8" s="191">
        <v>36693004.859999999</v>
      </c>
      <c r="BQ8" s="191">
        <v>16486819.619999999</v>
      </c>
      <c r="BR8" s="191">
        <v>24627604.539999999</v>
      </c>
      <c r="BS8" s="191">
        <v>18450196</v>
      </c>
      <c r="BT8" s="191">
        <v>0</v>
      </c>
    </row>
    <row r="9" spans="1:72" s="191" customFormat="1">
      <c r="A9" s="191" t="s">
        <v>196</v>
      </c>
      <c r="B9" s="191">
        <v>131613748.8</v>
      </c>
      <c r="C9" s="191">
        <v>105652729.68000001</v>
      </c>
      <c r="D9" s="191">
        <v>41820119.770000003</v>
      </c>
      <c r="E9" s="191">
        <v>197402020.00999999</v>
      </c>
      <c r="F9" s="191">
        <v>150917124.31999999</v>
      </c>
      <c r="G9" s="191">
        <v>84464700.480000004</v>
      </c>
      <c r="H9" s="191">
        <v>34819249.840000004</v>
      </c>
      <c r="I9" s="191">
        <v>133257009.31999999</v>
      </c>
      <c r="J9" s="191">
        <v>105429596.77</v>
      </c>
      <c r="K9" s="191">
        <v>72211426.530000001</v>
      </c>
      <c r="L9" s="191">
        <v>34878450.439999998</v>
      </c>
      <c r="M9" s="191">
        <v>111178732.95999999</v>
      </c>
      <c r="N9" s="191">
        <v>85042533.200000003</v>
      </c>
      <c r="O9" s="191">
        <v>56280089.619999997</v>
      </c>
      <c r="P9" s="191">
        <v>30874311.73</v>
      </c>
      <c r="Q9" s="191">
        <v>92841424.159999996</v>
      </c>
      <c r="R9" s="191">
        <v>66824485.920000002</v>
      </c>
      <c r="S9" s="191">
        <v>44810493.990000002</v>
      </c>
      <c r="T9" s="191">
        <v>22124442.120000001</v>
      </c>
      <c r="U9" s="191">
        <v>92042333.799999997</v>
      </c>
      <c r="V9" s="191">
        <v>62153636.380000003</v>
      </c>
      <c r="W9" s="191">
        <v>41678536.289999999</v>
      </c>
      <c r="X9" s="191">
        <v>20365627.23</v>
      </c>
      <c r="Y9" s="191">
        <v>88696133.489999995</v>
      </c>
      <c r="Z9" s="191">
        <v>64464993.710000001</v>
      </c>
      <c r="AA9" s="191">
        <v>42860569.25</v>
      </c>
      <c r="AB9" s="191">
        <v>23222635.899999999</v>
      </c>
      <c r="AC9" s="191">
        <v>97127072.049999997</v>
      </c>
      <c r="AD9" s="191">
        <v>59456124.810000002</v>
      </c>
      <c r="AE9" s="191">
        <v>36348109.229999997</v>
      </c>
      <c r="AF9" s="191">
        <v>16676547.470000001</v>
      </c>
      <c r="AG9" s="191">
        <v>74906223.370000005</v>
      </c>
      <c r="AH9" s="191">
        <v>57858620.539999999</v>
      </c>
      <c r="AI9" s="191">
        <v>38908166.909999996</v>
      </c>
      <c r="AJ9" s="191">
        <v>16125793.960000001</v>
      </c>
      <c r="AK9" s="191">
        <v>74153649.760000005</v>
      </c>
      <c r="AL9" s="191">
        <v>54778332.560000002</v>
      </c>
      <c r="AM9" s="191">
        <v>35579197.030000001</v>
      </c>
      <c r="AN9" s="191">
        <v>16124039.439999999</v>
      </c>
      <c r="AO9" s="191">
        <v>57170546.460000001</v>
      </c>
      <c r="AP9" s="191">
        <v>41852232.539999999</v>
      </c>
      <c r="AQ9" s="191">
        <v>28724292.07</v>
      </c>
      <c r="AR9" s="191">
        <v>12394912.02</v>
      </c>
      <c r="AS9" s="191">
        <v>43014387.200000003</v>
      </c>
      <c r="AT9" s="191">
        <v>43786161.289999999</v>
      </c>
      <c r="AU9" s="191">
        <v>27311664.02</v>
      </c>
      <c r="AV9" s="191">
        <v>12601679.59</v>
      </c>
      <c r="AW9" s="191">
        <v>57559441.780000001</v>
      </c>
      <c r="AX9" s="191">
        <v>41191125.170000002</v>
      </c>
      <c r="AY9" s="191">
        <v>27179103.23</v>
      </c>
      <c r="AZ9" s="191">
        <v>16546640.869999999</v>
      </c>
      <c r="BA9" s="191">
        <v>45625377.310000002</v>
      </c>
      <c r="BB9" s="191">
        <v>33966246.490000002</v>
      </c>
      <c r="BC9" s="191">
        <v>23585552.079999998</v>
      </c>
      <c r="BD9" s="191">
        <v>9546078.5899999999</v>
      </c>
      <c r="BE9" s="191">
        <v>40030575.009999998</v>
      </c>
      <c r="BF9" s="191">
        <v>29773856.199999999</v>
      </c>
      <c r="BG9" s="191">
        <v>21747811.68</v>
      </c>
      <c r="BH9" s="191">
        <v>11779607.1</v>
      </c>
      <c r="BI9" s="191">
        <v>35250194.729999997</v>
      </c>
      <c r="BJ9" s="191">
        <v>25602106.440000001</v>
      </c>
      <c r="BK9" s="191">
        <v>16138807.6</v>
      </c>
      <c r="BL9" s="191">
        <v>6833181.9100000001</v>
      </c>
      <c r="BM9" s="191">
        <v>24435988.530000001</v>
      </c>
      <c r="BN9" s="191">
        <v>16604155.26</v>
      </c>
      <c r="BO9" s="191">
        <v>11504945.84</v>
      </c>
      <c r="BP9" s="191">
        <v>22140703.48</v>
      </c>
      <c r="BQ9" s="191">
        <v>11376507.48</v>
      </c>
      <c r="BR9" s="191">
        <v>23070120.949999999</v>
      </c>
      <c r="BS9" s="191">
        <v>17893810.940000001</v>
      </c>
      <c r="BT9" s="191">
        <v>0</v>
      </c>
    </row>
    <row r="10" spans="1:72" s="191" customFormat="1">
      <c r="A10" s="191" t="s">
        <v>197</v>
      </c>
      <c r="B10" s="191">
        <v>-29640533.039999999</v>
      </c>
      <c r="C10" s="191">
        <v>-6215730.5300000003</v>
      </c>
      <c r="D10" s="191">
        <v>17209571.079999998</v>
      </c>
      <c r="E10" s="191">
        <v>16744331.710000001</v>
      </c>
      <c r="F10" s="191">
        <v>10145271.449999999</v>
      </c>
      <c r="G10" s="191">
        <v>2415723.0499999998</v>
      </c>
      <c r="H10" s="191">
        <v>-541081.29</v>
      </c>
      <c r="I10" s="191">
        <v>-16283057.060000001</v>
      </c>
      <c r="J10" s="191">
        <v>-6984746.6699999999</v>
      </c>
      <c r="K10" s="191">
        <v>-3354509.71</v>
      </c>
      <c r="L10" s="191">
        <v>-1227910.6100000001</v>
      </c>
      <c r="M10" s="191">
        <v>-3225263.09</v>
      </c>
      <c r="N10" s="191">
        <v>-573251.26</v>
      </c>
      <c r="O10" s="191">
        <v>-658194.99</v>
      </c>
      <c r="P10" s="191">
        <v>419454.76</v>
      </c>
      <c r="Q10" s="191">
        <v>2757754.13</v>
      </c>
      <c r="R10" s="191">
        <v>2857179.26</v>
      </c>
      <c r="S10" s="191">
        <v>1256157.47</v>
      </c>
      <c r="T10" s="191">
        <v>1125476.3999999999</v>
      </c>
      <c r="U10" s="191">
        <v>10429011.720000001</v>
      </c>
      <c r="V10" s="191">
        <v>8163207.9500000002</v>
      </c>
      <c r="W10" s="191">
        <v>6063434.7999999998</v>
      </c>
      <c r="X10" s="191">
        <v>2846784.51</v>
      </c>
      <c r="Y10" s="191">
        <v>5965636.3399999999</v>
      </c>
      <c r="Z10" s="191">
        <v>2856975.74</v>
      </c>
      <c r="AA10" s="191">
        <v>1632546.72</v>
      </c>
      <c r="AB10" s="191">
        <v>959874.41</v>
      </c>
      <c r="AC10" s="191">
        <v>6299910.5899999999</v>
      </c>
      <c r="AD10" s="191">
        <v>4394677.49</v>
      </c>
      <c r="AE10" s="191">
        <v>4169519.22</v>
      </c>
      <c r="AF10" s="191">
        <v>1404314.36</v>
      </c>
      <c r="AG10" s="191">
        <v>7421490.7800000003</v>
      </c>
      <c r="AH10" s="191">
        <v>5132047.41</v>
      </c>
      <c r="AI10" s="191">
        <v>2847549.66</v>
      </c>
      <c r="AJ10" s="191">
        <v>1614417.21</v>
      </c>
      <c r="AK10" s="191">
        <v>8626794.6400000006</v>
      </c>
      <c r="AL10" s="191">
        <v>4972612.01</v>
      </c>
      <c r="AM10" s="191">
        <v>3604149.88</v>
      </c>
      <c r="AN10" s="191">
        <v>1944412.29</v>
      </c>
      <c r="AO10" s="191">
        <v>8865146.2200000007</v>
      </c>
      <c r="AP10" s="191">
        <v>6557430.5800000001</v>
      </c>
      <c r="AQ10" s="191">
        <v>3022036.68</v>
      </c>
      <c r="AR10" s="191">
        <v>-1997.85</v>
      </c>
      <c r="AS10" s="191">
        <v>11678743.550000001</v>
      </c>
      <c r="AT10" s="191">
        <v>8476458.4700000007</v>
      </c>
      <c r="AU10" s="191">
        <v>6102813.75</v>
      </c>
      <c r="AV10" s="191">
        <v>3048716.13</v>
      </c>
      <c r="AW10" s="191">
        <v>15646986.73</v>
      </c>
      <c r="AX10" s="191">
        <v>11726642.48</v>
      </c>
      <c r="AY10" s="191">
        <v>7684842.1100000003</v>
      </c>
      <c r="AZ10" s="191">
        <v>3893802.65</v>
      </c>
      <c r="BA10" s="191">
        <v>10318993.810000001</v>
      </c>
      <c r="BB10" s="191">
        <v>7241586.0300000003</v>
      </c>
      <c r="BC10" s="191">
        <v>4893639.97</v>
      </c>
      <c r="BD10" s="191">
        <v>2363074.59</v>
      </c>
      <c r="BE10" s="191">
        <v>4004744.47</v>
      </c>
      <c r="BF10" s="191">
        <v>2208563.7000000002</v>
      </c>
      <c r="BG10" s="191">
        <v>772891.03</v>
      </c>
      <c r="BH10" s="191">
        <v>804354.42</v>
      </c>
      <c r="BI10" s="191">
        <v>-1382972.54</v>
      </c>
      <c r="BJ10" s="191">
        <v>-1938357.93</v>
      </c>
      <c r="BK10" s="191">
        <v>2429491.59</v>
      </c>
      <c r="BL10" s="191">
        <v>1249440.6399999999</v>
      </c>
      <c r="BM10" s="191">
        <v>5198578.28</v>
      </c>
      <c r="BN10" s="191">
        <v>4187258.1</v>
      </c>
      <c r="BO10" s="191">
        <v>2901477.14</v>
      </c>
      <c r="BP10" s="191">
        <v>6702590.9100000001</v>
      </c>
      <c r="BQ10" s="191">
        <v>3022181.59</v>
      </c>
      <c r="BR10" s="191">
        <v>5476370.4199999999</v>
      </c>
      <c r="BS10" s="191">
        <v>5911905.1100000003</v>
      </c>
      <c r="BT10" s="191">
        <v>0</v>
      </c>
    </row>
    <row r="11" spans="1:72" s="191" customFormat="1">
      <c r="A11" s="191" t="s">
        <v>198</v>
      </c>
      <c r="B11" s="191">
        <v>34126388.670000002</v>
      </c>
      <c r="C11" s="191">
        <v>24546163.91</v>
      </c>
      <c r="D11" s="191">
        <v>5629430.7599999998</v>
      </c>
      <c r="E11" s="191">
        <v>18517785.390000001</v>
      </c>
      <c r="F11" s="191">
        <v>3604212.98</v>
      </c>
      <c r="G11" s="191">
        <v>6891784.7199999997</v>
      </c>
      <c r="H11" s="191">
        <v>5191578.03</v>
      </c>
      <c r="I11" s="191">
        <v>85229987.120000005</v>
      </c>
      <c r="J11" s="191">
        <v>32794862.260000002</v>
      </c>
      <c r="K11" s="191">
        <v>18169836.77</v>
      </c>
      <c r="L11" s="191">
        <v>8882292.4299999997</v>
      </c>
      <c r="M11" s="191">
        <v>45712199.479999997</v>
      </c>
      <c r="N11" s="191">
        <v>23726180.739999998</v>
      </c>
      <c r="O11" s="191">
        <v>13521115.029999999</v>
      </c>
      <c r="P11" s="191">
        <v>4985708.8600000003</v>
      </c>
      <c r="Q11" s="191">
        <v>11062385.91</v>
      </c>
      <c r="R11" s="191">
        <v>5826194.3099999996</v>
      </c>
      <c r="S11" s="191">
        <v>5266885.46</v>
      </c>
      <c r="T11" s="191">
        <v>747962.85</v>
      </c>
      <c r="U11" s="191">
        <v>27162386.09</v>
      </c>
      <c r="V11" s="191">
        <v>3445637.18</v>
      </c>
      <c r="W11" s="191">
        <v>5218011.1500000004</v>
      </c>
      <c r="X11" s="191">
        <v>-256058.48</v>
      </c>
      <c r="Y11" s="191">
        <v>28473257.32</v>
      </c>
      <c r="Z11" s="191">
        <v>2630098.9700000002</v>
      </c>
      <c r="AA11" s="191">
        <v>2805424.85</v>
      </c>
      <c r="AB11" s="191">
        <v>1107385.72</v>
      </c>
      <c r="AC11" s="191">
        <v>13115589.33</v>
      </c>
      <c r="AD11" s="191">
        <v>276412.71999999997</v>
      </c>
      <c r="AE11" s="191">
        <v>1618611.51</v>
      </c>
      <c r="AF11" s="191">
        <v>752593.09</v>
      </c>
      <c r="AG11" s="191">
        <v>15408006.949999999</v>
      </c>
      <c r="AH11" s="191">
        <v>2606206.58</v>
      </c>
      <c r="AI11" s="191">
        <v>1151972.49</v>
      </c>
      <c r="AJ11" s="191">
        <v>-308613.40999999997</v>
      </c>
      <c r="AK11" s="191">
        <v>7855212.7699999996</v>
      </c>
      <c r="AL11" s="191">
        <v>-1977593.88</v>
      </c>
      <c r="AM11" s="191">
        <v>-203394.58</v>
      </c>
      <c r="AN11" s="191">
        <v>-530478.31000000006</v>
      </c>
      <c r="AO11" s="191">
        <v>7703413.7199999997</v>
      </c>
      <c r="AP11" s="191">
        <v>2988707.37</v>
      </c>
      <c r="AQ11" s="191">
        <v>1593480.53</v>
      </c>
      <c r="AR11" s="191">
        <v>1588340.89</v>
      </c>
      <c r="AS11" s="191">
        <v>2077145.79</v>
      </c>
      <c r="AT11" s="191">
        <v>4476366.8099999996</v>
      </c>
      <c r="AU11" s="191">
        <v>4734150.83</v>
      </c>
      <c r="AV11" s="191">
        <v>1198167.2</v>
      </c>
      <c r="AW11" s="191">
        <v>0</v>
      </c>
      <c r="AX11" s="191">
        <v>0</v>
      </c>
      <c r="AY11" s="191">
        <v>0</v>
      </c>
      <c r="AZ11" s="191">
        <v>0</v>
      </c>
      <c r="BA11" s="191">
        <v>0</v>
      </c>
      <c r="BB11" s="191">
        <v>0</v>
      </c>
      <c r="BC11" s="191">
        <v>0</v>
      </c>
      <c r="BD11" s="191">
        <v>0</v>
      </c>
      <c r="BE11" s="191">
        <v>0</v>
      </c>
      <c r="BF11" s="191">
        <v>0</v>
      </c>
      <c r="BG11" s="191">
        <v>0</v>
      </c>
      <c r="BH11" s="191">
        <v>0</v>
      </c>
      <c r="BI11" s="191">
        <v>0</v>
      </c>
      <c r="BJ11" s="191">
        <v>0</v>
      </c>
      <c r="BK11" s="191">
        <v>0</v>
      </c>
      <c r="BL11" s="191">
        <v>0</v>
      </c>
      <c r="BM11" s="191">
        <v>0</v>
      </c>
      <c r="BN11" s="191">
        <v>0</v>
      </c>
      <c r="BO11" s="191">
        <v>0</v>
      </c>
      <c r="BP11" s="191">
        <v>0</v>
      </c>
      <c r="BQ11" s="191">
        <v>0</v>
      </c>
      <c r="BR11" s="191">
        <v>0</v>
      </c>
      <c r="BS11" s="191">
        <v>0</v>
      </c>
      <c r="BT11" s="191">
        <v>0</v>
      </c>
    </row>
    <row r="12" spans="1:72" s="191" customFormat="1">
      <c r="A12" s="191" t="s">
        <v>199</v>
      </c>
      <c r="B12" s="191">
        <v>0</v>
      </c>
      <c r="C12" s="191">
        <v>0</v>
      </c>
      <c r="D12" s="191">
        <v>0</v>
      </c>
      <c r="E12" s="191">
        <v>0</v>
      </c>
      <c r="F12" s="191">
        <v>0</v>
      </c>
      <c r="G12" s="191">
        <v>0</v>
      </c>
      <c r="H12" s="191">
        <v>0</v>
      </c>
      <c r="I12" s="191">
        <v>0</v>
      </c>
      <c r="J12" s="191">
        <v>0</v>
      </c>
      <c r="K12" s="191">
        <v>0</v>
      </c>
      <c r="L12" s="191">
        <v>0</v>
      </c>
      <c r="M12" s="191">
        <v>0</v>
      </c>
      <c r="N12" s="191">
        <v>0</v>
      </c>
      <c r="O12" s="191">
        <v>0</v>
      </c>
      <c r="P12" s="191">
        <v>0</v>
      </c>
      <c r="Q12" s="191">
        <v>0</v>
      </c>
      <c r="R12" s="191">
        <v>0</v>
      </c>
      <c r="S12" s="191">
        <v>0</v>
      </c>
      <c r="T12" s="191">
        <v>0</v>
      </c>
      <c r="U12" s="191">
        <v>0</v>
      </c>
      <c r="V12" s="191">
        <v>0</v>
      </c>
      <c r="W12" s="191">
        <v>0</v>
      </c>
      <c r="X12" s="191">
        <v>0</v>
      </c>
      <c r="Y12" s="191">
        <v>0</v>
      </c>
      <c r="Z12" s="191">
        <v>0</v>
      </c>
      <c r="AA12" s="191">
        <v>0</v>
      </c>
      <c r="AB12" s="191">
        <v>0</v>
      </c>
      <c r="AC12" s="191">
        <v>0</v>
      </c>
      <c r="AD12" s="191">
        <v>0</v>
      </c>
      <c r="AE12" s="191">
        <v>0</v>
      </c>
      <c r="AF12" s="191">
        <v>0</v>
      </c>
      <c r="AG12" s="191">
        <v>0</v>
      </c>
      <c r="AH12" s="191">
        <v>0</v>
      </c>
      <c r="AI12" s="191">
        <v>0</v>
      </c>
      <c r="AJ12" s="191">
        <v>0</v>
      </c>
      <c r="AK12" s="191">
        <v>0</v>
      </c>
      <c r="AL12" s="191">
        <v>0</v>
      </c>
      <c r="AM12" s="191">
        <v>0</v>
      </c>
      <c r="AN12" s="191">
        <v>0</v>
      </c>
      <c r="AO12" s="191">
        <v>0</v>
      </c>
      <c r="AP12" s="191">
        <v>0</v>
      </c>
      <c r="AQ12" s="191">
        <v>0</v>
      </c>
      <c r="AR12" s="191">
        <v>0</v>
      </c>
      <c r="AS12" s="191">
        <v>0</v>
      </c>
      <c r="AT12" s="191">
        <v>0</v>
      </c>
      <c r="AU12" s="191">
        <v>0</v>
      </c>
      <c r="AV12" s="191">
        <v>0</v>
      </c>
      <c r="AW12" s="191">
        <v>0</v>
      </c>
      <c r="AX12" s="191">
        <v>0</v>
      </c>
      <c r="AY12" s="191">
        <v>0</v>
      </c>
      <c r="AZ12" s="191">
        <v>0</v>
      </c>
      <c r="BA12" s="191">
        <v>0</v>
      </c>
      <c r="BB12" s="191">
        <v>0</v>
      </c>
      <c r="BC12" s="191">
        <v>0</v>
      </c>
      <c r="BD12" s="191">
        <v>0</v>
      </c>
      <c r="BE12" s="191">
        <v>0</v>
      </c>
      <c r="BF12" s="191">
        <v>0</v>
      </c>
      <c r="BG12" s="191">
        <v>0</v>
      </c>
      <c r="BH12" s="191">
        <v>0</v>
      </c>
      <c r="BI12" s="191">
        <v>0</v>
      </c>
      <c r="BJ12" s="191">
        <v>0</v>
      </c>
      <c r="BK12" s="191">
        <v>0</v>
      </c>
      <c r="BL12" s="191">
        <v>0</v>
      </c>
      <c r="BM12" s="191">
        <v>0</v>
      </c>
      <c r="BN12" s="191">
        <v>0</v>
      </c>
      <c r="BO12" s="191">
        <v>0</v>
      </c>
      <c r="BP12" s="191">
        <v>0</v>
      </c>
      <c r="BQ12" s="191">
        <v>0</v>
      </c>
      <c r="BR12" s="191">
        <v>0</v>
      </c>
      <c r="BS12" s="191">
        <v>0</v>
      </c>
      <c r="BT12" s="191">
        <v>0</v>
      </c>
    </row>
    <row r="13" spans="1:72" s="191" customFormat="1">
      <c r="A13" s="191" t="s">
        <v>200</v>
      </c>
      <c r="B13" s="191">
        <v>23192587.219999999</v>
      </c>
      <c r="C13" s="191">
        <v>15468587.48</v>
      </c>
      <c r="D13" s="191">
        <v>6837933.54</v>
      </c>
      <c r="E13" s="191">
        <v>19090598.109999999</v>
      </c>
      <c r="F13" s="191">
        <v>13143318.880000001</v>
      </c>
      <c r="G13" s="191">
        <v>6081822.0999999996</v>
      </c>
      <c r="H13" s="191">
        <v>1149315.0900000001</v>
      </c>
      <c r="I13" s="191">
        <v>1886246.83</v>
      </c>
      <c r="J13" s="191">
        <v>-679741.09</v>
      </c>
      <c r="K13" s="191">
        <v>319568.18</v>
      </c>
      <c r="L13" s="191">
        <v>-12917.03</v>
      </c>
      <c r="M13" s="191">
        <v>2818334.66</v>
      </c>
      <c r="N13" s="191">
        <v>1476062.98</v>
      </c>
      <c r="O13" s="191">
        <v>959350.65</v>
      </c>
      <c r="P13" s="191">
        <v>0</v>
      </c>
      <c r="Q13" s="191">
        <v>-330625.42</v>
      </c>
      <c r="R13" s="191">
        <v>3900.84</v>
      </c>
      <c r="S13" s="191">
        <v>3900.84</v>
      </c>
      <c r="T13" s="191">
        <v>0</v>
      </c>
      <c r="U13" s="191">
        <v>5201.12</v>
      </c>
      <c r="V13" s="191">
        <v>5201.12</v>
      </c>
      <c r="W13" s="191">
        <v>5201.12</v>
      </c>
      <c r="X13" s="191">
        <v>0</v>
      </c>
      <c r="Y13" s="191">
        <v>42947.95</v>
      </c>
      <c r="Z13" s="191">
        <v>42947.95</v>
      </c>
      <c r="AA13" s="191">
        <v>25665.75</v>
      </c>
      <c r="AB13" s="191">
        <v>14931.51</v>
      </c>
      <c r="AC13" s="191">
        <v>7151056.6699999999</v>
      </c>
      <c r="AD13" s="191">
        <v>6499755.3399999999</v>
      </c>
      <c r="AE13" s="191">
        <v>6499755.3399999999</v>
      </c>
      <c r="AF13" s="191">
        <v>-65014.720000000001</v>
      </c>
      <c r="AG13" s="191">
        <v>1771633.17</v>
      </c>
      <c r="AH13" s="191">
        <v>-191696.08</v>
      </c>
      <c r="AI13" s="191">
        <v>-126681.36</v>
      </c>
      <c r="AJ13" s="191">
        <v>-65014.720000000001</v>
      </c>
      <c r="AK13" s="191">
        <v>6359631.0599999996</v>
      </c>
      <c r="AL13" s="191">
        <v>6274312.0300000003</v>
      </c>
      <c r="AM13" s="191">
        <v>6339326.75</v>
      </c>
      <c r="AN13" s="191">
        <v>-65014.720000000001</v>
      </c>
      <c r="AO13" s="191">
        <v>575996.25</v>
      </c>
      <c r="AP13" s="191">
        <v>-190572.91</v>
      </c>
      <c r="AQ13" s="191">
        <v>-130029.44</v>
      </c>
      <c r="AR13" s="191">
        <v>-65014.720000000001</v>
      </c>
      <c r="AS13" s="191">
        <v>5448960.4299999997</v>
      </c>
      <c r="AT13" s="191">
        <v>1831672.03</v>
      </c>
      <c r="AU13" s="191">
        <v>1831672.03</v>
      </c>
      <c r="AV13" s="191">
        <v>0</v>
      </c>
      <c r="AW13" s="191">
        <v>-88475.15</v>
      </c>
      <c r="AX13" s="191">
        <v>-189531.66</v>
      </c>
      <c r="AY13" s="191">
        <v>-124516.94</v>
      </c>
      <c r="AZ13" s="191">
        <v>-65014.720000000001</v>
      </c>
      <c r="BA13" s="191">
        <v>-254362.63</v>
      </c>
      <c r="BB13" s="191">
        <v>-189347.91</v>
      </c>
      <c r="BC13" s="191">
        <v>-130029.44</v>
      </c>
      <c r="BD13" s="191">
        <v>-65014.720000000001</v>
      </c>
      <c r="BE13" s="191">
        <v>-65014.720000000001</v>
      </c>
      <c r="BF13" s="191">
        <v>0</v>
      </c>
      <c r="BG13" s="191">
        <v>0</v>
      </c>
      <c r="BH13" s="191">
        <v>0</v>
      </c>
      <c r="BI13" s="191">
        <v>0</v>
      </c>
      <c r="BJ13" s="191">
        <v>0</v>
      </c>
      <c r="BK13" s="191">
        <v>0</v>
      </c>
      <c r="BL13" s="191">
        <v>0</v>
      </c>
      <c r="BM13" s="191">
        <v>267653.7</v>
      </c>
      <c r="BN13" s="191">
        <v>0</v>
      </c>
      <c r="BO13" s="191">
        <v>1063042.75</v>
      </c>
      <c r="BP13" s="191">
        <v>-75321.17</v>
      </c>
      <c r="BQ13" s="191">
        <v>301508.32</v>
      </c>
      <c r="BR13" s="191">
        <v>0</v>
      </c>
      <c r="BS13" s="191">
        <v>0</v>
      </c>
      <c r="BT13" s="191">
        <v>0</v>
      </c>
    </row>
    <row r="14" spans="1:72" s="191" customFormat="1">
      <c r="A14" s="191" t="s">
        <v>201</v>
      </c>
      <c r="B14" s="191">
        <v>0</v>
      </c>
      <c r="C14" s="191">
        <v>0</v>
      </c>
      <c r="D14" s="191">
        <v>0</v>
      </c>
      <c r="E14" s="191">
        <v>0</v>
      </c>
      <c r="F14" s="191">
        <v>0</v>
      </c>
      <c r="G14" s="191">
        <v>0</v>
      </c>
      <c r="H14" s="191">
        <v>0</v>
      </c>
      <c r="I14" s="191">
        <v>0</v>
      </c>
      <c r="J14" s="191">
        <v>0</v>
      </c>
      <c r="K14" s="191">
        <v>0</v>
      </c>
      <c r="L14" s="191">
        <v>0</v>
      </c>
      <c r="M14" s="191">
        <v>0</v>
      </c>
      <c r="N14" s="191">
        <v>0</v>
      </c>
      <c r="O14" s="191">
        <v>0</v>
      </c>
      <c r="P14" s="191">
        <v>0</v>
      </c>
      <c r="Q14" s="191">
        <v>0</v>
      </c>
      <c r="R14" s="191">
        <v>0</v>
      </c>
      <c r="S14" s="191">
        <v>0</v>
      </c>
      <c r="T14" s="191">
        <v>0</v>
      </c>
      <c r="U14" s="191">
        <v>0</v>
      </c>
      <c r="V14" s="191">
        <v>0</v>
      </c>
      <c r="W14" s="191">
        <v>0</v>
      </c>
      <c r="X14" s="191">
        <v>0</v>
      </c>
      <c r="Y14" s="191">
        <v>0</v>
      </c>
      <c r="Z14" s="191">
        <v>0</v>
      </c>
      <c r="AA14" s="191">
        <v>0</v>
      </c>
      <c r="AB14" s="191">
        <v>0</v>
      </c>
      <c r="AC14" s="191">
        <v>0</v>
      </c>
      <c r="AD14" s="191">
        <v>0</v>
      </c>
      <c r="AE14" s="191">
        <v>0</v>
      </c>
      <c r="AF14" s="191">
        <v>0</v>
      </c>
      <c r="AG14" s="191">
        <v>0</v>
      </c>
      <c r="AH14" s="191">
        <v>0</v>
      </c>
      <c r="AI14" s="191">
        <v>0</v>
      </c>
      <c r="AJ14" s="191">
        <v>0</v>
      </c>
      <c r="AK14" s="191">
        <v>0</v>
      </c>
      <c r="AL14" s="191">
        <v>0</v>
      </c>
      <c r="AM14" s="191">
        <v>0</v>
      </c>
      <c r="AN14" s="191">
        <v>0</v>
      </c>
      <c r="AO14" s="191">
        <v>0</v>
      </c>
      <c r="AP14" s="191">
        <v>0</v>
      </c>
      <c r="AQ14" s="191">
        <v>0</v>
      </c>
      <c r="AR14" s="191">
        <v>0</v>
      </c>
      <c r="AS14" s="191">
        <v>0</v>
      </c>
      <c r="AT14" s="191">
        <v>0</v>
      </c>
      <c r="AU14" s="191">
        <v>0</v>
      </c>
      <c r="AV14" s="191">
        <v>0</v>
      </c>
      <c r="AW14" s="191">
        <v>0</v>
      </c>
      <c r="AX14" s="191">
        <v>0</v>
      </c>
      <c r="AY14" s="191">
        <v>0</v>
      </c>
      <c r="AZ14" s="191">
        <v>0</v>
      </c>
      <c r="BA14" s="191">
        <v>0</v>
      </c>
      <c r="BB14" s="191">
        <v>0</v>
      </c>
      <c r="BC14" s="191">
        <v>0</v>
      </c>
      <c r="BD14" s="191">
        <v>0</v>
      </c>
      <c r="BE14" s="191">
        <v>0</v>
      </c>
      <c r="BF14" s="191">
        <v>0</v>
      </c>
      <c r="BG14" s="191">
        <v>0</v>
      </c>
      <c r="BH14" s="191">
        <v>0</v>
      </c>
      <c r="BI14" s="191">
        <v>0</v>
      </c>
      <c r="BJ14" s="191">
        <v>0</v>
      </c>
      <c r="BK14" s="191">
        <v>0</v>
      </c>
      <c r="BL14" s="191">
        <v>0</v>
      </c>
      <c r="BM14" s="191">
        <v>0</v>
      </c>
      <c r="BN14" s="191">
        <v>0</v>
      </c>
      <c r="BO14" s="191">
        <v>0</v>
      </c>
      <c r="BP14" s="191">
        <v>0</v>
      </c>
      <c r="BQ14" s="191">
        <v>0</v>
      </c>
      <c r="BR14" s="191">
        <v>0</v>
      </c>
      <c r="BS14" s="191">
        <v>0</v>
      </c>
      <c r="BT14" s="191">
        <v>0</v>
      </c>
    </row>
    <row r="15" spans="1:72" s="191" customFormat="1">
      <c r="A15" s="191" t="s">
        <v>202</v>
      </c>
      <c r="B15" s="191">
        <v>0</v>
      </c>
      <c r="C15" s="191">
        <v>0</v>
      </c>
      <c r="D15" s="191">
        <v>0</v>
      </c>
      <c r="E15" s="191">
        <v>0</v>
      </c>
      <c r="F15" s="191">
        <v>0</v>
      </c>
      <c r="G15" s="191">
        <v>0</v>
      </c>
      <c r="H15" s="191">
        <v>0</v>
      </c>
      <c r="I15" s="191">
        <v>0</v>
      </c>
      <c r="J15" s="191">
        <v>0</v>
      </c>
      <c r="K15" s="191">
        <v>0</v>
      </c>
      <c r="L15" s="191">
        <v>0</v>
      </c>
      <c r="M15" s="191">
        <v>0</v>
      </c>
      <c r="N15" s="191">
        <v>0</v>
      </c>
      <c r="O15" s="191">
        <v>0</v>
      </c>
      <c r="P15" s="191">
        <v>0</v>
      </c>
      <c r="Q15" s="191">
        <v>0</v>
      </c>
      <c r="R15" s="191">
        <v>0</v>
      </c>
      <c r="S15" s="191">
        <v>0</v>
      </c>
      <c r="T15" s="191">
        <v>0</v>
      </c>
      <c r="U15" s="191">
        <v>0</v>
      </c>
      <c r="V15" s="191">
        <v>0</v>
      </c>
      <c r="W15" s="191">
        <v>0</v>
      </c>
      <c r="X15" s="191">
        <v>0</v>
      </c>
      <c r="Y15" s="191">
        <v>0</v>
      </c>
      <c r="Z15" s="191">
        <v>0</v>
      </c>
      <c r="AA15" s="191">
        <v>0</v>
      </c>
      <c r="AB15" s="191">
        <v>0</v>
      </c>
      <c r="AC15" s="191">
        <v>0</v>
      </c>
      <c r="AD15" s="191">
        <v>0</v>
      </c>
      <c r="AE15" s="191">
        <v>0</v>
      </c>
      <c r="AF15" s="191">
        <v>0</v>
      </c>
      <c r="AG15" s="191">
        <v>0</v>
      </c>
      <c r="AH15" s="191">
        <v>0</v>
      </c>
      <c r="AI15" s="191">
        <v>0</v>
      </c>
      <c r="AJ15" s="191">
        <v>0</v>
      </c>
      <c r="AK15" s="191">
        <v>0</v>
      </c>
      <c r="AL15" s="191">
        <v>0</v>
      </c>
      <c r="AM15" s="191">
        <v>0</v>
      </c>
      <c r="AN15" s="191">
        <v>0</v>
      </c>
      <c r="AO15" s="191">
        <v>0</v>
      </c>
      <c r="AP15" s="191">
        <v>0</v>
      </c>
      <c r="AQ15" s="191">
        <v>0</v>
      </c>
      <c r="AR15" s="191">
        <v>0</v>
      </c>
      <c r="AS15" s="191">
        <v>0</v>
      </c>
      <c r="AT15" s="191">
        <v>0</v>
      </c>
      <c r="AU15" s="191">
        <v>0</v>
      </c>
      <c r="AV15" s="191">
        <v>0</v>
      </c>
      <c r="AW15" s="191">
        <v>0</v>
      </c>
      <c r="AX15" s="191">
        <v>0</v>
      </c>
      <c r="AY15" s="191">
        <v>0</v>
      </c>
      <c r="AZ15" s="191">
        <v>0</v>
      </c>
      <c r="BA15" s="191">
        <v>0</v>
      </c>
      <c r="BB15" s="191">
        <v>0</v>
      </c>
      <c r="BC15" s="191">
        <v>0</v>
      </c>
      <c r="BD15" s="191">
        <v>0</v>
      </c>
      <c r="BE15" s="191">
        <v>0</v>
      </c>
      <c r="BF15" s="191">
        <v>0</v>
      </c>
      <c r="BG15" s="191">
        <v>0</v>
      </c>
      <c r="BH15" s="191">
        <v>0</v>
      </c>
      <c r="BI15" s="191">
        <v>0</v>
      </c>
      <c r="BJ15" s="191">
        <v>0</v>
      </c>
      <c r="BK15" s="191">
        <v>0</v>
      </c>
      <c r="BL15" s="191">
        <v>0</v>
      </c>
      <c r="BM15" s="191">
        <v>0</v>
      </c>
      <c r="BN15" s="191">
        <v>0</v>
      </c>
      <c r="BO15" s="191">
        <v>0</v>
      </c>
      <c r="BP15" s="191">
        <v>0</v>
      </c>
      <c r="BQ15" s="191">
        <v>0</v>
      </c>
      <c r="BR15" s="191">
        <v>0</v>
      </c>
      <c r="BS15" s="191">
        <v>0</v>
      </c>
      <c r="BT15" s="191">
        <v>0</v>
      </c>
    </row>
    <row r="16" spans="1:72" s="191" customFormat="1">
      <c r="A16" s="191" t="s">
        <v>203</v>
      </c>
      <c r="B16" s="191">
        <v>331473008.01999998</v>
      </c>
      <c r="C16" s="191">
        <v>215100123.75</v>
      </c>
      <c r="D16" s="191">
        <v>98132981.659999996</v>
      </c>
      <c r="E16" s="191">
        <v>316540075.61000001</v>
      </c>
      <c r="F16" s="191">
        <v>241343296.90000001</v>
      </c>
      <c r="G16" s="191">
        <v>157934614.37</v>
      </c>
      <c r="H16" s="191">
        <v>76783951.420000002</v>
      </c>
      <c r="I16" s="191">
        <v>254670833.09999999</v>
      </c>
      <c r="J16" s="191">
        <v>196767296.16</v>
      </c>
      <c r="K16" s="191">
        <v>131511279.19</v>
      </c>
      <c r="L16" s="191">
        <v>53898798.590000004</v>
      </c>
      <c r="M16" s="191">
        <v>197849834.34</v>
      </c>
      <c r="N16" s="191">
        <v>153587042.66</v>
      </c>
      <c r="O16" s="191">
        <v>96315814.900000006</v>
      </c>
      <c r="P16" s="191">
        <v>42567750.780000001</v>
      </c>
      <c r="Q16" s="191">
        <v>170603815.94</v>
      </c>
      <c r="R16" s="191">
        <v>130401278.90000001</v>
      </c>
      <c r="S16" s="191">
        <v>90199479.609999999</v>
      </c>
      <c r="T16" s="191">
        <v>40203829.18</v>
      </c>
      <c r="U16" s="191">
        <v>161068396.41</v>
      </c>
      <c r="V16" s="191">
        <v>130060863.51000001</v>
      </c>
      <c r="W16" s="191">
        <v>85754339.209999993</v>
      </c>
      <c r="X16" s="191">
        <v>40974501.030000001</v>
      </c>
      <c r="Y16" s="191">
        <v>153592570.5</v>
      </c>
      <c r="Z16" s="191">
        <v>127459508.77</v>
      </c>
      <c r="AA16" s="191">
        <v>82777606.640000001</v>
      </c>
      <c r="AB16" s="191">
        <v>36385230.719999999</v>
      </c>
      <c r="AC16" s="191">
        <v>148024911.06</v>
      </c>
      <c r="AD16" s="191">
        <v>145682080</v>
      </c>
      <c r="AE16" s="191">
        <v>101292571.09999999</v>
      </c>
      <c r="AF16" s="191">
        <v>50232557.109999999</v>
      </c>
      <c r="AG16" s="191">
        <v>203015909.65000001</v>
      </c>
      <c r="AH16" s="191">
        <v>168861339.75999999</v>
      </c>
      <c r="AI16" s="191">
        <v>111701068.04000001</v>
      </c>
      <c r="AJ16" s="191">
        <v>53224720.25</v>
      </c>
      <c r="AK16" s="191">
        <v>177985739.33000001</v>
      </c>
      <c r="AL16" s="191">
        <v>136258988.66999999</v>
      </c>
      <c r="AM16" s="191">
        <v>90264523.769999996</v>
      </c>
      <c r="AN16" s="191">
        <v>42025875.140000001</v>
      </c>
      <c r="AO16" s="191">
        <v>141862382.49000001</v>
      </c>
      <c r="AP16" s="191">
        <v>124753669.62</v>
      </c>
      <c r="AQ16" s="191">
        <v>82505728.549999997</v>
      </c>
      <c r="AR16" s="191">
        <v>39149159.369999997</v>
      </c>
      <c r="AS16" s="191">
        <v>154682205.46000001</v>
      </c>
      <c r="AT16" s="191">
        <v>113809586.52</v>
      </c>
      <c r="AU16" s="191">
        <v>75969565.920000002</v>
      </c>
      <c r="AV16" s="191">
        <v>33666731.140000001</v>
      </c>
      <c r="AW16" s="191">
        <v>138256938.93000001</v>
      </c>
      <c r="AX16" s="191">
        <v>103767947.87</v>
      </c>
      <c r="AY16" s="191">
        <v>67322084.989999995</v>
      </c>
      <c r="AZ16" s="191">
        <v>32077930.210000001</v>
      </c>
      <c r="BA16" s="191">
        <v>121549122.75</v>
      </c>
      <c r="BB16" s="191">
        <v>90490802.430000007</v>
      </c>
      <c r="BC16" s="191">
        <v>60960401.159999996</v>
      </c>
      <c r="BD16" s="191">
        <v>29423387.629999999</v>
      </c>
      <c r="BE16" s="191">
        <v>115029440.59999999</v>
      </c>
      <c r="BF16" s="191">
        <v>82554534.230000004</v>
      </c>
      <c r="BG16" s="191">
        <v>56217148.210000001</v>
      </c>
      <c r="BH16" s="191">
        <v>25824187.210000001</v>
      </c>
      <c r="BI16" s="191">
        <v>105000049.76000001</v>
      </c>
      <c r="BJ16" s="191">
        <v>76131889.810000002</v>
      </c>
      <c r="BK16" s="191">
        <v>49071402.549999997</v>
      </c>
      <c r="BL16" s="191">
        <v>18486093.489999998</v>
      </c>
      <c r="BM16" s="191">
        <v>82920007.200000003</v>
      </c>
      <c r="BN16" s="191">
        <v>57937887.68</v>
      </c>
      <c r="BO16" s="191">
        <v>39395018.93</v>
      </c>
      <c r="BP16" s="191">
        <v>61060817.700000003</v>
      </c>
      <c r="BQ16" s="191">
        <v>31035773.73</v>
      </c>
      <c r="BR16" s="191">
        <v>45417852.780000001</v>
      </c>
      <c r="BS16" s="191">
        <v>42286931.030000001</v>
      </c>
      <c r="BT16" s="191">
        <v>0</v>
      </c>
    </row>
    <row r="17" spans="1:72" s="191" customFormat="1">
      <c r="A17" s="191" t="s">
        <v>204</v>
      </c>
      <c r="B17" s="191">
        <v>861305.53</v>
      </c>
      <c r="C17" s="191">
        <v>341475.87</v>
      </c>
      <c r="D17" s="191">
        <v>145843.23000000001</v>
      </c>
      <c r="E17" s="191">
        <v>3006290.32</v>
      </c>
      <c r="F17" s="191">
        <v>2707152.91</v>
      </c>
      <c r="G17" s="191">
        <v>3740289.95</v>
      </c>
      <c r="H17" s="191">
        <v>1985191.94</v>
      </c>
      <c r="I17" s="191">
        <v>5841850.0199999996</v>
      </c>
      <c r="J17" s="191">
        <v>3001098.68</v>
      </c>
      <c r="K17" s="191">
        <v>803591.58</v>
      </c>
      <c r="L17" s="191">
        <v>367653.5</v>
      </c>
      <c r="M17" s="191">
        <v>6011659.1299999999</v>
      </c>
      <c r="N17" s="191">
        <v>4065867.05</v>
      </c>
      <c r="O17" s="191">
        <v>3502632.53</v>
      </c>
      <c r="P17" s="191">
        <v>638855.41</v>
      </c>
      <c r="Q17" s="191">
        <v>4310474.68</v>
      </c>
      <c r="R17" s="191">
        <v>1760130.99</v>
      </c>
      <c r="S17" s="191">
        <v>987583.83</v>
      </c>
      <c r="T17" s="191">
        <v>638583.05000000005</v>
      </c>
      <c r="U17" s="191">
        <v>7725338.71</v>
      </c>
      <c r="V17" s="191">
        <v>4084840.3</v>
      </c>
      <c r="W17" s="191">
        <v>3429068.48</v>
      </c>
      <c r="X17" s="191">
        <v>411463</v>
      </c>
      <c r="Y17" s="191">
        <v>9403950.8699999992</v>
      </c>
      <c r="Z17" s="191">
        <v>3181393.05</v>
      </c>
      <c r="AA17" s="191">
        <v>2748070.14</v>
      </c>
      <c r="AB17" s="191">
        <v>773318.41</v>
      </c>
      <c r="AC17" s="191">
        <v>22621853.66</v>
      </c>
      <c r="AD17" s="191">
        <v>4058070.08</v>
      </c>
      <c r="AE17" s="191">
        <v>3871069.23</v>
      </c>
      <c r="AF17" s="191">
        <v>3079392.69</v>
      </c>
      <c r="AG17" s="191">
        <v>6948447.6900000004</v>
      </c>
      <c r="AH17" s="191">
        <v>2655199</v>
      </c>
      <c r="AI17" s="191">
        <v>1624676.77</v>
      </c>
      <c r="AJ17" s="191">
        <v>240412.02</v>
      </c>
      <c r="AK17" s="191">
        <v>6365416.8099999996</v>
      </c>
      <c r="AL17" s="191">
        <v>2137703.41</v>
      </c>
      <c r="AM17" s="191">
        <v>1425480.13</v>
      </c>
      <c r="AN17" s="191">
        <v>352210.12</v>
      </c>
      <c r="AO17" s="191">
        <v>19332421.16</v>
      </c>
      <c r="AP17" s="191">
        <v>5922551.9500000002</v>
      </c>
      <c r="AQ17" s="191">
        <v>4341372.7699999996</v>
      </c>
      <c r="AR17" s="191">
        <v>794490.93</v>
      </c>
      <c r="AS17" s="191">
        <v>7018181.1100000003</v>
      </c>
      <c r="AT17" s="191">
        <v>5297757.59</v>
      </c>
      <c r="AU17" s="191">
        <v>1550675.96</v>
      </c>
      <c r="AV17" s="191">
        <v>406479.2</v>
      </c>
      <c r="AW17" s="191">
        <v>3768539.84</v>
      </c>
      <c r="AX17" s="191">
        <v>824046.5</v>
      </c>
      <c r="AY17" s="191">
        <v>234161.43</v>
      </c>
      <c r="AZ17" s="191">
        <v>155532.32999999999</v>
      </c>
      <c r="BA17" s="191">
        <v>945602.19</v>
      </c>
      <c r="BB17" s="191">
        <v>804376</v>
      </c>
      <c r="BC17" s="191">
        <v>197276.12</v>
      </c>
      <c r="BD17" s="191">
        <v>165025.88</v>
      </c>
      <c r="BE17" s="191">
        <v>1447245.89</v>
      </c>
      <c r="BF17" s="191">
        <v>1347852.98</v>
      </c>
      <c r="BG17" s="191">
        <v>287119.3</v>
      </c>
      <c r="BH17" s="191">
        <v>94442.94</v>
      </c>
      <c r="BI17" s="191">
        <v>2422773.23</v>
      </c>
      <c r="BJ17" s="191">
        <v>410183.73</v>
      </c>
      <c r="BK17" s="191">
        <v>184521.56</v>
      </c>
      <c r="BL17" s="191">
        <v>26912.55</v>
      </c>
      <c r="BM17" s="191">
        <v>219035.31</v>
      </c>
      <c r="BN17" s="191">
        <v>212747.07</v>
      </c>
      <c r="BO17" s="191">
        <v>209672.19</v>
      </c>
      <c r="BP17" s="191">
        <v>111076.01</v>
      </c>
      <c r="BQ17" s="191">
        <v>97411.17</v>
      </c>
      <c r="BR17" s="191">
        <v>360155.93</v>
      </c>
      <c r="BS17" s="191">
        <v>56972.32</v>
      </c>
      <c r="BT17" s="191">
        <v>0</v>
      </c>
    </row>
    <row r="18" spans="1:72" s="191" customFormat="1">
      <c r="A18" s="191" t="s">
        <v>205</v>
      </c>
      <c r="B18" s="191">
        <v>22301820.52</v>
      </c>
      <c r="C18" s="191">
        <v>17492169.73</v>
      </c>
      <c r="D18" s="191">
        <v>348717.33</v>
      </c>
      <c r="E18" s="191">
        <v>9305509.7100000009</v>
      </c>
      <c r="F18" s="191">
        <v>5476706.8600000003</v>
      </c>
      <c r="G18" s="191">
        <v>3622047.01</v>
      </c>
      <c r="H18" s="191">
        <v>1571584.3</v>
      </c>
      <c r="I18" s="191">
        <v>21255601.579999998</v>
      </c>
      <c r="J18" s="191">
        <v>19327642.699999999</v>
      </c>
      <c r="K18" s="191">
        <v>13028259.09</v>
      </c>
      <c r="L18" s="191">
        <v>2267644.59</v>
      </c>
      <c r="M18" s="191">
        <v>8544734.2400000002</v>
      </c>
      <c r="N18" s="191">
        <v>6745250.3399999999</v>
      </c>
      <c r="O18" s="191">
        <v>2953398.88</v>
      </c>
      <c r="P18" s="191">
        <v>363243.49</v>
      </c>
      <c r="Q18" s="191">
        <v>6534767.8200000003</v>
      </c>
      <c r="R18" s="191">
        <v>2152621.42</v>
      </c>
      <c r="S18" s="191">
        <v>967557.28</v>
      </c>
      <c r="T18" s="191">
        <v>478910.16</v>
      </c>
      <c r="U18" s="191">
        <v>4436503.29</v>
      </c>
      <c r="V18" s="191">
        <v>1054780.1000000001</v>
      </c>
      <c r="W18" s="191">
        <v>464563.93</v>
      </c>
      <c r="X18" s="191">
        <v>279512.89</v>
      </c>
      <c r="Y18" s="191">
        <v>2686870.34</v>
      </c>
      <c r="Z18" s="191">
        <v>1367878.03</v>
      </c>
      <c r="AA18" s="191">
        <v>385614.15</v>
      </c>
      <c r="AB18" s="191">
        <v>242423.13</v>
      </c>
      <c r="AC18" s="191">
        <v>3994298.24</v>
      </c>
      <c r="AD18" s="191">
        <v>4748380.5599999996</v>
      </c>
      <c r="AE18" s="191">
        <v>1086719.56</v>
      </c>
      <c r="AF18" s="191">
        <v>252367.78</v>
      </c>
      <c r="AG18" s="191">
        <v>2665198.3199999998</v>
      </c>
      <c r="AH18" s="191">
        <v>2395823.35</v>
      </c>
      <c r="AI18" s="191">
        <v>2194256.06</v>
      </c>
      <c r="AJ18" s="191">
        <v>1470174.92</v>
      </c>
      <c r="AK18" s="191">
        <v>11500331.140000001</v>
      </c>
      <c r="AL18" s="191">
        <v>3959302.37</v>
      </c>
      <c r="AM18" s="191">
        <v>1056013.47</v>
      </c>
      <c r="AN18" s="191">
        <v>12641.04</v>
      </c>
      <c r="AO18" s="191">
        <v>2242035.4900000002</v>
      </c>
      <c r="AP18" s="191">
        <v>2229298.69</v>
      </c>
      <c r="AQ18" s="191">
        <v>1776977.54</v>
      </c>
      <c r="AR18" s="191">
        <v>459582.85</v>
      </c>
      <c r="AS18" s="191">
        <v>2182875.71</v>
      </c>
      <c r="AT18" s="191">
        <v>1547335.34</v>
      </c>
      <c r="AU18" s="191">
        <v>1250333.27</v>
      </c>
      <c r="AV18" s="191">
        <v>230043.27</v>
      </c>
      <c r="AW18" s="191">
        <v>1288092.21</v>
      </c>
      <c r="AX18" s="191">
        <v>473104.35</v>
      </c>
      <c r="AY18" s="191">
        <v>304835.15000000002</v>
      </c>
      <c r="AZ18" s="191">
        <v>196695.77</v>
      </c>
      <c r="BA18" s="191">
        <v>1282347.7</v>
      </c>
      <c r="BB18" s="191">
        <v>844148.74</v>
      </c>
      <c r="BC18" s="191">
        <v>261532.58</v>
      </c>
      <c r="BD18" s="191">
        <v>5182.58</v>
      </c>
      <c r="BE18" s="191">
        <v>2006306.44</v>
      </c>
      <c r="BF18" s="191">
        <v>1310855</v>
      </c>
      <c r="BG18" s="191">
        <v>521390.8</v>
      </c>
      <c r="BH18" s="191">
        <v>386764.16</v>
      </c>
      <c r="BI18" s="191">
        <v>220775.41</v>
      </c>
      <c r="BJ18" s="191">
        <v>-82506.83</v>
      </c>
      <c r="BK18" s="191">
        <v>-145238.81</v>
      </c>
      <c r="BL18" s="191">
        <v>-157628.26</v>
      </c>
      <c r="BM18" s="191">
        <v>803482.47</v>
      </c>
      <c r="BN18" s="191">
        <v>506871.12</v>
      </c>
      <c r="BO18" s="191">
        <v>259641.62</v>
      </c>
      <c r="BP18" s="191">
        <v>1519049.58</v>
      </c>
      <c r="BQ18" s="191">
        <v>304772.07</v>
      </c>
      <c r="BR18" s="191">
        <v>949640.05</v>
      </c>
      <c r="BS18" s="191">
        <v>1016673.5</v>
      </c>
      <c r="BT18" s="191">
        <v>0</v>
      </c>
    </row>
    <row r="19" spans="1:72" s="191" customFormat="1">
      <c r="A19" s="191" t="s">
        <v>206</v>
      </c>
      <c r="B19" s="191">
        <v>0</v>
      </c>
      <c r="C19" s="191">
        <v>0</v>
      </c>
      <c r="D19" s="191">
        <v>0</v>
      </c>
      <c r="E19" s="191">
        <v>0</v>
      </c>
      <c r="F19" s="191">
        <v>0</v>
      </c>
      <c r="G19" s="191">
        <v>2882950.21</v>
      </c>
      <c r="H19" s="191">
        <v>0</v>
      </c>
      <c r="I19" s="191">
        <v>17565332.010000002</v>
      </c>
      <c r="J19" s="191">
        <v>0</v>
      </c>
      <c r="K19" s="191">
        <v>9760425.8800000008</v>
      </c>
      <c r="L19" s="191">
        <v>0</v>
      </c>
      <c r="M19" s="191">
        <v>7151100.1200000001</v>
      </c>
      <c r="N19" s="191">
        <v>0</v>
      </c>
      <c r="O19" s="191">
        <v>0</v>
      </c>
      <c r="P19" s="191">
        <v>0</v>
      </c>
      <c r="Q19" s="191">
        <v>2508785.89</v>
      </c>
      <c r="R19" s="191">
        <v>0</v>
      </c>
      <c r="S19" s="191">
        <v>0</v>
      </c>
      <c r="T19" s="191">
        <v>0</v>
      </c>
      <c r="U19" s="191">
        <v>1821728.55</v>
      </c>
      <c r="V19" s="191">
        <v>0</v>
      </c>
      <c r="W19" s="191">
        <v>0</v>
      </c>
      <c r="X19" s="191">
        <v>0</v>
      </c>
      <c r="Y19" s="191">
        <v>1459665.59</v>
      </c>
      <c r="Z19" s="191">
        <v>0</v>
      </c>
      <c r="AA19" s="191">
        <v>0</v>
      </c>
      <c r="AB19" s="191">
        <v>0</v>
      </c>
      <c r="AC19" s="191">
        <v>117430.73</v>
      </c>
      <c r="AD19" s="191">
        <v>0</v>
      </c>
      <c r="AE19" s="191">
        <v>117430.73</v>
      </c>
      <c r="AF19" s="191">
        <v>0</v>
      </c>
      <c r="AG19" s="191">
        <v>1375075.37</v>
      </c>
      <c r="AH19" s="191">
        <v>0</v>
      </c>
      <c r="AI19" s="191">
        <v>0</v>
      </c>
      <c r="AJ19" s="191">
        <v>0</v>
      </c>
      <c r="AK19" s="191">
        <v>7534072.7699999996</v>
      </c>
      <c r="AL19" s="191">
        <v>0</v>
      </c>
      <c r="AM19" s="191">
        <v>0</v>
      </c>
      <c r="AN19" s="191">
        <v>0</v>
      </c>
      <c r="AO19" s="191">
        <v>0</v>
      </c>
      <c r="AP19" s="191">
        <v>0</v>
      </c>
      <c r="AQ19" s="191">
        <v>0</v>
      </c>
      <c r="AR19" s="191">
        <v>0</v>
      </c>
      <c r="AS19" s="191">
        <v>602246.34</v>
      </c>
      <c r="AT19" s="191">
        <v>0</v>
      </c>
      <c r="AU19" s="191">
        <v>0</v>
      </c>
      <c r="AV19" s="191">
        <v>0</v>
      </c>
      <c r="AW19" s="191">
        <v>0</v>
      </c>
      <c r="AX19" s="191">
        <v>0</v>
      </c>
      <c r="AY19" s="191">
        <v>0</v>
      </c>
      <c r="AZ19" s="191">
        <v>0</v>
      </c>
      <c r="BA19" s="191">
        <v>0</v>
      </c>
      <c r="BB19" s="191">
        <v>0</v>
      </c>
      <c r="BC19" s="191">
        <v>0</v>
      </c>
      <c r="BD19" s="191">
        <v>0</v>
      </c>
      <c r="BE19" s="191">
        <v>0</v>
      </c>
      <c r="BF19" s="191">
        <v>0</v>
      </c>
      <c r="BG19" s="191">
        <v>0</v>
      </c>
      <c r="BH19" s="191">
        <v>0</v>
      </c>
      <c r="BI19" s="191">
        <v>0</v>
      </c>
      <c r="BJ19" s="191">
        <v>0</v>
      </c>
      <c r="BK19" s="191">
        <v>0</v>
      </c>
      <c r="BL19" s="191">
        <v>0</v>
      </c>
      <c r="BM19" s="191">
        <v>0</v>
      </c>
      <c r="BN19" s="191">
        <v>0</v>
      </c>
      <c r="BO19" s="191">
        <v>0</v>
      </c>
      <c r="BP19" s="191">
        <v>0</v>
      </c>
      <c r="BQ19" s="191">
        <v>0</v>
      </c>
      <c r="BR19" s="191">
        <v>0</v>
      </c>
      <c r="BS19" s="191">
        <v>0</v>
      </c>
      <c r="BT19" s="191">
        <v>0</v>
      </c>
    </row>
    <row r="20" spans="1:72" s="191" customFormat="1">
      <c r="A20" s="191" t="s">
        <v>207</v>
      </c>
      <c r="B20" s="191">
        <v>310032493.02999997</v>
      </c>
      <c r="C20" s="191">
        <v>197949429.88999999</v>
      </c>
      <c r="D20" s="191">
        <v>97930107.560000002</v>
      </c>
      <c r="E20" s="191">
        <v>310240856.22000003</v>
      </c>
      <c r="F20" s="191">
        <v>238573742.94999999</v>
      </c>
      <c r="G20" s="191">
        <v>158052857.31</v>
      </c>
      <c r="H20" s="191">
        <v>77197559.060000002</v>
      </c>
      <c r="I20" s="191">
        <v>239257081.53999999</v>
      </c>
      <c r="J20" s="191">
        <v>180440752.13999999</v>
      </c>
      <c r="K20" s="191">
        <v>119286611.68000001</v>
      </c>
      <c r="L20" s="191">
        <v>51998807.5</v>
      </c>
      <c r="M20" s="191">
        <v>195316759.22999999</v>
      </c>
      <c r="N20" s="191">
        <v>150907659.37</v>
      </c>
      <c r="O20" s="191">
        <v>96865048.549999997</v>
      </c>
      <c r="P20" s="191">
        <v>42843362.700000003</v>
      </c>
      <c r="Q20" s="191">
        <v>168379522.80000001</v>
      </c>
      <c r="R20" s="191">
        <v>130008788.47</v>
      </c>
      <c r="S20" s="191">
        <v>90219506.159999996</v>
      </c>
      <c r="T20" s="191">
        <v>40363502.07</v>
      </c>
      <c r="U20" s="191">
        <v>164357231.83000001</v>
      </c>
      <c r="V20" s="191">
        <v>133090923.70999999</v>
      </c>
      <c r="W20" s="191">
        <v>88718843.760000005</v>
      </c>
      <c r="X20" s="191">
        <v>41106451.140000001</v>
      </c>
      <c r="Y20" s="191">
        <v>160309651.03</v>
      </c>
      <c r="Z20" s="191">
        <v>129273023.79000001</v>
      </c>
      <c r="AA20" s="191">
        <v>85140062.629999995</v>
      </c>
      <c r="AB20" s="191">
        <v>36916126</v>
      </c>
      <c r="AC20" s="191">
        <v>166652466.47999999</v>
      </c>
      <c r="AD20" s="191">
        <v>144991769.52000001</v>
      </c>
      <c r="AE20" s="191">
        <v>104076920.77</v>
      </c>
      <c r="AF20" s="191">
        <v>53059582.020000003</v>
      </c>
      <c r="AG20" s="191">
        <v>207299159.02000001</v>
      </c>
      <c r="AH20" s="191">
        <v>169120715.41</v>
      </c>
      <c r="AI20" s="191">
        <v>111131488.75</v>
      </c>
      <c r="AJ20" s="191">
        <v>51994957.350000001</v>
      </c>
      <c r="AK20" s="191">
        <v>172850825</v>
      </c>
      <c r="AL20" s="191">
        <v>134437389.71000001</v>
      </c>
      <c r="AM20" s="191">
        <v>90633990.430000007</v>
      </c>
      <c r="AN20" s="191">
        <v>42365444.219999999</v>
      </c>
      <c r="AO20" s="191">
        <v>158952768.16</v>
      </c>
      <c r="AP20" s="191">
        <v>128446922.88</v>
      </c>
      <c r="AQ20" s="191">
        <v>85070123.780000001</v>
      </c>
      <c r="AR20" s="191">
        <v>39484067.450000003</v>
      </c>
      <c r="AS20" s="191">
        <v>159517510.86000001</v>
      </c>
      <c r="AT20" s="191">
        <v>117560008.77</v>
      </c>
      <c r="AU20" s="191">
        <v>76269908.609999999</v>
      </c>
      <c r="AV20" s="191">
        <v>33843167.07</v>
      </c>
      <c r="AW20" s="191">
        <v>140737386.56</v>
      </c>
      <c r="AX20" s="191">
        <v>104118890.02</v>
      </c>
      <c r="AY20" s="191">
        <v>67251411.269999996</v>
      </c>
      <c r="AZ20" s="191">
        <v>32036766.77</v>
      </c>
      <c r="BA20" s="191">
        <v>121212377.23999999</v>
      </c>
      <c r="BB20" s="191">
        <v>90451029.689999998</v>
      </c>
      <c r="BC20" s="191">
        <v>60896144.700000003</v>
      </c>
      <c r="BD20" s="191">
        <v>29583230.93</v>
      </c>
      <c r="BE20" s="191">
        <v>114470380.05</v>
      </c>
      <c r="BF20" s="191">
        <v>82591532.209999993</v>
      </c>
      <c r="BG20" s="191">
        <v>55982876.710000001</v>
      </c>
      <c r="BH20" s="191">
        <v>25531865.989999998</v>
      </c>
      <c r="BI20" s="191">
        <v>107202047.58</v>
      </c>
      <c r="BJ20" s="191">
        <v>76624580.370000005</v>
      </c>
      <c r="BK20" s="191">
        <v>49401162.920000002</v>
      </c>
      <c r="BL20" s="191">
        <v>18670634.300000001</v>
      </c>
      <c r="BM20" s="191">
        <v>82335560.040000007</v>
      </c>
      <c r="BN20" s="191">
        <v>57643763.630000003</v>
      </c>
      <c r="BO20" s="191">
        <v>39345049.5</v>
      </c>
      <c r="BP20" s="191">
        <v>59652844.130000003</v>
      </c>
      <c r="BQ20" s="191">
        <v>30828412.829999998</v>
      </c>
      <c r="BR20" s="191">
        <v>44828368.659999996</v>
      </c>
      <c r="BS20" s="191">
        <v>41327229.850000001</v>
      </c>
      <c r="BT20" s="191">
        <v>0</v>
      </c>
    </row>
    <row r="21" spans="1:72" s="191" customFormat="1">
      <c r="A21" s="191" t="s">
        <v>208</v>
      </c>
      <c r="B21" s="191">
        <v>47627132.659999996</v>
      </c>
      <c r="C21" s="191">
        <v>30356833.449999999</v>
      </c>
      <c r="D21" s="191">
        <v>14863620.199999999</v>
      </c>
      <c r="E21" s="191">
        <v>47482785.229999997</v>
      </c>
      <c r="F21" s="191">
        <v>39003340.140000001</v>
      </c>
      <c r="G21" s="191">
        <v>25938621.870000001</v>
      </c>
      <c r="H21" s="191">
        <v>12417841.869999999</v>
      </c>
      <c r="I21" s="191">
        <v>50210473.189999998</v>
      </c>
      <c r="J21" s="191">
        <v>51273954.630000003</v>
      </c>
      <c r="K21" s="191">
        <v>33674931.009999998</v>
      </c>
      <c r="L21" s="191">
        <v>13500085.23</v>
      </c>
      <c r="M21" s="191">
        <v>50644284.880000003</v>
      </c>
      <c r="N21" s="191">
        <v>37874601.859999999</v>
      </c>
      <c r="O21" s="191">
        <v>24264463.719999999</v>
      </c>
      <c r="P21" s="191">
        <v>10646655.310000001</v>
      </c>
      <c r="Q21" s="191">
        <v>44743100.539999999</v>
      </c>
      <c r="R21" s="191">
        <v>33417949.100000001</v>
      </c>
      <c r="S21" s="191">
        <v>22801504.370000001</v>
      </c>
      <c r="T21" s="191">
        <v>10463764.130000001</v>
      </c>
      <c r="U21" s="191">
        <v>42023524.640000001</v>
      </c>
      <c r="V21" s="191">
        <v>30928686.789999999</v>
      </c>
      <c r="W21" s="191">
        <v>21438100.309999999</v>
      </c>
      <c r="X21" s="191">
        <v>9663149.7699999996</v>
      </c>
      <c r="Y21" s="191">
        <v>40481508.619999997</v>
      </c>
      <c r="Z21" s="191">
        <v>33315833.559999999</v>
      </c>
      <c r="AA21" s="191">
        <v>22044124.120000001</v>
      </c>
      <c r="AB21" s="191">
        <v>9159641.9299999997</v>
      </c>
      <c r="AC21" s="191">
        <v>34144409.609999999</v>
      </c>
      <c r="AD21" s="191">
        <v>31035919.120000001</v>
      </c>
      <c r="AE21" s="191">
        <v>20470770.82</v>
      </c>
      <c r="AF21" s="191">
        <v>13530186.85</v>
      </c>
      <c r="AG21" s="191">
        <v>35328521.5</v>
      </c>
      <c r="AH21" s="191">
        <v>27344311.27</v>
      </c>
      <c r="AI21" s="191">
        <v>17283029.34</v>
      </c>
      <c r="AJ21" s="191">
        <v>7815152.54</v>
      </c>
      <c r="AK21" s="191">
        <v>28011523.210000001</v>
      </c>
      <c r="AL21" s="191">
        <v>23895019.379999999</v>
      </c>
      <c r="AM21" s="191">
        <v>15834828.84</v>
      </c>
      <c r="AN21" s="191">
        <v>6420265.0999999996</v>
      </c>
      <c r="AO21" s="191">
        <v>23740483.969999999</v>
      </c>
      <c r="AP21" s="191">
        <v>29589740.550000001</v>
      </c>
      <c r="AQ21" s="191">
        <v>18701942.66</v>
      </c>
      <c r="AR21" s="191">
        <v>10022988.949999999</v>
      </c>
      <c r="AS21" s="191">
        <v>47990849.560000002</v>
      </c>
      <c r="AT21" s="191">
        <v>33840992.43</v>
      </c>
      <c r="AU21" s="191">
        <v>22272778.210000001</v>
      </c>
      <c r="AV21" s="191">
        <v>10088524.83</v>
      </c>
      <c r="AW21" s="191">
        <v>46552787.799999997</v>
      </c>
      <c r="AX21" s="191">
        <v>30743334.629999999</v>
      </c>
      <c r="AY21" s="191">
        <v>19251236.27</v>
      </c>
      <c r="AZ21" s="191">
        <v>10376356.74</v>
      </c>
      <c r="BA21" s="191">
        <v>38420473.280000001</v>
      </c>
      <c r="BB21" s="191">
        <v>28362151.449999999</v>
      </c>
      <c r="BC21" s="191">
        <v>20129075.870000001</v>
      </c>
      <c r="BD21" s="191">
        <v>9860844.6099999994</v>
      </c>
      <c r="BE21" s="191">
        <v>38490055.469999999</v>
      </c>
      <c r="BF21" s="191">
        <v>25973940.109999999</v>
      </c>
      <c r="BG21" s="191">
        <v>17796756.640000001</v>
      </c>
      <c r="BH21" s="191">
        <v>8241362.2999999998</v>
      </c>
      <c r="BI21" s="191">
        <v>36487281.869999997</v>
      </c>
      <c r="BJ21" s="191">
        <v>24923114.84</v>
      </c>
      <c r="BK21" s="191">
        <v>16034488.02</v>
      </c>
      <c r="BL21" s="191">
        <v>6466312.96</v>
      </c>
      <c r="BM21" s="191">
        <v>24610726.57</v>
      </c>
      <c r="BN21" s="191">
        <v>17973793.670000002</v>
      </c>
      <c r="BO21" s="191">
        <v>12502689.369999999</v>
      </c>
      <c r="BP21" s="191">
        <v>18454098.190000001</v>
      </c>
      <c r="BQ21" s="191">
        <v>10267459.1</v>
      </c>
      <c r="BR21" s="191">
        <v>13730504.65</v>
      </c>
      <c r="BS21" s="191">
        <v>12686472.15</v>
      </c>
      <c r="BT21" s="191">
        <v>0</v>
      </c>
    </row>
    <row r="22" spans="1:72" s="191" customFormat="1">
      <c r="A22" s="191" t="s">
        <v>209</v>
      </c>
      <c r="B22" s="191">
        <v>262405360.37</v>
      </c>
      <c r="C22" s="191">
        <v>167592596.44</v>
      </c>
      <c r="D22" s="191">
        <v>83066487.359999999</v>
      </c>
      <c r="E22" s="191">
        <v>262758070.99000001</v>
      </c>
      <c r="F22" s="191">
        <v>199570402.81</v>
      </c>
      <c r="G22" s="191">
        <v>132114235.44</v>
      </c>
      <c r="H22" s="191">
        <v>64779717.189999998</v>
      </c>
      <c r="I22" s="191">
        <v>189046608.34999999</v>
      </c>
      <c r="J22" s="191">
        <v>129166797.51000001</v>
      </c>
      <c r="K22" s="191">
        <v>85611680.670000002</v>
      </c>
      <c r="L22" s="191">
        <v>38498722.270000003</v>
      </c>
      <c r="M22" s="191">
        <v>144672474.34999999</v>
      </c>
      <c r="N22" s="191">
        <v>113033057.51000001</v>
      </c>
      <c r="O22" s="191">
        <v>72600584.829999998</v>
      </c>
      <c r="P22" s="191">
        <v>32196707.390000001</v>
      </c>
      <c r="Q22" s="191">
        <v>123636422.26000001</v>
      </c>
      <c r="R22" s="191">
        <v>96590839.370000005</v>
      </c>
      <c r="S22" s="191">
        <v>67418001.790000007</v>
      </c>
      <c r="T22" s="191">
        <v>29899737.940000001</v>
      </c>
      <c r="U22" s="191">
        <v>122333707.19</v>
      </c>
      <c r="V22" s="191">
        <v>102162236.92</v>
      </c>
      <c r="W22" s="191">
        <v>67280743.450000003</v>
      </c>
      <c r="X22" s="191">
        <v>31443301.370000001</v>
      </c>
      <c r="Y22" s="191">
        <v>119828142.41</v>
      </c>
      <c r="Z22" s="191">
        <v>95957190.230000004</v>
      </c>
      <c r="AA22" s="191">
        <v>63095938.509999998</v>
      </c>
      <c r="AB22" s="191">
        <v>27756484.07</v>
      </c>
      <c r="AC22" s="191">
        <v>132508056.87</v>
      </c>
      <c r="AD22" s="191">
        <v>113955850.40000001</v>
      </c>
      <c r="AE22" s="191">
        <v>83606149.950000003</v>
      </c>
      <c r="AF22" s="191">
        <v>39529395.170000002</v>
      </c>
      <c r="AG22" s="191">
        <v>171970637.52000001</v>
      </c>
      <c r="AH22" s="191">
        <v>141776404.13999999</v>
      </c>
      <c r="AI22" s="191">
        <v>93848459.409999996</v>
      </c>
      <c r="AJ22" s="191">
        <v>44179804.810000002</v>
      </c>
      <c r="AK22" s="191">
        <v>144839301.78999999</v>
      </c>
      <c r="AL22" s="191">
        <v>110542370.33</v>
      </c>
      <c r="AM22" s="191">
        <v>74799161.590000004</v>
      </c>
      <c r="AN22" s="191">
        <v>35945179.119999997</v>
      </c>
      <c r="AO22" s="191">
        <v>135212284.19</v>
      </c>
      <c r="AP22" s="191">
        <v>98857182.329999998</v>
      </c>
      <c r="AQ22" s="191">
        <v>66368181.119999997</v>
      </c>
      <c r="AR22" s="191">
        <v>29461078.5</v>
      </c>
      <c r="AS22" s="191">
        <v>111526661.3</v>
      </c>
      <c r="AT22" s="191">
        <v>83719016.340000004</v>
      </c>
      <c r="AU22" s="191">
        <v>53997130.399999999</v>
      </c>
      <c r="AV22" s="191">
        <v>23754642.239999998</v>
      </c>
      <c r="AW22" s="191">
        <v>94184598.760000005</v>
      </c>
      <c r="AX22" s="191">
        <v>73375555.390000001</v>
      </c>
      <c r="AY22" s="191">
        <v>48000175</v>
      </c>
      <c r="AZ22" s="191">
        <v>21660410.030000001</v>
      </c>
      <c r="BA22" s="191">
        <v>82791903.959999993</v>
      </c>
      <c r="BB22" s="191">
        <v>62088878.240000002</v>
      </c>
      <c r="BC22" s="191">
        <v>40767068.829999998</v>
      </c>
      <c r="BD22" s="191">
        <v>19722386.32</v>
      </c>
      <c r="BE22" s="191">
        <v>75980324.579999998</v>
      </c>
      <c r="BF22" s="191">
        <v>56617592.100000001</v>
      </c>
      <c r="BG22" s="191">
        <v>38186120.07</v>
      </c>
      <c r="BH22" s="191">
        <v>17290503.690000001</v>
      </c>
      <c r="BI22" s="191">
        <v>70714765.709999993</v>
      </c>
      <c r="BJ22" s="191">
        <v>51701465.530000001</v>
      </c>
      <c r="BK22" s="191">
        <v>33366674.899999999</v>
      </c>
      <c r="BL22" s="191">
        <v>12204321.34</v>
      </c>
      <c r="BM22" s="191">
        <v>57724833.469999999</v>
      </c>
      <c r="BN22" s="191">
        <v>39669969.960000001</v>
      </c>
      <c r="BO22" s="191">
        <v>26842360.129999999</v>
      </c>
      <c r="BP22" s="191">
        <v>41198745.939999998</v>
      </c>
      <c r="BQ22" s="191">
        <v>20560953.73</v>
      </c>
      <c r="BR22" s="191">
        <v>31097864.010000002</v>
      </c>
      <c r="BS22" s="191">
        <v>28640757.699999999</v>
      </c>
      <c r="BT22" s="191">
        <v>0</v>
      </c>
    </row>
    <row r="23" spans="1:72" s="191" customFormat="1">
      <c r="A23" s="191" t="s">
        <v>210</v>
      </c>
      <c r="B23" s="191">
        <v>262405360.37</v>
      </c>
      <c r="C23" s="191">
        <v>167592596.44</v>
      </c>
      <c r="D23" s="191">
        <v>83066487.359999999</v>
      </c>
      <c r="E23" s="191">
        <v>262758070.99000001</v>
      </c>
      <c r="F23" s="191">
        <v>199570402.81</v>
      </c>
      <c r="G23" s="191">
        <v>132114235.44</v>
      </c>
      <c r="H23" s="191">
        <v>64779717.189999998</v>
      </c>
      <c r="I23" s="191">
        <v>189604926.65000001</v>
      </c>
      <c r="J23" s="191">
        <v>129915896.90000001</v>
      </c>
      <c r="K23" s="191">
        <v>86169998.969999999</v>
      </c>
      <c r="L23" s="191">
        <v>38646015.520000003</v>
      </c>
      <c r="M23" s="191">
        <v>145407381.83000001</v>
      </c>
      <c r="N23" s="191">
        <v>113344265.31999999</v>
      </c>
      <c r="O23" s="191">
        <v>72793398.319999993</v>
      </c>
      <c r="P23" s="191">
        <v>32394698.18</v>
      </c>
      <c r="Q23" s="191">
        <v>124702667.08</v>
      </c>
      <c r="R23" s="191">
        <v>97060882.819999993</v>
      </c>
      <c r="S23" s="191">
        <v>67418001.790000007</v>
      </c>
      <c r="T23" s="191">
        <v>29899737.940000001</v>
      </c>
      <c r="U23" s="191">
        <v>122333707.19</v>
      </c>
      <c r="V23" s="191">
        <v>102162236.92</v>
      </c>
      <c r="W23" s="191">
        <v>67280743.450000003</v>
      </c>
      <c r="X23" s="191">
        <v>31443301.370000001</v>
      </c>
      <c r="Y23" s="191">
        <v>119828142.41</v>
      </c>
      <c r="Z23" s="191">
        <v>95957190.230000004</v>
      </c>
      <c r="AA23" s="191">
        <v>63095938.509999998</v>
      </c>
      <c r="AB23" s="191">
        <v>27756484.07</v>
      </c>
      <c r="AC23" s="191">
        <v>132532983.06999999</v>
      </c>
      <c r="AD23" s="191">
        <v>113953167.26000001</v>
      </c>
      <c r="AE23" s="191">
        <v>83603466.810000002</v>
      </c>
      <c r="AF23" s="191">
        <v>39547055.310000002</v>
      </c>
      <c r="AG23" s="191">
        <v>171330127.88</v>
      </c>
      <c r="AH23" s="191">
        <v>141611471.15000001</v>
      </c>
      <c r="AI23" s="191">
        <v>93860711.430000007</v>
      </c>
      <c r="AJ23" s="191">
        <v>44209989.259999998</v>
      </c>
      <c r="AK23" s="191">
        <v>144361875.68000001</v>
      </c>
      <c r="AL23" s="191">
        <v>110165069.08</v>
      </c>
      <c r="AM23" s="191">
        <v>74515285.379999995</v>
      </c>
      <c r="AN23" s="191">
        <v>35958432.700000003</v>
      </c>
      <c r="AO23" s="191">
        <v>135162460.96000001</v>
      </c>
      <c r="AP23" s="191">
        <v>98842421.530000001</v>
      </c>
      <c r="AQ23" s="191">
        <v>66360561.960000001</v>
      </c>
      <c r="AR23" s="191">
        <v>29481168.309999999</v>
      </c>
      <c r="AS23" s="191">
        <v>111013512.90000001</v>
      </c>
      <c r="AT23" s="191">
        <v>83405144.269999996</v>
      </c>
      <c r="AU23" s="191">
        <v>53687049.75</v>
      </c>
      <c r="AV23" s="191">
        <v>23696752.82</v>
      </c>
      <c r="AW23" s="191">
        <v>94055248.849999994</v>
      </c>
      <c r="AX23" s="191">
        <v>73222355.689999998</v>
      </c>
      <c r="AY23" s="191">
        <v>47897752.789999999</v>
      </c>
      <c r="AZ23" s="191">
        <v>21587648.91</v>
      </c>
      <c r="BA23" s="191">
        <v>82484076.010000005</v>
      </c>
      <c r="BB23" s="191">
        <v>61892547.659999996</v>
      </c>
      <c r="BC23" s="191">
        <v>40685844.020000003</v>
      </c>
      <c r="BD23" s="191">
        <v>19654573.699999999</v>
      </c>
      <c r="BE23" s="191">
        <v>75658066.290000007</v>
      </c>
      <c r="BF23" s="191">
        <v>56297171.530000001</v>
      </c>
      <c r="BG23" s="191">
        <v>37909207.880000003</v>
      </c>
      <c r="BH23" s="191">
        <v>17143146.010000002</v>
      </c>
      <c r="BI23" s="191">
        <v>70197205.790000007</v>
      </c>
      <c r="BJ23" s="191">
        <v>51234453.380000003</v>
      </c>
      <c r="BK23" s="191">
        <v>33087028.859999999</v>
      </c>
      <c r="BL23" s="191">
        <v>12026789.859999999</v>
      </c>
      <c r="BM23" s="191">
        <v>54752953.359999999</v>
      </c>
      <c r="BN23" s="191">
        <v>37287487.600000001</v>
      </c>
      <c r="BO23" s="191">
        <v>25145217.309999999</v>
      </c>
      <c r="BP23" s="191">
        <v>38797288.210000001</v>
      </c>
      <c r="BQ23" s="191">
        <v>20276278.739999998</v>
      </c>
      <c r="BR23" s="191">
        <v>30452642.41</v>
      </c>
      <c r="BS23" s="191">
        <v>28157644.52</v>
      </c>
      <c r="BT23" s="191">
        <v>0</v>
      </c>
    </row>
    <row r="24" spans="1:72" s="191" customFormat="1">
      <c r="A24" s="191" t="s">
        <v>211</v>
      </c>
      <c r="B24" s="191">
        <v>0</v>
      </c>
      <c r="C24" s="191">
        <v>0</v>
      </c>
      <c r="D24" s="191">
        <v>0</v>
      </c>
      <c r="E24" s="191">
        <v>0</v>
      </c>
      <c r="F24" s="191">
        <v>0</v>
      </c>
      <c r="G24" s="191">
        <v>0</v>
      </c>
      <c r="H24" s="191">
        <v>0</v>
      </c>
      <c r="I24" s="191">
        <v>-558318.30000000005</v>
      </c>
      <c r="J24" s="191">
        <v>-749099.39</v>
      </c>
      <c r="K24" s="191">
        <v>-558318.30000000005</v>
      </c>
      <c r="L24" s="191">
        <v>-147293.25</v>
      </c>
      <c r="M24" s="191">
        <v>-734907.48</v>
      </c>
      <c r="N24" s="191">
        <v>-311207.81</v>
      </c>
      <c r="O24" s="191">
        <v>-192813.49</v>
      </c>
      <c r="P24" s="191">
        <v>-197990.79</v>
      </c>
      <c r="Q24" s="191">
        <v>-1066244.82</v>
      </c>
      <c r="R24" s="191">
        <v>-470043.45</v>
      </c>
      <c r="S24" s="191">
        <v>0</v>
      </c>
      <c r="T24" s="191">
        <v>0</v>
      </c>
      <c r="U24" s="191">
        <v>0</v>
      </c>
      <c r="V24" s="191">
        <v>0</v>
      </c>
      <c r="W24" s="191">
        <v>0</v>
      </c>
      <c r="X24" s="191">
        <v>0</v>
      </c>
      <c r="Y24" s="191">
        <v>0</v>
      </c>
      <c r="Z24" s="191">
        <v>0</v>
      </c>
      <c r="AA24" s="191">
        <v>0</v>
      </c>
      <c r="AB24" s="191">
        <v>0</v>
      </c>
      <c r="AC24" s="191">
        <v>-24926.2</v>
      </c>
      <c r="AD24" s="191">
        <v>2683.14</v>
      </c>
      <c r="AE24" s="191">
        <v>2683.14</v>
      </c>
      <c r="AF24" s="191">
        <v>-17660.14</v>
      </c>
      <c r="AG24" s="191">
        <v>640509.64</v>
      </c>
      <c r="AH24" s="191">
        <v>164932.99</v>
      </c>
      <c r="AI24" s="191">
        <v>-12252.02</v>
      </c>
      <c r="AJ24" s="191">
        <v>-30184.45</v>
      </c>
      <c r="AK24" s="191">
        <v>477426.11</v>
      </c>
      <c r="AL24" s="191">
        <v>377301.25</v>
      </c>
      <c r="AM24" s="191">
        <v>283876.21000000002</v>
      </c>
      <c r="AN24" s="191">
        <v>-13253.58</v>
      </c>
      <c r="AO24" s="191">
        <v>49823.23</v>
      </c>
      <c r="AP24" s="191">
        <v>14760.8</v>
      </c>
      <c r="AQ24" s="191">
        <v>7619.16</v>
      </c>
      <c r="AR24" s="191">
        <v>-20089.810000000001</v>
      </c>
      <c r="AS24" s="191">
        <v>513148.4</v>
      </c>
      <c r="AT24" s="191">
        <v>313872.07</v>
      </c>
      <c r="AU24" s="191">
        <v>310080.65000000002</v>
      </c>
      <c r="AV24" s="191">
        <v>57889.42</v>
      </c>
      <c r="AW24" s="191">
        <v>129349.91</v>
      </c>
      <c r="AX24" s="191">
        <v>153199.70000000001</v>
      </c>
      <c r="AY24" s="191">
        <v>102422.21</v>
      </c>
      <c r="AZ24" s="191">
        <v>72761.119999999995</v>
      </c>
      <c r="BA24" s="191">
        <v>307827.95</v>
      </c>
      <c r="BB24" s="191">
        <v>196330.58</v>
      </c>
      <c r="BC24" s="191">
        <v>81224.81</v>
      </c>
      <c r="BD24" s="191">
        <v>67812.62</v>
      </c>
      <c r="BE24" s="191">
        <v>322258.28999999998</v>
      </c>
      <c r="BF24" s="191">
        <v>320420.57</v>
      </c>
      <c r="BG24" s="191">
        <v>276912.19</v>
      </c>
      <c r="BH24" s="191">
        <v>147357.68</v>
      </c>
      <c r="BI24" s="191">
        <v>517559.92</v>
      </c>
      <c r="BJ24" s="191">
        <v>467012.15</v>
      </c>
      <c r="BK24" s="191">
        <v>279646.03999999998</v>
      </c>
      <c r="BL24" s="191">
        <v>177531.48</v>
      </c>
      <c r="BM24" s="191">
        <v>2971880.11</v>
      </c>
      <c r="BN24" s="191">
        <v>2382482.36</v>
      </c>
      <c r="BO24" s="191">
        <v>1697142.82</v>
      </c>
      <c r="BP24" s="191">
        <v>2401457.73</v>
      </c>
      <c r="BQ24" s="191">
        <v>284674.99</v>
      </c>
      <c r="BR24" s="191">
        <v>645221.6</v>
      </c>
      <c r="BS24" s="191">
        <v>483113.18</v>
      </c>
      <c r="BT24" s="191">
        <v>0</v>
      </c>
    </row>
    <row r="25" spans="1:72" s="191" customFormat="1">
      <c r="A25" s="191" t="s">
        <v>212</v>
      </c>
    </row>
    <row r="26" spans="1:72" s="191" customFormat="1">
      <c r="A26" s="191" t="s">
        <v>213</v>
      </c>
      <c r="B26" s="191">
        <v>0.61750000000000005</v>
      </c>
      <c r="C26" s="191">
        <v>0.55210000000000004</v>
      </c>
      <c r="D26" s="191">
        <v>0.27</v>
      </c>
      <c r="E26" s="191">
        <v>0.87</v>
      </c>
      <c r="F26" s="191">
        <v>0.65739999999999998</v>
      </c>
      <c r="G26" s="191">
        <v>0.43519999999999998</v>
      </c>
      <c r="H26" s="191">
        <v>0.21</v>
      </c>
      <c r="I26" s="191">
        <v>0.74</v>
      </c>
      <c r="J26" s="191">
        <v>0.50480000000000003</v>
      </c>
      <c r="K26" s="191">
        <v>0.33479999999999999</v>
      </c>
      <c r="L26" s="191">
        <v>0.15</v>
      </c>
      <c r="M26" s="191">
        <v>0.56000000000000005</v>
      </c>
      <c r="N26" s="191">
        <v>0.44040000000000001</v>
      </c>
      <c r="O26" s="191">
        <v>0.2828</v>
      </c>
      <c r="P26" s="191">
        <v>0.13</v>
      </c>
      <c r="Q26" s="191">
        <v>0.48</v>
      </c>
      <c r="R26" s="191">
        <v>0.37709999999999999</v>
      </c>
      <c r="S26" s="191">
        <v>0.26190000000000002</v>
      </c>
      <c r="T26" s="191">
        <v>0.12</v>
      </c>
      <c r="U26" s="191">
        <v>0.48</v>
      </c>
      <c r="V26" s="191">
        <v>0.39689999999999998</v>
      </c>
      <c r="W26" s="191">
        <v>0.26140000000000002</v>
      </c>
      <c r="X26" s="191">
        <v>0.12</v>
      </c>
      <c r="Y26" s="191">
        <v>0.47</v>
      </c>
      <c r="Z26" s="191">
        <v>0.37</v>
      </c>
      <c r="AA26" s="191">
        <v>0.25</v>
      </c>
      <c r="AB26" s="191">
        <v>0.11</v>
      </c>
      <c r="AC26" s="191">
        <v>0.51</v>
      </c>
      <c r="AD26" s="191">
        <v>0.44</v>
      </c>
      <c r="AE26" s="191">
        <v>0.32</v>
      </c>
      <c r="AF26" s="191">
        <v>0.15</v>
      </c>
      <c r="AG26" s="191">
        <v>0.67</v>
      </c>
      <c r="AH26" s="191">
        <v>0.55000000000000004</v>
      </c>
      <c r="AI26" s="191">
        <v>0.36</v>
      </c>
      <c r="AJ26" s="191">
        <v>0.17</v>
      </c>
      <c r="AK26" s="191">
        <v>0.56000000000000005</v>
      </c>
      <c r="AL26" s="191">
        <v>0.43</v>
      </c>
      <c r="AM26" s="191">
        <v>0.28999999999999998</v>
      </c>
      <c r="AN26" s="191">
        <v>0.13969999999999999</v>
      </c>
      <c r="AO26" s="191">
        <v>0.53</v>
      </c>
      <c r="AP26" s="191">
        <v>0.38400000000000001</v>
      </c>
      <c r="AQ26" s="191">
        <v>0.25779999999999997</v>
      </c>
      <c r="AR26" s="191">
        <v>0.1145</v>
      </c>
      <c r="AS26" s="191">
        <v>0.44</v>
      </c>
      <c r="AT26" s="191">
        <v>0.33410000000000001</v>
      </c>
      <c r="AU26" s="191">
        <v>0.2185</v>
      </c>
      <c r="AV26" s="191">
        <v>0.1012</v>
      </c>
      <c r="AW26" s="191">
        <v>0</v>
      </c>
      <c r="AX26" s="191">
        <v>0</v>
      </c>
      <c r="AY26" s="191">
        <v>0</v>
      </c>
      <c r="AZ26" s="191">
        <v>0</v>
      </c>
      <c r="BA26" s="191">
        <v>0</v>
      </c>
      <c r="BB26" s="191">
        <v>0</v>
      </c>
      <c r="BC26" s="191">
        <v>0</v>
      </c>
      <c r="BD26" s="191">
        <v>0</v>
      </c>
      <c r="BE26" s="191">
        <v>0</v>
      </c>
      <c r="BF26" s="191">
        <v>0</v>
      </c>
      <c r="BG26" s="191">
        <v>0</v>
      </c>
      <c r="BH26" s="191">
        <v>0</v>
      </c>
      <c r="BI26" s="191">
        <v>0</v>
      </c>
      <c r="BJ26" s="191">
        <v>0</v>
      </c>
      <c r="BK26" s="191">
        <v>0</v>
      </c>
      <c r="BL26" s="191">
        <v>0</v>
      </c>
      <c r="BM26" s="191">
        <v>0</v>
      </c>
      <c r="BN26" s="191">
        <v>0</v>
      </c>
      <c r="BO26" s="191">
        <v>0</v>
      </c>
      <c r="BP26" s="191">
        <v>0</v>
      </c>
      <c r="BQ26" s="191">
        <v>0</v>
      </c>
      <c r="BR26" s="191">
        <v>0</v>
      </c>
      <c r="BS26" s="191">
        <v>0</v>
      </c>
      <c r="BT26" s="191">
        <v>0</v>
      </c>
    </row>
    <row r="27" spans="1:72" s="191" customFormat="1">
      <c r="A27" s="191" t="s">
        <v>214</v>
      </c>
      <c r="B27" s="191">
        <v>0.61750000000000005</v>
      </c>
      <c r="C27" s="191">
        <v>0.55210000000000004</v>
      </c>
      <c r="D27" s="191">
        <v>0.27</v>
      </c>
      <c r="E27" s="191">
        <v>0.87</v>
      </c>
      <c r="F27" s="191">
        <v>0.65739999999999998</v>
      </c>
      <c r="G27" s="191">
        <v>0.43519999999999998</v>
      </c>
      <c r="H27" s="191">
        <v>0.21</v>
      </c>
      <c r="I27" s="191">
        <v>0.74</v>
      </c>
      <c r="J27" s="191">
        <v>0.50480000000000003</v>
      </c>
      <c r="K27" s="191">
        <v>0.33479999999999999</v>
      </c>
      <c r="L27" s="191">
        <v>0.15</v>
      </c>
      <c r="M27" s="191">
        <v>0.56000000000000005</v>
      </c>
      <c r="N27" s="191">
        <v>0.44040000000000001</v>
      </c>
      <c r="O27" s="191">
        <v>0.2828</v>
      </c>
      <c r="P27" s="191">
        <v>0.13</v>
      </c>
      <c r="Q27" s="191">
        <v>0.48</v>
      </c>
      <c r="R27" s="191">
        <v>0.37709999999999999</v>
      </c>
      <c r="S27" s="191">
        <v>0.26190000000000002</v>
      </c>
      <c r="T27" s="191">
        <v>0.12</v>
      </c>
      <c r="U27" s="191">
        <v>0.48</v>
      </c>
      <c r="V27" s="191">
        <v>0.39689999999999998</v>
      </c>
      <c r="W27" s="191">
        <v>0.26140000000000002</v>
      </c>
      <c r="X27" s="191">
        <v>0.12</v>
      </c>
      <c r="Y27" s="191">
        <v>0.47</v>
      </c>
      <c r="Z27" s="191">
        <v>0.37</v>
      </c>
      <c r="AA27" s="191">
        <v>0.25</v>
      </c>
      <c r="AB27" s="191">
        <v>0.11</v>
      </c>
      <c r="AC27" s="191">
        <v>0.51</v>
      </c>
      <c r="AD27" s="191">
        <v>0.44</v>
      </c>
      <c r="AE27" s="191">
        <v>0.32</v>
      </c>
      <c r="AF27" s="191">
        <v>0.15</v>
      </c>
      <c r="AG27" s="191">
        <v>0.67</v>
      </c>
      <c r="AH27" s="191">
        <v>0.55000000000000004</v>
      </c>
      <c r="AI27" s="191">
        <v>0.36</v>
      </c>
      <c r="AJ27" s="191">
        <v>0.17</v>
      </c>
      <c r="AK27" s="191">
        <v>0.56000000000000005</v>
      </c>
      <c r="AL27" s="191">
        <v>0.43</v>
      </c>
      <c r="AM27" s="191">
        <v>0.28999999999999998</v>
      </c>
      <c r="AN27" s="191">
        <v>0.13969999999999999</v>
      </c>
      <c r="AO27" s="191">
        <v>0.53</v>
      </c>
      <c r="AP27" s="191">
        <v>0.38400000000000001</v>
      </c>
      <c r="AQ27" s="191">
        <v>0.25779999999999997</v>
      </c>
      <c r="AR27" s="191">
        <v>0.1145</v>
      </c>
      <c r="AS27" s="191">
        <v>0.44</v>
      </c>
      <c r="AT27" s="191">
        <v>0.33410000000000001</v>
      </c>
      <c r="AU27" s="191">
        <v>0.2185</v>
      </c>
      <c r="AV27" s="191">
        <v>0.1012</v>
      </c>
      <c r="AW27" s="191">
        <v>0</v>
      </c>
      <c r="AX27" s="191">
        <v>0</v>
      </c>
      <c r="AY27" s="191">
        <v>0</v>
      </c>
      <c r="AZ27" s="191">
        <v>0</v>
      </c>
      <c r="BA27" s="191">
        <v>0</v>
      </c>
      <c r="BB27" s="191">
        <v>0</v>
      </c>
      <c r="BC27" s="191">
        <v>0</v>
      </c>
      <c r="BD27" s="191">
        <v>0</v>
      </c>
      <c r="BE27" s="191">
        <v>0</v>
      </c>
      <c r="BF27" s="191">
        <v>0</v>
      </c>
      <c r="BG27" s="191">
        <v>0</v>
      </c>
      <c r="BH27" s="191">
        <v>0</v>
      </c>
      <c r="BI27" s="191">
        <v>0</v>
      </c>
      <c r="BJ27" s="191">
        <v>0</v>
      </c>
      <c r="BK27" s="191">
        <v>0</v>
      </c>
      <c r="BL27" s="191">
        <v>0</v>
      </c>
      <c r="BM27" s="191">
        <v>0</v>
      </c>
      <c r="BN27" s="191">
        <v>0</v>
      </c>
      <c r="BO27" s="191">
        <v>0</v>
      </c>
      <c r="BP27" s="191">
        <v>0</v>
      </c>
      <c r="BQ27" s="191">
        <v>0</v>
      </c>
      <c r="BR27" s="191">
        <v>0</v>
      </c>
      <c r="BS27" s="191">
        <v>0</v>
      </c>
      <c r="BT27" s="191">
        <v>0</v>
      </c>
    </row>
    <row r="28" spans="1:72" s="191" customFormat="1">
      <c r="A28" s="191" t="s">
        <v>215</v>
      </c>
      <c r="B28" s="191">
        <v>0</v>
      </c>
      <c r="C28" s="191">
        <v>0</v>
      </c>
      <c r="D28" s="191">
        <v>0</v>
      </c>
      <c r="E28" s="191">
        <v>0</v>
      </c>
      <c r="F28" s="191">
        <v>0</v>
      </c>
      <c r="G28" s="191">
        <v>0</v>
      </c>
      <c r="H28" s="191">
        <v>0</v>
      </c>
      <c r="I28" s="191">
        <v>0</v>
      </c>
      <c r="J28" s="191">
        <v>0</v>
      </c>
      <c r="K28" s="191">
        <v>0</v>
      </c>
      <c r="L28" s="191">
        <v>0</v>
      </c>
      <c r="M28" s="191">
        <v>0</v>
      </c>
      <c r="N28" s="191">
        <v>0</v>
      </c>
      <c r="O28" s="191">
        <v>0</v>
      </c>
      <c r="P28" s="191">
        <v>0</v>
      </c>
      <c r="Q28" s="191">
        <v>0</v>
      </c>
      <c r="R28" s="191">
        <v>0</v>
      </c>
      <c r="S28" s="191">
        <v>0</v>
      </c>
      <c r="T28" s="191">
        <v>0</v>
      </c>
      <c r="U28" s="191">
        <v>0</v>
      </c>
      <c r="V28" s="191">
        <v>0</v>
      </c>
      <c r="W28" s="191">
        <v>0</v>
      </c>
      <c r="X28" s="191">
        <v>0</v>
      </c>
      <c r="Y28" s="191">
        <v>0</v>
      </c>
      <c r="Z28" s="191">
        <v>0</v>
      </c>
      <c r="AA28" s="191">
        <v>0</v>
      </c>
      <c r="AB28" s="191">
        <v>0</v>
      </c>
      <c r="AC28" s="191">
        <v>0</v>
      </c>
      <c r="AD28" s="191">
        <v>0</v>
      </c>
      <c r="AE28" s="191">
        <v>0</v>
      </c>
      <c r="AF28" s="191">
        <v>0</v>
      </c>
      <c r="AG28" s="191">
        <v>0</v>
      </c>
      <c r="AH28" s="191">
        <v>0</v>
      </c>
      <c r="AI28" s="191">
        <v>0</v>
      </c>
      <c r="AJ28" s="191">
        <v>0</v>
      </c>
      <c r="AK28" s="191">
        <v>0</v>
      </c>
      <c r="AL28" s="191">
        <v>0</v>
      </c>
      <c r="AM28" s="191">
        <v>0</v>
      </c>
      <c r="AN28" s="191">
        <v>0</v>
      </c>
      <c r="AO28" s="191">
        <v>0</v>
      </c>
      <c r="AP28" s="191">
        <v>0</v>
      </c>
      <c r="AQ28" s="191">
        <v>0</v>
      </c>
      <c r="AR28" s="191">
        <v>0</v>
      </c>
      <c r="AS28" s="191">
        <v>0</v>
      </c>
      <c r="AT28" s="191">
        <v>0</v>
      </c>
      <c r="AU28" s="191">
        <v>0</v>
      </c>
      <c r="AV28" s="191">
        <v>0</v>
      </c>
      <c r="AW28" s="191">
        <v>0</v>
      </c>
      <c r="AX28" s="191">
        <v>0</v>
      </c>
      <c r="AY28" s="191">
        <v>0</v>
      </c>
      <c r="AZ28" s="191">
        <v>0</v>
      </c>
      <c r="BA28" s="191">
        <v>0</v>
      </c>
      <c r="BB28" s="191">
        <v>0</v>
      </c>
      <c r="BC28" s="191">
        <v>0</v>
      </c>
      <c r="BD28" s="191">
        <v>0</v>
      </c>
      <c r="BE28" s="191">
        <v>0</v>
      </c>
      <c r="BF28" s="191">
        <v>0</v>
      </c>
      <c r="BG28" s="191">
        <v>0</v>
      </c>
      <c r="BH28" s="191">
        <v>0</v>
      </c>
      <c r="BI28" s="191">
        <v>0</v>
      </c>
      <c r="BJ28" s="191">
        <v>0</v>
      </c>
      <c r="BK28" s="191">
        <v>0</v>
      </c>
      <c r="BL28" s="191">
        <v>0</v>
      </c>
      <c r="BM28" s="191">
        <v>0</v>
      </c>
      <c r="BN28" s="191">
        <v>0</v>
      </c>
      <c r="BO28" s="191">
        <v>0</v>
      </c>
      <c r="BP28" s="191">
        <v>0</v>
      </c>
      <c r="BQ28" s="191">
        <v>0</v>
      </c>
      <c r="BR28" s="191">
        <v>0</v>
      </c>
      <c r="BS28" s="191">
        <v>0</v>
      </c>
      <c r="BT28" s="191">
        <v>0</v>
      </c>
    </row>
    <row r="29" spans="1:72" s="191" customFormat="1">
      <c r="A29" s="191" t="s">
        <v>216</v>
      </c>
      <c r="B29" s="191">
        <v>262405360.37</v>
      </c>
      <c r="C29" s="191">
        <v>167592596.44</v>
      </c>
      <c r="D29" s="191">
        <v>83066487.359999999</v>
      </c>
      <c r="E29" s="191">
        <v>262758070.99000001</v>
      </c>
      <c r="F29" s="191">
        <v>199570402.81</v>
      </c>
      <c r="G29" s="191">
        <v>0</v>
      </c>
      <c r="H29" s="191">
        <v>64779717.189999998</v>
      </c>
      <c r="I29" s="191">
        <v>189046608.34999999</v>
      </c>
      <c r="J29" s="191">
        <v>129166797.51000001</v>
      </c>
      <c r="K29" s="191">
        <v>85611680.670000002</v>
      </c>
      <c r="L29" s="191">
        <v>38498722.270000003</v>
      </c>
      <c r="M29" s="191">
        <v>144672474.34999999</v>
      </c>
      <c r="N29" s="191">
        <v>113033057.51000001</v>
      </c>
      <c r="O29" s="191">
        <v>72600584.829999998</v>
      </c>
      <c r="P29" s="191">
        <v>32196707.390000001</v>
      </c>
      <c r="Q29" s="191">
        <v>123636422.26000001</v>
      </c>
      <c r="R29" s="191">
        <v>96590839.370000005</v>
      </c>
      <c r="S29" s="191">
        <v>67418001.790000007</v>
      </c>
      <c r="T29" s="191">
        <v>29899737.940000001</v>
      </c>
      <c r="U29" s="191">
        <v>122333707.19</v>
      </c>
      <c r="V29" s="191">
        <v>102162236.92</v>
      </c>
      <c r="W29" s="191">
        <v>67280743.450000003</v>
      </c>
      <c r="X29" s="191">
        <v>31443301.370000001</v>
      </c>
      <c r="Y29" s="191">
        <v>119828142.41</v>
      </c>
      <c r="Z29" s="191">
        <v>95957190.230000004</v>
      </c>
      <c r="AA29" s="191">
        <v>63095938.509999998</v>
      </c>
      <c r="AB29" s="191">
        <v>27756484.07</v>
      </c>
      <c r="AC29" s="191">
        <v>132508056.87</v>
      </c>
      <c r="AD29" s="191">
        <v>113955850.40000001</v>
      </c>
      <c r="AE29" s="191">
        <v>83606149.950000003</v>
      </c>
      <c r="AF29" s="191">
        <v>39529395.170000002</v>
      </c>
      <c r="AG29" s="191">
        <v>171970637.52000001</v>
      </c>
      <c r="AH29" s="191">
        <v>141776404.13999999</v>
      </c>
      <c r="AI29" s="191">
        <v>93848459.409999996</v>
      </c>
      <c r="AJ29" s="191">
        <v>44179804.810000002</v>
      </c>
      <c r="AK29" s="191">
        <v>144839301.78999999</v>
      </c>
      <c r="AL29" s="191">
        <v>0</v>
      </c>
      <c r="AM29" s="191">
        <v>0</v>
      </c>
      <c r="AN29" s="191">
        <v>0</v>
      </c>
      <c r="AO29" s="191">
        <v>135212284.19</v>
      </c>
      <c r="AP29" s="191">
        <v>0</v>
      </c>
      <c r="AQ29" s="191">
        <v>0</v>
      </c>
      <c r="AR29" s="191">
        <v>0</v>
      </c>
      <c r="AS29" s="191">
        <v>0</v>
      </c>
      <c r="AT29" s="191">
        <v>0</v>
      </c>
      <c r="AU29" s="191">
        <v>0</v>
      </c>
      <c r="AV29" s="191">
        <v>0</v>
      </c>
      <c r="AW29" s="191">
        <v>0</v>
      </c>
      <c r="AX29" s="191">
        <v>0</v>
      </c>
      <c r="AY29" s="191">
        <v>0</v>
      </c>
      <c r="AZ29" s="191">
        <v>0</v>
      </c>
      <c r="BA29" s="191">
        <v>0</v>
      </c>
      <c r="BB29" s="191">
        <v>0</v>
      </c>
      <c r="BC29" s="191">
        <v>0</v>
      </c>
      <c r="BD29" s="191">
        <v>0</v>
      </c>
      <c r="BE29" s="191">
        <v>0</v>
      </c>
      <c r="BF29" s="191">
        <v>0</v>
      </c>
      <c r="BG29" s="191">
        <v>0</v>
      </c>
      <c r="BH29" s="191">
        <v>0</v>
      </c>
      <c r="BI29" s="191">
        <v>0</v>
      </c>
      <c r="BJ29" s="191">
        <v>0</v>
      </c>
      <c r="BK29" s="191">
        <v>0</v>
      </c>
      <c r="BL29" s="191">
        <v>0</v>
      </c>
      <c r="BM29" s="191">
        <v>0</v>
      </c>
      <c r="BN29" s="191">
        <v>0</v>
      </c>
      <c r="BO29" s="191">
        <v>0</v>
      </c>
      <c r="BP29" s="191">
        <v>0</v>
      </c>
      <c r="BQ29" s="191">
        <v>0</v>
      </c>
      <c r="BR29" s="191">
        <v>0</v>
      </c>
      <c r="BS29" s="191">
        <v>0</v>
      </c>
      <c r="BT29" s="191">
        <v>0</v>
      </c>
    </row>
    <row r="30" spans="1:72" s="191" customFormat="1">
      <c r="A30" s="191" t="s">
        <v>217</v>
      </c>
      <c r="B30" s="191">
        <v>262405360.37</v>
      </c>
      <c r="C30" s="191">
        <v>167592596.44</v>
      </c>
      <c r="D30" s="191">
        <v>83066487.359999999</v>
      </c>
      <c r="E30" s="191">
        <v>262758070.99000001</v>
      </c>
      <c r="F30" s="191">
        <v>199570402.81</v>
      </c>
      <c r="G30" s="191">
        <v>0</v>
      </c>
      <c r="H30" s="191">
        <v>64779717.189999998</v>
      </c>
      <c r="I30" s="191">
        <v>189604926.65000001</v>
      </c>
      <c r="J30" s="191">
        <v>129915896.90000001</v>
      </c>
      <c r="K30" s="191">
        <v>86169998.969999999</v>
      </c>
      <c r="L30" s="191">
        <v>38646015.520000003</v>
      </c>
      <c r="M30" s="191">
        <v>145407381.83000001</v>
      </c>
      <c r="N30" s="191">
        <v>113344265.31999999</v>
      </c>
      <c r="O30" s="191">
        <v>72793398.319999993</v>
      </c>
      <c r="P30" s="191">
        <v>32394698.18</v>
      </c>
      <c r="Q30" s="191">
        <v>124702667.08</v>
      </c>
      <c r="R30" s="191">
        <v>97060882.819999993</v>
      </c>
      <c r="S30" s="191">
        <v>67418001.790000007</v>
      </c>
      <c r="T30" s="191">
        <v>29899737.940000001</v>
      </c>
      <c r="U30" s="191">
        <v>122333707.19</v>
      </c>
      <c r="V30" s="191">
        <v>102162236.92</v>
      </c>
      <c r="W30" s="191">
        <v>67280743.450000003</v>
      </c>
      <c r="X30" s="191">
        <v>31443301.370000001</v>
      </c>
      <c r="Y30" s="191">
        <v>119828142.41</v>
      </c>
      <c r="Z30" s="191">
        <v>95957190.230000004</v>
      </c>
      <c r="AA30" s="191">
        <v>63095938.509999998</v>
      </c>
      <c r="AB30" s="191">
        <v>27756484.07</v>
      </c>
      <c r="AC30" s="191">
        <v>132532983.06999999</v>
      </c>
      <c r="AD30" s="191">
        <v>113953167.26000001</v>
      </c>
      <c r="AE30" s="191">
        <v>83603466.810000002</v>
      </c>
      <c r="AF30" s="191">
        <v>39547055.310000002</v>
      </c>
      <c r="AG30" s="191">
        <v>171330127.88</v>
      </c>
      <c r="AH30" s="191">
        <v>141611471.15000001</v>
      </c>
      <c r="AI30" s="191">
        <v>93860711.430000007</v>
      </c>
      <c r="AJ30" s="191">
        <v>44209989.259999998</v>
      </c>
      <c r="AK30" s="191">
        <v>144361875.68000001</v>
      </c>
      <c r="AL30" s="191">
        <v>0</v>
      </c>
      <c r="AM30" s="191">
        <v>0</v>
      </c>
      <c r="AN30" s="191">
        <v>0</v>
      </c>
      <c r="AO30" s="191">
        <v>135162460.96000001</v>
      </c>
      <c r="AP30" s="191">
        <v>0</v>
      </c>
      <c r="AQ30" s="191">
        <v>0</v>
      </c>
      <c r="AR30" s="191">
        <v>0</v>
      </c>
      <c r="AS30" s="191">
        <v>0</v>
      </c>
      <c r="AT30" s="191">
        <v>0</v>
      </c>
      <c r="AU30" s="191">
        <v>0</v>
      </c>
      <c r="AV30" s="191">
        <v>0</v>
      </c>
      <c r="AW30" s="191">
        <v>0</v>
      </c>
      <c r="AX30" s="191">
        <v>0</v>
      </c>
      <c r="AY30" s="191">
        <v>0</v>
      </c>
      <c r="AZ30" s="191">
        <v>0</v>
      </c>
      <c r="BA30" s="191">
        <v>0</v>
      </c>
      <c r="BB30" s="191">
        <v>0</v>
      </c>
      <c r="BC30" s="191">
        <v>0</v>
      </c>
      <c r="BD30" s="191">
        <v>0</v>
      </c>
      <c r="BE30" s="191">
        <v>0</v>
      </c>
      <c r="BF30" s="191">
        <v>0</v>
      </c>
      <c r="BG30" s="191">
        <v>0</v>
      </c>
      <c r="BH30" s="191">
        <v>0</v>
      </c>
      <c r="BI30" s="191">
        <v>0</v>
      </c>
      <c r="BJ30" s="191">
        <v>0</v>
      </c>
      <c r="BK30" s="191">
        <v>0</v>
      </c>
      <c r="BL30" s="191">
        <v>0</v>
      </c>
      <c r="BM30" s="191">
        <v>0</v>
      </c>
      <c r="BN30" s="191">
        <v>0</v>
      </c>
      <c r="BO30" s="191">
        <v>0</v>
      </c>
      <c r="BP30" s="191">
        <v>0</v>
      </c>
      <c r="BQ30" s="191">
        <v>0</v>
      </c>
      <c r="BR30" s="191">
        <v>0</v>
      </c>
      <c r="BS30" s="191">
        <v>0</v>
      </c>
      <c r="BT30" s="191">
        <v>0</v>
      </c>
    </row>
    <row r="31" spans="1:72" s="191" customFormat="1">
      <c r="A31" s="191" t="s">
        <v>218</v>
      </c>
      <c r="B31" s="191">
        <v>0</v>
      </c>
      <c r="C31" s="191">
        <v>0</v>
      </c>
      <c r="D31" s="191">
        <v>0</v>
      </c>
      <c r="E31" s="191">
        <v>0</v>
      </c>
      <c r="F31" s="191">
        <v>0</v>
      </c>
      <c r="G31" s="191">
        <v>0</v>
      </c>
      <c r="H31" s="191">
        <v>0</v>
      </c>
      <c r="I31" s="191">
        <v>-558318.30000000005</v>
      </c>
      <c r="J31" s="191">
        <v>-749099.39</v>
      </c>
      <c r="K31" s="191">
        <v>-558318.30000000005</v>
      </c>
      <c r="L31" s="191">
        <v>-147293.25</v>
      </c>
      <c r="M31" s="191">
        <v>-734907.48</v>
      </c>
      <c r="N31" s="191">
        <v>-311207.81</v>
      </c>
      <c r="O31" s="191">
        <v>-192813.49</v>
      </c>
      <c r="P31" s="191">
        <v>-197990.79</v>
      </c>
      <c r="Q31" s="191">
        <v>-1066244.82</v>
      </c>
      <c r="R31" s="191">
        <v>-470043.45</v>
      </c>
      <c r="S31" s="191">
        <v>0</v>
      </c>
      <c r="T31" s="191">
        <v>0</v>
      </c>
      <c r="U31" s="191">
        <v>0</v>
      </c>
      <c r="V31" s="191">
        <v>0</v>
      </c>
      <c r="W31" s="191">
        <v>0</v>
      </c>
      <c r="X31" s="191">
        <v>0</v>
      </c>
      <c r="Y31" s="191">
        <v>0</v>
      </c>
      <c r="Z31" s="191">
        <v>0</v>
      </c>
      <c r="AA31" s="191">
        <v>0</v>
      </c>
      <c r="AB31" s="191">
        <v>0</v>
      </c>
      <c r="AC31" s="191">
        <v>-24926.2</v>
      </c>
      <c r="AD31" s="191">
        <v>2683.14</v>
      </c>
      <c r="AE31" s="191">
        <v>2683.14</v>
      </c>
      <c r="AF31" s="191">
        <v>-17660.14</v>
      </c>
      <c r="AG31" s="191">
        <v>640509.64</v>
      </c>
      <c r="AH31" s="191">
        <v>164932.99</v>
      </c>
      <c r="AI31" s="191">
        <v>-12252.02</v>
      </c>
      <c r="AJ31" s="191">
        <v>-30184.45</v>
      </c>
      <c r="AK31" s="191">
        <v>477426.11</v>
      </c>
      <c r="AL31" s="191">
        <v>0</v>
      </c>
      <c r="AM31" s="191">
        <v>0</v>
      </c>
      <c r="AN31" s="191">
        <v>0</v>
      </c>
      <c r="AO31" s="191">
        <v>49823.23</v>
      </c>
      <c r="AP31" s="191">
        <v>0</v>
      </c>
      <c r="AQ31" s="191">
        <v>0</v>
      </c>
      <c r="AR31" s="191">
        <v>0</v>
      </c>
      <c r="AS31" s="191">
        <v>0</v>
      </c>
      <c r="AT31" s="191">
        <v>0</v>
      </c>
      <c r="AU31" s="191">
        <v>0</v>
      </c>
      <c r="AV31" s="191">
        <v>0</v>
      </c>
      <c r="AW31" s="191">
        <v>0</v>
      </c>
      <c r="AX31" s="191">
        <v>0</v>
      </c>
      <c r="AY31" s="191">
        <v>0</v>
      </c>
      <c r="AZ31" s="191">
        <v>0</v>
      </c>
      <c r="BA31" s="191">
        <v>0</v>
      </c>
      <c r="BB31" s="191">
        <v>0</v>
      </c>
      <c r="BC31" s="191">
        <v>0</v>
      </c>
      <c r="BD31" s="191">
        <v>0</v>
      </c>
      <c r="BE31" s="191">
        <v>0</v>
      </c>
      <c r="BF31" s="191">
        <v>0</v>
      </c>
      <c r="BG31" s="191">
        <v>0</v>
      </c>
      <c r="BH31" s="191">
        <v>0</v>
      </c>
      <c r="BI31" s="191">
        <v>0</v>
      </c>
      <c r="BJ31" s="191">
        <v>0</v>
      </c>
      <c r="BK31" s="191">
        <v>0</v>
      </c>
      <c r="BL31" s="191">
        <v>0</v>
      </c>
      <c r="BM31" s="191">
        <v>0</v>
      </c>
      <c r="BN31" s="191">
        <v>0</v>
      </c>
      <c r="BO31" s="191">
        <v>0</v>
      </c>
      <c r="BP31" s="191">
        <v>0</v>
      </c>
      <c r="BQ31" s="191">
        <v>0</v>
      </c>
      <c r="BR31" s="191">
        <v>0</v>
      </c>
      <c r="BS31" s="191">
        <v>0</v>
      </c>
      <c r="BT31" s="191">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Q77"/>
  <sheetViews>
    <sheetView topLeftCell="A4" workbookViewId="0">
      <selection activeCell="E13" sqref="E13"/>
    </sheetView>
  </sheetViews>
  <sheetFormatPr defaultRowHeight="13.5"/>
  <cols>
    <col min="1" max="1" width="54.625" style="188" bestFit="1" customWidth="1"/>
    <col min="2" max="4" width="13.875" style="188" hidden="1" customWidth="1"/>
    <col min="5" max="5" width="13.875" style="188" bestFit="1" customWidth="1"/>
    <col min="6" max="7" width="13.875" style="188" hidden="1" customWidth="1"/>
    <col min="8" max="8" width="12.75" style="188" hidden="1" customWidth="1"/>
    <col min="9" max="9" width="13.875" style="188" bestFit="1" customWidth="1"/>
    <col min="10" max="12" width="13.875" style="188" hidden="1" customWidth="1"/>
    <col min="13" max="13" width="13.875" style="188" bestFit="1" customWidth="1"/>
    <col min="14" max="16" width="13.875" style="188" hidden="1" customWidth="1"/>
    <col min="17" max="17" width="13.875" style="188" bestFit="1" customWidth="1"/>
    <col min="18" max="20" width="13.875" style="188" hidden="1" customWidth="1"/>
    <col min="21" max="21" width="13.875" style="188" bestFit="1" customWidth="1"/>
    <col min="22" max="24" width="13.875" style="188" hidden="1" customWidth="1"/>
    <col min="25" max="25" width="13.875" style="188" bestFit="1" customWidth="1"/>
    <col min="26" max="28" width="13.875" style="188" hidden="1" customWidth="1"/>
    <col min="29" max="29" width="13.875" style="188" bestFit="1" customWidth="1"/>
    <col min="30" max="32" width="13.875" style="188" hidden="1" customWidth="1"/>
    <col min="33" max="33" width="13.875" style="188" bestFit="1" customWidth="1"/>
    <col min="34" max="36" width="13.875" style="188" hidden="1" customWidth="1"/>
    <col min="37" max="37" width="13.875" style="188" bestFit="1" customWidth="1"/>
    <col min="38" max="40" width="13.875" style="188" hidden="1" customWidth="1"/>
    <col min="41" max="41" width="13.875" style="188" bestFit="1" customWidth="1"/>
    <col min="42" max="44" width="13.875" style="188" hidden="1" customWidth="1"/>
    <col min="45" max="45" width="13.875" style="188" bestFit="1" customWidth="1"/>
    <col min="46" max="48" width="13.875" style="188" hidden="1" customWidth="1"/>
    <col min="49" max="49" width="13.875" style="188" bestFit="1" customWidth="1"/>
    <col min="50" max="52" width="13.875" style="188" hidden="1" customWidth="1"/>
    <col min="53" max="53" width="13.875" style="188" bestFit="1" customWidth="1"/>
    <col min="54" max="56" width="13.875" style="188" hidden="1" customWidth="1"/>
    <col min="57" max="57" width="13.875" style="188" bestFit="1" customWidth="1"/>
    <col min="58" max="60" width="13.875" style="188" hidden="1" customWidth="1"/>
    <col min="61" max="61" width="13.875" style="188" bestFit="1" customWidth="1"/>
    <col min="62" max="64" width="13.875" style="188" hidden="1" customWidth="1"/>
    <col min="65" max="65" width="13.875" style="188" bestFit="1" customWidth="1"/>
    <col min="66" max="66" width="13.875" style="188" hidden="1" customWidth="1"/>
    <col min="67" max="67" width="13.875" style="188" bestFit="1" customWidth="1"/>
    <col min="68" max="69" width="9.5" style="188" hidden="1" customWidth="1"/>
    <col min="70" max="16384" width="9" style="188"/>
  </cols>
  <sheetData>
    <row r="1" spans="1:69">
      <c r="A1" s="188">
        <v>600529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20020630</v>
      </c>
      <c r="BO1" s="188">
        <v>20011231</v>
      </c>
      <c r="BP1" s="188">
        <v>20010630</v>
      </c>
      <c r="BQ1" s="188">
        <v>19700101</v>
      </c>
    </row>
    <row r="2" spans="1:69">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row>
    <row r="3" spans="1:69">
      <c r="A3" s="188" t="s">
        <v>219</v>
      </c>
    </row>
    <row r="4" spans="1:69">
      <c r="A4" s="188" t="s">
        <v>220</v>
      </c>
      <c r="B4" s="188">
        <v>1900449526.49</v>
      </c>
      <c r="C4" s="188">
        <v>1250833372.26</v>
      </c>
      <c r="D4" s="188">
        <v>567945075.57000005</v>
      </c>
      <c r="E4" s="188">
        <v>2232733795.2399998</v>
      </c>
      <c r="F4" s="188">
        <v>1712281261.47</v>
      </c>
      <c r="G4" s="188">
        <v>1114171196.9000001</v>
      </c>
      <c r="H4" s="188">
        <v>542158778.05999994</v>
      </c>
      <c r="I4" s="188">
        <v>1889414840.29</v>
      </c>
      <c r="J4" s="188">
        <v>1669989500</v>
      </c>
      <c r="K4" s="188">
        <v>1066211426.64</v>
      </c>
      <c r="L4" s="188">
        <v>497060687.73000002</v>
      </c>
      <c r="M4" s="188">
        <v>1998574779.8299999</v>
      </c>
      <c r="N4" s="188">
        <v>1527967796.04</v>
      </c>
      <c r="O4" s="188">
        <v>1002587889.4</v>
      </c>
      <c r="P4" s="188">
        <v>469749999.20999998</v>
      </c>
      <c r="Q4" s="188">
        <v>1927201827.0999999</v>
      </c>
      <c r="R4" s="188">
        <v>1344358823.8599999</v>
      </c>
      <c r="S4" s="188">
        <v>878211000.77999997</v>
      </c>
      <c r="T4" s="188">
        <v>420757562.68000001</v>
      </c>
      <c r="U4" s="188">
        <v>1699360110.5899999</v>
      </c>
      <c r="V4" s="188">
        <v>1254299959.6400001</v>
      </c>
      <c r="W4" s="188">
        <v>868415107.55999994</v>
      </c>
      <c r="X4" s="188">
        <v>431082308.5</v>
      </c>
      <c r="Y4" s="188">
        <v>1509531164.3199999</v>
      </c>
      <c r="Z4" s="188">
        <v>1083831692.8099999</v>
      </c>
      <c r="AA4" s="188">
        <v>714716436.25</v>
      </c>
      <c r="AB4" s="188">
        <v>335776038.73000002</v>
      </c>
      <c r="AC4" s="188">
        <v>1700778154.9000001</v>
      </c>
      <c r="AD4" s="188">
        <v>1215615179.8599999</v>
      </c>
      <c r="AE4" s="188">
        <v>848321116.58000004</v>
      </c>
      <c r="AF4" s="188">
        <v>425455714.92000002</v>
      </c>
      <c r="AG4" s="188">
        <v>1719926300.1700001</v>
      </c>
      <c r="AH4" s="188">
        <v>1252238317.5799999</v>
      </c>
      <c r="AI4" s="188">
        <v>842412303.60000002</v>
      </c>
      <c r="AJ4" s="188">
        <v>442469417.82999998</v>
      </c>
      <c r="AK4" s="188">
        <v>1329899825.9000001</v>
      </c>
      <c r="AL4" s="188">
        <v>943469779</v>
      </c>
      <c r="AM4" s="188">
        <v>643069516.19000006</v>
      </c>
      <c r="AN4" s="188">
        <v>315160187.91000003</v>
      </c>
      <c r="AO4" s="188">
        <v>1281395417.5999999</v>
      </c>
      <c r="AP4" s="188">
        <v>971243558.86000001</v>
      </c>
      <c r="AQ4" s="188">
        <v>654504256.89999998</v>
      </c>
      <c r="AR4" s="188">
        <v>304494758.17000002</v>
      </c>
      <c r="AS4" s="188">
        <v>1100270205.5999999</v>
      </c>
      <c r="AT4" s="188">
        <v>799753048.58000004</v>
      </c>
      <c r="AU4" s="188">
        <v>482760415.04000002</v>
      </c>
      <c r="AV4" s="188">
        <v>232078442.44</v>
      </c>
      <c r="AW4" s="188">
        <v>914891460.19000006</v>
      </c>
      <c r="AX4" s="188">
        <v>636842453.01999998</v>
      </c>
      <c r="AY4" s="188">
        <v>419630024.38</v>
      </c>
      <c r="AZ4" s="188">
        <v>191460717.06999999</v>
      </c>
      <c r="BA4" s="188">
        <v>787506410.17999995</v>
      </c>
      <c r="BB4" s="188">
        <v>624923891.84000003</v>
      </c>
      <c r="BC4" s="188">
        <v>410749739.19999999</v>
      </c>
      <c r="BD4" s="188">
        <v>204468043.36000001</v>
      </c>
      <c r="BE4" s="188">
        <v>596141699.83000004</v>
      </c>
      <c r="BF4" s="188">
        <v>461151504.82999998</v>
      </c>
      <c r="BG4" s="188">
        <v>278215010.86000001</v>
      </c>
      <c r="BH4" s="188">
        <v>128259196.56</v>
      </c>
      <c r="BI4" s="188">
        <v>544653943.70000005</v>
      </c>
      <c r="BJ4" s="188">
        <v>412023475.20999998</v>
      </c>
      <c r="BK4" s="188">
        <v>275445257.16000003</v>
      </c>
      <c r="BL4" s="188">
        <v>134464196.77000001</v>
      </c>
      <c r="BM4" s="188">
        <v>506405405.11000001</v>
      </c>
      <c r="BN4" s="188">
        <v>251426794.06</v>
      </c>
      <c r="BO4" s="188">
        <v>415680581.64999998</v>
      </c>
      <c r="BP4" s="188">
        <v>0</v>
      </c>
      <c r="BQ4" s="188">
        <v>0</v>
      </c>
    </row>
    <row r="5" spans="1:69">
      <c r="A5" s="188" t="s">
        <v>221</v>
      </c>
      <c r="B5" s="188">
        <v>2058344.84</v>
      </c>
      <c r="C5" s="188">
        <v>1947345.84</v>
      </c>
      <c r="D5" s="188">
        <v>670680</v>
      </c>
      <c r="E5" s="188">
        <v>1044916.67</v>
      </c>
      <c r="F5" s="188">
        <v>1047709.67</v>
      </c>
      <c r="G5" s="188">
        <v>830869.67</v>
      </c>
      <c r="H5" s="188">
        <v>0</v>
      </c>
      <c r="I5" s="188">
        <v>604079.97</v>
      </c>
      <c r="J5" s="188">
        <v>202779.99</v>
      </c>
      <c r="K5" s="188">
        <v>0</v>
      </c>
      <c r="L5" s="188">
        <v>0</v>
      </c>
      <c r="M5" s="188">
        <v>4159410.89</v>
      </c>
      <c r="N5" s="188">
        <v>4159410.89</v>
      </c>
      <c r="O5" s="188">
        <v>4159410.89</v>
      </c>
      <c r="P5" s="188">
        <v>0</v>
      </c>
      <c r="Q5" s="188">
        <v>118662.23</v>
      </c>
      <c r="R5" s="188">
        <v>118662.23</v>
      </c>
      <c r="S5" s="188">
        <v>118662.23</v>
      </c>
      <c r="T5" s="188">
        <v>0</v>
      </c>
      <c r="U5" s="188">
        <v>0</v>
      </c>
      <c r="V5" s="188">
        <v>0</v>
      </c>
      <c r="W5" s="188">
        <v>0</v>
      </c>
      <c r="X5" s="188">
        <v>0</v>
      </c>
      <c r="Y5" s="188">
        <v>5917517.5</v>
      </c>
      <c r="Z5" s="188">
        <v>4700930.1500000004</v>
      </c>
      <c r="AA5" s="188">
        <v>4700930.1500000004</v>
      </c>
      <c r="AB5" s="188">
        <v>4680782.83</v>
      </c>
      <c r="AC5" s="188">
        <v>9166594.6600000001</v>
      </c>
      <c r="AD5" s="188">
        <v>0</v>
      </c>
      <c r="AE5" s="188">
        <v>0</v>
      </c>
      <c r="AF5" s="188">
        <v>0</v>
      </c>
      <c r="AG5" s="188">
        <v>0</v>
      </c>
      <c r="AH5" s="188">
        <v>0</v>
      </c>
      <c r="AI5" s="188">
        <v>0</v>
      </c>
      <c r="AJ5" s="188">
        <v>0</v>
      </c>
      <c r="AK5" s="188">
        <v>0</v>
      </c>
      <c r="AL5" s="188">
        <v>0</v>
      </c>
      <c r="AM5" s="188">
        <v>0</v>
      </c>
      <c r="AN5" s="188">
        <v>0</v>
      </c>
      <c r="AO5" s="188">
        <v>0</v>
      </c>
      <c r="AP5" s="188">
        <v>4428885.01</v>
      </c>
      <c r="AQ5" s="188">
        <v>3079941.76</v>
      </c>
      <c r="AR5" s="188">
        <v>0</v>
      </c>
      <c r="AS5" s="188">
        <v>0</v>
      </c>
      <c r="AT5" s="188">
        <v>0</v>
      </c>
      <c r="AU5" s="188">
        <v>0</v>
      </c>
      <c r="AV5" s="188">
        <v>0</v>
      </c>
      <c r="AW5" s="188">
        <v>750980</v>
      </c>
      <c r="AX5" s="188">
        <v>786980</v>
      </c>
      <c r="AY5" s="188">
        <v>0</v>
      </c>
      <c r="AZ5" s="188">
        <v>0</v>
      </c>
      <c r="BA5" s="188">
        <v>340845</v>
      </c>
      <c r="BB5" s="188">
        <v>340845</v>
      </c>
      <c r="BC5" s="188">
        <v>0</v>
      </c>
      <c r="BD5" s="188">
        <v>0</v>
      </c>
      <c r="BE5" s="188">
        <v>328903</v>
      </c>
      <c r="BF5" s="188">
        <v>263270</v>
      </c>
      <c r="BG5" s="188">
        <v>263270</v>
      </c>
      <c r="BH5" s="188">
        <v>263270</v>
      </c>
      <c r="BI5" s="188">
        <v>0</v>
      </c>
      <c r="BJ5" s="188">
        <v>212046.6</v>
      </c>
      <c r="BK5" s="188">
        <v>0</v>
      </c>
      <c r="BL5" s="188">
        <v>0</v>
      </c>
      <c r="BM5" s="188">
        <v>0</v>
      </c>
      <c r="BN5" s="188">
        <v>104006</v>
      </c>
      <c r="BO5" s="188">
        <v>0</v>
      </c>
      <c r="BP5" s="188">
        <v>0</v>
      </c>
      <c r="BQ5" s="188">
        <v>0</v>
      </c>
    </row>
    <row r="6" spans="1:69">
      <c r="A6" s="188" t="s">
        <v>222</v>
      </c>
      <c r="B6" s="188">
        <v>5630010.9699999997</v>
      </c>
      <c r="C6" s="188">
        <v>4784980.88</v>
      </c>
      <c r="D6" s="188">
        <v>3302631.11</v>
      </c>
      <c r="E6" s="188">
        <v>12539571.960000001</v>
      </c>
      <c r="F6" s="188">
        <v>5332914.76</v>
      </c>
      <c r="G6" s="188">
        <v>2959057.76</v>
      </c>
      <c r="H6" s="188">
        <v>3433559.11</v>
      </c>
      <c r="I6" s="188">
        <v>10575022.720000001</v>
      </c>
      <c r="J6" s="188">
        <v>8959401.9299999997</v>
      </c>
      <c r="K6" s="188">
        <v>5909090.6900000004</v>
      </c>
      <c r="L6" s="188">
        <v>2465485.86</v>
      </c>
      <c r="M6" s="188">
        <v>14841993.359999999</v>
      </c>
      <c r="N6" s="188">
        <v>33803930.530000001</v>
      </c>
      <c r="O6" s="188">
        <v>7804950.7599999998</v>
      </c>
      <c r="P6" s="188">
        <v>1928107.55</v>
      </c>
      <c r="Q6" s="188">
        <v>5711600.1900000004</v>
      </c>
      <c r="R6" s="188">
        <v>2684528.12</v>
      </c>
      <c r="S6" s="188">
        <v>1407540.67</v>
      </c>
      <c r="T6" s="188">
        <v>876908.51</v>
      </c>
      <c r="U6" s="188">
        <v>10534155.380000001</v>
      </c>
      <c r="V6" s="188">
        <v>3128571.94</v>
      </c>
      <c r="W6" s="188">
        <v>2558811.0299999998</v>
      </c>
      <c r="X6" s="188">
        <v>918898.14</v>
      </c>
      <c r="Y6" s="188">
        <v>7470460.8799999999</v>
      </c>
      <c r="Z6" s="188">
        <v>3977874.31</v>
      </c>
      <c r="AA6" s="188">
        <v>2728787.03</v>
      </c>
      <c r="AB6" s="188">
        <v>1063224</v>
      </c>
      <c r="AC6" s="188">
        <v>89622319.599999994</v>
      </c>
      <c r="AD6" s="188">
        <v>6367207.8300000001</v>
      </c>
      <c r="AE6" s="188">
        <v>4643699.5599999996</v>
      </c>
      <c r="AF6" s="188">
        <v>1631992.7</v>
      </c>
      <c r="AG6" s="188">
        <v>23683496.48</v>
      </c>
      <c r="AH6" s="188">
        <v>3622481.35</v>
      </c>
      <c r="AI6" s="188">
        <v>2188754.21</v>
      </c>
      <c r="AJ6" s="188">
        <v>518896.77</v>
      </c>
      <c r="AK6" s="188">
        <v>20161528.91</v>
      </c>
      <c r="AL6" s="188">
        <v>3054873.41</v>
      </c>
      <c r="AM6" s="188">
        <v>1812376.68</v>
      </c>
      <c r="AN6" s="188">
        <v>514482.01</v>
      </c>
      <c r="AO6" s="188">
        <v>22105498.940000001</v>
      </c>
      <c r="AP6" s="188">
        <v>10544375.630000001</v>
      </c>
      <c r="AQ6" s="188">
        <v>4142684.99</v>
      </c>
      <c r="AR6" s="188">
        <v>3014026.2</v>
      </c>
      <c r="AS6" s="188">
        <v>22230166.629999999</v>
      </c>
      <c r="AT6" s="188">
        <v>7028703.2000000002</v>
      </c>
      <c r="AU6" s="188">
        <v>2930959.78</v>
      </c>
      <c r="AV6" s="188">
        <v>1299674.78</v>
      </c>
      <c r="AW6" s="188">
        <v>9236386.8000000007</v>
      </c>
      <c r="AX6" s="188">
        <v>1856948.09</v>
      </c>
      <c r="AY6" s="188">
        <v>1123665.5</v>
      </c>
      <c r="AZ6" s="188">
        <v>421686.13</v>
      </c>
      <c r="BA6" s="188">
        <v>6195045.9199999999</v>
      </c>
      <c r="BB6" s="188">
        <v>1819701.08</v>
      </c>
      <c r="BC6" s="188">
        <v>787456.84</v>
      </c>
      <c r="BD6" s="188">
        <v>471614.67</v>
      </c>
      <c r="BE6" s="188">
        <v>5036907.29</v>
      </c>
      <c r="BF6" s="188">
        <v>3981345.61</v>
      </c>
      <c r="BG6" s="188">
        <v>2381347.96</v>
      </c>
      <c r="BH6" s="188">
        <v>291275.73</v>
      </c>
      <c r="BI6" s="188">
        <v>7210563.9299999997</v>
      </c>
      <c r="BJ6" s="188">
        <v>6794501.1699999999</v>
      </c>
      <c r="BK6" s="188">
        <v>191969.31</v>
      </c>
      <c r="BL6" s="188">
        <v>288271.78999999998</v>
      </c>
      <c r="BM6" s="188">
        <v>3839315.3</v>
      </c>
      <c r="BN6" s="188">
        <v>78819.490000000005</v>
      </c>
      <c r="BO6" s="188">
        <v>80600.210000000006</v>
      </c>
      <c r="BP6" s="188">
        <v>0</v>
      </c>
      <c r="BQ6" s="188">
        <v>0</v>
      </c>
    </row>
    <row r="7" spans="1:69">
      <c r="A7" s="188" t="s">
        <v>223</v>
      </c>
      <c r="B7" s="188">
        <v>1908137882.3</v>
      </c>
      <c r="C7" s="188">
        <v>1257565698.98</v>
      </c>
      <c r="D7" s="188">
        <v>571918386.67999995</v>
      </c>
      <c r="E7" s="188">
        <v>2246318283.8699999</v>
      </c>
      <c r="F7" s="188">
        <v>1718661885.9000001</v>
      </c>
      <c r="G7" s="188">
        <v>1117961124.3299999</v>
      </c>
      <c r="H7" s="188">
        <v>545592337.16999996</v>
      </c>
      <c r="I7" s="188">
        <v>1900593942.98</v>
      </c>
      <c r="J7" s="188">
        <v>1679151681.9200001</v>
      </c>
      <c r="K7" s="188">
        <v>1072120517.33</v>
      </c>
      <c r="L7" s="188">
        <v>499526173.58999997</v>
      </c>
      <c r="M7" s="188">
        <v>2017576184.0799999</v>
      </c>
      <c r="N7" s="188">
        <v>1565931137.46</v>
      </c>
      <c r="O7" s="188">
        <v>1014552251.05</v>
      </c>
      <c r="P7" s="188">
        <v>471678106.75999999</v>
      </c>
      <c r="Q7" s="188">
        <v>1933032089.52</v>
      </c>
      <c r="R7" s="188">
        <v>1347162014.21</v>
      </c>
      <c r="S7" s="188">
        <v>879737203.67999995</v>
      </c>
      <c r="T7" s="188">
        <v>421634471.19</v>
      </c>
      <c r="U7" s="188">
        <v>1709894265.97</v>
      </c>
      <c r="V7" s="188">
        <v>1257428531.5799999</v>
      </c>
      <c r="W7" s="188">
        <v>870973918.59000003</v>
      </c>
      <c r="X7" s="188">
        <v>432001206.63999999</v>
      </c>
      <c r="Y7" s="188">
        <v>1522919142.7</v>
      </c>
      <c r="Z7" s="188">
        <v>1092510497.27</v>
      </c>
      <c r="AA7" s="188">
        <v>722146153.42999995</v>
      </c>
      <c r="AB7" s="188">
        <v>341520045.56</v>
      </c>
      <c r="AC7" s="188">
        <v>1799567069.1600001</v>
      </c>
      <c r="AD7" s="188">
        <v>1221982387.6900001</v>
      </c>
      <c r="AE7" s="188">
        <v>852964816.13999999</v>
      </c>
      <c r="AF7" s="188">
        <v>427087707.62</v>
      </c>
      <c r="AG7" s="188">
        <v>1743609796.6500001</v>
      </c>
      <c r="AH7" s="188">
        <v>1255860798.9300001</v>
      </c>
      <c r="AI7" s="188">
        <v>844601057.80999994</v>
      </c>
      <c r="AJ7" s="188">
        <v>442988314.60000002</v>
      </c>
      <c r="AK7" s="188">
        <v>1350061354.8099999</v>
      </c>
      <c r="AL7" s="188">
        <v>946524652.40999997</v>
      </c>
      <c r="AM7" s="188">
        <v>644881892.87</v>
      </c>
      <c r="AN7" s="188">
        <v>315674669.92000002</v>
      </c>
      <c r="AO7" s="188">
        <v>1303500916.54</v>
      </c>
      <c r="AP7" s="188">
        <v>986216819.5</v>
      </c>
      <c r="AQ7" s="188">
        <v>661726883.64999998</v>
      </c>
      <c r="AR7" s="188">
        <v>307508784.37</v>
      </c>
      <c r="AS7" s="188">
        <v>1122500372.23</v>
      </c>
      <c r="AT7" s="188">
        <v>806781751.77999997</v>
      </c>
      <c r="AU7" s="188">
        <v>485691374.81999999</v>
      </c>
      <c r="AV7" s="188">
        <v>233378117.22</v>
      </c>
      <c r="AW7" s="188">
        <v>924878826.99000001</v>
      </c>
      <c r="AX7" s="188">
        <v>639486381.11000001</v>
      </c>
      <c r="AY7" s="188">
        <v>420753689.88</v>
      </c>
      <c r="AZ7" s="188">
        <v>191882403.19999999</v>
      </c>
      <c r="BA7" s="188">
        <v>794042301.10000002</v>
      </c>
      <c r="BB7" s="188">
        <v>627084437.91999996</v>
      </c>
      <c r="BC7" s="188">
        <v>411537196.04000002</v>
      </c>
      <c r="BD7" s="188">
        <v>204939658.03</v>
      </c>
      <c r="BE7" s="188">
        <v>601507510.12</v>
      </c>
      <c r="BF7" s="188">
        <v>465396120.44</v>
      </c>
      <c r="BG7" s="188">
        <v>280859628.81999999</v>
      </c>
      <c r="BH7" s="188">
        <v>128813742.29000001</v>
      </c>
      <c r="BI7" s="188">
        <v>551864507.63</v>
      </c>
      <c r="BJ7" s="188">
        <v>419030022.98000002</v>
      </c>
      <c r="BK7" s="188">
        <v>275637226.47000003</v>
      </c>
      <c r="BL7" s="188">
        <v>134752468.56</v>
      </c>
      <c r="BM7" s="188">
        <v>510244720.41000003</v>
      </c>
      <c r="BN7" s="188">
        <v>251609619.55000001</v>
      </c>
      <c r="BO7" s="188">
        <v>415761181.86000001</v>
      </c>
      <c r="BP7" s="188">
        <v>0</v>
      </c>
      <c r="BQ7" s="188">
        <v>0</v>
      </c>
    </row>
    <row r="8" spans="1:69">
      <c r="A8" s="188" t="s">
        <v>224</v>
      </c>
      <c r="B8" s="188">
        <v>1025310608.3099999</v>
      </c>
      <c r="C8" s="188">
        <v>709778477.11000001</v>
      </c>
      <c r="D8" s="188">
        <v>354316774</v>
      </c>
      <c r="E8" s="188">
        <v>1098447307.8499999</v>
      </c>
      <c r="F8" s="188">
        <v>1008343881.53</v>
      </c>
      <c r="G8" s="188">
        <v>656290367.59000003</v>
      </c>
      <c r="H8" s="188">
        <v>288348509.63999999</v>
      </c>
      <c r="I8" s="188">
        <v>741866683.97000003</v>
      </c>
      <c r="J8" s="188">
        <v>848688176</v>
      </c>
      <c r="K8" s="188">
        <v>538734571.64999998</v>
      </c>
      <c r="L8" s="188">
        <v>235592812.09</v>
      </c>
      <c r="M8" s="188">
        <v>1052199791.96</v>
      </c>
      <c r="N8" s="188">
        <v>813515867.69000006</v>
      </c>
      <c r="O8" s="188">
        <v>555049898.42999995</v>
      </c>
      <c r="P8" s="188">
        <v>268647992.37</v>
      </c>
      <c r="Q8" s="188">
        <v>1147739007.3</v>
      </c>
      <c r="R8" s="188">
        <v>848573365.12</v>
      </c>
      <c r="S8" s="188">
        <v>530612924.5</v>
      </c>
      <c r="T8" s="188">
        <v>271751148.37</v>
      </c>
      <c r="U8" s="188">
        <v>965620997.80999994</v>
      </c>
      <c r="V8" s="188">
        <v>799394122.83000004</v>
      </c>
      <c r="W8" s="188">
        <v>550137951.95000005</v>
      </c>
      <c r="X8" s="188">
        <v>285378911.82999998</v>
      </c>
      <c r="Y8" s="188">
        <v>1094758832.3199999</v>
      </c>
      <c r="Z8" s="188">
        <v>826918779.55999994</v>
      </c>
      <c r="AA8" s="188">
        <v>579570305.94000006</v>
      </c>
      <c r="AB8" s="188">
        <v>326825290.76999998</v>
      </c>
      <c r="AC8" s="188">
        <v>1100916004.3299999</v>
      </c>
      <c r="AD8" s="188">
        <v>800270470.13</v>
      </c>
      <c r="AE8" s="188">
        <v>524140308.04000002</v>
      </c>
      <c r="AF8" s="188">
        <v>285024715.12</v>
      </c>
      <c r="AG8" s="188">
        <v>1064871564.58</v>
      </c>
      <c r="AH8" s="188">
        <v>686616418.50999999</v>
      </c>
      <c r="AI8" s="188">
        <v>439076956.11000001</v>
      </c>
      <c r="AJ8" s="188">
        <v>228271051.41</v>
      </c>
      <c r="AK8" s="188">
        <v>712269872.99000001</v>
      </c>
      <c r="AL8" s="188">
        <v>533620015.55000001</v>
      </c>
      <c r="AM8" s="188">
        <v>364232675.99000001</v>
      </c>
      <c r="AN8" s="188">
        <v>186144747.47</v>
      </c>
      <c r="AO8" s="188">
        <v>812937471.22000003</v>
      </c>
      <c r="AP8" s="188">
        <v>619594782.48000002</v>
      </c>
      <c r="AQ8" s="188">
        <v>414748956.83999997</v>
      </c>
      <c r="AR8" s="188">
        <v>195735907.22</v>
      </c>
      <c r="AS8" s="188">
        <v>653200839.99000001</v>
      </c>
      <c r="AT8" s="188">
        <v>522965533.13999999</v>
      </c>
      <c r="AU8" s="188">
        <v>284260928.19</v>
      </c>
      <c r="AV8" s="188">
        <v>111808910.77</v>
      </c>
      <c r="AW8" s="188">
        <v>575772353.17999995</v>
      </c>
      <c r="AX8" s="188">
        <v>406295695.39999998</v>
      </c>
      <c r="AY8" s="188">
        <v>256513629.91</v>
      </c>
      <c r="AZ8" s="188">
        <v>129721095.89</v>
      </c>
      <c r="BA8" s="188">
        <v>502393852.33999997</v>
      </c>
      <c r="BB8" s="188">
        <v>370705095.75</v>
      </c>
      <c r="BC8" s="188">
        <v>253179232.25999999</v>
      </c>
      <c r="BD8" s="188">
        <v>157460067.97999999</v>
      </c>
      <c r="BE8" s="188">
        <v>372323978.63</v>
      </c>
      <c r="BF8" s="188">
        <v>248648197.44</v>
      </c>
      <c r="BG8" s="188">
        <v>183690898.25999999</v>
      </c>
      <c r="BH8" s="188">
        <v>98183362.090000004</v>
      </c>
      <c r="BI8" s="188">
        <v>277919889.37</v>
      </c>
      <c r="BJ8" s="188">
        <v>235700699.86000001</v>
      </c>
      <c r="BK8" s="188">
        <v>168571636.94</v>
      </c>
      <c r="BL8" s="188">
        <v>111967467.26000001</v>
      </c>
      <c r="BM8" s="188">
        <v>213234947.81</v>
      </c>
      <c r="BN8" s="188">
        <v>143486085.38999999</v>
      </c>
      <c r="BO8" s="188">
        <v>254447239.72999999</v>
      </c>
      <c r="BP8" s="188">
        <v>0</v>
      </c>
      <c r="BQ8" s="188">
        <v>0</v>
      </c>
    </row>
    <row r="9" spans="1:69">
      <c r="A9" s="188" t="s">
        <v>225</v>
      </c>
      <c r="B9" s="188">
        <v>247588410.30000001</v>
      </c>
      <c r="C9" s="188">
        <v>161984088.06999999</v>
      </c>
      <c r="D9" s="188">
        <v>81910890.450000003</v>
      </c>
      <c r="E9" s="188">
        <v>327544020.5</v>
      </c>
      <c r="F9" s="188">
        <v>223469459.78</v>
      </c>
      <c r="G9" s="188">
        <v>141964342.46000001</v>
      </c>
      <c r="H9" s="188">
        <v>73495386.209999993</v>
      </c>
      <c r="I9" s="188">
        <v>295855761.68000001</v>
      </c>
      <c r="J9" s="188">
        <v>212458974.90000001</v>
      </c>
      <c r="K9" s="188">
        <v>143109813.68000001</v>
      </c>
      <c r="L9" s="188">
        <v>70939030.530000001</v>
      </c>
      <c r="M9" s="188">
        <v>255429272.53999999</v>
      </c>
      <c r="N9" s="188">
        <v>180846844.63</v>
      </c>
      <c r="O9" s="188">
        <v>120510631.23</v>
      </c>
      <c r="P9" s="188">
        <v>60313815.829999998</v>
      </c>
      <c r="Q9" s="188">
        <v>220693564.25999999</v>
      </c>
      <c r="R9" s="188">
        <v>153951380.84999999</v>
      </c>
      <c r="S9" s="188">
        <v>105993728.23999999</v>
      </c>
      <c r="T9" s="188">
        <v>50135750.409999996</v>
      </c>
      <c r="U9" s="188">
        <v>210327770.68000001</v>
      </c>
      <c r="V9" s="188">
        <v>137393639.19999999</v>
      </c>
      <c r="W9" s="188">
        <v>95517393.560000002</v>
      </c>
      <c r="X9" s="188">
        <v>51655077.869999997</v>
      </c>
      <c r="Y9" s="188">
        <v>187890682.53</v>
      </c>
      <c r="Z9" s="188">
        <v>130816707.13</v>
      </c>
      <c r="AA9" s="188">
        <v>85163789.920000002</v>
      </c>
      <c r="AB9" s="188">
        <v>41788067.469999999</v>
      </c>
      <c r="AC9" s="188">
        <v>179564469.38999999</v>
      </c>
      <c r="AD9" s="188">
        <v>128664557.65000001</v>
      </c>
      <c r="AE9" s="188">
        <v>75287343.129999995</v>
      </c>
      <c r="AF9" s="188">
        <v>39617333.829999998</v>
      </c>
      <c r="AG9" s="188">
        <v>153774069.66999999</v>
      </c>
      <c r="AH9" s="188">
        <v>103298918.73999999</v>
      </c>
      <c r="AI9" s="188">
        <v>64303718.270000003</v>
      </c>
      <c r="AJ9" s="188">
        <v>30600829.949999999</v>
      </c>
      <c r="AK9" s="188">
        <v>125174713.59999999</v>
      </c>
      <c r="AL9" s="188">
        <v>87344769.709999993</v>
      </c>
      <c r="AM9" s="188">
        <v>61482323.909999996</v>
      </c>
      <c r="AN9" s="188">
        <v>30663145.84</v>
      </c>
      <c r="AO9" s="188">
        <v>128258613.58</v>
      </c>
      <c r="AP9" s="188">
        <v>97874819.739999995</v>
      </c>
      <c r="AQ9" s="188">
        <v>72497092.790000007</v>
      </c>
      <c r="AR9" s="188">
        <v>30744269.539999999</v>
      </c>
      <c r="AS9" s="188">
        <v>105053146.8</v>
      </c>
      <c r="AT9" s="188">
        <v>59464325.130000003</v>
      </c>
      <c r="AU9" s="188">
        <v>43708221.219999999</v>
      </c>
      <c r="AV9" s="188">
        <v>21864974.300000001</v>
      </c>
      <c r="AW9" s="188">
        <v>90910492.519999996</v>
      </c>
      <c r="AX9" s="188">
        <v>62765722.119999997</v>
      </c>
      <c r="AY9" s="188">
        <v>42247131.039999999</v>
      </c>
      <c r="AZ9" s="188">
        <v>22101870.129999999</v>
      </c>
      <c r="BA9" s="188">
        <v>81080180.390000001</v>
      </c>
      <c r="BB9" s="188">
        <v>53597015.93</v>
      </c>
      <c r="BC9" s="188">
        <v>35384171.899999999</v>
      </c>
      <c r="BD9" s="188">
        <v>18919800.859999999</v>
      </c>
      <c r="BE9" s="188">
        <v>70504063.310000002</v>
      </c>
      <c r="BF9" s="188">
        <v>46503347.909999996</v>
      </c>
      <c r="BG9" s="188">
        <v>32203474.309999999</v>
      </c>
      <c r="BH9" s="188">
        <v>15204864.720000001</v>
      </c>
      <c r="BI9" s="188">
        <v>63019637.170000002</v>
      </c>
      <c r="BJ9" s="188">
        <v>45261728.049999997</v>
      </c>
      <c r="BK9" s="188">
        <v>25367010.670000002</v>
      </c>
      <c r="BL9" s="188">
        <v>8397530.8800000008</v>
      </c>
      <c r="BM9" s="188">
        <v>48962781.380000003</v>
      </c>
      <c r="BN9" s="188">
        <v>16213498.68</v>
      </c>
      <c r="BO9" s="188">
        <v>36266661.450000003</v>
      </c>
      <c r="BP9" s="188">
        <v>0</v>
      </c>
      <c r="BQ9" s="188">
        <v>0</v>
      </c>
    </row>
    <row r="10" spans="1:69">
      <c r="A10" s="188" t="s">
        <v>226</v>
      </c>
      <c r="B10" s="188">
        <v>154126136.69</v>
      </c>
      <c r="C10" s="188">
        <v>107040533.15000001</v>
      </c>
      <c r="D10" s="188">
        <v>57908692.939999998</v>
      </c>
      <c r="E10" s="188">
        <v>154310286.59999999</v>
      </c>
      <c r="F10" s="188">
        <v>125857255.58</v>
      </c>
      <c r="G10" s="188">
        <v>99815054.170000002</v>
      </c>
      <c r="H10" s="188">
        <v>71309929.909999996</v>
      </c>
      <c r="I10" s="188">
        <v>138237179.15000001</v>
      </c>
      <c r="J10" s="188">
        <v>126256011.36</v>
      </c>
      <c r="K10" s="188">
        <v>85373226.150000006</v>
      </c>
      <c r="L10" s="188">
        <v>35956547.439999998</v>
      </c>
      <c r="M10" s="188">
        <v>134180239.31</v>
      </c>
      <c r="N10" s="188">
        <v>108946221.06999999</v>
      </c>
      <c r="O10" s="188">
        <v>72644716.840000004</v>
      </c>
      <c r="P10" s="188">
        <v>40574481.670000002</v>
      </c>
      <c r="Q10" s="188">
        <v>123816787.52</v>
      </c>
      <c r="R10" s="188">
        <v>99114321.099999994</v>
      </c>
      <c r="S10" s="188">
        <v>67536230.340000004</v>
      </c>
      <c r="T10" s="188">
        <v>24070203.359999999</v>
      </c>
      <c r="U10" s="188">
        <v>109830504.18000001</v>
      </c>
      <c r="V10" s="188">
        <v>84026737.219999999</v>
      </c>
      <c r="W10" s="188">
        <v>62188074.810000002</v>
      </c>
      <c r="X10" s="188">
        <v>31129436.48</v>
      </c>
      <c r="Y10" s="188">
        <v>73762191.379999995</v>
      </c>
      <c r="Z10" s="188">
        <v>51394011.840000004</v>
      </c>
      <c r="AA10" s="188">
        <v>43058611.280000001</v>
      </c>
      <c r="AB10" s="188">
        <v>16009724.050000001</v>
      </c>
      <c r="AC10" s="188">
        <v>93387902.079999998</v>
      </c>
      <c r="AD10" s="188">
        <v>80994263.409999996</v>
      </c>
      <c r="AE10" s="188">
        <v>65908279.909999996</v>
      </c>
      <c r="AF10" s="188">
        <v>23432002.32</v>
      </c>
      <c r="AG10" s="188">
        <v>137463162.16999999</v>
      </c>
      <c r="AH10" s="188">
        <v>109380816.03</v>
      </c>
      <c r="AI10" s="188">
        <v>68632744.030000001</v>
      </c>
      <c r="AJ10" s="188">
        <v>30211808.210000001</v>
      </c>
      <c r="AK10" s="188">
        <v>118105895.03</v>
      </c>
      <c r="AL10" s="188">
        <v>93918081.090000004</v>
      </c>
      <c r="AM10" s="188">
        <v>63902034.840000004</v>
      </c>
      <c r="AN10" s="188">
        <v>26886491.41</v>
      </c>
      <c r="AO10" s="188">
        <v>139768539.44</v>
      </c>
      <c r="AP10" s="188">
        <v>131027417.55</v>
      </c>
      <c r="AQ10" s="188">
        <v>74210841.689999998</v>
      </c>
      <c r="AR10" s="188">
        <v>34557760.509999998</v>
      </c>
      <c r="AS10" s="188">
        <v>130642139.69</v>
      </c>
      <c r="AT10" s="188">
        <v>108348269.44</v>
      </c>
      <c r="AU10" s="188">
        <v>64737982.409999996</v>
      </c>
      <c r="AV10" s="188">
        <v>35291999.130000003</v>
      </c>
      <c r="AW10" s="188">
        <v>104561156.3</v>
      </c>
      <c r="AX10" s="188">
        <v>72732439.510000005</v>
      </c>
      <c r="AY10" s="188">
        <v>56294490.149999999</v>
      </c>
      <c r="AZ10" s="188">
        <v>23130270.809999999</v>
      </c>
      <c r="BA10" s="188">
        <v>98233987.269999996</v>
      </c>
      <c r="BB10" s="188">
        <v>81675841.700000003</v>
      </c>
      <c r="BC10" s="188">
        <v>54379917.299999997</v>
      </c>
      <c r="BD10" s="188">
        <v>27789398.350000001</v>
      </c>
      <c r="BE10" s="188">
        <v>98270523.439999998</v>
      </c>
      <c r="BF10" s="188">
        <v>73604916.209999993</v>
      </c>
      <c r="BG10" s="188">
        <v>52490787.719999999</v>
      </c>
      <c r="BH10" s="188">
        <v>24355967.300000001</v>
      </c>
      <c r="BI10" s="188">
        <v>93161121.599999994</v>
      </c>
      <c r="BJ10" s="188">
        <v>70172819.870000005</v>
      </c>
      <c r="BK10" s="188">
        <v>45997312.399999999</v>
      </c>
      <c r="BL10" s="188">
        <v>22087749.620000001</v>
      </c>
      <c r="BM10" s="188">
        <v>73210009.379999995</v>
      </c>
      <c r="BN10" s="188">
        <v>36608321.810000002</v>
      </c>
      <c r="BO10" s="188">
        <v>64279734.539999999</v>
      </c>
      <c r="BP10" s="188">
        <v>0</v>
      </c>
      <c r="BQ10" s="188">
        <v>0</v>
      </c>
    </row>
    <row r="11" spans="1:69">
      <c r="A11" s="188" t="s">
        <v>227</v>
      </c>
      <c r="B11" s="188">
        <v>167788332.19999999</v>
      </c>
      <c r="C11" s="188">
        <v>96740919.640000001</v>
      </c>
      <c r="D11" s="188">
        <v>40734216.32</v>
      </c>
      <c r="E11" s="188">
        <v>254053728.81999999</v>
      </c>
      <c r="F11" s="188">
        <v>121035939.55</v>
      </c>
      <c r="G11" s="188">
        <v>71866250.549999997</v>
      </c>
      <c r="H11" s="188">
        <v>12357336.380000001</v>
      </c>
      <c r="I11" s="188">
        <v>218106210.75</v>
      </c>
      <c r="J11" s="188">
        <v>93914141.709999993</v>
      </c>
      <c r="K11" s="188">
        <v>73295070.840000004</v>
      </c>
      <c r="L11" s="188">
        <v>11020559.43</v>
      </c>
      <c r="M11" s="188">
        <v>186132624.13</v>
      </c>
      <c r="N11" s="188">
        <v>153433555.47</v>
      </c>
      <c r="O11" s="188">
        <v>91175513.239999995</v>
      </c>
      <c r="P11" s="188">
        <v>31632776.399999999</v>
      </c>
      <c r="Q11" s="188">
        <v>174148436.65000001</v>
      </c>
      <c r="R11" s="188">
        <v>109319304.81</v>
      </c>
      <c r="S11" s="188">
        <v>74607588.379999995</v>
      </c>
      <c r="T11" s="188">
        <v>31752822.18</v>
      </c>
      <c r="U11" s="188">
        <v>155517059.25999999</v>
      </c>
      <c r="V11" s="188">
        <v>113770171.41</v>
      </c>
      <c r="W11" s="188">
        <v>53168668.170000002</v>
      </c>
      <c r="X11" s="188">
        <v>37077075</v>
      </c>
      <c r="Y11" s="188">
        <v>137988133.97</v>
      </c>
      <c r="Z11" s="188">
        <v>96336273.340000004</v>
      </c>
      <c r="AA11" s="188">
        <v>63505053.450000003</v>
      </c>
      <c r="AB11" s="188">
        <v>34582290.469999999</v>
      </c>
      <c r="AC11" s="188">
        <v>151072401.47999999</v>
      </c>
      <c r="AD11" s="188">
        <v>82779036.969999999</v>
      </c>
      <c r="AE11" s="188">
        <v>62686676.799999997</v>
      </c>
      <c r="AF11" s="188">
        <v>32391530.68</v>
      </c>
      <c r="AG11" s="188">
        <v>170489454.86000001</v>
      </c>
      <c r="AH11" s="188">
        <v>104800840.93000001</v>
      </c>
      <c r="AI11" s="188">
        <v>66645460.100000001</v>
      </c>
      <c r="AJ11" s="188">
        <v>27602016.129999999</v>
      </c>
      <c r="AK11" s="188">
        <v>145241436.91999999</v>
      </c>
      <c r="AL11" s="188">
        <v>80042076.829999998</v>
      </c>
      <c r="AM11" s="188">
        <v>45321204.840000004</v>
      </c>
      <c r="AN11" s="188">
        <v>22921722.620000001</v>
      </c>
      <c r="AO11" s="188">
        <v>130777333.45</v>
      </c>
      <c r="AP11" s="188">
        <v>81104953.980000004</v>
      </c>
      <c r="AQ11" s="188">
        <v>48661900.270000003</v>
      </c>
      <c r="AR11" s="188">
        <v>16476807.109999999</v>
      </c>
      <c r="AS11" s="188">
        <v>110971509.97</v>
      </c>
      <c r="AT11" s="188">
        <v>64296957.100000001</v>
      </c>
      <c r="AU11" s="188">
        <v>38812664.409999996</v>
      </c>
      <c r="AV11" s="188">
        <v>18542976.940000001</v>
      </c>
      <c r="AW11" s="188">
        <v>75166733.670000002</v>
      </c>
      <c r="AX11" s="188">
        <v>51225567.310000002</v>
      </c>
      <c r="AY11" s="188">
        <v>35937040.369999997</v>
      </c>
      <c r="AZ11" s="188">
        <v>16317919.949999999</v>
      </c>
      <c r="BA11" s="188">
        <v>68247327.370000005</v>
      </c>
      <c r="BB11" s="188">
        <v>43187427.020000003</v>
      </c>
      <c r="BC11" s="188">
        <v>28097028.25</v>
      </c>
      <c r="BD11" s="188">
        <v>12545516</v>
      </c>
      <c r="BE11" s="188">
        <v>64107804.490000002</v>
      </c>
      <c r="BF11" s="188">
        <v>46974492.219999999</v>
      </c>
      <c r="BG11" s="188">
        <v>33279554.129999999</v>
      </c>
      <c r="BH11" s="188">
        <v>14351054.300000001</v>
      </c>
      <c r="BI11" s="188">
        <v>58415195.170000002</v>
      </c>
      <c r="BJ11" s="188">
        <v>36795704.109999999</v>
      </c>
      <c r="BK11" s="188">
        <v>28220218.57</v>
      </c>
      <c r="BL11" s="188">
        <v>12995713</v>
      </c>
      <c r="BM11" s="188">
        <v>65575374.909999996</v>
      </c>
      <c r="BN11" s="188">
        <v>19421725.030000001</v>
      </c>
      <c r="BO11" s="188">
        <v>32163848.379999999</v>
      </c>
      <c r="BP11" s="188">
        <v>0</v>
      </c>
      <c r="BQ11" s="188">
        <v>0</v>
      </c>
    </row>
    <row r="12" spans="1:69">
      <c r="A12" s="188" t="s">
        <v>228</v>
      </c>
      <c r="B12" s="188">
        <v>1594813487.5</v>
      </c>
      <c r="C12" s="188">
        <v>1075544017.97</v>
      </c>
      <c r="D12" s="188">
        <v>534870573.70999998</v>
      </c>
      <c r="E12" s="188">
        <v>1834355343.77</v>
      </c>
      <c r="F12" s="188">
        <v>1478706536.4400001</v>
      </c>
      <c r="G12" s="188">
        <v>969936014.76999998</v>
      </c>
      <c r="H12" s="188">
        <v>445511162.13999999</v>
      </c>
      <c r="I12" s="188">
        <v>1394065835.55</v>
      </c>
      <c r="J12" s="188">
        <v>1281317303.97</v>
      </c>
      <c r="K12" s="188">
        <v>840512682.32000005</v>
      </c>
      <c r="L12" s="188">
        <v>353508949.49000001</v>
      </c>
      <c r="M12" s="188">
        <v>1627941927.9400001</v>
      </c>
      <c r="N12" s="188">
        <v>1256742488.8599999</v>
      </c>
      <c r="O12" s="188">
        <v>839380759.74000001</v>
      </c>
      <c r="P12" s="188">
        <v>401169066.26999998</v>
      </c>
      <c r="Q12" s="188">
        <v>1666397795.73</v>
      </c>
      <c r="R12" s="188">
        <v>1210958371.8800001</v>
      </c>
      <c r="S12" s="188">
        <v>778750471.46000004</v>
      </c>
      <c r="T12" s="188">
        <v>377709924.31999999</v>
      </c>
      <c r="U12" s="188">
        <v>1441296331.9300001</v>
      </c>
      <c r="V12" s="188">
        <v>1134584670.6600001</v>
      </c>
      <c r="W12" s="188">
        <v>761012088.49000001</v>
      </c>
      <c r="X12" s="188">
        <v>405240501.18000001</v>
      </c>
      <c r="Y12" s="188">
        <v>1494399840.2</v>
      </c>
      <c r="Z12" s="188">
        <v>1105465771.8699999</v>
      </c>
      <c r="AA12" s="188">
        <v>771297760.59000003</v>
      </c>
      <c r="AB12" s="188">
        <v>419205372.75999999</v>
      </c>
      <c r="AC12" s="188">
        <v>1524940777.28</v>
      </c>
      <c r="AD12" s="188">
        <v>1092708328.1600001</v>
      </c>
      <c r="AE12" s="188">
        <v>728022607.88</v>
      </c>
      <c r="AF12" s="188">
        <v>380465581.94999999</v>
      </c>
      <c r="AG12" s="188">
        <v>1526598251.28</v>
      </c>
      <c r="AH12" s="188">
        <v>1004096994.21</v>
      </c>
      <c r="AI12" s="188">
        <v>638658878.50999999</v>
      </c>
      <c r="AJ12" s="188">
        <v>316685705.69999999</v>
      </c>
      <c r="AK12" s="188">
        <v>1100791918.54</v>
      </c>
      <c r="AL12" s="188">
        <v>794924943.17999995</v>
      </c>
      <c r="AM12" s="188">
        <v>534938239.57999998</v>
      </c>
      <c r="AN12" s="188">
        <v>266616107.34</v>
      </c>
      <c r="AO12" s="188">
        <v>1211741957.6900001</v>
      </c>
      <c r="AP12" s="188">
        <v>929601973.75</v>
      </c>
      <c r="AQ12" s="188">
        <v>610118791.59000003</v>
      </c>
      <c r="AR12" s="188">
        <v>277514744.38</v>
      </c>
      <c r="AS12" s="188">
        <v>999867636.45000005</v>
      </c>
      <c r="AT12" s="188">
        <v>755075084.80999994</v>
      </c>
      <c r="AU12" s="188">
        <v>431519796.23000002</v>
      </c>
      <c r="AV12" s="188">
        <v>187508861.13999999</v>
      </c>
      <c r="AW12" s="188">
        <v>846410735.66999996</v>
      </c>
      <c r="AX12" s="188">
        <v>593019424.34000003</v>
      </c>
      <c r="AY12" s="188">
        <v>390992291.47000003</v>
      </c>
      <c r="AZ12" s="188">
        <v>191271156.78</v>
      </c>
      <c r="BA12" s="188">
        <v>749955347.37</v>
      </c>
      <c r="BB12" s="188">
        <v>549165380.39999998</v>
      </c>
      <c r="BC12" s="188">
        <v>371040349.70999998</v>
      </c>
      <c r="BD12" s="188">
        <v>216714783.19</v>
      </c>
      <c r="BE12" s="188">
        <v>605206369.87</v>
      </c>
      <c r="BF12" s="188">
        <v>415730953.77999997</v>
      </c>
      <c r="BG12" s="188">
        <v>301664714.42000002</v>
      </c>
      <c r="BH12" s="188">
        <v>152095248.41</v>
      </c>
      <c r="BI12" s="188">
        <v>492515843.31</v>
      </c>
      <c r="BJ12" s="188">
        <v>387930951.88999999</v>
      </c>
      <c r="BK12" s="188">
        <v>268156178.58000001</v>
      </c>
      <c r="BL12" s="188">
        <v>155448460.75999999</v>
      </c>
      <c r="BM12" s="188">
        <v>400983113.48000002</v>
      </c>
      <c r="BN12" s="188">
        <v>215729630.91</v>
      </c>
      <c r="BO12" s="188">
        <v>387157484.10000002</v>
      </c>
      <c r="BP12" s="188">
        <v>0</v>
      </c>
      <c r="BQ12" s="188">
        <v>0</v>
      </c>
    </row>
    <row r="13" spans="1:69">
      <c r="A13" s="188" t="s">
        <v>229</v>
      </c>
      <c r="B13" s="188">
        <v>313324394.80000001</v>
      </c>
      <c r="C13" s="188">
        <v>182021681.00999999</v>
      </c>
      <c r="D13" s="188">
        <v>37047812.969999999</v>
      </c>
      <c r="E13" s="188">
        <v>411962940.10000002</v>
      </c>
      <c r="F13" s="188">
        <v>239955349.46000001</v>
      </c>
      <c r="G13" s="188">
        <v>148025109.56</v>
      </c>
      <c r="H13" s="188">
        <v>100081175.03</v>
      </c>
      <c r="I13" s="188">
        <v>506528107.43000001</v>
      </c>
      <c r="J13" s="188">
        <v>397834377.94999999</v>
      </c>
      <c r="K13" s="188">
        <v>231607835.00999999</v>
      </c>
      <c r="L13" s="188">
        <v>146017224.09999999</v>
      </c>
      <c r="M13" s="188">
        <v>389634256.13999999</v>
      </c>
      <c r="N13" s="188">
        <v>309188648.60000002</v>
      </c>
      <c r="O13" s="188">
        <v>175171491.31</v>
      </c>
      <c r="P13" s="188">
        <v>70509040.489999995</v>
      </c>
      <c r="Q13" s="188">
        <v>266634293.78999999</v>
      </c>
      <c r="R13" s="188">
        <v>136203642.33000001</v>
      </c>
      <c r="S13" s="188">
        <v>100986732.22</v>
      </c>
      <c r="T13" s="188">
        <v>43924546.869999997</v>
      </c>
      <c r="U13" s="188">
        <v>268597934.04000002</v>
      </c>
      <c r="V13" s="188">
        <v>122843860.92</v>
      </c>
      <c r="W13" s="188">
        <v>109961830.09999999</v>
      </c>
      <c r="X13" s="188">
        <v>26760705.460000001</v>
      </c>
      <c r="Y13" s="188">
        <v>28519302.5</v>
      </c>
      <c r="Z13" s="188">
        <v>-12955274.6</v>
      </c>
      <c r="AA13" s="188">
        <v>-49151607.159999996</v>
      </c>
      <c r="AB13" s="188">
        <v>-77685327.200000003</v>
      </c>
      <c r="AC13" s="188">
        <v>274626291.88</v>
      </c>
      <c r="AD13" s="188">
        <v>129274059.53</v>
      </c>
      <c r="AE13" s="188">
        <v>124942208.26000001</v>
      </c>
      <c r="AF13" s="188">
        <v>46622125.670000002</v>
      </c>
      <c r="AG13" s="188">
        <v>217011545.37</v>
      </c>
      <c r="AH13" s="188">
        <v>251763804.72</v>
      </c>
      <c r="AI13" s="188">
        <v>205942179.30000001</v>
      </c>
      <c r="AJ13" s="188">
        <v>126302608.90000001</v>
      </c>
      <c r="AK13" s="188">
        <v>249269436.27000001</v>
      </c>
      <c r="AL13" s="188">
        <v>151599709.22999999</v>
      </c>
      <c r="AM13" s="188">
        <v>109943653.29000001</v>
      </c>
      <c r="AN13" s="188">
        <v>49058562.579999998</v>
      </c>
      <c r="AO13" s="188">
        <v>91758958.849999994</v>
      </c>
      <c r="AP13" s="188">
        <v>56614845.75</v>
      </c>
      <c r="AQ13" s="188">
        <v>51608092.060000002</v>
      </c>
      <c r="AR13" s="188">
        <v>29994039.989999998</v>
      </c>
      <c r="AS13" s="188">
        <v>122632735.78</v>
      </c>
      <c r="AT13" s="188">
        <v>51706666.969999999</v>
      </c>
      <c r="AU13" s="188">
        <v>54171578.590000004</v>
      </c>
      <c r="AV13" s="188">
        <v>45869256.079999998</v>
      </c>
      <c r="AW13" s="188">
        <v>78468091.319999993</v>
      </c>
      <c r="AX13" s="188">
        <v>46466956.770000003</v>
      </c>
      <c r="AY13" s="188">
        <v>29761398.41</v>
      </c>
      <c r="AZ13" s="188">
        <v>611246.42000000004</v>
      </c>
      <c r="BA13" s="188">
        <v>44086953.729999997</v>
      </c>
      <c r="BB13" s="188">
        <v>77919057.519999996</v>
      </c>
      <c r="BC13" s="188">
        <v>40496846.329999998</v>
      </c>
      <c r="BD13" s="188">
        <v>-11775125.16</v>
      </c>
      <c r="BE13" s="188">
        <v>-3698859.75</v>
      </c>
      <c r="BF13" s="188">
        <v>49665166.659999996</v>
      </c>
      <c r="BG13" s="188">
        <v>-20805085.600000001</v>
      </c>
      <c r="BH13" s="188">
        <v>-23281506.120000001</v>
      </c>
      <c r="BI13" s="188">
        <v>59348664.32</v>
      </c>
      <c r="BJ13" s="188">
        <v>31099071.09</v>
      </c>
      <c r="BK13" s="188">
        <v>7481047.8899999997</v>
      </c>
      <c r="BL13" s="188">
        <v>-20695992.199999999</v>
      </c>
      <c r="BM13" s="188">
        <v>109261606.93000001</v>
      </c>
      <c r="BN13" s="188">
        <v>35879988.640000001</v>
      </c>
      <c r="BO13" s="188">
        <v>28603697.760000002</v>
      </c>
      <c r="BP13" s="188">
        <v>0</v>
      </c>
      <c r="BQ13" s="188">
        <v>0</v>
      </c>
    </row>
    <row r="14" spans="1:69">
      <c r="A14" s="188" t="s">
        <v>230</v>
      </c>
    </row>
    <row r="15" spans="1:69">
      <c r="A15" s="188" t="s">
        <v>231</v>
      </c>
      <c r="B15" s="188">
        <v>908000000</v>
      </c>
      <c r="C15" s="188">
        <v>708000000</v>
      </c>
      <c r="D15" s="188">
        <v>410000000</v>
      </c>
      <c r="E15" s="188">
        <v>562000000</v>
      </c>
      <c r="F15" s="188">
        <v>1518000000</v>
      </c>
      <c r="G15" s="188">
        <v>765000000</v>
      </c>
      <c r="H15" s="188">
        <v>160000000</v>
      </c>
      <c r="I15" s="188">
        <v>272000000</v>
      </c>
      <c r="J15" s="188">
        <v>261000000</v>
      </c>
      <c r="K15" s="188">
        <v>221000000</v>
      </c>
      <c r="L15" s="188">
        <v>0</v>
      </c>
      <c r="M15" s="188">
        <v>272000000</v>
      </c>
      <c r="N15" s="188">
        <v>172000000</v>
      </c>
      <c r="O15" s="188">
        <v>122000000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11953419.17</v>
      </c>
      <c r="AL15" s="188">
        <v>6466048.1900000004</v>
      </c>
      <c r="AM15" s="188">
        <v>6466048.1900000004</v>
      </c>
      <c r="AN15" s="188">
        <v>0</v>
      </c>
      <c r="AO15" s="188">
        <v>2609344.85</v>
      </c>
      <c r="AP15" s="188">
        <v>0</v>
      </c>
      <c r="AQ15" s="188">
        <v>0</v>
      </c>
      <c r="AR15" s="188">
        <v>0</v>
      </c>
      <c r="AS15" s="188">
        <v>11479958.039999999</v>
      </c>
      <c r="AT15" s="188">
        <v>29291260.710000001</v>
      </c>
      <c r="AU15" s="188">
        <v>29291260.710000001</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2816495.9</v>
      </c>
      <c r="BN15" s="188">
        <v>0</v>
      </c>
      <c r="BO15" s="188">
        <v>15000</v>
      </c>
      <c r="BP15" s="188">
        <v>0</v>
      </c>
      <c r="BQ15" s="188">
        <v>0</v>
      </c>
    </row>
    <row r="16" spans="1:69">
      <c r="A16" s="188" t="s">
        <v>232</v>
      </c>
      <c r="B16" s="188">
        <v>23192587.219999999</v>
      </c>
      <c r="C16" s="188">
        <v>15468587.48</v>
      </c>
      <c r="D16" s="188">
        <v>6837933.54</v>
      </c>
      <c r="E16" s="188">
        <v>19090598.109999999</v>
      </c>
      <c r="F16" s="188">
        <v>4110078.79</v>
      </c>
      <c r="G16" s="188">
        <v>2677308.23</v>
      </c>
      <c r="H16" s="188">
        <v>1149315.0900000001</v>
      </c>
      <c r="I16" s="188">
        <v>1886246.83</v>
      </c>
      <c r="J16" s="188">
        <v>1183101.6299999999</v>
      </c>
      <c r="K16" s="188">
        <v>571033.14</v>
      </c>
      <c r="L16" s="188">
        <v>238547.93</v>
      </c>
      <c r="M16" s="188">
        <v>2818334.66</v>
      </c>
      <c r="N16" s="188">
        <v>1476062.98</v>
      </c>
      <c r="O16" s="188">
        <v>959350.65</v>
      </c>
      <c r="P16" s="188">
        <v>0</v>
      </c>
      <c r="Q16" s="188">
        <v>49640.58</v>
      </c>
      <c r="R16" s="188">
        <v>3900.84</v>
      </c>
      <c r="S16" s="188">
        <v>3900.84</v>
      </c>
      <c r="T16" s="188">
        <v>0</v>
      </c>
      <c r="U16" s="188">
        <v>5201.12</v>
      </c>
      <c r="V16" s="188">
        <v>5201.12</v>
      </c>
      <c r="W16" s="188">
        <v>5201.12</v>
      </c>
      <c r="X16" s="188">
        <v>0</v>
      </c>
      <c r="Y16" s="188">
        <v>42947.95</v>
      </c>
      <c r="Z16" s="188">
        <v>42947.95</v>
      </c>
      <c r="AA16" s="188">
        <v>25665.75</v>
      </c>
      <c r="AB16" s="188">
        <v>14931.51</v>
      </c>
      <c r="AC16" s="188">
        <v>65369.86</v>
      </c>
      <c r="AD16" s="188">
        <v>0</v>
      </c>
      <c r="AE16" s="188">
        <v>0</v>
      </c>
      <c r="AF16" s="188">
        <v>0</v>
      </c>
      <c r="AG16" s="188">
        <v>3348.08</v>
      </c>
      <c r="AH16" s="188">
        <v>3348.08</v>
      </c>
      <c r="AI16" s="188">
        <v>3348.08</v>
      </c>
      <c r="AJ16" s="188">
        <v>0</v>
      </c>
      <c r="AK16" s="188">
        <v>6619689.9400000004</v>
      </c>
      <c r="AL16" s="188">
        <v>3308</v>
      </c>
      <c r="AM16" s="188">
        <v>0</v>
      </c>
      <c r="AN16" s="188">
        <v>0</v>
      </c>
      <c r="AO16" s="188">
        <v>4471.25</v>
      </c>
      <c r="AP16" s="188">
        <v>4471.25</v>
      </c>
      <c r="AQ16" s="188">
        <v>0</v>
      </c>
      <c r="AR16" s="188">
        <v>0</v>
      </c>
      <c r="AS16" s="188">
        <v>3882936.34</v>
      </c>
      <c r="AT16" s="188">
        <v>1831672.03</v>
      </c>
      <c r="AU16" s="188">
        <v>1831672.03</v>
      </c>
      <c r="AV16" s="188">
        <v>0</v>
      </c>
      <c r="AW16" s="188">
        <v>5512.5</v>
      </c>
      <c r="AX16" s="188">
        <v>0</v>
      </c>
      <c r="AY16" s="188">
        <v>0</v>
      </c>
      <c r="AZ16" s="188">
        <v>0</v>
      </c>
      <c r="BA16" s="188">
        <v>5696.25</v>
      </c>
      <c r="BB16" s="188">
        <v>0</v>
      </c>
      <c r="BC16" s="188">
        <v>0</v>
      </c>
      <c r="BD16" s="188">
        <v>0</v>
      </c>
      <c r="BE16" s="188">
        <v>0</v>
      </c>
      <c r="BF16" s="188">
        <v>0</v>
      </c>
      <c r="BG16" s="188">
        <v>0</v>
      </c>
      <c r="BH16" s="188">
        <v>0</v>
      </c>
      <c r="BI16" s="188">
        <v>0</v>
      </c>
      <c r="BJ16" s="188">
        <v>0</v>
      </c>
      <c r="BK16" s="188">
        <v>0</v>
      </c>
      <c r="BL16" s="188">
        <v>0</v>
      </c>
      <c r="BM16" s="188">
        <v>0</v>
      </c>
      <c r="BN16" s="188">
        <v>0</v>
      </c>
      <c r="BO16" s="188">
        <v>23286.33</v>
      </c>
      <c r="BP16" s="188">
        <v>0</v>
      </c>
      <c r="BQ16" s="188">
        <v>0</v>
      </c>
    </row>
    <row r="17" spans="1:69">
      <c r="A17" s="188" t="s">
        <v>233</v>
      </c>
      <c r="B17" s="188">
        <v>49422.89</v>
      </c>
      <c r="C17" s="188">
        <v>30945.48</v>
      </c>
      <c r="D17" s="188">
        <v>0</v>
      </c>
      <c r="E17" s="188">
        <v>3329835.13</v>
      </c>
      <c r="F17" s="188">
        <v>3386750.74</v>
      </c>
      <c r="G17" s="188">
        <v>3368657.04</v>
      </c>
      <c r="H17" s="188">
        <v>3006868.26</v>
      </c>
      <c r="I17" s="188">
        <v>43919.37</v>
      </c>
      <c r="J17" s="188">
        <v>42935.85</v>
      </c>
      <c r="K17" s="188">
        <v>41905.06</v>
      </c>
      <c r="L17" s="188">
        <v>5011.63</v>
      </c>
      <c r="M17" s="188">
        <v>227153.23</v>
      </c>
      <c r="N17" s="188">
        <v>28419.75</v>
      </c>
      <c r="O17" s="188">
        <v>25932.52</v>
      </c>
      <c r="P17" s="188">
        <v>21673.01</v>
      </c>
      <c r="Q17" s="188">
        <v>2308006.2000000002</v>
      </c>
      <c r="R17" s="188">
        <v>176215.14</v>
      </c>
      <c r="S17" s="188">
        <v>40881.730000000003</v>
      </c>
      <c r="T17" s="188">
        <v>0</v>
      </c>
      <c r="U17" s="188">
        <v>4723535.47</v>
      </c>
      <c r="V17" s="188">
        <v>2382043.19</v>
      </c>
      <c r="W17" s="188">
        <v>2262389.33</v>
      </c>
      <c r="X17" s="188">
        <v>79246.16</v>
      </c>
      <c r="Y17" s="188">
        <v>5712939.3399999999</v>
      </c>
      <c r="Z17" s="188">
        <v>4548464.9400000004</v>
      </c>
      <c r="AA17" s="188">
        <v>615998.07999999996</v>
      </c>
      <c r="AB17" s="188">
        <v>12750</v>
      </c>
      <c r="AC17" s="188">
        <v>345921.22</v>
      </c>
      <c r="AD17" s="188">
        <v>374838.22</v>
      </c>
      <c r="AE17" s="188">
        <v>191434.38</v>
      </c>
      <c r="AF17" s="188">
        <v>0</v>
      </c>
      <c r="AG17" s="188">
        <v>125000</v>
      </c>
      <c r="AH17" s="188">
        <v>45000</v>
      </c>
      <c r="AI17" s="188">
        <v>0</v>
      </c>
      <c r="AJ17" s="188">
        <v>0</v>
      </c>
      <c r="AK17" s="188">
        <v>390000</v>
      </c>
      <c r="AL17" s="188">
        <v>0</v>
      </c>
      <c r="AM17" s="188">
        <v>0</v>
      </c>
      <c r="AN17" s="188">
        <v>0</v>
      </c>
      <c r="AO17" s="188">
        <v>1647961.92</v>
      </c>
      <c r="AP17" s="188">
        <v>337961.92</v>
      </c>
      <c r="AQ17" s="188">
        <v>325961.92</v>
      </c>
      <c r="AR17" s="188">
        <v>30000</v>
      </c>
      <c r="AS17" s="188">
        <v>406027.34</v>
      </c>
      <c r="AT17" s="188">
        <v>0</v>
      </c>
      <c r="AU17" s="188">
        <v>0</v>
      </c>
      <c r="AV17" s="188">
        <v>0</v>
      </c>
      <c r="AW17" s="188">
        <v>0</v>
      </c>
      <c r="AX17" s="188">
        <v>0</v>
      </c>
      <c r="AY17" s="188">
        <v>0</v>
      </c>
      <c r="AZ17" s="188">
        <v>0</v>
      </c>
      <c r="BA17" s="188">
        <v>63640</v>
      </c>
      <c r="BB17" s="188">
        <v>155920</v>
      </c>
      <c r="BC17" s="188">
        <v>90000</v>
      </c>
      <c r="BD17" s="188">
        <v>90000</v>
      </c>
      <c r="BE17" s="188">
        <v>4506426.18</v>
      </c>
      <c r="BF17" s="188">
        <v>205030</v>
      </c>
      <c r="BG17" s="188">
        <v>205030</v>
      </c>
      <c r="BH17" s="188">
        <v>8000</v>
      </c>
      <c r="BI17" s="188">
        <v>5000</v>
      </c>
      <c r="BJ17" s="188">
        <v>37556.019999999997</v>
      </c>
      <c r="BK17" s="188">
        <v>5000</v>
      </c>
      <c r="BL17" s="188">
        <v>5000</v>
      </c>
      <c r="BM17" s="188">
        <v>0</v>
      </c>
      <c r="BN17" s="188">
        <v>974198.32</v>
      </c>
      <c r="BO17" s="188">
        <v>1676123.64</v>
      </c>
      <c r="BP17" s="188">
        <v>0</v>
      </c>
      <c r="BQ17" s="188">
        <v>0</v>
      </c>
    </row>
    <row r="18" spans="1:69">
      <c r="A18" s="188" t="s">
        <v>234</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34332204.340000004</v>
      </c>
      <c r="AD18" s="188">
        <v>62235058</v>
      </c>
      <c r="AE18" s="188">
        <v>46676294</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c r="BL18" s="188">
        <v>0</v>
      </c>
      <c r="BM18" s="188">
        <v>0</v>
      </c>
      <c r="BN18" s="188">
        <v>0</v>
      </c>
      <c r="BO18" s="188">
        <v>0</v>
      </c>
      <c r="BP18" s="188">
        <v>0</v>
      </c>
      <c r="BQ18" s="188">
        <v>0</v>
      </c>
    </row>
    <row r="19" spans="1:69">
      <c r="A19" s="188" t="s">
        <v>235</v>
      </c>
      <c r="B19" s="188">
        <v>5706700</v>
      </c>
      <c r="C19" s="188">
        <v>2406700</v>
      </c>
      <c r="D19" s="188">
        <v>1637000</v>
      </c>
      <c r="E19" s="188">
        <v>16360242</v>
      </c>
      <c r="F19" s="188">
        <v>3204070</v>
      </c>
      <c r="G19" s="188">
        <v>3204070</v>
      </c>
      <c r="H19" s="188">
        <v>3204070</v>
      </c>
      <c r="I19" s="188">
        <v>2899600</v>
      </c>
      <c r="J19" s="188">
        <v>729000</v>
      </c>
      <c r="K19" s="188">
        <v>729000</v>
      </c>
      <c r="L19" s="188">
        <v>729000</v>
      </c>
      <c r="M19" s="188">
        <v>25520600</v>
      </c>
      <c r="N19" s="188">
        <v>0</v>
      </c>
      <c r="O19" s="188">
        <v>0</v>
      </c>
      <c r="P19" s="188">
        <v>0</v>
      </c>
      <c r="Q19" s="188">
        <v>0</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row>
    <row r="20" spans="1:69">
      <c r="A20" s="188" t="s">
        <v>236</v>
      </c>
      <c r="B20" s="188">
        <v>936948710.11000001</v>
      </c>
      <c r="C20" s="188">
        <v>725906232.96000004</v>
      </c>
      <c r="D20" s="188">
        <v>418474933.54000002</v>
      </c>
      <c r="E20" s="188">
        <v>600780675.24000001</v>
      </c>
      <c r="F20" s="188">
        <v>1528700899.53</v>
      </c>
      <c r="G20" s="188">
        <v>774250035.26999998</v>
      </c>
      <c r="H20" s="188">
        <v>167360253.34999999</v>
      </c>
      <c r="I20" s="188">
        <v>276829766.19999999</v>
      </c>
      <c r="J20" s="188">
        <v>262955037.47999999</v>
      </c>
      <c r="K20" s="188">
        <v>222341938.19999999</v>
      </c>
      <c r="L20" s="188">
        <v>972559.56</v>
      </c>
      <c r="M20" s="188">
        <v>300566087.88999999</v>
      </c>
      <c r="N20" s="188">
        <v>173504482.72999999</v>
      </c>
      <c r="O20" s="188">
        <v>122985283.17</v>
      </c>
      <c r="P20" s="188">
        <v>21673.01</v>
      </c>
      <c r="Q20" s="188">
        <v>2357646.7799999998</v>
      </c>
      <c r="R20" s="188">
        <v>180115.98</v>
      </c>
      <c r="S20" s="188">
        <v>44782.57</v>
      </c>
      <c r="T20" s="188">
        <v>0</v>
      </c>
      <c r="U20" s="188">
        <v>4728736.59</v>
      </c>
      <c r="V20" s="188">
        <v>2387244.31</v>
      </c>
      <c r="W20" s="188">
        <v>2267590.4500000002</v>
      </c>
      <c r="X20" s="188">
        <v>79246.16</v>
      </c>
      <c r="Y20" s="188">
        <v>5755887.29</v>
      </c>
      <c r="Z20" s="188">
        <v>4591412.8899999997</v>
      </c>
      <c r="AA20" s="188">
        <v>641663.82999999996</v>
      </c>
      <c r="AB20" s="188">
        <v>27681.51</v>
      </c>
      <c r="AC20" s="188">
        <v>34743495.420000002</v>
      </c>
      <c r="AD20" s="188">
        <v>62609896.219999999</v>
      </c>
      <c r="AE20" s="188">
        <v>46867728.380000003</v>
      </c>
      <c r="AF20" s="188">
        <v>0</v>
      </c>
      <c r="AG20" s="188">
        <v>128348.08</v>
      </c>
      <c r="AH20" s="188">
        <v>48348.08</v>
      </c>
      <c r="AI20" s="188">
        <v>3348.08</v>
      </c>
      <c r="AJ20" s="188">
        <v>0</v>
      </c>
      <c r="AK20" s="188">
        <v>18963109.109999999</v>
      </c>
      <c r="AL20" s="188">
        <v>6469356.1900000004</v>
      </c>
      <c r="AM20" s="188">
        <v>6466048.1900000004</v>
      </c>
      <c r="AN20" s="188">
        <v>0</v>
      </c>
      <c r="AO20" s="188">
        <v>4261778.0199999996</v>
      </c>
      <c r="AP20" s="188">
        <v>342433.17</v>
      </c>
      <c r="AQ20" s="188">
        <v>325961.92</v>
      </c>
      <c r="AR20" s="188">
        <v>30000</v>
      </c>
      <c r="AS20" s="188">
        <v>15768921.720000001</v>
      </c>
      <c r="AT20" s="188">
        <v>31122932.739999998</v>
      </c>
      <c r="AU20" s="188">
        <v>31122932.739999998</v>
      </c>
      <c r="AV20" s="188">
        <v>0</v>
      </c>
      <c r="AW20" s="188">
        <v>5512.5</v>
      </c>
      <c r="AX20" s="188">
        <v>0</v>
      </c>
      <c r="AY20" s="188">
        <v>0</v>
      </c>
      <c r="AZ20" s="188">
        <v>0</v>
      </c>
      <c r="BA20" s="188">
        <v>69336.25</v>
      </c>
      <c r="BB20" s="188">
        <v>155920</v>
      </c>
      <c r="BC20" s="188">
        <v>90000</v>
      </c>
      <c r="BD20" s="188">
        <v>90000</v>
      </c>
      <c r="BE20" s="188">
        <v>4506426.18</v>
      </c>
      <c r="BF20" s="188">
        <v>205030</v>
      </c>
      <c r="BG20" s="188">
        <v>205030</v>
      </c>
      <c r="BH20" s="188">
        <v>8000</v>
      </c>
      <c r="BI20" s="188">
        <v>5000</v>
      </c>
      <c r="BJ20" s="188">
        <v>37556.019999999997</v>
      </c>
      <c r="BK20" s="188">
        <v>5000</v>
      </c>
      <c r="BL20" s="188">
        <v>5000</v>
      </c>
      <c r="BM20" s="188">
        <v>2816495.9</v>
      </c>
      <c r="BN20" s="188">
        <v>974198.32</v>
      </c>
      <c r="BO20" s="188">
        <v>1714409.97</v>
      </c>
      <c r="BP20" s="188">
        <v>0</v>
      </c>
      <c r="BQ20" s="188">
        <v>0</v>
      </c>
    </row>
    <row r="21" spans="1:69">
      <c r="A21" s="188" t="s">
        <v>237</v>
      </c>
      <c r="B21" s="188">
        <v>195146631.43000001</v>
      </c>
      <c r="C21" s="188">
        <v>111157698.06</v>
      </c>
      <c r="D21" s="188">
        <v>74249155.989999995</v>
      </c>
      <c r="E21" s="188">
        <v>167064220.21000001</v>
      </c>
      <c r="F21" s="188">
        <v>121710485.06</v>
      </c>
      <c r="G21" s="188">
        <v>69734536.909999996</v>
      </c>
      <c r="H21" s="188">
        <v>79802392.700000003</v>
      </c>
      <c r="I21" s="188">
        <v>196578436.97999999</v>
      </c>
      <c r="J21" s="188">
        <v>144986063.80000001</v>
      </c>
      <c r="K21" s="188">
        <v>83701227.390000001</v>
      </c>
      <c r="L21" s="188">
        <v>56671092.32</v>
      </c>
      <c r="M21" s="188">
        <v>155116457.62</v>
      </c>
      <c r="N21" s="188">
        <v>82699815.189999998</v>
      </c>
      <c r="O21" s="188">
        <v>67938636.730000004</v>
      </c>
      <c r="P21" s="188">
        <v>37319291.990000002</v>
      </c>
      <c r="Q21" s="188">
        <v>133526993.95999999</v>
      </c>
      <c r="R21" s="188">
        <v>77948157.049999997</v>
      </c>
      <c r="S21" s="188">
        <v>71362616.689999998</v>
      </c>
      <c r="T21" s="188">
        <v>30186347.829999998</v>
      </c>
      <c r="U21" s="188">
        <v>150491058.56</v>
      </c>
      <c r="V21" s="188">
        <v>70584864.689999998</v>
      </c>
      <c r="W21" s="188">
        <v>42168123.560000002</v>
      </c>
      <c r="X21" s="188">
        <v>19451112.52</v>
      </c>
      <c r="Y21" s="188">
        <v>122095896.06999999</v>
      </c>
      <c r="Z21" s="188">
        <v>109662448.34</v>
      </c>
      <c r="AA21" s="188">
        <v>62253978.869999997</v>
      </c>
      <c r="AB21" s="188">
        <v>32437983.559999999</v>
      </c>
      <c r="AC21" s="188">
        <v>217526955.22</v>
      </c>
      <c r="AD21" s="188">
        <v>150419580.38</v>
      </c>
      <c r="AE21" s="188">
        <v>119874398.03</v>
      </c>
      <c r="AF21" s="188">
        <v>78158254.019999996</v>
      </c>
      <c r="AG21" s="188">
        <v>200368574.05000001</v>
      </c>
      <c r="AH21" s="188">
        <v>130706771.31999999</v>
      </c>
      <c r="AI21" s="188">
        <v>71871688.329999998</v>
      </c>
      <c r="AJ21" s="188">
        <v>32883521.039999999</v>
      </c>
      <c r="AK21" s="188">
        <v>118441052.56999999</v>
      </c>
      <c r="AL21" s="188">
        <v>96397822.189999998</v>
      </c>
      <c r="AM21" s="188">
        <v>44786720.770000003</v>
      </c>
      <c r="AN21" s="188">
        <v>12709831.390000001</v>
      </c>
      <c r="AO21" s="188">
        <v>158395457.02000001</v>
      </c>
      <c r="AP21" s="188">
        <v>108579041.81</v>
      </c>
      <c r="AQ21" s="188">
        <v>99132067.290000007</v>
      </c>
      <c r="AR21" s="188">
        <v>74733802.310000002</v>
      </c>
      <c r="AS21" s="188">
        <v>160823312.69</v>
      </c>
      <c r="AT21" s="188">
        <v>92316222.359999999</v>
      </c>
      <c r="AU21" s="188">
        <v>77854189.719999999</v>
      </c>
      <c r="AV21" s="188">
        <v>60498806.57</v>
      </c>
      <c r="AW21" s="188">
        <v>70593843.120000005</v>
      </c>
      <c r="AX21" s="188">
        <v>57748387.079999998</v>
      </c>
      <c r="AY21" s="188">
        <v>45255312.130000003</v>
      </c>
      <c r="AZ21" s="188">
        <v>15448962.41</v>
      </c>
      <c r="BA21" s="188">
        <v>85090006.609999999</v>
      </c>
      <c r="BB21" s="188">
        <v>74239816.640000001</v>
      </c>
      <c r="BC21" s="188">
        <v>45902132.100000001</v>
      </c>
      <c r="BD21" s="188">
        <v>15501276.99</v>
      </c>
      <c r="BE21" s="188">
        <v>146115735.33000001</v>
      </c>
      <c r="BF21" s="188">
        <v>163624956.12</v>
      </c>
      <c r="BG21" s="188">
        <v>70620409.099999994</v>
      </c>
      <c r="BH21" s="188">
        <v>34638007.329999998</v>
      </c>
      <c r="BI21" s="188">
        <v>271740283.27999997</v>
      </c>
      <c r="BJ21" s="188">
        <v>177666724.06</v>
      </c>
      <c r="BK21" s="188">
        <v>112391144.75</v>
      </c>
      <c r="BL21" s="188">
        <v>27980299.48</v>
      </c>
      <c r="BM21" s="188">
        <v>112485747.88</v>
      </c>
      <c r="BN21" s="188">
        <v>36916522.600000001</v>
      </c>
      <c r="BO21" s="188">
        <v>25317039.620000001</v>
      </c>
      <c r="BP21" s="188">
        <v>0</v>
      </c>
      <c r="BQ21" s="188">
        <v>0</v>
      </c>
    </row>
    <row r="22" spans="1:69">
      <c r="A22" s="188" t="s">
        <v>238</v>
      </c>
      <c r="B22" s="188">
        <v>1216000000</v>
      </c>
      <c r="C22" s="188">
        <v>498000000</v>
      </c>
      <c r="D22" s="188">
        <v>308000000</v>
      </c>
      <c r="E22" s="188">
        <v>882176000</v>
      </c>
      <c r="F22" s="188">
        <v>1428000000</v>
      </c>
      <c r="G22" s="188">
        <v>685000000</v>
      </c>
      <c r="H22" s="188">
        <v>0</v>
      </c>
      <c r="I22" s="188">
        <v>370673840</v>
      </c>
      <c r="J22" s="188">
        <v>306000000</v>
      </c>
      <c r="K22" s="188">
        <v>205000000</v>
      </c>
      <c r="L22" s="188">
        <v>0</v>
      </c>
      <c r="M22" s="188">
        <v>242000000</v>
      </c>
      <c r="N22" s="188">
        <v>242000000</v>
      </c>
      <c r="O22" s="188">
        <v>192000000</v>
      </c>
      <c r="P22" s="188">
        <v>0</v>
      </c>
      <c r="Q22" s="188">
        <v>30000000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10880231.800000001</v>
      </c>
      <c r="AX22" s="188">
        <v>9630203</v>
      </c>
      <c r="AY22" s="188">
        <v>1760000</v>
      </c>
      <c r="AZ22" s="188">
        <v>0</v>
      </c>
      <c r="BA22" s="188">
        <v>14330906.380000001</v>
      </c>
      <c r="BB22" s="188">
        <v>0</v>
      </c>
      <c r="BC22" s="188">
        <v>0</v>
      </c>
      <c r="BD22" s="188">
        <v>0</v>
      </c>
      <c r="BE22" s="188">
        <v>23764466.120000001</v>
      </c>
      <c r="BF22" s="188">
        <v>9904466.1199999992</v>
      </c>
      <c r="BG22" s="188">
        <v>0</v>
      </c>
      <c r="BH22" s="188">
        <v>0</v>
      </c>
      <c r="BI22" s="188">
        <v>0</v>
      </c>
      <c r="BJ22" s="188">
        <v>0</v>
      </c>
      <c r="BK22" s="188">
        <v>0</v>
      </c>
      <c r="BL22" s="188">
        <v>0</v>
      </c>
      <c r="BM22" s="188">
        <v>0</v>
      </c>
      <c r="BN22" s="188">
        <v>0</v>
      </c>
      <c r="BO22" s="188">
        <v>0</v>
      </c>
      <c r="BP22" s="188">
        <v>0</v>
      </c>
      <c r="BQ22" s="188">
        <v>0</v>
      </c>
    </row>
    <row r="23" spans="1:69">
      <c r="A23" s="188" t="s">
        <v>239</v>
      </c>
      <c r="B23" s="188">
        <v>0</v>
      </c>
      <c r="C23" s="188">
        <v>0</v>
      </c>
      <c r="D23" s="188">
        <v>0</v>
      </c>
      <c r="E23" s="188">
        <v>499465.29</v>
      </c>
      <c r="F23" s="188">
        <v>3333300</v>
      </c>
      <c r="G23" s="188">
        <v>3333300</v>
      </c>
      <c r="H23" s="188">
        <v>0</v>
      </c>
      <c r="I23" s="188">
        <v>34492956.340000004</v>
      </c>
      <c r="J23" s="188">
        <v>63106940</v>
      </c>
      <c r="K23" s="188">
        <v>42082607.270000003</v>
      </c>
      <c r="L23" s="188">
        <v>29039856.34</v>
      </c>
      <c r="M23" s="188">
        <v>0</v>
      </c>
      <c r="N23" s="188">
        <v>0</v>
      </c>
      <c r="O23" s="188">
        <v>0</v>
      </c>
      <c r="P23" s="188">
        <v>0</v>
      </c>
      <c r="Q23" s="188">
        <v>5697971.4100000001</v>
      </c>
      <c r="R23" s="188">
        <v>6845328</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row>
    <row r="24" spans="1:69">
      <c r="A24" s="188" t="s">
        <v>240</v>
      </c>
      <c r="B24" s="188">
        <v>18100000</v>
      </c>
      <c r="C24" s="188">
        <v>18100000</v>
      </c>
      <c r="D24" s="188">
        <v>0</v>
      </c>
      <c r="E24" s="188">
        <v>8100000</v>
      </c>
      <c r="F24" s="188">
        <v>0</v>
      </c>
      <c r="G24" s="188">
        <v>0</v>
      </c>
      <c r="H24" s="188">
        <v>70000000</v>
      </c>
      <c r="I24" s="188">
        <v>0</v>
      </c>
      <c r="J24" s="188">
        <v>0</v>
      </c>
      <c r="K24" s="188">
        <v>0</v>
      </c>
      <c r="L24" s="188">
        <v>50000000</v>
      </c>
      <c r="M24" s="188">
        <v>0</v>
      </c>
      <c r="N24" s="188">
        <v>0</v>
      </c>
      <c r="O24" s="188">
        <v>0</v>
      </c>
      <c r="P24" s="188">
        <v>32870640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c r="AR24" s="188">
        <v>0</v>
      </c>
      <c r="AS24" s="188">
        <v>0</v>
      </c>
      <c r="AT24" s="188">
        <v>0</v>
      </c>
      <c r="AU24" s="188">
        <v>0</v>
      </c>
      <c r="AV24" s="188">
        <v>0</v>
      </c>
      <c r="AW24" s="188">
        <v>38344.400000000001</v>
      </c>
      <c r="AX24" s="188">
        <v>0</v>
      </c>
      <c r="AY24" s="188">
        <v>0</v>
      </c>
      <c r="AZ24" s="188">
        <v>0</v>
      </c>
      <c r="BA24" s="188">
        <v>0</v>
      </c>
      <c r="BB24" s="188">
        <v>0</v>
      </c>
      <c r="BC24" s="188">
        <v>0</v>
      </c>
      <c r="BD24" s="188">
        <v>0</v>
      </c>
      <c r="BE24" s="188">
        <v>0</v>
      </c>
      <c r="BF24" s="188">
        <v>0</v>
      </c>
      <c r="BG24" s="188">
        <v>0</v>
      </c>
      <c r="BH24" s="188">
        <v>0</v>
      </c>
      <c r="BI24" s="188">
        <v>0</v>
      </c>
      <c r="BJ24" s="188">
        <v>0</v>
      </c>
      <c r="BK24" s="188">
        <v>0</v>
      </c>
      <c r="BL24" s="188">
        <v>0</v>
      </c>
      <c r="BM24" s="188">
        <v>0</v>
      </c>
      <c r="BN24" s="188">
        <v>0</v>
      </c>
      <c r="BO24" s="188">
        <v>0</v>
      </c>
      <c r="BP24" s="188">
        <v>0</v>
      </c>
      <c r="BQ24" s="188">
        <v>0</v>
      </c>
    </row>
    <row r="25" spans="1:69">
      <c r="A25" s="188" t="s">
        <v>241</v>
      </c>
      <c r="B25" s="188">
        <v>1429246631.4300001</v>
      </c>
      <c r="C25" s="188">
        <v>627257698.05999994</v>
      </c>
      <c r="D25" s="188">
        <v>382249155.99000001</v>
      </c>
      <c r="E25" s="188">
        <v>1057839685.5</v>
      </c>
      <c r="F25" s="188">
        <v>1553043785.0599999</v>
      </c>
      <c r="G25" s="188">
        <v>758067836.90999997</v>
      </c>
      <c r="H25" s="188">
        <v>149802392.69999999</v>
      </c>
      <c r="I25" s="188">
        <v>601745233.32000005</v>
      </c>
      <c r="J25" s="188">
        <v>514093003.80000001</v>
      </c>
      <c r="K25" s="188">
        <v>330783834.66000003</v>
      </c>
      <c r="L25" s="188">
        <v>135710948.66</v>
      </c>
      <c r="M25" s="188">
        <v>397116457.62</v>
      </c>
      <c r="N25" s="188">
        <v>324699815.19</v>
      </c>
      <c r="O25" s="188">
        <v>259938636.72999999</v>
      </c>
      <c r="P25" s="188">
        <v>70189931.989999995</v>
      </c>
      <c r="Q25" s="188">
        <v>169224965.37</v>
      </c>
      <c r="R25" s="188">
        <v>84793485.049999997</v>
      </c>
      <c r="S25" s="188">
        <v>71362616.689999998</v>
      </c>
      <c r="T25" s="188">
        <v>30186347.829999998</v>
      </c>
      <c r="U25" s="188">
        <v>150491058.56</v>
      </c>
      <c r="V25" s="188">
        <v>70584864.689999998</v>
      </c>
      <c r="W25" s="188">
        <v>42168123.560000002</v>
      </c>
      <c r="X25" s="188">
        <v>19451112.52</v>
      </c>
      <c r="Y25" s="188">
        <v>122095896.06999999</v>
      </c>
      <c r="Z25" s="188">
        <v>109662448.34</v>
      </c>
      <c r="AA25" s="188">
        <v>62253978.869999997</v>
      </c>
      <c r="AB25" s="188">
        <v>32437983.559999999</v>
      </c>
      <c r="AC25" s="188">
        <v>217526955.22</v>
      </c>
      <c r="AD25" s="188">
        <v>150419580.38</v>
      </c>
      <c r="AE25" s="188">
        <v>119874398.03</v>
      </c>
      <c r="AF25" s="188">
        <v>78158254.019999996</v>
      </c>
      <c r="AG25" s="188">
        <v>200368574.05000001</v>
      </c>
      <c r="AH25" s="188">
        <v>130706771.31999999</v>
      </c>
      <c r="AI25" s="188">
        <v>71871688.329999998</v>
      </c>
      <c r="AJ25" s="188">
        <v>32883521.039999999</v>
      </c>
      <c r="AK25" s="188">
        <v>118441052.56999999</v>
      </c>
      <c r="AL25" s="188">
        <v>96397822.189999998</v>
      </c>
      <c r="AM25" s="188">
        <v>44786720.770000003</v>
      </c>
      <c r="AN25" s="188">
        <v>12709831.390000001</v>
      </c>
      <c r="AO25" s="188">
        <v>158395457.02000001</v>
      </c>
      <c r="AP25" s="188">
        <v>108579041.81</v>
      </c>
      <c r="AQ25" s="188">
        <v>99132067.290000007</v>
      </c>
      <c r="AR25" s="188">
        <v>74733802.310000002</v>
      </c>
      <c r="AS25" s="188">
        <v>160823312.69</v>
      </c>
      <c r="AT25" s="188">
        <v>92316222.359999999</v>
      </c>
      <c r="AU25" s="188">
        <v>77854189.719999999</v>
      </c>
      <c r="AV25" s="188">
        <v>60498806.57</v>
      </c>
      <c r="AW25" s="188">
        <v>81512419.319999993</v>
      </c>
      <c r="AX25" s="188">
        <v>67378590.079999998</v>
      </c>
      <c r="AY25" s="188">
        <v>47015312.130000003</v>
      </c>
      <c r="AZ25" s="188">
        <v>15448962.41</v>
      </c>
      <c r="BA25" s="188">
        <v>99420912.989999995</v>
      </c>
      <c r="BB25" s="188">
        <v>74239816.640000001</v>
      </c>
      <c r="BC25" s="188">
        <v>45902132.100000001</v>
      </c>
      <c r="BD25" s="188">
        <v>15501276.99</v>
      </c>
      <c r="BE25" s="188">
        <v>169880201.44999999</v>
      </c>
      <c r="BF25" s="188">
        <v>173529422.24000001</v>
      </c>
      <c r="BG25" s="188">
        <v>70620409.099999994</v>
      </c>
      <c r="BH25" s="188">
        <v>34638007.329999998</v>
      </c>
      <c r="BI25" s="188">
        <v>271740283.27999997</v>
      </c>
      <c r="BJ25" s="188">
        <v>177666724.06</v>
      </c>
      <c r="BK25" s="188">
        <v>112391144.75</v>
      </c>
      <c r="BL25" s="188">
        <v>27980299.48</v>
      </c>
      <c r="BM25" s="188">
        <v>112485747.88</v>
      </c>
      <c r="BN25" s="188">
        <v>36916522.600000001</v>
      </c>
      <c r="BO25" s="188">
        <v>25317039.620000001</v>
      </c>
      <c r="BP25" s="188">
        <v>0</v>
      </c>
      <c r="BQ25" s="188">
        <v>0</v>
      </c>
    </row>
    <row r="26" spans="1:69">
      <c r="A26" s="188" t="s">
        <v>242</v>
      </c>
      <c r="B26" s="188">
        <v>-492297921.31999999</v>
      </c>
      <c r="C26" s="188">
        <v>98648534.900000006</v>
      </c>
      <c r="D26" s="188">
        <v>36225777.549999997</v>
      </c>
      <c r="E26" s="188">
        <v>-457059010.25999999</v>
      </c>
      <c r="F26" s="188">
        <v>-24342885.530000001</v>
      </c>
      <c r="G26" s="188">
        <v>16182198.359999999</v>
      </c>
      <c r="H26" s="188">
        <v>17557860.649999999</v>
      </c>
      <c r="I26" s="188">
        <v>-324915467.12</v>
      </c>
      <c r="J26" s="188">
        <v>-251137966.31999999</v>
      </c>
      <c r="K26" s="188">
        <v>-108441896.45999999</v>
      </c>
      <c r="L26" s="188">
        <v>-134738389.09999999</v>
      </c>
      <c r="M26" s="188">
        <v>-96550369.730000004</v>
      </c>
      <c r="N26" s="188">
        <v>-151195332.46000001</v>
      </c>
      <c r="O26" s="188">
        <v>-136953353.56</v>
      </c>
      <c r="P26" s="188">
        <v>-70168258.980000004</v>
      </c>
      <c r="Q26" s="188">
        <v>-166867318.59</v>
      </c>
      <c r="R26" s="188">
        <v>-84613369.069999993</v>
      </c>
      <c r="S26" s="188">
        <v>-71317834.120000005</v>
      </c>
      <c r="T26" s="188">
        <v>-30186347.829999998</v>
      </c>
      <c r="U26" s="188">
        <v>-145762321.97</v>
      </c>
      <c r="V26" s="188">
        <v>-68197620.379999995</v>
      </c>
      <c r="W26" s="188">
        <v>-39900533.109999999</v>
      </c>
      <c r="X26" s="188">
        <v>-19371866.359999999</v>
      </c>
      <c r="Y26" s="188">
        <v>-116340008.78</v>
      </c>
      <c r="Z26" s="188">
        <v>-105071035.45</v>
      </c>
      <c r="AA26" s="188">
        <v>-61612315.039999999</v>
      </c>
      <c r="AB26" s="188">
        <v>-32410302.050000001</v>
      </c>
      <c r="AC26" s="188">
        <v>-182783459.80000001</v>
      </c>
      <c r="AD26" s="188">
        <v>-87809684.159999996</v>
      </c>
      <c r="AE26" s="188">
        <v>-73006669.650000006</v>
      </c>
      <c r="AF26" s="188">
        <v>-78158254.019999996</v>
      </c>
      <c r="AG26" s="188">
        <v>-200240225.97</v>
      </c>
      <c r="AH26" s="188">
        <v>-130658423.23999999</v>
      </c>
      <c r="AI26" s="188">
        <v>-71868340.25</v>
      </c>
      <c r="AJ26" s="188">
        <v>-32883521.039999999</v>
      </c>
      <c r="AK26" s="188">
        <v>-99477943.459999993</v>
      </c>
      <c r="AL26" s="188">
        <v>-89928466</v>
      </c>
      <c r="AM26" s="188">
        <v>-38320672.579999998</v>
      </c>
      <c r="AN26" s="188">
        <v>-12709831.390000001</v>
      </c>
      <c r="AO26" s="188">
        <v>-154133679</v>
      </c>
      <c r="AP26" s="188">
        <v>-108236608.64</v>
      </c>
      <c r="AQ26" s="188">
        <v>-98806105.370000005</v>
      </c>
      <c r="AR26" s="188">
        <v>-74703802.310000002</v>
      </c>
      <c r="AS26" s="188">
        <v>-145054390.97</v>
      </c>
      <c r="AT26" s="188">
        <v>-61193289.619999997</v>
      </c>
      <c r="AU26" s="188">
        <v>-46731256.979999997</v>
      </c>
      <c r="AV26" s="188">
        <v>-60498806.57</v>
      </c>
      <c r="AW26" s="188">
        <v>-81506906.819999993</v>
      </c>
      <c r="AX26" s="188">
        <v>-67378590.079999998</v>
      </c>
      <c r="AY26" s="188">
        <v>-47015312.130000003</v>
      </c>
      <c r="AZ26" s="188">
        <v>-15448962.41</v>
      </c>
      <c r="BA26" s="188">
        <v>-99351576.739999995</v>
      </c>
      <c r="BB26" s="188">
        <v>-74083896.640000001</v>
      </c>
      <c r="BC26" s="188">
        <v>-45812132.100000001</v>
      </c>
      <c r="BD26" s="188">
        <v>-15411276.99</v>
      </c>
      <c r="BE26" s="188">
        <v>-165373775.27000001</v>
      </c>
      <c r="BF26" s="188">
        <v>-173324392.24000001</v>
      </c>
      <c r="BG26" s="188">
        <v>-70415379.099999994</v>
      </c>
      <c r="BH26" s="188">
        <v>-34630007.329999998</v>
      </c>
      <c r="BI26" s="188">
        <v>-271735283.27999997</v>
      </c>
      <c r="BJ26" s="188">
        <v>-177629168.03999999</v>
      </c>
      <c r="BK26" s="188">
        <v>-112386144.75</v>
      </c>
      <c r="BL26" s="188">
        <v>-27975299.48</v>
      </c>
      <c r="BM26" s="188">
        <v>-109669251.98</v>
      </c>
      <c r="BN26" s="188">
        <v>-35942324.280000001</v>
      </c>
      <c r="BO26" s="188">
        <v>-23602629.649999999</v>
      </c>
      <c r="BP26" s="188">
        <v>0</v>
      </c>
      <c r="BQ26" s="188">
        <v>0</v>
      </c>
    </row>
    <row r="27" spans="1:69">
      <c r="A27" s="188" t="s">
        <v>243</v>
      </c>
    </row>
    <row r="28" spans="1:69">
      <c r="A28" s="188" t="s">
        <v>244</v>
      </c>
      <c r="B28" s="188">
        <v>0</v>
      </c>
      <c r="C28" s="188">
        <v>0</v>
      </c>
      <c r="D28" s="188">
        <v>0</v>
      </c>
      <c r="E28" s="188">
        <v>0</v>
      </c>
      <c r="F28" s="188">
        <v>0</v>
      </c>
      <c r="G28" s="188">
        <v>0</v>
      </c>
      <c r="H28" s="188">
        <v>0</v>
      </c>
      <c r="I28" s="188">
        <v>666499979.67999995</v>
      </c>
      <c r="J28" s="188">
        <v>0</v>
      </c>
      <c r="K28" s="188">
        <v>0</v>
      </c>
      <c r="L28" s="188">
        <v>0</v>
      </c>
      <c r="M28" s="188">
        <v>0</v>
      </c>
      <c r="N28" s="188">
        <v>0</v>
      </c>
      <c r="O28" s="188">
        <v>0</v>
      </c>
      <c r="P28" s="188">
        <v>0</v>
      </c>
      <c r="Q28" s="188">
        <v>6480000</v>
      </c>
      <c r="R28" s="188">
        <v>7840000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765000</v>
      </c>
      <c r="AL28" s="188">
        <v>765000</v>
      </c>
      <c r="AM28" s="188">
        <v>0</v>
      </c>
      <c r="AN28" s="188">
        <v>0</v>
      </c>
      <c r="AO28" s="188">
        <v>0</v>
      </c>
      <c r="AP28" s="188">
        <v>0</v>
      </c>
      <c r="AQ28" s="188">
        <v>0</v>
      </c>
      <c r="AR28" s="188">
        <v>0</v>
      </c>
      <c r="AS28" s="188">
        <v>290188911</v>
      </c>
      <c r="AT28" s="188">
        <v>291368704</v>
      </c>
      <c r="AU28" s="188">
        <v>291368704</v>
      </c>
      <c r="AV28" s="188">
        <v>291368704</v>
      </c>
      <c r="AW28" s="188">
        <v>0</v>
      </c>
      <c r="AX28" s="188">
        <v>0</v>
      </c>
      <c r="AY28" s="188">
        <v>0</v>
      </c>
      <c r="AZ28" s="188">
        <v>0</v>
      </c>
      <c r="BA28" s="188">
        <v>0</v>
      </c>
      <c r="BB28" s="188">
        <v>0</v>
      </c>
      <c r="BC28" s="188">
        <v>0</v>
      </c>
      <c r="BD28" s="188">
        <v>0</v>
      </c>
      <c r="BE28" s="188">
        <v>224110000</v>
      </c>
      <c r="BF28" s="188">
        <v>0</v>
      </c>
      <c r="BG28" s="188">
        <v>0</v>
      </c>
      <c r="BH28" s="188">
        <v>0</v>
      </c>
      <c r="BI28" s="188">
        <v>0</v>
      </c>
      <c r="BJ28" s="188">
        <v>0</v>
      </c>
      <c r="BK28" s="188">
        <v>0</v>
      </c>
      <c r="BL28" s="188">
        <v>0</v>
      </c>
      <c r="BM28" s="188">
        <v>400317739.32999998</v>
      </c>
      <c r="BN28" s="188">
        <v>398487739.32999998</v>
      </c>
      <c r="BO28" s="188">
        <v>0</v>
      </c>
      <c r="BP28" s="188">
        <v>0</v>
      </c>
      <c r="BQ28" s="188">
        <v>0</v>
      </c>
    </row>
    <row r="29" spans="1:69">
      <c r="A29" s="188" t="s">
        <v>245</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6480000</v>
      </c>
      <c r="R29" s="188">
        <v>7840000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765000</v>
      </c>
      <c r="AL29" s="188">
        <v>765000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row>
    <row r="30" spans="1:69">
      <c r="A30" s="188" t="s">
        <v>246</v>
      </c>
      <c r="B30" s="188">
        <v>0</v>
      </c>
      <c r="C30" s="188">
        <v>0</v>
      </c>
      <c r="D30" s="188">
        <v>0</v>
      </c>
      <c r="E30" s="188">
        <v>0</v>
      </c>
      <c r="F30" s="188">
        <v>0</v>
      </c>
      <c r="G30" s="188">
        <v>0</v>
      </c>
      <c r="H30" s="188">
        <v>0</v>
      </c>
      <c r="I30" s="188">
        <v>88641120</v>
      </c>
      <c r="J30" s="188">
        <v>90441120</v>
      </c>
      <c r="K30" s="188">
        <v>89641120</v>
      </c>
      <c r="L30" s="188">
        <v>61061600</v>
      </c>
      <c r="M30" s="188">
        <v>164806100</v>
      </c>
      <c r="N30" s="188">
        <v>162267730</v>
      </c>
      <c r="O30" s="188">
        <v>161006100</v>
      </c>
      <c r="P30" s="188">
        <v>97013460</v>
      </c>
      <c r="Q30" s="188">
        <v>242766960</v>
      </c>
      <c r="R30" s="188">
        <v>191195600</v>
      </c>
      <c r="S30" s="188">
        <v>75000000</v>
      </c>
      <c r="T30" s="188">
        <v>50000000</v>
      </c>
      <c r="U30" s="188">
        <v>170000000</v>
      </c>
      <c r="V30" s="188">
        <v>85000000</v>
      </c>
      <c r="W30" s="188">
        <v>85000000</v>
      </c>
      <c r="X30" s="188">
        <v>80000000</v>
      </c>
      <c r="Y30" s="188">
        <v>190000000</v>
      </c>
      <c r="Z30" s="188">
        <v>125000000</v>
      </c>
      <c r="AA30" s="188">
        <v>75000000</v>
      </c>
      <c r="AB30" s="188">
        <v>20000000</v>
      </c>
      <c r="AC30" s="188">
        <v>55000000</v>
      </c>
      <c r="AD30" s="188">
        <v>50000000</v>
      </c>
      <c r="AE30" s="188">
        <v>25000000</v>
      </c>
      <c r="AF30" s="188">
        <v>0</v>
      </c>
      <c r="AG30" s="188">
        <v>174529000</v>
      </c>
      <c r="AH30" s="188">
        <v>129929000</v>
      </c>
      <c r="AI30" s="188">
        <v>129929000</v>
      </c>
      <c r="AJ30" s="188">
        <v>0</v>
      </c>
      <c r="AK30" s="188">
        <v>134000000</v>
      </c>
      <c r="AL30" s="188">
        <v>134000000</v>
      </c>
      <c r="AM30" s="188">
        <v>114000000</v>
      </c>
      <c r="AN30" s="188">
        <v>54000000</v>
      </c>
      <c r="AO30" s="188">
        <v>196928000</v>
      </c>
      <c r="AP30" s="188">
        <v>79000000</v>
      </c>
      <c r="AQ30" s="188">
        <v>10000000</v>
      </c>
      <c r="AR30" s="188">
        <v>0</v>
      </c>
      <c r="AS30" s="188">
        <v>131000000</v>
      </c>
      <c r="AT30" s="188">
        <v>90000000</v>
      </c>
      <c r="AU30" s="188">
        <v>0</v>
      </c>
      <c r="AV30" s="188">
        <v>0</v>
      </c>
      <c r="AW30" s="188">
        <v>314210000</v>
      </c>
      <c r="AX30" s="188">
        <v>196530000</v>
      </c>
      <c r="AY30" s="188">
        <v>93470000</v>
      </c>
      <c r="AZ30" s="188">
        <v>15000000</v>
      </c>
      <c r="BA30" s="188">
        <v>329160000</v>
      </c>
      <c r="BB30" s="188">
        <v>199160000</v>
      </c>
      <c r="BC30" s="188">
        <v>144630000</v>
      </c>
      <c r="BD30" s="188">
        <v>73710000</v>
      </c>
      <c r="BE30" s="188">
        <v>0</v>
      </c>
      <c r="BF30" s="188">
        <v>160000000</v>
      </c>
      <c r="BG30" s="188">
        <v>124000000</v>
      </c>
      <c r="BH30" s="188">
        <v>40000000</v>
      </c>
      <c r="BI30" s="188">
        <v>88000000</v>
      </c>
      <c r="BJ30" s="188">
        <v>50000000</v>
      </c>
      <c r="BK30" s="188">
        <v>44000000</v>
      </c>
      <c r="BL30" s="188">
        <v>0</v>
      </c>
      <c r="BM30" s="188">
        <v>25000000</v>
      </c>
      <c r="BN30" s="188">
        <v>20000000</v>
      </c>
      <c r="BO30" s="188">
        <v>58870592</v>
      </c>
      <c r="BP30" s="188">
        <v>0</v>
      </c>
      <c r="BQ30" s="188">
        <v>0</v>
      </c>
    </row>
    <row r="31" spans="1:69">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row>
    <row r="32" spans="1:69">
      <c r="A32" s="188" t="s">
        <v>248</v>
      </c>
      <c r="B32" s="188">
        <v>224769.12</v>
      </c>
      <c r="C32" s="188">
        <v>182212.08</v>
      </c>
      <c r="D32" s="188">
        <v>109647.6</v>
      </c>
      <c r="E32" s="188">
        <v>938867.54</v>
      </c>
      <c r="F32" s="188">
        <v>9828149.5700000003</v>
      </c>
      <c r="G32" s="188">
        <v>3943112.27</v>
      </c>
      <c r="H32" s="188">
        <v>441782.98</v>
      </c>
      <c r="I32" s="188">
        <v>72221.440000000002</v>
      </c>
      <c r="J32" s="188">
        <v>0</v>
      </c>
      <c r="K32" s="188">
        <v>0</v>
      </c>
      <c r="L32" s="188">
        <v>0</v>
      </c>
      <c r="M32" s="188">
        <v>2000000</v>
      </c>
      <c r="N32" s="188">
        <v>3400000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row>
    <row r="33" spans="1:69">
      <c r="A33" s="188" t="s">
        <v>249</v>
      </c>
      <c r="B33" s="188">
        <v>224769.12</v>
      </c>
      <c r="C33" s="188">
        <v>182212.08</v>
      </c>
      <c r="D33" s="188">
        <v>109647.6</v>
      </c>
      <c r="E33" s="188">
        <v>938867.54</v>
      </c>
      <c r="F33" s="188">
        <v>9828149.5700000003</v>
      </c>
      <c r="G33" s="188">
        <v>3943112.27</v>
      </c>
      <c r="H33" s="188">
        <v>441782.98</v>
      </c>
      <c r="I33" s="188">
        <v>755213321.12</v>
      </c>
      <c r="J33" s="188">
        <v>90441120</v>
      </c>
      <c r="K33" s="188">
        <v>89641120</v>
      </c>
      <c r="L33" s="188">
        <v>61061600</v>
      </c>
      <c r="M33" s="188">
        <v>166806100</v>
      </c>
      <c r="N33" s="188">
        <v>165667730</v>
      </c>
      <c r="O33" s="188">
        <v>161006100</v>
      </c>
      <c r="P33" s="188">
        <v>97013460</v>
      </c>
      <c r="Q33" s="188">
        <v>249246960</v>
      </c>
      <c r="R33" s="188">
        <v>199035600</v>
      </c>
      <c r="S33" s="188">
        <v>75000000</v>
      </c>
      <c r="T33" s="188">
        <v>50000000</v>
      </c>
      <c r="U33" s="188">
        <v>170000000</v>
      </c>
      <c r="V33" s="188">
        <v>85000000</v>
      </c>
      <c r="W33" s="188">
        <v>85000000</v>
      </c>
      <c r="X33" s="188">
        <v>80000000</v>
      </c>
      <c r="Y33" s="188">
        <v>190000000</v>
      </c>
      <c r="Z33" s="188">
        <v>125000000</v>
      </c>
      <c r="AA33" s="188">
        <v>75000000</v>
      </c>
      <c r="AB33" s="188">
        <v>20000000</v>
      </c>
      <c r="AC33" s="188">
        <v>55000000</v>
      </c>
      <c r="AD33" s="188">
        <v>50000000</v>
      </c>
      <c r="AE33" s="188">
        <v>25000000</v>
      </c>
      <c r="AF33" s="188">
        <v>0</v>
      </c>
      <c r="AG33" s="188">
        <v>174529000</v>
      </c>
      <c r="AH33" s="188">
        <v>129929000</v>
      </c>
      <c r="AI33" s="188">
        <v>129929000</v>
      </c>
      <c r="AJ33" s="188">
        <v>0</v>
      </c>
      <c r="AK33" s="188">
        <v>134765000</v>
      </c>
      <c r="AL33" s="188">
        <v>134765000</v>
      </c>
      <c r="AM33" s="188">
        <v>114000000</v>
      </c>
      <c r="AN33" s="188">
        <v>54000000</v>
      </c>
      <c r="AO33" s="188">
        <v>196928000</v>
      </c>
      <c r="AP33" s="188">
        <v>79000000</v>
      </c>
      <c r="AQ33" s="188">
        <v>10000000</v>
      </c>
      <c r="AR33" s="188">
        <v>0</v>
      </c>
      <c r="AS33" s="188">
        <v>421188911</v>
      </c>
      <c r="AT33" s="188">
        <v>381368704</v>
      </c>
      <c r="AU33" s="188">
        <v>291368704</v>
      </c>
      <c r="AV33" s="188">
        <v>291368704</v>
      </c>
      <c r="AW33" s="188">
        <v>314210000</v>
      </c>
      <c r="AX33" s="188">
        <v>196530000</v>
      </c>
      <c r="AY33" s="188">
        <v>93470000</v>
      </c>
      <c r="AZ33" s="188">
        <v>15000000</v>
      </c>
      <c r="BA33" s="188">
        <v>329160000</v>
      </c>
      <c r="BB33" s="188">
        <v>199160000</v>
      </c>
      <c r="BC33" s="188">
        <v>144630000</v>
      </c>
      <c r="BD33" s="188">
        <v>73710000</v>
      </c>
      <c r="BE33" s="188">
        <v>224110000</v>
      </c>
      <c r="BF33" s="188">
        <v>160000000</v>
      </c>
      <c r="BG33" s="188">
        <v>124000000</v>
      </c>
      <c r="BH33" s="188">
        <v>40000000</v>
      </c>
      <c r="BI33" s="188">
        <v>88000000</v>
      </c>
      <c r="BJ33" s="188">
        <v>50000000</v>
      </c>
      <c r="BK33" s="188">
        <v>44000000</v>
      </c>
      <c r="BL33" s="188">
        <v>0</v>
      </c>
      <c r="BM33" s="188">
        <v>425317739.32999998</v>
      </c>
      <c r="BN33" s="188">
        <v>418487739.32999998</v>
      </c>
      <c r="BO33" s="188">
        <v>58870592</v>
      </c>
      <c r="BP33" s="188">
        <v>0</v>
      </c>
      <c r="BQ33" s="188">
        <v>0</v>
      </c>
    </row>
    <row r="34" spans="1:69">
      <c r="A34" s="188" t="s">
        <v>250</v>
      </c>
      <c r="B34" s="188">
        <v>0</v>
      </c>
      <c r="C34" s="188">
        <v>0</v>
      </c>
      <c r="D34" s="188">
        <v>0</v>
      </c>
      <c r="E34" s="188">
        <v>3000000</v>
      </c>
      <c r="F34" s="188">
        <v>1000000</v>
      </c>
      <c r="G34" s="188">
        <v>1000000</v>
      </c>
      <c r="H34" s="188">
        <v>1000000</v>
      </c>
      <c r="I34" s="188">
        <v>117261120</v>
      </c>
      <c r="J34" s="188">
        <v>114461120</v>
      </c>
      <c r="K34" s="188">
        <v>82561600</v>
      </c>
      <c r="L34" s="188">
        <v>23500000</v>
      </c>
      <c r="M34" s="188">
        <v>279010130</v>
      </c>
      <c r="N34" s="188">
        <v>225755860</v>
      </c>
      <c r="O34" s="188">
        <v>151613040</v>
      </c>
      <c r="P34" s="188">
        <v>64445600</v>
      </c>
      <c r="Q34" s="188">
        <v>237550000</v>
      </c>
      <c r="R34" s="188">
        <v>161130282.34</v>
      </c>
      <c r="S34" s="188">
        <v>85000000</v>
      </c>
      <c r="T34" s="188">
        <v>80000000</v>
      </c>
      <c r="U34" s="188">
        <v>200000000</v>
      </c>
      <c r="V34" s="188">
        <v>115000000</v>
      </c>
      <c r="W34" s="188">
        <v>115000000</v>
      </c>
      <c r="X34" s="188">
        <v>80000000</v>
      </c>
      <c r="Y34" s="188">
        <v>130000000</v>
      </c>
      <c r="Z34" s="188">
        <v>70000000</v>
      </c>
      <c r="AA34" s="188">
        <v>50000000</v>
      </c>
      <c r="AB34" s="188">
        <v>20000000</v>
      </c>
      <c r="AC34" s="188">
        <v>154529000</v>
      </c>
      <c r="AD34" s="188">
        <v>149529000</v>
      </c>
      <c r="AE34" s="188">
        <v>149520000</v>
      </c>
      <c r="AF34" s="188">
        <v>10000000</v>
      </c>
      <c r="AG34" s="188">
        <v>154000000</v>
      </c>
      <c r="AH34" s="188">
        <v>134000000</v>
      </c>
      <c r="AI34" s="188">
        <v>114000000</v>
      </c>
      <c r="AJ34" s="188">
        <v>54000000</v>
      </c>
      <c r="AK34" s="188">
        <v>136928000</v>
      </c>
      <c r="AL34" s="188">
        <v>128500000</v>
      </c>
      <c r="AM34" s="188">
        <v>128500000</v>
      </c>
      <c r="AN34" s="188">
        <v>40000000</v>
      </c>
      <c r="AO34" s="188">
        <v>190000000</v>
      </c>
      <c r="AP34" s="188">
        <v>90000000</v>
      </c>
      <c r="AQ34" s="188">
        <v>10470000</v>
      </c>
      <c r="AR34" s="188">
        <v>0</v>
      </c>
      <c r="AS34" s="188">
        <v>286000000</v>
      </c>
      <c r="AT34" s="188">
        <v>215000000</v>
      </c>
      <c r="AU34" s="188">
        <v>125000000</v>
      </c>
      <c r="AV34" s="188">
        <v>115000000</v>
      </c>
      <c r="AW34" s="188">
        <v>300740000</v>
      </c>
      <c r="AX34" s="188">
        <v>170000000</v>
      </c>
      <c r="AY34" s="188">
        <v>87000000</v>
      </c>
      <c r="AZ34" s="188">
        <v>20000000</v>
      </c>
      <c r="BA34" s="188">
        <v>219740000</v>
      </c>
      <c r="BB34" s="188">
        <v>189740000</v>
      </c>
      <c r="BC34" s="188">
        <v>149210000</v>
      </c>
      <c r="BD34" s="188">
        <v>73100000</v>
      </c>
      <c r="BE34" s="188">
        <v>130000000</v>
      </c>
      <c r="BF34" s="188">
        <v>100000000</v>
      </c>
      <c r="BG34" s="188">
        <v>44000000</v>
      </c>
      <c r="BH34" s="188">
        <v>0</v>
      </c>
      <c r="BI34" s="188">
        <v>100870000</v>
      </c>
      <c r="BJ34" s="188">
        <v>57870000</v>
      </c>
      <c r="BK34" s="188">
        <v>46870000</v>
      </c>
      <c r="BL34" s="188">
        <v>0</v>
      </c>
      <c r="BM34" s="188">
        <v>26918592</v>
      </c>
      <c r="BN34" s="188">
        <v>20000000</v>
      </c>
      <c r="BO34" s="188">
        <v>35952000</v>
      </c>
      <c r="BP34" s="188">
        <v>0</v>
      </c>
      <c r="BQ34" s="188">
        <v>0</v>
      </c>
    </row>
    <row r="35" spans="1:69">
      <c r="A35" s="188" t="s">
        <v>549</v>
      </c>
      <c r="B35" s="188">
        <v>100574643.7</v>
      </c>
      <c r="C35" s="188">
        <v>9508151.8000000007</v>
      </c>
      <c r="D35" s="188">
        <v>0</v>
      </c>
      <c r="E35" s="188">
        <v>57005666.619999997</v>
      </c>
      <c r="F35" s="188">
        <v>56346640.859999999</v>
      </c>
      <c r="G35" s="188">
        <v>5319798.0599999996</v>
      </c>
      <c r="H35" s="188">
        <v>1759.33</v>
      </c>
      <c r="I35" s="188">
        <v>104416547.98999999</v>
      </c>
      <c r="J35" s="188">
        <v>105435751.84999999</v>
      </c>
      <c r="K35" s="188">
        <v>65715696.469999999</v>
      </c>
      <c r="L35" s="188">
        <v>28707277.25</v>
      </c>
      <c r="M35" s="188">
        <v>45785146.729999997</v>
      </c>
      <c r="N35" s="188">
        <v>40928198.920000002</v>
      </c>
      <c r="O35" s="188">
        <v>7107299.4900000002</v>
      </c>
      <c r="P35" s="188">
        <v>2006553.67</v>
      </c>
      <c r="Q35" s="188">
        <v>44200333.630000003</v>
      </c>
      <c r="R35" s="188">
        <v>39168058.43</v>
      </c>
      <c r="S35" s="188">
        <v>3893591.5</v>
      </c>
      <c r="T35" s="188">
        <v>1007324.94</v>
      </c>
      <c r="U35" s="188">
        <v>38313141.380000003</v>
      </c>
      <c r="V35" s="188">
        <v>31039685.07</v>
      </c>
      <c r="W35" s="188">
        <v>2274560.63</v>
      </c>
      <c r="X35" s="188">
        <v>1924415.63</v>
      </c>
      <c r="Y35" s="188">
        <v>30706601.629999999</v>
      </c>
      <c r="Z35" s="188">
        <v>27691479.489999998</v>
      </c>
      <c r="AA35" s="188">
        <v>3297499.56</v>
      </c>
      <c r="AB35" s="188">
        <v>867986.12</v>
      </c>
      <c r="AC35" s="188">
        <v>29518572.780000001</v>
      </c>
      <c r="AD35" s="188">
        <v>30667196.93</v>
      </c>
      <c r="AE35" s="188">
        <v>29865215.25</v>
      </c>
      <c r="AF35" s="188">
        <v>1472691.76</v>
      </c>
      <c r="AG35" s="188">
        <v>30734751.23</v>
      </c>
      <c r="AH35" s="188">
        <v>30827349.469999999</v>
      </c>
      <c r="AI35" s="188">
        <v>28508763.559999999</v>
      </c>
      <c r="AJ35" s="188">
        <v>1476610.5</v>
      </c>
      <c r="AK35" s="188">
        <v>21791761.16</v>
      </c>
      <c r="AL35" s="188">
        <v>20111638.690000001</v>
      </c>
      <c r="AM35" s="188">
        <v>18820138.82</v>
      </c>
      <c r="AN35" s="188">
        <v>1667787.48</v>
      </c>
      <c r="AO35" s="188">
        <v>9744340.9900000002</v>
      </c>
      <c r="AP35" s="188">
        <v>8314647.8600000003</v>
      </c>
      <c r="AQ35" s="188">
        <v>2844978.12</v>
      </c>
      <c r="AR35" s="188">
        <v>2440373.7599999998</v>
      </c>
      <c r="AS35" s="188">
        <v>38354924.789999999</v>
      </c>
      <c r="AT35" s="188">
        <v>36774505.130000003</v>
      </c>
      <c r="AU35" s="188">
        <v>27314025.170000002</v>
      </c>
      <c r="AV35" s="188">
        <v>3709069</v>
      </c>
      <c r="AW35" s="188">
        <v>36928884.380000003</v>
      </c>
      <c r="AX35" s="188">
        <v>34259448.810000002</v>
      </c>
      <c r="AY35" s="188">
        <v>30346508.649999999</v>
      </c>
      <c r="AZ35" s="188">
        <v>3968981.67</v>
      </c>
      <c r="BA35" s="188">
        <v>28010412.350000001</v>
      </c>
      <c r="BB35" s="188">
        <v>26366808</v>
      </c>
      <c r="BC35" s="188">
        <v>23322770.489999998</v>
      </c>
      <c r="BD35" s="188">
        <v>2312909.86</v>
      </c>
      <c r="BE35" s="188">
        <v>19224677.559999999</v>
      </c>
      <c r="BF35" s="188">
        <v>17211563.469999999</v>
      </c>
      <c r="BG35" s="188">
        <v>15310981.470000001</v>
      </c>
      <c r="BH35" s="188">
        <v>903034.72</v>
      </c>
      <c r="BI35" s="188">
        <v>10164906.09</v>
      </c>
      <c r="BJ35" s="188">
        <v>12449375.210000001</v>
      </c>
      <c r="BK35" s="188">
        <v>10677779.140000001</v>
      </c>
      <c r="BL35" s="188">
        <v>1518386.83</v>
      </c>
      <c r="BM35" s="188">
        <v>24484836.079999998</v>
      </c>
      <c r="BN35" s="188">
        <v>2786857.43</v>
      </c>
      <c r="BO35" s="188">
        <v>7868258.1100000003</v>
      </c>
      <c r="BP35" s="188">
        <v>0</v>
      </c>
      <c r="BQ35" s="188">
        <v>0</v>
      </c>
    </row>
    <row r="36" spans="1:69">
      <c r="A36" s="188" t="s">
        <v>251</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900000</v>
      </c>
      <c r="AD36" s="188">
        <v>900000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row>
    <row r="37" spans="1:69">
      <c r="A37" s="188" t="s">
        <v>252</v>
      </c>
      <c r="B37" s="188">
        <v>0</v>
      </c>
      <c r="C37" s="188">
        <v>0</v>
      </c>
      <c r="D37" s="188">
        <v>0</v>
      </c>
      <c r="E37" s="188">
        <v>0</v>
      </c>
      <c r="F37" s="188">
        <v>0</v>
      </c>
      <c r="G37" s="188">
        <v>0</v>
      </c>
      <c r="H37" s="188">
        <v>0</v>
      </c>
      <c r="I37" s="188">
        <v>1460000</v>
      </c>
      <c r="J37" s="188">
        <v>450540.76</v>
      </c>
      <c r="K37" s="188">
        <v>450540.76</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180000</v>
      </c>
      <c r="AT37" s="188">
        <v>1179793</v>
      </c>
      <c r="AU37" s="188">
        <v>1179793</v>
      </c>
      <c r="AV37" s="188">
        <v>0</v>
      </c>
      <c r="AW37" s="188">
        <v>1910000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3128064.25</v>
      </c>
      <c r="BN37" s="188">
        <v>734972</v>
      </c>
      <c r="BO37" s="188">
        <v>0</v>
      </c>
      <c r="BP37" s="188">
        <v>0</v>
      </c>
      <c r="BQ37" s="188">
        <v>0</v>
      </c>
    </row>
    <row r="38" spans="1:69">
      <c r="A38" s="188" t="s">
        <v>253</v>
      </c>
      <c r="B38" s="188">
        <v>100574643.7</v>
      </c>
      <c r="C38" s="188">
        <v>9508151.8000000007</v>
      </c>
      <c r="D38" s="188">
        <v>0</v>
      </c>
      <c r="E38" s="188">
        <v>60005666.619999997</v>
      </c>
      <c r="F38" s="188">
        <v>57346640.859999999</v>
      </c>
      <c r="G38" s="188">
        <v>6319798.0599999996</v>
      </c>
      <c r="H38" s="188">
        <v>1001759.33</v>
      </c>
      <c r="I38" s="188">
        <v>223137667.99000001</v>
      </c>
      <c r="J38" s="188">
        <v>220347412.61000001</v>
      </c>
      <c r="K38" s="188">
        <v>148727837.22999999</v>
      </c>
      <c r="L38" s="188">
        <v>52207277.25</v>
      </c>
      <c r="M38" s="188">
        <v>324795276.73000002</v>
      </c>
      <c r="N38" s="188">
        <v>266684058.91999999</v>
      </c>
      <c r="O38" s="188">
        <v>158720339.49000001</v>
      </c>
      <c r="P38" s="188">
        <v>66452153.670000002</v>
      </c>
      <c r="Q38" s="188">
        <v>281750333.63</v>
      </c>
      <c r="R38" s="188">
        <v>200298340.77000001</v>
      </c>
      <c r="S38" s="188">
        <v>88893591.5</v>
      </c>
      <c r="T38" s="188">
        <v>81007324.939999998</v>
      </c>
      <c r="U38" s="188">
        <v>238313141.38</v>
      </c>
      <c r="V38" s="188">
        <v>146039685.06999999</v>
      </c>
      <c r="W38" s="188">
        <v>117274560.63</v>
      </c>
      <c r="X38" s="188">
        <v>81924415.629999995</v>
      </c>
      <c r="Y38" s="188">
        <v>160706601.63</v>
      </c>
      <c r="Z38" s="188">
        <v>97691479.489999995</v>
      </c>
      <c r="AA38" s="188">
        <v>53297499.560000002</v>
      </c>
      <c r="AB38" s="188">
        <v>20867986.120000001</v>
      </c>
      <c r="AC38" s="188">
        <v>184047572.78</v>
      </c>
      <c r="AD38" s="188">
        <v>180196196.93000001</v>
      </c>
      <c r="AE38" s="188">
        <v>179385215.25</v>
      </c>
      <c r="AF38" s="188">
        <v>11472691.76</v>
      </c>
      <c r="AG38" s="188">
        <v>184734751.22999999</v>
      </c>
      <c r="AH38" s="188">
        <v>164827349.47</v>
      </c>
      <c r="AI38" s="188">
        <v>142508763.56</v>
      </c>
      <c r="AJ38" s="188">
        <v>55476610.5</v>
      </c>
      <c r="AK38" s="188">
        <v>158719761.16</v>
      </c>
      <c r="AL38" s="188">
        <v>148611638.69</v>
      </c>
      <c r="AM38" s="188">
        <v>147320138.81999999</v>
      </c>
      <c r="AN38" s="188">
        <v>41667787.479999997</v>
      </c>
      <c r="AO38" s="188">
        <v>199744340.99000001</v>
      </c>
      <c r="AP38" s="188">
        <v>98314647.859999999</v>
      </c>
      <c r="AQ38" s="188">
        <v>13314978.119999999</v>
      </c>
      <c r="AR38" s="188">
        <v>2440373.7599999998</v>
      </c>
      <c r="AS38" s="188">
        <v>324534924.79000002</v>
      </c>
      <c r="AT38" s="188">
        <v>252954298.13</v>
      </c>
      <c r="AU38" s="188">
        <v>153493818.16999999</v>
      </c>
      <c r="AV38" s="188">
        <v>118709069</v>
      </c>
      <c r="AW38" s="188">
        <v>339578884.38</v>
      </c>
      <c r="AX38" s="188">
        <v>204259448.81</v>
      </c>
      <c r="AY38" s="188">
        <v>117346508.65000001</v>
      </c>
      <c r="AZ38" s="188">
        <v>23968981.670000002</v>
      </c>
      <c r="BA38" s="188">
        <v>247750412.34999999</v>
      </c>
      <c r="BB38" s="188">
        <v>216106808</v>
      </c>
      <c r="BC38" s="188">
        <v>172532770.49000001</v>
      </c>
      <c r="BD38" s="188">
        <v>75412909.859999999</v>
      </c>
      <c r="BE38" s="188">
        <v>149224677.56</v>
      </c>
      <c r="BF38" s="188">
        <v>117211563.47</v>
      </c>
      <c r="BG38" s="188">
        <v>59310981.469999999</v>
      </c>
      <c r="BH38" s="188">
        <v>903034.72</v>
      </c>
      <c r="BI38" s="188">
        <v>111034906.09</v>
      </c>
      <c r="BJ38" s="188">
        <v>70319375.209999993</v>
      </c>
      <c r="BK38" s="188">
        <v>57547779.140000001</v>
      </c>
      <c r="BL38" s="188">
        <v>1518386.83</v>
      </c>
      <c r="BM38" s="188">
        <v>54531492.329999998</v>
      </c>
      <c r="BN38" s="188">
        <v>23521829.43</v>
      </c>
      <c r="BO38" s="188">
        <v>43820258.109999999</v>
      </c>
      <c r="BP38" s="188">
        <v>0</v>
      </c>
      <c r="BQ38" s="188">
        <v>0</v>
      </c>
    </row>
    <row r="39" spans="1:69">
      <c r="A39" s="188" t="s">
        <v>254</v>
      </c>
      <c r="B39" s="188">
        <v>-100349874.58</v>
      </c>
      <c r="C39" s="188">
        <v>-9325939.7200000007</v>
      </c>
      <c r="D39" s="188">
        <v>109647.6</v>
      </c>
      <c r="E39" s="188">
        <v>-59066799.079999998</v>
      </c>
      <c r="F39" s="188">
        <v>-47518491.289999999</v>
      </c>
      <c r="G39" s="188">
        <v>-2376685.79</v>
      </c>
      <c r="H39" s="188">
        <v>-559976.35</v>
      </c>
      <c r="I39" s="188">
        <v>532075653.13</v>
      </c>
      <c r="J39" s="188">
        <v>-129906292.61</v>
      </c>
      <c r="K39" s="188">
        <v>-59086717.229999997</v>
      </c>
      <c r="L39" s="188">
        <v>8854322.75</v>
      </c>
      <c r="M39" s="188">
        <v>-157989176.72999999</v>
      </c>
      <c r="N39" s="188">
        <v>-101016328.92</v>
      </c>
      <c r="O39" s="188">
        <v>2285760.5099999998</v>
      </c>
      <c r="P39" s="188">
        <v>30561306.329999998</v>
      </c>
      <c r="Q39" s="188">
        <v>-32503373.629999999</v>
      </c>
      <c r="R39" s="188">
        <v>-1262740.77</v>
      </c>
      <c r="S39" s="188">
        <v>-13893591.5</v>
      </c>
      <c r="T39" s="188">
        <v>-31007324.940000001</v>
      </c>
      <c r="U39" s="188">
        <v>-68313141.379999995</v>
      </c>
      <c r="V39" s="188">
        <v>-61039685.07</v>
      </c>
      <c r="W39" s="188">
        <v>-32274560.629999999</v>
      </c>
      <c r="X39" s="188">
        <v>-1924415.63</v>
      </c>
      <c r="Y39" s="188">
        <v>29293398.370000001</v>
      </c>
      <c r="Z39" s="188">
        <v>27308520.510000002</v>
      </c>
      <c r="AA39" s="188">
        <v>21702500.440000001</v>
      </c>
      <c r="AB39" s="188">
        <v>-867986.12</v>
      </c>
      <c r="AC39" s="188">
        <v>-129047572.78</v>
      </c>
      <c r="AD39" s="188">
        <v>-130196196.93000001</v>
      </c>
      <c r="AE39" s="188">
        <v>-154385215.25</v>
      </c>
      <c r="AF39" s="188">
        <v>-11472691.76</v>
      </c>
      <c r="AG39" s="188">
        <v>-10205751.23</v>
      </c>
      <c r="AH39" s="188">
        <v>-34898349.469999999</v>
      </c>
      <c r="AI39" s="188">
        <v>-12579763.560000001</v>
      </c>
      <c r="AJ39" s="188">
        <v>-55476610.5</v>
      </c>
      <c r="AK39" s="188">
        <v>-23954761.16</v>
      </c>
      <c r="AL39" s="188">
        <v>-13846638.689999999</v>
      </c>
      <c r="AM39" s="188">
        <v>-33320138.82</v>
      </c>
      <c r="AN39" s="188">
        <v>12332212.52</v>
      </c>
      <c r="AO39" s="188">
        <v>-2816340.99</v>
      </c>
      <c r="AP39" s="188">
        <v>-19314647.859999999</v>
      </c>
      <c r="AQ39" s="188">
        <v>-3314978.12</v>
      </c>
      <c r="AR39" s="188">
        <v>-2440373.7599999998</v>
      </c>
      <c r="AS39" s="188">
        <v>96653986.209999993</v>
      </c>
      <c r="AT39" s="188">
        <v>128414405.87</v>
      </c>
      <c r="AU39" s="188">
        <v>137874885.83000001</v>
      </c>
      <c r="AV39" s="188">
        <v>172659635</v>
      </c>
      <c r="AW39" s="188">
        <v>-25368884.379999999</v>
      </c>
      <c r="AX39" s="188">
        <v>-7729448.8099999996</v>
      </c>
      <c r="AY39" s="188">
        <v>-23876508.649999999</v>
      </c>
      <c r="AZ39" s="188">
        <v>-8968981.6699999999</v>
      </c>
      <c r="BA39" s="188">
        <v>81409587.650000006</v>
      </c>
      <c r="BB39" s="188">
        <v>-16946808</v>
      </c>
      <c r="BC39" s="188">
        <v>-27902770.489999998</v>
      </c>
      <c r="BD39" s="188">
        <v>-1702909.86</v>
      </c>
      <c r="BE39" s="188">
        <v>74885322.439999998</v>
      </c>
      <c r="BF39" s="188">
        <v>42788436.530000001</v>
      </c>
      <c r="BG39" s="188">
        <v>64689018.530000001</v>
      </c>
      <c r="BH39" s="188">
        <v>39096965.280000001</v>
      </c>
      <c r="BI39" s="188">
        <v>-23034906.09</v>
      </c>
      <c r="BJ39" s="188">
        <v>-20319375.210000001</v>
      </c>
      <c r="BK39" s="188">
        <v>-13547779.140000001</v>
      </c>
      <c r="BL39" s="188">
        <v>-1518386.83</v>
      </c>
      <c r="BM39" s="188">
        <v>370786247</v>
      </c>
      <c r="BN39" s="188">
        <v>394965909.89999998</v>
      </c>
      <c r="BO39" s="188">
        <v>15050333.890000001</v>
      </c>
      <c r="BP39" s="188">
        <v>0</v>
      </c>
      <c r="BQ39" s="188">
        <v>0</v>
      </c>
    </row>
    <row r="40" spans="1:69">
      <c r="A40" s="188" t="s">
        <v>255</v>
      </c>
      <c r="B40" s="188">
        <v>21983087.399999999</v>
      </c>
      <c r="C40" s="188">
        <v>4665135.54</v>
      </c>
      <c r="D40" s="188">
        <v>-17520584.690000001</v>
      </c>
      <c r="E40" s="188">
        <v>-16661828.310000001</v>
      </c>
      <c r="F40" s="188">
        <v>-10012447.83</v>
      </c>
      <c r="G40" s="188">
        <v>-4177114.02</v>
      </c>
      <c r="H40" s="188">
        <v>0</v>
      </c>
      <c r="I40" s="188">
        <v>9950175.7400000002</v>
      </c>
      <c r="J40" s="188">
        <v>5947931.9199999999</v>
      </c>
      <c r="K40" s="188">
        <v>3319279.08</v>
      </c>
      <c r="L40" s="188">
        <v>0</v>
      </c>
      <c r="M40" s="188">
        <v>4105925.61</v>
      </c>
      <c r="N40" s="188">
        <v>3732604.24</v>
      </c>
      <c r="O40" s="188">
        <v>1952647.01</v>
      </c>
      <c r="P40" s="188">
        <v>0</v>
      </c>
      <c r="Q40" s="188">
        <v>1276958.03</v>
      </c>
      <c r="R40" s="188">
        <v>1423587.68</v>
      </c>
      <c r="S40" s="188">
        <v>1066245.98</v>
      </c>
      <c r="T40" s="188">
        <v>0</v>
      </c>
      <c r="U40" s="188">
        <v>-3618109.87</v>
      </c>
      <c r="V40" s="188">
        <v>-2742156.93</v>
      </c>
      <c r="W40" s="188">
        <v>-1858813.01</v>
      </c>
      <c r="X40" s="188">
        <v>0</v>
      </c>
      <c r="Y40" s="188">
        <v>-214111.99</v>
      </c>
      <c r="Z40" s="188">
        <v>0</v>
      </c>
      <c r="AA40" s="188">
        <v>0</v>
      </c>
      <c r="AB40" s="188">
        <v>0</v>
      </c>
      <c r="AC40" s="188">
        <v>-997391.59</v>
      </c>
      <c r="AD40" s="188">
        <v>0</v>
      </c>
      <c r="AE40" s="188">
        <v>0</v>
      </c>
      <c r="AF40" s="188">
        <v>0</v>
      </c>
      <c r="AG40" s="188">
        <v>-1264784.56</v>
      </c>
      <c r="AH40" s="188">
        <v>0</v>
      </c>
      <c r="AI40" s="188">
        <v>0</v>
      </c>
      <c r="AJ40" s="188">
        <v>0</v>
      </c>
      <c r="AK40" s="188">
        <v>-1827464.3</v>
      </c>
      <c r="AL40" s="188">
        <v>0</v>
      </c>
      <c r="AM40" s="188">
        <v>0</v>
      </c>
      <c r="AN40" s="188">
        <v>0</v>
      </c>
      <c r="AO40" s="188">
        <v>-708987.47</v>
      </c>
      <c r="AP40" s="188">
        <v>0</v>
      </c>
      <c r="AQ40" s="188">
        <v>0</v>
      </c>
      <c r="AR40" s="188">
        <v>0</v>
      </c>
      <c r="AS40" s="188">
        <v>-217748.59</v>
      </c>
      <c r="AT40" s="188">
        <v>0</v>
      </c>
      <c r="AU40" s="188">
        <v>0</v>
      </c>
      <c r="AV40" s="188">
        <v>0</v>
      </c>
      <c r="AW40" s="188">
        <v>-1310694.21</v>
      </c>
      <c r="AX40" s="188">
        <v>0</v>
      </c>
      <c r="AY40" s="188">
        <v>0</v>
      </c>
      <c r="AZ40" s="188">
        <v>0</v>
      </c>
      <c r="BA40" s="188">
        <v>-172637.45</v>
      </c>
      <c r="BB40" s="188">
        <v>0</v>
      </c>
      <c r="BC40" s="188">
        <v>0</v>
      </c>
      <c r="BD40" s="188">
        <v>0</v>
      </c>
      <c r="BE40" s="188">
        <v>-135720.06</v>
      </c>
      <c r="BF40" s="188">
        <v>0</v>
      </c>
      <c r="BG40" s="188">
        <v>0</v>
      </c>
      <c r="BH40" s="188">
        <v>0</v>
      </c>
      <c r="BI40" s="188">
        <v>20512.29</v>
      </c>
      <c r="BJ40" s="188">
        <v>0</v>
      </c>
      <c r="BK40" s="188">
        <v>0</v>
      </c>
      <c r="BL40" s="188">
        <v>0</v>
      </c>
      <c r="BM40" s="188">
        <v>0</v>
      </c>
      <c r="BN40" s="188">
        <v>0</v>
      </c>
      <c r="BO40" s="188">
        <v>32976</v>
      </c>
      <c r="BP40" s="188">
        <v>0</v>
      </c>
      <c r="BQ40" s="188">
        <v>0</v>
      </c>
    </row>
    <row r="41" spans="1:69">
      <c r="A41" s="188" t="s">
        <v>256</v>
      </c>
      <c r="B41" s="188">
        <v>-257340313.69999999</v>
      </c>
      <c r="C41" s="188">
        <v>276009411.73000002</v>
      </c>
      <c r="D41" s="188">
        <v>55862653.43</v>
      </c>
      <c r="E41" s="188">
        <v>-120824697.55</v>
      </c>
      <c r="F41" s="188">
        <v>158081524.81</v>
      </c>
      <c r="G41" s="188">
        <v>157653508.11000001</v>
      </c>
      <c r="H41" s="188">
        <v>117079059.33</v>
      </c>
      <c r="I41" s="188">
        <v>723638469.17999995</v>
      </c>
      <c r="J41" s="188">
        <v>22738050.940000001</v>
      </c>
      <c r="K41" s="188">
        <v>67398500.400000006</v>
      </c>
      <c r="L41" s="188">
        <v>20133157.75</v>
      </c>
      <c r="M41" s="188">
        <v>139200635.28999999</v>
      </c>
      <c r="N41" s="188">
        <v>60709591.460000001</v>
      </c>
      <c r="O41" s="188">
        <v>42456545.270000003</v>
      </c>
      <c r="P41" s="188">
        <v>30902087.84</v>
      </c>
      <c r="Q41" s="188">
        <v>68540559.599999994</v>
      </c>
      <c r="R41" s="188">
        <v>51751120.170000002</v>
      </c>
      <c r="S41" s="188">
        <v>16841552.579999998</v>
      </c>
      <c r="T41" s="188">
        <v>-17269125.899999999</v>
      </c>
      <c r="U41" s="188">
        <v>50904360.82</v>
      </c>
      <c r="V41" s="188">
        <v>-9135601.4600000009</v>
      </c>
      <c r="W41" s="188">
        <v>35927923.350000001</v>
      </c>
      <c r="X41" s="188">
        <v>5464423.4699999997</v>
      </c>
      <c r="Y41" s="188">
        <v>-58741419.899999999</v>
      </c>
      <c r="Z41" s="188">
        <v>-90717789.540000007</v>
      </c>
      <c r="AA41" s="188">
        <v>-89061421.760000005</v>
      </c>
      <c r="AB41" s="188">
        <v>-110963615.37</v>
      </c>
      <c r="AC41" s="188">
        <v>-38202132.289999999</v>
      </c>
      <c r="AD41" s="188">
        <v>-88731821.560000002</v>
      </c>
      <c r="AE41" s="188">
        <v>-102449676.64</v>
      </c>
      <c r="AF41" s="188">
        <v>-43008820.109999999</v>
      </c>
      <c r="AG41" s="188">
        <v>5300783.6100000003</v>
      </c>
      <c r="AH41" s="188">
        <v>86207032.010000005</v>
      </c>
      <c r="AI41" s="188">
        <v>121494075.48999999</v>
      </c>
      <c r="AJ41" s="188">
        <v>37942477.359999999</v>
      </c>
      <c r="AK41" s="188">
        <v>124009267.34999999</v>
      </c>
      <c r="AL41" s="188">
        <v>47824604.539999999</v>
      </c>
      <c r="AM41" s="188">
        <v>38302841.890000001</v>
      </c>
      <c r="AN41" s="188">
        <v>48680943.710000001</v>
      </c>
      <c r="AO41" s="188">
        <v>-65900048.609999999</v>
      </c>
      <c r="AP41" s="188">
        <v>-70936410.75</v>
      </c>
      <c r="AQ41" s="188">
        <v>-50512991.43</v>
      </c>
      <c r="AR41" s="188">
        <v>-47150136.079999998</v>
      </c>
      <c r="AS41" s="188">
        <v>74014582.430000007</v>
      </c>
      <c r="AT41" s="188">
        <v>118927783.22</v>
      </c>
      <c r="AU41" s="188">
        <v>145315207.44</v>
      </c>
      <c r="AV41" s="188">
        <v>158030084.50999999</v>
      </c>
      <c r="AW41" s="188">
        <v>-29718394.09</v>
      </c>
      <c r="AX41" s="188">
        <v>-28641082.120000001</v>
      </c>
      <c r="AY41" s="188">
        <v>-41130422.369999997</v>
      </c>
      <c r="AZ41" s="188">
        <v>-23806697.66</v>
      </c>
      <c r="BA41" s="188">
        <v>25972327.190000001</v>
      </c>
      <c r="BB41" s="188">
        <v>-13111647.119999999</v>
      </c>
      <c r="BC41" s="188">
        <v>-33218056.260000002</v>
      </c>
      <c r="BD41" s="188">
        <v>-28889312.010000002</v>
      </c>
      <c r="BE41" s="188">
        <v>-94323032.640000001</v>
      </c>
      <c r="BF41" s="188">
        <v>-80870789.049999997</v>
      </c>
      <c r="BG41" s="188">
        <v>-26531446.170000002</v>
      </c>
      <c r="BH41" s="188">
        <v>-18814548.170000002</v>
      </c>
      <c r="BI41" s="188">
        <v>-235401012.75999999</v>
      </c>
      <c r="BJ41" s="188">
        <v>-166849472.16</v>
      </c>
      <c r="BK41" s="188">
        <v>-118452876</v>
      </c>
      <c r="BL41" s="188">
        <v>-50189678.509999998</v>
      </c>
      <c r="BM41" s="188">
        <v>370378601.94999999</v>
      </c>
      <c r="BN41" s="188">
        <v>394903574.25999999</v>
      </c>
      <c r="BO41" s="188">
        <v>20084378</v>
      </c>
      <c r="BP41" s="188">
        <v>20084378</v>
      </c>
      <c r="BQ41" s="188">
        <v>0</v>
      </c>
    </row>
    <row r="42" spans="1:69">
      <c r="A42" s="188" t="s">
        <v>257</v>
      </c>
      <c r="B42" s="188">
        <v>988235226.83000004</v>
      </c>
      <c r="C42" s="188">
        <v>988235226.83000004</v>
      </c>
      <c r="D42" s="188">
        <v>988235226.83000004</v>
      </c>
      <c r="E42" s="188">
        <v>1109059924.3800001</v>
      </c>
      <c r="F42" s="188">
        <v>1109059924.3800001</v>
      </c>
      <c r="G42" s="188">
        <v>1109059924.3800001</v>
      </c>
      <c r="H42" s="188">
        <v>1109059924.3800001</v>
      </c>
      <c r="I42" s="188">
        <v>385421455.19999999</v>
      </c>
      <c r="J42" s="188">
        <v>385421455.19999999</v>
      </c>
      <c r="K42" s="188">
        <v>385421455.19999999</v>
      </c>
      <c r="L42" s="188">
        <v>385421455.19999999</v>
      </c>
      <c r="M42" s="188">
        <v>246220819.91</v>
      </c>
      <c r="N42" s="188">
        <v>246220819.91</v>
      </c>
      <c r="O42" s="188">
        <v>246220819.91</v>
      </c>
      <c r="P42" s="188">
        <v>227120819.91</v>
      </c>
      <c r="Q42" s="188">
        <v>177680260.31</v>
      </c>
      <c r="R42" s="188">
        <v>177680260.31</v>
      </c>
      <c r="S42" s="188">
        <v>177680260.31</v>
      </c>
      <c r="T42" s="188">
        <v>177680260.31</v>
      </c>
      <c r="U42" s="188">
        <v>126775899.48999999</v>
      </c>
      <c r="V42" s="188">
        <v>126775899.48999999</v>
      </c>
      <c r="W42" s="188">
        <v>126775899.48999999</v>
      </c>
      <c r="X42" s="188">
        <v>126775899.48999999</v>
      </c>
      <c r="Y42" s="188">
        <v>185517319.38999999</v>
      </c>
      <c r="Z42" s="188">
        <v>185517319.38999999</v>
      </c>
      <c r="AA42" s="188">
        <v>185517319.38999999</v>
      </c>
      <c r="AB42" s="188">
        <v>185517319.38999999</v>
      </c>
      <c r="AC42" s="188">
        <v>223719451.68000001</v>
      </c>
      <c r="AD42" s="188">
        <v>223719451.68000001</v>
      </c>
      <c r="AE42" s="188">
        <v>223719451.68000001</v>
      </c>
      <c r="AF42" s="188">
        <v>223719451.68000001</v>
      </c>
      <c r="AG42" s="188">
        <v>218418668.06999999</v>
      </c>
      <c r="AH42" s="188">
        <v>218418668.06999999</v>
      </c>
      <c r="AI42" s="188">
        <v>218418668.06999999</v>
      </c>
      <c r="AJ42" s="188">
        <v>218418668.06999999</v>
      </c>
      <c r="AK42" s="188">
        <v>94409400.719999999</v>
      </c>
      <c r="AL42" s="188">
        <v>94409400.719999999</v>
      </c>
      <c r="AM42" s="188">
        <v>94409400.719999999</v>
      </c>
      <c r="AN42" s="188">
        <v>94409400.719999999</v>
      </c>
      <c r="AO42" s="188">
        <v>160309449.33000001</v>
      </c>
      <c r="AP42" s="188">
        <v>160309449.33000001</v>
      </c>
      <c r="AQ42" s="188">
        <v>160309449.33000001</v>
      </c>
      <c r="AR42" s="188">
        <v>160309449.33000001</v>
      </c>
      <c r="AS42" s="188">
        <v>86294866.900000006</v>
      </c>
      <c r="AT42" s="188">
        <v>86294866.900000006</v>
      </c>
      <c r="AU42" s="188">
        <v>86294866.900000006</v>
      </c>
      <c r="AV42" s="188">
        <v>86294866.900000006</v>
      </c>
      <c r="AW42" s="188">
        <v>116013260.98999999</v>
      </c>
      <c r="AX42" s="188">
        <v>116013260.98999999</v>
      </c>
      <c r="AY42" s="188">
        <v>116013260.98999999</v>
      </c>
      <c r="AZ42" s="188">
        <v>116013260.98999999</v>
      </c>
      <c r="BA42" s="188">
        <v>90040933.799999997</v>
      </c>
      <c r="BB42" s="188">
        <v>90040933.799999997</v>
      </c>
      <c r="BC42" s="188">
        <v>90040933.799999997</v>
      </c>
      <c r="BD42" s="188">
        <v>90040933.799999997</v>
      </c>
      <c r="BE42" s="188">
        <v>184363966.44</v>
      </c>
      <c r="BF42" s="188">
        <v>184363966.44</v>
      </c>
      <c r="BG42" s="188">
        <v>184363966.44</v>
      </c>
      <c r="BH42" s="188">
        <v>184363966.44</v>
      </c>
      <c r="BI42" s="188">
        <v>419764979.19999999</v>
      </c>
      <c r="BJ42" s="188">
        <v>419764979.19999999</v>
      </c>
      <c r="BK42" s="188">
        <v>419764979.19999999</v>
      </c>
      <c r="BL42" s="188">
        <v>419810464.33999997</v>
      </c>
      <c r="BM42" s="188">
        <v>49386377.25</v>
      </c>
      <c r="BN42" s="188">
        <v>49386377.25</v>
      </c>
      <c r="BO42" s="188">
        <v>29301999</v>
      </c>
      <c r="BP42" s="188">
        <v>0</v>
      </c>
      <c r="BQ42" s="188">
        <v>0</v>
      </c>
    </row>
    <row r="43" spans="1:69">
      <c r="A43" s="188" t="s">
        <v>258</v>
      </c>
      <c r="B43" s="188">
        <v>730894913.13</v>
      </c>
      <c r="C43" s="188">
        <v>1264244638.5599999</v>
      </c>
      <c r="D43" s="188">
        <v>1044097880.26</v>
      </c>
      <c r="E43" s="188">
        <v>988235226.83000004</v>
      </c>
      <c r="F43" s="188">
        <v>1267141449.1900001</v>
      </c>
      <c r="G43" s="188">
        <v>1266713432.49</v>
      </c>
      <c r="H43" s="188">
        <v>1226138983.71</v>
      </c>
      <c r="I43" s="188">
        <v>1109059924.3800001</v>
      </c>
      <c r="J43" s="188">
        <v>408159506.13999999</v>
      </c>
      <c r="K43" s="188">
        <v>452819955.60000002</v>
      </c>
      <c r="L43" s="188">
        <v>405554612.94999999</v>
      </c>
      <c r="M43" s="188">
        <v>385421455.19999999</v>
      </c>
      <c r="N43" s="188">
        <v>306930411.37</v>
      </c>
      <c r="O43" s="188">
        <v>288677365.18000001</v>
      </c>
      <c r="P43" s="188">
        <v>258022907.75</v>
      </c>
      <c r="Q43" s="188">
        <v>246220819.91</v>
      </c>
      <c r="R43" s="188">
        <v>229431380.47999999</v>
      </c>
      <c r="S43" s="188">
        <v>194521812.88999999</v>
      </c>
      <c r="T43" s="188">
        <v>160411134.41</v>
      </c>
      <c r="U43" s="188">
        <v>177680260.31</v>
      </c>
      <c r="V43" s="188">
        <v>117640298.03</v>
      </c>
      <c r="W43" s="188">
        <v>162703822.84</v>
      </c>
      <c r="X43" s="188">
        <v>132240322.95999999</v>
      </c>
      <c r="Y43" s="188">
        <v>126775899.48999999</v>
      </c>
      <c r="Z43" s="188">
        <v>94799529.849999994</v>
      </c>
      <c r="AA43" s="188">
        <v>96455897.629999995</v>
      </c>
      <c r="AB43" s="188">
        <v>74553704.019999996</v>
      </c>
      <c r="AC43" s="188">
        <v>185517319.38999999</v>
      </c>
      <c r="AD43" s="188">
        <v>134987630.12</v>
      </c>
      <c r="AE43" s="188">
        <v>121269775.04000001</v>
      </c>
      <c r="AF43" s="188">
        <v>180710631.56999999</v>
      </c>
      <c r="AG43" s="188">
        <v>223719451.68000001</v>
      </c>
      <c r="AH43" s="188">
        <v>304625700.07999998</v>
      </c>
      <c r="AI43" s="188">
        <v>339912743.56</v>
      </c>
      <c r="AJ43" s="188">
        <v>256361145.43000001</v>
      </c>
      <c r="AK43" s="188">
        <v>218418668.06999999</v>
      </c>
      <c r="AL43" s="188">
        <v>142234005.25999999</v>
      </c>
      <c r="AM43" s="188">
        <v>132712242.61</v>
      </c>
      <c r="AN43" s="188">
        <v>143090344.43000001</v>
      </c>
      <c r="AO43" s="188">
        <v>94409400.719999999</v>
      </c>
      <c r="AP43" s="188">
        <v>89373038.579999998</v>
      </c>
      <c r="AQ43" s="188">
        <v>109796457.90000001</v>
      </c>
      <c r="AR43" s="188">
        <v>113159313.25</v>
      </c>
      <c r="AS43" s="188">
        <v>160309449.33000001</v>
      </c>
      <c r="AT43" s="188">
        <v>205222650.12</v>
      </c>
      <c r="AU43" s="188">
        <v>231610074.34</v>
      </c>
      <c r="AV43" s="188">
        <v>244324951.41</v>
      </c>
      <c r="AW43" s="188">
        <v>86294866.900000006</v>
      </c>
      <c r="AX43" s="188">
        <v>87372178.870000005</v>
      </c>
      <c r="AY43" s="188">
        <v>74882838.620000005</v>
      </c>
      <c r="AZ43" s="188">
        <v>92206563.329999998</v>
      </c>
      <c r="BA43" s="188">
        <v>116013260.98999999</v>
      </c>
      <c r="BB43" s="188">
        <v>76929286.680000007</v>
      </c>
      <c r="BC43" s="188">
        <v>56822877.539999999</v>
      </c>
      <c r="BD43" s="188">
        <v>61151621.789999999</v>
      </c>
      <c r="BE43" s="188">
        <v>90040933.799999997</v>
      </c>
      <c r="BF43" s="188">
        <v>103493177.39</v>
      </c>
      <c r="BG43" s="188">
        <v>157832520.27000001</v>
      </c>
      <c r="BH43" s="188">
        <v>165549418.27000001</v>
      </c>
      <c r="BI43" s="188">
        <v>184363966.44</v>
      </c>
      <c r="BJ43" s="188">
        <v>252915507.03999999</v>
      </c>
      <c r="BK43" s="188">
        <v>301312103.19999999</v>
      </c>
      <c r="BL43" s="188">
        <v>369620785.82999998</v>
      </c>
      <c r="BM43" s="188">
        <v>419764979.19999999</v>
      </c>
      <c r="BN43" s="188">
        <v>444289951.50999999</v>
      </c>
      <c r="BO43" s="188">
        <v>49386377</v>
      </c>
      <c r="BP43" s="188">
        <v>0</v>
      </c>
      <c r="BQ43" s="188">
        <v>0</v>
      </c>
    </row>
    <row r="44" spans="1:69">
      <c r="A44" s="188" t="s">
        <v>259</v>
      </c>
    </row>
    <row r="45" spans="1:69">
      <c r="A45" s="188" t="s">
        <v>260</v>
      </c>
      <c r="B45" s="188">
        <v>0</v>
      </c>
      <c r="C45" s="188">
        <v>167592596.44</v>
      </c>
      <c r="D45" s="188">
        <v>0</v>
      </c>
      <c r="E45" s="188">
        <v>262758070.99000001</v>
      </c>
      <c r="F45" s="188">
        <v>0</v>
      </c>
      <c r="G45" s="188">
        <v>132114235.44</v>
      </c>
      <c r="H45" s="188">
        <v>0</v>
      </c>
      <c r="I45" s="188">
        <v>189046608.34999999</v>
      </c>
      <c r="J45" s="188">
        <v>0</v>
      </c>
      <c r="K45" s="188">
        <v>85611680.670000002</v>
      </c>
      <c r="L45" s="188">
        <v>0</v>
      </c>
      <c r="M45" s="188">
        <v>144672474.34999999</v>
      </c>
      <c r="N45" s="188">
        <v>0</v>
      </c>
      <c r="O45" s="188">
        <v>72600584.829999998</v>
      </c>
      <c r="P45" s="188">
        <v>0</v>
      </c>
      <c r="Q45" s="188">
        <v>123636422.26000001</v>
      </c>
      <c r="R45" s="188">
        <v>0</v>
      </c>
      <c r="S45" s="188">
        <v>67418001.790000007</v>
      </c>
      <c r="T45" s="188">
        <v>0</v>
      </c>
      <c r="U45" s="188">
        <v>122333707.19</v>
      </c>
      <c r="V45" s="188">
        <v>0</v>
      </c>
      <c r="W45" s="188">
        <v>67280743.450000003</v>
      </c>
      <c r="X45" s="188">
        <v>0</v>
      </c>
      <c r="Y45" s="188">
        <v>119828142.41</v>
      </c>
      <c r="Z45" s="188">
        <v>0</v>
      </c>
      <c r="AA45" s="188">
        <v>63095938.509999998</v>
      </c>
      <c r="AB45" s="188">
        <v>0</v>
      </c>
      <c r="AC45" s="188">
        <v>132508056.87</v>
      </c>
      <c r="AD45" s="188">
        <v>0</v>
      </c>
      <c r="AE45" s="188">
        <v>83606149.950000003</v>
      </c>
      <c r="AF45" s="188">
        <v>0</v>
      </c>
      <c r="AG45" s="188">
        <v>171970637.52000001</v>
      </c>
      <c r="AH45" s="188">
        <v>0</v>
      </c>
      <c r="AI45" s="188">
        <v>93848459.409999996</v>
      </c>
      <c r="AJ45" s="188">
        <v>0</v>
      </c>
      <c r="AK45" s="188">
        <v>144839301.78999999</v>
      </c>
      <c r="AL45" s="188">
        <v>0</v>
      </c>
      <c r="AM45" s="188">
        <v>74799161.590000004</v>
      </c>
      <c r="AN45" s="188">
        <v>0</v>
      </c>
      <c r="AO45" s="188">
        <v>135212284.19</v>
      </c>
      <c r="AP45" s="188">
        <v>0</v>
      </c>
      <c r="AQ45" s="188">
        <v>66368181.119999997</v>
      </c>
      <c r="AR45" s="188">
        <v>0</v>
      </c>
      <c r="AS45" s="188">
        <v>111013512.90000001</v>
      </c>
      <c r="AT45" s="188">
        <v>0</v>
      </c>
      <c r="AU45" s="188">
        <v>53997130.399999999</v>
      </c>
      <c r="AV45" s="188">
        <v>0</v>
      </c>
      <c r="AW45" s="188">
        <v>94055248.849999994</v>
      </c>
      <c r="AX45" s="188">
        <v>73222355.689999998</v>
      </c>
      <c r="AY45" s="188">
        <v>47897752.789999999</v>
      </c>
      <c r="AZ45" s="188">
        <v>21587648.91</v>
      </c>
      <c r="BA45" s="188">
        <v>82484076.010000005</v>
      </c>
      <c r="BB45" s="188">
        <v>61892547.659999996</v>
      </c>
      <c r="BC45" s="188">
        <v>40685844.020000003</v>
      </c>
      <c r="BD45" s="188">
        <v>19654573.699999999</v>
      </c>
      <c r="BE45" s="188">
        <v>75658066.290000007</v>
      </c>
      <c r="BF45" s="188">
        <v>56297171.530000001</v>
      </c>
      <c r="BG45" s="188">
        <v>37909207.880000003</v>
      </c>
      <c r="BH45" s="188">
        <v>17143146.010000002</v>
      </c>
      <c r="BI45" s="188">
        <v>70197205.790000007</v>
      </c>
      <c r="BJ45" s="188">
        <v>51234453.380000003</v>
      </c>
      <c r="BK45" s="188">
        <v>33087028.859999999</v>
      </c>
      <c r="BL45" s="188">
        <v>12026789.859999999</v>
      </c>
      <c r="BM45" s="188">
        <v>54752953.359999999</v>
      </c>
      <c r="BN45" s="188">
        <v>26842360.129999999</v>
      </c>
      <c r="BO45" s="188">
        <v>38797288</v>
      </c>
      <c r="BP45" s="188">
        <v>0</v>
      </c>
      <c r="BQ45" s="188">
        <v>0</v>
      </c>
    </row>
    <row r="46" spans="1:69">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513148.4</v>
      </c>
      <c r="AT46" s="188">
        <v>0</v>
      </c>
      <c r="AU46" s="188">
        <v>0</v>
      </c>
      <c r="AV46" s="188">
        <v>0</v>
      </c>
      <c r="AW46" s="188">
        <v>129349.91</v>
      </c>
      <c r="AX46" s="188">
        <v>153199.70000000001</v>
      </c>
      <c r="AY46" s="188">
        <v>102422.21</v>
      </c>
      <c r="AZ46" s="188">
        <v>72761.119999999995</v>
      </c>
      <c r="BA46" s="188">
        <v>307827.95</v>
      </c>
      <c r="BB46" s="188">
        <v>196330.58</v>
      </c>
      <c r="BC46" s="188">
        <v>81224.81</v>
      </c>
      <c r="BD46" s="188">
        <v>67812.62</v>
      </c>
      <c r="BE46" s="188">
        <v>322258.28999999998</v>
      </c>
      <c r="BF46" s="188">
        <v>320420.57</v>
      </c>
      <c r="BG46" s="188">
        <v>276912.19</v>
      </c>
      <c r="BH46" s="188">
        <v>147357.68</v>
      </c>
      <c r="BI46" s="188">
        <v>517559.92</v>
      </c>
      <c r="BJ46" s="188">
        <v>467012.15</v>
      </c>
      <c r="BK46" s="188">
        <v>279646.03999999998</v>
      </c>
      <c r="BL46" s="188">
        <v>177531.48</v>
      </c>
      <c r="BM46" s="188">
        <v>2971880.11</v>
      </c>
      <c r="BN46" s="188">
        <v>1063042.75</v>
      </c>
      <c r="BO46" s="188">
        <v>2401457</v>
      </c>
      <c r="BP46" s="188">
        <v>0</v>
      </c>
      <c r="BQ46" s="188">
        <v>0</v>
      </c>
    </row>
    <row r="47" spans="1:69">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0</v>
      </c>
      <c r="BF47" s="188">
        <v>0</v>
      </c>
      <c r="BG47" s="188">
        <v>0</v>
      </c>
      <c r="BH47" s="188">
        <v>0</v>
      </c>
      <c r="BI47" s="188">
        <v>0</v>
      </c>
      <c r="BJ47" s="188">
        <v>0</v>
      </c>
      <c r="BK47" s="188">
        <v>0</v>
      </c>
      <c r="BL47" s="188">
        <v>0</v>
      </c>
      <c r="BM47" s="188">
        <v>0</v>
      </c>
      <c r="BN47" s="188">
        <v>0</v>
      </c>
      <c r="BO47" s="188">
        <v>0</v>
      </c>
      <c r="BP47" s="188">
        <v>0</v>
      </c>
      <c r="BQ47" s="188">
        <v>0</v>
      </c>
    </row>
    <row r="48" spans="1:69">
      <c r="A48" s="188" t="s">
        <v>262</v>
      </c>
      <c r="B48" s="188">
        <v>0</v>
      </c>
      <c r="C48" s="188">
        <v>20691527.359999999</v>
      </c>
      <c r="D48" s="188">
        <v>0</v>
      </c>
      <c r="E48" s="188">
        <v>10572528.699999999</v>
      </c>
      <c r="F48" s="188">
        <v>0</v>
      </c>
      <c r="G48" s="188">
        <v>3754246.05</v>
      </c>
      <c r="H48" s="188">
        <v>0</v>
      </c>
      <c r="I48" s="188">
        <v>68899037.019999996</v>
      </c>
      <c r="J48" s="188">
        <v>0</v>
      </c>
      <c r="K48" s="188">
        <v>18007725.690000001</v>
      </c>
      <c r="L48" s="188">
        <v>0</v>
      </c>
      <c r="M48" s="188">
        <v>33715933.759999998</v>
      </c>
      <c r="N48" s="188">
        <v>0</v>
      </c>
      <c r="O48" s="188">
        <v>13521115.029999999</v>
      </c>
      <c r="P48" s="188">
        <v>0</v>
      </c>
      <c r="Q48" s="188">
        <v>-458506.29</v>
      </c>
      <c r="R48" s="188">
        <v>0</v>
      </c>
      <c r="S48" s="188">
        <v>5266885.46</v>
      </c>
      <c r="T48" s="188">
        <v>0</v>
      </c>
      <c r="U48" s="188">
        <v>10782887.630000001</v>
      </c>
      <c r="V48" s="188">
        <v>0</v>
      </c>
      <c r="W48" s="188">
        <v>5217711.1500000004</v>
      </c>
      <c r="X48" s="188">
        <v>0</v>
      </c>
      <c r="Y48" s="188">
        <v>12842859.23</v>
      </c>
      <c r="Z48" s="188">
        <v>0</v>
      </c>
      <c r="AA48" s="188">
        <v>2805424.85</v>
      </c>
      <c r="AB48" s="188">
        <v>0</v>
      </c>
      <c r="AC48" s="188">
        <v>3622707.19</v>
      </c>
      <c r="AD48" s="188">
        <v>0</v>
      </c>
      <c r="AE48" s="188">
        <v>1618611.51</v>
      </c>
      <c r="AF48" s="188">
        <v>0</v>
      </c>
      <c r="AG48" s="188">
        <v>9451486.8800000008</v>
      </c>
      <c r="AH48" s="188">
        <v>0</v>
      </c>
      <c r="AI48" s="188">
        <v>1151972.49</v>
      </c>
      <c r="AJ48" s="188">
        <v>0</v>
      </c>
      <c r="AK48" s="188">
        <v>3834835.28</v>
      </c>
      <c r="AL48" s="188">
        <v>0</v>
      </c>
      <c r="AM48" s="188">
        <v>-203394.58</v>
      </c>
      <c r="AN48" s="188">
        <v>0</v>
      </c>
      <c r="AO48" s="188">
        <v>7703413.7199999997</v>
      </c>
      <c r="AP48" s="188">
        <v>0</v>
      </c>
      <c r="AQ48" s="188">
        <v>1593480.53</v>
      </c>
      <c r="AR48" s="188">
        <v>0</v>
      </c>
      <c r="AS48" s="188">
        <v>2077145.79</v>
      </c>
      <c r="AT48" s="188">
        <v>0</v>
      </c>
      <c r="AU48" s="188">
        <v>4734150.83</v>
      </c>
      <c r="AV48" s="188">
        <v>0</v>
      </c>
      <c r="AW48" s="188">
        <v>6351804.79</v>
      </c>
      <c r="AX48" s="188">
        <v>2885642.77</v>
      </c>
      <c r="AY48" s="188">
        <v>1997277.99</v>
      </c>
      <c r="AZ48" s="188">
        <v>3263703.07</v>
      </c>
      <c r="BA48" s="188">
        <v>4741399.18</v>
      </c>
      <c r="BB48" s="188">
        <v>5703354.7199999997</v>
      </c>
      <c r="BC48" s="188">
        <v>5024848.5</v>
      </c>
      <c r="BD48" s="188">
        <v>2719946.63</v>
      </c>
      <c r="BE48" s="188">
        <v>4234767.55</v>
      </c>
      <c r="BF48" s="188">
        <v>4577346.1500000004</v>
      </c>
      <c r="BG48" s="188">
        <v>5579513.5599999996</v>
      </c>
      <c r="BH48" s="188">
        <v>3555791.67</v>
      </c>
      <c r="BI48" s="188">
        <v>2409391.06</v>
      </c>
      <c r="BJ48" s="188">
        <v>448568.62</v>
      </c>
      <c r="BK48" s="188">
        <v>-1335699.3600000001</v>
      </c>
      <c r="BL48" s="188">
        <v>-1529562.58</v>
      </c>
      <c r="BM48" s="188">
        <v>2138763.98</v>
      </c>
      <c r="BN48" s="188">
        <v>-154735.70000000001</v>
      </c>
      <c r="BO48" s="188">
        <v>-995036</v>
      </c>
      <c r="BP48" s="188">
        <v>0</v>
      </c>
      <c r="BQ48" s="188">
        <v>0</v>
      </c>
    </row>
    <row r="49" spans="1:69">
      <c r="A49" s="188" t="s">
        <v>263</v>
      </c>
      <c r="B49" s="188">
        <v>0</v>
      </c>
      <c r="C49" s="188">
        <v>69612941.670000002</v>
      </c>
      <c r="D49" s="188">
        <v>0</v>
      </c>
      <c r="E49" s="188">
        <v>142492433.08000001</v>
      </c>
      <c r="F49" s="188">
        <v>0</v>
      </c>
      <c r="G49" s="188">
        <v>64944852.039999999</v>
      </c>
      <c r="H49" s="188">
        <v>0</v>
      </c>
      <c r="I49" s="188">
        <v>132953096.8</v>
      </c>
      <c r="J49" s="188">
        <v>0</v>
      </c>
      <c r="K49" s="188">
        <v>63407514.82</v>
      </c>
      <c r="L49" s="188">
        <v>0</v>
      </c>
      <c r="M49" s="188">
        <v>135460162.68000001</v>
      </c>
      <c r="N49" s="188">
        <v>0</v>
      </c>
      <c r="O49" s="188">
        <v>68826542.549999997</v>
      </c>
      <c r="P49" s="188">
        <v>0</v>
      </c>
      <c r="Q49" s="188">
        <v>140552070.31999999</v>
      </c>
      <c r="R49" s="188">
        <v>0</v>
      </c>
      <c r="S49" s="188">
        <v>77825130.25</v>
      </c>
      <c r="T49" s="188">
        <v>0</v>
      </c>
      <c r="U49" s="188">
        <v>125258966.94</v>
      </c>
      <c r="V49" s="188">
        <v>0</v>
      </c>
      <c r="W49" s="188">
        <v>51270264.299999997</v>
      </c>
      <c r="X49" s="188">
        <v>0</v>
      </c>
      <c r="Y49" s="188">
        <v>116049019.73</v>
      </c>
      <c r="Z49" s="188">
        <v>0</v>
      </c>
      <c r="AA49" s="188">
        <v>56925332.259999998</v>
      </c>
      <c r="AB49" s="188">
        <v>0</v>
      </c>
      <c r="AC49" s="188">
        <v>88068825.079999998</v>
      </c>
      <c r="AD49" s="188">
        <v>0</v>
      </c>
      <c r="AE49" s="188">
        <v>43379534.490000002</v>
      </c>
      <c r="AF49" s="188">
        <v>0</v>
      </c>
      <c r="AG49" s="188">
        <v>83549207.459999993</v>
      </c>
      <c r="AH49" s="188">
        <v>0</v>
      </c>
      <c r="AI49" s="188">
        <v>40820416.229999997</v>
      </c>
      <c r="AJ49" s="188">
        <v>0</v>
      </c>
      <c r="AK49" s="188">
        <v>83786014.829999998</v>
      </c>
      <c r="AL49" s="188">
        <v>0</v>
      </c>
      <c r="AM49" s="188">
        <v>41973738.859999999</v>
      </c>
      <c r="AN49" s="188">
        <v>0</v>
      </c>
      <c r="AO49" s="188">
        <v>79760747.359999999</v>
      </c>
      <c r="AP49" s="188">
        <v>0</v>
      </c>
      <c r="AQ49" s="188">
        <v>37449392.829999998</v>
      </c>
      <c r="AR49" s="188">
        <v>0</v>
      </c>
      <c r="AS49" s="188">
        <v>64159759.909999996</v>
      </c>
      <c r="AT49" s="188">
        <v>0</v>
      </c>
      <c r="AU49" s="188">
        <v>30199046.84</v>
      </c>
      <c r="AV49" s="188">
        <v>0</v>
      </c>
      <c r="AW49" s="188">
        <v>55718008.229999997</v>
      </c>
      <c r="AX49" s="188">
        <v>42360378.600000001</v>
      </c>
      <c r="AY49" s="188">
        <v>28161584.399999999</v>
      </c>
      <c r="AZ49" s="188">
        <v>14290069.859999999</v>
      </c>
      <c r="BA49" s="188">
        <v>57341437.890000001</v>
      </c>
      <c r="BB49" s="188">
        <v>41641208.369999997</v>
      </c>
      <c r="BC49" s="188">
        <v>27348769.23</v>
      </c>
      <c r="BD49" s="188">
        <v>13227730.57</v>
      </c>
      <c r="BE49" s="188">
        <v>47832507.960000001</v>
      </c>
      <c r="BF49" s="188">
        <v>34680873.109999999</v>
      </c>
      <c r="BG49" s="188">
        <v>20354587.969999999</v>
      </c>
      <c r="BH49" s="188">
        <v>9821958.5899999999</v>
      </c>
      <c r="BI49" s="188">
        <v>24871071.25</v>
      </c>
      <c r="BJ49" s="188">
        <v>18409180.5</v>
      </c>
      <c r="BK49" s="188">
        <v>12399024.66</v>
      </c>
      <c r="BL49" s="188">
        <v>5517642.3700000001</v>
      </c>
      <c r="BM49" s="188">
        <v>19307636.579999998</v>
      </c>
      <c r="BN49" s="188">
        <v>8411377.2100000009</v>
      </c>
      <c r="BO49" s="188">
        <v>16787862</v>
      </c>
      <c r="BP49" s="188">
        <v>0</v>
      </c>
      <c r="BQ49" s="188">
        <v>0</v>
      </c>
    </row>
    <row r="50" spans="1:69">
      <c r="A50" s="188" t="s">
        <v>264</v>
      </c>
      <c r="B50" s="188">
        <v>0</v>
      </c>
      <c r="C50" s="188">
        <v>1744683.33</v>
      </c>
      <c r="D50" s="188">
        <v>0</v>
      </c>
      <c r="E50" s="188">
        <v>3199480.53</v>
      </c>
      <c r="F50" s="188">
        <v>0</v>
      </c>
      <c r="G50" s="188">
        <v>1618923.55</v>
      </c>
      <c r="H50" s="188">
        <v>0</v>
      </c>
      <c r="I50" s="188">
        <v>3102553.34</v>
      </c>
      <c r="J50" s="188">
        <v>0</v>
      </c>
      <c r="K50" s="188">
        <v>1358926.32</v>
      </c>
      <c r="L50" s="188">
        <v>0</v>
      </c>
      <c r="M50" s="188">
        <v>2651968</v>
      </c>
      <c r="N50" s="188">
        <v>0</v>
      </c>
      <c r="O50" s="188">
        <v>1290952.52</v>
      </c>
      <c r="P50" s="188">
        <v>0</v>
      </c>
      <c r="Q50" s="188">
        <v>2506094.4500000002</v>
      </c>
      <c r="R50" s="188">
        <v>0</v>
      </c>
      <c r="S50" s="188">
        <v>1229035.24</v>
      </c>
      <c r="T50" s="188">
        <v>0</v>
      </c>
      <c r="U50" s="188">
        <v>2462199.61</v>
      </c>
      <c r="V50" s="188">
        <v>0</v>
      </c>
      <c r="W50" s="188">
        <v>1243824.6399999999</v>
      </c>
      <c r="X50" s="188">
        <v>0</v>
      </c>
      <c r="Y50" s="188">
        <v>2346647.56</v>
      </c>
      <c r="Z50" s="188">
        <v>0</v>
      </c>
      <c r="AA50" s="188">
        <v>1128761.46</v>
      </c>
      <c r="AB50" s="188">
        <v>0</v>
      </c>
      <c r="AC50" s="188">
        <v>1510071.42</v>
      </c>
      <c r="AD50" s="188">
        <v>0</v>
      </c>
      <c r="AE50" s="188">
        <v>679518.48</v>
      </c>
      <c r="AF50" s="188">
        <v>0</v>
      </c>
      <c r="AG50" s="188">
        <v>1389600.18</v>
      </c>
      <c r="AH50" s="188">
        <v>0</v>
      </c>
      <c r="AI50" s="188">
        <v>709165.3</v>
      </c>
      <c r="AJ50" s="188">
        <v>0</v>
      </c>
      <c r="AK50" s="188">
        <v>1450233</v>
      </c>
      <c r="AL50" s="188">
        <v>0</v>
      </c>
      <c r="AM50" s="188">
        <v>728120.46</v>
      </c>
      <c r="AN50" s="188">
        <v>0</v>
      </c>
      <c r="AO50" s="188">
        <v>1471756.68</v>
      </c>
      <c r="AP50" s="188">
        <v>0</v>
      </c>
      <c r="AQ50" s="188">
        <v>737993.54</v>
      </c>
      <c r="AR50" s="188">
        <v>0</v>
      </c>
      <c r="AS50" s="188">
        <v>1511159.51</v>
      </c>
      <c r="AT50" s="188">
        <v>0</v>
      </c>
      <c r="AU50" s="188">
        <v>683938.12</v>
      </c>
      <c r="AV50" s="188">
        <v>0</v>
      </c>
      <c r="AW50" s="188">
        <v>752333.88</v>
      </c>
      <c r="AX50" s="188">
        <v>564250.41</v>
      </c>
      <c r="AY50" s="188">
        <v>376166.94</v>
      </c>
      <c r="AZ50" s="188">
        <v>188083.47</v>
      </c>
      <c r="BA50" s="188">
        <v>725712.51</v>
      </c>
      <c r="BB50" s="188">
        <v>537035.04</v>
      </c>
      <c r="BC50" s="188">
        <v>356045.57</v>
      </c>
      <c r="BD50" s="188">
        <v>167116.98000000001</v>
      </c>
      <c r="BE50" s="188">
        <v>655382.93999999994</v>
      </c>
      <c r="BF50" s="188">
        <v>483243.32</v>
      </c>
      <c r="BG50" s="188">
        <v>323982.31</v>
      </c>
      <c r="BH50" s="188">
        <v>161805.32</v>
      </c>
      <c r="BI50" s="188">
        <v>592599.64</v>
      </c>
      <c r="BJ50" s="188">
        <v>433070.41</v>
      </c>
      <c r="BK50" s="188">
        <v>276569.02</v>
      </c>
      <c r="BL50" s="188">
        <v>120680.37</v>
      </c>
      <c r="BM50" s="188">
        <v>446032.41</v>
      </c>
      <c r="BN50" s="188">
        <v>221227.86</v>
      </c>
      <c r="BO50" s="188">
        <v>442455</v>
      </c>
      <c r="BP50" s="188">
        <v>0</v>
      </c>
      <c r="BQ50" s="188">
        <v>0</v>
      </c>
    </row>
    <row r="51" spans="1:69">
      <c r="A51" s="188" t="s">
        <v>265</v>
      </c>
      <c r="B51" s="188">
        <v>0</v>
      </c>
      <c r="C51" s="188">
        <v>0</v>
      </c>
      <c r="D51" s="188">
        <v>0</v>
      </c>
      <c r="E51" s="188">
        <v>0</v>
      </c>
      <c r="F51" s="188">
        <v>0</v>
      </c>
      <c r="G51" s="188">
        <v>47688.54</v>
      </c>
      <c r="H51" s="188">
        <v>0</v>
      </c>
      <c r="I51" s="188">
        <v>0</v>
      </c>
      <c r="J51" s="188">
        <v>0</v>
      </c>
      <c r="K51" s="188">
        <v>0</v>
      </c>
      <c r="L51" s="188">
        <v>0</v>
      </c>
      <c r="M51" s="188">
        <v>0</v>
      </c>
      <c r="N51" s="188">
        <v>0</v>
      </c>
      <c r="O51" s="188">
        <v>0</v>
      </c>
      <c r="P51" s="188">
        <v>0</v>
      </c>
      <c r="Q51" s="188">
        <v>0</v>
      </c>
      <c r="R51" s="188">
        <v>0</v>
      </c>
      <c r="S51" s="188">
        <v>0</v>
      </c>
      <c r="T51" s="188">
        <v>0</v>
      </c>
      <c r="U51" s="188">
        <v>0</v>
      </c>
      <c r="V51" s="188">
        <v>0</v>
      </c>
      <c r="W51" s="188">
        <v>0</v>
      </c>
      <c r="X51" s="188">
        <v>0</v>
      </c>
      <c r="Y51" s="188">
        <v>0</v>
      </c>
      <c r="Z51" s="188">
        <v>0</v>
      </c>
      <c r="AA51" s="188">
        <v>0</v>
      </c>
      <c r="AB51" s="188">
        <v>0</v>
      </c>
      <c r="AC51" s="188">
        <v>0</v>
      </c>
      <c r="AD51" s="188">
        <v>0</v>
      </c>
      <c r="AE51" s="188">
        <v>0</v>
      </c>
      <c r="AF51" s="188">
        <v>0</v>
      </c>
      <c r="AG51" s="188">
        <v>0</v>
      </c>
      <c r="AH51" s="188">
        <v>0</v>
      </c>
      <c r="AI51" s="188">
        <v>0</v>
      </c>
      <c r="AJ51" s="188">
        <v>0</v>
      </c>
      <c r="AK51" s="188">
        <v>0</v>
      </c>
      <c r="AL51" s="188">
        <v>0</v>
      </c>
      <c r="AM51" s="188">
        <v>0</v>
      </c>
      <c r="AN51" s="188">
        <v>0</v>
      </c>
      <c r="AO51" s="188">
        <v>0</v>
      </c>
      <c r="AP51" s="188">
        <v>0</v>
      </c>
      <c r="AQ51" s="188">
        <v>0</v>
      </c>
      <c r="AR51" s="188">
        <v>0</v>
      </c>
      <c r="AS51" s="188">
        <v>0</v>
      </c>
      <c r="AT51" s="188">
        <v>0</v>
      </c>
      <c r="AU51" s="188">
        <v>0</v>
      </c>
      <c r="AV51" s="188">
        <v>0</v>
      </c>
      <c r="AW51" s="188">
        <v>0</v>
      </c>
      <c r="AX51" s="188">
        <v>0</v>
      </c>
      <c r="AY51" s="188">
        <v>0</v>
      </c>
      <c r="AZ51" s="188">
        <v>0</v>
      </c>
      <c r="BA51" s="188">
        <v>0</v>
      </c>
      <c r="BB51" s="188">
        <v>0</v>
      </c>
      <c r="BC51" s="188">
        <v>0</v>
      </c>
      <c r="BD51" s="188">
        <v>0</v>
      </c>
      <c r="BE51" s="188">
        <v>0</v>
      </c>
      <c r="BF51" s="188">
        <v>0</v>
      </c>
      <c r="BG51" s="188">
        <v>0</v>
      </c>
      <c r="BH51" s="188">
        <v>0</v>
      </c>
      <c r="BI51" s="188">
        <v>0</v>
      </c>
      <c r="BJ51" s="188">
        <v>1021475.42</v>
      </c>
      <c r="BK51" s="188">
        <v>-365659.91</v>
      </c>
      <c r="BL51" s="188">
        <v>-6681.75</v>
      </c>
      <c r="BM51" s="188">
        <v>0</v>
      </c>
      <c r="BN51" s="188">
        <v>0</v>
      </c>
      <c r="BO51" s="188">
        <v>0</v>
      </c>
      <c r="BP51" s="188">
        <v>0</v>
      </c>
      <c r="BQ51" s="188">
        <v>0</v>
      </c>
    </row>
    <row r="52" spans="1:69">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-717231.59</v>
      </c>
      <c r="AY52" s="188">
        <v>-705352.48</v>
      </c>
      <c r="AZ52" s="188">
        <v>-277500.78000000003</v>
      </c>
      <c r="BA52" s="188">
        <v>0</v>
      </c>
      <c r="BB52" s="188">
        <v>-381732.57</v>
      </c>
      <c r="BC52" s="188">
        <v>-478170.48</v>
      </c>
      <c r="BD52" s="188">
        <v>-217682.14</v>
      </c>
      <c r="BE52" s="188">
        <v>0</v>
      </c>
      <c r="BF52" s="188">
        <v>0</v>
      </c>
      <c r="BG52" s="188">
        <v>0</v>
      </c>
      <c r="BH52" s="188">
        <v>0</v>
      </c>
      <c r="BI52" s="188">
        <v>0</v>
      </c>
      <c r="BJ52" s="188">
        <v>0</v>
      </c>
      <c r="BK52" s="188">
        <v>0</v>
      </c>
      <c r="BL52" s="188">
        <v>0</v>
      </c>
      <c r="BM52" s="188">
        <v>0</v>
      </c>
      <c r="BN52" s="188">
        <v>0</v>
      </c>
      <c r="BO52" s="188">
        <v>0</v>
      </c>
      <c r="BP52" s="188">
        <v>0</v>
      </c>
      <c r="BQ52" s="188">
        <v>0</v>
      </c>
    </row>
    <row r="53" spans="1:69">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0</v>
      </c>
      <c r="BA53" s="188">
        <v>0</v>
      </c>
      <c r="BB53" s="188">
        <v>0</v>
      </c>
      <c r="BC53" s="188">
        <v>0</v>
      </c>
      <c r="BD53" s="188">
        <v>0</v>
      </c>
      <c r="BE53" s="188">
        <v>0</v>
      </c>
      <c r="BF53" s="188">
        <v>0</v>
      </c>
      <c r="BG53" s="188">
        <v>0</v>
      </c>
      <c r="BH53" s="188">
        <v>0</v>
      </c>
      <c r="BI53" s="188">
        <v>0</v>
      </c>
      <c r="BJ53" s="188">
        <v>0</v>
      </c>
      <c r="BK53" s="188">
        <v>0</v>
      </c>
      <c r="BL53" s="188">
        <v>0</v>
      </c>
      <c r="BM53" s="188">
        <v>0</v>
      </c>
      <c r="BN53" s="188">
        <v>3860</v>
      </c>
      <c r="BO53" s="188">
        <v>0</v>
      </c>
      <c r="BP53" s="188">
        <v>0</v>
      </c>
      <c r="BQ53" s="188">
        <v>0</v>
      </c>
    </row>
    <row r="54" spans="1:69">
      <c r="A54" s="188" t="s">
        <v>268</v>
      </c>
      <c r="B54" s="188">
        <v>0</v>
      </c>
      <c r="C54" s="188">
        <v>-7251.2</v>
      </c>
      <c r="D54" s="188">
        <v>0</v>
      </c>
      <c r="E54" s="188">
        <v>-989416.44</v>
      </c>
      <c r="F54" s="188">
        <v>0</v>
      </c>
      <c r="G54" s="188">
        <v>-963781.74</v>
      </c>
      <c r="H54" s="188">
        <v>0</v>
      </c>
      <c r="I54" s="188">
        <v>-150245.85999999999</v>
      </c>
      <c r="J54" s="188">
        <v>0</v>
      </c>
      <c r="K54" s="188">
        <v>9002.61</v>
      </c>
      <c r="L54" s="188">
        <v>0</v>
      </c>
      <c r="M54" s="188">
        <v>28512.47</v>
      </c>
      <c r="N54" s="188">
        <v>0</v>
      </c>
      <c r="O54" s="188">
        <v>2448086.06</v>
      </c>
      <c r="P54" s="188">
        <v>0</v>
      </c>
      <c r="Q54" s="188">
        <v>2334247.9700000002</v>
      </c>
      <c r="R54" s="188">
        <v>0</v>
      </c>
      <c r="S54" s="188">
        <v>569228.18000000005</v>
      </c>
      <c r="T54" s="188">
        <v>0</v>
      </c>
      <c r="U54" s="188">
        <v>878518.3</v>
      </c>
      <c r="V54" s="188">
        <v>0</v>
      </c>
      <c r="W54" s="188">
        <v>-682922.27</v>
      </c>
      <c r="X54" s="188">
        <v>0</v>
      </c>
      <c r="Y54" s="188">
        <v>895024.94</v>
      </c>
      <c r="Z54" s="188">
        <v>0</v>
      </c>
      <c r="AA54" s="188">
        <v>-489000.28</v>
      </c>
      <c r="AB54" s="188">
        <v>0</v>
      </c>
      <c r="AC54" s="188">
        <v>-144282.20000000001</v>
      </c>
      <c r="AD54" s="188">
        <v>0</v>
      </c>
      <c r="AE54" s="188">
        <v>71979.56</v>
      </c>
      <c r="AF54" s="188">
        <v>0</v>
      </c>
      <c r="AG54" s="188">
        <v>-494899.38</v>
      </c>
      <c r="AH54" s="188">
        <v>0</v>
      </c>
      <c r="AI54" s="188">
        <v>98507.9</v>
      </c>
      <c r="AJ54" s="188">
        <v>0</v>
      </c>
      <c r="AK54" s="188">
        <v>-179055.96</v>
      </c>
      <c r="AL54" s="188">
        <v>0</v>
      </c>
      <c r="AM54" s="188">
        <v>-138460.39000000001</v>
      </c>
      <c r="AN54" s="188">
        <v>0</v>
      </c>
      <c r="AO54" s="188">
        <v>-163457.01</v>
      </c>
      <c r="AP54" s="188">
        <v>0</v>
      </c>
      <c r="AQ54" s="188">
        <v>-116503.69</v>
      </c>
      <c r="AR54" s="188">
        <v>0</v>
      </c>
      <c r="AS54" s="188">
        <v>-2380025.08</v>
      </c>
      <c r="AT54" s="188">
        <v>0</v>
      </c>
      <c r="AU54" s="188">
        <v>582316.09</v>
      </c>
      <c r="AV54" s="188">
        <v>0</v>
      </c>
      <c r="AW54" s="188">
        <v>195239.61</v>
      </c>
      <c r="AX54" s="188">
        <v>195239.61</v>
      </c>
      <c r="AY54" s="188">
        <v>195239.61</v>
      </c>
      <c r="AZ54" s="188">
        <v>175966.98</v>
      </c>
      <c r="BA54" s="188">
        <v>46981.25</v>
      </c>
      <c r="BB54" s="188">
        <v>131790.28</v>
      </c>
      <c r="BC54" s="188">
        <v>17581.189999999999</v>
      </c>
      <c r="BD54" s="188">
        <v>17581.189999999999</v>
      </c>
      <c r="BE54" s="188">
        <v>37358.83</v>
      </c>
      <c r="BF54" s="188">
        <v>171033.05</v>
      </c>
      <c r="BG54" s="188">
        <v>105412.06</v>
      </c>
      <c r="BH54" s="188">
        <v>63285.42</v>
      </c>
      <c r="BI54" s="188">
        <v>-2005129.99</v>
      </c>
      <c r="BJ54" s="188">
        <v>-50135.32</v>
      </c>
      <c r="BK54" s="188">
        <v>-70301.89</v>
      </c>
      <c r="BL54" s="188">
        <v>-70018.12</v>
      </c>
      <c r="BM54" s="188">
        <v>196586.97</v>
      </c>
      <c r="BN54" s="188">
        <v>119535.62</v>
      </c>
      <c r="BO54" s="188">
        <v>1129517.76</v>
      </c>
      <c r="BP54" s="188">
        <v>0</v>
      </c>
      <c r="BQ54" s="188">
        <v>0</v>
      </c>
    </row>
    <row r="55" spans="1:69">
      <c r="A55" s="188" t="s">
        <v>269</v>
      </c>
      <c r="B55" s="188">
        <v>0</v>
      </c>
      <c r="C55" s="188">
        <v>16954378.719999999</v>
      </c>
      <c r="D55" s="188">
        <v>0</v>
      </c>
      <c r="E55" s="188">
        <v>7240553.9299999997</v>
      </c>
      <c r="F55" s="188">
        <v>0</v>
      </c>
      <c r="G55" s="188">
        <v>2778633.81</v>
      </c>
      <c r="H55" s="188">
        <v>0</v>
      </c>
      <c r="I55" s="188">
        <v>17534475.91</v>
      </c>
      <c r="J55" s="188">
        <v>0</v>
      </c>
      <c r="K55" s="188">
        <v>9628477.2100000009</v>
      </c>
      <c r="L55" s="188">
        <v>0</v>
      </c>
      <c r="M55" s="188">
        <v>7115464.8200000003</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1258098.74</v>
      </c>
      <c r="AH55" s="188">
        <v>0</v>
      </c>
      <c r="AI55" s="188">
        <v>1262404.32</v>
      </c>
      <c r="AJ55" s="188">
        <v>0</v>
      </c>
      <c r="AK55" s="188">
        <v>7520402.0199999996</v>
      </c>
      <c r="AL55" s="188">
        <v>0</v>
      </c>
      <c r="AM55" s="188">
        <v>0</v>
      </c>
      <c r="AN55" s="188">
        <v>0</v>
      </c>
      <c r="AO55" s="188">
        <v>0</v>
      </c>
      <c r="AP55" s="188">
        <v>0</v>
      </c>
      <c r="AQ55" s="188">
        <v>0</v>
      </c>
      <c r="AR55" s="188">
        <v>0</v>
      </c>
      <c r="AS55" s="188">
        <v>743160.54</v>
      </c>
      <c r="AT55" s="188">
        <v>0</v>
      </c>
      <c r="AU55" s="188">
        <v>0</v>
      </c>
      <c r="AV55" s="188">
        <v>0</v>
      </c>
      <c r="AW55" s="188">
        <v>0</v>
      </c>
      <c r="AX55" s="188">
        <v>137993.54999999999</v>
      </c>
      <c r="AY55" s="188">
        <v>0</v>
      </c>
      <c r="AZ55" s="188">
        <v>0</v>
      </c>
      <c r="BA55" s="188">
        <v>0</v>
      </c>
      <c r="BB55" s="188">
        <v>0</v>
      </c>
      <c r="BC55" s="188">
        <v>0</v>
      </c>
      <c r="BD55" s="188">
        <v>0</v>
      </c>
      <c r="BE55" s="188">
        <v>0</v>
      </c>
      <c r="BF55" s="188">
        <v>329770.38</v>
      </c>
      <c r="BG55" s="188">
        <v>0</v>
      </c>
      <c r="BH55" s="188">
        <v>0</v>
      </c>
      <c r="BI55" s="188">
        <v>0</v>
      </c>
      <c r="BJ55" s="188">
        <v>0</v>
      </c>
      <c r="BK55" s="188">
        <v>0</v>
      </c>
      <c r="BL55" s="188">
        <v>0</v>
      </c>
      <c r="BM55" s="188">
        <v>0</v>
      </c>
      <c r="BN55" s="188">
        <v>0</v>
      </c>
      <c r="BO55" s="188">
        <v>315404</v>
      </c>
      <c r="BP55" s="188">
        <v>0</v>
      </c>
      <c r="BQ55" s="188">
        <v>0</v>
      </c>
    </row>
    <row r="56" spans="1:69">
      <c r="A56" s="188" t="s">
        <v>270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row>
    <row r="57" spans="1:69">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row>
    <row r="58" spans="1:69">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row>
    <row r="59" spans="1:69">
      <c r="A59" s="188" t="s">
        <v>197</v>
      </c>
      <c r="B59" s="188">
        <v>0</v>
      </c>
      <c r="C59" s="188">
        <v>-4710117.5199999996</v>
      </c>
      <c r="D59" s="188">
        <v>0</v>
      </c>
      <c r="E59" s="188">
        <v>15880836.77</v>
      </c>
      <c r="F59" s="188">
        <v>0</v>
      </c>
      <c r="G59" s="188">
        <v>3312449.42</v>
      </c>
      <c r="H59" s="188">
        <v>0</v>
      </c>
      <c r="I59" s="188">
        <v>-9274935.8800000008</v>
      </c>
      <c r="J59" s="188">
        <v>0</v>
      </c>
      <c r="K59" s="188">
        <v>-2833764.87</v>
      </c>
      <c r="L59" s="188">
        <v>0</v>
      </c>
      <c r="M59" s="188">
        <v>-868457.87</v>
      </c>
      <c r="N59" s="188">
        <v>0</v>
      </c>
      <c r="O59" s="188">
        <v>5106538.83</v>
      </c>
      <c r="P59" s="188">
        <v>0</v>
      </c>
      <c r="Q59" s="188">
        <v>6100872.4900000002</v>
      </c>
      <c r="R59" s="188">
        <v>0</v>
      </c>
      <c r="S59" s="188">
        <v>2330220.15</v>
      </c>
      <c r="T59" s="188">
        <v>0</v>
      </c>
      <c r="U59" s="188">
        <v>8793363.5800000001</v>
      </c>
      <c r="V59" s="188">
        <v>0</v>
      </c>
      <c r="W59" s="188">
        <v>2682132.2400000002</v>
      </c>
      <c r="X59" s="188">
        <v>0</v>
      </c>
      <c r="Y59" s="188">
        <v>4989649.55</v>
      </c>
      <c r="Z59" s="188">
        <v>0</v>
      </c>
      <c r="AA59" s="188">
        <v>1866662.98</v>
      </c>
      <c r="AB59" s="188">
        <v>0</v>
      </c>
      <c r="AC59" s="188">
        <v>5888921.5999999996</v>
      </c>
      <c r="AD59" s="188">
        <v>0</v>
      </c>
      <c r="AE59" s="188">
        <v>4039915.96</v>
      </c>
      <c r="AF59" s="188">
        <v>0</v>
      </c>
      <c r="AG59" s="188">
        <v>6920866.79</v>
      </c>
      <c r="AH59" s="188">
        <v>0</v>
      </c>
      <c r="AI59" s="188">
        <v>2583238.35</v>
      </c>
      <c r="AJ59" s="188">
        <v>0</v>
      </c>
      <c r="AK59" s="188">
        <v>8176418.7999999998</v>
      </c>
      <c r="AL59" s="188">
        <v>0</v>
      </c>
      <c r="AM59" s="188">
        <v>3562087.71</v>
      </c>
      <c r="AN59" s="188">
        <v>0</v>
      </c>
      <c r="AO59" s="188">
        <v>10453328.460000001</v>
      </c>
      <c r="AP59" s="188">
        <v>0</v>
      </c>
      <c r="AQ59" s="188">
        <v>3075821.64</v>
      </c>
      <c r="AR59" s="188">
        <v>0</v>
      </c>
      <c r="AS59" s="188">
        <v>11142162.07</v>
      </c>
      <c r="AT59" s="188">
        <v>0</v>
      </c>
      <c r="AU59" s="188">
        <v>6075349.7300000004</v>
      </c>
      <c r="AV59" s="188">
        <v>0</v>
      </c>
      <c r="AW59" s="188">
        <v>15719312.810000001</v>
      </c>
      <c r="AX59" s="188">
        <v>11726642.48</v>
      </c>
      <c r="AY59" s="188">
        <v>7684842.1100000003</v>
      </c>
      <c r="AZ59" s="188">
        <v>3893802.65</v>
      </c>
      <c r="BA59" s="188">
        <v>9468736.4499999993</v>
      </c>
      <c r="BB59" s="188">
        <v>7241586.0300000003</v>
      </c>
      <c r="BC59" s="188">
        <v>4893639.97</v>
      </c>
      <c r="BD59" s="188">
        <v>2363074.59</v>
      </c>
      <c r="BE59" s="188">
        <v>6863560.3600000003</v>
      </c>
      <c r="BF59" s="188">
        <v>2203727.4300000002</v>
      </c>
      <c r="BG59" s="188">
        <v>772891.03</v>
      </c>
      <c r="BH59" s="188">
        <v>804354.42</v>
      </c>
      <c r="BI59" s="188">
        <v>5368458.7</v>
      </c>
      <c r="BJ59" s="188">
        <v>-1921990.45</v>
      </c>
      <c r="BK59" s="188">
        <v>2429491.59</v>
      </c>
      <c r="BL59" s="188">
        <v>1249440.6399999999</v>
      </c>
      <c r="BM59" s="188">
        <v>6880501.3899999997</v>
      </c>
      <c r="BN59" s="188">
        <v>2901477.14</v>
      </c>
      <c r="BO59" s="188">
        <v>7246032</v>
      </c>
      <c r="BP59" s="188">
        <v>0</v>
      </c>
      <c r="BQ59" s="188">
        <v>0</v>
      </c>
    </row>
    <row r="60" spans="1:69">
      <c r="A60" s="188" t="s">
        <v>273</v>
      </c>
      <c r="B60" s="188">
        <v>0</v>
      </c>
      <c r="C60" s="188">
        <v>-15468587.48</v>
      </c>
      <c r="D60" s="188">
        <v>0</v>
      </c>
      <c r="E60" s="188">
        <v>-19090598.109999999</v>
      </c>
      <c r="F60" s="188">
        <v>0</v>
      </c>
      <c r="G60" s="188">
        <v>-2677308.23</v>
      </c>
      <c r="H60" s="188">
        <v>0</v>
      </c>
      <c r="I60" s="188">
        <v>-1886246.83</v>
      </c>
      <c r="J60" s="188">
        <v>0</v>
      </c>
      <c r="K60" s="188">
        <v>-319568.18</v>
      </c>
      <c r="L60" s="188">
        <v>0</v>
      </c>
      <c r="M60" s="188">
        <v>-2818334.66</v>
      </c>
      <c r="N60" s="188">
        <v>0</v>
      </c>
      <c r="O60" s="188">
        <v>-959350.65</v>
      </c>
      <c r="P60" s="188">
        <v>0</v>
      </c>
      <c r="Q60" s="188">
        <v>330625.42</v>
      </c>
      <c r="R60" s="188">
        <v>0</v>
      </c>
      <c r="S60" s="188">
        <v>-3900.84</v>
      </c>
      <c r="T60" s="188">
        <v>0</v>
      </c>
      <c r="U60" s="188">
        <v>-5201.12</v>
      </c>
      <c r="V60" s="188">
        <v>0</v>
      </c>
      <c r="W60" s="188">
        <v>-5201.12</v>
      </c>
      <c r="X60" s="188">
        <v>0</v>
      </c>
      <c r="Y60" s="188">
        <v>-42947.95</v>
      </c>
      <c r="Z60" s="188">
        <v>0</v>
      </c>
      <c r="AA60" s="188">
        <v>-25665.75</v>
      </c>
      <c r="AB60" s="188">
        <v>0</v>
      </c>
      <c r="AC60" s="188">
        <v>-7151056.6699999999</v>
      </c>
      <c r="AD60" s="188">
        <v>0</v>
      </c>
      <c r="AE60" s="188">
        <v>-6499755.3399999999</v>
      </c>
      <c r="AF60" s="188">
        <v>0</v>
      </c>
      <c r="AG60" s="188">
        <v>-1771633.17</v>
      </c>
      <c r="AH60" s="188">
        <v>0</v>
      </c>
      <c r="AI60" s="188">
        <v>126681.36</v>
      </c>
      <c r="AJ60" s="188">
        <v>0</v>
      </c>
      <c r="AK60" s="188">
        <v>-6359631.0599999996</v>
      </c>
      <c r="AL60" s="188">
        <v>0</v>
      </c>
      <c r="AM60" s="188">
        <v>126721.44</v>
      </c>
      <c r="AN60" s="188">
        <v>0</v>
      </c>
      <c r="AO60" s="188">
        <v>-575996.25</v>
      </c>
      <c r="AP60" s="188">
        <v>0</v>
      </c>
      <c r="AQ60" s="188">
        <v>130029.44</v>
      </c>
      <c r="AR60" s="188">
        <v>0</v>
      </c>
      <c r="AS60" s="188">
        <v>-5448960.4299999997</v>
      </c>
      <c r="AT60" s="188">
        <v>0</v>
      </c>
      <c r="AU60" s="188">
        <v>-1831672.03</v>
      </c>
      <c r="AV60" s="188">
        <v>0</v>
      </c>
      <c r="AW60" s="188">
        <v>88475.15</v>
      </c>
      <c r="AX60" s="188">
        <v>189531.66</v>
      </c>
      <c r="AY60" s="188">
        <v>124516.94</v>
      </c>
      <c r="AZ60" s="188">
        <v>65014.720000000001</v>
      </c>
      <c r="BA60" s="188">
        <v>254362.63</v>
      </c>
      <c r="BB60" s="188">
        <v>189347.91</v>
      </c>
      <c r="BC60" s="188">
        <v>130029.44</v>
      </c>
      <c r="BD60" s="188">
        <v>65014.720000000001</v>
      </c>
      <c r="BE60" s="188">
        <v>65014.720000000001</v>
      </c>
      <c r="BF60" s="188">
        <v>0</v>
      </c>
      <c r="BG60" s="188">
        <v>0</v>
      </c>
      <c r="BH60" s="188">
        <v>0</v>
      </c>
      <c r="BI60" s="188">
        <v>0</v>
      </c>
      <c r="BJ60" s="188">
        <v>0</v>
      </c>
      <c r="BK60" s="188">
        <v>0</v>
      </c>
      <c r="BL60" s="188">
        <v>0</v>
      </c>
      <c r="BM60" s="188">
        <v>-267653.7</v>
      </c>
      <c r="BN60" s="188">
        <v>0</v>
      </c>
      <c r="BO60" s="188">
        <v>75321</v>
      </c>
      <c r="BP60" s="188">
        <v>0</v>
      </c>
      <c r="BQ60" s="188">
        <v>0</v>
      </c>
    </row>
    <row r="61" spans="1:69">
      <c r="A61" s="188" t="s">
        <v>274</v>
      </c>
      <c r="B61" s="188">
        <v>0</v>
      </c>
      <c r="C61" s="188">
        <v>-3130512.27</v>
      </c>
      <c r="D61" s="188">
        <v>0</v>
      </c>
      <c r="E61" s="188">
        <v>980728.76</v>
      </c>
      <c r="F61" s="188">
        <v>0</v>
      </c>
      <c r="G61" s="188">
        <v>-746038.36</v>
      </c>
      <c r="H61" s="188">
        <v>0</v>
      </c>
      <c r="I61" s="188">
        <v>-1585685.01</v>
      </c>
      <c r="J61" s="188">
        <v>0</v>
      </c>
      <c r="K61" s="188">
        <v>-3410097.42</v>
      </c>
      <c r="L61" s="188">
        <v>0</v>
      </c>
      <c r="M61" s="188">
        <v>-5520464.6200000001</v>
      </c>
      <c r="N61" s="188">
        <v>0</v>
      </c>
      <c r="O61" s="188">
        <v>-785568.45</v>
      </c>
      <c r="P61" s="188">
        <v>0</v>
      </c>
      <c r="Q61" s="188">
        <v>1611053.75</v>
      </c>
      <c r="R61" s="188">
        <v>0</v>
      </c>
      <c r="S61" s="188">
        <v>615767.66</v>
      </c>
      <c r="T61" s="188">
        <v>0</v>
      </c>
      <c r="U61" s="188">
        <v>-2418526.0499999998</v>
      </c>
      <c r="V61" s="188">
        <v>0</v>
      </c>
      <c r="W61" s="188">
        <v>-711918.92</v>
      </c>
      <c r="X61" s="188">
        <v>0</v>
      </c>
      <c r="Y61" s="188">
        <v>-1458720.16</v>
      </c>
      <c r="Z61" s="188">
        <v>0</v>
      </c>
      <c r="AA61" s="188">
        <v>884157.49</v>
      </c>
      <c r="AB61" s="188">
        <v>0</v>
      </c>
      <c r="AC61" s="188">
        <v>-10350399.689999999</v>
      </c>
      <c r="AD61" s="188">
        <v>0</v>
      </c>
      <c r="AE61" s="188">
        <v>-7069198.2800000003</v>
      </c>
      <c r="AF61" s="188">
        <v>0</v>
      </c>
      <c r="AG61" s="188">
        <v>-1546645.62</v>
      </c>
      <c r="AH61" s="188">
        <v>0</v>
      </c>
      <c r="AI61" s="188">
        <v>-122103.92</v>
      </c>
      <c r="AJ61" s="188">
        <v>0</v>
      </c>
      <c r="AK61" s="188">
        <v>-3814547.41</v>
      </c>
      <c r="AL61" s="188">
        <v>0</v>
      </c>
      <c r="AM61" s="188">
        <v>-928524.34</v>
      </c>
      <c r="AN61" s="188">
        <v>0</v>
      </c>
      <c r="AO61" s="188">
        <v>994859.24</v>
      </c>
      <c r="AP61" s="188">
        <v>0</v>
      </c>
      <c r="AQ61" s="188">
        <v>-1300430.08</v>
      </c>
      <c r="AR61" s="188">
        <v>0</v>
      </c>
      <c r="AS61" s="188">
        <v>-759277.51</v>
      </c>
      <c r="AT61" s="188">
        <v>0</v>
      </c>
      <c r="AU61" s="188">
        <v>-1882991.71</v>
      </c>
      <c r="AV61" s="188">
        <v>0</v>
      </c>
      <c r="AW61" s="188">
        <v>0</v>
      </c>
      <c r="AX61" s="188">
        <v>0</v>
      </c>
      <c r="AY61" s="188">
        <v>0</v>
      </c>
      <c r="AZ61" s="188">
        <v>0</v>
      </c>
      <c r="BA61" s="188">
        <v>0</v>
      </c>
      <c r="BB61" s="188">
        <v>0</v>
      </c>
      <c r="BC61" s="188">
        <v>0</v>
      </c>
      <c r="BD61" s="188">
        <v>0</v>
      </c>
      <c r="BE61" s="188">
        <v>0</v>
      </c>
      <c r="BF61" s="188">
        <v>0</v>
      </c>
      <c r="BG61" s="188">
        <v>0</v>
      </c>
      <c r="BH61" s="188">
        <v>0</v>
      </c>
      <c r="BI61" s="188">
        <v>0</v>
      </c>
      <c r="BJ61" s="188">
        <v>0</v>
      </c>
      <c r="BK61" s="188">
        <v>0</v>
      </c>
      <c r="BL61" s="188">
        <v>0</v>
      </c>
      <c r="BM61" s="188">
        <v>0</v>
      </c>
      <c r="BN61" s="188">
        <v>0</v>
      </c>
      <c r="BO61" s="188">
        <v>0</v>
      </c>
      <c r="BP61" s="188">
        <v>0</v>
      </c>
      <c r="BQ61" s="188">
        <v>0</v>
      </c>
    </row>
    <row r="62" spans="1:69">
      <c r="A62" s="188" t="s">
        <v>275</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-299356.94</v>
      </c>
      <c r="V62" s="188">
        <v>0</v>
      </c>
      <c r="W62" s="188">
        <v>-299356.94</v>
      </c>
      <c r="X62" s="188">
        <v>0</v>
      </c>
      <c r="Y62" s="188">
        <v>-37380.879999999997</v>
      </c>
      <c r="Z62" s="188">
        <v>0</v>
      </c>
      <c r="AA62" s="188">
        <v>-336737.82</v>
      </c>
      <c r="AB62" s="188">
        <v>0</v>
      </c>
      <c r="AC62" s="188">
        <v>336737.82</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0</v>
      </c>
      <c r="BO62" s="188">
        <v>0</v>
      </c>
      <c r="BP62" s="188">
        <v>0</v>
      </c>
      <c r="BQ62" s="188">
        <v>0</v>
      </c>
    </row>
    <row r="63" spans="1:69">
      <c r="A63" s="188" t="s">
        <v>276</v>
      </c>
      <c r="B63" s="188">
        <v>0</v>
      </c>
      <c r="C63" s="188">
        <v>32010336.27</v>
      </c>
      <c r="D63" s="188">
        <v>0</v>
      </c>
      <c r="E63" s="188">
        <v>-36885470.950000003</v>
      </c>
      <c r="F63" s="188">
        <v>0</v>
      </c>
      <c r="G63" s="188">
        <v>-4576627.13</v>
      </c>
      <c r="H63" s="188">
        <v>0</v>
      </c>
      <c r="I63" s="188">
        <v>34998536.079999998</v>
      </c>
      <c r="J63" s="188">
        <v>0</v>
      </c>
      <c r="K63" s="188">
        <v>1102966.95</v>
      </c>
      <c r="L63" s="188">
        <v>0</v>
      </c>
      <c r="M63" s="188">
        <v>-56998467.5</v>
      </c>
      <c r="N63" s="188">
        <v>0</v>
      </c>
      <c r="O63" s="188">
        <v>25986788.969999999</v>
      </c>
      <c r="P63" s="188">
        <v>0</v>
      </c>
      <c r="Q63" s="188">
        <v>26743744.09</v>
      </c>
      <c r="R63" s="188">
        <v>0</v>
      </c>
      <c r="S63" s="188">
        <v>13286221.550000001</v>
      </c>
      <c r="T63" s="188">
        <v>0</v>
      </c>
      <c r="U63" s="188">
        <v>-42269845.340000004</v>
      </c>
      <c r="V63" s="188">
        <v>0</v>
      </c>
      <c r="W63" s="188">
        <v>-11184938.68</v>
      </c>
      <c r="X63" s="188">
        <v>0</v>
      </c>
      <c r="Y63" s="188">
        <v>-53593074.560000002</v>
      </c>
      <c r="Z63" s="188">
        <v>0</v>
      </c>
      <c r="AA63" s="188">
        <v>-41127433.899999999</v>
      </c>
      <c r="AB63" s="188">
        <v>0</v>
      </c>
      <c r="AC63" s="188">
        <v>-123678277.11</v>
      </c>
      <c r="AD63" s="188">
        <v>0</v>
      </c>
      <c r="AE63" s="188">
        <v>-31735224.940000001</v>
      </c>
      <c r="AF63" s="188">
        <v>0</v>
      </c>
      <c r="AG63" s="188">
        <v>-49306389.75</v>
      </c>
      <c r="AH63" s="188">
        <v>0</v>
      </c>
      <c r="AI63" s="188">
        <v>9811203.7200000007</v>
      </c>
      <c r="AJ63" s="188">
        <v>0</v>
      </c>
      <c r="AK63" s="188">
        <v>6797311.79</v>
      </c>
      <c r="AL63" s="188">
        <v>0</v>
      </c>
      <c r="AM63" s="188">
        <v>12861749.029999999</v>
      </c>
      <c r="AN63" s="188">
        <v>0</v>
      </c>
      <c r="AO63" s="188">
        <v>-84820884.969999999</v>
      </c>
      <c r="AP63" s="188">
        <v>0</v>
      </c>
      <c r="AQ63" s="188">
        <v>-34548700.939999998</v>
      </c>
      <c r="AR63" s="188">
        <v>0</v>
      </c>
      <c r="AS63" s="188">
        <v>-484784.53</v>
      </c>
      <c r="AT63" s="188">
        <v>0</v>
      </c>
      <c r="AU63" s="188">
        <v>16300162.550000001</v>
      </c>
      <c r="AV63" s="188">
        <v>0</v>
      </c>
      <c r="AW63" s="188">
        <v>-42357508.659999996</v>
      </c>
      <c r="AX63" s="188">
        <v>-39198188.93</v>
      </c>
      <c r="AY63" s="188">
        <v>-21042498.98</v>
      </c>
      <c r="AZ63" s="188">
        <v>-2655308.21</v>
      </c>
      <c r="BA63" s="188">
        <v>-47680568.579999998</v>
      </c>
      <c r="BB63" s="188">
        <v>-50285328.560000002</v>
      </c>
      <c r="BC63" s="188">
        <v>-30023532.379999999</v>
      </c>
      <c r="BD63" s="188">
        <v>-5921615.1200000001</v>
      </c>
      <c r="BE63" s="188">
        <v>-47038889.630000003</v>
      </c>
      <c r="BF63" s="188">
        <v>-31419600.870000001</v>
      </c>
      <c r="BG63" s="188">
        <v>-12060481.779999999</v>
      </c>
      <c r="BH63" s="188">
        <v>-811556.34</v>
      </c>
      <c r="BI63" s="188">
        <v>-6972669.4100000001</v>
      </c>
      <c r="BJ63" s="188">
        <v>13078194.75</v>
      </c>
      <c r="BK63" s="188">
        <v>14095858.359999999</v>
      </c>
      <c r="BL63" s="188">
        <v>-3406918.67</v>
      </c>
      <c r="BM63" s="188">
        <v>12015023.01</v>
      </c>
      <c r="BN63" s="188">
        <v>896301.14</v>
      </c>
      <c r="BO63" s="188">
        <v>-2331551</v>
      </c>
      <c r="BP63" s="188">
        <v>0</v>
      </c>
      <c r="BQ63" s="188">
        <v>0</v>
      </c>
    </row>
    <row r="64" spans="1:69">
      <c r="A64" s="188" t="s">
        <v>277</v>
      </c>
      <c r="B64" s="188">
        <v>0</v>
      </c>
      <c r="C64" s="188">
        <v>-88321895.040000007</v>
      </c>
      <c r="D64" s="188">
        <v>0</v>
      </c>
      <c r="E64" s="188">
        <v>-38843588.090000004</v>
      </c>
      <c r="F64" s="188">
        <v>0</v>
      </c>
      <c r="G64" s="188">
        <v>-77318775.090000004</v>
      </c>
      <c r="H64" s="188">
        <v>0</v>
      </c>
      <c r="I64" s="188">
        <v>-25223250.510000002</v>
      </c>
      <c r="J64" s="188">
        <v>0</v>
      </c>
      <c r="K64" s="188">
        <v>-34994414.560000002</v>
      </c>
      <c r="L64" s="188">
        <v>0</v>
      </c>
      <c r="M64" s="188">
        <v>42498487.079999998</v>
      </c>
      <c r="N64" s="188">
        <v>0</v>
      </c>
      <c r="O64" s="188">
        <v>-10746881.890000001</v>
      </c>
      <c r="P64" s="188">
        <v>0</v>
      </c>
      <c r="Q64" s="188">
        <v>1234518.99</v>
      </c>
      <c r="R64" s="188">
        <v>0</v>
      </c>
      <c r="S64" s="188">
        <v>-85638181.420000002</v>
      </c>
      <c r="T64" s="188">
        <v>0</v>
      </c>
      <c r="U64" s="188">
        <v>-10312628.970000001</v>
      </c>
      <c r="V64" s="188">
        <v>0</v>
      </c>
      <c r="W64" s="188">
        <v>-52161171.560000002</v>
      </c>
      <c r="X64" s="188">
        <v>0</v>
      </c>
      <c r="Y64" s="188">
        <v>-144084077.12</v>
      </c>
      <c r="Z64" s="188">
        <v>0</v>
      </c>
      <c r="AA64" s="188">
        <v>-103226509.72</v>
      </c>
      <c r="AB64" s="188">
        <v>0</v>
      </c>
      <c r="AC64" s="188">
        <v>55630047.490000002</v>
      </c>
      <c r="AD64" s="188">
        <v>0</v>
      </c>
      <c r="AE64" s="188">
        <v>-33841359.789999999</v>
      </c>
      <c r="AF64" s="188">
        <v>0</v>
      </c>
      <c r="AG64" s="188">
        <v>-148226436.50999999</v>
      </c>
      <c r="AH64" s="188">
        <v>0</v>
      </c>
      <c r="AI64" s="188">
        <v>-98631058.670000002</v>
      </c>
      <c r="AJ64" s="188">
        <v>0</v>
      </c>
      <c r="AK64" s="188">
        <v>-86352211.799999997</v>
      </c>
      <c r="AL64" s="188">
        <v>0</v>
      </c>
      <c r="AM64" s="188">
        <v>-52784408.810000002</v>
      </c>
      <c r="AN64" s="188">
        <v>0</v>
      </c>
      <c r="AO64" s="188">
        <v>-41560633.140000001</v>
      </c>
      <c r="AP64" s="188">
        <v>0</v>
      </c>
      <c r="AQ64" s="188">
        <v>-65481094.909999996</v>
      </c>
      <c r="AR64" s="188">
        <v>0</v>
      </c>
      <c r="AS64" s="188">
        <v>-97541445.359999999</v>
      </c>
      <c r="AT64" s="188">
        <v>0</v>
      </c>
      <c r="AU64" s="188">
        <v>-72460774.319999993</v>
      </c>
      <c r="AV64" s="188">
        <v>0</v>
      </c>
      <c r="AW64" s="188">
        <v>-133788801</v>
      </c>
      <c r="AX64" s="188">
        <v>-89848558.310000002</v>
      </c>
      <c r="AY64" s="188">
        <v>-65938911.710000001</v>
      </c>
      <c r="AZ64" s="188">
        <v>-51155945.420000002</v>
      </c>
      <c r="BA64" s="188">
        <v>-81733880.939999998</v>
      </c>
      <c r="BB64" s="188">
        <v>-18723552.829999998</v>
      </c>
      <c r="BC64" s="188">
        <v>882421.47</v>
      </c>
      <c r="BD64" s="188">
        <v>-21347162.02</v>
      </c>
      <c r="BE64" s="188">
        <v>-98991482.219999999</v>
      </c>
      <c r="BF64" s="188">
        <v>-108638130.56999999</v>
      </c>
      <c r="BG64" s="188">
        <v>-98489739.659999996</v>
      </c>
      <c r="BH64" s="188">
        <v>-45742623.229999997</v>
      </c>
      <c r="BI64" s="188">
        <v>-73059486.040000007</v>
      </c>
      <c r="BJ64" s="188">
        <v>-29733800.98</v>
      </c>
      <c r="BK64" s="188">
        <v>11495553.029999999</v>
      </c>
      <c r="BL64" s="188">
        <v>1881641.66</v>
      </c>
      <c r="BM64" s="188">
        <v>-18786753.850000001</v>
      </c>
      <c r="BN64" s="188">
        <v>-180645.9</v>
      </c>
      <c r="BO64" s="188">
        <v>-3094020</v>
      </c>
      <c r="BP64" s="188">
        <v>0</v>
      </c>
      <c r="BQ64" s="188">
        <v>0</v>
      </c>
    </row>
    <row r="65" spans="1:69">
      <c r="A65" s="188" t="s">
        <v>278</v>
      </c>
      <c r="B65" s="188">
        <v>0</v>
      </c>
      <c r="C65" s="188">
        <v>-17555890.559999999</v>
      </c>
      <c r="D65" s="188">
        <v>0</v>
      </c>
      <c r="E65" s="188">
        <v>59979232.909999996</v>
      </c>
      <c r="F65" s="188">
        <v>0</v>
      </c>
      <c r="G65" s="188">
        <v>22818993.07</v>
      </c>
      <c r="H65" s="188">
        <v>0</v>
      </c>
      <c r="I65" s="188">
        <v>93632003.030000001</v>
      </c>
      <c r="J65" s="188">
        <v>0</v>
      </c>
      <c r="K65" s="188">
        <v>91517240.290000007</v>
      </c>
      <c r="L65" s="188">
        <v>0</v>
      </c>
      <c r="M65" s="188">
        <v>83920294.469999999</v>
      </c>
      <c r="N65" s="188">
        <v>0</v>
      </c>
      <c r="O65" s="188">
        <v>-2117316.4900000002</v>
      </c>
      <c r="P65" s="188">
        <v>0</v>
      </c>
      <c r="Q65" s="188">
        <v>-38579239.68</v>
      </c>
      <c r="R65" s="188">
        <v>0</v>
      </c>
      <c r="S65" s="188">
        <v>18088324.199999999</v>
      </c>
      <c r="T65" s="188">
        <v>0</v>
      </c>
      <c r="U65" s="188">
        <v>50058562.850000001</v>
      </c>
      <c r="V65" s="188">
        <v>0</v>
      </c>
      <c r="W65" s="188">
        <v>47312663.810000002</v>
      </c>
      <c r="X65" s="188">
        <v>0</v>
      </c>
      <c r="Y65" s="188">
        <v>-25726009.75</v>
      </c>
      <c r="Z65" s="188">
        <v>0</v>
      </c>
      <c r="AA65" s="188">
        <v>-30652537.239999998</v>
      </c>
      <c r="AB65" s="188">
        <v>0</v>
      </c>
      <c r="AC65" s="188">
        <v>123173464.29000001</v>
      </c>
      <c r="AD65" s="188">
        <v>0</v>
      </c>
      <c r="AE65" s="188">
        <v>70692036.659999996</v>
      </c>
      <c r="AF65" s="188">
        <v>0</v>
      </c>
      <c r="AG65" s="188">
        <v>137920532.84</v>
      </c>
      <c r="AH65" s="188">
        <v>0</v>
      </c>
      <c r="AI65" s="188">
        <v>154283292.81</v>
      </c>
      <c r="AJ65" s="188">
        <v>0</v>
      </c>
      <c r="AK65" s="188">
        <v>81334117.010000005</v>
      </c>
      <c r="AL65" s="188">
        <v>0</v>
      </c>
      <c r="AM65" s="188">
        <v>29946862.32</v>
      </c>
      <c r="AN65" s="188">
        <v>0</v>
      </c>
      <c r="AO65" s="188">
        <v>-22241234.73</v>
      </c>
      <c r="AP65" s="188">
        <v>0</v>
      </c>
      <c r="AQ65" s="188">
        <v>43699922.579999998</v>
      </c>
      <c r="AR65" s="188">
        <v>0</v>
      </c>
      <c r="AS65" s="188">
        <v>38087179.57</v>
      </c>
      <c r="AT65" s="188">
        <v>0</v>
      </c>
      <c r="AU65" s="188">
        <v>17774922.09</v>
      </c>
      <c r="AV65" s="188">
        <v>0</v>
      </c>
      <c r="AW65" s="188">
        <v>81604627.75</v>
      </c>
      <c r="AX65" s="188">
        <v>44795701.130000003</v>
      </c>
      <c r="AY65" s="188">
        <v>30908358.59</v>
      </c>
      <c r="AZ65" s="188">
        <v>11162950.050000001</v>
      </c>
      <c r="BA65" s="188">
        <v>18130869.379999999</v>
      </c>
      <c r="BB65" s="188">
        <v>29776470.890000001</v>
      </c>
      <c r="BC65" s="188">
        <v>-8421855.0099999998</v>
      </c>
      <c r="BD65" s="188">
        <v>-22571516.879999999</v>
      </c>
      <c r="BE65" s="188">
        <v>6662595.1600000001</v>
      </c>
      <c r="BF65" s="188">
        <v>90659312.560000002</v>
      </c>
      <c r="BG65" s="188">
        <v>24422628.84</v>
      </c>
      <c r="BH65" s="188">
        <v>-8425025.6600000001</v>
      </c>
      <c r="BI65" s="188">
        <v>37429663.399999999</v>
      </c>
      <c r="BJ65" s="188">
        <v>-22286957.390000001</v>
      </c>
      <c r="BK65" s="188">
        <v>-64810462.509999998</v>
      </c>
      <c r="BL65" s="188">
        <v>-36656537.460000001</v>
      </c>
      <c r="BM65" s="188">
        <v>29606636.670000002</v>
      </c>
      <c r="BN65" s="188">
        <v>-4243811.6100000003</v>
      </c>
      <c r="BO65" s="188">
        <v>-32171032</v>
      </c>
      <c r="BP65" s="188">
        <v>0</v>
      </c>
      <c r="BQ65" s="188">
        <v>0</v>
      </c>
    </row>
    <row r="66" spans="1:69">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row>
    <row r="67" spans="1:69">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row>
    <row r="68" spans="1:69">
      <c r="A68" s="188" t="s">
        <v>281</v>
      </c>
      <c r="B68" s="188">
        <v>0</v>
      </c>
      <c r="C68" s="188">
        <v>2609471.29</v>
      </c>
      <c r="D68" s="188">
        <v>0</v>
      </c>
      <c r="E68" s="188">
        <v>4668148.0199999996</v>
      </c>
      <c r="F68" s="188">
        <v>0</v>
      </c>
      <c r="G68" s="188">
        <v>2917618.19</v>
      </c>
      <c r="H68" s="188">
        <v>0</v>
      </c>
      <c r="I68" s="188">
        <v>4482160.99</v>
      </c>
      <c r="J68" s="188">
        <v>0</v>
      </c>
      <c r="K68" s="188">
        <v>2522145.48</v>
      </c>
      <c r="L68" s="188">
        <v>0</v>
      </c>
      <c r="M68" s="188">
        <v>5776683.1600000001</v>
      </c>
      <c r="N68" s="188">
        <v>0</v>
      </c>
      <c r="O68" s="188">
        <v>0</v>
      </c>
      <c r="P68" s="188">
        <v>0</v>
      </c>
      <c r="Q68" s="188">
        <v>622390.02</v>
      </c>
      <c r="R68" s="188">
        <v>0</v>
      </c>
      <c r="S68" s="188">
        <v>0</v>
      </c>
      <c r="T68" s="188">
        <v>0</v>
      </c>
      <c r="U68" s="188">
        <v>3335286.36</v>
      </c>
      <c r="V68" s="188">
        <v>0</v>
      </c>
      <c r="W68" s="188">
        <v>0</v>
      </c>
      <c r="X68" s="188">
        <v>0</v>
      </c>
      <c r="Y68" s="188">
        <v>-3489830.5</v>
      </c>
      <c r="Z68" s="188">
        <v>0</v>
      </c>
      <c r="AA68" s="188">
        <v>0</v>
      </c>
      <c r="AB68" s="188">
        <v>0</v>
      </c>
      <c r="AC68" s="188">
        <v>5211475.79</v>
      </c>
      <c r="AD68" s="188">
        <v>0</v>
      </c>
      <c r="AE68" s="188">
        <v>0</v>
      </c>
      <c r="AF68" s="188">
        <v>0</v>
      </c>
      <c r="AG68" s="188">
        <v>5897119.3899999997</v>
      </c>
      <c r="AH68" s="188">
        <v>0</v>
      </c>
      <c r="AI68" s="188">
        <v>0</v>
      </c>
      <c r="AJ68" s="188">
        <v>0</v>
      </c>
      <c r="AK68" s="188">
        <v>8236247.9800000004</v>
      </c>
      <c r="AL68" s="188">
        <v>0</v>
      </c>
      <c r="AM68" s="188">
        <v>0</v>
      </c>
      <c r="AN68" s="188">
        <v>0</v>
      </c>
      <c r="AO68" s="188">
        <v>5524775.2999999998</v>
      </c>
      <c r="AP68" s="188">
        <v>0</v>
      </c>
      <c r="AQ68" s="188">
        <v>0</v>
      </c>
      <c r="AR68" s="188">
        <v>0</v>
      </c>
      <c r="AS68" s="188">
        <v>0</v>
      </c>
      <c r="AT68" s="188">
        <v>0</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0</v>
      </c>
      <c r="BL68" s="188">
        <v>0</v>
      </c>
      <c r="BM68" s="188">
        <v>0</v>
      </c>
      <c r="BN68" s="188">
        <v>0</v>
      </c>
      <c r="BO68" s="188">
        <v>0</v>
      </c>
      <c r="BP68" s="188">
        <v>0</v>
      </c>
      <c r="BQ68" s="188">
        <v>0</v>
      </c>
    </row>
    <row r="69" spans="1:69">
      <c r="A69" s="188" t="s">
        <v>282</v>
      </c>
      <c r="B69" s="188">
        <v>0</v>
      </c>
      <c r="C69" s="188">
        <v>182021681.00999999</v>
      </c>
      <c r="D69" s="188">
        <v>0</v>
      </c>
      <c r="E69" s="188">
        <v>411962940.10000002</v>
      </c>
      <c r="F69" s="188">
        <v>0</v>
      </c>
      <c r="G69" s="188">
        <v>148025109.56</v>
      </c>
      <c r="H69" s="188">
        <v>0</v>
      </c>
      <c r="I69" s="188">
        <v>506528107.43000001</v>
      </c>
      <c r="J69" s="188">
        <v>0</v>
      </c>
      <c r="K69" s="188">
        <v>231607835.00999999</v>
      </c>
      <c r="L69" s="188">
        <v>0</v>
      </c>
      <c r="M69" s="188">
        <v>389634256.13999999</v>
      </c>
      <c r="N69" s="188">
        <v>0</v>
      </c>
      <c r="O69" s="188">
        <v>175171491.31</v>
      </c>
      <c r="P69" s="188">
        <v>0</v>
      </c>
      <c r="Q69" s="188">
        <v>266634293.78999999</v>
      </c>
      <c r="R69" s="188">
        <v>0</v>
      </c>
      <c r="S69" s="188">
        <v>100986732.22</v>
      </c>
      <c r="T69" s="188">
        <v>0</v>
      </c>
      <c r="U69" s="188">
        <v>268597934.04000002</v>
      </c>
      <c r="V69" s="188">
        <v>0</v>
      </c>
      <c r="W69" s="188">
        <v>109961830.09999999</v>
      </c>
      <c r="X69" s="188">
        <v>0</v>
      </c>
      <c r="Y69" s="188">
        <v>28519302.5</v>
      </c>
      <c r="Z69" s="188">
        <v>0</v>
      </c>
      <c r="AA69" s="188">
        <v>-49151607.159999996</v>
      </c>
      <c r="AB69" s="188">
        <v>0</v>
      </c>
      <c r="AC69" s="188">
        <v>274626291.88</v>
      </c>
      <c r="AD69" s="188">
        <v>0</v>
      </c>
      <c r="AE69" s="188">
        <v>124942208.26000001</v>
      </c>
      <c r="AF69" s="188">
        <v>0</v>
      </c>
      <c r="AG69" s="188">
        <v>217011545.37</v>
      </c>
      <c r="AH69" s="188">
        <v>0</v>
      </c>
      <c r="AI69" s="188">
        <v>205942179.30000001</v>
      </c>
      <c r="AJ69" s="188">
        <v>0</v>
      </c>
      <c r="AK69" s="188">
        <v>249269436.27000001</v>
      </c>
      <c r="AL69" s="188">
        <v>0</v>
      </c>
      <c r="AM69" s="188">
        <v>109943653.29000001</v>
      </c>
      <c r="AN69" s="188">
        <v>0</v>
      </c>
      <c r="AO69" s="188">
        <v>91758958.849999994</v>
      </c>
      <c r="AP69" s="188">
        <v>0</v>
      </c>
      <c r="AQ69" s="188">
        <v>51608092.060000002</v>
      </c>
      <c r="AR69" s="188">
        <v>0</v>
      </c>
      <c r="AS69" s="188">
        <v>122632735.78</v>
      </c>
      <c r="AT69" s="188">
        <v>0</v>
      </c>
      <c r="AU69" s="188">
        <v>54171578.590000004</v>
      </c>
      <c r="AV69" s="188">
        <v>0</v>
      </c>
      <c r="AW69" s="188">
        <v>78468091.319999993</v>
      </c>
      <c r="AX69" s="188">
        <v>46466956.770000003</v>
      </c>
      <c r="AY69" s="188">
        <v>29761398.41</v>
      </c>
      <c r="AZ69" s="188">
        <v>611246.42000000004</v>
      </c>
      <c r="BA69" s="188">
        <v>44086953.729999997</v>
      </c>
      <c r="BB69" s="188">
        <v>77919057.519999996</v>
      </c>
      <c r="BC69" s="188">
        <v>40496846.329999998</v>
      </c>
      <c r="BD69" s="188">
        <v>-11775125.16</v>
      </c>
      <c r="BE69" s="188">
        <v>-3698859.75</v>
      </c>
      <c r="BF69" s="188">
        <v>49665166.659999996</v>
      </c>
      <c r="BG69" s="188">
        <v>-20805085.600000001</v>
      </c>
      <c r="BH69" s="188">
        <v>-23281506.120000001</v>
      </c>
      <c r="BI69" s="188">
        <v>59348664.32</v>
      </c>
      <c r="BJ69" s="188">
        <v>31099071.09</v>
      </c>
      <c r="BK69" s="188">
        <v>7481047.8899999997</v>
      </c>
      <c r="BL69" s="188">
        <v>-20695992.199999999</v>
      </c>
      <c r="BM69" s="188">
        <v>109261606.93000001</v>
      </c>
      <c r="BN69" s="188">
        <v>35879988.640000001</v>
      </c>
      <c r="BO69" s="188">
        <v>28603697.760000002</v>
      </c>
      <c r="BP69" s="188">
        <v>0</v>
      </c>
      <c r="BQ69" s="188">
        <v>0</v>
      </c>
    </row>
    <row r="70" spans="1:69">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row>
    <row r="71" spans="1:69">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c r="BF71" s="188">
        <v>0</v>
      </c>
      <c r="BG71" s="188">
        <v>0</v>
      </c>
      <c r="BH71" s="188">
        <v>0</v>
      </c>
      <c r="BI71" s="188">
        <v>0</v>
      </c>
      <c r="BJ71" s="188">
        <v>0</v>
      </c>
      <c r="BK71" s="188">
        <v>0</v>
      </c>
      <c r="BL71" s="188">
        <v>0</v>
      </c>
      <c r="BM71" s="188">
        <v>0</v>
      </c>
      <c r="BN71" s="188">
        <v>0</v>
      </c>
      <c r="BO71" s="188">
        <v>0</v>
      </c>
      <c r="BP71" s="188">
        <v>0</v>
      </c>
      <c r="BQ71" s="188">
        <v>0</v>
      </c>
    </row>
    <row r="72" spans="1:69">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c r="BF72" s="188">
        <v>0</v>
      </c>
      <c r="BG72" s="188">
        <v>0</v>
      </c>
      <c r="BH72" s="188">
        <v>0</v>
      </c>
      <c r="BI72" s="188">
        <v>0</v>
      </c>
      <c r="BJ72" s="188">
        <v>0</v>
      </c>
      <c r="BK72" s="188">
        <v>0</v>
      </c>
      <c r="BL72" s="188">
        <v>0</v>
      </c>
      <c r="BM72" s="188">
        <v>0</v>
      </c>
      <c r="BN72" s="188">
        <v>0</v>
      </c>
      <c r="BO72" s="188">
        <v>0</v>
      </c>
      <c r="BP72" s="188">
        <v>0</v>
      </c>
      <c r="BQ72" s="188">
        <v>0</v>
      </c>
    </row>
    <row r="73" spans="1:69">
      <c r="A73" s="188" t="s">
        <v>286</v>
      </c>
      <c r="B73" s="188">
        <v>0</v>
      </c>
      <c r="C73" s="188">
        <v>816244638.55999994</v>
      </c>
      <c r="D73" s="188">
        <v>0</v>
      </c>
      <c r="E73" s="188">
        <v>670235226.83000004</v>
      </c>
      <c r="F73" s="188">
        <v>0</v>
      </c>
      <c r="G73" s="188">
        <v>498713432.49000001</v>
      </c>
      <c r="H73" s="188">
        <v>0</v>
      </c>
      <c r="I73" s="188">
        <v>1019059924.38</v>
      </c>
      <c r="J73" s="188">
        <v>0</v>
      </c>
      <c r="K73" s="188">
        <v>452819955.60000002</v>
      </c>
      <c r="L73" s="188">
        <v>0</v>
      </c>
      <c r="M73" s="188">
        <v>300421455.19999999</v>
      </c>
      <c r="N73" s="188">
        <v>0</v>
      </c>
      <c r="O73" s="188">
        <v>288677365.18000001</v>
      </c>
      <c r="P73" s="188">
        <v>0</v>
      </c>
      <c r="Q73" s="188">
        <v>209220819.91</v>
      </c>
      <c r="R73" s="188">
        <v>0</v>
      </c>
      <c r="S73" s="188">
        <v>194521812.88999999</v>
      </c>
      <c r="T73" s="188">
        <v>0</v>
      </c>
      <c r="U73" s="188">
        <v>148680260.31</v>
      </c>
      <c r="V73" s="188">
        <v>0</v>
      </c>
      <c r="W73" s="188">
        <v>162703822.84</v>
      </c>
      <c r="X73" s="188">
        <v>0</v>
      </c>
      <c r="Y73" s="188">
        <v>126775899.48999999</v>
      </c>
      <c r="Z73" s="188">
        <v>0</v>
      </c>
      <c r="AA73" s="188">
        <v>96455897.629999995</v>
      </c>
      <c r="AB73" s="188">
        <v>0</v>
      </c>
      <c r="AC73" s="188">
        <v>185517319.38999999</v>
      </c>
      <c r="AD73" s="188">
        <v>0</v>
      </c>
      <c r="AE73" s="188">
        <v>121269775.04000001</v>
      </c>
      <c r="AF73" s="188">
        <v>180710631.56999999</v>
      </c>
      <c r="AG73" s="188">
        <v>223719451.68000001</v>
      </c>
      <c r="AH73" s="188">
        <v>304625700.07999998</v>
      </c>
      <c r="AI73" s="188">
        <v>339912743.56</v>
      </c>
      <c r="AJ73" s="188">
        <v>256361145.43000001</v>
      </c>
      <c r="AK73" s="188">
        <v>218418668.06999999</v>
      </c>
      <c r="AL73" s="188">
        <v>142234005.25999999</v>
      </c>
      <c r="AM73" s="188">
        <v>132712242.61</v>
      </c>
      <c r="AN73" s="188">
        <v>143090344.43000001</v>
      </c>
      <c r="AO73" s="188">
        <v>94409400.719999999</v>
      </c>
      <c r="AP73" s="188">
        <v>89373038.579999998</v>
      </c>
      <c r="AQ73" s="188">
        <v>109796457.90000001</v>
      </c>
      <c r="AR73" s="188">
        <v>113159313.25</v>
      </c>
      <c r="AS73" s="188">
        <v>160309449.33000001</v>
      </c>
      <c r="AT73" s="188">
        <v>205222650.12</v>
      </c>
      <c r="AU73" s="188">
        <v>231610074.34</v>
      </c>
      <c r="AV73" s="188">
        <v>244324951.41</v>
      </c>
      <c r="AW73" s="188">
        <v>86294866.900000006</v>
      </c>
      <c r="AX73" s="188">
        <v>87372178.870000005</v>
      </c>
      <c r="AY73" s="188">
        <v>74882838.620000005</v>
      </c>
      <c r="AZ73" s="188">
        <v>92206563.329999998</v>
      </c>
      <c r="BA73" s="188">
        <v>116013260.98999999</v>
      </c>
      <c r="BB73" s="188">
        <v>76929286.680000007</v>
      </c>
      <c r="BC73" s="188">
        <v>56822877.539999999</v>
      </c>
      <c r="BD73" s="188">
        <v>61151621.789999999</v>
      </c>
      <c r="BE73" s="188">
        <v>90040933.799999997</v>
      </c>
      <c r="BF73" s="188">
        <v>103493177.39</v>
      </c>
      <c r="BG73" s="188">
        <v>157832520.27000001</v>
      </c>
      <c r="BH73" s="188">
        <v>165549418.27000001</v>
      </c>
      <c r="BI73" s="188">
        <v>184363966.44</v>
      </c>
      <c r="BJ73" s="188">
        <v>252915507.03999999</v>
      </c>
      <c r="BK73" s="188">
        <v>301312103.19999999</v>
      </c>
      <c r="BL73" s="188">
        <v>369620785.82999998</v>
      </c>
      <c r="BM73" s="188">
        <v>419764979.19999999</v>
      </c>
      <c r="BN73" s="188">
        <v>444289951.50999999</v>
      </c>
      <c r="BO73" s="188">
        <v>49386377</v>
      </c>
      <c r="BP73" s="188">
        <v>0</v>
      </c>
      <c r="BQ73" s="188">
        <v>0</v>
      </c>
    </row>
    <row r="74" spans="1:69">
      <c r="A74" s="188" t="s">
        <v>287</v>
      </c>
      <c r="B74" s="188">
        <v>0</v>
      </c>
      <c r="C74" s="188">
        <v>670235226.83000004</v>
      </c>
      <c r="D74" s="188">
        <v>0</v>
      </c>
      <c r="E74" s="188">
        <v>1019059924.38</v>
      </c>
      <c r="F74" s="188">
        <v>0</v>
      </c>
      <c r="G74" s="188">
        <v>1019059924.38</v>
      </c>
      <c r="H74" s="188">
        <v>0</v>
      </c>
      <c r="I74" s="188">
        <v>300421455.19999999</v>
      </c>
      <c r="J74" s="188">
        <v>0</v>
      </c>
      <c r="K74" s="188">
        <v>385421455.19999999</v>
      </c>
      <c r="L74" s="188">
        <v>0</v>
      </c>
      <c r="M74" s="188">
        <v>209220819.91</v>
      </c>
      <c r="N74" s="188">
        <v>0</v>
      </c>
      <c r="O74" s="188">
        <v>246220819.91</v>
      </c>
      <c r="P74" s="188">
        <v>0</v>
      </c>
      <c r="Q74" s="188">
        <v>148680260.31</v>
      </c>
      <c r="R74" s="188">
        <v>0</v>
      </c>
      <c r="S74" s="188">
        <v>177680260.31</v>
      </c>
      <c r="T74" s="188">
        <v>0</v>
      </c>
      <c r="U74" s="188">
        <v>126775899.48999999</v>
      </c>
      <c r="V74" s="188">
        <v>0</v>
      </c>
      <c r="W74" s="188">
        <v>126775899.48999999</v>
      </c>
      <c r="X74" s="188">
        <v>0</v>
      </c>
      <c r="Y74" s="188">
        <v>185517319.38999999</v>
      </c>
      <c r="Z74" s="188">
        <v>0</v>
      </c>
      <c r="AA74" s="188">
        <v>185517319.38999999</v>
      </c>
      <c r="AB74" s="188">
        <v>0</v>
      </c>
      <c r="AC74" s="188">
        <v>223719451.68000001</v>
      </c>
      <c r="AD74" s="188">
        <v>0</v>
      </c>
      <c r="AE74" s="188">
        <v>223719451.68000001</v>
      </c>
      <c r="AF74" s="188">
        <v>223719451.68000001</v>
      </c>
      <c r="AG74" s="188">
        <v>218418668.06999999</v>
      </c>
      <c r="AH74" s="188">
        <v>218418668.06999999</v>
      </c>
      <c r="AI74" s="188">
        <v>218418668.06999999</v>
      </c>
      <c r="AJ74" s="188">
        <v>218418668.06999999</v>
      </c>
      <c r="AK74" s="188">
        <v>94409400.719999999</v>
      </c>
      <c r="AL74" s="188">
        <v>94409400.719999999</v>
      </c>
      <c r="AM74" s="188">
        <v>94409400.719999999</v>
      </c>
      <c r="AN74" s="188">
        <v>94409400.719999999</v>
      </c>
      <c r="AO74" s="188">
        <v>160309449.33000001</v>
      </c>
      <c r="AP74" s="188">
        <v>160309449.33000001</v>
      </c>
      <c r="AQ74" s="188">
        <v>160309449.33000001</v>
      </c>
      <c r="AR74" s="188">
        <v>160309449.33000001</v>
      </c>
      <c r="AS74" s="188">
        <v>86294866.900000006</v>
      </c>
      <c r="AT74" s="188">
        <v>86294866.900000006</v>
      </c>
      <c r="AU74" s="188">
        <v>86294866.900000006</v>
      </c>
      <c r="AV74" s="188">
        <v>86294866.900000006</v>
      </c>
      <c r="AW74" s="188">
        <v>116013260.98999999</v>
      </c>
      <c r="AX74" s="188">
        <v>116013260.98999999</v>
      </c>
      <c r="AY74" s="188">
        <v>116013260.98999999</v>
      </c>
      <c r="AZ74" s="188">
        <v>116013260.98999999</v>
      </c>
      <c r="BA74" s="188">
        <v>90040933.799999997</v>
      </c>
      <c r="BB74" s="188">
        <v>90040933.799999997</v>
      </c>
      <c r="BC74" s="188">
        <v>90040933.799999997</v>
      </c>
      <c r="BD74" s="188">
        <v>90040933.799999997</v>
      </c>
      <c r="BE74" s="188">
        <v>184363966.44</v>
      </c>
      <c r="BF74" s="188">
        <v>184363966.44</v>
      </c>
      <c r="BG74" s="188">
        <v>184363966.44</v>
      </c>
      <c r="BH74" s="188">
        <v>184363966.44</v>
      </c>
      <c r="BI74" s="188">
        <v>419764979.19999999</v>
      </c>
      <c r="BJ74" s="188">
        <v>419764979.19999999</v>
      </c>
      <c r="BK74" s="188">
        <v>419764979.19999999</v>
      </c>
      <c r="BL74" s="188">
        <v>419810464.33999997</v>
      </c>
      <c r="BM74" s="188">
        <v>49386377.25</v>
      </c>
      <c r="BN74" s="188">
        <v>49386377.25</v>
      </c>
      <c r="BO74" s="188">
        <v>29301999</v>
      </c>
      <c r="BP74" s="188">
        <v>0</v>
      </c>
      <c r="BQ74" s="188">
        <v>0</v>
      </c>
    </row>
    <row r="75" spans="1:69">
      <c r="A75" s="188" t="s">
        <v>288</v>
      </c>
      <c r="B75" s="188">
        <v>0</v>
      </c>
      <c r="C75" s="188">
        <v>448000000</v>
      </c>
      <c r="D75" s="188">
        <v>0</v>
      </c>
      <c r="E75" s="188">
        <v>318000000</v>
      </c>
      <c r="F75" s="188">
        <v>0</v>
      </c>
      <c r="G75" s="188">
        <v>768000000</v>
      </c>
      <c r="H75" s="188">
        <v>0</v>
      </c>
      <c r="I75" s="188">
        <v>90000000</v>
      </c>
      <c r="J75" s="188">
        <v>0</v>
      </c>
      <c r="K75" s="188">
        <v>0</v>
      </c>
      <c r="L75" s="188">
        <v>0</v>
      </c>
      <c r="M75" s="188">
        <v>85000000</v>
      </c>
      <c r="N75" s="188">
        <v>0</v>
      </c>
      <c r="O75" s="188">
        <v>0</v>
      </c>
      <c r="P75" s="188">
        <v>0</v>
      </c>
      <c r="Q75" s="188">
        <v>37000000</v>
      </c>
      <c r="R75" s="188">
        <v>0</v>
      </c>
      <c r="S75" s="188">
        <v>0</v>
      </c>
      <c r="T75" s="188">
        <v>0</v>
      </c>
      <c r="U75" s="188">
        <v>29000000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row>
    <row r="76" spans="1:69">
      <c r="A76" s="188" t="s">
        <v>289</v>
      </c>
      <c r="B76" s="188">
        <v>0</v>
      </c>
      <c r="C76" s="188">
        <v>318000000</v>
      </c>
      <c r="D76" s="188">
        <v>0</v>
      </c>
      <c r="E76" s="188">
        <v>90000000</v>
      </c>
      <c r="F76" s="188">
        <v>0</v>
      </c>
      <c r="G76" s="188">
        <v>90000000</v>
      </c>
      <c r="H76" s="188">
        <v>0</v>
      </c>
      <c r="I76" s="188">
        <v>85000000</v>
      </c>
      <c r="J76" s="188">
        <v>0</v>
      </c>
      <c r="K76" s="188">
        <v>0</v>
      </c>
      <c r="L76" s="188">
        <v>0</v>
      </c>
      <c r="M76" s="188">
        <v>37000000</v>
      </c>
      <c r="N76" s="188">
        <v>0</v>
      </c>
      <c r="O76" s="188">
        <v>0</v>
      </c>
      <c r="P76" s="188">
        <v>0</v>
      </c>
      <c r="Q76" s="188">
        <v>29000000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row>
    <row r="77" spans="1:69">
      <c r="A77" s="188" t="s">
        <v>290</v>
      </c>
      <c r="B77" s="188">
        <v>0</v>
      </c>
      <c r="C77" s="188">
        <v>276009411.73000002</v>
      </c>
      <c r="D77" s="188">
        <v>0</v>
      </c>
      <c r="E77" s="188">
        <v>-120824697.55</v>
      </c>
      <c r="F77" s="188">
        <v>0</v>
      </c>
      <c r="G77" s="188">
        <v>157653508.11000001</v>
      </c>
      <c r="H77" s="188">
        <v>0</v>
      </c>
      <c r="I77" s="188">
        <v>723638469.17999995</v>
      </c>
      <c r="J77" s="188">
        <v>0</v>
      </c>
      <c r="K77" s="188">
        <v>67398500.400000006</v>
      </c>
      <c r="L77" s="188">
        <v>0</v>
      </c>
      <c r="M77" s="188">
        <v>139200635.28999999</v>
      </c>
      <c r="N77" s="188">
        <v>0</v>
      </c>
      <c r="O77" s="188">
        <v>42456545.270000003</v>
      </c>
      <c r="P77" s="188">
        <v>0</v>
      </c>
      <c r="Q77" s="188">
        <v>68540559.599999994</v>
      </c>
      <c r="R77" s="188">
        <v>0</v>
      </c>
      <c r="S77" s="188">
        <v>16841552.579999998</v>
      </c>
      <c r="T77" s="188">
        <v>0</v>
      </c>
      <c r="U77" s="188">
        <v>50904360.82</v>
      </c>
      <c r="V77" s="188">
        <v>0</v>
      </c>
      <c r="W77" s="188">
        <v>35927923.350000001</v>
      </c>
      <c r="X77" s="188">
        <v>0</v>
      </c>
      <c r="Y77" s="188">
        <v>-58741419.899999999</v>
      </c>
      <c r="Z77" s="188">
        <v>0</v>
      </c>
      <c r="AA77" s="188">
        <v>-89061421.760000005</v>
      </c>
      <c r="AB77" s="188">
        <v>0</v>
      </c>
      <c r="AC77" s="188">
        <v>-38202132.289999999</v>
      </c>
      <c r="AD77" s="188">
        <v>0</v>
      </c>
      <c r="AE77" s="188">
        <v>-102449676.64</v>
      </c>
      <c r="AF77" s="188">
        <v>-43008820.109999999</v>
      </c>
      <c r="AG77" s="188">
        <v>5300783.6100000003</v>
      </c>
      <c r="AH77" s="188">
        <v>86207032.010000005</v>
      </c>
      <c r="AI77" s="188">
        <v>121494075.48999999</v>
      </c>
      <c r="AJ77" s="188">
        <v>37942477.359999999</v>
      </c>
      <c r="AK77" s="188">
        <v>124009267.34999999</v>
      </c>
      <c r="AL77" s="188">
        <v>47824604.539999999</v>
      </c>
      <c r="AM77" s="188">
        <v>38302841.890000001</v>
      </c>
      <c r="AN77" s="188">
        <v>48680943.710000001</v>
      </c>
      <c r="AO77" s="188">
        <v>-65900048.609999999</v>
      </c>
      <c r="AP77" s="188">
        <v>-70936410.75</v>
      </c>
      <c r="AQ77" s="188">
        <v>-50512991.43</v>
      </c>
      <c r="AR77" s="188">
        <v>-47150136.079999998</v>
      </c>
      <c r="AS77" s="188">
        <v>74014582.430000007</v>
      </c>
      <c r="AT77" s="188">
        <v>118927783.22</v>
      </c>
      <c r="AU77" s="188">
        <v>145315207.44</v>
      </c>
      <c r="AV77" s="188">
        <v>158030084.50999999</v>
      </c>
      <c r="AW77" s="188">
        <v>-29718394.09</v>
      </c>
      <c r="AX77" s="188">
        <v>-28641082.120000001</v>
      </c>
      <c r="AY77" s="188">
        <v>-41130422.369999997</v>
      </c>
      <c r="AZ77" s="188">
        <v>-23806697.66</v>
      </c>
      <c r="BA77" s="188">
        <v>25972327.190000001</v>
      </c>
      <c r="BB77" s="188">
        <v>-13111647.119999999</v>
      </c>
      <c r="BC77" s="188">
        <v>-33218056.260000002</v>
      </c>
      <c r="BD77" s="188">
        <v>-28889312.010000002</v>
      </c>
      <c r="BE77" s="188">
        <v>-94323032.640000001</v>
      </c>
      <c r="BF77" s="188">
        <v>-80870789.049999997</v>
      </c>
      <c r="BG77" s="188">
        <v>-26531446.170000002</v>
      </c>
      <c r="BH77" s="188">
        <v>-18814548.170000002</v>
      </c>
      <c r="BI77" s="188">
        <v>-235401012.75999999</v>
      </c>
      <c r="BJ77" s="188">
        <v>-166849472.16</v>
      </c>
      <c r="BK77" s="188">
        <v>-118452876</v>
      </c>
      <c r="BL77" s="188">
        <v>-50189678.509999998</v>
      </c>
      <c r="BM77" s="188">
        <v>370378601.94999999</v>
      </c>
      <c r="BN77" s="188">
        <v>394903574.25999999</v>
      </c>
      <c r="BO77" s="188">
        <v>20084378</v>
      </c>
      <c r="BP77" s="188">
        <v>0</v>
      </c>
      <c r="BQ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topLeftCell="A26" workbookViewId="0">
      <selection activeCell="E69" sqref="E69"/>
    </sheetView>
  </sheetViews>
  <sheetFormatPr defaultRowHeight="13.5"/>
  <cols>
    <col min="1" max="1" width="31.875" style="17" bestFit="1" customWidth="1"/>
    <col min="2" max="4" width="19.375" hidden="1" customWidth="1"/>
    <col min="5" max="5" width="19.375" bestFit="1" customWidth="1"/>
    <col min="6" max="8" width="19.375" hidden="1" customWidth="1"/>
    <col min="9" max="9" width="19.375" bestFit="1" customWidth="1"/>
    <col min="10" max="12" width="19.375" hidden="1" customWidth="1"/>
    <col min="13" max="13" width="19.375" bestFit="1" customWidth="1"/>
    <col min="14" max="14" width="19.375" hidden="1" customWidth="1"/>
    <col min="15" max="16" width="19.5" hidden="1" customWidth="1"/>
    <col min="17" max="17" width="19.5" bestFit="1" customWidth="1"/>
    <col min="18" max="18" width="19.5" hidden="1" customWidth="1"/>
    <col min="19" max="20" width="19.375" hidden="1" customWidth="1"/>
    <col min="21" max="21" width="19.375" bestFit="1" customWidth="1"/>
    <col min="22" max="23" width="19.375" hidden="1" customWidth="1"/>
    <col min="24" max="24" width="19.5" hidden="1" customWidth="1"/>
    <col min="25" max="25" width="19.5" bestFit="1" customWidth="1"/>
    <col min="26" max="26" width="19.5" hidden="1" customWidth="1"/>
    <col min="27" max="28" width="19.375" hidden="1" customWidth="1"/>
    <col min="29" max="29" width="19.375" bestFit="1" customWidth="1"/>
    <col min="30" max="31" width="19.375" hidden="1" customWidth="1"/>
    <col min="32" max="32" width="19.5" hidden="1" customWidth="1"/>
    <col min="33" max="33" width="19.5" bestFit="1" customWidth="1"/>
    <col min="34" max="35" width="19.5" hidden="1" customWidth="1"/>
    <col min="36" max="36" width="19.375" hidden="1" customWidth="1"/>
    <col min="37" max="37" width="19.5" bestFit="1" customWidth="1"/>
    <col min="38" max="40" width="19.5" hidden="1" customWidth="1"/>
    <col min="41" max="41" width="19.5" bestFit="1" customWidth="1"/>
    <col min="42" max="44" width="19.5" hidden="1" customWidth="1"/>
    <col min="45" max="45" width="19.5" bestFit="1" customWidth="1"/>
    <col min="46" max="48" width="19.5" hidden="1" customWidth="1"/>
    <col min="49" max="49" width="19.5" bestFit="1" customWidth="1"/>
    <col min="50" max="52" width="19.5" hidden="1" customWidth="1"/>
    <col min="53" max="53" width="19.5" bestFit="1" customWidth="1"/>
    <col min="54" max="56" width="19.5" hidden="1" customWidth="1"/>
    <col min="57" max="57" width="19.5" bestFit="1" customWidth="1"/>
    <col min="58" max="59" width="19.5" hidden="1" customWidth="1"/>
    <col min="60" max="60" width="18.25" hidden="1" customWidth="1"/>
    <col min="61" max="61" width="18.25" bestFit="1" customWidth="1"/>
    <col min="62" max="64" width="18.25" hidden="1" customWidth="1"/>
    <col min="65" max="65" width="18.25" bestFit="1" customWidth="1"/>
    <col min="66" max="67" width="18.25" hidden="1" customWidth="1"/>
    <col min="68" max="70" width="18.25" bestFit="1" customWidth="1"/>
    <col min="71" max="71" width="9.5" hidden="1" customWidth="1"/>
    <col min="72" max="78" width="19.375" bestFit="1" customWidth="1"/>
    <col min="79" max="81" width="17.25" bestFit="1" customWidth="1"/>
    <col min="82" max="82" width="7.375" bestFit="1" customWidth="1"/>
    <col min="83" max="84" width="19.375" bestFit="1" customWidth="1"/>
    <col min="85" max="87" width="17.25" bestFit="1" customWidth="1"/>
    <col min="88" max="89" width="16.125" bestFit="1" customWidth="1"/>
    <col min="90" max="90" width="7.375" bestFit="1" customWidth="1"/>
  </cols>
  <sheetData>
    <row r="1" spans="1:90" s="41" customFormat="1" ht="14.45">
      <c r="A1" s="41">
        <v>600529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20011231</v>
      </c>
      <c r="BQ1" s="188">
        <v>20001231</v>
      </c>
      <c r="BR1" s="188">
        <v>19991231</v>
      </c>
      <c r="BS1" s="188">
        <v>19700101</v>
      </c>
      <c r="BT1" s="188"/>
      <c r="BU1" s="188"/>
      <c r="BV1" s="188"/>
      <c r="BW1" s="188"/>
      <c r="BX1" s="188"/>
      <c r="BY1" s="188"/>
      <c r="BZ1" s="188"/>
      <c r="CA1" s="188"/>
      <c r="CB1" s="188"/>
      <c r="CC1" s="188"/>
      <c r="CD1" s="188"/>
      <c r="CE1" s="188"/>
      <c r="CF1" s="188"/>
      <c r="CG1" s="188"/>
      <c r="CH1" s="188"/>
      <c r="CI1" s="188"/>
      <c r="CJ1" s="188"/>
      <c r="CK1" s="188"/>
      <c r="CL1" s="188"/>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188">
        <v>733989454.92999995</v>
      </c>
      <c r="C4" s="188">
        <v>879091642.16999996</v>
      </c>
      <c r="D4" s="188">
        <v>710218918.48000002</v>
      </c>
      <c r="E4" s="188">
        <v>713942695.25</v>
      </c>
      <c r="F4" s="188">
        <v>601571716.59000003</v>
      </c>
      <c r="G4" s="188">
        <v>535954591.54000002</v>
      </c>
      <c r="H4" s="188">
        <v>528354241.22000003</v>
      </c>
      <c r="I4" s="188">
        <v>1078240138.8699999</v>
      </c>
      <c r="J4" s="188">
        <v>339118397.24000001</v>
      </c>
      <c r="K4" s="188">
        <v>397000886.69999999</v>
      </c>
      <c r="L4" s="188">
        <v>368744523.05000001</v>
      </c>
      <c r="M4" s="188">
        <v>312618031.19999999</v>
      </c>
      <c r="N4" s="188">
        <v>306930411.37</v>
      </c>
      <c r="O4" s="188">
        <v>288677365.18000001</v>
      </c>
      <c r="P4" s="188">
        <v>258022907.75</v>
      </c>
      <c r="Q4" s="188">
        <v>227120819.91</v>
      </c>
      <c r="R4" s="188">
        <v>229431380.47999999</v>
      </c>
      <c r="S4" s="188">
        <v>194521812.88999999</v>
      </c>
      <c r="T4" s="188">
        <v>160411134.41</v>
      </c>
      <c r="U4" s="188">
        <v>148680260.31</v>
      </c>
      <c r="V4" s="188">
        <v>117640298.03</v>
      </c>
      <c r="W4" s="188">
        <v>162703822.84</v>
      </c>
      <c r="X4" s="188">
        <v>132240322.95999999</v>
      </c>
      <c r="Y4" s="188">
        <v>126775899.48999999</v>
      </c>
      <c r="Z4" s="188">
        <v>94799529.849999994</v>
      </c>
      <c r="AA4" s="188">
        <v>96455897.629999995</v>
      </c>
      <c r="AB4" s="188">
        <v>74553704.019999996</v>
      </c>
      <c r="AC4" s="188">
        <v>185517319.38999999</v>
      </c>
      <c r="AD4" s="188">
        <v>134987630.12</v>
      </c>
      <c r="AE4" s="188">
        <v>121269775.04000001</v>
      </c>
      <c r="AF4" s="188">
        <v>180710631.56999999</v>
      </c>
      <c r="AG4" s="188">
        <v>223719451.68000001</v>
      </c>
      <c r="AH4" s="188">
        <v>304625700.07999998</v>
      </c>
      <c r="AI4" s="188">
        <v>339912743.56</v>
      </c>
      <c r="AJ4" s="188">
        <v>256361145.43000001</v>
      </c>
      <c r="AK4" s="188">
        <v>218418668.06999999</v>
      </c>
      <c r="AL4" s="188">
        <v>142234005.25999999</v>
      </c>
      <c r="AM4" s="188">
        <v>132712242.61</v>
      </c>
      <c r="AN4" s="188">
        <v>143090344.43000001</v>
      </c>
      <c r="AO4" s="188">
        <v>94409400.719999999</v>
      </c>
      <c r="AP4" s="188">
        <v>89373038.579999998</v>
      </c>
      <c r="AQ4" s="188">
        <v>109796457.90000001</v>
      </c>
      <c r="AR4" s="188">
        <v>113159313.25</v>
      </c>
      <c r="AS4" s="188">
        <v>160309449.33000001</v>
      </c>
      <c r="AT4" s="188">
        <v>205222650.12</v>
      </c>
      <c r="AU4" s="188">
        <v>231610074.34</v>
      </c>
      <c r="AV4" s="188">
        <v>244324951.41</v>
      </c>
      <c r="AW4" s="188">
        <v>86294866.900000006</v>
      </c>
      <c r="AX4" s="188">
        <v>87372178.870000005</v>
      </c>
      <c r="AY4" s="188">
        <v>74882838.620000005</v>
      </c>
      <c r="AZ4" s="188">
        <v>92206563.329999998</v>
      </c>
      <c r="BA4" s="188">
        <v>116013260.98999999</v>
      </c>
      <c r="BB4" s="188">
        <v>76929286.680000007</v>
      </c>
      <c r="BC4" s="188">
        <v>56822877.539999999</v>
      </c>
      <c r="BD4" s="188">
        <v>61151621.789999999</v>
      </c>
      <c r="BE4" s="188">
        <v>90040933.799999997</v>
      </c>
      <c r="BF4" s="188">
        <v>103493177.39</v>
      </c>
      <c r="BG4" s="188">
        <v>157832520.27000001</v>
      </c>
      <c r="BH4" s="188">
        <v>165549418.27000001</v>
      </c>
      <c r="BI4" s="188">
        <v>184363966.44</v>
      </c>
      <c r="BJ4" s="188">
        <v>252915507.03999999</v>
      </c>
      <c r="BK4" s="188">
        <v>301312103.19999999</v>
      </c>
      <c r="BL4" s="188">
        <v>369620785.82999998</v>
      </c>
      <c r="BM4" s="188">
        <v>419764979.19999999</v>
      </c>
      <c r="BN4" s="188">
        <v>424856147.61000001</v>
      </c>
      <c r="BO4" s="188">
        <v>444289951.50999999</v>
      </c>
      <c r="BP4" s="188">
        <v>49386377.25</v>
      </c>
      <c r="BQ4" s="188">
        <v>29301999.25</v>
      </c>
      <c r="BR4" s="188">
        <v>28088071.710000001</v>
      </c>
      <c r="BS4" s="188">
        <v>0</v>
      </c>
      <c r="BT4" s="188"/>
      <c r="BU4" s="188"/>
      <c r="BV4" s="188"/>
      <c r="BW4" s="188"/>
      <c r="BX4" s="188"/>
      <c r="BY4" s="188"/>
      <c r="BZ4" s="188"/>
      <c r="CA4" s="188"/>
      <c r="CB4" s="188"/>
      <c r="CC4" s="188"/>
      <c r="CD4" s="188"/>
      <c r="CE4" s="188"/>
      <c r="CF4" s="188"/>
      <c r="CG4" s="188"/>
      <c r="CH4" s="188"/>
      <c r="CI4" s="188"/>
      <c r="CJ4" s="188"/>
      <c r="CK4" s="188"/>
      <c r="CL4" s="188"/>
    </row>
    <row r="5" spans="1:90">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c r="BT5" s="188"/>
      <c r="BU5" s="188"/>
      <c r="BV5" s="188"/>
      <c r="BW5" s="188"/>
      <c r="BX5" s="188"/>
      <c r="BY5" s="188"/>
      <c r="BZ5" s="188"/>
      <c r="CA5" s="188"/>
      <c r="CB5" s="188"/>
      <c r="CC5" s="188"/>
      <c r="CD5" s="188"/>
      <c r="CE5" s="188"/>
      <c r="CF5" s="188"/>
      <c r="CG5" s="188"/>
      <c r="CH5" s="188"/>
      <c r="CI5" s="188"/>
      <c r="CJ5" s="188"/>
      <c r="CK5" s="188"/>
      <c r="CL5" s="188"/>
    </row>
    <row r="6" spans="1:90">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c r="BU6" s="188"/>
      <c r="BV6" s="188"/>
      <c r="BW6" s="188"/>
      <c r="BX6" s="188"/>
      <c r="BY6" s="188"/>
      <c r="BZ6" s="188"/>
      <c r="CA6" s="188"/>
      <c r="CB6" s="188"/>
      <c r="CC6" s="188"/>
      <c r="CD6" s="188"/>
      <c r="CE6" s="188"/>
      <c r="CF6" s="188"/>
      <c r="CG6" s="188"/>
      <c r="CH6" s="188"/>
      <c r="CI6" s="188"/>
      <c r="CJ6" s="188"/>
      <c r="CK6" s="188"/>
      <c r="CL6" s="188"/>
    </row>
    <row r="7" spans="1:90">
      <c r="A7" s="17" t="s">
        <v>4</v>
      </c>
      <c r="B7" s="188">
        <v>0</v>
      </c>
      <c r="C7" s="188">
        <v>0</v>
      </c>
      <c r="D7" s="188">
        <v>0</v>
      </c>
      <c r="E7" s="188">
        <v>0</v>
      </c>
      <c r="F7" s="188">
        <v>0</v>
      </c>
      <c r="G7" s="188">
        <v>0</v>
      </c>
      <c r="H7" s="188">
        <v>0</v>
      </c>
      <c r="I7" s="188">
        <v>0</v>
      </c>
      <c r="J7" s="188">
        <v>0</v>
      </c>
      <c r="K7" s="188">
        <v>0</v>
      </c>
      <c r="L7" s="188">
        <v>0</v>
      </c>
      <c r="M7" s="188">
        <v>0</v>
      </c>
      <c r="N7" s="188">
        <v>0</v>
      </c>
      <c r="O7" s="188">
        <v>0</v>
      </c>
      <c r="P7" s="188">
        <v>0</v>
      </c>
      <c r="Q7" s="188">
        <v>0</v>
      </c>
      <c r="R7" s="188">
        <v>0</v>
      </c>
      <c r="S7" s="188">
        <v>0</v>
      </c>
      <c r="T7" s="188">
        <v>0</v>
      </c>
      <c r="U7" s="188">
        <v>0</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v>0</v>
      </c>
      <c r="BI7" s="188">
        <v>0</v>
      </c>
      <c r="BJ7" s="188">
        <v>0</v>
      </c>
      <c r="BK7" s="188">
        <v>0</v>
      </c>
      <c r="BL7" s="188">
        <v>0</v>
      </c>
      <c r="BM7" s="188">
        <v>0</v>
      </c>
      <c r="BN7" s="188">
        <v>0</v>
      </c>
      <c r="BO7" s="188">
        <v>0</v>
      </c>
      <c r="BP7" s="188">
        <v>0</v>
      </c>
      <c r="BQ7" s="188">
        <v>0</v>
      </c>
      <c r="BR7" s="188">
        <v>0</v>
      </c>
      <c r="BS7" s="188">
        <v>0</v>
      </c>
      <c r="BT7" s="188"/>
      <c r="BU7" s="188"/>
      <c r="BV7" s="188"/>
      <c r="BW7" s="188"/>
      <c r="BX7" s="188"/>
      <c r="BY7" s="188"/>
      <c r="BZ7" s="188"/>
      <c r="CA7" s="188"/>
      <c r="CB7" s="188"/>
      <c r="CC7" s="188"/>
      <c r="CD7" s="188"/>
      <c r="CE7" s="188"/>
      <c r="CF7" s="188"/>
      <c r="CG7" s="188"/>
      <c r="CH7" s="188"/>
      <c r="CI7" s="188"/>
      <c r="CJ7" s="188"/>
      <c r="CK7" s="188"/>
      <c r="CL7" s="188"/>
    </row>
    <row r="8" spans="1:90">
      <c r="A8" s="17" t="s">
        <v>5</v>
      </c>
      <c r="B8" s="188">
        <v>50000</v>
      </c>
      <c r="C8" s="188">
        <v>50000</v>
      </c>
      <c r="D8" s="188">
        <v>50000</v>
      </c>
      <c r="E8" s="188">
        <v>50000</v>
      </c>
      <c r="F8" s="188">
        <v>50000</v>
      </c>
      <c r="G8" s="188">
        <v>50000</v>
      </c>
      <c r="H8" s="188">
        <v>50000</v>
      </c>
      <c r="I8" s="188">
        <v>50000</v>
      </c>
      <c r="J8" s="188">
        <v>50000</v>
      </c>
      <c r="K8" s="188">
        <v>50000</v>
      </c>
      <c r="L8" s="188">
        <v>50000</v>
      </c>
      <c r="M8" s="188">
        <v>50000</v>
      </c>
      <c r="N8" s="188">
        <v>50000</v>
      </c>
      <c r="O8" s="188">
        <v>50000</v>
      </c>
      <c r="P8" s="188">
        <v>50000</v>
      </c>
      <c r="Q8" s="188">
        <v>50000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v>0</v>
      </c>
      <c r="BI8" s="188">
        <v>0</v>
      </c>
      <c r="BJ8" s="188">
        <v>0</v>
      </c>
      <c r="BK8" s="188">
        <v>0</v>
      </c>
      <c r="BL8" s="188">
        <v>0</v>
      </c>
      <c r="BM8" s="188">
        <v>0</v>
      </c>
      <c r="BN8" s="188">
        <v>0</v>
      </c>
      <c r="BO8" s="188">
        <v>0</v>
      </c>
      <c r="BP8" s="188">
        <v>0</v>
      </c>
      <c r="BQ8" s="188">
        <v>0</v>
      </c>
      <c r="BR8" s="188">
        <v>0</v>
      </c>
      <c r="BS8" s="188">
        <v>0</v>
      </c>
      <c r="BT8" s="188"/>
      <c r="BU8" s="188"/>
      <c r="BV8" s="188"/>
      <c r="BW8" s="188"/>
      <c r="BX8" s="188"/>
      <c r="BY8" s="188"/>
      <c r="BZ8" s="188"/>
      <c r="CA8" s="188"/>
      <c r="CB8" s="188"/>
      <c r="CC8" s="188"/>
      <c r="CD8" s="188"/>
      <c r="CE8" s="188"/>
      <c r="CF8" s="188"/>
      <c r="CG8" s="188"/>
      <c r="CH8" s="188"/>
      <c r="CI8" s="188"/>
      <c r="CJ8" s="188"/>
      <c r="CK8" s="188"/>
      <c r="CL8" s="188"/>
    </row>
    <row r="9" spans="1:90">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11953419.17</v>
      </c>
      <c r="AO9" s="188">
        <v>11953419.17</v>
      </c>
      <c r="AP9" s="188">
        <v>13731180.140000001</v>
      </c>
      <c r="AQ9" s="188">
        <v>13731180.140000001</v>
      </c>
      <c r="AR9" s="188">
        <v>13731180.140000001</v>
      </c>
      <c r="AS9" s="188">
        <v>13731180.140000001</v>
      </c>
      <c r="AT9" s="188">
        <v>25211138.18</v>
      </c>
      <c r="AU9" s="188">
        <v>25211138.18</v>
      </c>
      <c r="AV9" s="188">
        <v>25211138.18</v>
      </c>
      <c r="AW9" s="188">
        <v>25211138.18</v>
      </c>
      <c r="AX9" s="188">
        <v>23361109.379999999</v>
      </c>
      <c r="AY9" s="188">
        <v>15490906.380000001</v>
      </c>
      <c r="AZ9" s="188">
        <v>14350906.380000001</v>
      </c>
      <c r="BA9" s="188">
        <v>14330906.380000001</v>
      </c>
      <c r="BB9" s="188">
        <v>0</v>
      </c>
      <c r="BC9" s="188">
        <v>0</v>
      </c>
      <c r="BD9" s="188">
        <v>0</v>
      </c>
      <c r="BE9" s="188">
        <v>0</v>
      </c>
      <c r="BF9" s="188">
        <v>0</v>
      </c>
      <c r="BG9" s="188">
        <v>0</v>
      </c>
      <c r="BH9" s="188">
        <v>0</v>
      </c>
      <c r="BI9" s="188">
        <v>0</v>
      </c>
      <c r="BJ9" s="188">
        <v>0</v>
      </c>
      <c r="BK9" s="188">
        <v>0</v>
      </c>
      <c r="BL9" s="188">
        <v>0</v>
      </c>
      <c r="BM9" s="188">
        <v>0</v>
      </c>
      <c r="BN9" s="188">
        <v>0</v>
      </c>
      <c r="BO9" s="188">
        <v>0</v>
      </c>
      <c r="BP9" s="188">
        <v>0</v>
      </c>
      <c r="BQ9" s="188">
        <v>113607.5</v>
      </c>
      <c r="BR9" s="188">
        <v>91000</v>
      </c>
      <c r="BS9" s="188">
        <v>0</v>
      </c>
      <c r="BT9" s="188"/>
      <c r="BU9" s="188"/>
      <c r="BV9" s="188"/>
      <c r="BW9" s="188"/>
      <c r="BX9" s="188"/>
      <c r="BY9" s="188"/>
      <c r="BZ9" s="188"/>
      <c r="CA9" s="188"/>
      <c r="CB9" s="188"/>
      <c r="CC9" s="188"/>
      <c r="CD9" s="188"/>
      <c r="CE9" s="188"/>
      <c r="CF9" s="188"/>
      <c r="CG9" s="188"/>
      <c r="CH9" s="188"/>
      <c r="CI9" s="188"/>
      <c r="CJ9" s="188"/>
      <c r="CK9" s="188"/>
      <c r="CL9" s="188"/>
    </row>
    <row r="10" spans="1:90">
      <c r="A10" s="19" t="s">
        <v>7</v>
      </c>
      <c r="B10" s="188">
        <v>0</v>
      </c>
      <c r="C10" s="188">
        <v>0</v>
      </c>
      <c r="D10" s="188">
        <v>0</v>
      </c>
      <c r="E10" s="188">
        <v>0</v>
      </c>
      <c r="F10" s="188">
        <v>0</v>
      </c>
      <c r="G10" s="188">
        <v>0</v>
      </c>
      <c r="H10" s="188">
        <v>21891581.129999999</v>
      </c>
      <c r="I10" s="188">
        <v>22204594.59</v>
      </c>
      <c r="J10" s="188">
        <v>22517608.050000001</v>
      </c>
      <c r="K10" s="188">
        <v>22830621.510000002</v>
      </c>
      <c r="L10" s="188">
        <v>24544360.710000001</v>
      </c>
      <c r="M10" s="188">
        <v>24826624.829999998</v>
      </c>
      <c r="N10" s="188">
        <v>25165451.25</v>
      </c>
      <c r="O10" s="188">
        <v>25523347.23</v>
      </c>
      <c r="P10" s="188">
        <v>25862065.920000002</v>
      </c>
      <c r="Q10" s="188">
        <v>26181930.510000002</v>
      </c>
      <c r="R10" s="188">
        <v>26539718.77</v>
      </c>
      <c r="S10" s="188">
        <v>25334729.190000001</v>
      </c>
      <c r="T10" s="188">
        <v>25647742.649999999</v>
      </c>
      <c r="U10" s="188">
        <v>25960756.109999999</v>
      </c>
      <c r="V10" s="188">
        <v>26273769.57</v>
      </c>
      <c r="W10" s="188">
        <v>26586783.030000001</v>
      </c>
      <c r="X10" s="188">
        <v>26899796.489999998</v>
      </c>
      <c r="Y10" s="188">
        <v>27212809.949999999</v>
      </c>
      <c r="Z10" s="188">
        <v>27525823.41</v>
      </c>
      <c r="AA10" s="188">
        <v>27838836.870000001</v>
      </c>
      <c r="AB10" s="188">
        <v>28151850.329999998</v>
      </c>
      <c r="AC10" s="188">
        <v>28464863.789999999</v>
      </c>
      <c r="AD10" s="188">
        <v>28777877.25</v>
      </c>
      <c r="AE10" s="188">
        <v>29090890.710000001</v>
      </c>
      <c r="AF10" s="188">
        <v>29403904.170000002</v>
      </c>
      <c r="AG10" s="188">
        <v>29716917.629999999</v>
      </c>
      <c r="AH10" s="188">
        <v>30029931.09</v>
      </c>
      <c r="AI10" s="188">
        <v>30342944.550000001</v>
      </c>
      <c r="AJ10" s="188">
        <v>30655958.010000002</v>
      </c>
      <c r="AK10" s="188">
        <v>30966519.68</v>
      </c>
      <c r="AL10" s="188">
        <v>31473626.199999999</v>
      </c>
      <c r="AM10" s="188">
        <v>31788167.890000001</v>
      </c>
      <c r="AN10" s="188">
        <v>32102709.579999998</v>
      </c>
      <c r="AO10" s="188">
        <v>32208766.399999999</v>
      </c>
      <c r="AP10" s="188">
        <v>32520182.109999999</v>
      </c>
      <c r="AQ10" s="188">
        <v>32830692.550000001</v>
      </c>
      <c r="AR10" s="188">
        <v>33141202.989999998</v>
      </c>
      <c r="AS10" s="188">
        <v>33451713.43</v>
      </c>
      <c r="AT10" s="188">
        <v>33762223.869999997</v>
      </c>
      <c r="AU10" s="188">
        <v>34072734.310000002</v>
      </c>
      <c r="AV10" s="188">
        <v>34383244.75</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c r="BU10" s="188"/>
      <c r="BV10" s="188"/>
      <c r="BW10" s="188"/>
      <c r="BX10" s="188"/>
      <c r="BY10" s="188"/>
      <c r="BZ10" s="188"/>
      <c r="CA10" s="188"/>
      <c r="CB10" s="188"/>
      <c r="CC10" s="188"/>
      <c r="CD10" s="188"/>
      <c r="CE10" s="188"/>
      <c r="CF10" s="188"/>
      <c r="CG10" s="188"/>
      <c r="CH10" s="188"/>
      <c r="CI10" s="188"/>
      <c r="CJ10" s="188"/>
      <c r="CK10" s="188"/>
      <c r="CL10" s="188"/>
    </row>
    <row r="11" spans="1:90">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c r="BU11" s="188"/>
      <c r="BV11" s="188"/>
      <c r="BW11" s="188"/>
      <c r="BX11" s="188"/>
      <c r="BY11" s="188"/>
      <c r="BZ11" s="188"/>
      <c r="CA11" s="188"/>
      <c r="CB11" s="188"/>
      <c r="CC11" s="188"/>
      <c r="CD11" s="188"/>
      <c r="CE11" s="188"/>
      <c r="CF11" s="188"/>
      <c r="CG11" s="188"/>
      <c r="CH11" s="188"/>
      <c r="CI11" s="188"/>
      <c r="CJ11" s="188"/>
      <c r="CK11" s="188"/>
      <c r="CL11" s="188"/>
    </row>
    <row r="12" spans="1:90">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c r="BU12" s="188"/>
      <c r="BV12" s="188"/>
      <c r="BW12" s="188"/>
      <c r="BX12" s="188"/>
      <c r="BY12" s="188"/>
      <c r="BZ12" s="188"/>
      <c r="CA12" s="188"/>
      <c r="CB12" s="188"/>
      <c r="CC12" s="188"/>
      <c r="CD12" s="188"/>
      <c r="CE12" s="188"/>
      <c r="CF12" s="188"/>
      <c r="CG12" s="188"/>
      <c r="CH12" s="188"/>
      <c r="CI12" s="188"/>
      <c r="CJ12" s="188"/>
      <c r="CK12" s="188"/>
      <c r="CL12" s="188"/>
    </row>
    <row r="13" spans="1:90">
      <c r="A13" s="17" t="s">
        <v>10</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246917266.59</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c r="BU13" s="188"/>
      <c r="BV13" s="188"/>
      <c r="BW13" s="188"/>
      <c r="BX13" s="188"/>
      <c r="BY13" s="188"/>
      <c r="BZ13" s="188"/>
      <c r="CA13" s="188"/>
      <c r="CB13" s="188"/>
      <c r="CC13" s="188"/>
      <c r="CD13" s="188"/>
      <c r="CE13" s="188"/>
      <c r="CF13" s="188"/>
      <c r="CG13" s="188"/>
      <c r="CH13" s="188"/>
      <c r="CI13" s="188"/>
      <c r="CJ13" s="188"/>
      <c r="CK13" s="188"/>
      <c r="CL13" s="188"/>
    </row>
    <row r="14" spans="1:90" ht="14.45" hidden="1">
      <c r="B14" s="26"/>
      <c r="C14" s="26"/>
      <c r="D14" s="26"/>
      <c r="E14" s="26"/>
      <c r="F14" s="26"/>
      <c r="G14" s="26"/>
      <c r="H14" s="26"/>
      <c r="I14" s="26"/>
      <c r="J14" s="26"/>
      <c r="K14" s="26"/>
      <c r="L14" s="23"/>
    </row>
    <row r="15" spans="1:90" ht="14.45" hidden="1">
      <c r="B15" s="26"/>
      <c r="C15" s="26"/>
      <c r="D15" s="26"/>
      <c r="E15" s="26"/>
      <c r="F15" s="26"/>
      <c r="G15" s="26"/>
      <c r="H15" s="26"/>
      <c r="I15" s="26"/>
      <c r="J15" s="26"/>
      <c r="K15" s="26"/>
      <c r="L15" s="23"/>
    </row>
    <row r="16" spans="1:90" ht="14.45" hidden="1">
      <c r="B16" s="26"/>
      <c r="C16" s="26"/>
      <c r="D16" s="26"/>
      <c r="E16" s="26"/>
      <c r="F16" s="26"/>
      <c r="G16" s="26"/>
      <c r="H16" s="26"/>
      <c r="I16" s="26"/>
      <c r="J16" s="26"/>
      <c r="K16" s="26"/>
      <c r="L16" s="23"/>
    </row>
    <row r="17" spans="1:90" s="5" customFormat="1">
      <c r="A17" s="120" t="s">
        <v>11</v>
      </c>
      <c r="B17" s="33">
        <f>SUM(B4:B13)</f>
        <v>734039454.92999995</v>
      </c>
      <c r="C17" s="33">
        <f t="shared" ref="C17:BN17" si="0">SUM(C4:C13)</f>
        <v>879141642.16999996</v>
      </c>
      <c r="D17" s="33">
        <f t="shared" si="0"/>
        <v>710268918.48000002</v>
      </c>
      <c r="E17" s="33">
        <f t="shared" si="0"/>
        <v>713992695.25</v>
      </c>
      <c r="F17" s="33">
        <f t="shared" si="0"/>
        <v>601621716.59000003</v>
      </c>
      <c r="G17" s="33">
        <f t="shared" si="0"/>
        <v>536004591.54000002</v>
      </c>
      <c r="H17" s="33">
        <f t="shared" si="0"/>
        <v>550295822.35000002</v>
      </c>
      <c r="I17" s="33">
        <f t="shared" si="0"/>
        <v>1100494733.4599998</v>
      </c>
      <c r="J17" s="33">
        <f t="shared" si="0"/>
        <v>361686005.29000002</v>
      </c>
      <c r="K17" s="33">
        <f t="shared" si="0"/>
        <v>419881508.20999998</v>
      </c>
      <c r="L17" s="33">
        <f t="shared" si="0"/>
        <v>393338883.75999999</v>
      </c>
      <c r="M17" s="33">
        <f t="shared" si="0"/>
        <v>337494656.02999997</v>
      </c>
      <c r="N17" s="33">
        <f t="shared" si="0"/>
        <v>332145862.62</v>
      </c>
      <c r="O17" s="33">
        <f t="shared" si="0"/>
        <v>314250712.41000003</v>
      </c>
      <c r="P17" s="33">
        <f t="shared" si="0"/>
        <v>283934973.67000002</v>
      </c>
      <c r="Q17" s="33">
        <f t="shared" si="0"/>
        <v>253352750.41999999</v>
      </c>
      <c r="R17" s="33">
        <f t="shared" si="0"/>
        <v>255971099.25</v>
      </c>
      <c r="S17" s="33">
        <f t="shared" si="0"/>
        <v>219856542.07999998</v>
      </c>
      <c r="T17" s="33">
        <f t="shared" si="0"/>
        <v>186058877.06</v>
      </c>
      <c r="U17" s="33">
        <f t="shared" si="0"/>
        <v>174641016.42000002</v>
      </c>
      <c r="V17" s="33">
        <f t="shared" si="0"/>
        <v>143914067.59999999</v>
      </c>
      <c r="W17" s="33">
        <f t="shared" si="0"/>
        <v>189290605.87</v>
      </c>
      <c r="X17" s="33">
        <f t="shared" si="0"/>
        <v>159140119.44999999</v>
      </c>
      <c r="Y17" s="33">
        <f t="shared" si="0"/>
        <v>153988709.44</v>
      </c>
      <c r="Z17" s="33">
        <f t="shared" si="0"/>
        <v>122325353.25999999</v>
      </c>
      <c r="AA17" s="33">
        <f t="shared" si="0"/>
        <v>124294734.5</v>
      </c>
      <c r="AB17" s="33">
        <f t="shared" si="0"/>
        <v>102705554.34999999</v>
      </c>
      <c r="AC17" s="33">
        <f t="shared" si="0"/>
        <v>213982183.17999998</v>
      </c>
      <c r="AD17" s="33">
        <f t="shared" si="0"/>
        <v>163765507.37</v>
      </c>
      <c r="AE17" s="33">
        <f t="shared" si="0"/>
        <v>150360665.75</v>
      </c>
      <c r="AF17" s="33">
        <f t="shared" si="0"/>
        <v>210114535.74000001</v>
      </c>
      <c r="AG17" s="33">
        <f t="shared" si="0"/>
        <v>253436369.31</v>
      </c>
      <c r="AH17" s="33">
        <f t="shared" si="0"/>
        <v>334655631.16999996</v>
      </c>
      <c r="AI17" s="33">
        <f t="shared" si="0"/>
        <v>370255688.11000001</v>
      </c>
      <c r="AJ17" s="33">
        <f t="shared" si="0"/>
        <v>287017103.44</v>
      </c>
      <c r="AK17" s="33">
        <f t="shared" si="0"/>
        <v>249385187.75</v>
      </c>
      <c r="AL17" s="33">
        <f t="shared" si="0"/>
        <v>173707631.45999998</v>
      </c>
      <c r="AM17" s="33">
        <f t="shared" si="0"/>
        <v>164500410.5</v>
      </c>
      <c r="AN17" s="33">
        <f t="shared" si="0"/>
        <v>187146473.18000001</v>
      </c>
      <c r="AO17" s="33">
        <f t="shared" si="0"/>
        <v>138571586.28999999</v>
      </c>
      <c r="AP17" s="33">
        <f t="shared" si="0"/>
        <v>135624400.82999998</v>
      </c>
      <c r="AQ17" s="33">
        <f t="shared" si="0"/>
        <v>156358330.59</v>
      </c>
      <c r="AR17" s="33">
        <f t="shared" si="0"/>
        <v>160031696.38</v>
      </c>
      <c r="AS17" s="33">
        <f t="shared" si="0"/>
        <v>207492342.90000004</v>
      </c>
      <c r="AT17" s="33">
        <f t="shared" si="0"/>
        <v>264196012.17000002</v>
      </c>
      <c r="AU17" s="33">
        <f t="shared" si="0"/>
        <v>290893946.83000004</v>
      </c>
      <c r="AV17" s="33">
        <f t="shared" si="0"/>
        <v>303919334.33999997</v>
      </c>
      <c r="AW17" s="33">
        <f t="shared" si="0"/>
        <v>111506005.08000001</v>
      </c>
      <c r="AX17" s="33">
        <f t="shared" si="0"/>
        <v>110733288.25</v>
      </c>
      <c r="AY17" s="33">
        <f t="shared" si="0"/>
        <v>90373745</v>
      </c>
      <c r="AZ17" s="33">
        <f t="shared" si="0"/>
        <v>353474736.30000001</v>
      </c>
      <c r="BA17" s="33">
        <f t="shared" si="0"/>
        <v>130344167.36999999</v>
      </c>
      <c r="BB17" s="33">
        <f t="shared" si="0"/>
        <v>76929286.680000007</v>
      </c>
      <c r="BC17" s="33">
        <f t="shared" si="0"/>
        <v>56822877.539999999</v>
      </c>
      <c r="BD17" s="33">
        <f t="shared" si="0"/>
        <v>61151621.789999999</v>
      </c>
      <c r="BE17" s="33">
        <f t="shared" si="0"/>
        <v>90040933.799999997</v>
      </c>
      <c r="BF17" s="33">
        <f t="shared" si="0"/>
        <v>103493177.39</v>
      </c>
      <c r="BG17" s="33">
        <f t="shared" si="0"/>
        <v>157832520.27000001</v>
      </c>
      <c r="BH17" s="33">
        <f t="shared" si="0"/>
        <v>165549418.27000001</v>
      </c>
      <c r="BI17" s="33">
        <f t="shared" si="0"/>
        <v>184363966.44</v>
      </c>
      <c r="BJ17" s="33">
        <f t="shared" si="0"/>
        <v>252915507.03999999</v>
      </c>
      <c r="BK17" s="33">
        <f t="shared" si="0"/>
        <v>301312103.19999999</v>
      </c>
      <c r="BL17" s="33">
        <f t="shared" si="0"/>
        <v>369620785.82999998</v>
      </c>
      <c r="BM17" s="33">
        <f t="shared" si="0"/>
        <v>419764979.19999999</v>
      </c>
      <c r="BN17" s="33">
        <f t="shared" si="0"/>
        <v>424856147.61000001</v>
      </c>
      <c r="BO17" s="33">
        <f t="shared" ref="BO17:CK17" si="1">SUM(BO4:BO13)</f>
        <v>444289951.50999999</v>
      </c>
      <c r="BP17" s="33">
        <f t="shared" si="1"/>
        <v>49386377.25</v>
      </c>
      <c r="BQ17" s="33">
        <f t="shared" si="1"/>
        <v>29415606.75</v>
      </c>
      <c r="BR17" s="33">
        <f t="shared" si="1"/>
        <v>28179071.710000001</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1" t="s">
        <v>79</v>
      </c>
      <c r="B18" s="34"/>
      <c r="C18" s="34"/>
      <c r="D18" s="34"/>
      <c r="E18" s="34"/>
      <c r="F18" s="34"/>
      <c r="G18" s="34"/>
      <c r="H18" s="34"/>
      <c r="I18" s="34"/>
      <c r="J18" s="34"/>
      <c r="K18" s="34"/>
      <c r="L18" s="32"/>
      <c r="M18" s="14"/>
      <c r="N18" s="14"/>
    </row>
    <row r="19" spans="1:90" s="5" customFormat="1">
      <c r="A19" s="120" t="s">
        <v>78</v>
      </c>
      <c r="B19" s="188">
        <v>0</v>
      </c>
      <c r="C19" s="188">
        <v>0</v>
      </c>
      <c r="D19" s="188">
        <v>0</v>
      </c>
      <c r="E19" s="188">
        <v>0</v>
      </c>
      <c r="F19" s="188">
        <v>0</v>
      </c>
      <c r="G19" s="188">
        <v>0</v>
      </c>
      <c r="H19" s="188">
        <v>0</v>
      </c>
      <c r="I19" s="188">
        <v>0</v>
      </c>
      <c r="J19" s="188">
        <v>0</v>
      </c>
      <c r="K19" s="188">
        <v>0</v>
      </c>
      <c r="L19" s="188">
        <v>0</v>
      </c>
      <c r="M19" s="188">
        <v>0</v>
      </c>
      <c r="N19" s="188">
        <v>0</v>
      </c>
      <c r="O19" s="188">
        <v>0</v>
      </c>
      <c r="P19" s="188">
        <v>0</v>
      </c>
      <c r="Q19" s="188">
        <v>0</v>
      </c>
      <c r="R19" s="188">
        <v>50000</v>
      </c>
      <c r="S19" s="188">
        <v>50000</v>
      </c>
      <c r="T19" s="188">
        <v>50000</v>
      </c>
      <c r="U19" s="188">
        <v>50000</v>
      </c>
      <c r="V19" s="188">
        <v>5914625.8899999997</v>
      </c>
      <c r="W19" s="188">
        <v>5914625.8899999997</v>
      </c>
      <c r="X19" s="188">
        <v>5914625.8899999997</v>
      </c>
      <c r="Y19" s="188">
        <v>5914625.8899999997</v>
      </c>
      <c r="Z19" s="188">
        <v>11779251.779999999</v>
      </c>
      <c r="AA19" s="188">
        <v>11779251.779999999</v>
      </c>
      <c r="AB19" s="188">
        <v>11779251.779999999</v>
      </c>
      <c r="AC19" s="188">
        <v>11779251.779999999</v>
      </c>
      <c r="AD19" s="188">
        <v>50000</v>
      </c>
      <c r="AE19" s="188">
        <v>50000</v>
      </c>
      <c r="AF19" s="188">
        <v>50000</v>
      </c>
      <c r="AG19" s="188">
        <v>50000</v>
      </c>
      <c r="AH19" s="188">
        <v>50000</v>
      </c>
      <c r="AI19" s="188">
        <v>50000</v>
      </c>
      <c r="AJ19" s="188">
        <v>50000</v>
      </c>
      <c r="AK19" s="188">
        <v>50000</v>
      </c>
      <c r="AL19" s="188">
        <v>50000</v>
      </c>
      <c r="AM19" s="188">
        <v>50000</v>
      </c>
      <c r="AN19" s="188">
        <v>50000</v>
      </c>
      <c r="AO19" s="188">
        <v>50000</v>
      </c>
      <c r="AP19" s="188">
        <v>50000</v>
      </c>
      <c r="AQ19" s="188">
        <v>50000</v>
      </c>
      <c r="AR19" s="188">
        <v>50000</v>
      </c>
      <c r="AS19" s="188">
        <v>50000</v>
      </c>
      <c r="AT19" s="188">
        <v>50000</v>
      </c>
      <c r="AU19" s="188">
        <v>50000</v>
      </c>
      <c r="AV19" s="188">
        <v>29341260.710000001</v>
      </c>
      <c r="AW19" s="188">
        <v>31356717.039999999</v>
      </c>
      <c r="AX19" s="188">
        <v>2130471.0499999998</v>
      </c>
      <c r="AY19" s="188">
        <v>2195485.77</v>
      </c>
      <c r="AZ19" s="188">
        <v>2260500.4900000002</v>
      </c>
      <c r="BA19" s="188">
        <v>2325515.21</v>
      </c>
      <c r="BB19" s="188">
        <v>2390529.91</v>
      </c>
      <c r="BC19" s="188">
        <v>2455544.65</v>
      </c>
      <c r="BD19" s="188">
        <v>2520559.35</v>
      </c>
      <c r="BE19" s="188">
        <v>2585574.09</v>
      </c>
      <c r="BF19" s="188">
        <v>1750982.62</v>
      </c>
      <c r="BG19" s="188">
        <v>50000</v>
      </c>
      <c r="BH19" s="188">
        <v>50000</v>
      </c>
      <c r="BI19" s="188">
        <v>50000</v>
      </c>
      <c r="BJ19" s="188">
        <v>50000</v>
      </c>
      <c r="BK19" s="188">
        <v>50000</v>
      </c>
      <c r="BL19" s="188">
        <v>50000</v>
      </c>
      <c r="BM19" s="188">
        <v>50000</v>
      </c>
      <c r="BN19" s="188">
        <v>50000</v>
      </c>
      <c r="BO19" s="188">
        <v>50000</v>
      </c>
      <c r="BP19" s="188">
        <v>50000</v>
      </c>
      <c r="BQ19" s="188">
        <v>50000</v>
      </c>
      <c r="BR19" s="188">
        <v>50000</v>
      </c>
      <c r="BS19" s="188">
        <v>0</v>
      </c>
      <c r="BT19" s="188"/>
      <c r="BU19" s="188"/>
      <c r="BV19" s="188"/>
      <c r="BW19" s="188"/>
      <c r="BX19" s="188"/>
      <c r="BY19" s="188"/>
      <c r="BZ19" s="188"/>
      <c r="CA19" s="188"/>
      <c r="CB19" s="188"/>
      <c r="CC19" s="188"/>
      <c r="CD19" s="188"/>
      <c r="CE19" s="188"/>
      <c r="CF19" s="188"/>
      <c r="CG19" s="188"/>
      <c r="CH19" s="188"/>
      <c r="CI19" s="188"/>
      <c r="CJ19" s="188"/>
      <c r="CK19" s="188"/>
      <c r="CL19" s="188"/>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188">
        <v>348196477.42000002</v>
      </c>
      <c r="C22" s="188">
        <v>344370225.79000002</v>
      </c>
      <c r="D22" s="188">
        <v>329803710.51999998</v>
      </c>
      <c r="E22" s="188">
        <v>323930646.61000001</v>
      </c>
      <c r="F22" s="188">
        <v>347912479.25999999</v>
      </c>
      <c r="G22" s="188">
        <v>325692483.89999998</v>
      </c>
      <c r="H22" s="188">
        <v>241726979.72</v>
      </c>
      <c r="I22" s="188">
        <v>228426989.36000001</v>
      </c>
      <c r="J22" s="188">
        <v>241100670.13</v>
      </c>
      <c r="K22" s="188">
        <v>262434791.56</v>
      </c>
      <c r="L22" s="188">
        <v>279160397.07999998</v>
      </c>
      <c r="M22" s="188">
        <v>281222281.94999999</v>
      </c>
      <c r="N22" s="188">
        <v>261245163.86000001</v>
      </c>
      <c r="O22" s="188">
        <v>302710951.27999997</v>
      </c>
      <c r="P22" s="188">
        <v>279943754.69</v>
      </c>
      <c r="Q22" s="188">
        <v>297827894.62</v>
      </c>
      <c r="R22" s="188">
        <v>349996528.19999999</v>
      </c>
      <c r="S22" s="188">
        <v>337237152.39999998</v>
      </c>
      <c r="T22" s="188">
        <v>311683282.38999999</v>
      </c>
      <c r="U22" s="188">
        <v>313550929.00999999</v>
      </c>
      <c r="V22" s="188">
        <v>302743073.80000001</v>
      </c>
      <c r="W22" s="188">
        <v>292180088.22000003</v>
      </c>
      <c r="X22" s="188">
        <v>284207343.92000002</v>
      </c>
      <c r="Y22" s="188">
        <v>313372374.36000001</v>
      </c>
      <c r="Z22" s="188">
        <v>301808964.54000002</v>
      </c>
      <c r="AA22" s="188">
        <v>255648724.28999999</v>
      </c>
      <c r="AB22" s="188">
        <v>205765681.16999999</v>
      </c>
      <c r="AC22" s="188">
        <v>225996070.65000001</v>
      </c>
      <c r="AD22" s="188">
        <v>278130127.38</v>
      </c>
      <c r="AE22" s="188">
        <v>288261009.91000003</v>
      </c>
      <c r="AF22" s="188">
        <v>289554595.38999999</v>
      </c>
      <c r="AG22" s="188">
        <v>277283548.85000002</v>
      </c>
      <c r="AH22" s="188">
        <v>280904335.86000001</v>
      </c>
      <c r="AI22" s="188">
        <v>308900927.99000001</v>
      </c>
      <c r="AJ22" s="188">
        <v>297909936.68000001</v>
      </c>
      <c r="AK22" s="188">
        <v>274239817.10000002</v>
      </c>
      <c r="AL22" s="188">
        <v>251703165.25999999</v>
      </c>
      <c r="AM22" s="188">
        <v>233063785.08000001</v>
      </c>
      <c r="AN22" s="188">
        <v>212171123.55000001</v>
      </c>
      <c r="AO22" s="188">
        <v>212136626.12</v>
      </c>
      <c r="AP22" s="188">
        <v>235412623.81999999</v>
      </c>
      <c r="AQ22" s="188">
        <v>217373608.62</v>
      </c>
      <c r="AR22" s="188">
        <v>188261989.75</v>
      </c>
      <c r="AS22" s="188">
        <v>227128108.77000001</v>
      </c>
      <c r="AT22" s="188">
        <v>235827763.59999999</v>
      </c>
      <c r="AU22" s="188">
        <v>216641709.44</v>
      </c>
      <c r="AV22" s="188">
        <v>223658699.87</v>
      </c>
      <c r="AW22" s="188">
        <v>209460803.59</v>
      </c>
      <c r="AX22" s="188">
        <v>215058412.13</v>
      </c>
      <c r="AY22" s="188">
        <v>217392110.41</v>
      </c>
      <c r="AZ22" s="188">
        <v>179486834.84999999</v>
      </c>
      <c r="BA22" s="188">
        <v>148221826.34999999</v>
      </c>
      <c r="BB22" s="188">
        <v>99606759.519999996</v>
      </c>
      <c r="BC22" s="188">
        <v>112071713.16</v>
      </c>
      <c r="BD22" s="188">
        <v>126491916.48</v>
      </c>
      <c r="BE22" s="188">
        <v>137065952.31999999</v>
      </c>
      <c r="BF22" s="188">
        <v>107309840.70999999</v>
      </c>
      <c r="BG22" s="188">
        <v>88523690.620000005</v>
      </c>
      <c r="BH22" s="188">
        <v>80542830.459999993</v>
      </c>
      <c r="BI22" s="188">
        <v>79139865.090000004</v>
      </c>
      <c r="BJ22" s="188">
        <v>66357765.439999998</v>
      </c>
      <c r="BK22" s="188">
        <v>69482829.079999998</v>
      </c>
      <c r="BL22" s="188">
        <v>57841115.289999999</v>
      </c>
      <c r="BM22" s="188">
        <v>47053802.149999999</v>
      </c>
      <c r="BN22" s="188">
        <v>52886287.619999997</v>
      </c>
      <c r="BO22" s="188">
        <v>58080845.520000003</v>
      </c>
      <c r="BP22" s="188">
        <v>27008773.75</v>
      </c>
      <c r="BQ22" s="188">
        <v>19075600</v>
      </c>
      <c r="BR22" s="188">
        <v>0</v>
      </c>
      <c r="BS22" s="188">
        <v>0</v>
      </c>
      <c r="BT22" s="188"/>
      <c r="BU22" s="188"/>
      <c r="BV22" s="188"/>
      <c r="BW22" s="188"/>
      <c r="BX22" s="188"/>
      <c r="BY22" s="188"/>
      <c r="BZ22" s="188"/>
      <c r="CA22" s="188"/>
      <c r="CB22" s="188"/>
      <c r="CC22" s="188"/>
      <c r="CD22" s="188"/>
      <c r="CE22" s="188"/>
      <c r="CF22" s="188"/>
      <c r="CG22" s="188"/>
      <c r="CH22" s="188"/>
      <c r="CI22" s="188"/>
      <c r="CJ22" s="188"/>
      <c r="CK22" s="188"/>
      <c r="CL22" s="188"/>
    </row>
    <row r="23" spans="1:90">
      <c r="A23" s="17" t="s">
        <v>15</v>
      </c>
      <c r="B23" s="188">
        <v>387369220.55000001</v>
      </c>
      <c r="C23" s="188">
        <v>432644777.74000001</v>
      </c>
      <c r="D23" s="188">
        <v>454921823.19999999</v>
      </c>
      <c r="E23" s="188">
        <v>388486239.58999997</v>
      </c>
      <c r="F23" s="188">
        <v>404449545.85000002</v>
      </c>
      <c r="G23" s="188">
        <v>439148548.98000002</v>
      </c>
      <c r="H23" s="188">
        <v>470879311.04000002</v>
      </c>
      <c r="I23" s="188">
        <v>436168965.38</v>
      </c>
      <c r="J23" s="188">
        <v>422138166.01999998</v>
      </c>
      <c r="K23" s="188">
        <v>441664090.00999999</v>
      </c>
      <c r="L23" s="188">
        <v>434729892.25</v>
      </c>
      <c r="M23" s="188">
        <v>390738800.44999999</v>
      </c>
      <c r="N23" s="188">
        <v>418176786.83999997</v>
      </c>
      <c r="O23" s="188">
        <v>438356878.94</v>
      </c>
      <c r="P23" s="188">
        <v>458825049.38</v>
      </c>
      <c r="Q23" s="188">
        <v>424066386.16000003</v>
      </c>
      <c r="R23" s="188">
        <v>463642752.38999999</v>
      </c>
      <c r="S23" s="188">
        <v>447852823.82999998</v>
      </c>
      <c r="T23" s="188">
        <v>437317504.86000001</v>
      </c>
      <c r="U23" s="188">
        <v>407322278.18000001</v>
      </c>
      <c r="V23" s="188">
        <v>410278534.89999998</v>
      </c>
      <c r="W23" s="188">
        <v>414672349.29000002</v>
      </c>
      <c r="X23" s="188">
        <v>388648986.5</v>
      </c>
      <c r="Y23" s="188">
        <v>374226132.73000002</v>
      </c>
      <c r="Z23" s="188">
        <v>372696959.29000002</v>
      </c>
      <c r="AA23" s="188">
        <v>368014819.49000001</v>
      </c>
      <c r="AB23" s="188">
        <v>360478100.11000001</v>
      </c>
      <c r="AC23" s="188">
        <v>330838886.63</v>
      </c>
      <c r="AD23" s="188">
        <v>374398717.81999999</v>
      </c>
      <c r="AE23" s="188">
        <v>378774956.91000003</v>
      </c>
      <c r="AF23" s="188">
        <v>391340911.60000002</v>
      </c>
      <c r="AG23" s="188">
        <v>373852374.68000001</v>
      </c>
      <c r="AH23" s="188">
        <v>377923552.94</v>
      </c>
      <c r="AI23" s="188">
        <v>360724078.42000002</v>
      </c>
      <c r="AJ23" s="188">
        <v>339110021.69</v>
      </c>
      <c r="AK23" s="188">
        <v>338014759.60000002</v>
      </c>
      <c r="AL23" s="188">
        <v>335968297.06999999</v>
      </c>
      <c r="AM23" s="188">
        <v>340099874.16000003</v>
      </c>
      <c r="AN23" s="188">
        <v>322166958.30000001</v>
      </c>
      <c r="AO23" s="188">
        <v>315032402.91000003</v>
      </c>
      <c r="AP23" s="188">
        <v>337221411.62</v>
      </c>
      <c r="AQ23" s="188">
        <v>318768944.50999999</v>
      </c>
      <c r="AR23" s="188">
        <v>308552269.73000002</v>
      </c>
      <c r="AS23" s="188">
        <v>284709374.88999999</v>
      </c>
      <c r="AT23" s="188">
        <v>299345271.23000002</v>
      </c>
      <c r="AU23" s="188">
        <v>303701760.94999999</v>
      </c>
      <c r="AV23" s="188">
        <v>264724955.97</v>
      </c>
      <c r="AW23" s="188">
        <v>250356594.58000001</v>
      </c>
      <c r="AX23" s="188">
        <v>237452290.93000001</v>
      </c>
      <c r="AY23" s="188">
        <v>226819260.06999999</v>
      </c>
      <c r="AZ23" s="188">
        <v>10525597.98</v>
      </c>
      <c r="BA23" s="188">
        <v>209120520.77000001</v>
      </c>
      <c r="BB23" s="188">
        <v>205546771.09999999</v>
      </c>
      <c r="BC23" s="188">
        <v>196571133.63</v>
      </c>
      <c r="BD23" s="188">
        <v>177206133.47</v>
      </c>
      <c r="BE23" s="188">
        <v>163118059.19</v>
      </c>
      <c r="BF23" s="188">
        <v>163374969.38999999</v>
      </c>
      <c r="BG23" s="188">
        <v>168771357.72999999</v>
      </c>
      <c r="BH23" s="188">
        <v>156521554.16</v>
      </c>
      <c r="BI23" s="188">
        <v>112947996.34</v>
      </c>
      <c r="BJ23" s="188">
        <v>102418978.91</v>
      </c>
      <c r="BK23" s="188">
        <v>86747530.049999997</v>
      </c>
      <c r="BL23" s="188">
        <v>69228636.310000002</v>
      </c>
      <c r="BM23" s="188">
        <v>85555565.090000004</v>
      </c>
      <c r="BN23" s="188">
        <v>74548993.980000004</v>
      </c>
      <c r="BO23" s="188">
        <v>72417498.859999999</v>
      </c>
      <c r="BP23" s="188">
        <v>85165392.760000005</v>
      </c>
      <c r="BQ23" s="188">
        <v>92486191.140000001</v>
      </c>
      <c r="BR23" s="188">
        <v>92322941.989999995</v>
      </c>
      <c r="BS23" s="188">
        <v>0</v>
      </c>
      <c r="BT23" s="188"/>
      <c r="BU23" s="188"/>
      <c r="BV23" s="188"/>
      <c r="BW23" s="188"/>
      <c r="BX23" s="188"/>
      <c r="BY23" s="188"/>
      <c r="BZ23" s="188"/>
      <c r="CA23" s="188"/>
      <c r="CB23" s="188"/>
      <c r="CC23" s="188"/>
      <c r="CD23" s="188"/>
      <c r="CE23" s="188"/>
      <c r="CF23" s="188"/>
      <c r="CG23" s="188"/>
      <c r="CH23" s="188"/>
      <c r="CI23" s="188"/>
      <c r="CJ23" s="188"/>
      <c r="CK23" s="188"/>
      <c r="CL23" s="188"/>
    </row>
    <row r="24" spans="1:90">
      <c r="A24" s="17" t="s">
        <v>16</v>
      </c>
      <c r="B24" s="188">
        <v>51937518.5</v>
      </c>
      <c r="C24" s="188">
        <v>42629576.710000001</v>
      </c>
      <c r="D24" s="188">
        <v>54495799.890000001</v>
      </c>
      <c r="E24" s="188">
        <v>38212128.859999999</v>
      </c>
      <c r="F24" s="188">
        <v>46137277.799999997</v>
      </c>
      <c r="G24" s="188">
        <v>49240466.32</v>
      </c>
      <c r="H24" s="188">
        <v>58621546.369999997</v>
      </c>
      <c r="I24" s="188">
        <v>43040671.700000003</v>
      </c>
      <c r="J24" s="188">
        <v>32036114.309999999</v>
      </c>
      <c r="K24" s="188">
        <v>32173673.399999999</v>
      </c>
      <c r="L24" s="188">
        <v>29942355.100000001</v>
      </c>
      <c r="M24" s="188">
        <v>21579766.550000001</v>
      </c>
      <c r="N24" s="188">
        <v>35806977.229999997</v>
      </c>
      <c r="O24" s="188">
        <v>29659825.41</v>
      </c>
      <c r="P24" s="188">
        <v>32172845.43</v>
      </c>
      <c r="Q24" s="188">
        <v>26052588.25</v>
      </c>
      <c r="R24" s="188">
        <v>45668922.770000003</v>
      </c>
      <c r="S24" s="188">
        <v>48311640.859999999</v>
      </c>
      <c r="T24" s="188">
        <v>40551776.909999996</v>
      </c>
      <c r="U24" s="188">
        <v>32753958.59</v>
      </c>
      <c r="V24" s="188">
        <v>72663656.939999998</v>
      </c>
      <c r="W24" s="188">
        <v>58659247.960000001</v>
      </c>
      <c r="X24" s="188">
        <v>64781308.399999999</v>
      </c>
      <c r="Y24" s="188">
        <v>57470877.740000002</v>
      </c>
      <c r="Z24" s="188">
        <v>74282707.859999999</v>
      </c>
      <c r="AA24" s="188">
        <v>106478977.39</v>
      </c>
      <c r="AB24" s="188">
        <v>109040335.76000001</v>
      </c>
      <c r="AC24" s="188">
        <v>92975945.689999998</v>
      </c>
      <c r="AD24" s="188">
        <v>203837691.24000001</v>
      </c>
      <c r="AE24" s="188">
        <v>152245673.72</v>
      </c>
      <c r="AF24" s="188">
        <v>300965846.77999997</v>
      </c>
      <c r="AG24" s="188">
        <v>241987617.37</v>
      </c>
      <c r="AH24" s="188">
        <v>185647147.06999999</v>
      </c>
      <c r="AI24" s="188">
        <v>184063160.97999999</v>
      </c>
      <c r="AJ24" s="188">
        <v>170811296.16999999</v>
      </c>
      <c r="AK24" s="188">
        <v>142386287.05000001</v>
      </c>
      <c r="AL24" s="188">
        <v>192976462.38999999</v>
      </c>
      <c r="AM24" s="188">
        <v>154545915.61000001</v>
      </c>
      <c r="AN24" s="188">
        <v>159385579.46000001</v>
      </c>
      <c r="AO24" s="188">
        <v>132778894.62</v>
      </c>
      <c r="AP24" s="188">
        <v>137365487.40000001</v>
      </c>
      <c r="AQ24" s="188">
        <v>141032768.18000001</v>
      </c>
      <c r="AR24" s="188">
        <v>124196895.43000001</v>
      </c>
      <c r="AS24" s="188">
        <v>130453211.69</v>
      </c>
      <c r="AT24" s="188">
        <v>118090449.04000001</v>
      </c>
      <c r="AU24" s="188">
        <v>89777490.569999993</v>
      </c>
      <c r="AV24" s="188">
        <v>75591728.840000004</v>
      </c>
      <c r="AW24" s="188">
        <v>90437490.340000004</v>
      </c>
      <c r="AX24" s="188">
        <v>67236393.450000003</v>
      </c>
      <c r="AY24" s="188">
        <v>56898942.520000003</v>
      </c>
      <c r="AZ24" s="188">
        <v>47618892.43</v>
      </c>
      <c r="BA24" s="188">
        <v>59954980.390000001</v>
      </c>
      <c r="BB24" s="188">
        <v>51727174.020000003</v>
      </c>
      <c r="BC24" s="188">
        <v>39381765.960000001</v>
      </c>
      <c r="BD24" s="188">
        <v>38877412.009999998</v>
      </c>
      <c r="BE24" s="188">
        <v>41688875.520000003</v>
      </c>
      <c r="BF24" s="188">
        <v>52846509.280000001</v>
      </c>
      <c r="BG24" s="188">
        <v>33379368.140000001</v>
      </c>
      <c r="BH24" s="188">
        <v>32205297.010000002</v>
      </c>
      <c r="BI24" s="188">
        <v>24107572.670000002</v>
      </c>
      <c r="BJ24" s="188">
        <v>28114274.32</v>
      </c>
      <c r="BK24" s="188">
        <v>14058768.470000001</v>
      </c>
      <c r="BL24" s="188">
        <v>33799580.780000001</v>
      </c>
      <c r="BM24" s="188">
        <v>12658938.26</v>
      </c>
      <c r="BN24" s="188">
        <v>13505525.449999999</v>
      </c>
      <c r="BO24" s="188">
        <v>15161331.390000001</v>
      </c>
      <c r="BP24" s="188">
        <v>14818695.23</v>
      </c>
      <c r="BQ24" s="188">
        <v>6082388.8200000003</v>
      </c>
      <c r="BR24" s="188">
        <v>7535180.3499999996</v>
      </c>
      <c r="BS24" s="188">
        <v>0</v>
      </c>
      <c r="BT24" s="188"/>
      <c r="BU24" s="188"/>
      <c r="BV24" s="188"/>
      <c r="BW24" s="188"/>
      <c r="BX24" s="188"/>
      <c r="BY24" s="188"/>
      <c r="BZ24" s="188"/>
      <c r="CA24" s="188"/>
      <c r="CB24" s="188"/>
      <c r="CC24" s="188"/>
      <c r="CD24" s="188"/>
      <c r="CE24" s="188"/>
      <c r="CF24" s="188"/>
      <c r="CG24" s="188"/>
      <c r="CH24" s="188"/>
      <c r="CI24" s="188"/>
      <c r="CJ24" s="188"/>
      <c r="CK24" s="188"/>
      <c r="CL24" s="188"/>
    </row>
    <row r="25" spans="1:90">
      <c r="A25" s="17" t="s">
        <v>17</v>
      </c>
      <c r="B25" s="188">
        <v>34569181.549999997</v>
      </c>
      <c r="C25" s="188">
        <v>29568295.649999999</v>
      </c>
      <c r="D25" s="188">
        <v>14872016.27</v>
      </c>
      <c r="E25" s="188">
        <v>11782872.24</v>
      </c>
      <c r="F25" s="188">
        <v>8787719.3499999996</v>
      </c>
      <c r="G25" s="188">
        <v>15344293.41</v>
      </c>
      <c r="H25" s="188">
        <v>15476233.1</v>
      </c>
      <c r="I25" s="188">
        <v>25195527.949999999</v>
      </c>
      <c r="J25" s="188">
        <v>12956162.859999999</v>
      </c>
      <c r="K25" s="188">
        <v>12473207.58</v>
      </c>
      <c r="L25" s="188">
        <v>11426202.32</v>
      </c>
      <c r="M25" s="188">
        <v>8817428.1099999994</v>
      </c>
      <c r="N25" s="188">
        <v>10231039.130000001</v>
      </c>
      <c r="O25" s="188">
        <v>8610895.1899999995</v>
      </c>
      <c r="P25" s="188">
        <v>40681750.740000002</v>
      </c>
      <c r="Q25" s="188">
        <v>8035265.5800000001</v>
      </c>
      <c r="R25" s="188">
        <v>9951036.3000000007</v>
      </c>
      <c r="S25" s="188">
        <v>7748824.9100000001</v>
      </c>
      <c r="T25" s="188">
        <v>8082650.1500000004</v>
      </c>
      <c r="U25" s="188">
        <v>6309525.8300000001</v>
      </c>
      <c r="V25" s="188">
        <v>7668698.9000000004</v>
      </c>
      <c r="W25" s="188">
        <v>6492431.7000000002</v>
      </c>
      <c r="X25" s="188">
        <v>6652302.0599999996</v>
      </c>
      <c r="Y25" s="188">
        <v>5715775.2800000003</v>
      </c>
      <c r="Z25" s="188">
        <v>7128198.0099999998</v>
      </c>
      <c r="AA25" s="188">
        <v>7635250.3799999999</v>
      </c>
      <c r="AB25" s="188">
        <v>9330765.6300000008</v>
      </c>
      <c r="AC25" s="188">
        <v>8425894.4100000001</v>
      </c>
      <c r="AD25" s="188">
        <v>7812048.4000000004</v>
      </c>
      <c r="AE25" s="188">
        <v>23238321.050000001</v>
      </c>
      <c r="AF25" s="188">
        <v>20446814.43</v>
      </c>
      <c r="AG25" s="188">
        <v>19479768.239999998</v>
      </c>
      <c r="AH25" s="188">
        <v>14689171.119999999</v>
      </c>
      <c r="AI25" s="188">
        <v>15211688.98</v>
      </c>
      <c r="AJ25" s="188">
        <v>9638032.0999999996</v>
      </c>
      <c r="AK25" s="188">
        <v>8999045.4900000002</v>
      </c>
      <c r="AL25" s="188">
        <v>10012006.640000001</v>
      </c>
      <c r="AM25" s="188">
        <v>18679123.41</v>
      </c>
      <c r="AN25" s="188">
        <v>18779506.510000002</v>
      </c>
      <c r="AO25" s="188">
        <v>10715641.199999999</v>
      </c>
      <c r="AP25" s="188">
        <v>18912622.43</v>
      </c>
      <c r="AQ25" s="188">
        <v>10621675.199999999</v>
      </c>
      <c r="AR25" s="188">
        <v>8487841.1699999999</v>
      </c>
      <c r="AS25" s="188">
        <v>8035777.6100000003</v>
      </c>
      <c r="AT25" s="188">
        <v>9707790.6400000006</v>
      </c>
      <c r="AU25" s="188">
        <v>8145832.8700000001</v>
      </c>
      <c r="AV25" s="188">
        <v>6628810.4100000001</v>
      </c>
      <c r="AW25" s="188">
        <v>7218248.9400000004</v>
      </c>
      <c r="AX25" s="188">
        <v>10677414.9</v>
      </c>
      <c r="AY25" s="188">
        <v>16023913.300000001</v>
      </c>
      <c r="AZ25" s="188">
        <v>0</v>
      </c>
      <c r="BA25" s="188">
        <v>10789758.52</v>
      </c>
      <c r="BB25" s="188">
        <v>14825720.720000001</v>
      </c>
      <c r="BC25" s="188">
        <v>17579681.93</v>
      </c>
      <c r="BD25" s="188">
        <v>9288310.4399999995</v>
      </c>
      <c r="BE25" s="188">
        <v>8665270.2200000007</v>
      </c>
      <c r="BF25" s="188">
        <v>6128303.6200000001</v>
      </c>
      <c r="BG25" s="188">
        <v>5900231.3399999999</v>
      </c>
      <c r="BH25" s="188">
        <v>3898349.43</v>
      </c>
      <c r="BI25" s="188">
        <v>5466734.3499999996</v>
      </c>
      <c r="BJ25" s="188">
        <v>8612673.7100000009</v>
      </c>
      <c r="BK25" s="188">
        <v>5538754.5</v>
      </c>
      <c r="BL25" s="188">
        <v>12338711.16</v>
      </c>
      <c r="BM25" s="188">
        <v>5151168.32</v>
      </c>
      <c r="BN25" s="188">
        <v>9637279.6400000006</v>
      </c>
      <c r="BO25" s="188">
        <v>12855507.029999999</v>
      </c>
      <c r="BP25" s="188">
        <v>11486467.65</v>
      </c>
      <c r="BQ25" s="188">
        <v>16655091.92</v>
      </c>
      <c r="BR25" s="188">
        <v>22745119.420000002</v>
      </c>
      <c r="BS25" s="188">
        <v>0</v>
      </c>
      <c r="BT25" s="188"/>
      <c r="BU25" s="188"/>
      <c r="BV25" s="188"/>
      <c r="BW25" s="188"/>
      <c r="BX25" s="188"/>
      <c r="BY25" s="188"/>
      <c r="BZ25" s="188"/>
      <c r="CA25" s="188"/>
      <c r="CB25" s="188"/>
      <c r="CC25" s="188"/>
      <c r="CD25" s="188"/>
      <c r="CE25" s="188"/>
      <c r="CF25" s="188"/>
      <c r="CG25" s="188"/>
      <c r="CH25" s="188"/>
      <c r="CI25" s="188"/>
      <c r="CJ25" s="188"/>
      <c r="CK25" s="188"/>
      <c r="CL25" s="188"/>
    </row>
    <row r="26" spans="1:90">
      <c r="A26" s="17" t="s">
        <v>18</v>
      </c>
      <c r="B26" s="188">
        <v>528998936.36000001</v>
      </c>
      <c r="C26" s="188">
        <v>501166981.38999999</v>
      </c>
      <c r="D26" s="188">
        <v>515000806.07999998</v>
      </c>
      <c r="E26" s="188">
        <v>545291064.50999999</v>
      </c>
      <c r="F26" s="188">
        <v>550534766.14999998</v>
      </c>
      <c r="G26" s="188">
        <v>515278965.76999998</v>
      </c>
      <c r="H26" s="188">
        <v>497163786.93000001</v>
      </c>
      <c r="I26" s="188">
        <v>512073033.35000002</v>
      </c>
      <c r="J26" s="188">
        <v>566861245.27999997</v>
      </c>
      <c r="K26" s="188">
        <v>550696325.96000004</v>
      </c>
      <c r="L26" s="188">
        <v>561817538.32000005</v>
      </c>
      <c r="M26" s="188">
        <v>530747355.20999998</v>
      </c>
      <c r="N26" s="188">
        <v>480304413.70999998</v>
      </c>
      <c r="O26" s="188">
        <v>448626613.17000002</v>
      </c>
      <c r="P26" s="188">
        <v>470613052.47000003</v>
      </c>
      <c r="Q26" s="188">
        <v>474613402.13999999</v>
      </c>
      <c r="R26" s="188">
        <v>479223258.83999997</v>
      </c>
      <c r="S26" s="188">
        <v>474156870.66000003</v>
      </c>
      <c r="T26" s="188">
        <v>480524282.19</v>
      </c>
      <c r="U26" s="188">
        <v>486847147.36000001</v>
      </c>
      <c r="V26" s="188">
        <v>491494705.63</v>
      </c>
      <c r="W26" s="188">
        <v>461585494.5</v>
      </c>
      <c r="X26" s="188">
        <v>471964742.36000001</v>
      </c>
      <c r="Y26" s="188">
        <v>450400555.81999999</v>
      </c>
      <c r="Z26" s="188">
        <v>467892313.20999998</v>
      </c>
      <c r="AA26" s="188">
        <v>437615528.61000001</v>
      </c>
      <c r="AB26" s="188">
        <v>428630165.13999999</v>
      </c>
      <c r="AC26" s="188">
        <v>396488094.70999998</v>
      </c>
      <c r="AD26" s="188">
        <v>359222925.75999999</v>
      </c>
      <c r="AE26" s="188">
        <v>310715386.38999999</v>
      </c>
      <c r="AF26" s="188">
        <v>324363556.52999997</v>
      </c>
      <c r="AG26" s="188">
        <v>334691103.43000001</v>
      </c>
      <c r="AH26" s="188">
        <v>296673879.00999999</v>
      </c>
      <c r="AI26" s="188">
        <v>279109872.02999997</v>
      </c>
      <c r="AJ26" s="188">
        <v>270969144.06999999</v>
      </c>
      <c r="AK26" s="188">
        <v>288921075.75</v>
      </c>
      <c r="AL26" s="188">
        <v>284413805.39999998</v>
      </c>
      <c r="AM26" s="188">
        <v>284792781.08999997</v>
      </c>
      <c r="AN26" s="188">
        <v>303234897.13</v>
      </c>
      <c r="AO26" s="188">
        <v>297654530.12</v>
      </c>
      <c r="AP26" s="188">
        <v>272505406.82999998</v>
      </c>
      <c r="AQ26" s="188">
        <v>249173476.86000001</v>
      </c>
      <c r="AR26" s="188">
        <v>221629112.31999999</v>
      </c>
      <c r="AS26" s="188">
        <v>214624775.91999999</v>
      </c>
      <c r="AT26" s="188">
        <v>198603051.72999999</v>
      </c>
      <c r="AU26" s="188">
        <v>195983729.46000001</v>
      </c>
      <c r="AV26" s="188">
        <v>202806268.65000001</v>
      </c>
      <c r="AW26" s="188">
        <v>212274968.80000001</v>
      </c>
      <c r="AX26" s="188">
        <v>212189161.06999999</v>
      </c>
      <c r="AY26" s="188">
        <v>194033471.12</v>
      </c>
      <c r="AZ26" s="188">
        <v>175646280.34999999</v>
      </c>
      <c r="BA26" s="188">
        <v>172990972.13999999</v>
      </c>
      <c r="BB26" s="188">
        <v>177740717.18000001</v>
      </c>
      <c r="BC26" s="188">
        <v>156430444.75999999</v>
      </c>
      <c r="BD26" s="188">
        <v>132274858.62</v>
      </c>
      <c r="BE26" s="188">
        <v>125866850.59</v>
      </c>
      <c r="BF26" s="188">
        <v>110101067.83</v>
      </c>
      <c r="BG26" s="188">
        <v>90459845.810000002</v>
      </c>
      <c r="BH26" s="188">
        <v>79210920.370000005</v>
      </c>
      <c r="BI26" s="188">
        <v>78545858.030000001</v>
      </c>
      <c r="BJ26" s="188">
        <v>58494993.869999997</v>
      </c>
      <c r="BK26" s="188">
        <v>57477330.259999998</v>
      </c>
      <c r="BL26" s="188">
        <v>74980107.290000007</v>
      </c>
      <c r="BM26" s="188">
        <v>71573188.620000005</v>
      </c>
      <c r="BN26" s="188">
        <v>90310247.879999995</v>
      </c>
      <c r="BO26" s="188">
        <v>84013222.239999995</v>
      </c>
      <c r="BP26" s="188">
        <v>83588211.629999995</v>
      </c>
      <c r="BQ26" s="188">
        <v>81256659.780000001</v>
      </c>
      <c r="BR26" s="188">
        <v>67536923.650000006</v>
      </c>
      <c r="BS26" s="188">
        <v>0</v>
      </c>
      <c r="BT26" s="188"/>
      <c r="BU26" s="188"/>
      <c r="BV26" s="188"/>
      <c r="BW26" s="188"/>
      <c r="BX26" s="188"/>
      <c r="BY26" s="188"/>
      <c r="BZ26" s="188"/>
      <c r="CA26" s="188"/>
      <c r="CB26" s="188"/>
      <c r="CC26" s="188"/>
      <c r="CD26" s="188"/>
      <c r="CE26" s="188"/>
      <c r="CF26" s="188"/>
      <c r="CG26" s="188"/>
      <c r="CH26" s="188"/>
      <c r="CI26" s="188"/>
      <c r="CJ26" s="188"/>
      <c r="CK26" s="188"/>
      <c r="CL26" s="188"/>
    </row>
    <row r="27" spans="1:90">
      <c r="A27" s="17" t="s">
        <v>19</v>
      </c>
      <c r="B27" s="188">
        <v>831023946.91999996</v>
      </c>
      <c r="C27" s="188">
        <v>648192622.17999995</v>
      </c>
      <c r="D27" s="188">
        <v>678529968.23000002</v>
      </c>
      <c r="E27" s="188">
        <v>728396978.54999995</v>
      </c>
      <c r="F27" s="188">
        <v>720979085.41999996</v>
      </c>
      <c r="G27" s="188">
        <v>776585454.23000002</v>
      </c>
      <c r="H27" s="188">
        <v>763071787.85000002</v>
      </c>
      <c r="I27" s="188">
        <v>180233708.52000001</v>
      </c>
      <c r="J27" s="188">
        <v>130478892.43000001</v>
      </c>
      <c r="K27" s="188">
        <v>69045953.640000001</v>
      </c>
      <c r="L27" s="188">
        <v>50552154.899999999</v>
      </c>
      <c r="M27" s="188">
        <v>85458193.760000005</v>
      </c>
      <c r="N27" s="188">
        <v>104579493.64</v>
      </c>
      <c r="O27" s="188">
        <v>100314273.84999999</v>
      </c>
      <c r="P27" s="188">
        <v>63373325.369999997</v>
      </c>
      <c r="Q27" s="188">
        <v>68687089.390000001</v>
      </c>
      <c r="R27" s="188">
        <v>502885.37</v>
      </c>
      <c r="S27" s="188">
        <v>260620.98</v>
      </c>
      <c r="T27" s="188">
        <v>434338.61</v>
      </c>
      <c r="U27" s="188">
        <v>29000000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c r="BU27" s="188"/>
      <c r="BV27" s="188"/>
      <c r="BW27" s="188"/>
      <c r="BX27" s="188"/>
      <c r="BY27" s="188"/>
      <c r="BZ27" s="188"/>
      <c r="CA27" s="188"/>
      <c r="CB27" s="188"/>
      <c r="CC27" s="188"/>
      <c r="CD27" s="188"/>
      <c r="CE27" s="188"/>
      <c r="CF27" s="188"/>
      <c r="CG27" s="188"/>
      <c r="CH27" s="188"/>
      <c r="CI27" s="188"/>
      <c r="CJ27" s="188"/>
      <c r="CK27" s="188"/>
      <c r="CL27" s="188"/>
    </row>
    <row r="28" spans="1:90">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c r="BU28" s="188"/>
      <c r="BV28" s="188"/>
      <c r="BW28" s="188"/>
      <c r="BX28" s="188"/>
      <c r="BY28" s="188"/>
      <c r="BZ28" s="188"/>
      <c r="CA28" s="188"/>
      <c r="CB28" s="188"/>
      <c r="CC28" s="188"/>
      <c r="CD28" s="188"/>
      <c r="CE28" s="188"/>
      <c r="CF28" s="188"/>
      <c r="CG28" s="188"/>
      <c r="CH28" s="188"/>
      <c r="CI28" s="188"/>
      <c r="CJ28" s="188"/>
      <c r="CK28" s="188"/>
      <c r="CL28" s="188"/>
    </row>
    <row r="29" spans="1:90">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c r="BU29" s="188"/>
      <c r="BV29" s="188"/>
      <c r="BW29" s="188"/>
      <c r="BX29" s="188"/>
      <c r="BY29" s="188"/>
      <c r="BZ29" s="188"/>
      <c r="CA29" s="188"/>
      <c r="CB29" s="188"/>
      <c r="CC29" s="188"/>
      <c r="CD29" s="188"/>
      <c r="CE29" s="188"/>
      <c r="CF29" s="188"/>
      <c r="CG29" s="188"/>
      <c r="CH29" s="188"/>
      <c r="CI29" s="188"/>
      <c r="CJ29" s="188"/>
      <c r="CK29" s="188"/>
      <c r="CL29" s="188"/>
    </row>
    <row r="30" spans="1:90" ht="14.45" hidden="1">
      <c r="B30" s="26"/>
      <c r="C30" s="26"/>
      <c r="D30" s="26"/>
      <c r="E30" s="26"/>
      <c r="F30" s="26"/>
      <c r="G30" s="26"/>
      <c r="H30" s="26"/>
      <c r="I30" s="26"/>
      <c r="J30" s="26"/>
      <c r="K30" s="26"/>
      <c r="L30" s="23"/>
    </row>
    <row r="31" spans="1:90" ht="14.45" hidden="1">
      <c r="B31" s="26"/>
      <c r="C31" s="26"/>
      <c r="D31" s="26"/>
      <c r="E31" s="26"/>
      <c r="F31" s="26"/>
      <c r="G31" s="26"/>
      <c r="H31" s="26"/>
      <c r="I31" s="26"/>
      <c r="J31" s="26"/>
      <c r="K31" s="26"/>
      <c r="L31" s="23"/>
    </row>
    <row r="32" spans="1:90" ht="14.45" hidden="1">
      <c r="B32" s="26"/>
      <c r="C32" s="26"/>
      <c r="D32" s="26"/>
      <c r="E32" s="26"/>
      <c r="F32" s="26"/>
      <c r="G32" s="26"/>
      <c r="H32" s="26"/>
      <c r="I32" s="26"/>
      <c r="J32" s="26"/>
      <c r="K32" s="26"/>
      <c r="L32" s="23"/>
    </row>
    <row r="33" spans="1:90" s="10" customFormat="1">
      <c r="A33" s="122" t="s">
        <v>20</v>
      </c>
      <c r="B33" s="35">
        <f>SUM(B22:B29)</f>
        <v>2182095281.3000002</v>
      </c>
      <c r="C33" s="35">
        <f t="shared" ref="C33:BN33" si="2">SUM(C22:C29)</f>
        <v>1998572479.46</v>
      </c>
      <c r="D33" s="35">
        <f t="shared" si="2"/>
        <v>2047624124.1900001</v>
      </c>
      <c r="E33" s="35">
        <f t="shared" si="2"/>
        <v>2036099930.3599999</v>
      </c>
      <c r="F33" s="35">
        <f t="shared" si="2"/>
        <v>2078800873.8299999</v>
      </c>
      <c r="G33" s="35">
        <f t="shared" si="2"/>
        <v>2121290212.6100001</v>
      </c>
      <c r="H33" s="35">
        <f t="shared" si="2"/>
        <v>2046939645.0100002</v>
      </c>
      <c r="I33" s="35">
        <f t="shared" si="2"/>
        <v>1425138896.2600002</v>
      </c>
      <c r="J33" s="35">
        <f t="shared" si="2"/>
        <v>1405571251.03</v>
      </c>
      <c r="K33" s="35">
        <f t="shared" si="2"/>
        <v>1368488042.1500001</v>
      </c>
      <c r="L33" s="35">
        <f t="shared" si="2"/>
        <v>1367628539.9700003</v>
      </c>
      <c r="M33" s="35">
        <f t="shared" si="2"/>
        <v>1318563826.03</v>
      </c>
      <c r="N33" s="35">
        <f t="shared" si="2"/>
        <v>1310343874.4100001</v>
      </c>
      <c r="O33" s="35">
        <f t="shared" si="2"/>
        <v>1328279437.8399999</v>
      </c>
      <c r="P33" s="35">
        <f t="shared" si="2"/>
        <v>1345609778.0799999</v>
      </c>
      <c r="Q33" s="35">
        <f t="shared" si="2"/>
        <v>1299282626.1400001</v>
      </c>
      <c r="R33" s="35">
        <f t="shared" si="2"/>
        <v>1348985383.8699996</v>
      </c>
      <c r="S33" s="35">
        <f t="shared" si="2"/>
        <v>1315567933.6400001</v>
      </c>
      <c r="T33" s="35">
        <f t="shared" si="2"/>
        <v>1278593835.1099999</v>
      </c>
      <c r="U33" s="35">
        <f t="shared" si="2"/>
        <v>1275783838.9700003</v>
      </c>
      <c r="V33" s="35">
        <f t="shared" si="2"/>
        <v>1284848670.1700001</v>
      </c>
      <c r="W33" s="35">
        <f t="shared" si="2"/>
        <v>1233589611.6700001</v>
      </c>
      <c r="X33" s="35">
        <f t="shared" si="2"/>
        <v>1216254683.24</v>
      </c>
      <c r="Y33" s="35">
        <f t="shared" si="2"/>
        <v>1201185715.9300001</v>
      </c>
      <c r="Z33" s="35">
        <f t="shared" si="2"/>
        <v>1223809142.9100001</v>
      </c>
      <c r="AA33" s="35">
        <f t="shared" si="2"/>
        <v>1175393300.1599998</v>
      </c>
      <c r="AB33" s="35">
        <f t="shared" si="2"/>
        <v>1113245047.8099999</v>
      </c>
      <c r="AC33" s="35">
        <f t="shared" si="2"/>
        <v>1054724892.0899999</v>
      </c>
      <c r="AD33" s="35">
        <f t="shared" si="2"/>
        <v>1223401510.5999999</v>
      </c>
      <c r="AE33" s="35">
        <f t="shared" si="2"/>
        <v>1153235347.98</v>
      </c>
      <c r="AF33" s="35">
        <f t="shared" si="2"/>
        <v>1326671724.73</v>
      </c>
      <c r="AG33" s="35">
        <f t="shared" si="2"/>
        <v>1247294412.5699999</v>
      </c>
      <c r="AH33" s="35">
        <f t="shared" si="2"/>
        <v>1155838086</v>
      </c>
      <c r="AI33" s="35">
        <f t="shared" si="2"/>
        <v>1148009728.4000001</v>
      </c>
      <c r="AJ33" s="35">
        <f t="shared" si="2"/>
        <v>1088438430.71</v>
      </c>
      <c r="AK33" s="35">
        <f t="shared" si="2"/>
        <v>1052560984.99</v>
      </c>
      <c r="AL33" s="35">
        <f t="shared" si="2"/>
        <v>1075073736.7599998</v>
      </c>
      <c r="AM33" s="35">
        <f t="shared" si="2"/>
        <v>1031181479.3499999</v>
      </c>
      <c r="AN33" s="35">
        <f t="shared" si="2"/>
        <v>1015738064.95</v>
      </c>
      <c r="AO33" s="35">
        <f t="shared" si="2"/>
        <v>968318094.97000015</v>
      </c>
      <c r="AP33" s="35">
        <f t="shared" si="2"/>
        <v>1001417552.0999999</v>
      </c>
      <c r="AQ33" s="35">
        <f t="shared" si="2"/>
        <v>936970473.37</v>
      </c>
      <c r="AR33" s="35">
        <f t="shared" si="2"/>
        <v>851128108.4000001</v>
      </c>
      <c r="AS33" s="35">
        <f t="shared" si="2"/>
        <v>864951248.87999988</v>
      </c>
      <c r="AT33" s="35">
        <f t="shared" si="2"/>
        <v>861574326.24000001</v>
      </c>
      <c r="AU33" s="35">
        <f t="shared" si="2"/>
        <v>814250523.29000008</v>
      </c>
      <c r="AV33" s="35">
        <f t="shared" si="2"/>
        <v>773410463.74000001</v>
      </c>
      <c r="AW33" s="35">
        <f t="shared" si="2"/>
        <v>769748106.25</v>
      </c>
      <c r="AX33" s="35">
        <f t="shared" si="2"/>
        <v>742613672.48000002</v>
      </c>
      <c r="AY33" s="35">
        <f t="shared" si="2"/>
        <v>711167697.42000008</v>
      </c>
      <c r="AZ33" s="35">
        <f t="shared" si="2"/>
        <v>413277605.61000001</v>
      </c>
      <c r="BA33" s="35">
        <f t="shared" si="2"/>
        <v>601078058.16999996</v>
      </c>
      <c r="BB33" s="35">
        <f t="shared" si="2"/>
        <v>549447142.53999996</v>
      </c>
      <c r="BC33" s="35">
        <f t="shared" si="2"/>
        <v>522034739.43999994</v>
      </c>
      <c r="BD33" s="35">
        <f t="shared" si="2"/>
        <v>484138631.01999998</v>
      </c>
      <c r="BE33" s="35">
        <f t="shared" si="2"/>
        <v>476405007.84000003</v>
      </c>
      <c r="BF33" s="35">
        <f t="shared" si="2"/>
        <v>439760690.82999998</v>
      </c>
      <c r="BG33" s="35">
        <f t="shared" si="2"/>
        <v>387034493.63999999</v>
      </c>
      <c r="BH33" s="35">
        <f t="shared" si="2"/>
        <v>352378951.43000001</v>
      </c>
      <c r="BI33" s="35">
        <f t="shared" si="2"/>
        <v>300208026.48000002</v>
      </c>
      <c r="BJ33" s="35">
        <f t="shared" si="2"/>
        <v>263998686.25</v>
      </c>
      <c r="BK33" s="35">
        <f t="shared" si="2"/>
        <v>233305212.35999998</v>
      </c>
      <c r="BL33" s="35">
        <f t="shared" si="2"/>
        <v>248188150.82999998</v>
      </c>
      <c r="BM33" s="35">
        <f t="shared" si="2"/>
        <v>221992662.44</v>
      </c>
      <c r="BN33" s="35">
        <f t="shared" si="2"/>
        <v>240888334.56999999</v>
      </c>
      <c r="BO33" s="35">
        <f t="shared" ref="BO33:CK33" si="3">SUM(BO22:BO29)</f>
        <v>242528405.03999996</v>
      </c>
      <c r="BP33" s="35">
        <f t="shared" si="3"/>
        <v>222067541.02000001</v>
      </c>
      <c r="BQ33" s="35">
        <f t="shared" si="3"/>
        <v>215555931.66</v>
      </c>
      <c r="BR33" s="35">
        <f t="shared" si="3"/>
        <v>190140165.41</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1" t="s">
        <v>82</v>
      </c>
      <c r="B34" s="34"/>
      <c r="C34" s="34"/>
      <c r="D34" s="34"/>
      <c r="E34" s="34"/>
      <c r="F34" s="34"/>
      <c r="G34" s="34"/>
      <c r="H34" s="34"/>
      <c r="I34" s="34"/>
      <c r="J34" s="34"/>
      <c r="K34" s="34"/>
      <c r="L34" s="32"/>
      <c r="M34" s="14"/>
      <c r="N34" s="14"/>
    </row>
    <row r="35" spans="1:90">
      <c r="A35" s="17" t="s">
        <v>21</v>
      </c>
      <c r="B35" s="188">
        <v>0</v>
      </c>
      <c r="C35" s="188">
        <v>329595094.35000002</v>
      </c>
      <c r="D35" s="188">
        <v>339232304.29000002</v>
      </c>
      <c r="E35" s="188">
        <v>378501421.49000001</v>
      </c>
      <c r="F35" s="188">
        <v>359910271.20999998</v>
      </c>
      <c r="G35" s="188">
        <v>335204713.42000002</v>
      </c>
      <c r="H35" s="188">
        <v>365972248.5</v>
      </c>
      <c r="I35" s="188">
        <v>340252841.19999999</v>
      </c>
      <c r="J35" s="188">
        <v>266555947.05000001</v>
      </c>
      <c r="K35" s="188">
        <v>254808464.52000001</v>
      </c>
      <c r="L35" s="188">
        <v>243484572.55000001</v>
      </c>
      <c r="M35" s="188">
        <v>229609818.15000001</v>
      </c>
      <c r="N35" s="188">
        <v>238915697.02000001</v>
      </c>
      <c r="O35" s="188">
        <v>218232847.30000001</v>
      </c>
      <c r="P35" s="188">
        <v>209066735.30000001</v>
      </c>
      <c r="Q35" s="188">
        <v>244203703.90000001</v>
      </c>
      <c r="R35" s="188">
        <v>241968422.53</v>
      </c>
      <c r="S35" s="188">
        <v>256784221.22999999</v>
      </c>
      <c r="T35" s="188">
        <v>272577219.81</v>
      </c>
      <c r="U35" s="188">
        <v>275118621.43000001</v>
      </c>
      <c r="V35" s="188">
        <v>234369907.72</v>
      </c>
      <c r="W35" s="188">
        <v>259812491.28</v>
      </c>
      <c r="X35" s="188">
        <v>261799546.99000001</v>
      </c>
      <c r="Y35" s="188">
        <v>263629209.21000001</v>
      </c>
      <c r="Z35" s="188">
        <v>266802773.71000001</v>
      </c>
      <c r="AA35" s="188">
        <v>257531837.41999999</v>
      </c>
      <c r="AB35" s="188">
        <v>254462749.53</v>
      </c>
      <c r="AC35" s="188">
        <v>330562394.56999999</v>
      </c>
      <c r="AD35" s="188">
        <v>378404895.39999998</v>
      </c>
      <c r="AE35" s="188">
        <v>292303771.33999997</v>
      </c>
      <c r="AF35" s="188">
        <v>278298579.89999998</v>
      </c>
      <c r="AG35" s="188">
        <v>270950626.98000002</v>
      </c>
      <c r="AH35" s="188">
        <v>245297269.80000001</v>
      </c>
      <c r="AI35" s="188">
        <v>279252025</v>
      </c>
      <c r="AJ35" s="188">
        <v>283089212</v>
      </c>
      <c r="AK35" s="188">
        <v>247876487.19999999</v>
      </c>
      <c r="AL35" s="188">
        <v>220271188.06999999</v>
      </c>
      <c r="AM35" s="188">
        <v>229887485.31999999</v>
      </c>
      <c r="AN35" s="188">
        <v>235503268.65000001</v>
      </c>
      <c r="AO35" s="188">
        <v>189738731.96000001</v>
      </c>
      <c r="AP35" s="188">
        <v>225523230.96000001</v>
      </c>
      <c r="AQ35" s="188">
        <v>202918532.18000001</v>
      </c>
      <c r="AR35" s="188">
        <v>141981920.19999999</v>
      </c>
      <c r="AS35" s="188">
        <v>181453769.30000001</v>
      </c>
      <c r="AT35" s="188">
        <v>192095206.08000001</v>
      </c>
      <c r="AU35" s="188">
        <v>186071894.78</v>
      </c>
      <c r="AV35" s="188">
        <v>161514166.88</v>
      </c>
      <c r="AW35" s="188">
        <v>142418444.47</v>
      </c>
      <c r="AX35" s="188">
        <v>152806690</v>
      </c>
      <c r="AY35" s="188">
        <v>121779965.47</v>
      </c>
      <c r="AZ35" s="188">
        <v>118076222.05</v>
      </c>
      <c r="BA35" s="188">
        <v>104592555.89</v>
      </c>
      <c r="BB35" s="188">
        <v>109872786.41</v>
      </c>
      <c r="BC35" s="188">
        <v>90249382.920000002</v>
      </c>
      <c r="BD35" s="188">
        <v>55631302.43</v>
      </c>
      <c r="BE35" s="188">
        <v>85411785.069999993</v>
      </c>
      <c r="BF35" s="188">
        <v>105145494.7</v>
      </c>
      <c r="BG35" s="188">
        <v>76729751.989999995</v>
      </c>
      <c r="BH35" s="188">
        <v>53578198.960000001</v>
      </c>
      <c r="BI35" s="188">
        <v>55143820.719999999</v>
      </c>
      <c r="BJ35" s="188">
        <v>64920897.359999999</v>
      </c>
      <c r="BK35" s="188">
        <v>42969816</v>
      </c>
      <c r="BL35" s="188">
        <v>42860319.460000001</v>
      </c>
      <c r="BM35" s="188">
        <v>48240319.460000001</v>
      </c>
      <c r="BN35" s="188">
        <v>38730000</v>
      </c>
      <c r="BO35" s="188">
        <v>22780000</v>
      </c>
      <c r="BP35" s="188">
        <v>8000000</v>
      </c>
      <c r="BQ35" s="188">
        <v>5080000</v>
      </c>
      <c r="BR35" s="188">
        <v>3080000</v>
      </c>
      <c r="BS35" s="188">
        <v>0</v>
      </c>
      <c r="BT35" s="188"/>
      <c r="BU35" s="188"/>
      <c r="BV35" s="188"/>
      <c r="BW35" s="188"/>
      <c r="BX35" s="188"/>
      <c r="BY35" s="188"/>
      <c r="BZ35" s="188"/>
      <c r="CA35" s="188"/>
      <c r="CB35" s="188"/>
      <c r="CC35" s="188"/>
      <c r="CD35" s="188"/>
      <c r="CE35" s="188"/>
      <c r="CF35" s="188"/>
      <c r="CG35" s="188"/>
      <c r="CH35" s="188"/>
      <c r="CI35" s="188"/>
      <c r="CJ35" s="188"/>
      <c r="CK35" s="188"/>
      <c r="CL35" s="188"/>
    </row>
    <row r="36" spans="1:90">
      <c r="A36" s="17" t="s">
        <v>22</v>
      </c>
      <c r="B36" s="188">
        <v>0</v>
      </c>
      <c r="C36" s="188">
        <v>342139063.32999998</v>
      </c>
      <c r="D36" s="188">
        <v>332868367.97000003</v>
      </c>
      <c r="E36" s="188">
        <v>335580194.27999997</v>
      </c>
      <c r="F36" s="188">
        <v>318948691.55000001</v>
      </c>
      <c r="G36" s="188">
        <v>320548820.20999998</v>
      </c>
      <c r="H36" s="188">
        <v>315317579</v>
      </c>
      <c r="I36" s="188">
        <v>317887070.48000002</v>
      </c>
      <c r="J36" s="188">
        <v>337344618.77999997</v>
      </c>
      <c r="K36" s="188">
        <v>346126858.75999999</v>
      </c>
      <c r="L36" s="188">
        <v>300030875.29000002</v>
      </c>
      <c r="M36" s="188">
        <v>315412627.66000003</v>
      </c>
      <c r="N36" s="188">
        <v>264455150.06</v>
      </c>
      <c r="O36" s="188">
        <v>241853412.97999999</v>
      </c>
      <c r="P36" s="188">
        <v>262476864.78</v>
      </c>
      <c r="Q36" s="188">
        <v>229872217.71000001</v>
      </c>
      <c r="R36" s="188">
        <v>256828859.87</v>
      </c>
      <c r="S36" s="188">
        <v>253303335.19999999</v>
      </c>
      <c r="T36" s="188">
        <v>237396272.36000001</v>
      </c>
      <c r="U36" s="188">
        <v>241769845.00999999</v>
      </c>
      <c r="V36" s="188">
        <v>260066066.37</v>
      </c>
      <c r="W36" s="188">
        <v>221847608.50999999</v>
      </c>
      <c r="X36" s="188">
        <v>204897439.63</v>
      </c>
      <c r="Y36" s="188">
        <v>227665330.28</v>
      </c>
      <c r="Z36" s="188">
        <v>220978312.31999999</v>
      </c>
      <c r="AA36" s="188">
        <v>224986537.18000001</v>
      </c>
      <c r="AB36" s="188">
        <v>207437110.03999999</v>
      </c>
      <c r="AC36" s="188">
        <v>214987817.68000001</v>
      </c>
      <c r="AD36" s="188">
        <v>177239448.19999999</v>
      </c>
      <c r="AE36" s="188">
        <v>180941722.12</v>
      </c>
      <c r="AF36" s="188">
        <v>193139920.63999999</v>
      </c>
      <c r="AG36" s="188">
        <v>220978068.84999999</v>
      </c>
      <c r="AH36" s="188">
        <v>205751131.11000001</v>
      </c>
      <c r="AI36" s="188">
        <v>196583571.66999999</v>
      </c>
      <c r="AJ36" s="188">
        <v>149107441.84999999</v>
      </c>
      <c r="AK36" s="188">
        <v>158917465.69</v>
      </c>
      <c r="AL36" s="188">
        <v>169402964.50999999</v>
      </c>
      <c r="AM36" s="188">
        <v>134647002.75</v>
      </c>
      <c r="AN36" s="188">
        <v>117530505.62</v>
      </c>
      <c r="AO36" s="188">
        <v>139158493.34999999</v>
      </c>
      <c r="AP36" s="188">
        <v>131862541.22</v>
      </c>
      <c r="AQ36" s="188">
        <v>121780127.20999999</v>
      </c>
      <c r="AR36" s="188">
        <v>124510965.2</v>
      </c>
      <c r="AS36" s="188">
        <v>125786035.55</v>
      </c>
      <c r="AT36" s="188">
        <v>128047037.8</v>
      </c>
      <c r="AU36" s="188">
        <v>132472538.41</v>
      </c>
      <c r="AV36" s="188">
        <v>157492974.50999999</v>
      </c>
      <c r="AW36" s="188">
        <v>155166545.78</v>
      </c>
      <c r="AX36" s="188">
        <v>83783754.840000004</v>
      </c>
      <c r="AY36" s="188">
        <v>111538910.06</v>
      </c>
      <c r="AZ36" s="188">
        <v>84671640.060000002</v>
      </c>
      <c r="BA36" s="188">
        <v>93099933.900000006</v>
      </c>
      <c r="BB36" s="188">
        <v>113141399.14</v>
      </c>
      <c r="BC36" s="188">
        <v>110637125.73</v>
      </c>
      <c r="BD36" s="188">
        <v>119983660.81</v>
      </c>
      <c r="BE36" s="188">
        <v>102628842.26000001</v>
      </c>
      <c r="BF36" s="188">
        <v>137920989.44999999</v>
      </c>
      <c r="BG36" s="188">
        <v>105699642.54000001</v>
      </c>
      <c r="BH36" s="188">
        <v>100648009.65000001</v>
      </c>
      <c r="BI36" s="188">
        <v>98283594.359999999</v>
      </c>
      <c r="BJ36" s="188">
        <v>69046113.5</v>
      </c>
      <c r="BK36" s="188">
        <v>56161490.469999999</v>
      </c>
      <c r="BL36" s="188">
        <v>47498438.969999999</v>
      </c>
      <c r="BM36" s="188">
        <v>68099331.049999997</v>
      </c>
      <c r="BN36" s="188">
        <v>55332938.07</v>
      </c>
      <c r="BO36" s="188">
        <v>37223204.770000003</v>
      </c>
      <c r="BP36" s="188">
        <v>32172170.890000001</v>
      </c>
      <c r="BQ36" s="188">
        <v>38891008.359999999</v>
      </c>
      <c r="BR36" s="188">
        <v>25827101.129999999</v>
      </c>
      <c r="BS36" s="188">
        <v>0</v>
      </c>
      <c r="BT36" s="188"/>
      <c r="BU36" s="188"/>
      <c r="BV36" s="188"/>
      <c r="BW36" s="188"/>
      <c r="BX36" s="188"/>
      <c r="BY36" s="188"/>
      <c r="BZ36" s="188"/>
      <c r="CA36" s="188"/>
      <c r="CB36" s="188"/>
      <c r="CC36" s="188"/>
      <c r="CD36" s="188"/>
      <c r="CE36" s="188"/>
      <c r="CF36" s="188"/>
      <c r="CG36" s="188"/>
      <c r="CH36" s="188"/>
      <c r="CI36" s="188"/>
      <c r="CJ36" s="188"/>
      <c r="CK36" s="188"/>
      <c r="CL36" s="188"/>
    </row>
    <row r="37" spans="1:90">
      <c r="A37" s="17" t="s">
        <v>23</v>
      </c>
      <c r="B37" s="188">
        <v>102694610.69</v>
      </c>
      <c r="C37" s="188">
        <v>91019232.25</v>
      </c>
      <c r="D37" s="188">
        <v>73275591.060000002</v>
      </c>
      <c r="E37" s="188">
        <v>87735859.439999998</v>
      </c>
      <c r="F37" s="188">
        <v>87741313.939999998</v>
      </c>
      <c r="G37" s="188">
        <v>95545830.519999996</v>
      </c>
      <c r="H37" s="188">
        <v>91194953.390000001</v>
      </c>
      <c r="I37" s="188">
        <v>92925673.810000002</v>
      </c>
      <c r="J37" s="188">
        <v>145172206.44999999</v>
      </c>
      <c r="K37" s="188">
        <v>135468565.56999999</v>
      </c>
      <c r="L37" s="188">
        <v>123171694.95999999</v>
      </c>
      <c r="M37" s="188">
        <v>99987788.329999998</v>
      </c>
      <c r="N37" s="188">
        <v>95930970.769999996</v>
      </c>
      <c r="O37" s="188">
        <v>74473793.430000007</v>
      </c>
      <c r="P37" s="188">
        <v>79315969.329999998</v>
      </c>
      <c r="Q37" s="188">
        <v>59696988.170000002</v>
      </c>
      <c r="R37" s="188">
        <v>67017607.130000003</v>
      </c>
      <c r="S37" s="188">
        <v>65742338.710000001</v>
      </c>
      <c r="T37" s="188">
        <v>50186000.359999999</v>
      </c>
      <c r="U37" s="188">
        <v>38685775.340000004</v>
      </c>
      <c r="V37" s="188">
        <v>49422822.189999998</v>
      </c>
      <c r="W37" s="188">
        <v>53843789.539999999</v>
      </c>
      <c r="X37" s="188">
        <v>37408776.530000001</v>
      </c>
      <c r="Y37" s="188">
        <v>32059038.440000001</v>
      </c>
      <c r="Z37" s="188">
        <v>46078763.710000001</v>
      </c>
      <c r="AA37" s="188">
        <v>44014432.219999999</v>
      </c>
      <c r="AB37" s="188">
        <v>43195146.520000003</v>
      </c>
      <c r="AC37" s="188">
        <v>41671263.009999998</v>
      </c>
      <c r="AD37" s="188">
        <v>44817690.369999997</v>
      </c>
      <c r="AE37" s="188">
        <v>61029163.189999998</v>
      </c>
      <c r="AF37" s="188">
        <v>137457108.15000001</v>
      </c>
      <c r="AG37" s="188">
        <v>116899776.2</v>
      </c>
      <c r="AH37" s="188">
        <v>153397936.09999999</v>
      </c>
      <c r="AI37" s="188">
        <v>140634810.96000001</v>
      </c>
      <c r="AJ37" s="188">
        <v>139592125.28</v>
      </c>
      <c r="AK37" s="188">
        <v>63223120.109999999</v>
      </c>
      <c r="AL37" s="188">
        <v>61997205.960000001</v>
      </c>
      <c r="AM37" s="188">
        <v>63602655.109999999</v>
      </c>
      <c r="AN37" s="188">
        <v>64669402.979999997</v>
      </c>
      <c r="AO37" s="188">
        <v>55739593.899999999</v>
      </c>
      <c r="AP37" s="188">
        <v>74124821.609999999</v>
      </c>
      <c r="AQ37" s="188">
        <v>78923781.310000002</v>
      </c>
      <c r="AR37" s="188">
        <v>75727929.730000004</v>
      </c>
      <c r="AS37" s="188">
        <v>64906968.159999996</v>
      </c>
      <c r="AT37" s="188">
        <v>85079497.200000003</v>
      </c>
      <c r="AU37" s="188">
        <v>71236219.379999995</v>
      </c>
      <c r="AV37" s="188">
        <v>62361297.259999998</v>
      </c>
      <c r="AW37" s="188">
        <v>65950194.280000001</v>
      </c>
      <c r="AX37" s="188">
        <v>55796169.539999999</v>
      </c>
      <c r="AY37" s="188">
        <v>50323151.409999996</v>
      </c>
      <c r="AZ37" s="188">
        <v>46368596.539999999</v>
      </c>
      <c r="BA37" s="188">
        <v>35037506.170000002</v>
      </c>
      <c r="BB37" s="188">
        <v>27468196.210000001</v>
      </c>
      <c r="BC37" s="188">
        <v>16737698.859999999</v>
      </c>
      <c r="BD37" s="188">
        <v>28919245.850000001</v>
      </c>
      <c r="BE37" s="188">
        <v>23943283.239999998</v>
      </c>
      <c r="BF37" s="188">
        <v>26274465.390000001</v>
      </c>
      <c r="BG37" s="188">
        <v>31906408.850000001</v>
      </c>
      <c r="BH37" s="188">
        <v>38561989.369999997</v>
      </c>
      <c r="BI37" s="188">
        <v>38794367.850000001</v>
      </c>
      <c r="BJ37" s="188">
        <v>24693907.440000001</v>
      </c>
      <c r="BK37" s="188">
        <v>21321239.760000002</v>
      </c>
      <c r="BL37" s="188">
        <v>36696266.479999997</v>
      </c>
      <c r="BM37" s="188">
        <v>30547517.010000002</v>
      </c>
      <c r="BN37" s="188">
        <v>34664199.460000001</v>
      </c>
      <c r="BO37" s="188">
        <v>26931406.75</v>
      </c>
      <c r="BP37" s="188">
        <v>27768578</v>
      </c>
      <c r="BQ37" s="188">
        <v>22514186.300000001</v>
      </c>
      <c r="BR37" s="188">
        <v>19361036.399999999</v>
      </c>
      <c r="BS37" s="188">
        <v>0</v>
      </c>
      <c r="BT37" s="188"/>
      <c r="BU37" s="188"/>
      <c r="BV37" s="188"/>
      <c r="BW37" s="188"/>
      <c r="BX37" s="188"/>
      <c r="BY37" s="188"/>
      <c r="BZ37" s="188"/>
      <c r="CA37" s="188"/>
      <c r="CB37" s="188"/>
      <c r="CC37" s="188"/>
      <c r="CD37" s="188"/>
      <c r="CE37" s="188"/>
      <c r="CF37" s="188"/>
      <c r="CG37" s="188"/>
      <c r="CH37" s="188"/>
      <c r="CI37" s="188"/>
      <c r="CJ37" s="188"/>
      <c r="CK37" s="188"/>
      <c r="CL37" s="188"/>
    </row>
    <row r="38" spans="1:90">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0</v>
      </c>
      <c r="BL38" s="188">
        <v>0</v>
      </c>
      <c r="BM38" s="188">
        <v>0</v>
      </c>
      <c r="BN38" s="188">
        <v>0</v>
      </c>
      <c r="BO38" s="188">
        <v>0</v>
      </c>
      <c r="BP38" s="188">
        <v>0</v>
      </c>
      <c r="BQ38" s="188">
        <v>0</v>
      </c>
      <c r="BR38" s="188">
        <v>0</v>
      </c>
      <c r="BS38" s="188">
        <v>0</v>
      </c>
      <c r="BT38" s="188"/>
      <c r="BU38" s="188"/>
      <c r="BV38" s="188"/>
      <c r="BW38" s="188"/>
      <c r="BX38" s="188"/>
      <c r="BY38" s="188"/>
      <c r="BZ38" s="188"/>
      <c r="CA38" s="188"/>
      <c r="CB38" s="188"/>
      <c r="CC38" s="188"/>
      <c r="CD38" s="188"/>
      <c r="CE38" s="188"/>
      <c r="CF38" s="188"/>
      <c r="CG38" s="188"/>
      <c r="CH38" s="188"/>
      <c r="CI38" s="188"/>
      <c r="CJ38" s="188"/>
      <c r="CK38" s="188"/>
      <c r="CL38" s="188"/>
    </row>
    <row r="39" spans="1:90">
      <c r="A39" s="17" t="s">
        <v>25</v>
      </c>
      <c r="B39" s="188">
        <v>47630375.340000004</v>
      </c>
      <c r="C39" s="188">
        <v>31631822.359999999</v>
      </c>
      <c r="D39" s="188">
        <v>17310806.309999999</v>
      </c>
      <c r="E39" s="188">
        <v>17967674.120000001</v>
      </c>
      <c r="F39" s="188">
        <v>35783602.609999999</v>
      </c>
      <c r="G39" s="188">
        <v>26514158.77</v>
      </c>
      <c r="H39" s="188">
        <v>20005870.649999999</v>
      </c>
      <c r="I39" s="188">
        <v>11555808.58</v>
      </c>
      <c r="J39" s="188">
        <v>20392967.309999999</v>
      </c>
      <c r="K39" s="188">
        <v>19631859.73</v>
      </c>
      <c r="L39" s="188">
        <v>16970838.149999999</v>
      </c>
      <c r="M39" s="188">
        <v>12116055.550000001</v>
      </c>
      <c r="N39" s="188">
        <v>14297982.939999999</v>
      </c>
      <c r="O39" s="188">
        <v>8570898.4299999997</v>
      </c>
      <c r="P39" s="188">
        <v>7509021.1200000001</v>
      </c>
      <c r="Q39" s="188">
        <v>6766648.0599999996</v>
      </c>
      <c r="R39" s="188">
        <v>9206870.4299999997</v>
      </c>
      <c r="S39" s="188">
        <v>7586943.5700000003</v>
      </c>
      <c r="T39" s="188">
        <v>6839967.1200000001</v>
      </c>
      <c r="U39" s="188">
        <v>6209790.75</v>
      </c>
      <c r="V39" s="188">
        <v>11925954.039999999</v>
      </c>
      <c r="W39" s="188">
        <v>16934073.899999999</v>
      </c>
      <c r="X39" s="188">
        <v>10592174.59</v>
      </c>
      <c r="Y39" s="188">
        <v>10989331.779999999</v>
      </c>
      <c r="Z39" s="188">
        <v>10701622.380000001</v>
      </c>
      <c r="AA39" s="188">
        <v>10786114.880000001</v>
      </c>
      <c r="AB39" s="188">
        <v>10174810.289999999</v>
      </c>
      <c r="AC39" s="188">
        <v>9740152.6300000008</v>
      </c>
      <c r="AD39" s="188">
        <v>8184175.5499999998</v>
      </c>
      <c r="AE39" s="188">
        <v>12840353.59</v>
      </c>
      <c r="AF39" s="188">
        <v>6168736.8399999999</v>
      </c>
      <c r="AG39" s="188">
        <v>7049082.4699999997</v>
      </c>
      <c r="AH39" s="188">
        <v>11530490.029999999</v>
      </c>
      <c r="AI39" s="188">
        <v>11882983.289999999</v>
      </c>
      <c r="AJ39" s="188">
        <v>6196556.9199999999</v>
      </c>
      <c r="AK39" s="188">
        <v>5817671.7300000004</v>
      </c>
      <c r="AL39" s="188">
        <v>14283075.720000001</v>
      </c>
      <c r="AM39" s="188">
        <v>14469678.689999999</v>
      </c>
      <c r="AN39" s="188">
        <v>7675869.7999999998</v>
      </c>
      <c r="AO39" s="188">
        <v>7518037.8700000001</v>
      </c>
      <c r="AP39" s="188">
        <v>8596602.2200000007</v>
      </c>
      <c r="AQ39" s="188">
        <v>8290680.5800000001</v>
      </c>
      <c r="AR39" s="188">
        <v>11549992.640000001</v>
      </c>
      <c r="AS39" s="188">
        <v>20095268.789999999</v>
      </c>
      <c r="AT39" s="188">
        <v>38542205.960000001</v>
      </c>
      <c r="AU39" s="188">
        <v>39952200.219999999</v>
      </c>
      <c r="AV39" s="188">
        <v>33988996.359999999</v>
      </c>
      <c r="AW39" s="188">
        <v>28666619.969999999</v>
      </c>
      <c r="AX39" s="188">
        <v>30931435.350000001</v>
      </c>
      <c r="AY39" s="188">
        <v>29910482.09</v>
      </c>
      <c r="AZ39" s="188">
        <v>28224788.23</v>
      </c>
      <c r="BA39" s="188">
        <v>26844445.940000001</v>
      </c>
      <c r="BB39" s="188">
        <v>26692412.489999998</v>
      </c>
      <c r="BC39" s="188">
        <v>26636413.23</v>
      </c>
      <c r="BD39" s="188">
        <v>24743134.98</v>
      </c>
      <c r="BE39" s="188">
        <v>24299673.91</v>
      </c>
      <c r="BF39" s="188">
        <v>23223799.609999999</v>
      </c>
      <c r="BG39" s="188">
        <v>21367183.52</v>
      </c>
      <c r="BH39" s="188">
        <v>20466372.120000001</v>
      </c>
      <c r="BI39" s="188">
        <v>18997388.329999998</v>
      </c>
      <c r="BJ39" s="188">
        <v>19307481.370000001</v>
      </c>
      <c r="BK39" s="188">
        <v>18066769.550000001</v>
      </c>
      <c r="BL39" s="188">
        <v>17413776.050000001</v>
      </c>
      <c r="BM39" s="188">
        <v>16786765.940000001</v>
      </c>
      <c r="BN39" s="188">
        <v>19069419.07</v>
      </c>
      <c r="BO39" s="188">
        <v>19309158.609999999</v>
      </c>
      <c r="BP39" s="188">
        <v>18801226.43</v>
      </c>
      <c r="BQ39" s="188">
        <v>14187285.720000001</v>
      </c>
      <c r="BR39" s="188">
        <v>8139231.7000000002</v>
      </c>
      <c r="BS39" s="188">
        <v>0</v>
      </c>
      <c r="BT39" s="188"/>
      <c r="BU39" s="188"/>
      <c r="BV39" s="188"/>
      <c r="BW39" s="188"/>
      <c r="BX39" s="188"/>
      <c r="BY39" s="188"/>
      <c r="BZ39" s="188"/>
      <c r="CA39" s="188"/>
      <c r="CB39" s="188"/>
      <c r="CC39" s="188"/>
      <c r="CD39" s="188"/>
      <c r="CE39" s="188"/>
      <c r="CF39" s="188"/>
      <c r="CG39" s="188"/>
      <c r="CH39" s="188"/>
      <c r="CI39" s="188"/>
      <c r="CJ39" s="188"/>
      <c r="CK39" s="188"/>
      <c r="CL39" s="188"/>
    </row>
    <row r="40" spans="1:90">
      <c r="A40" s="17" t="s">
        <v>26</v>
      </c>
      <c r="B40" s="188">
        <v>19703259.140000001</v>
      </c>
      <c r="C40" s="188">
        <v>21484156.350000001</v>
      </c>
      <c r="D40" s="188">
        <v>12658705.949999999</v>
      </c>
      <c r="E40" s="188">
        <v>15111230.189999999</v>
      </c>
      <c r="F40" s="188">
        <v>7837223</v>
      </c>
      <c r="G40" s="188">
        <v>12551773.4</v>
      </c>
      <c r="H40" s="188">
        <v>9543484.2699999996</v>
      </c>
      <c r="I40" s="188">
        <v>25892403.199999999</v>
      </c>
      <c r="J40" s="188">
        <v>18268166.32</v>
      </c>
      <c r="K40" s="188">
        <v>23928089.699999999</v>
      </c>
      <c r="L40" s="188">
        <v>20433889.59</v>
      </c>
      <c r="M40" s="188">
        <v>17462220.91</v>
      </c>
      <c r="N40" s="188">
        <v>14042397.310000001</v>
      </c>
      <c r="O40" s="188">
        <v>16421664.9</v>
      </c>
      <c r="P40" s="188">
        <v>2513378.42</v>
      </c>
      <c r="Q40" s="188">
        <v>11336123.52</v>
      </c>
      <c r="R40" s="188">
        <v>-421286.62</v>
      </c>
      <c r="S40" s="188">
        <v>-2799057.03</v>
      </c>
      <c r="T40" s="188">
        <v>7944809.7999999998</v>
      </c>
      <c r="U40" s="188">
        <v>2071388.96</v>
      </c>
      <c r="V40" s="188">
        <v>-1242752.8400000001</v>
      </c>
      <c r="W40" s="188">
        <v>-808613.32</v>
      </c>
      <c r="X40" s="188">
        <v>-2960089.17</v>
      </c>
      <c r="Y40" s="188">
        <v>923786.61</v>
      </c>
      <c r="Z40" s="188">
        <v>-4648511.58</v>
      </c>
      <c r="AA40" s="188">
        <v>-22651910.859999999</v>
      </c>
      <c r="AB40" s="188">
        <v>-21835737.969999999</v>
      </c>
      <c r="AC40" s="188">
        <v>-30109154.530000001</v>
      </c>
      <c r="AD40" s="188">
        <v>-39836237</v>
      </c>
      <c r="AE40" s="188">
        <v>-27382411.75</v>
      </c>
      <c r="AF40" s="188">
        <v>-15953424.869999999</v>
      </c>
      <c r="AG40" s="188">
        <v>-22266630.82</v>
      </c>
      <c r="AH40" s="188">
        <v>-19851247.780000001</v>
      </c>
      <c r="AI40" s="188">
        <v>-6579461.6200000001</v>
      </c>
      <c r="AJ40" s="188">
        <v>-6710602.9400000004</v>
      </c>
      <c r="AK40" s="188">
        <v>-3907037.48</v>
      </c>
      <c r="AL40" s="188">
        <v>-13370464.9</v>
      </c>
      <c r="AM40" s="188">
        <v>-7803462.71</v>
      </c>
      <c r="AN40" s="188">
        <v>-10603612.369999999</v>
      </c>
      <c r="AO40" s="188">
        <v>-8862524.2300000004</v>
      </c>
      <c r="AP40" s="188">
        <v>12444048.49</v>
      </c>
      <c r="AQ40" s="188">
        <v>11252753.48</v>
      </c>
      <c r="AR40" s="188">
        <v>17385841.699999999</v>
      </c>
      <c r="AS40" s="188">
        <v>18864212</v>
      </c>
      <c r="AT40" s="188">
        <v>7220037.1399999997</v>
      </c>
      <c r="AU40" s="188">
        <v>14257067.59</v>
      </c>
      <c r="AV40" s="188">
        <v>8474630.2300000004</v>
      </c>
      <c r="AW40" s="188">
        <v>14818910.48</v>
      </c>
      <c r="AX40" s="188">
        <v>12337692.810000001</v>
      </c>
      <c r="AY40" s="188">
        <v>6657084.4299999997</v>
      </c>
      <c r="AZ40" s="188">
        <v>12535845.51</v>
      </c>
      <c r="BA40" s="188">
        <v>9265389.4900000002</v>
      </c>
      <c r="BB40" s="188">
        <v>2672526.5299999998</v>
      </c>
      <c r="BC40" s="188">
        <v>8834230.3499999996</v>
      </c>
      <c r="BD40" s="188">
        <v>9052461.0399999991</v>
      </c>
      <c r="BE40" s="188">
        <v>12592670.24</v>
      </c>
      <c r="BF40" s="188">
        <v>8404662.5099999998</v>
      </c>
      <c r="BG40" s="188">
        <v>7354032.1500000004</v>
      </c>
      <c r="BH40" s="188">
        <v>7260051.0499999998</v>
      </c>
      <c r="BI40" s="188">
        <v>8658305.0199999996</v>
      </c>
      <c r="BJ40" s="188">
        <v>6185361.3499999996</v>
      </c>
      <c r="BK40" s="188">
        <v>9096286.9100000001</v>
      </c>
      <c r="BL40" s="188">
        <v>-947851.02</v>
      </c>
      <c r="BM40" s="188">
        <v>6183675.6399999997</v>
      </c>
      <c r="BN40" s="188">
        <v>2482855.12</v>
      </c>
      <c r="BO40" s="188">
        <v>7541966.25</v>
      </c>
      <c r="BP40" s="188">
        <v>7342010.8499999996</v>
      </c>
      <c r="BQ40" s="188">
        <v>14423566.02</v>
      </c>
      <c r="BR40" s="188">
        <v>16800400.66</v>
      </c>
      <c r="BS40" s="188">
        <v>0</v>
      </c>
      <c r="BT40" s="188"/>
      <c r="BU40" s="188"/>
      <c r="BV40" s="188"/>
      <c r="BW40" s="188"/>
      <c r="BX40" s="188"/>
      <c r="BY40" s="188"/>
      <c r="BZ40" s="188"/>
      <c r="CA40" s="188"/>
      <c r="CB40" s="188"/>
      <c r="CC40" s="188"/>
      <c r="CD40" s="188"/>
      <c r="CE40" s="188"/>
      <c r="CF40" s="188"/>
      <c r="CG40" s="188"/>
      <c r="CH40" s="188"/>
      <c r="CI40" s="188"/>
      <c r="CJ40" s="188"/>
      <c r="CK40" s="188"/>
      <c r="CL40" s="188"/>
    </row>
    <row r="41" spans="1:90">
      <c r="A41" s="17" t="s">
        <v>27</v>
      </c>
      <c r="B41" s="188">
        <v>66002400.799999997</v>
      </c>
      <c r="C41" s="188">
        <v>81306343.849999994</v>
      </c>
      <c r="D41" s="188">
        <v>65927556.259999998</v>
      </c>
      <c r="E41" s="188">
        <v>55391759.829999998</v>
      </c>
      <c r="F41" s="188">
        <v>75105614.280000001</v>
      </c>
      <c r="G41" s="188">
        <v>72250531.829999998</v>
      </c>
      <c r="H41" s="188">
        <v>55159506.770000003</v>
      </c>
      <c r="I41" s="188">
        <v>39200218.009999998</v>
      </c>
      <c r="J41" s="188">
        <v>34420965.340000004</v>
      </c>
      <c r="K41" s="188">
        <v>36109025.68</v>
      </c>
      <c r="L41" s="188">
        <v>39266741.310000002</v>
      </c>
      <c r="M41" s="188">
        <v>32700997.390000001</v>
      </c>
      <c r="N41" s="188">
        <v>28747138.93</v>
      </c>
      <c r="O41" s="188">
        <v>27717986.809999999</v>
      </c>
      <c r="P41" s="188">
        <v>25835474.559999999</v>
      </c>
      <c r="Q41" s="188">
        <v>22586077.82</v>
      </c>
      <c r="R41" s="188">
        <v>21049401.390000001</v>
      </c>
      <c r="S41" s="188">
        <v>18790842.73</v>
      </c>
      <c r="T41" s="188">
        <v>17641601.359999999</v>
      </c>
      <c r="U41" s="188">
        <v>21340732.48</v>
      </c>
      <c r="V41" s="188">
        <v>16818809.77</v>
      </c>
      <c r="W41" s="188">
        <v>16933496.52</v>
      </c>
      <c r="X41" s="188">
        <v>16509164.720000001</v>
      </c>
      <c r="Y41" s="188">
        <v>17280376.510000002</v>
      </c>
      <c r="Z41" s="188">
        <v>14059627.810000001</v>
      </c>
      <c r="AA41" s="188">
        <v>13904214.949999999</v>
      </c>
      <c r="AB41" s="188">
        <v>13439024.640000001</v>
      </c>
      <c r="AC41" s="188">
        <v>14719464.02</v>
      </c>
      <c r="AD41" s="188">
        <v>19088271.02</v>
      </c>
      <c r="AE41" s="188">
        <v>17955890.43</v>
      </c>
      <c r="AF41" s="188">
        <v>60921435.770000003</v>
      </c>
      <c r="AG41" s="188">
        <v>60078499.079999998</v>
      </c>
      <c r="AH41" s="188">
        <v>29285133.09</v>
      </c>
      <c r="AI41" s="188">
        <v>23057522.07</v>
      </c>
      <c r="AJ41" s="188">
        <v>18857027.170000002</v>
      </c>
      <c r="AK41" s="188">
        <v>17583579.140000001</v>
      </c>
      <c r="AL41" s="188">
        <v>19363495.18</v>
      </c>
      <c r="AM41" s="188">
        <v>21876230.370000001</v>
      </c>
      <c r="AN41" s="188">
        <v>19703329.530000001</v>
      </c>
      <c r="AO41" s="188">
        <v>14296597.32</v>
      </c>
      <c r="AP41" s="188">
        <v>16496940.869999999</v>
      </c>
      <c r="AQ41" s="188">
        <v>26105133.719999999</v>
      </c>
      <c r="AR41" s="188">
        <v>17118175.760000002</v>
      </c>
      <c r="AS41" s="188">
        <v>10922016.32</v>
      </c>
      <c r="AT41" s="188">
        <v>11309143.050000001</v>
      </c>
      <c r="AU41" s="188">
        <v>12799071.300000001</v>
      </c>
      <c r="AV41" s="188">
        <v>13533793.109999999</v>
      </c>
      <c r="AW41" s="188">
        <v>13463738.380000001</v>
      </c>
      <c r="AX41" s="188">
        <v>18839821.93</v>
      </c>
      <c r="AY41" s="188">
        <v>24748322.030000001</v>
      </c>
      <c r="AZ41" s="188">
        <v>19664155.039999999</v>
      </c>
      <c r="BA41" s="188">
        <v>20119172.489999998</v>
      </c>
      <c r="BB41" s="188">
        <v>19613046.16</v>
      </c>
      <c r="BC41" s="188">
        <v>26979732.600000001</v>
      </c>
      <c r="BD41" s="188">
        <v>20490937.870000001</v>
      </c>
      <c r="BE41" s="188">
        <v>23546496</v>
      </c>
      <c r="BF41" s="188">
        <v>22010858.460000001</v>
      </c>
      <c r="BG41" s="188">
        <v>20197598.760000002</v>
      </c>
      <c r="BH41" s="188">
        <v>12169756.939999999</v>
      </c>
      <c r="BI41" s="188">
        <v>21601170.579999998</v>
      </c>
      <c r="BJ41" s="188">
        <v>30640359.859999999</v>
      </c>
      <c r="BK41" s="188">
        <v>36122289.219999999</v>
      </c>
      <c r="BL41" s="188">
        <v>46327969.490000002</v>
      </c>
      <c r="BM41" s="188">
        <v>34096486.649999999</v>
      </c>
      <c r="BN41" s="188">
        <v>38684465.810000002</v>
      </c>
      <c r="BO41" s="188">
        <v>52593133.890000001</v>
      </c>
      <c r="BP41" s="188">
        <v>54091123.979999997</v>
      </c>
      <c r="BQ41" s="188">
        <v>34971670.630000003</v>
      </c>
      <c r="BR41" s="188">
        <v>32590766.420000002</v>
      </c>
      <c r="BS41" s="188">
        <v>0</v>
      </c>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c r="A42" s="123"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v>0</v>
      </c>
      <c r="BI42" s="188">
        <v>0</v>
      </c>
      <c r="BJ42" s="188">
        <v>0</v>
      </c>
      <c r="BK42" s="188">
        <v>0</v>
      </c>
      <c r="BL42" s="188">
        <v>0</v>
      </c>
      <c r="BM42" s="188">
        <v>0</v>
      </c>
      <c r="BN42" s="188">
        <v>0</v>
      </c>
      <c r="BO42" s="188">
        <v>0</v>
      </c>
      <c r="BP42" s="188">
        <v>0</v>
      </c>
      <c r="BQ42" s="188">
        <v>0</v>
      </c>
      <c r="BR42" s="188">
        <v>0</v>
      </c>
      <c r="BS42" s="188">
        <v>0</v>
      </c>
      <c r="BT42" s="188"/>
      <c r="BU42" s="188"/>
      <c r="BV42" s="188"/>
      <c r="BW42" s="188"/>
      <c r="BX42" s="188"/>
      <c r="BY42" s="188"/>
      <c r="BZ42" s="188"/>
      <c r="CA42" s="188"/>
      <c r="CB42" s="188"/>
      <c r="CC42" s="188"/>
      <c r="CD42" s="188"/>
      <c r="CE42" s="188"/>
      <c r="CF42" s="188"/>
      <c r="CG42" s="188"/>
      <c r="CH42" s="188"/>
      <c r="CI42" s="188"/>
      <c r="CJ42" s="188"/>
      <c r="CK42" s="188"/>
      <c r="CL42" s="188"/>
    </row>
    <row r="43" spans="1:90">
      <c r="A43" s="17" t="s">
        <v>29</v>
      </c>
      <c r="B43" s="188">
        <v>35675397.770000003</v>
      </c>
      <c r="C43" s="188">
        <v>32401647.77</v>
      </c>
      <c r="D43" s="188">
        <v>31658197.77</v>
      </c>
      <c r="E43" s="188">
        <v>30047447.77</v>
      </c>
      <c r="F43" s="188">
        <v>30156152.539999999</v>
      </c>
      <c r="G43" s="188">
        <v>30254489.84</v>
      </c>
      <c r="H43" s="188">
        <v>30433546.940000001</v>
      </c>
      <c r="I43" s="188">
        <v>27247094.440000001</v>
      </c>
      <c r="J43" s="188">
        <v>26249600</v>
      </c>
      <c r="K43" s="188">
        <v>26249600</v>
      </c>
      <c r="L43" s="188">
        <v>26249600</v>
      </c>
      <c r="M43" s="188">
        <v>25520600</v>
      </c>
      <c r="N43" s="188">
        <v>26120600</v>
      </c>
      <c r="O43" s="188">
        <v>640000</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5272100</v>
      </c>
      <c r="AU43" s="188">
        <v>0</v>
      </c>
      <c r="AV43" s="188">
        <v>0</v>
      </c>
      <c r="AW43" s="188">
        <v>0</v>
      </c>
      <c r="AX43" s="188">
        <v>0</v>
      </c>
      <c r="AY43" s="188">
        <v>0</v>
      </c>
      <c r="AZ43" s="188">
        <v>0</v>
      </c>
      <c r="BA43" s="188">
        <v>0</v>
      </c>
      <c r="BB43" s="188">
        <v>0</v>
      </c>
      <c r="BC43" s="188">
        <v>0</v>
      </c>
      <c r="BD43" s="188">
        <v>0</v>
      </c>
      <c r="BE43" s="188">
        <v>0</v>
      </c>
      <c r="BF43" s="188">
        <v>0</v>
      </c>
      <c r="BG43" s="188">
        <v>0</v>
      </c>
      <c r="BH43" s="188">
        <v>0</v>
      </c>
      <c r="BI43" s="188">
        <v>0</v>
      </c>
      <c r="BJ43" s="188">
        <v>0</v>
      </c>
      <c r="BK43" s="188">
        <v>0</v>
      </c>
      <c r="BL43" s="188">
        <v>0</v>
      </c>
      <c r="BM43" s="188">
        <v>0</v>
      </c>
      <c r="BN43" s="188">
        <v>0</v>
      </c>
      <c r="BO43" s="188">
        <v>0</v>
      </c>
      <c r="BP43" s="188">
        <v>0</v>
      </c>
      <c r="BQ43" s="188">
        <v>0</v>
      </c>
      <c r="BR43" s="188">
        <v>0</v>
      </c>
      <c r="BS43" s="188">
        <v>0</v>
      </c>
      <c r="BT43" s="188"/>
      <c r="BU43" s="188"/>
      <c r="BV43" s="188"/>
      <c r="BW43" s="188"/>
      <c r="BX43" s="188"/>
      <c r="BY43" s="188"/>
      <c r="BZ43" s="188"/>
      <c r="CA43" s="188"/>
      <c r="CB43" s="188"/>
      <c r="CC43" s="188"/>
      <c r="CD43" s="188"/>
      <c r="CE43" s="188"/>
      <c r="CF43" s="188"/>
      <c r="CG43" s="188"/>
      <c r="CH43" s="188"/>
      <c r="CI43" s="188"/>
      <c r="CJ43" s="188"/>
      <c r="CK43" s="188"/>
      <c r="CL43" s="188"/>
    </row>
    <row r="44" spans="1:90">
      <c r="A44" s="17" t="s">
        <v>30</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3534100</v>
      </c>
      <c r="AY44" s="188">
        <v>3534100</v>
      </c>
      <c r="AZ44" s="188">
        <v>3218100</v>
      </c>
      <c r="BA44" s="188">
        <v>3218100</v>
      </c>
      <c r="BB44" s="188">
        <v>3218100</v>
      </c>
      <c r="BC44" s="188">
        <v>0</v>
      </c>
      <c r="BD44" s="188">
        <v>0</v>
      </c>
      <c r="BE44" s="188">
        <v>0</v>
      </c>
      <c r="BF44" s="188">
        <v>4710952.2699999996</v>
      </c>
      <c r="BG44" s="188">
        <v>4710952.2699999996</v>
      </c>
      <c r="BH44" s="188">
        <v>4710952.2699999996</v>
      </c>
      <c r="BI44" s="188">
        <v>1200952.27</v>
      </c>
      <c r="BJ44" s="188">
        <v>3342000</v>
      </c>
      <c r="BK44" s="188">
        <v>3342000</v>
      </c>
      <c r="BL44" s="188">
        <v>3342000</v>
      </c>
      <c r="BM44" s="188">
        <v>0</v>
      </c>
      <c r="BN44" s="188">
        <v>0</v>
      </c>
      <c r="BO44" s="188">
        <v>0</v>
      </c>
      <c r="BP44" s="188">
        <v>0</v>
      </c>
      <c r="BQ44" s="188">
        <v>0</v>
      </c>
      <c r="BR44" s="188">
        <v>0</v>
      </c>
      <c r="BS44" s="188">
        <v>0</v>
      </c>
      <c r="BT44" s="188"/>
      <c r="BU44" s="188"/>
      <c r="BV44" s="188"/>
      <c r="BW44" s="188"/>
      <c r="BX44" s="188"/>
      <c r="BY44" s="188"/>
      <c r="BZ44" s="188"/>
      <c r="CA44" s="188"/>
      <c r="CB44" s="188"/>
      <c r="CC44" s="188"/>
      <c r="CD44" s="188"/>
      <c r="CE44" s="188"/>
      <c r="CF44" s="188"/>
      <c r="CG44" s="188"/>
      <c r="CH44" s="188"/>
      <c r="CI44" s="188"/>
      <c r="CJ44" s="188"/>
      <c r="CK44" s="188"/>
      <c r="CL44" s="188"/>
    </row>
    <row r="45" spans="1:90">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1562500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c r="BU45" s="188"/>
      <c r="BV45" s="188"/>
      <c r="BW45" s="188"/>
      <c r="BX45" s="188"/>
      <c r="BY45" s="188"/>
      <c r="BZ45" s="188"/>
      <c r="CA45" s="188"/>
      <c r="CB45" s="188"/>
      <c r="CC45" s="188"/>
      <c r="CD45" s="188"/>
      <c r="CE45" s="188"/>
      <c r="CF45" s="188"/>
      <c r="CG45" s="188"/>
      <c r="CH45" s="188"/>
      <c r="CI45" s="188"/>
      <c r="CJ45" s="188"/>
      <c r="CK45" s="188"/>
      <c r="CL45" s="188"/>
    </row>
    <row r="46" spans="1:90" ht="14.45" hidden="1">
      <c r="B46" s="26"/>
      <c r="C46" s="26"/>
      <c r="D46" s="26"/>
      <c r="E46" s="26"/>
      <c r="F46" s="26"/>
      <c r="G46" s="26"/>
      <c r="H46" s="26"/>
      <c r="I46" s="26"/>
      <c r="J46" s="26"/>
      <c r="K46" s="26"/>
      <c r="L46" s="23"/>
    </row>
    <row r="47" spans="1:90" ht="14.45" hidden="1">
      <c r="B47" s="26"/>
      <c r="C47" s="26"/>
      <c r="D47" s="26"/>
      <c r="E47" s="26"/>
      <c r="F47" s="26"/>
      <c r="G47" s="26"/>
      <c r="H47" s="26"/>
      <c r="I47" s="26"/>
      <c r="J47" s="26"/>
      <c r="K47" s="26"/>
      <c r="L47" s="23"/>
    </row>
    <row r="48" spans="1:90" ht="14.45" hidden="1">
      <c r="B48" s="26"/>
      <c r="C48" s="26"/>
      <c r="D48" s="26"/>
      <c r="E48" s="26"/>
      <c r="F48" s="26"/>
      <c r="G48" s="26"/>
      <c r="H48" s="26"/>
      <c r="I48" s="26"/>
      <c r="J48" s="26"/>
      <c r="K48" s="26"/>
      <c r="L48" s="23"/>
    </row>
    <row r="49" spans="1:90" s="10" customFormat="1">
      <c r="A49" s="122" t="s">
        <v>32</v>
      </c>
      <c r="B49" s="35">
        <f>SUM(B35:B41)+SUM(B43:B45)</f>
        <v>271706043.74000001</v>
      </c>
      <c r="C49" s="35">
        <f>SUM(C35:C41)+SUM(C43:C45)</f>
        <v>929577360.26000011</v>
      </c>
      <c r="D49" s="35">
        <f>SUM(D35:D41)+SUM(D43:D45)</f>
        <v>872931529.6099999</v>
      </c>
      <c r="E49" s="35">
        <f>SUM(E35:E45)</f>
        <v>920335587.12000012</v>
      </c>
      <c r="F49" s="35">
        <f t="shared" ref="F49:BQ49" si="4">SUM(F35:F45)</f>
        <v>915482869.13</v>
      </c>
      <c r="G49" s="35">
        <f t="shared" si="4"/>
        <v>892870317.99000001</v>
      </c>
      <c r="H49" s="35">
        <f t="shared" si="4"/>
        <v>887627189.51999998</v>
      </c>
      <c r="I49" s="35">
        <f t="shared" si="4"/>
        <v>854961109.72000015</v>
      </c>
      <c r="J49" s="35">
        <f t="shared" si="4"/>
        <v>848404471.25</v>
      </c>
      <c r="K49" s="35">
        <f t="shared" si="4"/>
        <v>842322463.95999992</v>
      </c>
      <c r="L49" s="35">
        <f t="shared" si="4"/>
        <v>769608211.85000014</v>
      </c>
      <c r="M49" s="35">
        <f t="shared" si="4"/>
        <v>732810107.99000001</v>
      </c>
      <c r="N49" s="35">
        <f t="shared" si="4"/>
        <v>682509937.02999997</v>
      </c>
      <c r="O49" s="35">
        <f t="shared" si="4"/>
        <v>587910603.8499999</v>
      </c>
      <c r="P49" s="35">
        <f t="shared" si="4"/>
        <v>586717443.50999999</v>
      </c>
      <c r="Q49" s="35">
        <f t="shared" si="4"/>
        <v>574461759.18000007</v>
      </c>
      <c r="R49" s="35">
        <f t="shared" si="4"/>
        <v>595649874.7299999</v>
      </c>
      <c r="S49" s="35">
        <f t="shared" si="4"/>
        <v>599408624.41000009</v>
      </c>
      <c r="T49" s="35">
        <f t="shared" si="4"/>
        <v>592585870.80999994</v>
      </c>
      <c r="U49" s="35">
        <f t="shared" si="4"/>
        <v>585196153.97000003</v>
      </c>
      <c r="V49" s="35">
        <f t="shared" si="4"/>
        <v>571360807.24999988</v>
      </c>
      <c r="W49" s="35">
        <f t="shared" si="4"/>
        <v>568562846.42999995</v>
      </c>
      <c r="X49" s="35">
        <f t="shared" si="4"/>
        <v>529809513.28999996</v>
      </c>
      <c r="Y49" s="35">
        <f t="shared" si="4"/>
        <v>552547072.83000004</v>
      </c>
      <c r="Z49" s="35">
        <f t="shared" si="4"/>
        <v>553972588.3499999</v>
      </c>
      <c r="AA49" s="35">
        <f t="shared" si="4"/>
        <v>528571225.79000002</v>
      </c>
      <c r="AB49" s="35">
        <f t="shared" si="4"/>
        <v>506873103.04999995</v>
      </c>
      <c r="AC49" s="35">
        <f t="shared" si="4"/>
        <v>581571937.38</v>
      </c>
      <c r="AD49" s="35">
        <f t="shared" si="4"/>
        <v>587898243.53999984</v>
      </c>
      <c r="AE49" s="35">
        <f t="shared" si="4"/>
        <v>537688488.91999996</v>
      </c>
      <c r="AF49" s="35">
        <f t="shared" si="4"/>
        <v>660032356.42999995</v>
      </c>
      <c r="AG49" s="35">
        <f t="shared" si="4"/>
        <v>653689422.76000011</v>
      </c>
      <c r="AH49" s="35">
        <f t="shared" si="4"/>
        <v>625410712.35000002</v>
      </c>
      <c r="AI49" s="35">
        <f t="shared" si="4"/>
        <v>644831451.37</v>
      </c>
      <c r="AJ49" s="35">
        <f t="shared" si="4"/>
        <v>590131760.27999985</v>
      </c>
      <c r="AK49" s="35">
        <f t="shared" si="4"/>
        <v>489511286.38999999</v>
      </c>
      <c r="AL49" s="35">
        <f t="shared" si="4"/>
        <v>471947464.54000002</v>
      </c>
      <c r="AM49" s="35">
        <f t="shared" si="4"/>
        <v>456679589.53000003</v>
      </c>
      <c r="AN49" s="35">
        <f t="shared" si="4"/>
        <v>434478764.21000004</v>
      </c>
      <c r="AO49" s="35">
        <f t="shared" si="4"/>
        <v>397588930.16999996</v>
      </c>
      <c r="AP49" s="35">
        <f t="shared" si="4"/>
        <v>469048185.37000006</v>
      </c>
      <c r="AQ49" s="35">
        <f t="shared" si="4"/>
        <v>449271008.48000002</v>
      </c>
      <c r="AR49" s="35">
        <f t="shared" si="4"/>
        <v>388274825.22999996</v>
      </c>
      <c r="AS49" s="35">
        <f t="shared" si="4"/>
        <v>422028270.12</v>
      </c>
      <c r="AT49" s="35">
        <f t="shared" si="4"/>
        <v>467565227.22999996</v>
      </c>
      <c r="AU49" s="35">
        <f t="shared" si="4"/>
        <v>456788991.67999995</v>
      </c>
      <c r="AV49" s="35">
        <f t="shared" si="4"/>
        <v>437365858.35000002</v>
      </c>
      <c r="AW49" s="35">
        <f t="shared" si="4"/>
        <v>420484453.36000001</v>
      </c>
      <c r="AX49" s="35">
        <f t="shared" si="4"/>
        <v>358029664.47000003</v>
      </c>
      <c r="AY49" s="35">
        <f t="shared" si="4"/>
        <v>348492015.49000001</v>
      </c>
      <c r="AZ49" s="35">
        <f t="shared" si="4"/>
        <v>312759347.43000001</v>
      </c>
      <c r="BA49" s="35">
        <f t="shared" si="4"/>
        <v>292177103.88000005</v>
      </c>
      <c r="BB49" s="35">
        <f t="shared" si="4"/>
        <v>302678466.94</v>
      </c>
      <c r="BC49" s="35">
        <f t="shared" si="4"/>
        <v>280074583.69</v>
      </c>
      <c r="BD49" s="35">
        <f t="shared" si="4"/>
        <v>258820742.97999999</v>
      </c>
      <c r="BE49" s="35">
        <f t="shared" si="4"/>
        <v>272422750.72000003</v>
      </c>
      <c r="BF49" s="35">
        <f t="shared" si="4"/>
        <v>327691222.38999993</v>
      </c>
      <c r="BG49" s="35">
        <f t="shared" si="4"/>
        <v>267965570.08000001</v>
      </c>
      <c r="BH49" s="35">
        <f t="shared" si="4"/>
        <v>237395330.36000004</v>
      </c>
      <c r="BI49" s="35">
        <f t="shared" si="4"/>
        <v>242679599.13000003</v>
      </c>
      <c r="BJ49" s="35">
        <f t="shared" si="4"/>
        <v>218136120.88</v>
      </c>
      <c r="BK49" s="35">
        <f t="shared" si="4"/>
        <v>187079891.91</v>
      </c>
      <c r="BL49" s="35">
        <f t="shared" si="4"/>
        <v>193190919.43000001</v>
      </c>
      <c r="BM49" s="35">
        <f t="shared" si="4"/>
        <v>203954095.74999997</v>
      </c>
      <c r="BN49" s="35">
        <f t="shared" si="4"/>
        <v>188963877.53</v>
      </c>
      <c r="BO49" s="35">
        <f t="shared" si="4"/>
        <v>166378870.27000001</v>
      </c>
      <c r="BP49" s="35">
        <f t="shared" si="4"/>
        <v>148175110.14999998</v>
      </c>
      <c r="BQ49" s="35">
        <f t="shared" si="4"/>
        <v>130067717.03</v>
      </c>
      <c r="BR49" s="35">
        <f t="shared" ref="BR49:CK49" si="5">SUM(BR35:BR45)</f>
        <v>105798536.31</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24" t="s">
        <v>81</v>
      </c>
      <c r="B50" s="36">
        <f>B33-B49</f>
        <v>1910389237.5600002</v>
      </c>
      <c r="C50" s="36">
        <f t="shared" ref="C50:BN50" si="6">C33-C49</f>
        <v>1068995119.1999999</v>
      </c>
      <c r="D50" s="36">
        <f t="shared" si="6"/>
        <v>1174692594.5800002</v>
      </c>
      <c r="E50" s="36">
        <f t="shared" si="6"/>
        <v>1115764343.2399998</v>
      </c>
      <c r="F50" s="36">
        <f t="shared" si="6"/>
        <v>1163318004.6999998</v>
      </c>
      <c r="G50" s="36">
        <f t="shared" si="6"/>
        <v>1228419894.6200001</v>
      </c>
      <c r="H50" s="36">
        <f t="shared" si="6"/>
        <v>1159312455.4900002</v>
      </c>
      <c r="I50" s="36">
        <f t="shared" si="6"/>
        <v>570177786.54000008</v>
      </c>
      <c r="J50" s="36">
        <f t="shared" si="6"/>
        <v>557166779.77999997</v>
      </c>
      <c r="K50" s="36">
        <f t="shared" si="6"/>
        <v>526165578.19000018</v>
      </c>
      <c r="L50" s="36">
        <f t="shared" si="6"/>
        <v>598020328.12000012</v>
      </c>
      <c r="M50" s="36">
        <f t="shared" si="6"/>
        <v>585753718.03999996</v>
      </c>
      <c r="N50" s="36">
        <f t="shared" si="6"/>
        <v>627833937.38000011</v>
      </c>
      <c r="O50" s="36">
        <f t="shared" si="6"/>
        <v>740368833.99000001</v>
      </c>
      <c r="P50" s="36">
        <f t="shared" si="6"/>
        <v>758892334.56999993</v>
      </c>
      <c r="Q50" s="36">
        <f t="shared" si="6"/>
        <v>724820866.96000004</v>
      </c>
      <c r="R50" s="36">
        <f t="shared" si="6"/>
        <v>753335509.13999975</v>
      </c>
      <c r="S50" s="36">
        <f t="shared" si="6"/>
        <v>716159309.23000002</v>
      </c>
      <c r="T50" s="36">
        <f t="shared" si="6"/>
        <v>686007964.29999995</v>
      </c>
      <c r="U50" s="36">
        <f t="shared" si="6"/>
        <v>690587685.00000024</v>
      </c>
      <c r="V50" s="36">
        <f t="shared" si="6"/>
        <v>713487862.9200002</v>
      </c>
      <c r="W50" s="36">
        <f t="shared" si="6"/>
        <v>665026765.24000013</v>
      </c>
      <c r="X50" s="36">
        <f t="shared" si="6"/>
        <v>686445169.95000005</v>
      </c>
      <c r="Y50" s="36">
        <f t="shared" si="6"/>
        <v>648638643.10000002</v>
      </c>
      <c r="Z50" s="36">
        <f t="shared" si="6"/>
        <v>669836554.56000018</v>
      </c>
      <c r="AA50" s="36">
        <f t="shared" si="6"/>
        <v>646822074.36999989</v>
      </c>
      <c r="AB50" s="36">
        <f t="shared" si="6"/>
        <v>606371944.75999999</v>
      </c>
      <c r="AC50" s="36">
        <f t="shared" si="6"/>
        <v>473152954.70999992</v>
      </c>
      <c r="AD50" s="36">
        <f t="shared" si="6"/>
        <v>635503267.06000006</v>
      </c>
      <c r="AE50" s="36">
        <f t="shared" si="6"/>
        <v>615546859.06000006</v>
      </c>
      <c r="AF50" s="36">
        <f t="shared" si="6"/>
        <v>666639368.30000007</v>
      </c>
      <c r="AG50" s="36">
        <f t="shared" si="6"/>
        <v>593604989.80999982</v>
      </c>
      <c r="AH50" s="36">
        <f t="shared" si="6"/>
        <v>530427373.64999998</v>
      </c>
      <c r="AI50" s="36">
        <f t="shared" si="6"/>
        <v>503178277.03000009</v>
      </c>
      <c r="AJ50" s="36">
        <f t="shared" si="6"/>
        <v>498306670.43000019</v>
      </c>
      <c r="AK50" s="36">
        <f t="shared" si="6"/>
        <v>563049698.60000002</v>
      </c>
      <c r="AL50" s="36">
        <f t="shared" si="6"/>
        <v>603126272.21999979</v>
      </c>
      <c r="AM50" s="36">
        <f t="shared" si="6"/>
        <v>574501889.81999993</v>
      </c>
      <c r="AN50" s="36">
        <f t="shared" si="6"/>
        <v>581259300.74000001</v>
      </c>
      <c r="AO50" s="36">
        <f t="shared" si="6"/>
        <v>570729164.80000019</v>
      </c>
      <c r="AP50" s="36">
        <f t="shared" si="6"/>
        <v>532369366.72999984</v>
      </c>
      <c r="AQ50" s="36">
        <f t="shared" si="6"/>
        <v>487699464.88999999</v>
      </c>
      <c r="AR50" s="36">
        <f t="shared" si="6"/>
        <v>462853283.17000014</v>
      </c>
      <c r="AS50" s="36">
        <f t="shared" si="6"/>
        <v>442922978.75999987</v>
      </c>
      <c r="AT50" s="36">
        <f t="shared" si="6"/>
        <v>394009099.01000005</v>
      </c>
      <c r="AU50" s="36">
        <f t="shared" si="6"/>
        <v>357461531.61000013</v>
      </c>
      <c r="AV50" s="36">
        <f t="shared" si="6"/>
        <v>336044605.38999999</v>
      </c>
      <c r="AW50" s="36">
        <f t="shared" si="6"/>
        <v>349263652.88999999</v>
      </c>
      <c r="AX50" s="36">
        <f t="shared" si="6"/>
        <v>384584008.00999999</v>
      </c>
      <c r="AY50" s="36">
        <f t="shared" si="6"/>
        <v>362675681.93000007</v>
      </c>
      <c r="AZ50" s="36">
        <f t="shared" si="6"/>
        <v>100518258.18000001</v>
      </c>
      <c r="BA50" s="36">
        <f t="shared" si="6"/>
        <v>308900954.2899999</v>
      </c>
      <c r="BB50" s="36">
        <f t="shared" si="6"/>
        <v>246768675.59999996</v>
      </c>
      <c r="BC50" s="36">
        <f t="shared" si="6"/>
        <v>241960155.74999994</v>
      </c>
      <c r="BD50" s="36">
        <f t="shared" si="6"/>
        <v>225317888.03999999</v>
      </c>
      <c r="BE50" s="36">
        <f t="shared" si="6"/>
        <v>203982257.12</v>
      </c>
      <c r="BF50" s="36">
        <f t="shared" si="6"/>
        <v>112069468.44000006</v>
      </c>
      <c r="BG50" s="36">
        <f t="shared" si="6"/>
        <v>119068923.55999997</v>
      </c>
      <c r="BH50" s="36">
        <f t="shared" si="6"/>
        <v>114983621.06999996</v>
      </c>
      <c r="BI50" s="36">
        <f t="shared" si="6"/>
        <v>57528427.349999994</v>
      </c>
      <c r="BJ50" s="36">
        <f t="shared" si="6"/>
        <v>45862565.370000005</v>
      </c>
      <c r="BK50" s="36">
        <f t="shared" si="6"/>
        <v>46225320.449999988</v>
      </c>
      <c r="BL50" s="36">
        <f t="shared" si="6"/>
        <v>54997231.399999976</v>
      </c>
      <c r="BM50" s="36">
        <f t="shared" si="6"/>
        <v>18038566.690000027</v>
      </c>
      <c r="BN50" s="36">
        <f t="shared" si="6"/>
        <v>51924457.039999992</v>
      </c>
      <c r="BO50" s="36">
        <f t="shared" ref="BO50:CK50" si="7">BO33-BO49</f>
        <v>76149534.769999951</v>
      </c>
      <c r="BP50" s="36">
        <f t="shared" si="7"/>
        <v>73892430.870000035</v>
      </c>
      <c r="BQ50" s="36">
        <f t="shared" si="7"/>
        <v>85488214.629999995</v>
      </c>
      <c r="BR50" s="36">
        <f t="shared" si="7"/>
        <v>84341629.099999994</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c r="A51" s="191" t="s">
        <v>33</v>
      </c>
    </row>
    <row r="52" spans="1:90" s="191" customFormat="1">
      <c r="A52" s="191" t="s">
        <v>34</v>
      </c>
      <c r="B52" s="188">
        <v>1176739521.3499999</v>
      </c>
      <c r="C52" s="188">
        <v>1182477577.26</v>
      </c>
      <c r="D52" s="188">
        <v>1221996900.1900001</v>
      </c>
      <c r="E52" s="188">
        <v>1220203080.5699999</v>
      </c>
      <c r="F52" s="188">
        <v>1235917528.76</v>
      </c>
      <c r="G52" s="188">
        <v>1236470024.5999999</v>
      </c>
      <c r="H52" s="188">
        <v>1208145619.49</v>
      </c>
      <c r="I52" s="188">
        <v>1187779936.3800001</v>
      </c>
      <c r="J52" s="188">
        <v>1210571022.54</v>
      </c>
      <c r="K52" s="188">
        <v>1205611464.9000001</v>
      </c>
      <c r="L52" s="188">
        <v>1091819401.52</v>
      </c>
      <c r="M52" s="188">
        <v>1078691097.8299999</v>
      </c>
      <c r="N52" s="188">
        <v>1050536012.78</v>
      </c>
      <c r="O52" s="188">
        <v>1057483421.04</v>
      </c>
      <c r="P52" s="188">
        <v>1081066480.4400001</v>
      </c>
      <c r="Q52" s="188">
        <v>1099872133.6800001</v>
      </c>
      <c r="R52" s="188">
        <v>1080266556.47</v>
      </c>
      <c r="S52" s="188">
        <v>1087123016.8199999</v>
      </c>
      <c r="T52" s="188">
        <v>1107760703.1300001</v>
      </c>
      <c r="U52" s="188">
        <v>1122027169.6600001</v>
      </c>
      <c r="V52" s="188">
        <v>1089484369.26</v>
      </c>
      <c r="W52" s="188">
        <v>1085353646.22</v>
      </c>
      <c r="X52" s="188">
        <v>1094953462.4400001</v>
      </c>
      <c r="Y52" s="188">
        <v>1113737436.99</v>
      </c>
      <c r="Z52" s="188">
        <v>1082181075.97</v>
      </c>
      <c r="AA52" s="188">
        <v>1089572221.7</v>
      </c>
      <c r="AB52" s="188">
        <v>1095555146.6800001</v>
      </c>
      <c r="AC52" s="188">
        <v>1063134488.66</v>
      </c>
      <c r="AD52" s="188">
        <v>814979215.21000004</v>
      </c>
      <c r="AE52" s="188">
        <v>743608921.49000001</v>
      </c>
      <c r="AF52" s="188">
        <v>751428739.14999998</v>
      </c>
      <c r="AG52" s="188">
        <v>769312694.21000004</v>
      </c>
      <c r="AH52" s="188">
        <v>777388620.5</v>
      </c>
      <c r="AI52" s="188">
        <v>705787333.25999999</v>
      </c>
      <c r="AJ52" s="188">
        <v>723769840.38</v>
      </c>
      <c r="AK52" s="188">
        <v>740308886.82000005</v>
      </c>
      <c r="AL52" s="188">
        <v>724218249.30999994</v>
      </c>
      <c r="AM52" s="188">
        <v>738298625.72000003</v>
      </c>
      <c r="AN52" s="188">
        <v>740112700.96000004</v>
      </c>
      <c r="AO52" s="188">
        <v>752306309.12</v>
      </c>
      <c r="AP52" s="188">
        <v>763362823.07000005</v>
      </c>
      <c r="AQ52" s="188">
        <v>773752440.51999998</v>
      </c>
      <c r="AR52" s="188">
        <v>753938933.88</v>
      </c>
      <c r="AS52" s="188">
        <v>683650077.24000001</v>
      </c>
      <c r="AT52" s="188">
        <v>693686764.98000002</v>
      </c>
      <c r="AU52" s="188">
        <v>701401016.99000001</v>
      </c>
      <c r="AV52" s="188">
        <v>686829610.03999996</v>
      </c>
      <c r="AW52" s="188">
        <v>651787253.65999997</v>
      </c>
      <c r="AX52" s="188">
        <v>652563475.94000006</v>
      </c>
      <c r="AY52" s="188">
        <v>631796840.89999998</v>
      </c>
      <c r="AZ52" s="188">
        <v>636775596.35000002</v>
      </c>
      <c r="BA52" s="188">
        <v>644191250</v>
      </c>
      <c r="BB52" s="188">
        <v>603235859.48000002</v>
      </c>
      <c r="BC52" s="188">
        <v>605229820.41999996</v>
      </c>
      <c r="BD52" s="188">
        <v>600772889.55999994</v>
      </c>
      <c r="BE52" s="188">
        <v>549614834.86000001</v>
      </c>
      <c r="BF52" s="188">
        <v>542120599.97000003</v>
      </c>
      <c r="BG52" s="188">
        <v>466702052.69</v>
      </c>
      <c r="BH52" s="188">
        <v>431073628.88999999</v>
      </c>
      <c r="BI52" s="188">
        <v>431876561.54000002</v>
      </c>
      <c r="BJ52" s="188">
        <v>203233178.59999999</v>
      </c>
      <c r="BK52" s="188">
        <v>181220657.69999999</v>
      </c>
      <c r="BL52" s="188">
        <v>183257067.25</v>
      </c>
      <c r="BM52" s="188">
        <v>186273337.91</v>
      </c>
      <c r="BN52" s="188">
        <v>123178957.62</v>
      </c>
      <c r="BO52" s="188">
        <v>131244246.86</v>
      </c>
      <c r="BP52" s="188">
        <v>134929680.96000001</v>
      </c>
      <c r="BQ52" s="188">
        <v>125962845.39</v>
      </c>
      <c r="BR52" s="188">
        <v>110827866.56</v>
      </c>
      <c r="BS52" s="188">
        <v>0</v>
      </c>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c r="A53" s="191" t="s">
        <v>35</v>
      </c>
      <c r="B53" s="188">
        <v>102305260.90000001</v>
      </c>
      <c r="C53" s="188">
        <v>74775840.439999998</v>
      </c>
      <c r="D53" s="188">
        <v>71536463.150000006</v>
      </c>
      <c r="E53" s="188">
        <v>54913469.030000001</v>
      </c>
      <c r="F53" s="188">
        <v>28473904.75</v>
      </c>
      <c r="G53" s="188">
        <v>15843281.199999999</v>
      </c>
      <c r="H53" s="188">
        <v>27971047.84</v>
      </c>
      <c r="I53" s="188">
        <v>45273645.950000003</v>
      </c>
      <c r="J53" s="188">
        <v>39996823.5</v>
      </c>
      <c r="K53" s="188">
        <v>22420057.670000002</v>
      </c>
      <c r="L53" s="188">
        <v>120870111.56</v>
      </c>
      <c r="M53" s="188">
        <v>95984001.840000004</v>
      </c>
      <c r="N53" s="188">
        <v>107713987.34999999</v>
      </c>
      <c r="O53" s="188">
        <v>76136611.450000003</v>
      </c>
      <c r="P53" s="188">
        <v>70914863.689999998</v>
      </c>
      <c r="Q53" s="188">
        <v>42970728.350000001</v>
      </c>
      <c r="R53" s="188">
        <v>50289333.270000003</v>
      </c>
      <c r="S53" s="188">
        <v>46000377.990000002</v>
      </c>
      <c r="T53" s="188">
        <v>30804275.949999999</v>
      </c>
      <c r="U53" s="188">
        <v>22042017.289999999</v>
      </c>
      <c r="V53" s="188">
        <v>44579370.170000002</v>
      </c>
      <c r="W53" s="188">
        <v>39542145.579999998</v>
      </c>
      <c r="X53" s="188">
        <v>35491915.619999997</v>
      </c>
      <c r="Y53" s="188">
        <v>30304190.460000001</v>
      </c>
      <c r="Z53" s="188">
        <v>35560235.399999999</v>
      </c>
      <c r="AA53" s="188">
        <v>13431304.710000001</v>
      </c>
      <c r="AB53" s="188">
        <v>6788280.21</v>
      </c>
      <c r="AC53" s="188">
        <v>39284556.810000002</v>
      </c>
      <c r="AD53" s="188">
        <v>200214178.88999999</v>
      </c>
      <c r="AE53" s="188">
        <v>260857001.62</v>
      </c>
      <c r="AF53" s="188">
        <v>216017375.83000001</v>
      </c>
      <c r="AG53" s="188">
        <v>195033201.06</v>
      </c>
      <c r="AH53" s="188">
        <v>143960793.94999999</v>
      </c>
      <c r="AI53" s="188">
        <v>181193196.47999999</v>
      </c>
      <c r="AJ53" s="188">
        <v>153523914.5</v>
      </c>
      <c r="AK53" s="188">
        <v>114781688.02</v>
      </c>
      <c r="AL53" s="188">
        <v>133403957.48999999</v>
      </c>
      <c r="AM53" s="188">
        <v>101625943.95</v>
      </c>
      <c r="AN53" s="188">
        <v>77837725.230000004</v>
      </c>
      <c r="AO53" s="188">
        <v>75594208.439999998</v>
      </c>
      <c r="AP53" s="188">
        <v>56137178.890000001</v>
      </c>
      <c r="AQ53" s="188">
        <v>43041909.829999998</v>
      </c>
      <c r="AR53" s="188">
        <v>44927771.840000004</v>
      </c>
      <c r="AS53" s="188">
        <v>53597573.289999999</v>
      </c>
      <c r="AT53" s="188">
        <v>34798116.560000002</v>
      </c>
      <c r="AU53" s="188">
        <v>11929333.529999999</v>
      </c>
      <c r="AV53" s="188">
        <v>18653983.609999999</v>
      </c>
      <c r="AW53" s="188">
        <v>43923188.670000002</v>
      </c>
      <c r="AX53" s="188">
        <v>29566440.289999999</v>
      </c>
      <c r="AY53" s="188">
        <v>60050530.119999997</v>
      </c>
      <c r="AZ53" s="188">
        <v>44063678.390000001</v>
      </c>
      <c r="BA53" s="188">
        <v>33394380.48</v>
      </c>
      <c r="BB53" s="188">
        <v>59566443.219999999</v>
      </c>
      <c r="BC53" s="188">
        <v>45633945.380000003</v>
      </c>
      <c r="BD53" s="188">
        <v>49492805.960000001</v>
      </c>
      <c r="BE53" s="188">
        <v>70334170.150000006</v>
      </c>
      <c r="BF53" s="188">
        <v>77513841.670000002</v>
      </c>
      <c r="BG53" s="188">
        <v>103756030.93000001</v>
      </c>
      <c r="BH53" s="188">
        <v>105820446.45</v>
      </c>
      <c r="BI53" s="188">
        <v>86724243.980000004</v>
      </c>
      <c r="BJ53" s="188">
        <v>256978412.22999999</v>
      </c>
      <c r="BK53" s="188">
        <v>206108022.38</v>
      </c>
      <c r="BL53" s="188">
        <v>117097230.72</v>
      </c>
      <c r="BM53" s="188">
        <v>92343934.980000004</v>
      </c>
      <c r="BN53" s="188">
        <v>110226599.75</v>
      </c>
      <c r="BO53" s="188">
        <v>80407084.859999999</v>
      </c>
      <c r="BP53" s="188">
        <v>32434295.100000001</v>
      </c>
      <c r="BQ53" s="188">
        <v>13528367.57</v>
      </c>
      <c r="BR53" s="188">
        <v>17315406.129999999</v>
      </c>
      <c r="BS53" s="188">
        <v>0</v>
      </c>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c r="A54" s="191" t="s">
        <v>36</v>
      </c>
      <c r="B54" s="188">
        <v>0</v>
      </c>
      <c r="C54" s="188">
        <v>2451918.25</v>
      </c>
      <c r="D54" s="188">
        <v>954413.28</v>
      </c>
      <c r="E54" s="188">
        <v>1125295.81</v>
      </c>
      <c r="F54" s="188">
        <v>13895986.470000001</v>
      </c>
      <c r="G54" s="188">
        <v>6730409.6799999997</v>
      </c>
      <c r="H54" s="188">
        <v>10372837.939999999</v>
      </c>
      <c r="I54" s="188">
        <v>6120144.8399999999</v>
      </c>
      <c r="J54" s="188">
        <v>7720836.3799999999</v>
      </c>
      <c r="K54" s="188">
        <v>5312424.63</v>
      </c>
      <c r="L54" s="188">
        <v>2863459.91</v>
      </c>
      <c r="M54" s="188">
        <v>5379453.5999999996</v>
      </c>
      <c r="N54" s="188">
        <v>12441264.710000001</v>
      </c>
      <c r="O54" s="188">
        <v>10804186.539999999</v>
      </c>
      <c r="P54" s="188">
        <v>2684124.09</v>
      </c>
      <c r="Q54" s="188">
        <v>417747.77</v>
      </c>
      <c r="R54" s="188">
        <v>1694612.76</v>
      </c>
      <c r="S54" s="188">
        <v>532775.56999999995</v>
      </c>
      <c r="T54" s="188">
        <v>1017467.06</v>
      </c>
      <c r="U54" s="188">
        <v>5809933.0899999999</v>
      </c>
      <c r="V54" s="188">
        <v>1146182.6599999999</v>
      </c>
      <c r="W54" s="188">
        <v>7537910.0999999996</v>
      </c>
      <c r="X54" s="188">
        <v>4790432.91</v>
      </c>
      <c r="Y54" s="188">
        <v>1981293.08</v>
      </c>
      <c r="Z54" s="188">
        <v>2633026.7400000002</v>
      </c>
      <c r="AA54" s="188">
        <v>7700774.79</v>
      </c>
      <c r="AB54" s="188">
        <v>7537378.8499999996</v>
      </c>
      <c r="AC54" s="188">
        <v>7155527</v>
      </c>
      <c r="AD54" s="188">
        <v>25992512.690000001</v>
      </c>
      <c r="AE54" s="188">
        <v>10875749.82</v>
      </c>
      <c r="AF54" s="188">
        <v>4316144.93</v>
      </c>
      <c r="AG54" s="188">
        <v>4675897.74</v>
      </c>
      <c r="AH54" s="188">
        <v>8003717.7300000004</v>
      </c>
      <c r="AI54" s="188">
        <v>6905369.0499999998</v>
      </c>
      <c r="AJ54" s="188">
        <v>4082943.65</v>
      </c>
      <c r="AK54" s="188">
        <v>6121486.5899999999</v>
      </c>
      <c r="AL54" s="188">
        <v>7290519.6500000004</v>
      </c>
      <c r="AM54" s="188">
        <v>6651767.8899999997</v>
      </c>
      <c r="AN54" s="188">
        <v>4156270.06</v>
      </c>
      <c r="AO54" s="188">
        <v>2996430.87</v>
      </c>
      <c r="AP54" s="188">
        <v>3449992.11</v>
      </c>
      <c r="AQ54" s="188">
        <v>2014647.27</v>
      </c>
      <c r="AR54" s="188">
        <v>3855210.18</v>
      </c>
      <c r="AS54" s="188">
        <v>7723753.04</v>
      </c>
      <c r="AT54" s="188">
        <v>6250579.5599999996</v>
      </c>
      <c r="AU54" s="188">
        <v>3438697.06</v>
      </c>
      <c r="AV54" s="188">
        <v>681464.62</v>
      </c>
      <c r="AW54" s="188">
        <v>13138715.6</v>
      </c>
      <c r="AX54" s="188">
        <v>7006835.4800000004</v>
      </c>
      <c r="AY54" s="188">
        <v>6113277.9100000001</v>
      </c>
      <c r="AZ54" s="188">
        <v>2877814.53</v>
      </c>
      <c r="BA54" s="188">
        <v>4614753.72</v>
      </c>
      <c r="BB54" s="188">
        <v>13187135.73</v>
      </c>
      <c r="BC54" s="188">
        <v>14513294.98</v>
      </c>
      <c r="BD54" s="188">
        <v>29156565.829999998</v>
      </c>
      <c r="BE54" s="188">
        <v>32888198.719999999</v>
      </c>
      <c r="BF54" s="188">
        <v>53856666.060000002</v>
      </c>
      <c r="BG54" s="188">
        <v>43710113.170000002</v>
      </c>
      <c r="BH54" s="188">
        <v>22805700.239999998</v>
      </c>
      <c r="BI54" s="188">
        <v>22086546.98</v>
      </c>
      <c r="BJ54" s="188">
        <v>10281765.970000001</v>
      </c>
      <c r="BK54" s="188">
        <v>15460919.609999999</v>
      </c>
      <c r="BL54" s="188">
        <v>19629083.949999999</v>
      </c>
      <c r="BM54" s="188">
        <v>16289262.380000001</v>
      </c>
      <c r="BN54" s="188">
        <v>2387077.7000000002</v>
      </c>
      <c r="BO54" s="188">
        <v>873456.67</v>
      </c>
      <c r="BP54" s="188">
        <v>21320314.969999999</v>
      </c>
      <c r="BQ54" s="188">
        <v>2607239.5</v>
      </c>
      <c r="BR54" s="188">
        <v>0</v>
      </c>
      <c r="BS54" s="188">
        <v>0</v>
      </c>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0</v>
      </c>
      <c r="AY55" s="188">
        <v>0</v>
      </c>
      <c r="AZ55" s="188">
        <v>0</v>
      </c>
      <c r="BA55" s="188">
        <v>0</v>
      </c>
      <c r="BB55" s="188">
        <v>0</v>
      </c>
      <c r="BC55" s="188">
        <v>0</v>
      </c>
      <c r="BD55" s="188">
        <v>0</v>
      </c>
      <c r="BE55" s="188">
        <v>0</v>
      </c>
      <c r="BF55" s="188">
        <v>0</v>
      </c>
      <c r="BG55" s="188">
        <v>0</v>
      </c>
      <c r="BH55" s="188">
        <v>0</v>
      </c>
      <c r="BI55" s="188">
        <v>0</v>
      </c>
      <c r="BJ55" s="188">
        <v>0</v>
      </c>
      <c r="BK55" s="188">
        <v>0</v>
      </c>
      <c r="BL55" s="188">
        <v>0</v>
      </c>
      <c r="BM55" s="188">
        <v>0</v>
      </c>
      <c r="BN55" s="188">
        <v>0</v>
      </c>
      <c r="BO55" s="188">
        <v>0</v>
      </c>
      <c r="BP55" s="188">
        <v>0</v>
      </c>
      <c r="BQ55" s="188">
        <v>0</v>
      </c>
      <c r="BR55" s="188">
        <v>0</v>
      </c>
      <c r="BS55" s="188">
        <v>0</v>
      </c>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c r="A58" s="191" t="s">
        <v>40</v>
      </c>
      <c r="B58" s="188">
        <v>127737509.62</v>
      </c>
      <c r="C58" s="188">
        <v>128630278.95</v>
      </c>
      <c r="D58" s="188">
        <v>111745935.73</v>
      </c>
      <c r="E58" s="188">
        <v>112522598.90000001</v>
      </c>
      <c r="F58" s="188">
        <v>113130628.53</v>
      </c>
      <c r="G58" s="188">
        <v>113539138.93000001</v>
      </c>
      <c r="H58" s="188">
        <v>114325112.44</v>
      </c>
      <c r="I58" s="188">
        <v>98688731.150000006</v>
      </c>
      <c r="J58" s="188">
        <v>99115153.260000005</v>
      </c>
      <c r="K58" s="188">
        <v>99895645.349999994</v>
      </c>
      <c r="L58" s="188">
        <v>100045833.29000001</v>
      </c>
      <c r="M58" s="188">
        <v>89035907.799999997</v>
      </c>
      <c r="N58" s="188">
        <v>89660247.810000002</v>
      </c>
      <c r="O58" s="188">
        <v>80667174.819999993</v>
      </c>
      <c r="P58" s="188">
        <v>81325674.450000003</v>
      </c>
      <c r="Q58" s="188">
        <v>81958127.340000004</v>
      </c>
      <c r="R58" s="188">
        <v>82612721.310000002</v>
      </c>
      <c r="S58" s="188">
        <v>78486121.219999999</v>
      </c>
      <c r="T58" s="188">
        <v>79100085.840000004</v>
      </c>
      <c r="U58" s="188">
        <v>79715156.459999993</v>
      </c>
      <c r="V58" s="188">
        <v>80313202.75</v>
      </c>
      <c r="W58" s="188">
        <v>80933531.430000007</v>
      </c>
      <c r="X58" s="188">
        <v>81433930.109999999</v>
      </c>
      <c r="Y58" s="188">
        <v>82057356.069999993</v>
      </c>
      <c r="Z58" s="188">
        <v>82064964.5</v>
      </c>
      <c r="AA58" s="188">
        <v>78915607.299999997</v>
      </c>
      <c r="AB58" s="188">
        <v>82405835.159999996</v>
      </c>
      <c r="AC58" s="188">
        <v>82972146.090000004</v>
      </c>
      <c r="AD58" s="188">
        <v>38907773.789999999</v>
      </c>
      <c r="AE58" s="188">
        <v>39247533.030000001</v>
      </c>
      <c r="AF58" s="188">
        <v>39587292.270000003</v>
      </c>
      <c r="AG58" s="188">
        <v>39903119.890000001</v>
      </c>
      <c r="AH58" s="188">
        <v>39772893.939999998</v>
      </c>
      <c r="AI58" s="188">
        <v>40116157.770000003</v>
      </c>
      <c r="AJ58" s="188">
        <v>40466604.229999997</v>
      </c>
      <c r="AK58" s="188">
        <v>40825323.07</v>
      </c>
      <c r="AL58" s="188">
        <v>41285507.689999998</v>
      </c>
      <c r="AM58" s="188">
        <v>41647435.609999999</v>
      </c>
      <c r="AN58" s="188">
        <v>41995391.850000001</v>
      </c>
      <c r="AO58" s="188">
        <v>42359316.75</v>
      </c>
      <c r="AP58" s="188">
        <v>42724518.119999997</v>
      </c>
      <c r="AQ58" s="188">
        <v>43088879.890000001</v>
      </c>
      <c r="AR58" s="188">
        <v>43451308.719999999</v>
      </c>
      <c r="AS58" s="188">
        <v>43522413.43</v>
      </c>
      <c r="AT58" s="188">
        <v>38643132.469999999</v>
      </c>
      <c r="AU58" s="188">
        <v>39505706.640000001</v>
      </c>
      <c r="AV58" s="188">
        <v>30797720.670000002</v>
      </c>
      <c r="AW58" s="188">
        <v>9142481.2699999996</v>
      </c>
      <c r="AX58" s="188">
        <v>9330564.7400000002</v>
      </c>
      <c r="AY58" s="188">
        <v>9518648.2100000009</v>
      </c>
      <c r="AZ58" s="188">
        <v>9706731.6799999997</v>
      </c>
      <c r="BA58" s="188">
        <v>9894815.1500000004</v>
      </c>
      <c r="BB58" s="188">
        <v>10082898.619999999</v>
      </c>
      <c r="BC58" s="188">
        <v>10057602.09</v>
      </c>
      <c r="BD58" s="188">
        <v>10014630.68</v>
      </c>
      <c r="BE58" s="188">
        <v>10166747.66</v>
      </c>
      <c r="BF58" s="188">
        <v>10338887.279999999</v>
      </c>
      <c r="BG58" s="188">
        <v>10415298.289999999</v>
      </c>
      <c r="BH58" s="188">
        <v>10574625.279999999</v>
      </c>
      <c r="BI58" s="188">
        <v>10719830.6</v>
      </c>
      <c r="BJ58" s="188">
        <v>10804669.85</v>
      </c>
      <c r="BK58" s="188">
        <v>10936261.220000001</v>
      </c>
      <c r="BL58" s="188">
        <v>6680859.8700000001</v>
      </c>
      <c r="BM58" s="188">
        <v>6801540.2400000002</v>
      </c>
      <c r="BN58" s="188">
        <v>6715730.8600000003</v>
      </c>
      <c r="BO58" s="188">
        <v>6826344.79</v>
      </c>
      <c r="BP58" s="188">
        <v>7047572.6500000004</v>
      </c>
      <c r="BQ58" s="188">
        <v>7490028.3700000001</v>
      </c>
      <c r="BR58" s="188">
        <v>6936424.29</v>
      </c>
      <c r="BS58" s="188">
        <v>0</v>
      </c>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8603308.8000000007</v>
      </c>
      <c r="AA59" s="188">
        <v>5191343.1900000004</v>
      </c>
      <c r="AB59" s="188">
        <v>2607583.98</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c r="A60" s="191" t="s">
        <v>42</v>
      </c>
      <c r="B60" s="188">
        <v>0</v>
      </c>
      <c r="C60" s="188">
        <v>0</v>
      </c>
      <c r="D60" s="188">
        <v>0</v>
      </c>
      <c r="E60" s="188">
        <v>0</v>
      </c>
      <c r="F60" s="188">
        <v>0</v>
      </c>
      <c r="G60" s="188">
        <v>0</v>
      </c>
      <c r="H60" s="188">
        <v>0</v>
      </c>
      <c r="I60" s="188">
        <v>0</v>
      </c>
      <c r="J60" s="188">
        <v>0</v>
      </c>
      <c r="K60" s="188">
        <v>0</v>
      </c>
      <c r="L60" s="188">
        <v>0</v>
      </c>
      <c r="M60" s="188">
        <v>0</v>
      </c>
      <c r="N60" s="188">
        <v>0</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0</v>
      </c>
      <c r="AQ60" s="188">
        <v>0</v>
      </c>
      <c r="AR60" s="188">
        <v>0</v>
      </c>
      <c r="AS60" s="188">
        <v>0</v>
      </c>
      <c r="AT60" s="188">
        <v>2015456.33</v>
      </c>
      <c r="AU60" s="188">
        <v>2015456.33</v>
      </c>
      <c r="AV60" s="188">
        <v>2015456.33</v>
      </c>
      <c r="AW60" s="188">
        <v>0</v>
      </c>
      <c r="AX60" s="188">
        <v>0</v>
      </c>
      <c r="AY60" s="188">
        <v>0</v>
      </c>
      <c r="AZ60" s="188">
        <v>0</v>
      </c>
      <c r="BA60" s="188">
        <v>0</v>
      </c>
      <c r="BB60" s="188">
        <v>0</v>
      </c>
      <c r="BC60" s="188">
        <v>0</v>
      </c>
      <c r="BD60" s="188">
        <v>0</v>
      </c>
      <c r="BE60" s="188">
        <v>0</v>
      </c>
      <c r="BF60" s="188">
        <v>0</v>
      </c>
      <c r="BG60" s="188">
        <v>0</v>
      </c>
      <c r="BH60" s="188">
        <v>0</v>
      </c>
      <c r="BI60" s="188">
        <v>0</v>
      </c>
      <c r="BJ60" s="188">
        <v>0</v>
      </c>
      <c r="BK60" s="188">
        <v>0</v>
      </c>
      <c r="BL60" s="188">
        <v>0</v>
      </c>
      <c r="BM60" s="188">
        <v>0</v>
      </c>
      <c r="BN60" s="188">
        <v>0</v>
      </c>
      <c r="BO60" s="188">
        <v>0</v>
      </c>
      <c r="BP60" s="188">
        <v>0</v>
      </c>
      <c r="BQ60" s="188">
        <v>0</v>
      </c>
      <c r="BR60" s="188">
        <v>0</v>
      </c>
      <c r="BS60" s="188">
        <v>0</v>
      </c>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c r="A61" s="191" t="s">
        <v>43</v>
      </c>
      <c r="B61" s="188">
        <v>0</v>
      </c>
      <c r="C61" s="188">
        <v>0</v>
      </c>
      <c r="D61" s="188">
        <v>0</v>
      </c>
      <c r="E61" s="188">
        <v>0</v>
      </c>
      <c r="F61" s="188">
        <v>0</v>
      </c>
      <c r="G61" s="188">
        <v>0</v>
      </c>
      <c r="H61" s="188">
        <v>0</v>
      </c>
      <c r="I61" s="188">
        <v>0</v>
      </c>
      <c r="J61" s="188">
        <v>0</v>
      </c>
      <c r="K61" s="188">
        <v>0</v>
      </c>
      <c r="L61" s="188">
        <v>0</v>
      </c>
      <c r="M61" s="188">
        <v>0</v>
      </c>
      <c r="N61" s="188">
        <v>0</v>
      </c>
      <c r="O61" s="188">
        <v>0</v>
      </c>
      <c r="P61" s="188">
        <v>0</v>
      </c>
      <c r="Q61" s="188">
        <v>0</v>
      </c>
      <c r="R61" s="188">
        <v>0</v>
      </c>
      <c r="S61" s="188">
        <v>0</v>
      </c>
      <c r="T61" s="188">
        <v>0</v>
      </c>
      <c r="U61" s="188">
        <v>0</v>
      </c>
      <c r="V61" s="188">
        <v>0</v>
      </c>
      <c r="W61" s="188">
        <v>0</v>
      </c>
      <c r="X61" s="188">
        <v>0</v>
      </c>
      <c r="Y61" s="188">
        <v>0</v>
      </c>
      <c r="Z61" s="188">
        <v>0</v>
      </c>
      <c r="AA61" s="188">
        <v>0</v>
      </c>
      <c r="AB61" s="188">
        <v>0</v>
      </c>
      <c r="AC61" s="188">
        <v>0</v>
      </c>
      <c r="AD61" s="188">
        <v>0</v>
      </c>
      <c r="AE61" s="188">
        <v>0</v>
      </c>
      <c r="AF61" s="188">
        <v>0</v>
      </c>
      <c r="AG61" s="188">
        <v>0</v>
      </c>
      <c r="AH61" s="188">
        <v>0</v>
      </c>
      <c r="AI61" s="188">
        <v>0</v>
      </c>
      <c r="AJ61" s="188">
        <v>0</v>
      </c>
      <c r="AK61" s="188">
        <v>0</v>
      </c>
      <c r="AL61" s="188">
        <v>0</v>
      </c>
      <c r="AM61" s="188">
        <v>0</v>
      </c>
      <c r="AN61" s="188">
        <v>0</v>
      </c>
      <c r="AO61" s="188">
        <v>0</v>
      </c>
      <c r="AP61" s="188">
        <v>0</v>
      </c>
      <c r="AQ61" s="188">
        <v>0</v>
      </c>
      <c r="AR61" s="188">
        <v>0</v>
      </c>
      <c r="AS61" s="188">
        <v>0</v>
      </c>
      <c r="AT61" s="188">
        <v>0</v>
      </c>
      <c r="AU61" s="188">
        <v>0</v>
      </c>
      <c r="AV61" s="188">
        <v>0</v>
      </c>
      <c r="AW61" s="188">
        <v>0</v>
      </c>
      <c r="AX61" s="188">
        <v>0</v>
      </c>
      <c r="AY61" s="188">
        <v>0</v>
      </c>
      <c r="AZ61" s="188">
        <v>0</v>
      </c>
      <c r="BA61" s="188">
        <v>0</v>
      </c>
      <c r="BB61" s="188">
        <v>0</v>
      </c>
      <c r="BC61" s="188">
        <v>0</v>
      </c>
      <c r="BD61" s="188">
        <v>0</v>
      </c>
      <c r="BE61" s="188">
        <v>0</v>
      </c>
      <c r="BF61" s="188">
        <v>0</v>
      </c>
      <c r="BG61" s="188">
        <v>0</v>
      </c>
      <c r="BH61" s="188">
        <v>0</v>
      </c>
      <c r="BI61" s="188">
        <v>0</v>
      </c>
      <c r="BJ61" s="188">
        <v>0</v>
      </c>
      <c r="BK61" s="188">
        <v>443718.62</v>
      </c>
      <c r="BL61" s="188">
        <v>84740.46</v>
      </c>
      <c r="BM61" s="188">
        <v>78058.710000000006</v>
      </c>
      <c r="BN61" s="188">
        <v>20666</v>
      </c>
      <c r="BO61" s="188">
        <v>0</v>
      </c>
      <c r="BP61" s="188">
        <v>0</v>
      </c>
      <c r="BQ61" s="188">
        <v>0</v>
      </c>
      <c r="BR61" s="188">
        <v>0</v>
      </c>
      <c r="BS61" s="188">
        <v>0</v>
      </c>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c r="A62" s="191" t="s">
        <v>44</v>
      </c>
      <c r="B62" s="188">
        <v>34907595.280000001</v>
      </c>
      <c r="C62" s="188">
        <v>34197018.020000003</v>
      </c>
      <c r="D62" s="188">
        <v>32118043.600000001</v>
      </c>
      <c r="E62" s="188">
        <v>31066505.75</v>
      </c>
      <c r="F62" s="188">
        <v>30607344.719999999</v>
      </c>
      <c r="G62" s="188">
        <v>32406267.920000002</v>
      </c>
      <c r="H62" s="188">
        <v>32617323.640000001</v>
      </c>
      <c r="I62" s="188">
        <v>31660229.559999999</v>
      </c>
      <c r="J62" s="188">
        <v>35686116.479999997</v>
      </c>
      <c r="K62" s="188">
        <v>32823742.98</v>
      </c>
      <c r="L62" s="188">
        <v>31283975.609999999</v>
      </c>
      <c r="M62" s="188">
        <v>29303283.109999999</v>
      </c>
      <c r="N62" s="188">
        <v>26310836.329999998</v>
      </c>
      <c r="O62" s="188">
        <v>24568386.940000001</v>
      </c>
      <c r="P62" s="188">
        <v>23583513.120000001</v>
      </c>
      <c r="Q62" s="188">
        <v>23782818.489999998</v>
      </c>
      <c r="R62" s="188">
        <v>24283858</v>
      </c>
      <c r="S62" s="188">
        <v>24778104.579999998</v>
      </c>
      <c r="T62" s="188">
        <v>25116986.170000002</v>
      </c>
      <c r="U62" s="188">
        <v>25393872.239999998</v>
      </c>
      <c r="V62" s="188">
        <v>23306424.77</v>
      </c>
      <c r="W62" s="188">
        <v>23715443.41</v>
      </c>
      <c r="X62" s="188">
        <v>22983356.43</v>
      </c>
      <c r="Y62" s="188">
        <v>22975346.190000001</v>
      </c>
      <c r="Z62" s="188">
        <v>20518558.559999999</v>
      </c>
      <c r="AA62" s="188">
        <v>20632468.539999999</v>
      </c>
      <c r="AB62" s="188">
        <v>21791614.960000001</v>
      </c>
      <c r="AC62" s="188">
        <v>21516626.030000001</v>
      </c>
      <c r="AD62" s="188">
        <v>18571348.899999999</v>
      </c>
      <c r="AE62" s="188">
        <v>18586045.719999999</v>
      </c>
      <c r="AF62" s="188">
        <v>13490643.4</v>
      </c>
      <c r="AG62" s="188">
        <v>13008932.289999999</v>
      </c>
      <c r="AH62" s="188">
        <v>11958127.800000001</v>
      </c>
      <c r="AI62" s="188">
        <v>11584390.59</v>
      </c>
      <c r="AJ62" s="188">
        <v>11839255.630000001</v>
      </c>
      <c r="AK62" s="188">
        <v>11462286.67</v>
      </c>
      <c r="AL62" s="188">
        <v>7952242.0499999998</v>
      </c>
      <c r="AM62" s="188">
        <v>8576263.5999999996</v>
      </c>
      <c r="AN62" s="188">
        <v>5443959.8099999996</v>
      </c>
      <c r="AO62" s="188">
        <v>7647739.2599999998</v>
      </c>
      <c r="AP62" s="188">
        <v>10464301.15</v>
      </c>
      <c r="AQ62" s="188">
        <v>9943028.5800000001</v>
      </c>
      <c r="AR62" s="188">
        <v>9602977.2100000009</v>
      </c>
      <c r="AS62" s="188">
        <v>8642598.5</v>
      </c>
      <c r="AT62" s="188">
        <v>12683857.67</v>
      </c>
      <c r="AU62" s="188">
        <v>13129913.52</v>
      </c>
      <c r="AV62" s="188">
        <v>11994571.539999999</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0</v>
      </c>
      <c r="BO62" s="188">
        <v>0</v>
      </c>
      <c r="BP62" s="188">
        <v>0</v>
      </c>
      <c r="BQ62" s="188">
        <v>0</v>
      </c>
      <c r="BR62" s="188">
        <v>0</v>
      </c>
      <c r="BS62" s="188">
        <v>0</v>
      </c>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c r="A63" s="191" t="s">
        <v>45</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299356.94</v>
      </c>
      <c r="Z63" s="188">
        <v>0</v>
      </c>
      <c r="AA63" s="188">
        <v>0</v>
      </c>
      <c r="AB63" s="188">
        <v>0</v>
      </c>
      <c r="AC63" s="188">
        <v>336737.82</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c r="A64" s="191" t="s">
        <v>46</v>
      </c>
      <c r="B64" s="188">
        <v>93309468.689999998</v>
      </c>
      <c r="C64" s="188">
        <v>49848947.310000002</v>
      </c>
      <c r="D64" s="188">
        <v>20855975.170000002</v>
      </c>
      <c r="E64" s="188">
        <v>10236437.119999999</v>
      </c>
      <c r="F64" s="188">
        <v>8668668.1799999997</v>
      </c>
      <c r="G64" s="188">
        <v>9141618.4100000001</v>
      </c>
      <c r="H64" s="188">
        <v>11398946.74</v>
      </c>
      <c r="I64" s="188">
        <v>9069126.5099999998</v>
      </c>
      <c r="J64" s="188">
        <v>13391409.65</v>
      </c>
      <c r="K64" s="188">
        <v>34939680.759999998</v>
      </c>
      <c r="L64" s="188">
        <v>34538578.68</v>
      </c>
      <c r="M64" s="188">
        <v>18618641.059999999</v>
      </c>
      <c r="N64" s="188">
        <v>11207445.48</v>
      </c>
      <c r="O64" s="188">
        <v>17000536.449999999</v>
      </c>
      <c r="P64" s="188">
        <v>6100676.3200000003</v>
      </c>
      <c r="Q64" s="188">
        <v>16543147.109999999</v>
      </c>
      <c r="R64" s="188">
        <v>0</v>
      </c>
      <c r="S64" s="188">
        <v>0</v>
      </c>
      <c r="T64" s="188">
        <v>0</v>
      </c>
      <c r="U64" s="188">
        <v>0</v>
      </c>
      <c r="V64" s="188">
        <v>0</v>
      </c>
      <c r="W64" s="188">
        <v>0</v>
      </c>
      <c r="X64" s="188">
        <v>0</v>
      </c>
      <c r="Y64" s="188">
        <v>0</v>
      </c>
      <c r="Z64" s="188">
        <v>0</v>
      </c>
      <c r="AA64" s="188">
        <v>0</v>
      </c>
      <c r="AB64" s="188">
        <v>0</v>
      </c>
      <c r="AC64" s="188">
        <v>0</v>
      </c>
      <c r="AD64" s="188">
        <v>0</v>
      </c>
      <c r="AE64" s="188">
        <v>0</v>
      </c>
      <c r="AF64" s="188">
        <v>910206.09</v>
      </c>
      <c r="AG64" s="188">
        <v>975220.81</v>
      </c>
      <c r="AH64" s="188">
        <v>1040235.53</v>
      </c>
      <c r="AI64" s="188">
        <v>1105250.25</v>
      </c>
      <c r="AJ64" s="188">
        <v>1170264.97</v>
      </c>
      <c r="AK64" s="188">
        <v>1235279.69</v>
      </c>
      <c r="AL64" s="188">
        <v>1300294.4099999999</v>
      </c>
      <c r="AM64" s="188">
        <v>1365309.13</v>
      </c>
      <c r="AN64" s="188">
        <v>1430323.85</v>
      </c>
      <c r="AO64" s="188">
        <v>1495338.57</v>
      </c>
      <c r="AP64" s="188">
        <v>1560353.29</v>
      </c>
      <c r="AQ64" s="188">
        <v>1625368.01</v>
      </c>
      <c r="AR64" s="188">
        <v>1690382.73</v>
      </c>
      <c r="AS64" s="188">
        <v>1755397.45</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c r="BT64" s="188"/>
      <c r="BU64" s="188"/>
      <c r="BV64" s="188"/>
      <c r="BW64" s="188"/>
      <c r="BX64" s="188"/>
      <c r="BY64" s="188"/>
      <c r="BZ64" s="188"/>
      <c r="CA64" s="188"/>
      <c r="CB64" s="188"/>
      <c r="CC64" s="188"/>
      <c r="CD64" s="188"/>
      <c r="CE64" s="188"/>
      <c r="CF64" s="188"/>
      <c r="CG64" s="188"/>
      <c r="CH64" s="188"/>
      <c r="CI64" s="188"/>
      <c r="CJ64" s="188"/>
      <c r="CK64" s="188"/>
      <c r="CL64" s="188"/>
    </row>
    <row r="65" spans="1:90" ht="14.45" hidden="1">
      <c r="B65" s="26"/>
      <c r="C65" s="26"/>
      <c r="D65" s="26"/>
      <c r="E65" s="26"/>
      <c r="F65" s="26"/>
      <c r="G65" s="26"/>
      <c r="H65" s="26"/>
      <c r="I65" s="26"/>
      <c r="J65" s="26"/>
      <c r="K65" s="26"/>
      <c r="L65" s="23"/>
    </row>
    <row r="66" spans="1:90" ht="14.45" hidden="1">
      <c r="B66" s="26"/>
      <c r="C66" s="26"/>
      <c r="D66" s="26"/>
      <c r="E66" s="26"/>
      <c r="F66" s="26"/>
      <c r="G66" s="26"/>
      <c r="H66" s="26"/>
      <c r="I66" s="26"/>
      <c r="J66" s="26"/>
      <c r="K66" s="26"/>
      <c r="L66" s="23"/>
    </row>
    <row r="67" spans="1:90" ht="14.45" hidden="1">
      <c r="B67" s="26"/>
      <c r="C67" s="26"/>
      <c r="D67" s="26"/>
      <c r="E67" s="26"/>
      <c r="F67" s="26"/>
      <c r="G67" s="26"/>
      <c r="H67" s="26"/>
      <c r="I67" s="26"/>
      <c r="J67" s="26"/>
      <c r="K67" s="26"/>
      <c r="L67" s="23"/>
    </row>
    <row r="68" spans="1:90" s="12" customFormat="1">
      <c r="A68" s="124" t="s">
        <v>47</v>
      </c>
      <c r="B68" s="36">
        <f>SUM(B52:B64)-2*B63</f>
        <v>1534999355.8399999</v>
      </c>
      <c r="C68" s="36">
        <f t="shared" ref="C68:BN68" si="8">SUM(C52:C64)-2*C63</f>
        <v>1472381580.23</v>
      </c>
      <c r="D68" s="36">
        <f t="shared" si="8"/>
        <v>1459207731.1200001</v>
      </c>
      <c r="E68" s="36">
        <f t="shared" si="8"/>
        <v>1430067387.1799998</v>
      </c>
      <c r="F68" s="36">
        <f t="shared" si="8"/>
        <v>1430694061.4100001</v>
      </c>
      <c r="G68" s="36">
        <f t="shared" si="8"/>
        <v>1414130740.7400002</v>
      </c>
      <c r="H68" s="36">
        <f t="shared" si="8"/>
        <v>1404830888.0900002</v>
      </c>
      <c r="I68" s="36">
        <f t="shared" si="8"/>
        <v>1378591814.3900001</v>
      </c>
      <c r="J68" s="36">
        <f t="shared" si="8"/>
        <v>1406481361.8100002</v>
      </c>
      <c r="K68" s="36">
        <f t="shared" si="8"/>
        <v>1401003016.2900002</v>
      </c>
      <c r="L68" s="36">
        <f t="shared" si="8"/>
        <v>1381421360.5699999</v>
      </c>
      <c r="M68" s="36">
        <f t="shared" si="8"/>
        <v>1317012385.2399995</v>
      </c>
      <c r="N68" s="36">
        <f t="shared" si="8"/>
        <v>1297869794.4599998</v>
      </c>
      <c r="O68" s="36">
        <f t="shared" si="8"/>
        <v>1266660317.24</v>
      </c>
      <c r="P68" s="36">
        <f t="shared" si="8"/>
        <v>1265675332.1099999</v>
      </c>
      <c r="Q68" s="36">
        <f t="shared" si="8"/>
        <v>1265544702.7399998</v>
      </c>
      <c r="R68" s="36">
        <f t="shared" si="8"/>
        <v>1239147081.8099999</v>
      </c>
      <c r="S68" s="36">
        <f t="shared" si="8"/>
        <v>1236920396.1799998</v>
      </c>
      <c r="T68" s="36">
        <f t="shared" si="8"/>
        <v>1243799518.1500001</v>
      </c>
      <c r="U68" s="36">
        <f t="shared" si="8"/>
        <v>1254988148.74</v>
      </c>
      <c r="V68" s="36">
        <f t="shared" si="8"/>
        <v>1238829549.6100001</v>
      </c>
      <c r="W68" s="36">
        <f t="shared" si="8"/>
        <v>1237082676.74</v>
      </c>
      <c r="X68" s="36">
        <f t="shared" si="8"/>
        <v>1239653097.51</v>
      </c>
      <c r="Y68" s="36">
        <f t="shared" si="8"/>
        <v>1250756265.8499999</v>
      </c>
      <c r="Z68" s="36">
        <f t="shared" si="8"/>
        <v>1231561169.97</v>
      </c>
      <c r="AA68" s="36">
        <f t="shared" si="8"/>
        <v>1215443720.23</v>
      </c>
      <c r="AB68" s="36">
        <f t="shared" si="8"/>
        <v>1216685839.8400002</v>
      </c>
      <c r="AC68" s="36">
        <f t="shared" si="8"/>
        <v>1213726606.7699997</v>
      </c>
      <c r="AD68" s="36">
        <f t="shared" si="8"/>
        <v>1098665029.4800003</v>
      </c>
      <c r="AE68" s="36">
        <f t="shared" si="8"/>
        <v>1073175251.6800001</v>
      </c>
      <c r="AF68" s="36">
        <f t="shared" si="8"/>
        <v>1025750401.67</v>
      </c>
      <c r="AG68" s="36">
        <f t="shared" si="8"/>
        <v>1022909065.9999999</v>
      </c>
      <c r="AH68" s="36">
        <f t="shared" si="8"/>
        <v>982124389.45000005</v>
      </c>
      <c r="AI68" s="36">
        <f t="shared" si="8"/>
        <v>946691697.39999998</v>
      </c>
      <c r="AJ68" s="36">
        <f t="shared" si="8"/>
        <v>934852823.36000001</v>
      </c>
      <c r="AK68" s="36">
        <f t="shared" si="8"/>
        <v>914734950.86000013</v>
      </c>
      <c r="AL68" s="36">
        <f t="shared" si="8"/>
        <v>915450770.59999979</v>
      </c>
      <c r="AM68" s="36">
        <f t="shared" si="8"/>
        <v>898165345.9000001</v>
      </c>
      <c r="AN68" s="36">
        <f t="shared" si="8"/>
        <v>870976371.75999999</v>
      </c>
      <c r="AO68" s="36">
        <f t="shared" si="8"/>
        <v>882399343.00999999</v>
      </c>
      <c r="AP68" s="36">
        <f t="shared" si="8"/>
        <v>877699166.63</v>
      </c>
      <c r="AQ68" s="36">
        <f t="shared" si="8"/>
        <v>873466274.10000002</v>
      </c>
      <c r="AR68" s="36">
        <f t="shared" si="8"/>
        <v>857466584.56000006</v>
      </c>
      <c r="AS68" s="36">
        <f t="shared" si="8"/>
        <v>798891812.94999993</v>
      </c>
      <c r="AT68" s="36">
        <f t="shared" si="8"/>
        <v>788077907.56999993</v>
      </c>
      <c r="AU68" s="36">
        <f t="shared" si="8"/>
        <v>771420124.06999993</v>
      </c>
      <c r="AV68" s="36">
        <f t="shared" si="8"/>
        <v>750972806.80999994</v>
      </c>
      <c r="AW68" s="36">
        <f t="shared" si="8"/>
        <v>717991639.19999993</v>
      </c>
      <c r="AX68" s="36">
        <f t="shared" si="8"/>
        <v>698467316.45000005</v>
      </c>
      <c r="AY68" s="36">
        <f t="shared" si="8"/>
        <v>707479297.13999999</v>
      </c>
      <c r="AZ68" s="36">
        <f t="shared" si="8"/>
        <v>693423820.94999993</v>
      </c>
      <c r="BA68" s="36">
        <f t="shared" si="8"/>
        <v>692095199.35000002</v>
      </c>
      <c r="BB68" s="36">
        <f t="shared" si="8"/>
        <v>686072337.05000007</v>
      </c>
      <c r="BC68" s="36">
        <f t="shared" si="8"/>
        <v>675434662.87</v>
      </c>
      <c r="BD68" s="36">
        <f t="shared" si="8"/>
        <v>689436892.02999997</v>
      </c>
      <c r="BE68" s="36">
        <f t="shared" si="8"/>
        <v>663003951.38999999</v>
      </c>
      <c r="BF68" s="36">
        <f t="shared" si="8"/>
        <v>683829994.98000002</v>
      </c>
      <c r="BG68" s="36">
        <f t="shared" si="8"/>
        <v>624583495.07999992</v>
      </c>
      <c r="BH68" s="36">
        <f t="shared" si="8"/>
        <v>570274400.86000001</v>
      </c>
      <c r="BI68" s="36">
        <f t="shared" si="8"/>
        <v>551407183.10000002</v>
      </c>
      <c r="BJ68" s="36">
        <f t="shared" si="8"/>
        <v>481298026.65000004</v>
      </c>
      <c r="BK68" s="36">
        <f t="shared" si="8"/>
        <v>414169579.53000003</v>
      </c>
      <c r="BL68" s="36">
        <f t="shared" si="8"/>
        <v>326748982.25</v>
      </c>
      <c r="BM68" s="36">
        <f t="shared" si="8"/>
        <v>301786134.21999997</v>
      </c>
      <c r="BN68" s="36">
        <f t="shared" si="8"/>
        <v>242529031.93000001</v>
      </c>
      <c r="BO68" s="36">
        <f t="shared" ref="BO68:CK68" si="9">SUM(BO52:BO64)-2*BO63</f>
        <v>219351133.17999998</v>
      </c>
      <c r="BP68" s="36">
        <f t="shared" si="9"/>
        <v>195731863.68000001</v>
      </c>
      <c r="BQ68" s="36">
        <f t="shared" si="9"/>
        <v>149588480.83000001</v>
      </c>
      <c r="BR68" s="36">
        <f t="shared" si="9"/>
        <v>135079696.97999999</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25" t="s">
        <v>48</v>
      </c>
      <c r="B69" s="33">
        <f>B50+B68</f>
        <v>3445388593.4000001</v>
      </c>
      <c r="C69" s="33">
        <f t="shared" ref="C69:BN69" si="10">C50+C68</f>
        <v>2541376699.4299998</v>
      </c>
      <c r="D69" s="33">
        <f t="shared" si="10"/>
        <v>2633900325.7000003</v>
      </c>
      <c r="E69" s="33">
        <f t="shared" si="10"/>
        <v>2545831730.4199996</v>
      </c>
      <c r="F69" s="33">
        <f t="shared" si="10"/>
        <v>2594012066.1099997</v>
      </c>
      <c r="G69" s="33">
        <f t="shared" si="10"/>
        <v>2642550635.3600006</v>
      </c>
      <c r="H69" s="33">
        <f t="shared" si="10"/>
        <v>2564143343.5800004</v>
      </c>
      <c r="I69" s="33">
        <f t="shared" si="10"/>
        <v>1948769600.9300003</v>
      </c>
      <c r="J69" s="33">
        <f t="shared" si="10"/>
        <v>1963648141.5900002</v>
      </c>
      <c r="K69" s="33">
        <f t="shared" si="10"/>
        <v>1927168594.4800005</v>
      </c>
      <c r="L69" s="33">
        <f t="shared" si="10"/>
        <v>1979441688.6900001</v>
      </c>
      <c r="M69" s="33">
        <f t="shared" si="10"/>
        <v>1902766103.2799995</v>
      </c>
      <c r="N69" s="33">
        <f t="shared" si="10"/>
        <v>1925703731.8399999</v>
      </c>
      <c r="O69" s="33">
        <f t="shared" si="10"/>
        <v>2007029151.23</v>
      </c>
      <c r="P69" s="33">
        <f t="shared" si="10"/>
        <v>2024567666.6799998</v>
      </c>
      <c r="Q69" s="33">
        <f t="shared" si="10"/>
        <v>1990365569.6999998</v>
      </c>
      <c r="R69" s="33">
        <f t="shared" si="10"/>
        <v>1992482590.9499998</v>
      </c>
      <c r="S69" s="33">
        <f t="shared" si="10"/>
        <v>1953079705.4099998</v>
      </c>
      <c r="T69" s="33">
        <f t="shared" si="10"/>
        <v>1929807482.45</v>
      </c>
      <c r="U69" s="33">
        <f t="shared" si="10"/>
        <v>1945575833.7400002</v>
      </c>
      <c r="V69" s="33">
        <f t="shared" si="10"/>
        <v>1952317412.5300002</v>
      </c>
      <c r="W69" s="33">
        <f t="shared" si="10"/>
        <v>1902109441.98</v>
      </c>
      <c r="X69" s="33">
        <f t="shared" si="10"/>
        <v>1926098267.46</v>
      </c>
      <c r="Y69" s="33">
        <f t="shared" si="10"/>
        <v>1899394908.9499998</v>
      </c>
      <c r="Z69" s="33">
        <f t="shared" si="10"/>
        <v>1901397724.5300002</v>
      </c>
      <c r="AA69" s="33">
        <f t="shared" si="10"/>
        <v>1862265794.5999999</v>
      </c>
      <c r="AB69" s="33">
        <f t="shared" si="10"/>
        <v>1823057784.6000001</v>
      </c>
      <c r="AC69" s="33">
        <f t="shared" si="10"/>
        <v>1686879561.4799995</v>
      </c>
      <c r="AD69" s="33">
        <f t="shared" si="10"/>
        <v>1734168296.5400004</v>
      </c>
      <c r="AE69" s="33">
        <f t="shared" si="10"/>
        <v>1688722110.7400002</v>
      </c>
      <c r="AF69" s="33">
        <f t="shared" si="10"/>
        <v>1692389769.97</v>
      </c>
      <c r="AG69" s="33">
        <f t="shared" si="10"/>
        <v>1616514055.8099997</v>
      </c>
      <c r="AH69" s="33">
        <f t="shared" si="10"/>
        <v>1512551763.0999999</v>
      </c>
      <c r="AI69" s="33">
        <f t="shared" si="10"/>
        <v>1449869974.4300001</v>
      </c>
      <c r="AJ69" s="33">
        <f t="shared" si="10"/>
        <v>1433159493.7900002</v>
      </c>
      <c r="AK69" s="33">
        <f t="shared" si="10"/>
        <v>1477784649.46</v>
      </c>
      <c r="AL69" s="33">
        <f t="shared" si="10"/>
        <v>1518577042.8199997</v>
      </c>
      <c r="AM69" s="33">
        <f t="shared" si="10"/>
        <v>1472667235.72</v>
      </c>
      <c r="AN69" s="33">
        <f t="shared" si="10"/>
        <v>1452235672.5</v>
      </c>
      <c r="AO69" s="33">
        <f t="shared" si="10"/>
        <v>1453128507.8100002</v>
      </c>
      <c r="AP69" s="33">
        <f t="shared" si="10"/>
        <v>1410068533.3599999</v>
      </c>
      <c r="AQ69" s="33">
        <f t="shared" si="10"/>
        <v>1361165738.99</v>
      </c>
      <c r="AR69" s="33">
        <f t="shared" si="10"/>
        <v>1320319867.7300003</v>
      </c>
      <c r="AS69" s="33">
        <f t="shared" si="10"/>
        <v>1241814791.7099998</v>
      </c>
      <c r="AT69" s="33">
        <f t="shared" si="10"/>
        <v>1182087006.5799999</v>
      </c>
      <c r="AU69" s="33">
        <f t="shared" si="10"/>
        <v>1128881655.6800001</v>
      </c>
      <c r="AV69" s="33">
        <f t="shared" si="10"/>
        <v>1087017412.1999998</v>
      </c>
      <c r="AW69" s="33">
        <f t="shared" si="10"/>
        <v>1067255292.0899999</v>
      </c>
      <c r="AX69" s="33">
        <f t="shared" si="10"/>
        <v>1083051324.46</v>
      </c>
      <c r="AY69" s="33">
        <f t="shared" si="10"/>
        <v>1070154979.0700001</v>
      </c>
      <c r="AZ69" s="33">
        <f t="shared" si="10"/>
        <v>793942079.12999988</v>
      </c>
      <c r="BA69" s="33">
        <f t="shared" si="10"/>
        <v>1000996153.6399999</v>
      </c>
      <c r="BB69" s="33">
        <f t="shared" si="10"/>
        <v>932841012.6500001</v>
      </c>
      <c r="BC69" s="33">
        <f t="shared" si="10"/>
        <v>917394818.61999989</v>
      </c>
      <c r="BD69" s="33">
        <f t="shared" si="10"/>
        <v>914754780.06999993</v>
      </c>
      <c r="BE69" s="33">
        <f t="shared" si="10"/>
        <v>866986208.50999999</v>
      </c>
      <c r="BF69" s="33">
        <f t="shared" si="10"/>
        <v>795899463.42000008</v>
      </c>
      <c r="BG69" s="33">
        <f t="shared" si="10"/>
        <v>743652418.63999987</v>
      </c>
      <c r="BH69" s="33">
        <f t="shared" si="10"/>
        <v>685258021.92999995</v>
      </c>
      <c r="BI69" s="33">
        <f t="shared" si="10"/>
        <v>608935610.45000005</v>
      </c>
      <c r="BJ69" s="33">
        <f t="shared" si="10"/>
        <v>527160592.02000004</v>
      </c>
      <c r="BK69" s="33">
        <f t="shared" si="10"/>
        <v>460394899.98000002</v>
      </c>
      <c r="BL69" s="33">
        <f t="shared" si="10"/>
        <v>381746213.64999998</v>
      </c>
      <c r="BM69" s="33">
        <f t="shared" si="10"/>
        <v>319824700.90999997</v>
      </c>
      <c r="BN69" s="33">
        <f t="shared" si="10"/>
        <v>294453488.97000003</v>
      </c>
      <c r="BO69" s="33">
        <f t="shared" ref="BO69:CL69" si="11">BO50+BO68</f>
        <v>295500667.94999993</v>
      </c>
      <c r="BP69" s="33">
        <f t="shared" si="11"/>
        <v>269624294.55000007</v>
      </c>
      <c r="BQ69" s="33">
        <f t="shared" si="11"/>
        <v>235076695.46000001</v>
      </c>
      <c r="BR69" s="33">
        <f t="shared" si="11"/>
        <v>219421326.07999998</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26" t="s">
        <v>49</v>
      </c>
      <c r="B70" s="37">
        <f>B17+B19+B69</f>
        <v>4179428048.3299999</v>
      </c>
      <c r="C70" s="37">
        <f t="shared" ref="C70:BN70" si="12">C17+C19+C69</f>
        <v>3420518341.5999999</v>
      </c>
      <c r="D70" s="37">
        <f t="shared" si="12"/>
        <v>3344169244.1800003</v>
      </c>
      <c r="E70" s="37">
        <f t="shared" si="12"/>
        <v>3259824425.6699996</v>
      </c>
      <c r="F70" s="37">
        <f t="shared" si="12"/>
        <v>3195633782.6999998</v>
      </c>
      <c r="G70" s="37">
        <f t="shared" si="12"/>
        <v>3178555226.9000006</v>
      </c>
      <c r="H70" s="37">
        <f t="shared" si="12"/>
        <v>3114439165.9300003</v>
      </c>
      <c r="I70" s="37">
        <f t="shared" si="12"/>
        <v>3049264334.3900003</v>
      </c>
      <c r="J70" s="37">
        <f t="shared" si="12"/>
        <v>2325334146.8800001</v>
      </c>
      <c r="K70" s="37">
        <f t="shared" si="12"/>
        <v>2347050102.6900005</v>
      </c>
      <c r="L70" s="37">
        <f t="shared" si="12"/>
        <v>2372780572.4499998</v>
      </c>
      <c r="M70" s="37">
        <f t="shared" si="12"/>
        <v>2240260759.3099995</v>
      </c>
      <c r="N70" s="37">
        <f t="shared" si="12"/>
        <v>2257849594.46</v>
      </c>
      <c r="O70" s="37">
        <f t="shared" si="12"/>
        <v>2321279863.6399999</v>
      </c>
      <c r="P70" s="37">
        <f t="shared" si="12"/>
        <v>2308502640.3499999</v>
      </c>
      <c r="Q70" s="37">
        <f t="shared" si="12"/>
        <v>2243718320.1199999</v>
      </c>
      <c r="R70" s="37">
        <f t="shared" si="12"/>
        <v>2248503690.1999998</v>
      </c>
      <c r="S70" s="37">
        <f t="shared" si="12"/>
        <v>2172986247.4899998</v>
      </c>
      <c r="T70" s="37">
        <f t="shared" si="12"/>
        <v>2115916359.51</v>
      </c>
      <c r="U70" s="37">
        <f t="shared" si="12"/>
        <v>2120266850.1600003</v>
      </c>
      <c r="V70" s="37">
        <f t="shared" si="12"/>
        <v>2102146106.0200002</v>
      </c>
      <c r="W70" s="37">
        <f t="shared" si="12"/>
        <v>2097314673.74</v>
      </c>
      <c r="X70" s="37">
        <f t="shared" si="12"/>
        <v>2091153012.8</v>
      </c>
      <c r="Y70" s="37">
        <f t="shared" si="12"/>
        <v>2059298244.2799997</v>
      </c>
      <c r="Z70" s="37">
        <f t="shared" si="12"/>
        <v>2035502329.5700002</v>
      </c>
      <c r="AA70" s="37">
        <f t="shared" si="12"/>
        <v>1998339780.8799999</v>
      </c>
      <c r="AB70" s="37">
        <f t="shared" si="12"/>
        <v>1937542590.73</v>
      </c>
      <c r="AC70" s="37">
        <f t="shared" si="12"/>
        <v>1912640996.4399996</v>
      </c>
      <c r="AD70" s="37">
        <f t="shared" si="12"/>
        <v>1897983803.9100003</v>
      </c>
      <c r="AE70" s="37">
        <f t="shared" si="12"/>
        <v>1839132776.4900002</v>
      </c>
      <c r="AF70" s="37">
        <f t="shared" si="12"/>
        <v>1902554305.71</v>
      </c>
      <c r="AG70" s="37">
        <f t="shared" si="12"/>
        <v>1870000425.1199996</v>
      </c>
      <c r="AH70" s="37">
        <f t="shared" si="12"/>
        <v>1847257394.27</v>
      </c>
      <c r="AI70" s="37">
        <f t="shared" si="12"/>
        <v>1820175662.54</v>
      </c>
      <c r="AJ70" s="37">
        <f t="shared" si="12"/>
        <v>1720226597.2300003</v>
      </c>
      <c r="AK70" s="37">
        <f t="shared" si="12"/>
        <v>1727219837.21</v>
      </c>
      <c r="AL70" s="37">
        <f t="shared" si="12"/>
        <v>1692334674.2799997</v>
      </c>
      <c r="AM70" s="37">
        <f t="shared" si="12"/>
        <v>1637217646.22</v>
      </c>
      <c r="AN70" s="37">
        <f t="shared" si="12"/>
        <v>1639432145.6800001</v>
      </c>
      <c r="AO70" s="37">
        <f t="shared" si="12"/>
        <v>1591750094.1000001</v>
      </c>
      <c r="AP70" s="37">
        <f t="shared" si="12"/>
        <v>1545742934.1899998</v>
      </c>
      <c r="AQ70" s="37">
        <f t="shared" si="12"/>
        <v>1517574069.5799999</v>
      </c>
      <c r="AR70" s="37">
        <f t="shared" si="12"/>
        <v>1480401564.1100001</v>
      </c>
      <c r="AS70" s="37">
        <f t="shared" si="12"/>
        <v>1449357134.6099999</v>
      </c>
      <c r="AT70" s="37">
        <f t="shared" si="12"/>
        <v>1446333018.75</v>
      </c>
      <c r="AU70" s="37">
        <f t="shared" si="12"/>
        <v>1419825602.5100002</v>
      </c>
      <c r="AV70" s="37">
        <f t="shared" si="12"/>
        <v>1420278007.2499998</v>
      </c>
      <c r="AW70" s="37">
        <f t="shared" si="12"/>
        <v>1210118014.21</v>
      </c>
      <c r="AX70" s="37">
        <f t="shared" si="12"/>
        <v>1195915083.76</v>
      </c>
      <c r="AY70" s="37">
        <f t="shared" si="12"/>
        <v>1162724209.8400002</v>
      </c>
      <c r="AZ70" s="37">
        <f t="shared" si="12"/>
        <v>1149677315.9199998</v>
      </c>
      <c r="BA70" s="37">
        <f t="shared" si="12"/>
        <v>1133665836.2199998</v>
      </c>
      <c r="BB70" s="37">
        <f t="shared" si="12"/>
        <v>1012160829.2400001</v>
      </c>
      <c r="BC70" s="37">
        <f t="shared" si="12"/>
        <v>976673240.80999994</v>
      </c>
      <c r="BD70" s="37">
        <f t="shared" si="12"/>
        <v>978426961.20999992</v>
      </c>
      <c r="BE70" s="37">
        <f t="shared" si="12"/>
        <v>959612716.39999998</v>
      </c>
      <c r="BF70" s="37">
        <f t="shared" si="12"/>
        <v>901143623.43000007</v>
      </c>
      <c r="BG70" s="37">
        <f t="shared" si="12"/>
        <v>901534938.90999985</v>
      </c>
      <c r="BH70" s="37">
        <f t="shared" si="12"/>
        <v>850857440.19999993</v>
      </c>
      <c r="BI70" s="37">
        <f t="shared" si="12"/>
        <v>793349576.8900001</v>
      </c>
      <c r="BJ70" s="37">
        <f t="shared" si="12"/>
        <v>780126099.06000006</v>
      </c>
      <c r="BK70" s="37">
        <f t="shared" si="12"/>
        <v>761757003.18000007</v>
      </c>
      <c r="BL70" s="37">
        <f t="shared" si="12"/>
        <v>751416999.48000002</v>
      </c>
      <c r="BM70" s="37">
        <f t="shared" si="12"/>
        <v>739639680.1099999</v>
      </c>
      <c r="BN70" s="37">
        <f t="shared" si="12"/>
        <v>719359636.58000004</v>
      </c>
      <c r="BO70" s="37">
        <f t="shared" ref="BO70:CL70" si="13">BO17+BO19+BO69</f>
        <v>739840619.45999992</v>
      </c>
      <c r="BP70" s="37">
        <f t="shared" si="13"/>
        <v>319060671.80000007</v>
      </c>
      <c r="BQ70" s="37">
        <f t="shared" si="13"/>
        <v>264542302.21000001</v>
      </c>
      <c r="BR70" s="37">
        <f t="shared" si="13"/>
        <v>247650397.78999999</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0</v>
      </c>
      <c r="F72" s="28">
        <f t="shared" ref="F72:BQ72" si="14">SUM(F73:F77)</f>
        <v>0</v>
      </c>
      <c r="G72" s="28">
        <f t="shared" si="14"/>
        <v>0</v>
      </c>
      <c r="H72" s="28">
        <f t="shared" si="14"/>
        <v>0</v>
      </c>
      <c r="I72" s="28">
        <f t="shared" si="14"/>
        <v>1000000</v>
      </c>
      <c r="J72" s="28">
        <f t="shared" si="14"/>
        <v>2800000</v>
      </c>
      <c r="K72" s="28">
        <f t="shared" si="14"/>
        <v>32379520</v>
      </c>
      <c r="L72" s="28">
        <f t="shared" si="14"/>
        <v>62861600</v>
      </c>
      <c r="M72" s="28">
        <f t="shared" si="14"/>
        <v>2800000</v>
      </c>
      <c r="N72" s="28">
        <f t="shared" si="14"/>
        <v>50254270</v>
      </c>
      <c r="O72" s="28">
        <f t="shared" si="14"/>
        <v>123135460</v>
      </c>
      <c r="P72" s="28">
        <f t="shared" si="14"/>
        <v>147243001.44</v>
      </c>
      <c r="Q72" s="28">
        <f t="shared" si="14"/>
        <v>113985036.05</v>
      </c>
      <c r="R72" s="28">
        <f t="shared" si="14"/>
        <v>143715811.12</v>
      </c>
      <c r="S72" s="28">
        <f t="shared" si="14"/>
        <v>75406311.109999999</v>
      </c>
      <c r="T72" s="28">
        <f t="shared" si="14"/>
        <v>55024577.780000001</v>
      </c>
      <c r="U72" s="28">
        <f t="shared" si="14"/>
        <v>85756077.769999996</v>
      </c>
      <c r="V72" s="28">
        <f t="shared" si="14"/>
        <v>85157084.439999998</v>
      </c>
      <c r="W72" s="28">
        <f t="shared" si="14"/>
        <v>85777255.549999997</v>
      </c>
      <c r="X72" s="28">
        <f t="shared" si="14"/>
        <v>115124233.33</v>
      </c>
      <c r="Y72" s="28">
        <f t="shared" si="14"/>
        <v>117238605.56</v>
      </c>
      <c r="Z72" s="28">
        <f t="shared" si="14"/>
        <v>110000000</v>
      </c>
      <c r="AA72" s="28">
        <f t="shared" si="14"/>
        <v>80000000</v>
      </c>
      <c r="AB72" s="28">
        <f t="shared" si="14"/>
        <v>55000000</v>
      </c>
      <c r="AC72" s="28">
        <f t="shared" si="14"/>
        <v>55000000</v>
      </c>
      <c r="AD72" s="28">
        <f t="shared" si="14"/>
        <v>55000000</v>
      </c>
      <c r="AE72" s="28">
        <f t="shared" si="14"/>
        <v>25000000</v>
      </c>
      <c r="AF72" s="28">
        <f t="shared" si="14"/>
        <v>105017437.20999999</v>
      </c>
      <c r="AG72" s="28">
        <f t="shared" si="14"/>
        <v>115017437.2</v>
      </c>
      <c r="AH72" s="28">
        <f t="shared" si="14"/>
        <v>129929000</v>
      </c>
      <c r="AI72" s="28">
        <f t="shared" si="14"/>
        <v>149929000</v>
      </c>
      <c r="AJ72" s="28">
        <f t="shared" si="14"/>
        <v>80000000</v>
      </c>
      <c r="AK72" s="28">
        <f t="shared" si="14"/>
        <v>134000000</v>
      </c>
      <c r="AL72" s="28">
        <f t="shared" si="14"/>
        <v>134000000</v>
      </c>
      <c r="AM72" s="28">
        <f t="shared" si="14"/>
        <v>114000000</v>
      </c>
      <c r="AN72" s="28">
        <f t="shared" si="14"/>
        <v>150928000</v>
      </c>
      <c r="AO72" s="28">
        <f t="shared" si="14"/>
        <v>136928000</v>
      </c>
      <c r="AP72" s="28">
        <f t="shared" si="14"/>
        <v>119000000</v>
      </c>
      <c r="AQ72" s="28">
        <f t="shared" si="14"/>
        <v>129530000</v>
      </c>
      <c r="AR72" s="28">
        <f t="shared" si="14"/>
        <v>130000000</v>
      </c>
      <c r="AS72" s="28">
        <f t="shared" si="14"/>
        <v>130000000</v>
      </c>
      <c r="AT72" s="28">
        <f t="shared" si="14"/>
        <v>160000000</v>
      </c>
      <c r="AU72" s="28">
        <f t="shared" si="14"/>
        <v>160000000</v>
      </c>
      <c r="AV72" s="28">
        <f t="shared" si="14"/>
        <v>170000000</v>
      </c>
      <c r="AW72" s="28">
        <f t="shared" si="14"/>
        <v>260000000</v>
      </c>
      <c r="AX72" s="28">
        <f t="shared" si="14"/>
        <v>250000000</v>
      </c>
      <c r="AY72" s="28">
        <f t="shared" si="14"/>
        <v>243000000</v>
      </c>
      <c r="AZ72" s="28">
        <f t="shared" si="14"/>
        <v>231530000</v>
      </c>
      <c r="BA72" s="28">
        <f t="shared" si="14"/>
        <v>236530000</v>
      </c>
      <c r="BB72" s="28">
        <f t="shared" si="14"/>
        <v>171530000</v>
      </c>
      <c r="BC72" s="28">
        <f t="shared" si="14"/>
        <v>157530000</v>
      </c>
      <c r="BD72" s="28">
        <f t="shared" si="14"/>
        <v>161500000</v>
      </c>
      <c r="BE72" s="28">
        <f t="shared" si="14"/>
        <v>162110000</v>
      </c>
      <c r="BF72" s="28">
        <f t="shared" si="14"/>
        <v>110000000</v>
      </c>
      <c r="BG72" s="28">
        <f t="shared" si="14"/>
        <v>130000000</v>
      </c>
      <c r="BH72" s="28">
        <f t="shared" si="14"/>
        <v>90000000</v>
      </c>
      <c r="BI72" s="28">
        <f t="shared" si="14"/>
        <v>50000000</v>
      </c>
      <c r="BJ72" s="28">
        <f t="shared" si="14"/>
        <v>60000000</v>
      </c>
      <c r="BK72" s="28">
        <f t="shared" si="14"/>
        <v>60000000</v>
      </c>
      <c r="BL72" s="28">
        <f t="shared" si="14"/>
        <v>62870000</v>
      </c>
      <c r="BM72" s="28">
        <f t="shared" si="14"/>
        <v>62870000</v>
      </c>
      <c r="BN72" s="28">
        <f t="shared" si="14"/>
        <v>62870000</v>
      </c>
      <c r="BO72" s="28">
        <f t="shared" si="14"/>
        <v>31919024</v>
      </c>
      <c r="BP72" s="28">
        <f t="shared" si="14"/>
        <v>26918592</v>
      </c>
      <c r="BQ72" s="28">
        <f t="shared" si="14"/>
        <v>22000000</v>
      </c>
      <c r="BR72" s="28">
        <f t="shared" ref="BR72:CL72" si="15">SUM(BR73:BR77)</f>
        <v>11050000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27" t="s">
        <v>52</v>
      </c>
      <c r="B73" s="188">
        <v>0</v>
      </c>
      <c r="C73" s="188">
        <v>0</v>
      </c>
      <c r="D73" s="188">
        <v>0</v>
      </c>
      <c r="E73" s="188">
        <v>0</v>
      </c>
      <c r="F73" s="188">
        <v>0</v>
      </c>
      <c r="G73" s="188">
        <v>0</v>
      </c>
      <c r="H73" s="188">
        <v>0</v>
      </c>
      <c r="I73" s="188">
        <v>1000000</v>
      </c>
      <c r="J73" s="188">
        <v>2800000</v>
      </c>
      <c r="K73" s="188">
        <v>32379520</v>
      </c>
      <c r="L73" s="188">
        <v>62861600</v>
      </c>
      <c r="M73" s="188">
        <v>2800000</v>
      </c>
      <c r="N73" s="188">
        <v>50254270</v>
      </c>
      <c r="O73" s="188">
        <v>123135460</v>
      </c>
      <c r="P73" s="188">
        <v>146310260</v>
      </c>
      <c r="Q73" s="188">
        <v>113742400</v>
      </c>
      <c r="R73" s="188">
        <v>143295600</v>
      </c>
      <c r="S73" s="188">
        <v>75000000</v>
      </c>
      <c r="T73" s="188">
        <v>55000000</v>
      </c>
      <c r="U73" s="188">
        <v>85000000</v>
      </c>
      <c r="V73" s="188">
        <v>85000000</v>
      </c>
      <c r="W73" s="188">
        <v>85000000</v>
      </c>
      <c r="X73" s="188">
        <v>115000000</v>
      </c>
      <c r="Y73" s="188">
        <v>115000000</v>
      </c>
      <c r="Z73" s="188">
        <v>110000000</v>
      </c>
      <c r="AA73" s="188">
        <v>80000000</v>
      </c>
      <c r="AB73" s="188">
        <v>55000000</v>
      </c>
      <c r="AC73" s="188">
        <v>55000000</v>
      </c>
      <c r="AD73" s="188">
        <v>55000000</v>
      </c>
      <c r="AE73" s="188">
        <v>25000000</v>
      </c>
      <c r="AF73" s="188">
        <v>104929000</v>
      </c>
      <c r="AG73" s="188">
        <v>114929000</v>
      </c>
      <c r="AH73" s="188">
        <v>129929000</v>
      </c>
      <c r="AI73" s="188">
        <v>149929000</v>
      </c>
      <c r="AJ73" s="188">
        <v>80000000</v>
      </c>
      <c r="AK73" s="188">
        <v>134000000</v>
      </c>
      <c r="AL73" s="188">
        <v>134000000</v>
      </c>
      <c r="AM73" s="188">
        <v>114000000</v>
      </c>
      <c r="AN73" s="188">
        <v>150928000</v>
      </c>
      <c r="AO73" s="188">
        <v>136928000</v>
      </c>
      <c r="AP73" s="188">
        <v>119000000</v>
      </c>
      <c r="AQ73" s="188">
        <v>129530000</v>
      </c>
      <c r="AR73" s="188">
        <v>130000000</v>
      </c>
      <c r="AS73" s="188">
        <v>130000000</v>
      </c>
      <c r="AT73" s="188">
        <v>160000000</v>
      </c>
      <c r="AU73" s="188">
        <v>160000000</v>
      </c>
      <c r="AV73" s="188">
        <v>170000000</v>
      </c>
      <c r="AW73" s="188">
        <v>250000000</v>
      </c>
      <c r="AX73" s="188">
        <v>250000000</v>
      </c>
      <c r="AY73" s="188">
        <v>243000000</v>
      </c>
      <c r="AZ73" s="188">
        <v>231530000</v>
      </c>
      <c r="BA73" s="188">
        <v>236530000</v>
      </c>
      <c r="BB73" s="188">
        <v>171530000</v>
      </c>
      <c r="BC73" s="188">
        <v>157530000</v>
      </c>
      <c r="BD73" s="188">
        <v>161500000</v>
      </c>
      <c r="BE73" s="188">
        <v>144110000</v>
      </c>
      <c r="BF73" s="188">
        <v>110000000</v>
      </c>
      <c r="BG73" s="188">
        <v>130000000</v>
      </c>
      <c r="BH73" s="188">
        <v>90000000</v>
      </c>
      <c r="BI73" s="188">
        <v>50000000</v>
      </c>
      <c r="BJ73" s="188">
        <v>60000000</v>
      </c>
      <c r="BK73" s="188">
        <v>59000000</v>
      </c>
      <c r="BL73" s="188">
        <v>15000000</v>
      </c>
      <c r="BM73" s="188">
        <v>15000000</v>
      </c>
      <c r="BN73" s="188">
        <v>10000000</v>
      </c>
      <c r="BO73" s="188">
        <v>21919024</v>
      </c>
      <c r="BP73" s="188">
        <v>21918592</v>
      </c>
      <c r="BQ73" s="188">
        <v>12000000</v>
      </c>
      <c r="BR73" s="188">
        <v>11050000</v>
      </c>
      <c r="BS73" s="188">
        <v>0</v>
      </c>
      <c r="BT73" s="188"/>
      <c r="BU73" s="188"/>
      <c r="BV73" s="188"/>
      <c r="BW73" s="188"/>
      <c r="BX73" s="188"/>
      <c r="BY73" s="188"/>
      <c r="BZ73" s="188"/>
      <c r="CA73" s="188"/>
      <c r="CB73" s="188"/>
      <c r="CC73" s="188"/>
      <c r="CD73" s="188"/>
      <c r="CE73" s="188"/>
      <c r="CF73" s="188"/>
      <c r="CG73" s="188"/>
      <c r="CH73" s="188"/>
      <c r="CI73" s="188"/>
      <c r="CJ73" s="188"/>
      <c r="CK73" s="188"/>
      <c r="CL73" s="188"/>
    </row>
    <row r="74" spans="1:90">
      <c r="A74" s="127" t="s">
        <v>77</v>
      </c>
      <c r="B74" s="188">
        <v>43875</v>
      </c>
      <c r="C74" s="188">
        <v>0</v>
      </c>
      <c r="D74" s="188">
        <v>0</v>
      </c>
      <c r="E74" s="188">
        <v>0</v>
      </c>
      <c r="F74" s="188">
        <v>0</v>
      </c>
      <c r="G74" s="188">
        <v>0</v>
      </c>
      <c r="H74" s="188">
        <v>0</v>
      </c>
      <c r="I74" s="188">
        <v>0</v>
      </c>
      <c r="J74" s="188">
        <v>0</v>
      </c>
      <c r="K74" s="188">
        <v>0</v>
      </c>
      <c r="L74" s="188">
        <v>0</v>
      </c>
      <c r="M74" s="188">
        <v>0</v>
      </c>
      <c r="N74" s="188">
        <v>0</v>
      </c>
      <c r="O74" s="188">
        <v>0</v>
      </c>
      <c r="P74" s="188">
        <v>932741.44</v>
      </c>
      <c r="Q74" s="188">
        <v>242636.05</v>
      </c>
      <c r="R74" s="188">
        <v>420211.12</v>
      </c>
      <c r="S74" s="188">
        <v>406311.11</v>
      </c>
      <c r="T74" s="188">
        <v>24577.78</v>
      </c>
      <c r="U74" s="188">
        <v>756077.77</v>
      </c>
      <c r="V74" s="188">
        <v>157084.44</v>
      </c>
      <c r="W74" s="188">
        <v>777255.55</v>
      </c>
      <c r="X74" s="188">
        <v>124233.33</v>
      </c>
      <c r="Y74" s="188">
        <v>676105.56</v>
      </c>
      <c r="Z74" s="188">
        <v>0</v>
      </c>
      <c r="AA74" s="188">
        <v>0</v>
      </c>
      <c r="AB74" s="188">
        <v>0</v>
      </c>
      <c r="AC74" s="188">
        <v>0</v>
      </c>
      <c r="AD74" s="188">
        <v>0</v>
      </c>
      <c r="AE74" s="188">
        <v>0</v>
      </c>
      <c r="AF74" s="188">
        <v>88437.21</v>
      </c>
      <c r="AG74" s="188">
        <v>88437.2</v>
      </c>
      <c r="AH74" s="188">
        <v>0</v>
      </c>
      <c r="AI74" s="188">
        <v>0</v>
      </c>
      <c r="AJ74" s="188">
        <v>0</v>
      </c>
      <c r="AK74" s="188">
        <v>0</v>
      </c>
      <c r="AL74" s="188">
        <v>0</v>
      </c>
      <c r="AM74" s="188">
        <v>0</v>
      </c>
      <c r="AN74" s="188">
        <v>0</v>
      </c>
      <c r="AO74" s="188">
        <v>0</v>
      </c>
      <c r="AP74" s="188">
        <v>0</v>
      </c>
      <c r="AQ74" s="188">
        <v>0</v>
      </c>
      <c r="AR74" s="188">
        <v>0</v>
      </c>
      <c r="AS74" s="188">
        <v>0</v>
      </c>
      <c r="AT74" s="188">
        <v>0</v>
      </c>
      <c r="AU74" s="188">
        <v>0</v>
      </c>
      <c r="AV74" s="188">
        <v>0</v>
      </c>
      <c r="AW74" s="188">
        <v>0</v>
      </c>
      <c r="AX74" s="188">
        <v>0</v>
      </c>
      <c r="AY74" s="188">
        <v>0</v>
      </c>
      <c r="AZ74" s="188">
        <v>0</v>
      </c>
      <c r="BA74" s="188">
        <v>0</v>
      </c>
      <c r="BB74" s="188">
        <v>0</v>
      </c>
      <c r="BC74" s="188">
        <v>0</v>
      </c>
      <c r="BD74" s="188">
        <v>0</v>
      </c>
      <c r="BE74" s="188">
        <v>0</v>
      </c>
      <c r="BF74" s="188">
        <v>0</v>
      </c>
      <c r="BG74" s="188">
        <v>0</v>
      </c>
      <c r="BH74" s="188">
        <v>0</v>
      </c>
      <c r="BI74" s="188">
        <v>0</v>
      </c>
      <c r="BJ74" s="188">
        <v>0</v>
      </c>
      <c r="BK74" s="188">
        <v>0</v>
      </c>
      <c r="BL74" s="188">
        <v>0</v>
      </c>
      <c r="BM74" s="188">
        <v>0</v>
      </c>
      <c r="BN74" s="188">
        <v>0</v>
      </c>
      <c r="BO74" s="188">
        <v>0</v>
      </c>
      <c r="BP74" s="188">
        <v>0</v>
      </c>
      <c r="BQ74" s="188">
        <v>0</v>
      </c>
      <c r="BR74" s="188">
        <v>0</v>
      </c>
      <c r="BS74" s="188">
        <v>0</v>
      </c>
      <c r="BT74" s="188"/>
      <c r="BU74" s="188"/>
      <c r="BV74" s="188"/>
      <c r="BW74" s="188"/>
      <c r="BX74" s="188"/>
      <c r="BY74" s="188"/>
      <c r="BZ74" s="188"/>
      <c r="CA74" s="188"/>
      <c r="CB74" s="188"/>
      <c r="CC74" s="188"/>
      <c r="CD74" s="188"/>
      <c r="CE74" s="188"/>
      <c r="CF74" s="188"/>
      <c r="CG74" s="188"/>
      <c r="CH74" s="188"/>
      <c r="CI74" s="188"/>
      <c r="CJ74" s="188"/>
      <c r="CK74" s="188"/>
      <c r="CL74" s="188"/>
    </row>
    <row r="75" spans="1:90">
      <c r="A75" s="127"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c r="BS75" s="188">
        <v>0</v>
      </c>
      <c r="BT75" s="188"/>
      <c r="BU75" s="188"/>
      <c r="BV75" s="188"/>
      <c r="BW75" s="188"/>
      <c r="BX75" s="188"/>
      <c r="BY75" s="188"/>
      <c r="BZ75" s="188"/>
      <c r="CA75" s="188"/>
      <c r="CB75" s="188"/>
      <c r="CC75" s="188"/>
      <c r="CD75" s="188"/>
      <c r="CE75" s="188"/>
      <c r="CF75" s="188"/>
      <c r="CG75" s="188"/>
      <c r="CH75" s="188"/>
      <c r="CI75" s="188"/>
      <c r="CJ75" s="188"/>
      <c r="CK75" s="188"/>
      <c r="CL75" s="188"/>
    </row>
    <row r="76" spans="1:90">
      <c r="A76" s="127" t="s">
        <v>54</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1562500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10000000</v>
      </c>
      <c r="AX76" s="188">
        <v>0</v>
      </c>
      <c r="AY76" s="188">
        <v>0</v>
      </c>
      <c r="AZ76" s="188">
        <v>0</v>
      </c>
      <c r="BA76" s="188">
        <v>0</v>
      </c>
      <c r="BB76" s="188">
        <v>0</v>
      </c>
      <c r="BC76" s="188">
        <v>0</v>
      </c>
      <c r="BD76" s="188">
        <v>0</v>
      </c>
      <c r="BE76" s="188">
        <v>18000000</v>
      </c>
      <c r="BF76" s="188">
        <v>0</v>
      </c>
      <c r="BG76" s="188">
        <v>0</v>
      </c>
      <c r="BH76" s="188">
        <v>0</v>
      </c>
      <c r="BI76" s="188">
        <v>0</v>
      </c>
      <c r="BJ76" s="188">
        <v>0</v>
      </c>
      <c r="BK76" s="188">
        <v>1000000</v>
      </c>
      <c r="BL76" s="188">
        <v>47870000</v>
      </c>
      <c r="BM76" s="188">
        <v>47870000</v>
      </c>
      <c r="BN76" s="188">
        <v>52870000</v>
      </c>
      <c r="BO76" s="188">
        <v>10000000</v>
      </c>
      <c r="BP76" s="188">
        <v>5000000</v>
      </c>
      <c r="BQ76" s="188">
        <v>10000000</v>
      </c>
      <c r="BR76" s="188">
        <v>0</v>
      </c>
      <c r="BS76" s="188">
        <v>0</v>
      </c>
      <c r="BT76" s="188"/>
      <c r="BU76" s="188"/>
      <c r="BV76" s="188"/>
      <c r="BW76" s="188"/>
      <c r="BX76" s="188"/>
      <c r="BY76" s="188"/>
      <c r="BZ76" s="188"/>
      <c r="CA76" s="188"/>
      <c r="CB76" s="188"/>
      <c r="CC76" s="188"/>
      <c r="CD76" s="188"/>
      <c r="CE76" s="188"/>
      <c r="CF76" s="188"/>
      <c r="CG76" s="188"/>
      <c r="CH76" s="188"/>
      <c r="CI76" s="188"/>
      <c r="CJ76" s="188"/>
      <c r="CK76" s="188"/>
      <c r="CL76" s="188"/>
    </row>
    <row r="77" spans="1:90">
      <c r="A77" s="127"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c r="BU77" s="188"/>
      <c r="BV77" s="188"/>
      <c r="BW77" s="188"/>
      <c r="BX77" s="188"/>
      <c r="BY77" s="188"/>
      <c r="BZ77" s="188"/>
      <c r="CA77" s="188"/>
      <c r="CB77" s="188"/>
      <c r="CC77" s="188"/>
      <c r="CD77" s="188"/>
      <c r="CE77" s="188"/>
      <c r="CF77" s="188"/>
      <c r="CG77" s="188"/>
      <c r="CH77" s="188"/>
      <c r="CI77" s="188"/>
      <c r="CJ77" s="188"/>
      <c r="CK77" s="188"/>
      <c r="CL77" s="188"/>
    </row>
    <row r="78" spans="1:90" ht="14.45" hidden="1">
      <c r="A78" s="127"/>
      <c r="B78" s="26"/>
      <c r="C78" s="26"/>
      <c r="D78" s="26"/>
      <c r="E78" s="26"/>
      <c r="F78" s="26"/>
      <c r="G78" s="26"/>
      <c r="H78" s="26"/>
      <c r="I78" s="26"/>
      <c r="J78" s="26"/>
      <c r="K78" s="26"/>
      <c r="L78" s="23"/>
    </row>
    <row r="79" spans="1:90" ht="14.45" hidden="1">
      <c r="A79" s="127"/>
      <c r="B79" s="26"/>
      <c r="C79" s="26"/>
      <c r="D79" s="26"/>
      <c r="E79" s="26"/>
      <c r="F79" s="26"/>
      <c r="G79" s="26"/>
      <c r="H79" s="26"/>
      <c r="I79" s="26"/>
      <c r="J79" s="26"/>
      <c r="K79" s="26"/>
      <c r="L79" s="23"/>
    </row>
    <row r="80" spans="1:90" ht="14.45" hidden="1">
      <c r="A80" s="127"/>
      <c r="B80" s="26"/>
      <c r="C80" s="26"/>
      <c r="D80" s="26"/>
      <c r="E80" s="26"/>
      <c r="F80" s="26"/>
      <c r="G80" s="26"/>
      <c r="H80" s="26"/>
      <c r="I80" s="26"/>
      <c r="J80" s="26"/>
      <c r="K80" s="26"/>
      <c r="L80" s="23"/>
    </row>
    <row r="81" spans="1:90" s="2" customFormat="1">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5312500</v>
      </c>
      <c r="AA81" s="28">
        <f t="shared" si="16"/>
        <v>5312500</v>
      </c>
      <c r="AB81" s="28">
        <f t="shared" si="16"/>
        <v>5312500</v>
      </c>
      <c r="AC81" s="28">
        <f t="shared" si="16"/>
        <v>5312500</v>
      </c>
      <c r="AD81" s="28">
        <f t="shared" si="16"/>
        <v>9062500</v>
      </c>
      <c r="AE81" s="28">
        <f t="shared" si="16"/>
        <v>9062500</v>
      </c>
      <c r="AF81" s="28">
        <f t="shared" si="16"/>
        <v>9062500</v>
      </c>
      <c r="AG81" s="28">
        <f t="shared" si="16"/>
        <v>9062500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21158259.09</v>
      </c>
      <c r="AQ81" s="28">
        <f t="shared" si="16"/>
        <v>14948395.689999999</v>
      </c>
      <c r="AR81" s="28">
        <f t="shared" si="16"/>
        <v>14212992.84</v>
      </c>
      <c r="AS81" s="28">
        <f t="shared" si="16"/>
        <v>12629641.84</v>
      </c>
      <c r="AT81" s="28">
        <f t="shared" si="16"/>
        <v>3251250.12</v>
      </c>
      <c r="AU81" s="28">
        <f t="shared" si="16"/>
        <v>1993347.08</v>
      </c>
      <c r="AV81" s="28">
        <f t="shared" si="16"/>
        <v>0</v>
      </c>
      <c r="AW81" s="28">
        <f t="shared" si="16"/>
        <v>25000000</v>
      </c>
      <c r="AX81" s="28">
        <f t="shared" si="16"/>
        <v>35000000</v>
      </c>
      <c r="AY81" s="28">
        <f t="shared" si="16"/>
        <v>35000000</v>
      </c>
      <c r="AZ81" s="28">
        <f t="shared" si="16"/>
        <v>35000000</v>
      </c>
      <c r="BA81" s="28">
        <f t="shared" si="16"/>
        <v>35000000</v>
      </c>
      <c r="BB81" s="28">
        <f t="shared" si="16"/>
        <v>0</v>
      </c>
      <c r="BC81" s="28">
        <f t="shared" si="16"/>
        <v>0</v>
      </c>
      <c r="BD81" s="28">
        <f t="shared" si="16"/>
        <v>0</v>
      </c>
      <c r="BE81" s="28">
        <f t="shared" si="16"/>
        <v>0</v>
      </c>
      <c r="BF81" s="28">
        <f t="shared" si="16"/>
        <v>18000000</v>
      </c>
      <c r="BG81" s="28">
        <f t="shared" si="16"/>
        <v>18000000</v>
      </c>
      <c r="BH81" s="28">
        <f t="shared" si="16"/>
        <v>18000000</v>
      </c>
      <c r="BI81" s="28">
        <f t="shared" si="16"/>
        <v>18000000</v>
      </c>
      <c r="BJ81" s="28">
        <f t="shared" si="16"/>
        <v>18000000</v>
      </c>
      <c r="BK81" s="28">
        <f t="shared" si="16"/>
        <v>18000000</v>
      </c>
      <c r="BL81" s="28">
        <f t="shared" si="16"/>
        <v>18000000</v>
      </c>
      <c r="BM81" s="28">
        <f t="shared" si="16"/>
        <v>18000000</v>
      </c>
      <c r="BN81" s="28">
        <f t="shared" si="16"/>
        <v>18000000</v>
      </c>
      <c r="BO81" s="28">
        <f t="shared" si="16"/>
        <v>60870000</v>
      </c>
      <c r="BP81" s="28">
        <f t="shared" si="16"/>
        <v>65870000</v>
      </c>
      <c r="BQ81" s="28">
        <f t="shared" si="16"/>
        <v>43268700.939999998</v>
      </c>
      <c r="BR81" s="28">
        <f t="shared" ref="BR81:CG81" si="17">SUM(BR82:BR85)</f>
        <v>66185309.93</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27" t="s">
        <v>57</v>
      </c>
      <c r="B82" s="188">
        <v>0</v>
      </c>
      <c r="C82" s="188">
        <v>0</v>
      </c>
      <c r="D82" s="188">
        <v>0</v>
      </c>
      <c r="E82" s="188">
        <v>0</v>
      </c>
      <c r="F82" s="188">
        <v>0</v>
      </c>
      <c r="G82" s="188">
        <v>0</v>
      </c>
      <c r="H82" s="188">
        <v>0</v>
      </c>
      <c r="I82" s="188">
        <v>0</v>
      </c>
      <c r="J82" s="188">
        <v>0</v>
      </c>
      <c r="K82" s="188">
        <v>0</v>
      </c>
      <c r="L82" s="188">
        <v>0</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25000000</v>
      </c>
      <c r="AX82" s="188">
        <v>35000000</v>
      </c>
      <c r="AY82" s="188">
        <v>35000000</v>
      </c>
      <c r="AZ82" s="188">
        <v>35000000</v>
      </c>
      <c r="BA82" s="188">
        <v>35000000</v>
      </c>
      <c r="BB82" s="188">
        <v>0</v>
      </c>
      <c r="BC82" s="188">
        <v>0</v>
      </c>
      <c r="BD82" s="188">
        <v>0</v>
      </c>
      <c r="BE82" s="188">
        <v>0</v>
      </c>
      <c r="BF82" s="188">
        <v>18000000</v>
      </c>
      <c r="BG82" s="188">
        <v>18000000</v>
      </c>
      <c r="BH82" s="188">
        <v>18000000</v>
      </c>
      <c r="BI82" s="188">
        <v>18000000</v>
      </c>
      <c r="BJ82" s="188">
        <v>18000000</v>
      </c>
      <c r="BK82" s="188">
        <v>18000000</v>
      </c>
      <c r="BL82" s="188">
        <v>18000000</v>
      </c>
      <c r="BM82" s="188">
        <v>18000000</v>
      </c>
      <c r="BN82" s="188">
        <v>18000000</v>
      </c>
      <c r="BO82" s="188">
        <v>60870000</v>
      </c>
      <c r="BP82" s="188">
        <v>65870000</v>
      </c>
      <c r="BQ82" s="188">
        <v>47870000</v>
      </c>
      <c r="BR82" s="188">
        <v>62870000</v>
      </c>
      <c r="BS82" s="188">
        <v>0</v>
      </c>
      <c r="BT82" s="188"/>
      <c r="BU82" s="188"/>
      <c r="BV82" s="188"/>
      <c r="BW82" s="188"/>
      <c r="BX82" s="188"/>
      <c r="BY82" s="188"/>
      <c r="BZ82" s="188"/>
      <c r="CA82" s="188"/>
      <c r="CB82" s="188"/>
      <c r="CC82" s="188"/>
      <c r="CD82" s="188"/>
      <c r="CE82" s="188"/>
      <c r="CF82" s="188"/>
      <c r="CG82" s="188"/>
      <c r="CH82" s="188"/>
      <c r="CI82" s="188"/>
      <c r="CJ82" s="188"/>
      <c r="CK82" s="188"/>
      <c r="CL82" s="188"/>
    </row>
    <row r="83" spans="1:90">
      <c r="A83" s="127"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v>0</v>
      </c>
      <c r="BI83" s="188">
        <v>0</v>
      </c>
      <c r="BJ83" s="188">
        <v>0</v>
      </c>
      <c r="BK83" s="188">
        <v>0</v>
      </c>
      <c r="BL83" s="188">
        <v>0</v>
      </c>
      <c r="BM83" s="188">
        <v>0</v>
      </c>
      <c r="BN83" s="188">
        <v>0</v>
      </c>
      <c r="BO83" s="188">
        <v>0</v>
      </c>
      <c r="BP83" s="188">
        <v>0</v>
      </c>
      <c r="BQ83" s="188">
        <v>0</v>
      </c>
      <c r="BR83" s="188">
        <v>0</v>
      </c>
      <c r="BS83" s="188">
        <v>0</v>
      </c>
      <c r="BT83" s="188"/>
      <c r="BU83" s="188"/>
      <c r="BV83" s="188"/>
      <c r="BW83" s="188"/>
      <c r="BX83" s="188"/>
      <c r="BY83" s="188"/>
      <c r="BZ83" s="188"/>
      <c r="CA83" s="188"/>
      <c r="CB83" s="188"/>
      <c r="CC83" s="188"/>
      <c r="CD83" s="188"/>
      <c r="CE83" s="188"/>
      <c r="CF83" s="188"/>
      <c r="CG83" s="188"/>
      <c r="CH83" s="188"/>
      <c r="CI83" s="188"/>
      <c r="CJ83" s="188"/>
      <c r="CK83" s="188"/>
      <c r="CL83" s="188"/>
    </row>
    <row r="84" spans="1:90">
      <c r="A84" s="127" t="s">
        <v>59</v>
      </c>
      <c r="B84" s="188">
        <v>0</v>
      </c>
      <c r="C84" s="188">
        <v>0</v>
      </c>
      <c r="D84" s="188">
        <v>0</v>
      </c>
      <c r="E84" s="188">
        <v>0</v>
      </c>
      <c r="F84" s="188">
        <v>0</v>
      </c>
      <c r="G84" s="188">
        <v>0</v>
      </c>
      <c r="H84" s="188">
        <v>0</v>
      </c>
      <c r="I84" s="188">
        <v>0</v>
      </c>
      <c r="J84" s="188">
        <v>0</v>
      </c>
      <c r="K84" s="188">
        <v>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10366159.09</v>
      </c>
      <c r="AQ84" s="188">
        <v>9676295.6899999995</v>
      </c>
      <c r="AR84" s="188">
        <v>8940892.8399999999</v>
      </c>
      <c r="AS84" s="188">
        <v>7357541.8399999999</v>
      </c>
      <c r="AT84" s="188">
        <v>3251250.12</v>
      </c>
      <c r="AU84" s="188">
        <v>1993347.08</v>
      </c>
      <c r="AV84" s="188">
        <v>0</v>
      </c>
      <c r="AW84" s="188">
        <v>0</v>
      </c>
      <c r="AX84" s="188">
        <v>0</v>
      </c>
      <c r="AY84" s="188">
        <v>0</v>
      </c>
      <c r="AZ84" s="188">
        <v>0</v>
      </c>
      <c r="BA84" s="188">
        <v>0</v>
      </c>
      <c r="BB84" s="188">
        <v>0</v>
      </c>
      <c r="BC84" s="188">
        <v>0</v>
      </c>
      <c r="BD84" s="188">
        <v>0</v>
      </c>
      <c r="BE84" s="188">
        <v>0</v>
      </c>
      <c r="BF84" s="188">
        <v>0</v>
      </c>
      <c r="BG84" s="188">
        <v>0</v>
      </c>
      <c r="BH84" s="188">
        <v>0</v>
      </c>
      <c r="BI84" s="188">
        <v>0</v>
      </c>
      <c r="BJ84" s="188">
        <v>0</v>
      </c>
      <c r="BK84" s="188">
        <v>0</v>
      </c>
      <c r="BL84" s="188">
        <v>0</v>
      </c>
      <c r="BM84" s="188">
        <v>0</v>
      </c>
      <c r="BN84" s="188">
        <v>0</v>
      </c>
      <c r="BO84" s="188">
        <v>0</v>
      </c>
      <c r="BP84" s="188">
        <v>0</v>
      </c>
      <c r="BQ84" s="188">
        <v>0</v>
      </c>
      <c r="BR84" s="188">
        <v>0</v>
      </c>
      <c r="BS84" s="188">
        <v>0</v>
      </c>
      <c r="BT84" s="188"/>
      <c r="BU84" s="188"/>
      <c r="BV84" s="188"/>
      <c r="BW84" s="188"/>
      <c r="BX84" s="188"/>
      <c r="BY84" s="188"/>
      <c r="BZ84" s="188"/>
      <c r="CA84" s="188"/>
      <c r="CB84" s="188"/>
      <c r="CC84" s="188"/>
      <c r="CD84" s="188"/>
      <c r="CE84" s="188"/>
      <c r="CF84" s="188"/>
      <c r="CG84" s="188"/>
      <c r="CH84" s="188"/>
      <c r="CI84" s="188"/>
      <c r="CJ84" s="188"/>
      <c r="CK84" s="188"/>
      <c r="CL84" s="188"/>
    </row>
    <row r="85" spans="1:90">
      <c r="A85" s="127"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5312500</v>
      </c>
      <c r="AA85" s="188">
        <v>5312500</v>
      </c>
      <c r="AB85" s="188">
        <v>5312500</v>
      </c>
      <c r="AC85" s="188">
        <v>5312500</v>
      </c>
      <c r="AD85" s="188">
        <v>9062500</v>
      </c>
      <c r="AE85" s="188">
        <v>9062500</v>
      </c>
      <c r="AF85" s="188">
        <v>9062500</v>
      </c>
      <c r="AG85" s="188">
        <v>9062500</v>
      </c>
      <c r="AH85" s="188">
        <v>0</v>
      </c>
      <c r="AI85" s="188">
        <v>0</v>
      </c>
      <c r="AJ85" s="188">
        <v>0</v>
      </c>
      <c r="AK85" s="188">
        <v>0</v>
      </c>
      <c r="AL85" s="188">
        <v>0</v>
      </c>
      <c r="AM85" s="188">
        <v>0</v>
      </c>
      <c r="AN85" s="188">
        <v>0</v>
      </c>
      <c r="AO85" s="188">
        <v>0</v>
      </c>
      <c r="AP85" s="188">
        <v>10792100</v>
      </c>
      <c r="AQ85" s="188">
        <v>5272100</v>
      </c>
      <c r="AR85" s="188">
        <v>5272100</v>
      </c>
      <c r="AS85" s="188">
        <v>5272100</v>
      </c>
      <c r="AT85" s="188">
        <v>0</v>
      </c>
      <c r="AU85" s="188">
        <v>0</v>
      </c>
      <c r="AV85" s="188">
        <v>0</v>
      </c>
      <c r="AW85" s="188">
        <v>0</v>
      </c>
      <c r="AX85" s="188">
        <v>0</v>
      </c>
      <c r="AY85" s="188">
        <v>0</v>
      </c>
      <c r="AZ85" s="188">
        <v>0</v>
      </c>
      <c r="BA85" s="188">
        <v>0</v>
      </c>
      <c r="BB85" s="188">
        <v>0</v>
      </c>
      <c r="BC85" s="188">
        <v>0</v>
      </c>
      <c r="BD85" s="188">
        <v>0</v>
      </c>
      <c r="BE85" s="188">
        <v>0</v>
      </c>
      <c r="BF85" s="188">
        <v>0</v>
      </c>
      <c r="BG85" s="188">
        <v>0</v>
      </c>
      <c r="BH85" s="188">
        <v>0</v>
      </c>
      <c r="BI85" s="188">
        <v>0</v>
      </c>
      <c r="BJ85" s="188">
        <v>0</v>
      </c>
      <c r="BK85" s="188">
        <v>0</v>
      </c>
      <c r="BL85" s="188">
        <v>0</v>
      </c>
      <c r="BM85" s="188">
        <v>0</v>
      </c>
      <c r="BN85" s="188">
        <v>0</v>
      </c>
      <c r="BO85" s="188">
        <v>0</v>
      </c>
      <c r="BP85" s="188">
        <v>0</v>
      </c>
      <c r="BQ85" s="188">
        <v>-4601299.0599999996</v>
      </c>
      <c r="BR85" s="188">
        <v>3315309.93</v>
      </c>
      <c r="BS85" s="188">
        <v>0</v>
      </c>
      <c r="BT85" s="188"/>
      <c r="BU85" s="188"/>
      <c r="BV85" s="188"/>
      <c r="BW85" s="188"/>
      <c r="BX85" s="188"/>
      <c r="BY85" s="188"/>
      <c r="BZ85" s="188"/>
      <c r="CA85" s="188"/>
      <c r="CB85" s="188"/>
      <c r="CC85" s="188"/>
      <c r="CD85" s="188"/>
      <c r="CE85" s="188"/>
      <c r="CF85" s="188"/>
      <c r="CG85" s="188"/>
      <c r="CH85" s="188"/>
      <c r="CI85" s="188"/>
      <c r="CJ85" s="188"/>
      <c r="CK85" s="188"/>
      <c r="CL85" s="188"/>
    </row>
    <row r="86" spans="1:90" ht="14.45" hidden="1">
      <c r="A86" s="127"/>
      <c r="B86" s="26"/>
      <c r="C86" s="26"/>
      <c r="D86" s="26"/>
      <c r="E86" s="26"/>
      <c r="F86" s="26"/>
      <c r="G86" s="26"/>
      <c r="H86" s="26"/>
      <c r="I86" s="26"/>
      <c r="J86" s="26"/>
      <c r="K86" s="26"/>
      <c r="L86" s="23"/>
    </row>
    <row r="87" spans="1:90" ht="14.45" hidden="1">
      <c r="A87" s="127"/>
      <c r="B87" s="26"/>
      <c r="C87" s="26"/>
      <c r="D87" s="26"/>
      <c r="E87" s="26"/>
      <c r="F87" s="26"/>
      <c r="G87" s="26"/>
      <c r="H87" s="26"/>
      <c r="I87" s="26"/>
      <c r="J87" s="26"/>
      <c r="K87" s="26"/>
      <c r="L87" s="23"/>
    </row>
    <row r="88" spans="1:90" ht="14.45" hidden="1">
      <c r="A88" s="127"/>
      <c r="B88" s="26"/>
      <c r="C88" s="26"/>
      <c r="D88" s="26"/>
      <c r="E88" s="26"/>
      <c r="F88" s="26"/>
      <c r="G88" s="26"/>
      <c r="H88" s="26"/>
      <c r="I88" s="26"/>
      <c r="J88" s="26"/>
      <c r="K88" s="26"/>
      <c r="L88" s="23"/>
    </row>
    <row r="89" spans="1:90" s="5" customFormat="1">
      <c r="A89" s="128" t="s">
        <v>60</v>
      </c>
      <c r="B89" s="33">
        <f>SUM(B73:B85)</f>
        <v>43875</v>
      </c>
      <c r="C89" s="33">
        <f>SUM(C73:C85)</f>
        <v>0</v>
      </c>
      <c r="D89" s="33">
        <f>SUM(D73:D85)</f>
        <v>0</v>
      </c>
      <c r="E89" s="33">
        <f>E72+E81</f>
        <v>0</v>
      </c>
      <c r="F89" s="33">
        <f t="shared" ref="F89:BQ89" si="18">F72+F81</f>
        <v>0</v>
      </c>
      <c r="G89" s="33">
        <f t="shared" si="18"/>
        <v>0</v>
      </c>
      <c r="H89" s="33">
        <f t="shared" si="18"/>
        <v>0</v>
      </c>
      <c r="I89" s="33">
        <f t="shared" si="18"/>
        <v>1000000</v>
      </c>
      <c r="J89" s="33">
        <f t="shared" si="18"/>
        <v>2800000</v>
      </c>
      <c r="K89" s="33">
        <f t="shared" si="18"/>
        <v>32379520</v>
      </c>
      <c r="L89" s="33">
        <f t="shared" si="18"/>
        <v>62861600</v>
      </c>
      <c r="M89" s="33">
        <f t="shared" si="18"/>
        <v>2800000</v>
      </c>
      <c r="N89" s="33">
        <f t="shared" si="18"/>
        <v>50254270</v>
      </c>
      <c r="O89" s="33">
        <f t="shared" si="18"/>
        <v>123135460</v>
      </c>
      <c r="P89" s="33">
        <f t="shared" si="18"/>
        <v>147243001.44</v>
      </c>
      <c r="Q89" s="33">
        <f t="shared" si="18"/>
        <v>113985036.05</v>
      </c>
      <c r="R89" s="33">
        <f t="shared" si="18"/>
        <v>143715811.12</v>
      </c>
      <c r="S89" s="33">
        <f t="shared" si="18"/>
        <v>75406311.109999999</v>
      </c>
      <c r="T89" s="33">
        <f t="shared" si="18"/>
        <v>55024577.780000001</v>
      </c>
      <c r="U89" s="33">
        <f t="shared" si="18"/>
        <v>85756077.769999996</v>
      </c>
      <c r="V89" s="33">
        <f t="shared" si="18"/>
        <v>85157084.439999998</v>
      </c>
      <c r="W89" s="33">
        <f t="shared" si="18"/>
        <v>85777255.549999997</v>
      </c>
      <c r="X89" s="33">
        <f t="shared" si="18"/>
        <v>115124233.33</v>
      </c>
      <c r="Y89" s="33">
        <f t="shared" si="18"/>
        <v>117238605.56</v>
      </c>
      <c r="Z89" s="33">
        <f t="shared" si="18"/>
        <v>115312500</v>
      </c>
      <c r="AA89" s="33">
        <f t="shared" si="18"/>
        <v>85312500</v>
      </c>
      <c r="AB89" s="33">
        <f t="shared" si="18"/>
        <v>60312500</v>
      </c>
      <c r="AC89" s="33">
        <f t="shared" si="18"/>
        <v>60312500</v>
      </c>
      <c r="AD89" s="33">
        <f t="shared" si="18"/>
        <v>64062500</v>
      </c>
      <c r="AE89" s="33">
        <f t="shared" si="18"/>
        <v>34062500</v>
      </c>
      <c r="AF89" s="33">
        <f t="shared" si="18"/>
        <v>114079937.20999999</v>
      </c>
      <c r="AG89" s="33">
        <f t="shared" si="18"/>
        <v>124079937.2</v>
      </c>
      <c r="AH89" s="33">
        <f t="shared" si="18"/>
        <v>129929000</v>
      </c>
      <c r="AI89" s="33">
        <f t="shared" si="18"/>
        <v>149929000</v>
      </c>
      <c r="AJ89" s="33">
        <f t="shared" si="18"/>
        <v>80000000</v>
      </c>
      <c r="AK89" s="33">
        <f t="shared" si="18"/>
        <v>134000000</v>
      </c>
      <c r="AL89" s="33">
        <f t="shared" si="18"/>
        <v>134000000</v>
      </c>
      <c r="AM89" s="33">
        <f t="shared" si="18"/>
        <v>114000000</v>
      </c>
      <c r="AN89" s="33">
        <f t="shared" si="18"/>
        <v>150928000</v>
      </c>
      <c r="AO89" s="33">
        <f t="shared" si="18"/>
        <v>136928000</v>
      </c>
      <c r="AP89" s="33">
        <f t="shared" si="18"/>
        <v>140158259.09</v>
      </c>
      <c r="AQ89" s="33">
        <f t="shared" si="18"/>
        <v>144478395.69</v>
      </c>
      <c r="AR89" s="33">
        <f t="shared" si="18"/>
        <v>144212992.84</v>
      </c>
      <c r="AS89" s="33">
        <f t="shared" si="18"/>
        <v>142629641.84</v>
      </c>
      <c r="AT89" s="33">
        <f t="shared" si="18"/>
        <v>163251250.12</v>
      </c>
      <c r="AU89" s="33">
        <f t="shared" si="18"/>
        <v>161993347.08000001</v>
      </c>
      <c r="AV89" s="33">
        <f t="shared" si="18"/>
        <v>170000000</v>
      </c>
      <c r="AW89" s="33">
        <f t="shared" si="18"/>
        <v>285000000</v>
      </c>
      <c r="AX89" s="33">
        <f t="shared" si="18"/>
        <v>285000000</v>
      </c>
      <c r="AY89" s="33">
        <f t="shared" si="18"/>
        <v>278000000</v>
      </c>
      <c r="AZ89" s="33">
        <f t="shared" si="18"/>
        <v>266530000</v>
      </c>
      <c r="BA89" s="33">
        <f t="shared" si="18"/>
        <v>271530000</v>
      </c>
      <c r="BB89" s="33">
        <f t="shared" si="18"/>
        <v>171530000</v>
      </c>
      <c r="BC89" s="33">
        <f t="shared" si="18"/>
        <v>157530000</v>
      </c>
      <c r="BD89" s="33">
        <f t="shared" si="18"/>
        <v>161500000</v>
      </c>
      <c r="BE89" s="33">
        <f t="shared" si="18"/>
        <v>162110000</v>
      </c>
      <c r="BF89" s="33">
        <f t="shared" si="18"/>
        <v>128000000</v>
      </c>
      <c r="BG89" s="33">
        <f t="shared" si="18"/>
        <v>148000000</v>
      </c>
      <c r="BH89" s="33">
        <f t="shared" si="18"/>
        <v>108000000</v>
      </c>
      <c r="BI89" s="33">
        <f t="shared" si="18"/>
        <v>68000000</v>
      </c>
      <c r="BJ89" s="33">
        <f t="shared" si="18"/>
        <v>78000000</v>
      </c>
      <c r="BK89" s="33">
        <f t="shared" si="18"/>
        <v>78000000</v>
      </c>
      <c r="BL89" s="33">
        <f t="shared" si="18"/>
        <v>80870000</v>
      </c>
      <c r="BM89" s="33">
        <f t="shared" si="18"/>
        <v>80870000</v>
      </c>
      <c r="BN89" s="33">
        <f t="shared" si="18"/>
        <v>80870000</v>
      </c>
      <c r="BO89" s="33">
        <f t="shared" si="18"/>
        <v>92789024</v>
      </c>
      <c r="BP89" s="33">
        <f t="shared" si="18"/>
        <v>92788592</v>
      </c>
      <c r="BQ89" s="33">
        <f t="shared" si="18"/>
        <v>65268700.939999998</v>
      </c>
      <c r="BR89" s="33">
        <f t="shared" ref="BR89:CK89" si="19">BR72+BR81</f>
        <v>77235309.930000007</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27" t="s">
        <v>62</v>
      </c>
      <c r="B91" s="188">
        <v>424976962</v>
      </c>
      <c r="C91" s="188">
        <v>303554973</v>
      </c>
      <c r="D91" s="188">
        <v>303554973</v>
      </c>
      <c r="E91" s="188">
        <v>303554973</v>
      </c>
      <c r="F91" s="188">
        <v>303554973</v>
      </c>
      <c r="G91" s="188">
        <v>303554973</v>
      </c>
      <c r="H91" s="188">
        <v>303554973</v>
      </c>
      <c r="I91" s="188">
        <v>303554973</v>
      </c>
      <c r="J91" s="188">
        <v>257380111</v>
      </c>
      <c r="K91" s="188">
        <v>257380111</v>
      </c>
      <c r="L91" s="188">
        <v>257380111</v>
      </c>
      <c r="M91" s="188">
        <v>257380111</v>
      </c>
      <c r="N91" s="188">
        <v>257380111</v>
      </c>
      <c r="O91" s="188">
        <v>257380111</v>
      </c>
      <c r="P91" s="188">
        <v>257380111</v>
      </c>
      <c r="Q91" s="188">
        <v>257380111</v>
      </c>
      <c r="R91" s="188">
        <v>257380111</v>
      </c>
      <c r="S91" s="188">
        <v>257380111</v>
      </c>
      <c r="T91" s="188">
        <v>257380111</v>
      </c>
      <c r="U91" s="188">
        <v>257380111</v>
      </c>
      <c r="V91" s="188">
        <v>257380111</v>
      </c>
      <c r="W91" s="188">
        <v>257380111</v>
      </c>
      <c r="X91" s="188">
        <v>257380111</v>
      </c>
      <c r="Y91" s="188">
        <v>257380111</v>
      </c>
      <c r="Z91" s="188">
        <v>257380111</v>
      </c>
      <c r="AA91" s="188">
        <v>257380111</v>
      </c>
      <c r="AB91" s="188">
        <v>257380111</v>
      </c>
      <c r="AC91" s="188">
        <v>257380111</v>
      </c>
      <c r="AD91" s="188">
        <v>257380111</v>
      </c>
      <c r="AE91" s="188">
        <v>257380111</v>
      </c>
      <c r="AF91" s="188">
        <v>257380111</v>
      </c>
      <c r="AG91" s="188">
        <v>257380111</v>
      </c>
      <c r="AH91" s="188">
        <v>257380111</v>
      </c>
      <c r="AI91" s="188">
        <v>257380111</v>
      </c>
      <c r="AJ91" s="188">
        <v>257380111</v>
      </c>
      <c r="AK91" s="188">
        <v>257380111</v>
      </c>
      <c r="AL91" s="188">
        <v>257380111</v>
      </c>
      <c r="AM91" s="188">
        <v>257380111</v>
      </c>
      <c r="AN91" s="188">
        <v>257380111</v>
      </c>
      <c r="AO91" s="188">
        <v>257380111</v>
      </c>
      <c r="AP91" s="188">
        <v>257380111</v>
      </c>
      <c r="AQ91" s="188">
        <v>257380111</v>
      </c>
      <c r="AR91" s="188">
        <v>257380111</v>
      </c>
      <c r="AS91" s="188">
        <v>257380111</v>
      </c>
      <c r="AT91" s="188">
        <v>257380111</v>
      </c>
      <c r="AU91" s="188">
        <v>257380111</v>
      </c>
      <c r="AV91" s="188">
        <v>257380111</v>
      </c>
      <c r="AW91" s="188">
        <v>222500111</v>
      </c>
      <c r="AX91" s="188">
        <v>222500111</v>
      </c>
      <c r="AY91" s="188">
        <v>222500111</v>
      </c>
      <c r="AZ91" s="188">
        <v>222500111</v>
      </c>
      <c r="BA91" s="188">
        <v>222500111</v>
      </c>
      <c r="BB91" s="188">
        <v>222500111</v>
      </c>
      <c r="BC91" s="188">
        <v>222500111</v>
      </c>
      <c r="BD91" s="188">
        <v>185416759</v>
      </c>
      <c r="BE91" s="188">
        <v>185416759</v>
      </c>
      <c r="BF91" s="188">
        <v>185416759</v>
      </c>
      <c r="BG91" s="188">
        <v>185416759</v>
      </c>
      <c r="BH91" s="188">
        <v>123611172</v>
      </c>
      <c r="BI91" s="188">
        <v>123611172</v>
      </c>
      <c r="BJ91" s="188">
        <v>123611172</v>
      </c>
      <c r="BK91" s="188">
        <v>123611172</v>
      </c>
      <c r="BL91" s="188">
        <v>82407448</v>
      </c>
      <c r="BM91" s="188">
        <v>82407448</v>
      </c>
      <c r="BN91" s="188">
        <v>82407448</v>
      </c>
      <c r="BO91" s="188">
        <v>82407448</v>
      </c>
      <c r="BP91" s="188">
        <v>50407448</v>
      </c>
      <c r="BQ91" s="188">
        <v>50407448</v>
      </c>
      <c r="BR91" s="188">
        <v>50407448</v>
      </c>
      <c r="BS91" s="188">
        <v>0</v>
      </c>
      <c r="BT91" s="188"/>
      <c r="BU91" s="188"/>
      <c r="BV91" s="188"/>
      <c r="BW91" s="188"/>
      <c r="BX91" s="188"/>
      <c r="BY91" s="188"/>
      <c r="BZ91" s="188"/>
      <c r="CA91" s="188"/>
      <c r="CB91" s="188"/>
      <c r="CC91" s="188"/>
      <c r="CD91" s="188"/>
      <c r="CE91" s="188"/>
      <c r="CF91" s="188"/>
      <c r="CG91" s="188"/>
      <c r="CH91" s="188"/>
      <c r="CI91" s="188"/>
      <c r="CJ91" s="188"/>
      <c r="CK91" s="188"/>
      <c r="CL91" s="188"/>
    </row>
    <row r="92" spans="1:90">
      <c r="A92" s="127" t="s">
        <v>63</v>
      </c>
      <c r="B92" s="188">
        <v>1083437361.6300001</v>
      </c>
      <c r="C92" s="188">
        <v>1204859350.6300001</v>
      </c>
      <c r="D92" s="188">
        <v>1204859350.6300001</v>
      </c>
      <c r="E92" s="188">
        <v>1204859350.6300001</v>
      </c>
      <c r="F92" s="188">
        <v>1204859350.6300001</v>
      </c>
      <c r="G92" s="188">
        <v>1204859350.6300001</v>
      </c>
      <c r="H92" s="188">
        <v>1204859350.6300001</v>
      </c>
      <c r="I92" s="188">
        <v>1204859350.6300001</v>
      </c>
      <c r="J92" s="188">
        <v>585803451.86000001</v>
      </c>
      <c r="K92" s="188">
        <v>585994232.95000005</v>
      </c>
      <c r="L92" s="188">
        <v>586673352.75999999</v>
      </c>
      <c r="M92" s="188">
        <v>586673352.75999999</v>
      </c>
      <c r="N92" s="188">
        <v>586673352.75999999</v>
      </c>
      <c r="O92" s="188">
        <v>586673352.75999999</v>
      </c>
      <c r="P92" s="188">
        <v>586673352.75999999</v>
      </c>
      <c r="Q92" s="188">
        <v>586673352.75999999</v>
      </c>
      <c r="R92" s="188">
        <v>586673352.75999999</v>
      </c>
      <c r="S92" s="188">
        <v>586673352.75999999</v>
      </c>
      <c r="T92" s="188">
        <v>586673352.75999999</v>
      </c>
      <c r="U92" s="188">
        <v>586673352.75999999</v>
      </c>
      <c r="V92" s="188">
        <v>582835681.13</v>
      </c>
      <c r="W92" s="188">
        <v>586673352.75999999</v>
      </c>
      <c r="X92" s="188">
        <v>586673352.75999999</v>
      </c>
      <c r="Y92" s="188">
        <v>586673352.75999999</v>
      </c>
      <c r="Z92" s="188">
        <v>586673352.75999999</v>
      </c>
      <c r="AA92" s="188">
        <v>586673352.75999999</v>
      </c>
      <c r="AB92" s="188">
        <v>586673352.75999999</v>
      </c>
      <c r="AC92" s="188">
        <v>586673352.75999999</v>
      </c>
      <c r="AD92" s="188">
        <v>586673352.75999999</v>
      </c>
      <c r="AE92" s="188">
        <v>586673352.75999999</v>
      </c>
      <c r="AF92" s="188">
        <v>586673352.75999999</v>
      </c>
      <c r="AG92" s="188">
        <v>586673352.75999999</v>
      </c>
      <c r="AH92" s="188">
        <v>586673352.75999999</v>
      </c>
      <c r="AI92" s="188">
        <v>586673352.75999999</v>
      </c>
      <c r="AJ92" s="188">
        <v>586673352.75999999</v>
      </c>
      <c r="AK92" s="188">
        <v>586673352.75999999</v>
      </c>
      <c r="AL92" s="188">
        <v>586673352.75999999</v>
      </c>
      <c r="AM92" s="188">
        <v>586673352.75999999</v>
      </c>
      <c r="AN92" s="188">
        <v>586673352.75999999</v>
      </c>
      <c r="AO92" s="188">
        <v>586673352.75999999</v>
      </c>
      <c r="AP92" s="188">
        <v>586673352.75999999</v>
      </c>
      <c r="AQ92" s="188">
        <v>586673352.75999999</v>
      </c>
      <c r="AR92" s="188">
        <v>586673352.75999999</v>
      </c>
      <c r="AS92" s="188">
        <v>586673352.75999999</v>
      </c>
      <c r="AT92" s="188">
        <v>587074361.14999998</v>
      </c>
      <c r="AU92" s="188">
        <v>587184361.14999998</v>
      </c>
      <c r="AV92" s="188">
        <v>587534361.14999998</v>
      </c>
      <c r="AW92" s="188">
        <v>331875450.14999998</v>
      </c>
      <c r="AX92" s="188">
        <v>326513350.14999998</v>
      </c>
      <c r="AY92" s="188">
        <v>326313350.14999998</v>
      </c>
      <c r="AZ92" s="188">
        <v>327813350.14999998</v>
      </c>
      <c r="BA92" s="188">
        <v>327813350.14999998</v>
      </c>
      <c r="BB92" s="188">
        <v>327813350.14999998</v>
      </c>
      <c r="BC92" s="188">
        <v>327713350.14999998</v>
      </c>
      <c r="BD92" s="188">
        <v>364796702.14999998</v>
      </c>
      <c r="BE92" s="188">
        <v>364696702.14999998</v>
      </c>
      <c r="BF92" s="188">
        <v>357433910.36000001</v>
      </c>
      <c r="BG92" s="188">
        <v>357433910.36000001</v>
      </c>
      <c r="BH92" s="188">
        <v>382157675.36000001</v>
      </c>
      <c r="BI92" s="188">
        <v>382004675.36000001</v>
      </c>
      <c r="BJ92" s="188">
        <v>377573627.63</v>
      </c>
      <c r="BK92" s="188">
        <v>377573627.63</v>
      </c>
      <c r="BL92" s="188">
        <v>394055117.23000002</v>
      </c>
      <c r="BM92" s="188">
        <v>394045445.12</v>
      </c>
      <c r="BN92" s="188">
        <v>385920025.55000001</v>
      </c>
      <c r="BO92" s="188">
        <v>385920025.55000001</v>
      </c>
      <c r="BP92" s="188">
        <v>21783828.469999999</v>
      </c>
      <c r="BQ92" s="188">
        <v>21783828.469999999</v>
      </c>
      <c r="BR92" s="188">
        <v>21783828.469999999</v>
      </c>
      <c r="BS92" s="188">
        <v>0</v>
      </c>
      <c r="BT92" s="188"/>
      <c r="BU92" s="188"/>
      <c r="BV92" s="188"/>
      <c r="BW92" s="188"/>
      <c r="BX92" s="188"/>
      <c r="BY92" s="188"/>
      <c r="BZ92" s="188"/>
      <c r="CA92" s="188"/>
      <c r="CB92" s="188"/>
      <c r="CC92" s="188"/>
      <c r="CD92" s="188"/>
      <c r="CE92" s="188"/>
      <c r="CF92" s="188"/>
      <c r="CG92" s="188"/>
      <c r="CH92" s="188"/>
      <c r="CI92" s="188"/>
      <c r="CJ92" s="188"/>
      <c r="CK92" s="188"/>
      <c r="CL92" s="188"/>
    </row>
    <row r="93" spans="1:90">
      <c r="A93" s="127"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c r="A94" s="127" t="s">
        <v>65</v>
      </c>
      <c r="B94" s="188">
        <v>0</v>
      </c>
      <c r="C94" s="188">
        <v>0</v>
      </c>
      <c r="D94" s="188">
        <v>0</v>
      </c>
      <c r="E94" s="188">
        <v>0</v>
      </c>
      <c r="F94" s="188">
        <v>0</v>
      </c>
      <c r="G94" s="188">
        <v>0</v>
      </c>
      <c r="H94" s="188">
        <v>0</v>
      </c>
      <c r="I94" s="188">
        <v>0</v>
      </c>
      <c r="J94" s="188">
        <v>0</v>
      </c>
      <c r="K94" s="188">
        <v>0</v>
      </c>
      <c r="L94" s="188">
        <v>0</v>
      </c>
      <c r="M94" s="188">
        <v>0</v>
      </c>
      <c r="N94" s="188">
        <v>0</v>
      </c>
      <c r="O94" s="188">
        <v>0</v>
      </c>
      <c r="P94" s="188">
        <v>0</v>
      </c>
      <c r="Q94" s="188">
        <v>0</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c r="A95" s="127" t="s">
        <v>66</v>
      </c>
      <c r="B95" s="188">
        <v>48176538.579999998</v>
      </c>
      <c r="C95" s="188">
        <v>45729626.920000002</v>
      </c>
      <c r="D95" s="188">
        <v>44398486.780000001</v>
      </c>
      <c r="E95" s="188">
        <v>43120155.630000003</v>
      </c>
      <c r="F95" s="188">
        <v>42117180.840000004</v>
      </c>
      <c r="G95" s="188">
        <v>41291949.609999999</v>
      </c>
      <c r="H95" s="188">
        <v>39847121.960000001</v>
      </c>
      <c r="I95" s="188">
        <v>38452007.609999999</v>
      </c>
      <c r="J95" s="188">
        <v>37641610.619999997</v>
      </c>
      <c r="K95" s="188">
        <v>36445896.93</v>
      </c>
      <c r="L95" s="188">
        <v>34460715.25</v>
      </c>
      <c r="M95" s="188">
        <v>33969846.619999997</v>
      </c>
      <c r="N95" s="188">
        <v>30772758.129999999</v>
      </c>
      <c r="O95" s="188">
        <v>28118312.050000001</v>
      </c>
      <c r="P95" s="188">
        <v>27522810.91</v>
      </c>
      <c r="Q95" s="188">
        <v>28193163.460000001</v>
      </c>
      <c r="R95" s="188">
        <v>26900986.739999998</v>
      </c>
      <c r="S95" s="188">
        <v>25608094.440000001</v>
      </c>
      <c r="T95" s="188">
        <v>26438203.640000001</v>
      </c>
      <c r="U95" s="188">
        <v>27940843.440000001</v>
      </c>
      <c r="V95" s="188">
        <v>26750212.309999999</v>
      </c>
      <c r="W95" s="188">
        <v>26802593.100000001</v>
      </c>
      <c r="X95" s="188">
        <v>27131396.460000001</v>
      </c>
      <c r="Y95" s="188">
        <v>24605557.079999998</v>
      </c>
      <c r="Z95" s="188">
        <v>26606700.109999999</v>
      </c>
      <c r="AA95" s="188">
        <v>27138296.940000001</v>
      </c>
      <c r="AB95" s="188">
        <v>27690774.66</v>
      </c>
      <c r="AC95" s="188">
        <v>28095387.579999998</v>
      </c>
      <c r="AD95" s="188">
        <v>28268010.859999999</v>
      </c>
      <c r="AE95" s="188">
        <v>27023576.32</v>
      </c>
      <c r="AF95" s="188">
        <v>29851600.579999998</v>
      </c>
      <c r="AG95" s="188">
        <v>26827115.170000002</v>
      </c>
      <c r="AH95" s="188">
        <v>25704646.670000002</v>
      </c>
      <c r="AI95" s="188">
        <v>25110796.239999998</v>
      </c>
      <c r="AJ95" s="188">
        <v>23781650.329999998</v>
      </c>
      <c r="AK95" s="188">
        <v>20954695.120000001</v>
      </c>
      <c r="AL95" s="188">
        <v>17940270.25</v>
      </c>
      <c r="AM95" s="188">
        <v>18511541.620000001</v>
      </c>
      <c r="AN95" s="188">
        <v>0</v>
      </c>
      <c r="AO95" s="188">
        <v>12793874.880000001</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c r="A96" s="127" t="s">
        <v>67</v>
      </c>
      <c r="B96" s="188">
        <v>247802275.59999999</v>
      </c>
      <c r="C96" s="188">
        <v>247802275.59999999</v>
      </c>
      <c r="D96" s="188">
        <v>247802275.59999999</v>
      </c>
      <c r="E96" s="188">
        <v>247802275.59999999</v>
      </c>
      <c r="F96" s="188">
        <v>224623491.25</v>
      </c>
      <c r="G96" s="188">
        <v>224623491.25</v>
      </c>
      <c r="H96" s="188">
        <v>224623491.25</v>
      </c>
      <c r="I96" s="188">
        <v>224623491.25</v>
      </c>
      <c r="J96" s="188">
        <v>206371223.30000001</v>
      </c>
      <c r="K96" s="188">
        <v>206371223.30000001</v>
      </c>
      <c r="L96" s="188">
        <v>206371223.30000001</v>
      </c>
      <c r="M96" s="188">
        <v>206371223.30000001</v>
      </c>
      <c r="N96" s="188">
        <v>192201640.21000001</v>
      </c>
      <c r="O96" s="188">
        <v>192201640.21000001</v>
      </c>
      <c r="P96" s="188">
        <v>192201640.21000001</v>
      </c>
      <c r="Q96" s="188">
        <v>192201640.21000001</v>
      </c>
      <c r="R96" s="188">
        <v>179214800.55000001</v>
      </c>
      <c r="S96" s="188">
        <v>179214800.55000001</v>
      </c>
      <c r="T96" s="188">
        <v>179214800.55000001</v>
      </c>
      <c r="U96" s="188">
        <v>179214800.55000001</v>
      </c>
      <c r="V96" s="188">
        <v>171081863.28</v>
      </c>
      <c r="W96" s="188">
        <v>167244191.65000001</v>
      </c>
      <c r="X96" s="188">
        <v>167244191.65000001</v>
      </c>
      <c r="Y96" s="188">
        <v>167244191.65000001</v>
      </c>
      <c r="Z96" s="188">
        <v>155554844.13</v>
      </c>
      <c r="AA96" s="188">
        <v>155554844.13</v>
      </c>
      <c r="AB96" s="188">
        <v>155554844.13</v>
      </c>
      <c r="AC96" s="188">
        <v>155554844.13</v>
      </c>
      <c r="AD96" s="188">
        <v>138979968.19</v>
      </c>
      <c r="AE96" s="188">
        <v>138979968.19</v>
      </c>
      <c r="AF96" s="188">
        <v>138979968.19</v>
      </c>
      <c r="AG96" s="188">
        <v>138979968.19</v>
      </c>
      <c r="AH96" s="188">
        <v>122561496.11</v>
      </c>
      <c r="AI96" s="188">
        <v>122561496.11</v>
      </c>
      <c r="AJ96" s="188">
        <v>122561496.11</v>
      </c>
      <c r="AK96" s="188">
        <v>122561496.11</v>
      </c>
      <c r="AL96" s="188">
        <v>108063123.09</v>
      </c>
      <c r="AM96" s="188">
        <v>108063123.09</v>
      </c>
      <c r="AN96" s="188">
        <v>114970571.66</v>
      </c>
      <c r="AO96" s="188">
        <v>108063123.09</v>
      </c>
      <c r="AP96" s="188">
        <v>95529973.349999994</v>
      </c>
      <c r="AQ96" s="188">
        <v>95529973.349999994</v>
      </c>
      <c r="AR96" s="188">
        <v>95529973.349999994</v>
      </c>
      <c r="AS96" s="188">
        <v>95529973.349999994</v>
      </c>
      <c r="AT96" s="188">
        <v>85654172.299999997</v>
      </c>
      <c r="AU96" s="188">
        <v>85654172.299999997</v>
      </c>
      <c r="AV96" s="188">
        <v>88088913.659999996</v>
      </c>
      <c r="AW96" s="188">
        <v>88088913.659999996</v>
      </c>
      <c r="AX96" s="188">
        <v>81140411.420000002</v>
      </c>
      <c r="AY96" s="188">
        <v>81140411.420000002</v>
      </c>
      <c r="AZ96" s="188">
        <v>81140411.420000002</v>
      </c>
      <c r="BA96" s="188">
        <v>81140411.420000002</v>
      </c>
      <c r="BB96" s="188">
        <v>66831056.240000002</v>
      </c>
      <c r="BC96" s="188">
        <v>66831056.240000002</v>
      </c>
      <c r="BD96" s="188">
        <v>66831056.240000002</v>
      </c>
      <c r="BE96" s="188">
        <v>66831056.240000002</v>
      </c>
      <c r="BF96" s="188">
        <v>55774902.469999999</v>
      </c>
      <c r="BG96" s="188">
        <v>55774902.469999999</v>
      </c>
      <c r="BH96" s="188">
        <v>55774902.469999999</v>
      </c>
      <c r="BI96" s="188">
        <v>55774902.469999999</v>
      </c>
      <c r="BJ96" s="188">
        <v>46018616.340000004</v>
      </c>
      <c r="BK96" s="188">
        <v>46018616.340000004</v>
      </c>
      <c r="BL96" s="188">
        <v>46018616.340000004</v>
      </c>
      <c r="BM96" s="188">
        <v>46018616.340000004</v>
      </c>
      <c r="BN96" s="188">
        <v>36856540.890000001</v>
      </c>
      <c r="BO96" s="188">
        <v>36856540.890000001</v>
      </c>
      <c r="BP96" s="188">
        <v>37072062.350000001</v>
      </c>
      <c r="BQ96" s="188">
        <v>30358159.82</v>
      </c>
      <c r="BR96" s="188">
        <v>25700043.550000001</v>
      </c>
      <c r="BS96" s="188">
        <v>0</v>
      </c>
      <c r="BT96" s="188">
        <v>352223969.88999999</v>
      </c>
      <c r="BU96" s="188">
        <v>309989497.47000003</v>
      </c>
      <c r="BV96" s="188">
        <v>259244599.52000001</v>
      </c>
      <c r="BW96" s="188">
        <v>194772679.46000001</v>
      </c>
      <c r="BX96" s="188">
        <v>144007744.87</v>
      </c>
      <c r="BY96" s="188">
        <v>96446307.129999995</v>
      </c>
      <c r="BZ96" s="188">
        <v>51390553.909999996</v>
      </c>
      <c r="CA96" s="188">
        <v>13452642.869999999</v>
      </c>
      <c r="CB96" s="188">
        <v>0</v>
      </c>
      <c r="CC96" s="188">
        <v>0</v>
      </c>
      <c r="CD96" s="188">
        <v>0</v>
      </c>
      <c r="CE96" s="188">
        <v>34778000</v>
      </c>
      <c r="CF96" s="188">
        <v>10546287.800000001</v>
      </c>
      <c r="CG96" s="188">
        <v>1136843.69</v>
      </c>
      <c r="CH96" s="188">
        <v>0</v>
      </c>
      <c r="CI96" s="188">
        <v>0</v>
      </c>
      <c r="CJ96" s="188">
        <v>0</v>
      </c>
      <c r="CK96" s="188">
        <v>0</v>
      </c>
      <c r="CL96" s="188">
        <v>0</v>
      </c>
    </row>
    <row r="97" spans="1:90">
      <c r="A97" s="127" t="s">
        <v>68</v>
      </c>
      <c r="B97" s="188">
        <v>0</v>
      </c>
      <c r="C97" s="188">
        <v>0</v>
      </c>
      <c r="D97" s="188">
        <v>0</v>
      </c>
      <c r="E97" s="188">
        <v>0</v>
      </c>
      <c r="F97" s="188">
        <v>0</v>
      </c>
      <c r="G97" s="188">
        <v>0</v>
      </c>
      <c r="H97" s="188">
        <v>0</v>
      </c>
      <c r="I97" s="188">
        <v>0</v>
      </c>
      <c r="J97" s="188">
        <v>0</v>
      </c>
      <c r="K97" s="188">
        <v>0</v>
      </c>
      <c r="L97" s="188">
        <v>0</v>
      </c>
      <c r="M97" s="188">
        <v>0</v>
      </c>
      <c r="N97" s="188">
        <v>0</v>
      </c>
      <c r="O97" s="188">
        <v>0</v>
      </c>
      <c r="P97" s="188">
        <v>0</v>
      </c>
      <c r="Q97" s="188">
        <v>0</v>
      </c>
      <c r="R97" s="188">
        <v>0</v>
      </c>
      <c r="S97" s="188">
        <v>0</v>
      </c>
      <c r="T97" s="188">
        <v>0</v>
      </c>
      <c r="U97" s="188">
        <v>0</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c r="A98" s="127" t="s">
        <v>69</v>
      </c>
      <c r="B98" s="188">
        <v>1622318387.48</v>
      </c>
      <c r="C98" s="188">
        <v>1527505623.55</v>
      </c>
      <c r="D98" s="188">
        <v>1534046006.3699999</v>
      </c>
      <c r="E98" s="188">
        <v>1450979519.01</v>
      </c>
      <c r="F98" s="188">
        <v>1410970635.1800001</v>
      </c>
      <c r="G98" s="188">
        <v>1343514467.8099999</v>
      </c>
      <c r="H98" s="188">
        <v>1336890944.1600001</v>
      </c>
      <c r="I98" s="188">
        <v>1272111226.97</v>
      </c>
      <c r="J98" s="188">
        <v>1230674465.1700001</v>
      </c>
      <c r="K98" s="188">
        <v>1186928567.24</v>
      </c>
      <c r="L98" s="188">
        <v>1139404583.79</v>
      </c>
      <c r="M98" s="188">
        <v>1144513187.1400001</v>
      </c>
      <c r="N98" s="188">
        <v>1126619653.72</v>
      </c>
      <c r="O98" s="188">
        <v>1086068786.72</v>
      </c>
      <c r="P98" s="188">
        <v>1084277103.23</v>
      </c>
      <c r="Q98" s="188">
        <v>1051882405.05</v>
      </c>
      <c r="R98" s="188">
        <v>1038482386.24</v>
      </c>
      <c r="S98" s="188">
        <v>1007584579.42</v>
      </c>
      <c r="T98" s="188">
        <v>1008673332.22</v>
      </c>
      <c r="U98" s="188">
        <v>978773594.27999997</v>
      </c>
      <c r="V98" s="188">
        <v>970572732.89999998</v>
      </c>
      <c r="W98" s="188">
        <v>935691239.44000006</v>
      </c>
      <c r="X98" s="188">
        <v>935887012.89999998</v>
      </c>
      <c r="Y98" s="188">
        <v>904443711.52999997</v>
      </c>
      <c r="Z98" s="188">
        <v>892262106.87</v>
      </c>
      <c r="AA98" s="188">
        <v>859400855.14999998</v>
      </c>
      <c r="AB98" s="188">
        <v>848789198.38</v>
      </c>
      <c r="AC98" s="188">
        <v>822042927.74000001</v>
      </c>
      <c r="AD98" s="188">
        <v>820037987.87</v>
      </c>
      <c r="AE98" s="188">
        <v>789688287.41999996</v>
      </c>
      <c r="AF98" s="188">
        <v>771369887.01999998</v>
      </c>
      <c r="AG98" s="188">
        <v>731822831.71000004</v>
      </c>
      <c r="AH98" s="188">
        <v>718522647.05999994</v>
      </c>
      <c r="AI98" s="188">
        <v>670771887.34000003</v>
      </c>
      <c r="AJ98" s="188">
        <v>646859176.26999998</v>
      </c>
      <c r="AK98" s="188">
        <v>602649187.00999999</v>
      </c>
      <c r="AL98" s="188">
        <v>582950753.42999995</v>
      </c>
      <c r="AM98" s="188">
        <v>547300969.73000002</v>
      </c>
      <c r="AN98" s="188">
        <v>527832333.04000002</v>
      </c>
      <c r="AO98" s="188">
        <v>488228491.00999999</v>
      </c>
      <c r="AP98" s="188">
        <v>464441601.31999999</v>
      </c>
      <c r="AQ98" s="188">
        <v>431959741.75</v>
      </c>
      <c r="AR98" s="188">
        <v>395080348.10000002</v>
      </c>
      <c r="AS98" s="188">
        <v>365599179.79000002</v>
      </c>
      <c r="AT98" s="188">
        <v>351230213.02999997</v>
      </c>
      <c r="AU98" s="188">
        <v>321512118.50999999</v>
      </c>
      <c r="AV98" s="188">
        <v>315787692.94</v>
      </c>
      <c r="AW98" s="188">
        <v>280859158.74000001</v>
      </c>
      <c r="AX98" s="188">
        <v>270098943.12</v>
      </c>
      <c r="AY98" s="188">
        <v>244774340.22</v>
      </c>
      <c r="AZ98" s="188">
        <v>240714247.44</v>
      </c>
      <c r="BA98" s="188">
        <v>219126598.53</v>
      </c>
      <c r="BB98" s="188">
        <v>212906254.28</v>
      </c>
      <c r="BC98" s="188">
        <v>191699550.63999999</v>
      </c>
      <c r="BD98" s="188">
        <v>189209956.22</v>
      </c>
      <c r="BE98" s="188">
        <v>169555382.52000001</v>
      </c>
      <c r="BF98" s="188">
        <v>161414620.24000001</v>
      </c>
      <c r="BG98" s="188">
        <v>143026656.59</v>
      </c>
      <c r="BH98" s="188">
        <v>171705063.91999999</v>
      </c>
      <c r="BI98" s="188">
        <v>154561917.91</v>
      </c>
      <c r="BJ98" s="188">
        <v>145595407.88999999</v>
      </c>
      <c r="BK98" s="188">
        <v>127447983.37</v>
      </c>
      <c r="BL98" s="188">
        <v>131109978.77</v>
      </c>
      <c r="BM98" s="188">
        <v>127323933.70999999</v>
      </c>
      <c r="BN98" s="188">
        <v>120073902.72</v>
      </c>
      <c r="BO98" s="188">
        <v>115323851.95999999</v>
      </c>
      <c r="BP98" s="188">
        <v>106184269.69</v>
      </c>
      <c r="BQ98" s="188">
        <v>79288066.489999995</v>
      </c>
      <c r="BR98" s="188">
        <v>55048455.060000002</v>
      </c>
      <c r="BS98" s="188">
        <v>0</v>
      </c>
      <c r="BT98" s="188">
        <v>1595935829.22</v>
      </c>
      <c r="BU98" s="188">
        <v>1356607152.1700001</v>
      </c>
      <c r="BV98" s="188">
        <v>1069052730.5</v>
      </c>
      <c r="BW98" s="188">
        <v>703711850.11000001</v>
      </c>
      <c r="BX98" s="188">
        <v>423675870.94999999</v>
      </c>
      <c r="BY98" s="188">
        <v>146529073.66</v>
      </c>
      <c r="BZ98" s="188">
        <v>291213138.67000002</v>
      </c>
      <c r="CA98" s="188">
        <v>76231642.829999998</v>
      </c>
      <c r="CB98" s="188">
        <v>0</v>
      </c>
      <c r="CC98" s="188">
        <v>0</v>
      </c>
      <c r="CD98" s="188">
        <v>0</v>
      </c>
      <c r="CE98" s="188">
        <v>129889000</v>
      </c>
      <c r="CF98" s="188">
        <v>81321459.170000002</v>
      </c>
      <c r="CG98" s="188">
        <v>12975517.09</v>
      </c>
      <c r="CH98" s="188">
        <v>0</v>
      </c>
      <c r="CI98" s="188">
        <v>0</v>
      </c>
      <c r="CJ98" s="188">
        <v>0</v>
      </c>
      <c r="CK98" s="188">
        <v>0</v>
      </c>
      <c r="CL98" s="188">
        <v>0</v>
      </c>
    </row>
    <row r="99" spans="1:90">
      <c r="A99" s="127" t="s">
        <v>70</v>
      </c>
      <c r="B99" s="188">
        <v>0</v>
      </c>
      <c r="C99" s="188">
        <v>91066491.900000006</v>
      </c>
      <c r="D99" s="188">
        <v>9508151.8000000007</v>
      </c>
      <c r="E99" s="188">
        <v>9508151.8000000007</v>
      </c>
      <c r="F99" s="188">
        <v>9508151.8000000007</v>
      </c>
      <c r="G99" s="188">
        <v>60710994.600000001</v>
      </c>
      <c r="H99" s="188">
        <v>4663284.93</v>
      </c>
      <c r="I99" s="188">
        <v>4663284.93</v>
      </c>
      <c r="J99" s="188">
        <v>4663284.93</v>
      </c>
      <c r="K99" s="188">
        <v>41550551.270000003</v>
      </c>
      <c r="L99" s="188">
        <v>77223241.109999999</v>
      </c>
      <c r="M99" s="188">
        <v>0</v>
      </c>
      <c r="N99" s="188">
        <v>4971070.4800000004</v>
      </c>
      <c r="O99" s="188">
        <v>38607068.420000002</v>
      </c>
      <c r="P99" s="188">
        <v>4114665.62</v>
      </c>
      <c r="Q99" s="188">
        <v>4114665.62</v>
      </c>
      <c r="R99" s="188">
        <v>7483000.2699999996</v>
      </c>
      <c r="S99" s="188">
        <v>41118998.210000001</v>
      </c>
      <c r="T99" s="188">
        <v>2511981.56</v>
      </c>
      <c r="U99" s="188">
        <v>4528070.3600000003</v>
      </c>
      <c r="V99" s="188">
        <v>8368420.96</v>
      </c>
      <c r="W99" s="188">
        <v>37745930.240000002</v>
      </c>
      <c r="X99" s="188">
        <v>1712714.7</v>
      </c>
      <c r="Y99" s="188">
        <v>1712714.7</v>
      </c>
      <c r="Z99" s="188">
        <v>1712714.7</v>
      </c>
      <c r="AA99" s="188">
        <v>26879820.899999999</v>
      </c>
      <c r="AB99" s="188">
        <v>1141809.8</v>
      </c>
      <c r="AC99" s="188">
        <v>2581873.23</v>
      </c>
      <c r="AD99" s="188">
        <v>2581873.23</v>
      </c>
      <c r="AE99" s="188">
        <v>5324980.8</v>
      </c>
      <c r="AF99" s="188">
        <v>570904.9</v>
      </c>
      <c r="AG99" s="188">
        <v>570904.9</v>
      </c>
      <c r="AH99" s="188">
        <v>3320212.47</v>
      </c>
      <c r="AI99" s="188">
        <v>4760275.9000000004</v>
      </c>
      <c r="AJ99" s="188">
        <v>0</v>
      </c>
      <c r="AK99" s="188">
        <v>0</v>
      </c>
      <c r="AL99" s="188">
        <v>2501621.14</v>
      </c>
      <c r="AM99" s="188">
        <v>3318167.7</v>
      </c>
      <c r="AN99" s="188">
        <v>0</v>
      </c>
      <c r="AO99" s="188">
        <v>0</v>
      </c>
      <c r="AP99" s="188">
        <v>0</v>
      </c>
      <c r="AQ99" s="188">
        <v>0</v>
      </c>
      <c r="AR99" s="188">
        <v>0</v>
      </c>
      <c r="AS99" s="188">
        <v>0</v>
      </c>
      <c r="AT99" s="188">
        <v>0</v>
      </c>
      <c r="AU99" s="188">
        <v>4362372.74</v>
      </c>
      <c r="AV99" s="188">
        <v>0</v>
      </c>
      <c r="AW99" s="188">
        <v>0</v>
      </c>
      <c r="AX99" s="188">
        <v>0</v>
      </c>
      <c r="AY99" s="188">
        <v>0</v>
      </c>
      <c r="AZ99" s="188">
        <v>0</v>
      </c>
      <c r="BA99" s="188">
        <v>0</v>
      </c>
      <c r="BB99" s="188">
        <v>0</v>
      </c>
      <c r="BC99" s="188">
        <v>0</v>
      </c>
      <c r="BD99" s="188">
        <v>0</v>
      </c>
      <c r="BE99" s="188">
        <v>0</v>
      </c>
      <c r="BF99" s="188">
        <v>2246041.02</v>
      </c>
      <c r="BG99" s="188">
        <v>2246041.02</v>
      </c>
      <c r="BH99" s="188">
        <v>0</v>
      </c>
      <c r="BI99" s="188">
        <v>0</v>
      </c>
      <c r="BJ99" s="188">
        <v>0</v>
      </c>
      <c r="BK99" s="188">
        <v>0</v>
      </c>
      <c r="BL99" s="188">
        <v>8240744.7999999998</v>
      </c>
      <c r="BM99" s="188">
        <v>8240744.7999999998</v>
      </c>
      <c r="BN99" s="188">
        <v>0</v>
      </c>
      <c r="BO99" s="188">
        <v>15757243.640000001</v>
      </c>
      <c r="BP99" s="188">
        <v>1005516</v>
      </c>
      <c r="BQ99" s="188">
        <v>9986541.4399999995</v>
      </c>
      <c r="BR99" s="188">
        <v>10572685.199999999</v>
      </c>
      <c r="BS99" s="188">
        <v>0</v>
      </c>
      <c r="BT99" s="188">
        <v>0</v>
      </c>
      <c r="BU99" s="188">
        <v>0</v>
      </c>
      <c r="BV99" s="188">
        <v>0</v>
      </c>
      <c r="BW99" s="188">
        <v>0</v>
      </c>
      <c r="BX99" s="188">
        <v>0</v>
      </c>
      <c r="BY99" s="188">
        <v>400000000</v>
      </c>
      <c r="BZ99" s="188">
        <v>0</v>
      </c>
      <c r="CA99" s="188">
        <v>0</v>
      </c>
      <c r="CB99" s="188">
        <v>0</v>
      </c>
      <c r="CC99" s="188">
        <v>0</v>
      </c>
      <c r="CD99" s="188">
        <v>0</v>
      </c>
      <c r="CE99" s="188">
        <v>0</v>
      </c>
      <c r="CF99" s="188">
        <v>0</v>
      </c>
      <c r="CG99" s="188">
        <v>0</v>
      </c>
      <c r="CH99" s="188">
        <v>0</v>
      </c>
      <c r="CI99" s="188">
        <v>0</v>
      </c>
      <c r="CJ99" s="188">
        <v>0</v>
      </c>
      <c r="CK99" s="188">
        <v>0</v>
      </c>
      <c r="CL99" s="188">
        <v>0</v>
      </c>
    </row>
    <row r="100" spans="1:90">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27"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v>0</v>
      </c>
      <c r="BG101" s="188">
        <v>0</v>
      </c>
      <c r="BH101" s="188">
        <v>0</v>
      </c>
      <c r="BI101" s="188">
        <v>0</v>
      </c>
      <c r="BJ101" s="188">
        <v>0</v>
      </c>
      <c r="BK101" s="188">
        <v>0</v>
      </c>
      <c r="BL101" s="188">
        <v>0</v>
      </c>
      <c r="BM101" s="188">
        <v>0</v>
      </c>
      <c r="BN101" s="188">
        <v>0</v>
      </c>
      <c r="BO101" s="188">
        <v>0</v>
      </c>
      <c r="BP101" s="188">
        <v>0</v>
      </c>
      <c r="BQ101" s="188">
        <v>0</v>
      </c>
      <c r="BR101" s="188"/>
      <c r="BS101" s="188"/>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c r="A102" s="127" t="s">
        <v>72</v>
      </c>
      <c r="B102" s="188">
        <v>3426711525.29</v>
      </c>
      <c r="C102" s="188">
        <v>3329451849.6999998</v>
      </c>
      <c r="D102" s="188">
        <v>3334661092.3800001</v>
      </c>
      <c r="E102" s="188">
        <v>3250316273.8699999</v>
      </c>
      <c r="F102" s="188">
        <v>3186125630.9000001</v>
      </c>
      <c r="G102" s="188">
        <v>3117844232.3000002</v>
      </c>
      <c r="H102" s="188">
        <v>3109775881</v>
      </c>
      <c r="I102" s="188">
        <v>3043601049.46</v>
      </c>
      <c r="J102" s="188">
        <v>2317870861.9499998</v>
      </c>
      <c r="K102" s="188">
        <v>2273120031.4200001</v>
      </c>
      <c r="L102" s="188">
        <v>2224289986.0999999</v>
      </c>
      <c r="M102" s="188">
        <v>2228907720.8200002</v>
      </c>
      <c r="N102" s="188">
        <v>2193647515.8200002</v>
      </c>
      <c r="O102" s="188">
        <v>2150442202.7399998</v>
      </c>
      <c r="P102" s="188">
        <v>2148055018.1100001</v>
      </c>
      <c r="Q102" s="188">
        <v>2116330672.48</v>
      </c>
      <c r="R102" s="188">
        <v>2088651637.29</v>
      </c>
      <c r="S102" s="188">
        <v>2056460938.1700001</v>
      </c>
      <c r="T102" s="188">
        <v>2058379800.1700001</v>
      </c>
      <c r="U102" s="188">
        <v>2029982702.03</v>
      </c>
      <c r="V102" s="188">
        <v>2008620600.6199999</v>
      </c>
      <c r="W102" s="188">
        <v>1973791487.95</v>
      </c>
      <c r="X102" s="188">
        <v>1974316064.77</v>
      </c>
      <c r="Y102" s="188">
        <v>1940346924.02</v>
      </c>
      <c r="Z102" s="188">
        <v>1918477114.8699999</v>
      </c>
      <c r="AA102" s="188">
        <v>1886147459.98</v>
      </c>
      <c r="AB102" s="188">
        <v>1876088280.9300001</v>
      </c>
      <c r="AC102" s="188">
        <v>1849746623.21</v>
      </c>
      <c r="AD102" s="188">
        <v>1831339430.6800001</v>
      </c>
      <c r="AE102" s="188">
        <v>1799745295.6900001</v>
      </c>
      <c r="AF102" s="188">
        <v>1784254919.55</v>
      </c>
      <c r="AG102" s="188">
        <v>1741683378.8299999</v>
      </c>
      <c r="AH102" s="188">
        <v>1710842253.5999999</v>
      </c>
      <c r="AI102" s="188">
        <v>1662497643.45</v>
      </c>
      <c r="AJ102" s="188">
        <v>1637255786.47</v>
      </c>
      <c r="AK102" s="188">
        <v>1590218842</v>
      </c>
      <c r="AL102" s="188">
        <v>1553007610.53</v>
      </c>
      <c r="AM102" s="188">
        <v>1517929098.2</v>
      </c>
      <c r="AN102" s="188">
        <v>1486856368.46</v>
      </c>
      <c r="AO102" s="188">
        <v>1453138952.74</v>
      </c>
      <c r="AP102" s="188">
        <v>1404025038.4300001</v>
      </c>
      <c r="AQ102" s="188">
        <v>1371543178.8599999</v>
      </c>
      <c r="AR102" s="188">
        <v>1334663785.21</v>
      </c>
      <c r="AS102" s="188">
        <v>1305182616.9000001</v>
      </c>
      <c r="AT102" s="188">
        <v>1281338857.48</v>
      </c>
      <c r="AU102" s="188">
        <v>1251730762.96</v>
      </c>
      <c r="AV102" s="188">
        <v>1248791078.75</v>
      </c>
      <c r="AW102" s="188">
        <v>923323633.54999995</v>
      </c>
      <c r="AX102" s="188">
        <v>900252815.69000006</v>
      </c>
      <c r="AY102" s="188">
        <v>874728212.78999996</v>
      </c>
      <c r="AZ102" s="188">
        <v>872168120.00999999</v>
      </c>
      <c r="BA102" s="188">
        <v>850580471.10000002</v>
      </c>
      <c r="BB102" s="188">
        <v>830050771.66999996</v>
      </c>
      <c r="BC102" s="188">
        <v>808744068.02999997</v>
      </c>
      <c r="BD102" s="188">
        <v>806254473.61000001</v>
      </c>
      <c r="BE102" s="188">
        <v>786499899.90999997</v>
      </c>
      <c r="BF102" s="188">
        <v>760040192.07000005</v>
      </c>
      <c r="BG102" s="188">
        <v>741652228.41999996</v>
      </c>
      <c r="BH102" s="188">
        <v>733248813.75</v>
      </c>
      <c r="BI102" s="188">
        <v>649795443.16999996</v>
      </c>
      <c r="BJ102" s="188">
        <v>692798823.86000001</v>
      </c>
      <c r="BK102" s="188">
        <v>674651399.34000003</v>
      </c>
      <c r="BL102" s="188">
        <v>653591160.34000003</v>
      </c>
      <c r="BM102" s="188">
        <v>649795443.16999996</v>
      </c>
      <c r="BN102" s="188">
        <v>625257917.15999997</v>
      </c>
      <c r="BO102" s="188">
        <v>620507866.39999998</v>
      </c>
      <c r="BP102" s="188">
        <v>215447608.50999999</v>
      </c>
      <c r="BQ102" s="188">
        <v>181837502.78</v>
      </c>
      <c r="BR102" s="188">
        <v>152939775.08000001</v>
      </c>
      <c r="BS102" s="188">
        <v>0</v>
      </c>
      <c r="BT102" s="188">
        <v>4235751053.1100001</v>
      </c>
      <c r="BU102" s="188">
        <v>3188611486.52</v>
      </c>
      <c r="BV102" s="188">
        <v>2850312166.9000001</v>
      </c>
      <c r="BW102" s="188">
        <v>2420499366.4499998</v>
      </c>
      <c r="BX102" s="188">
        <v>2089698452.7</v>
      </c>
      <c r="BY102" s="188">
        <v>1764990217.6700001</v>
      </c>
      <c r="BZ102" s="188">
        <v>1864618529.46</v>
      </c>
      <c r="CA102" s="188">
        <v>392384778.43000001</v>
      </c>
      <c r="CB102" s="188">
        <v>264958379.21000001</v>
      </c>
      <c r="CC102" s="188">
        <v>225967479.94999999</v>
      </c>
      <c r="CD102" s="188">
        <v>0</v>
      </c>
      <c r="CE102" s="188">
        <v>1079642000</v>
      </c>
      <c r="CF102" s="188">
        <v>1003922431.86</v>
      </c>
      <c r="CG102" s="188">
        <v>492362941.67000002</v>
      </c>
      <c r="CH102" s="188">
        <v>203800000</v>
      </c>
      <c r="CI102" s="188">
        <v>162870000</v>
      </c>
      <c r="CJ102" s="188">
        <v>92660000</v>
      </c>
      <c r="CK102" s="188">
        <v>75420000</v>
      </c>
      <c r="CL102" s="188">
        <v>0</v>
      </c>
    </row>
    <row r="103" spans="1:90">
      <c r="A103" s="127" t="s">
        <v>73</v>
      </c>
      <c r="B103" s="188">
        <v>0</v>
      </c>
      <c r="C103" s="188">
        <v>0</v>
      </c>
      <c r="D103" s="188">
        <v>0</v>
      </c>
      <c r="E103" s="188">
        <v>0</v>
      </c>
      <c r="F103" s="188">
        <v>0</v>
      </c>
      <c r="G103" s="188">
        <v>0</v>
      </c>
      <c r="H103" s="188">
        <v>0</v>
      </c>
      <c r="I103" s="188">
        <v>0</v>
      </c>
      <c r="J103" s="188">
        <v>0</v>
      </c>
      <c r="K103" s="188">
        <v>0</v>
      </c>
      <c r="L103" s="188">
        <v>8405745.2400000002</v>
      </c>
      <c r="M103" s="188">
        <v>8553038.4900000002</v>
      </c>
      <c r="N103" s="188">
        <v>8976738.1600000001</v>
      </c>
      <c r="O103" s="188">
        <v>9095132.4800000004</v>
      </c>
      <c r="P103" s="188">
        <v>9089955.1799999997</v>
      </c>
      <c r="Q103" s="188">
        <v>9287945.9700000007</v>
      </c>
      <c r="R103" s="188">
        <v>8653241.5199999996</v>
      </c>
      <c r="S103" s="188">
        <v>0</v>
      </c>
      <c r="T103" s="188">
        <v>0</v>
      </c>
      <c r="U103" s="188">
        <v>0</v>
      </c>
      <c r="V103" s="188">
        <v>0</v>
      </c>
      <c r="W103" s="188">
        <v>0</v>
      </c>
      <c r="X103" s="188">
        <v>0</v>
      </c>
      <c r="Y103" s="188">
        <v>0</v>
      </c>
      <c r="Z103" s="188">
        <v>0</v>
      </c>
      <c r="AA103" s="188">
        <v>0</v>
      </c>
      <c r="AB103" s="188">
        <v>0</v>
      </c>
      <c r="AC103" s="188">
        <v>0</v>
      </c>
      <c r="AD103" s="188">
        <v>0</v>
      </c>
      <c r="AE103" s="188">
        <v>0</v>
      </c>
      <c r="AF103" s="188">
        <v>3648544.05</v>
      </c>
      <c r="AG103" s="188">
        <v>3666204.19</v>
      </c>
      <c r="AH103" s="188">
        <v>3165928.2</v>
      </c>
      <c r="AI103" s="188">
        <v>2988743.19</v>
      </c>
      <c r="AJ103" s="188">
        <v>2970810.76</v>
      </c>
      <c r="AK103" s="188">
        <v>3000995.21</v>
      </c>
      <c r="AL103" s="188">
        <v>2825442.61</v>
      </c>
      <c r="AM103" s="188">
        <v>1970380.32</v>
      </c>
      <c r="AN103" s="188">
        <v>1647777.22</v>
      </c>
      <c r="AO103" s="188">
        <v>1683141.36</v>
      </c>
      <c r="AP103" s="188">
        <v>1559636.67</v>
      </c>
      <c r="AQ103" s="188">
        <v>1552495.03</v>
      </c>
      <c r="AR103" s="188">
        <v>1524786.06</v>
      </c>
      <c r="AS103" s="188">
        <v>1544875.87</v>
      </c>
      <c r="AT103" s="188">
        <v>1742911.15</v>
      </c>
      <c r="AU103" s="188">
        <v>1739119.73</v>
      </c>
      <c r="AV103" s="188">
        <v>1486928.5</v>
      </c>
      <c r="AW103" s="188">
        <v>1413898.65</v>
      </c>
      <c r="AX103" s="188">
        <v>11146144.939999999</v>
      </c>
      <c r="AY103" s="188">
        <v>11095367.449999999</v>
      </c>
      <c r="AZ103" s="188">
        <v>11065706.359999999</v>
      </c>
      <c r="BA103" s="188">
        <v>10992945.24</v>
      </c>
      <c r="BB103" s="188">
        <v>10881447.85</v>
      </c>
      <c r="BC103" s="188">
        <v>10766342.1</v>
      </c>
      <c r="BD103" s="188">
        <v>10752929.890000001</v>
      </c>
      <c r="BE103" s="188">
        <v>10685117.289999999</v>
      </c>
      <c r="BF103" s="188">
        <v>10725669.4</v>
      </c>
      <c r="BG103" s="188">
        <v>9556429.8300000001</v>
      </c>
      <c r="BH103" s="188">
        <v>9425345.3200000003</v>
      </c>
      <c r="BI103" s="188">
        <v>9277987.6400000006</v>
      </c>
      <c r="BJ103" s="188">
        <v>9227439.8699999992</v>
      </c>
      <c r="BK103" s="188">
        <v>9040073.7599999998</v>
      </c>
      <c r="BL103" s="188">
        <v>8937959.1999999993</v>
      </c>
      <c r="BM103" s="188">
        <v>8760427.7200000007</v>
      </c>
      <c r="BN103" s="188">
        <v>13069235.74</v>
      </c>
      <c r="BO103" s="188">
        <v>10586753.380000001</v>
      </c>
      <c r="BP103" s="188">
        <v>8889610.5600000005</v>
      </c>
      <c r="BQ103" s="188">
        <v>6488152.8300000001</v>
      </c>
      <c r="BR103" s="188">
        <v>5842931.2300000004</v>
      </c>
      <c r="BS103" s="188">
        <v>0</v>
      </c>
      <c r="BT103" s="188">
        <v>2872138.39</v>
      </c>
      <c r="BU103" s="188">
        <v>2604712.4300000002</v>
      </c>
      <c r="BV103" s="188">
        <v>0</v>
      </c>
      <c r="BW103" s="188">
        <v>0</v>
      </c>
      <c r="BX103" s="188">
        <v>0</v>
      </c>
      <c r="BY103" s="188">
        <v>0</v>
      </c>
      <c r="BZ103" s="188">
        <v>0</v>
      </c>
      <c r="CA103" s="188">
        <v>0</v>
      </c>
      <c r="CB103" s="188">
        <v>0</v>
      </c>
      <c r="CC103" s="188">
        <v>0</v>
      </c>
      <c r="CD103" s="188">
        <v>0</v>
      </c>
      <c r="CE103" s="188">
        <v>96000</v>
      </c>
      <c r="CF103" s="188">
        <v>305920.90000000002</v>
      </c>
      <c r="CG103" s="188">
        <v>326958.7</v>
      </c>
      <c r="CH103" s="188">
        <v>0</v>
      </c>
      <c r="CI103" s="188">
        <v>0</v>
      </c>
      <c r="CJ103" s="188">
        <v>0</v>
      </c>
      <c r="CK103" s="188">
        <v>0</v>
      </c>
      <c r="CL103" s="188">
        <v>0</v>
      </c>
    </row>
    <row r="104" spans="1:90" ht="14.45" hidden="1">
      <c r="A104" s="127"/>
      <c r="B104" s="26"/>
      <c r="C104" s="26"/>
      <c r="D104" s="26"/>
      <c r="E104" s="26"/>
      <c r="F104" s="26"/>
      <c r="G104" s="26"/>
      <c r="H104" s="26"/>
      <c r="I104" s="26"/>
      <c r="J104" s="26"/>
      <c r="K104" s="26"/>
      <c r="L104" s="23"/>
    </row>
    <row r="105" spans="1:90" ht="14.45" hidden="1">
      <c r="A105" s="127"/>
      <c r="B105" s="26"/>
      <c r="C105" s="26"/>
      <c r="D105" s="26"/>
      <c r="E105" s="26"/>
      <c r="F105" s="26"/>
      <c r="G105" s="26"/>
      <c r="H105" s="26"/>
      <c r="I105" s="26"/>
      <c r="J105" s="26"/>
      <c r="K105" s="26"/>
      <c r="L105" s="23"/>
    </row>
    <row r="106" spans="1:90" ht="14.45" hidden="1">
      <c r="A106" s="127"/>
      <c r="B106" s="26"/>
      <c r="C106" s="26"/>
      <c r="D106" s="26"/>
      <c r="E106" s="26"/>
      <c r="F106" s="26"/>
      <c r="G106" s="26"/>
      <c r="H106" s="26"/>
      <c r="I106" s="26"/>
      <c r="J106" s="26"/>
      <c r="K106" s="26"/>
      <c r="L106" s="23"/>
    </row>
    <row r="107" spans="1:90" s="5" customFormat="1">
      <c r="A107" s="128" t="s">
        <v>74</v>
      </c>
      <c r="B107" s="33">
        <f>B102+B103</f>
        <v>3426711525.29</v>
      </c>
      <c r="C107" s="33">
        <f>C102+C103</f>
        <v>3329451849.6999998</v>
      </c>
      <c r="D107" s="33">
        <f>D102+D103</f>
        <v>3334661092.3800001</v>
      </c>
      <c r="E107" s="33">
        <f>E102+E103</f>
        <v>3250316273.8699999</v>
      </c>
      <c r="F107" s="33">
        <f t="shared" ref="F107:BQ107" si="20">F102+F103</f>
        <v>3186125630.9000001</v>
      </c>
      <c r="G107" s="33">
        <f t="shared" si="20"/>
        <v>3117844232.3000002</v>
      </c>
      <c r="H107" s="33">
        <f t="shared" si="20"/>
        <v>3109775881</v>
      </c>
      <c r="I107" s="33">
        <f t="shared" si="20"/>
        <v>3043601049.46</v>
      </c>
      <c r="J107" s="33">
        <f t="shared" si="20"/>
        <v>2317870861.9499998</v>
      </c>
      <c r="K107" s="33">
        <f t="shared" si="20"/>
        <v>2273120031.4200001</v>
      </c>
      <c r="L107" s="33">
        <f t="shared" si="20"/>
        <v>2232695731.3399997</v>
      </c>
      <c r="M107" s="33">
        <f t="shared" si="20"/>
        <v>2237460759.3099999</v>
      </c>
      <c r="N107" s="33">
        <f t="shared" si="20"/>
        <v>2202624253.98</v>
      </c>
      <c r="O107" s="33">
        <f t="shared" si="20"/>
        <v>2159537335.2199998</v>
      </c>
      <c r="P107" s="33">
        <f t="shared" si="20"/>
        <v>2157144973.29</v>
      </c>
      <c r="Q107" s="33">
        <f t="shared" si="20"/>
        <v>2125618618.45</v>
      </c>
      <c r="R107" s="33">
        <f t="shared" si="20"/>
        <v>2097304878.8099999</v>
      </c>
      <c r="S107" s="33">
        <f t="shared" si="20"/>
        <v>2056460938.1700001</v>
      </c>
      <c r="T107" s="33">
        <f t="shared" si="20"/>
        <v>2058379800.1700001</v>
      </c>
      <c r="U107" s="33">
        <f t="shared" si="20"/>
        <v>2029982702.03</v>
      </c>
      <c r="V107" s="33">
        <f t="shared" si="20"/>
        <v>2008620600.6199999</v>
      </c>
      <c r="W107" s="33">
        <f t="shared" si="20"/>
        <v>1973791487.95</v>
      </c>
      <c r="X107" s="33">
        <f t="shared" si="20"/>
        <v>1974316064.77</v>
      </c>
      <c r="Y107" s="33">
        <f t="shared" si="20"/>
        <v>1940346924.02</v>
      </c>
      <c r="Z107" s="33">
        <f t="shared" si="20"/>
        <v>1918477114.8699999</v>
      </c>
      <c r="AA107" s="33">
        <f t="shared" si="20"/>
        <v>1886147459.98</v>
      </c>
      <c r="AB107" s="33">
        <f t="shared" si="20"/>
        <v>1876088280.9300001</v>
      </c>
      <c r="AC107" s="33">
        <f t="shared" si="20"/>
        <v>1849746623.21</v>
      </c>
      <c r="AD107" s="33">
        <f t="shared" si="20"/>
        <v>1831339430.6800001</v>
      </c>
      <c r="AE107" s="33">
        <f t="shared" si="20"/>
        <v>1799745295.6900001</v>
      </c>
      <c r="AF107" s="33">
        <f t="shared" si="20"/>
        <v>1787903463.5999999</v>
      </c>
      <c r="AG107" s="33">
        <f t="shared" si="20"/>
        <v>1745349583.02</v>
      </c>
      <c r="AH107" s="33">
        <f t="shared" si="20"/>
        <v>1714008181.8</v>
      </c>
      <c r="AI107" s="33">
        <f t="shared" si="20"/>
        <v>1665486386.6400001</v>
      </c>
      <c r="AJ107" s="33">
        <f t="shared" si="20"/>
        <v>1640226597.23</v>
      </c>
      <c r="AK107" s="33">
        <f t="shared" si="20"/>
        <v>1593219837.21</v>
      </c>
      <c r="AL107" s="33">
        <f t="shared" si="20"/>
        <v>1555833053.1399999</v>
      </c>
      <c r="AM107" s="33">
        <f t="shared" si="20"/>
        <v>1519899478.52</v>
      </c>
      <c r="AN107" s="33">
        <f t="shared" si="20"/>
        <v>1488504145.6800001</v>
      </c>
      <c r="AO107" s="33">
        <f t="shared" si="20"/>
        <v>1454822094.0999999</v>
      </c>
      <c r="AP107" s="33">
        <f t="shared" si="20"/>
        <v>1405584675.1000001</v>
      </c>
      <c r="AQ107" s="33">
        <f t="shared" si="20"/>
        <v>1373095673.8899999</v>
      </c>
      <c r="AR107" s="33">
        <f t="shared" si="20"/>
        <v>1336188571.27</v>
      </c>
      <c r="AS107" s="33">
        <f t="shared" si="20"/>
        <v>1306727492.77</v>
      </c>
      <c r="AT107" s="33">
        <f t="shared" si="20"/>
        <v>1283081768.6300001</v>
      </c>
      <c r="AU107" s="33">
        <f t="shared" si="20"/>
        <v>1253469882.6900001</v>
      </c>
      <c r="AV107" s="33">
        <f t="shared" si="20"/>
        <v>1250278007.25</v>
      </c>
      <c r="AW107" s="33">
        <f t="shared" si="20"/>
        <v>924737532.19999993</v>
      </c>
      <c r="AX107" s="33">
        <f t="shared" si="20"/>
        <v>911398960.63000011</v>
      </c>
      <c r="AY107" s="33">
        <f t="shared" si="20"/>
        <v>885823580.24000001</v>
      </c>
      <c r="AZ107" s="33">
        <f t="shared" si="20"/>
        <v>883233826.37</v>
      </c>
      <c r="BA107" s="33">
        <f t="shared" si="20"/>
        <v>861573416.34000003</v>
      </c>
      <c r="BB107" s="33">
        <f t="shared" si="20"/>
        <v>840932219.51999998</v>
      </c>
      <c r="BC107" s="33">
        <f t="shared" si="20"/>
        <v>819510410.13</v>
      </c>
      <c r="BD107" s="33">
        <f t="shared" si="20"/>
        <v>817007403.5</v>
      </c>
      <c r="BE107" s="33">
        <f t="shared" si="20"/>
        <v>797185017.19999993</v>
      </c>
      <c r="BF107" s="33">
        <f t="shared" si="20"/>
        <v>770765861.47000003</v>
      </c>
      <c r="BG107" s="33">
        <f t="shared" si="20"/>
        <v>751208658.25</v>
      </c>
      <c r="BH107" s="33">
        <f t="shared" si="20"/>
        <v>742674159.07000005</v>
      </c>
      <c r="BI107" s="33">
        <f t="shared" si="20"/>
        <v>659073430.80999994</v>
      </c>
      <c r="BJ107" s="33">
        <f t="shared" si="20"/>
        <v>702026263.73000002</v>
      </c>
      <c r="BK107" s="33">
        <f t="shared" si="20"/>
        <v>683691473.10000002</v>
      </c>
      <c r="BL107" s="33">
        <f t="shared" si="20"/>
        <v>662529119.54000008</v>
      </c>
      <c r="BM107" s="33">
        <f t="shared" si="20"/>
        <v>658555870.88999999</v>
      </c>
      <c r="BN107" s="33">
        <f t="shared" si="20"/>
        <v>638327152.89999998</v>
      </c>
      <c r="BO107" s="33">
        <f t="shared" si="20"/>
        <v>631094619.77999997</v>
      </c>
      <c r="BP107" s="33">
        <f t="shared" si="20"/>
        <v>224337219.06999999</v>
      </c>
      <c r="BQ107" s="33">
        <f t="shared" si="20"/>
        <v>188325655.61000001</v>
      </c>
      <c r="BR107" s="33">
        <f t="shared" ref="BR107:CK107" si="21">BR102+BR103</f>
        <v>158782706.31</v>
      </c>
      <c r="BS107" s="33">
        <f t="shared" si="21"/>
        <v>0</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29" t="s">
        <v>75</v>
      </c>
      <c r="B108" s="38">
        <f>SUM(B89+B107)</f>
        <v>3426755400.29</v>
      </c>
      <c r="C108" s="38">
        <f t="shared" ref="C108:BN108" si="22">SUM(C89+C107)</f>
        <v>3329451849.6999998</v>
      </c>
      <c r="D108" s="38">
        <f t="shared" si="22"/>
        <v>3334661092.3800001</v>
      </c>
      <c r="E108" s="38">
        <f>SUM(E107+E89)</f>
        <v>3250316273.8699999</v>
      </c>
      <c r="F108" s="38">
        <f t="shared" si="22"/>
        <v>3186125630.9000001</v>
      </c>
      <c r="G108" s="38">
        <f t="shared" si="22"/>
        <v>3117844232.3000002</v>
      </c>
      <c r="H108" s="38">
        <f t="shared" si="22"/>
        <v>3109775881</v>
      </c>
      <c r="I108" s="38">
        <f t="shared" si="22"/>
        <v>3044601049.46</v>
      </c>
      <c r="J108" s="38">
        <f t="shared" si="22"/>
        <v>2320670861.9499998</v>
      </c>
      <c r="K108" s="38">
        <f t="shared" si="22"/>
        <v>2305499551.4200001</v>
      </c>
      <c r="L108" s="38">
        <f t="shared" si="22"/>
        <v>2295557331.3399997</v>
      </c>
      <c r="M108" s="38">
        <f t="shared" si="22"/>
        <v>2240260759.3099999</v>
      </c>
      <c r="N108" s="38">
        <f t="shared" si="22"/>
        <v>2252878523.98</v>
      </c>
      <c r="O108" s="38">
        <f t="shared" si="22"/>
        <v>2282672795.2199998</v>
      </c>
      <c r="P108" s="38">
        <f t="shared" si="22"/>
        <v>2304387974.73</v>
      </c>
      <c r="Q108" s="38">
        <f t="shared" si="22"/>
        <v>2239603654.5</v>
      </c>
      <c r="R108" s="38">
        <f t="shared" si="22"/>
        <v>2241020689.9299998</v>
      </c>
      <c r="S108" s="38">
        <f t="shared" si="22"/>
        <v>2131867249.28</v>
      </c>
      <c r="T108" s="38">
        <f t="shared" si="22"/>
        <v>2113404377.95</v>
      </c>
      <c r="U108" s="38">
        <f t="shared" si="22"/>
        <v>2115738779.8</v>
      </c>
      <c r="V108" s="38">
        <f t="shared" si="22"/>
        <v>2093777685.0599999</v>
      </c>
      <c r="W108" s="38">
        <f t="shared" si="22"/>
        <v>2059568743.5</v>
      </c>
      <c r="X108" s="38">
        <f t="shared" si="22"/>
        <v>2089440298.0999999</v>
      </c>
      <c r="Y108" s="38">
        <f t="shared" si="22"/>
        <v>2057585529.5799999</v>
      </c>
      <c r="Z108" s="38">
        <f t="shared" si="22"/>
        <v>2033789614.8699999</v>
      </c>
      <c r="AA108" s="38">
        <f t="shared" si="22"/>
        <v>1971459959.98</v>
      </c>
      <c r="AB108" s="38">
        <f t="shared" si="22"/>
        <v>1936400780.9300001</v>
      </c>
      <c r="AC108" s="38">
        <f t="shared" si="22"/>
        <v>1910059123.21</v>
      </c>
      <c r="AD108" s="38">
        <f t="shared" si="22"/>
        <v>1895401930.6800001</v>
      </c>
      <c r="AE108" s="38">
        <f t="shared" si="22"/>
        <v>1833807795.6900001</v>
      </c>
      <c r="AF108" s="38">
        <f t="shared" si="22"/>
        <v>1901983400.8099999</v>
      </c>
      <c r="AG108" s="38">
        <f t="shared" si="22"/>
        <v>1869429520.22</v>
      </c>
      <c r="AH108" s="38">
        <f t="shared" si="22"/>
        <v>1843937181.8</v>
      </c>
      <c r="AI108" s="38">
        <f t="shared" si="22"/>
        <v>1815415386.6400001</v>
      </c>
      <c r="AJ108" s="38">
        <f t="shared" si="22"/>
        <v>1720226597.23</v>
      </c>
      <c r="AK108" s="38">
        <f t="shared" si="22"/>
        <v>1727219837.21</v>
      </c>
      <c r="AL108" s="38">
        <f t="shared" si="22"/>
        <v>1689833053.1399999</v>
      </c>
      <c r="AM108" s="38">
        <f t="shared" si="22"/>
        <v>1633899478.52</v>
      </c>
      <c r="AN108" s="38">
        <f t="shared" si="22"/>
        <v>1639432145.6800001</v>
      </c>
      <c r="AO108" s="38">
        <f t="shared" si="22"/>
        <v>1591750094.0999999</v>
      </c>
      <c r="AP108" s="38">
        <f t="shared" si="22"/>
        <v>1545742934.1900001</v>
      </c>
      <c r="AQ108" s="38">
        <f t="shared" si="22"/>
        <v>1517574069.5799999</v>
      </c>
      <c r="AR108" s="38">
        <f t="shared" si="22"/>
        <v>1480401564.1099999</v>
      </c>
      <c r="AS108" s="38">
        <f t="shared" si="22"/>
        <v>1449357134.6099999</v>
      </c>
      <c r="AT108" s="38">
        <f t="shared" si="22"/>
        <v>1446333018.75</v>
      </c>
      <c r="AU108" s="38">
        <f t="shared" si="22"/>
        <v>1415463229.77</v>
      </c>
      <c r="AV108" s="38">
        <f t="shared" si="22"/>
        <v>1420278007.25</v>
      </c>
      <c r="AW108" s="38">
        <f t="shared" si="22"/>
        <v>1209737532.1999998</v>
      </c>
      <c r="AX108" s="38">
        <f t="shared" si="22"/>
        <v>1196398960.6300001</v>
      </c>
      <c r="AY108" s="38">
        <f t="shared" si="22"/>
        <v>1163823580.24</v>
      </c>
      <c r="AZ108" s="38">
        <f t="shared" si="22"/>
        <v>1149763826.3699999</v>
      </c>
      <c r="BA108" s="38">
        <f t="shared" si="22"/>
        <v>1133103416.3400002</v>
      </c>
      <c r="BB108" s="38">
        <f t="shared" si="22"/>
        <v>1012462219.52</v>
      </c>
      <c r="BC108" s="38">
        <f t="shared" si="22"/>
        <v>977040410.13</v>
      </c>
      <c r="BD108" s="38">
        <f t="shared" si="22"/>
        <v>978507403.5</v>
      </c>
      <c r="BE108" s="38">
        <f t="shared" si="22"/>
        <v>959295017.19999993</v>
      </c>
      <c r="BF108" s="38">
        <f t="shared" si="22"/>
        <v>898765861.47000003</v>
      </c>
      <c r="BG108" s="38">
        <f t="shared" si="22"/>
        <v>899208658.25</v>
      </c>
      <c r="BH108" s="38">
        <f t="shared" si="22"/>
        <v>850674159.07000005</v>
      </c>
      <c r="BI108" s="38">
        <f t="shared" si="22"/>
        <v>727073430.80999994</v>
      </c>
      <c r="BJ108" s="38">
        <f t="shared" si="22"/>
        <v>780026263.73000002</v>
      </c>
      <c r="BK108" s="38">
        <f t="shared" si="22"/>
        <v>761691473.10000002</v>
      </c>
      <c r="BL108" s="38">
        <f t="shared" si="22"/>
        <v>743399119.54000008</v>
      </c>
      <c r="BM108" s="38">
        <f t="shared" si="22"/>
        <v>739425870.88999999</v>
      </c>
      <c r="BN108" s="38">
        <f t="shared" si="22"/>
        <v>719197152.89999998</v>
      </c>
      <c r="BO108" s="38">
        <f t="shared" ref="BO108:CK108" si="23">SUM(BO89+BO107)</f>
        <v>723883643.77999997</v>
      </c>
      <c r="BP108" s="38">
        <f t="shared" si="23"/>
        <v>317125811.06999999</v>
      </c>
      <c r="BQ108" s="38">
        <f t="shared" si="23"/>
        <v>253594356.55000001</v>
      </c>
      <c r="BR108" s="38">
        <f t="shared" si="23"/>
        <v>236018016.24000001</v>
      </c>
      <c r="BS108" s="38">
        <f t="shared" si="23"/>
        <v>0</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workbookViewId="0">
      <selection activeCell="E17" sqref="E17"/>
    </sheetView>
  </sheetViews>
  <sheetFormatPr defaultRowHeight="13.5"/>
  <cols>
    <col min="1" max="1" width="56" style="17" bestFit="1" customWidth="1"/>
    <col min="2" max="2" width="19.5" hidden="1" customWidth="1"/>
    <col min="3" max="4" width="20.75" hidden="1" customWidth="1"/>
    <col min="5" max="5" width="19.5" bestFit="1" customWidth="1"/>
    <col min="6" max="6" width="19.5" hidden="1" customWidth="1"/>
    <col min="7" max="8" width="20.75" hidden="1" customWidth="1"/>
    <col min="9" max="9" width="19.5" bestFit="1" customWidth="1"/>
    <col min="10" max="11" width="19.5" hidden="1" customWidth="1"/>
    <col min="12" max="12" width="20.75" hidden="1" customWidth="1"/>
    <col min="13" max="13" width="19.5" bestFit="1" customWidth="1"/>
    <col min="14" max="14" width="19.5" hidden="1" customWidth="1"/>
    <col min="15" max="16" width="20.75" hidden="1" customWidth="1"/>
    <col min="17" max="17" width="19.5" bestFit="1" customWidth="1"/>
    <col min="18" max="19" width="19.5" hidden="1" customWidth="1"/>
    <col min="20" max="20" width="20.75" hidden="1" customWidth="1"/>
    <col min="21" max="21" width="19.5" bestFit="1" customWidth="1"/>
    <col min="22" max="23" width="19.5" hidden="1" customWidth="1"/>
    <col min="24" max="24" width="20.75" hidden="1" customWidth="1"/>
    <col min="25" max="25" width="19.5" bestFit="1" customWidth="1"/>
    <col min="26" max="27" width="19.5" hidden="1" customWidth="1"/>
    <col min="28" max="28" width="20.75" hidden="1" customWidth="1"/>
    <col min="29" max="29" width="19.5" bestFit="1" customWidth="1"/>
    <col min="30" max="31" width="19.5" hidden="1" customWidth="1"/>
    <col min="32" max="32" width="20.75" hidden="1" customWidth="1"/>
    <col min="33" max="33" width="19.5" bestFit="1" customWidth="1"/>
    <col min="34" max="36" width="19.5" hidden="1" customWidth="1"/>
    <col min="37" max="37" width="19.5" bestFit="1" customWidth="1"/>
    <col min="38" max="40" width="19.5" hidden="1" customWidth="1"/>
    <col min="41" max="41" width="19.5" bestFit="1" customWidth="1"/>
    <col min="42" max="44" width="19.5" hidden="1" customWidth="1"/>
    <col min="45" max="45" width="19.5" bestFit="1" customWidth="1"/>
    <col min="46" max="48" width="19.5" hidden="1" customWidth="1"/>
    <col min="49" max="49" width="19.5" bestFit="1" customWidth="1"/>
    <col min="50" max="52" width="19.5" hidden="1" customWidth="1"/>
    <col min="53" max="53" width="19.5" bestFit="1" customWidth="1"/>
    <col min="54" max="54" width="18.25" hidden="1" customWidth="1"/>
    <col min="55" max="56" width="19.5" hidden="1" customWidth="1"/>
    <col min="57" max="57" width="19.5" bestFit="1" customWidth="1"/>
    <col min="58" max="58" width="18.25" hidden="1" customWidth="1"/>
    <col min="59" max="60" width="19.5" hidden="1" customWidth="1"/>
    <col min="61" max="61" width="19.5" bestFit="1" customWidth="1"/>
    <col min="62" max="62" width="18.25" hidden="1" customWidth="1"/>
    <col min="63" max="64" width="19.5" hidden="1" customWidth="1"/>
    <col min="65" max="65" width="18.25" bestFit="1" customWidth="1"/>
    <col min="66" max="67" width="19.5" hidden="1" customWidth="1"/>
    <col min="68" max="68" width="18.25" bestFit="1" customWidth="1"/>
    <col min="69" max="69" width="18.25" hidden="1" customWidth="1"/>
    <col min="70" max="71" width="18.25" bestFit="1" customWidth="1"/>
    <col min="72" max="72" width="9.625" hidden="1" customWidth="1"/>
    <col min="73" max="81" width="20.75" bestFit="1" customWidth="1"/>
    <col min="82" max="82" width="9.625" bestFit="1" customWidth="1"/>
    <col min="83"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ht="14.45">
      <c r="A1" s="17">
        <v>600529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37256</v>
      </c>
      <c r="BQ1" s="1">
        <v>37072</v>
      </c>
      <c r="BR1" s="1">
        <v>36891</v>
      </c>
      <c r="BS1" s="1">
        <v>36525</v>
      </c>
      <c r="BT1" s="1">
        <v>25569</v>
      </c>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384</v>
      </c>
      <c r="B4" s="188">
        <v>1920682063.4400001</v>
      </c>
      <c r="C4" s="188">
        <v>1300106472.46</v>
      </c>
      <c r="D4" s="188">
        <v>644403416.61000001</v>
      </c>
      <c r="E4" s="188">
        <v>2330488351.6700001</v>
      </c>
      <c r="F4" s="188">
        <v>1704720603.5799999</v>
      </c>
      <c r="G4" s="188">
        <v>1150037339.97</v>
      </c>
      <c r="H4" s="188">
        <v>574570999.27999997</v>
      </c>
      <c r="I4" s="188">
        <v>2057473059.6500001</v>
      </c>
      <c r="J4" s="188">
        <v>1447732454.8499999</v>
      </c>
      <c r="K4" s="188">
        <v>971033253.88</v>
      </c>
      <c r="L4" s="188">
        <v>450581543.13999999</v>
      </c>
      <c r="M4" s="188">
        <v>1723207165.99</v>
      </c>
      <c r="N4" s="188">
        <v>1310745450.45</v>
      </c>
      <c r="O4" s="188">
        <v>892965130.71000004</v>
      </c>
      <c r="P4" s="188">
        <v>415868291.43000001</v>
      </c>
      <c r="Q4" s="188">
        <v>1691112456.28</v>
      </c>
      <c r="R4" s="188">
        <v>1230791444.55</v>
      </c>
      <c r="S4" s="188">
        <v>813544477.90999997</v>
      </c>
      <c r="T4" s="188">
        <v>390024307.39999998</v>
      </c>
      <c r="U4" s="188">
        <v>1544544952.0599999</v>
      </c>
      <c r="V4" s="188">
        <v>1122396553.02</v>
      </c>
      <c r="W4" s="188">
        <v>758927999.57000005</v>
      </c>
      <c r="X4" s="188">
        <v>357205871.04000002</v>
      </c>
      <c r="Y4" s="188">
        <v>1468092831.3699999</v>
      </c>
      <c r="Z4" s="188">
        <v>1071348975.9400001</v>
      </c>
      <c r="AA4" s="188">
        <v>712807830.32000005</v>
      </c>
      <c r="AB4" s="188">
        <v>327266570.35000002</v>
      </c>
      <c r="AC4" s="188">
        <v>1397177995.0899999</v>
      </c>
      <c r="AD4" s="188">
        <v>1078566017.5699999</v>
      </c>
      <c r="AE4" s="188">
        <v>740726211.59000003</v>
      </c>
      <c r="AF4" s="188">
        <v>374073213.12</v>
      </c>
      <c r="AG4" s="188">
        <v>1513418307.2</v>
      </c>
      <c r="AH4" s="188">
        <v>1059696048.1799999</v>
      </c>
      <c r="AI4" s="188">
        <v>704411712.97000003</v>
      </c>
      <c r="AJ4" s="188">
        <v>336232983.76999998</v>
      </c>
      <c r="AK4" s="188">
        <v>1242158522.8800001</v>
      </c>
      <c r="AL4" s="188">
        <v>858937268.99000001</v>
      </c>
      <c r="AM4" s="188">
        <v>562273598.74000001</v>
      </c>
      <c r="AN4" s="188">
        <v>266084878.52000001</v>
      </c>
      <c r="AO4" s="188">
        <v>1158292067.4300001</v>
      </c>
      <c r="AP4" s="188">
        <v>895209049.78999996</v>
      </c>
      <c r="AQ4" s="188">
        <v>566191025.21000004</v>
      </c>
      <c r="AR4" s="188">
        <v>252070387.78999999</v>
      </c>
      <c r="AS4" s="188">
        <v>1012129757.92</v>
      </c>
      <c r="AT4" s="188">
        <v>746141351.75999999</v>
      </c>
      <c r="AU4" s="188">
        <v>484537373.37</v>
      </c>
      <c r="AV4" s="188">
        <v>223429170.63999999</v>
      </c>
      <c r="AW4" s="188">
        <v>826714232.19000006</v>
      </c>
      <c r="AX4" s="188">
        <v>604132127.04999995</v>
      </c>
      <c r="AY4" s="188">
        <v>397478607.14999998</v>
      </c>
      <c r="AZ4" s="188">
        <v>206387131.80000001</v>
      </c>
      <c r="BA4" s="188">
        <v>672138979.24000001</v>
      </c>
      <c r="BB4" s="188">
        <v>487785389.63999999</v>
      </c>
      <c r="BC4" s="188">
        <v>325059703.41000003</v>
      </c>
      <c r="BD4" s="188">
        <v>152709264.69999999</v>
      </c>
      <c r="BE4" s="188">
        <v>560177649.26999998</v>
      </c>
      <c r="BF4" s="188">
        <v>400883377.24000001</v>
      </c>
      <c r="BG4" s="188">
        <v>266980572.90000001</v>
      </c>
      <c r="BH4" s="188">
        <v>133017428.58</v>
      </c>
      <c r="BI4" s="188">
        <v>467989529.66000003</v>
      </c>
      <c r="BJ4" s="188">
        <v>349199614.76999998</v>
      </c>
      <c r="BK4" s="188">
        <v>236419705.41999999</v>
      </c>
      <c r="BL4" s="188">
        <v>91150481.840000004</v>
      </c>
      <c r="BM4" s="188">
        <v>422318260.42000002</v>
      </c>
      <c r="BN4" s="188">
        <v>293379263.36000001</v>
      </c>
      <c r="BO4" s="188">
        <v>187830345.75999999</v>
      </c>
      <c r="BP4" s="188">
        <v>350108854.74000001</v>
      </c>
      <c r="BQ4" s="188">
        <v>160917980.02000001</v>
      </c>
      <c r="BR4" s="188">
        <v>293114742.19</v>
      </c>
      <c r="BS4" s="188">
        <v>231107107.62</v>
      </c>
      <c r="BT4" s="188">
        <v>0</v>
      </c>
      <c r="BU4" s="188"/>
      <c r="BV4" s="188"/>
      <c r="BW4" s="188"/>
      <c r="BX4" s="188"/>
      <c r="BY4" s="188"/>
      <c r="BZ4" s="188"/>
      <c r="CA4" s="188"/>
      <c r="CB4" s="188"/>
      <c r="CC4" s="188"/>
      <c r="CD4" s="188"/>
      <c r="CE4" s="188"/>
      <c r="CF4" s="188"/>
      <c r="CG4" s="188"/>
      <c r="CH4" s="188"/>
      <c r="CI4" s="188"/>
      <c r="CJ4" s="188"/>
      <c r="CK4" s="188"/>
    </row>
    <row r="5" spans="1:89">
      <c r="A5" s="19" t="s">
        <v>385</v>
      </c>
      <c r="B5" s="188">
        <v>1243408197.8699999</v>
      </c>
      <c r="C5" s="188">
        <v>854568934.95000005</v>
      </c>
      <c r="D5" s="188">
        <v>440081312.91000003</v>
      </c>
      <c r="E5" s="188">
        <v>1579599031.7</v>
      </c>
      <c r="F5" s="188">
        <v>1153215749.49</v>
      </c>
      <c r="G5" s="188">
        <v>796388753.14999998</v>
      </c>
      <c r="H5" s="188">
        <v>411318554.22000003</v>
      </c>
      <c r="I5" s="188">
        <v>1382503304.6800001</v>
      </c>
      <c r="J5" s="188">
        <v>970886286.33000004</v>
      </c>
      <c r="K5" s="188">
        <v>649258615.39999998</v>
      </c>
      <c r="L5" s="188">
        <v>307907841.31999999</v>
      </c>
      <c r="M5" s="188">
        <v>1183736156.6700001</v>
      </c>
      <c r="N5" s="188">
        <v>908369418.73000002</v>
      </c>
      <c r="O5" s="188">
        <v>624520521.64999998</v>
      </c>
      <c r="P5" s="188">
        <v>292314282.32999998</v>
      </c>
      <c r="Q5" s="188">
        <v>1243464862.0899999</v>
      </c>
      <c r="R5" s="188">
        <v>902356240.62</v>
      </c>
      <c r="S5" s="188">
        <v>593503600.02999997</v>
      </c>
      <c r="T5" s="188">
        <v>291515172.32999998</v>
      </c>
      <c r="U5" s="188">
        <v>1104935553.8800001</v>
      </c>
      <c r="V5" s="188">
        <v>808786141.90999997</v>
      </c>
      <c r="W5" s="188">
        <v>545516762.55999994</v>
      </c>
      <c r="X5" s="188">
        <v>258279524.25999999</v>
      </c>
      <c r="Y5" s="188">
        <v>1060594067.3099999</v>
      </c>
      <c r="Z5" s="188">
        <v>777805780.02999997</v>
      </c>
      <c r="AA5" s="188">
        <v>519428180.99000001</v>
      </c>
      <c r="AB5" s="188">
        <v>242687344.61000001</v>
      </c>
      <c r="AC5" s="188">
        <v>1013706164.67</v>
      </c>
      <c r="AD5" s="188">
        <v>790385986.66999996</v>
      </c>
      <c r="AE5" s="188">
        <v>538361908.03999996</v>
      </c>
      <c r="AF5" s="188">
        <v>273131191.94</v>
      </c>
      <c r="AG5" s="188">
        <v>1055308223.25</v>
      </c>
      <c r="AH5" s="188">
        <v>715710989.24000001</v>
      </c>
      <c r="AI5" s="188">
        <v>478525587.07999998</v>
      </c>
      <c r="AJ5" s="188">
        <v>231108203.18000001</v>
      </c>
      <c r="AK5" s="188">
        <v>853986940.02999997</v>
      </c>
      <c r="AL5" s="188">
        <v>582879138.94000006</v>
      </c>
      <c r="AM5" s="188">
        <v>386402196.72000003</v>
      </c>
      <c r="AN5" s="188">
        <v>187493809.56999999</v>
      </c>
      <c r="AO5" s="188">
        <v>826362337.98000002</v>
      </c>
      <c r="AP5" s="188">
        <v>634021966.73000002</v>
      </c>
      <c r="AQ5" s="188">
        <v>397642299.64999998</v>
      </c>
      <c r="AR5" s="188">
        <v>178944728.38</v>
      </c>
      <c r="AS5" s="188">
        <v>711281672.12</v>
      </c>
      <c r="AT5" s="188">
        <v>0</v>
      </c>
      <c r="AU5" s="188">
        <v>334221833.19999999</v>
      </c>
      <c r="AV5" s="188">
        <v>155088250.44</v>
      </c>
      <c r="AW5" s="188">
        <v>549849844.25</v>
      </c>
      <c r="AX5" s="188">
        <v>399752333.11000001</v>
      </c>
      <c r="AY5" s="188">
        <v>264472201.12</v>
      </c>
      <c r="AZ5" s="188">
        <v>139406531.86000001</v>
      </c>
      <c r="BA5" s="188">
        <v>438848747.44</v>
      </c>
      <c r="BB5" s="188">
        <v>316063792.14999998</v>
      </c>
      <c r="BC5" s="188">
        <v>210801945.63</v>
      </c>
      <c r="BD5" s="188">
        <v>99686734.280000001</v>
      </c>
      <c r="BE5" s="188">
        <v>348115005.56</v>
      </c>
      <c r="BF5" s="188">
        <v>248121787.66999999</v>
      </c>
      <c r="BG5" s="188">
        <v>163159453.94999999</v>
      </c>
      <c r="BH5" s="188">
        <v>82341285.030000001</v>
      </c>
      <c r="BI5" s="188">
        <v>286673483.69999999</v>
      </c>
      <c r="BJ5" s="188">
        <v>217006307.15000001</v>
      </c>
      <c r="BK5" s="188">
        <v>146837244.50999999</v>
      </c>
      <c r="BL5" s="188">
        <v>53834394.850000001</v>
      </c>
      <c r="BM5" s="188">
        <v>265049811.56</v>
      </c>
      <c r="BN5" s="188">
        <v>184150130.88</v>
      </c>
      <c r="BO5" s="188">
        <v>117979340.59</v>
      </c>
      <c r="BP5" s="188">
        <v>220947506.97999999</v>
      </c>
      <c r="BQ5" s="188">
        <v>99360610.209999993</v>
      </c>
      <c r="BR5" s="188">
        <v>192752420.78999999</v>
      </c>
      <c r="BS5" s="188">
        <v>144715708.33000001</v>
      </c>
      <c r="BT5" s="188">
        <v>0</v>
      </c>
      <c r="BU5" s="188"/>
      <c r="BV5" s="188"/>
      <c r="BW5" s="188"/>
      <c r="BX5" s="188"/>
      <c r="BY5" s="188"/>
      <c r="BZ5" s="188"/>
      <c r="CA5" s="188"/>
      <c r="CB5" s="188"/>
      <c r="CC5" s="188"/>
      <c r="CD5" s="188"/>
      <c r="CE5" s="188"/>
      <c r="CF5" s="188"/>
      <c r="CG5" s="188"/>
      <c r="CH5" s="188"/>
      <c r="CI5" s="188"/>
      <c r="CJ5" s="188"/>
      <c r="CK5" s="188"/>
    </row>
    <row r="6" spans="1:89" s="3" customFormat="1">
      <c r="A6" s="20" t="s">
        <v>386</v>
      </c>
      <c r="B6" s="27">
        <f>B4-B5</f>
        <v>677273865.57000017</v>
      </c>
      <c r="C6" s="27">
        <f t="shared" ref="C6:BN6" si="0">C4-C5</f>
        <v>445537537.50999999</v>
      </c>
      <c r="D6" s="27">
        <f t="shared" si="0"/>
        <v>204322103.69999999</v>
      </c>
      <c r="E6" s="27">
        <f t="shared" si="0"/>
        <v>750889319.97000003</v>
      </c>
      <c r="F6" s="27">
        <f t="shared" si="0"/>
        <v>551504854.08999991</v>
      </c>
      <c r="G6" s="27">
        <f t="shared" si="0"/>
        <v>353648586.82000005</v>
      </c>
      <c r="H6" s="27">
        <f t="shared" si="0"/>
        <v>163252445.05999994</v>
      </c>
      <c r="I6" s="27">
        <f t="shared" si="0"/>
        <v>674969754.97000003</v>
      </c>
      <c r="J6" s="27">
        <f t="shared" si="0"/>
        <v>476846168.51999986</v>
      </c>
      <c r="K6" s="27">
        <f t="shared" si="0"/>
        <v>321774638.48000002</v>
      </c>
      <c r="L6" s="27">
        <f t="shared" si="0"/>
        <v>142673701.81999999</v>
      </c>
      <c r="M6" s="27">
        <f t="shared" si="0"/>
        <v>539471009.31999993</v>
      </c>
      <c r="N6" s="27">
        <f t="shared" si="0"/>
        <v>402376031.72000003</v>
      </c>
      <c r="O6" s="27">
        <f t="shared" si="0"/>
        <v>268444609.06000006</v>
      </c>
      <c r="P6" s="27">
        <f t="shared" si="0"/>
        <v>123554009.10000002</v>
      </c>
      <c r="Q6" s="27">
        <f t="shared" si="0"/>
        <v>447647594.19000006</v>
      </c>
      <c r="R6" s="27">
        <f t="shared" si="0"/>
        <v>328435203.92999995</v>
      </c>
      <c r="S6" s="27">
        <f t="shared" si="0"/>
        <v>220040877.88</v>
      </c>
      <c r="T6" s="27">
        <f t="shared" si="0"/>
        <v>98509135.069999993</v>
      </c>
      <c r="U6" s="27">
        <f t="shared" si="0"/>
        <v>439609398.17999983</v>
      </c>
      <c r="V6" s="27">
        <f t="shared" si="0"/>
        <v>313610411.11000001</v>
      </c>
      <c r="W6" s="27">
        <f t="shared" si="0"/>
        <v>213411237.01000011</v>
      </c>
      <c r="X6" s="27">
        <f t="shared" si="0"/>
        <v>98926346.780000031</v>
      </c>
      <c r="Y6" s="27">
        <f t="shared" si="0"/>
        <v>407498764.05999994</v>
      </c>
      <c r="Z6" s="27">
        <f t="shared" si="0"/>
        <v>293543195.91000009</v>
      </c>
      <c r="AA6" s="27">
        <f t="shared" si="0"/>
        <v>193379649.33000004</v>
      </c>
      <c r="AB6" s="27">
        <f t="shared" si="0"/>
        <v>84579225.74000001</v>
      </c>
      <c r="AC6" s="27">
        <f t="shared" si="0"/>
        <v>383471830.41999996</v>
      </c>
      <c r="AD6" s="27">
        <f t="shared" si="0"/>
        <v>288180030.89999998</v>
      </c>
      <c r="AE6" s="27">
        <f t="shared" si="0"/>
        <v>202364303.55000007</v>
      </c>
      <c r="AF6" s="27">
        <f t="shared" si="0"/>
        <v>100942021.18000001</v>
      </c>
      <c r="AG6" s="27">
        <f t="shared" si="0"/>
        <v>458110083.95000005</v>
      </c>
      <c r="AH6" s="27">
        <f t="shared" si="0"/>
        <v>343985058.93999994</v>
      </c>
      <c r="AI6" s="27">
        <f t="shared" si="0"/>
        <v>225886125.89000005</v>
      </c>
      <c r="AJ6" s="27">
        <f t="shared" si="0"/>
        <v>105124780.58999997</v>
      </c>
      <c r="AK6" s="27">
        <f t="shared" si="0"/>
        <v>388171582.85000014</v>
      </c>
      <c r="AL6" s="27">
        <f t="shared" si="0"/>
        <v>276058130.04999995</v>
      </c>
      <c r="AM6" s="27">
        <f t="shared" si="0"/>
        <v>175871402.01999998</v>
      </c>
      <c r="AN6" s="27">
        <f t="shared" si="0"/>
        <v>78591068.950000018</v>
      </c>
      <c r="AO6" s="27">
        <f t="shared" si="0"/>
        <v>331929729.45000005</v>
      </c>
      <c r="AP6" s="27">
        <f t="shared" si="0"/>
        <v>261187083.05999994</v>
      </c>
      <c r="AQ6" s="27">
        <f t="shared" si="0"/>
        <v>168548725.56000006</v>
      </c>
      <c r="AR6" s="27">
        <f t="shared" si="0"/>
        <v>73125659.409999996</v>
      </c>
      <c r="AS6" s="27">
        <f t="shared" si="0"/>
        <v>300848085.79999995</v>
      </c>
      <c r="AT6" s="27">
        <f t="shared" si="0"/>
        <v>746141351.75999999</v>
      </c>
      <c r="AU6" s="27">
        <f t="shared" si="0"/>
        <v>150315540.17000002</v>
      </c>
      <c r="AV6" s="27">
        <f t="shared" si="0"/>
        <v>68340920.199999988</v>
      </c>
      <c r="AW6" s="27">
        <f t="shared" si="0"/>
        <v>276864387.94000006</v>
      </c>
      <c r="AX6" s="27">
        <f t="shared" si="0"/>
        <v>204379793.93999994</v>
      </c>
      <c r="AY6" s="27">
        <f t="shared" si="0"/>
        <v>133006406.02999997</v>
      </c>
      <c r="AZ6" s="27">
        <f t="shared" si="0"/>
        <v>66980599.939999998</v>
      </c>
      <c r="BA6" s="27">
        <f t="shared" si="0"/>
        <v>233290231.80000001</v>
      </c>
      <c r="BB6" s="27">
        <f t="shared" si="0"/>
        <v>171721597.49000001</v>
      </c>
      <c r="BC6" s="27">
        <f t="shared" si="0"/>
        <v>114257757.78000003</v>
      </c>
      <c r="BD6" s="27">
        <f t="shared" si="0"/>
        <v>53022530.419999987</v>
      </c>
      <c r="BE6" s="27">
        <f t="shared" si="0"/>
        <v>212062643.70999998</v>
      </c>
      <c r="BF6" s="27">
        <f t="shared" si="0"/>
        <v>152761589.57000002</v>
      </c>
      <c r="BG6" s="27">
        <f t="shared" si="0"/>
        <v>103821118.95000002</v>
      </c>
      <c r="BH6" s="27">
        <f t="shared" si="0"/>
        <v>50676143.549999997</v>
      </c>
      <c r="BI6" s="27">
        <f t="shared" si="0"/>
        <v>181316045.96000004</v>
      </c>
      <c r="BJ6" s="27">
        <f t="shared" si="0"/>
        <v>132193307.61999997</v>
      </c>
      <c r="BK6" s="27">
        <f t="shared" si="0"/>
        <v>89582460.909999996</v>
      </c>
      <c r="BL6" s="27">
        <f t="shared" si="0"/>
        <v>37316086.990000002</v>
      </c>
      <c r="BM6" s="27">
        <f t="shared" si="0"/>
        <v>157268448.86000001</v>
      </c>
      <c r="BN6" s="27">
        <f t="shared" si="0"/>
        <v>109229132.48000002</v>
      </c>
      <c r="BO6" s="27">
        <f t="shared" ref="BO6:CK6" si="1">BO4-BO5</f>
        <v>69851005.169999987</v>
      </c>
      <c r="BP6" s="27">
        <f t="shared" si="1"/>
        <v>129161347.76000002</v>
      </c>
      <c r="BQ6" s="27">
        <f t="shared" si="1"/>
        <v>61557369.810000017</v>
      </c>
      <c r="BR6" s="27">
        <f t="shared" si="1"/>
        <v>100362321.40000001</v>
      </c>
      <c r="BS6" s="27">
        <f t="shared" si="1"/>
        <v>86391399.289999992</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387</v>
      </c>
      <c r="B7" s="57">
        <f>B6/B4*100</f>
        <v>35.262153922392656</v>
      </c>
      <c r="C7" s="57">
        <f t="shared" ref="C7:D7" si="2">C6/C4*100</f>
        <v>34.269311548536088</v>
      </c>
      <c r="D7" s="57">
        <f t="shared" si="2"/>
        <v>31.707172624079671</v>
      </c>
      <c r="E7" s="57">
        <f>E6/E4</f>
        <v>0.32220256300870231</v>
      </c>
      <c r="F7" s="57">
        <f t="shared" ref="F7:BQ7" si="3">F6/F4</f>
        <v>0.32351627177603864</v>
      </c>
      <c r="G7" s="57">
        <f t="shared" si="3"/>
        <v>0.30751052555321845</v>
      </c>
      <c r="H7" s="57">
        <f t="shared" si="3"/>
        <v>0.28412928126301717</v>
      </c>
      <c r="I7" s="57">
        <f t="shared" si="3"/>
        <v>0.32805763934756949</v>
      </c>
      <c r="J7" s="57">
        <f t="shared" si="3"/>
        <v>0.32937451040938781</v>
      </c>
      <c r="K7" s="57">
        <f t="shared" si="3"/>
        <v>0.33137344904952643</v>
      </c>
      <c r="L7" s="57">
        <f t="shared" si="3"/>
        <v>0.31664346663145482</v>
      </c>
      <c r="M7" s="57">
        <f t="shared" si="3"/>
        <v>0.3130621900646916</v>
      </c>
      <c r="N7" s="57">
        <f t="shared" si="3"/>
        <v>0.30698258886335089</v>
      </c>
      <c r="O7" s="57">
        <f t="shared" si="3"/>
        <v>0.30062160304799218</v>
      </c>
      <c r="P7" s="57">
        <f t="shared" si="3"/>
        <v>0.29709889319800892</v>
      </c>
      <c r="Q7" s="57">
        <f t="shared" si="3"/>
        <v>0.26470598837330211</v>
      </c>
      <c r="R7" s="57">
        <f t="shared" si="3"/>
        <v>0.26684878692025837</v>
      </c>
      <c r="S7" s="57">
        <f t="shared" si="3"/>
        <v>0.27047184739706692</v>
      </c>
      <c r="T7" s="57">
        <f t="shared" si="3"/>
        <v>0.25257178386313056</v>
      </c>
      <c r="U7" s="57">
        <f t="shared" si="3"/>
        <v>0.2846206564552759</v>
      </c>
      <c r="V7" s="57">
        <f t="shared" si="3"/>
        <v>0.27941141681714682</v>
      </c>
      <c r="W7" s="57">
        <f t="shared" si="3"/>
        <v>0.28120090065317987</v>
      </c>
      <c r="X7" s="57">
        <f t="shared" si="3"/>
        <v>0.27694490712590286</v>
      </c>
      <c r="Y7" s="57">
        <f t="shared" si="3"/>
        <v>0.27757016133627521</v>
      </c>
      <c r="Z7" s="57">
        <f t="shared" si="3"/>
        <v>0.27399400429019471</v>
      </c>
      <c r="AA7" s="57">
        <f t="shared" si="3"/>
        <v>0.27129282410265659</v>
      </c>
      <c r="AB7" s="57">
        <f t="shared" si="3"/>
        <v>0.25844138510555942</v>
      </c>
      <c r="AC7" s="57">
        <f t="shared" si="3"/>
        <v>0.27446168760716733</v>
      </c>
      <c r="AD7" s="57">
        <f t="shared" si="3"/>
        <v>0.26718812405129094</v>
      </c>
      <c r="AE7" s="57">
        <f t="shared" si="3"/>
        <v>0.27319716837833585</v>
      </c>
      <c r="AF7" s="57">
        <f t="shared" si="3"/>
        <v>0.26984562818086238</v>
      </c>
      <c r="AG7" s="57">
        <f t="shared" si="3"/>
        <v>0.30269891792015985</v>
      </c>
      <c r="AH7" s="57">
        <f t="shared" si="3"/>
        <v>0.3246072867128128</v>
      </c>
      <c r="AI7" s="57">
        <f t="shared" si="3"/>
        <v>0.32067343817665939</v>
      </c>
      <c r="AJ7" s="57">
        <f t="shared" si="3"/>
        <v>0.31265457484656095</v>
      </c>
      <c r="AK7" s="57">
        <f t="shared" si="3"/>
        <v>0.3124976206338036</v>
      </c>
      <c r="AL7" s="57">
        <f t="shared" si="3"/>
        <v>0.32139498426306368</v>
      </c>
      <c r="AM7" s="57">
        <f t="shared" si="3"/>
        <v>0.31278616391399233</v>
      </c>
      <c r="AN7" s="57">
        <f t="shared" si="3"/>
        <v>0.29536089907526553</v>
      </c>
      <c r="AO7" s="57">
        <f t="shared" si="3"/>
        <v>0.28656824887567472</v>
      </c>
      <c r="AP7" s="57">
        <f t="shared" si="3"/>
        <v>0.29176099495561375</v>
      </c>
      <c r="AQ7" s="57">
        <f t="shared" si="3"/>
        <v>0.29768879769418</v>
      </c>
      <c r="AR7" s="57">
        <f t="shared" si="3"/>
        <v>0.29010015833720632</v>
      </c>
      <c r="AS7" s="57">
        <f t="shared" si="3"/>
        <v>0.29724260495834504</v>
      </c>
      <c r="AT7" s="57">
        <f t="shared" si="3"/>
        <v>1</v>
      </c>
      <c r="AU7" s="57">
        <f t="shared" si="3"/>
        <v>0.31022486278930811</v>
      </c>
      <c r="AV7" s="57">
        <f t="shared" si="3"/>
        <v>0.30587286344142695</v>
      </c>
      <c r="AW7" s="57">
        <f t="shared" si="3"/>
        <v>0.33489732867737732</v>
      </c>
      <c r="AX7" s="57">
        <f t="shared" si="3"/>
        <v>0.33830313732526396</v>
      </c>
      <c r="AY7" s="57">
        <f t="shared" si="3"/>
        <v>0.33462531979691218</v>
      </c>
      <c r="AZ7" s="57">
        <f t="shared" si="3"/>
        <v>0.32453864422568612</v>
      </c>
      <c r="BA7" s="57">
        <f t="shared" si="3"/>
        <v>0.34708630060971257</v>
      </c>
      <c r="BB7" s="57">
        <f t="shared" si="3"/>
        <v>0.3520433394217396</v>
      </c>
      <c r="BC7" s="57">
        <f t="shared" si="3"/>
        <v>0.35149776050797027</v>
      </c>
      <c r="BD7" s="57">
        <f t="shared" si="3"/>
        <v>0.34721226982635056</v>
      </c>
      <c r="BE7" s="57">
        <f t="shared" si="3"/>
        <v>0.37856320041749458</v>
      </c>
      <c r="BF7" s="57">
        <f t="shared" si="3"/>
        <v>0.38106241925452805</v>
      </c>
      <c r="BG7" s="57">
        <f t="shared" si="3"/>
        <v>0.38887143668272506</v>
      </c>
      <c r="BH7" s="57">
        <f t="shared" si="3"/>
        <v>0.38097371217428172</v>
      </c>
      <c r="BI7" s="57">
        <f t="shared" si="3"/>
        <v>0.38743611655527488</v>
      </c>
      <c r="BJ7" s="57">
        <f t="shared" si="3"/>
        <v>0.37856086326747235</v>
      </c>
      <c r="BK7" s="57">
        <f t="shared" si="3"/>
        <v>0.37891283533602504</v>
      </c>
      <c r="BL7" s="57">
        <f t="shared" si="3"/>
        <v>0.40938990378023876</v>
      </c>
      <c r="BM7" s="57">
        <f t="shared" si="3"/>
        <v>0.37239320105077828</v>
      </c>
      <c r="BN7" s="57">
        <f t="shared" si="3"/>
        <v>0.37231374579452492</v>
      </c>
      <c r="BO7" s="57">
        <f t="shared" si="3"/>
        <v>0.37188349351841171</v>
      </c>
      <c r="BP7" s="57">
        <f t="shared" si="3"/>
        <v>0.36891768377557493</v>
      </c>
      <c r="BQ7" s="57">
        <f t="shared" si="3"/>
        <v>0.38253879275857949</v>
      </c>
      <c r="BR7" s="57">
        <f t="shared" ref="BR7:CK7" si="4">BR6/BR4</f>
        <v>0.34239943255717964</v>
      </c>
      <c r="BS7" s="57">
        <f t="shared" si="4"/>
        <v>0.3738154147645249</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388</v>
      </c>
      <c r="B8" s="188">
        <v>30094425.390000001</v>
      </c>
      <c r="C8" s="188">
        <v>21041697.530000001</v>
      </c>
      <c r="D8" s="188">
        <v>10181924.699999999</v>
      </c>
      <c r="E8" s="188">
        <v>32609223.289999999</v>
      </c>
      <c r="F8" s="188">
        <v>23958370.800000001</v>
      </c>
      <c r="G8" s="188">
        <v>16453610.789999999</v>
      </c>
      <c r="H8" s="188">
        <v>8827932.0099999998</v>
      </c>
      <c r="I8" s="188">
        <v>26306781.690000001</v>
      </c>
      <c r="J8" s="188">
        <v>11254195.640000001</v>
      </c>
      <c r="K8" s="188">
        <v>8091865.9900000002</v>
      </c>
      <c r="L8" s="188">
        <v>3842736.13</v>
      </c>
      <c r="M8" s="188">
        <v>14127458.35</v>
      </c>
      <c r="N8" s="188">
        <v>10982454.4</v>
      </c>
      <c r="O8" s="188">
        <v>7736321.0700000003</v>
      </c>
      <c r="P8" s="188">
        <v>3855290.08</v>
      </c>
      <c r="Q8" s="188">
        <v>13678444.02</v>
      </c>
      <c r="R8" s="188">
        <v>9834744</v>
      </c>
      <c r="S8" s="188">
        <v>6293788.2800000003</v>
      </c>
      <c r="T8" s="188">
        <v>2925789.53</v>
      </c>
      <c r="U8" s="188">
        <v>12011351.15</v>
      </c>
      <c r="V8" s="188">
        <v>9009604.8100000005</v>
      </c>
      <c r="W8" s="188">
        <v>6465348.3600000003</v>
      </c>
      <c r="X8" s="188">
        <v>2635022.39</v>
      </c>
      <c r="Y8" s="188">
        <v>9590386.3900000006</v>
      </c>
      <c r="Z8" s="188">
        <v>6347982.5099999998</v>
      </c>
      <c r="AA8" s="188">
        <v>4029760.16</v>
      </c>
      <c r="AB8" s="188">
        <v>1529153.15</v>
      </c>
      <c r="AC8" s="188">
        <v>7181078.29</v>
      </c>
      <c r="AD8" s="188">
        <v>6657156.9199999999</v>
      </c>
      <c r="AE8" s="188">
        <v>5118884.42</v>
      </c>
      <c r="AF8" s="188">
        <v>2569824.13</v>
      </c>
      <c r="AG8" s="188">
        <v>14515701.470000001</v>
      </c>
      <c r="AH8" s="188">
        <v>8177518.0199999996</v>
      </c>
      <c r="AI8" s="188">
        <v>5182403.62</v>
      </c>
      <c r="AJ8" s="188">
        <v>1873141.16</v>
      </c>
      <c r="AK8" s="188">
        <v>11808952.529999999</v>
      </c>
      <c r="AL8" s="188">
        <v>7236297.5999999996</v>
      </c>
      <c r="AM8" s="188">
        <v>4689256.97</v>
      </c>
      <c r="AN8" s="188">
        <v>1804981.4</v>
      </c>
      <c r="AO8" s="188">
        <v>8934334.1699999999</v>
      </c>
      <c r="AP8" s="188">
        <v>7119661.3700000001</v>
      </c>
      <c r="AQ8" s="188">
        <v>4526248.92</v>
      </c>
      <c r="AR8" s="188">
        <v>1977399.43</v>
      </c>
      <c r="AS8" s="188">
        <v>9883236.0399999991</v>
      </c>
      <c r="AT8" s="188">
        <v>7156603.3700000001</v>
      </c>
      <c r="AU8" s="188">
        <v>4775319.4800000004</v>
      </c>
      <c r="AV8" s="188">
        <v>1415613.3</v>
      </c>
      <c r="AW8" s="188">
        <v>7000235.2800000003</v>
      </c>
      <c r="AX8" s="188">
        <v>4508247.88</v>
      </c>
      <c r="AY8" s="188">
        <v>2600189.25</v>
      </c>
      <c r="AZ8" s="188">
        <v>1423981.97</v>
      </c>
      <c r="BA8" s="188">
        <v>5174727.4400000004</v>
      </c>
      <c r="BB8" s="188">
        <v>3457734.19</v>
      </c>
      <c r="BC8" s="188">
        <v>2110781.17</v>
      </c>
      <c r="BD8" s="188">
        <v>1245538.25</v>
      </c>
      <c r="BE8" s="188">
        <v>4323490.9000000004</v>
      </c>
      <c r="BF8" s="188">
        <v>2917693.14</v>
      </c>
      <c r="BG8" s="188">
        <v>2086460.14</v>
      </c>
      <c r="BH8" s="188">
        <v>1097748.3899999999</v>
      </c>
      <c r="BI8" s="188">
        <v>3741638.11</v>
      </c>
      <c r="BJ8" s="188">
        <v>2814428.05</v>
      </c>
      <c r="BK8" s="188">
        <v>1940266.44</v>
      </c>
      <c r="BL8" s="188">
        <v>619804.93999999994</v>
      </c>
      <c r="BM8" s="188">
        <v>2854778.81</v>
      </c>
      <c r="BN8" s="188">
        <v>2057152.93</v>
      </c>
      <c r="BO8" s="188">
        <v>1275812.6000000001</v>
      </c>
      <c r="BP8" s="188">
        <v>2525421.6800000002</v>
      </c>
      <c r="BQ8" s="188">
        <v>1251046.1200000001</v>
      </c>
      <c r="BR8" s="188">
        <v>2129550.58</v>
      </c>
      <c r="BS8" s="188">
        <v>1848556.21</v>
      </c>
      <c r="BT8" s="188">
        <v>0</v>
      </c>
      <c r="BU8" s="188"/>
      <c r="BV8" s="188"/>
      <c r="BW8" s="188"/>
      <c r="BX8" s="188"/>
      <c r="BY8" s="188"/>
      <c r="BZ8" s="188"/>
      <c r="CA8" s="188"/>
      <c r="CB8" s="188"/>
      <c r="CC8" s="188"/>
      <c r="CD8" s="188"/>
      <c r="CE8" s="188"/>
      <c r="CF8" s="188"/>
      <c r="CG8" s="188"/>
      <c r="CH8" s="188"/>
      <c r="CI8" s="188"/>
      <c r="CJ8" s="188"/>
      <c r="CK8" s="188"/>
    </row>
    <row r="9" spans="1:89">
      <c r="A9" s="17" t="s">
        <v>389</v>
      </c>
      <c r="B9" s="188">
        <v>146237021.12</v>
      </c>
      <c r="C9" s="188">
        <v>102197579.59</v>
      </c>
      <c r="D9" s="188">
        <v>38866313.32</v>
      </c>
      <c r="E9" s="188">
        <v>195515731.11000001</v>
      </c>
      <c r="F9" s="188">
        <v>136476829.38999999</v>
      </c>
      <c r="G9" s="188">
        <v>91569975.510000005</v>
      </c>
      <c r="H9" s="188">
        <v>39320130.140000001</v>
      </c>
      <c r="I9" s="188">
        <v>193674447.63</v>
      </c>
      <c r="J9" s="188">
        <v>136905223.27000001</v>
      </c>
      <c r="K9" s="188">
        <v>95464307.890000001</v>
      </c>
      <c r="L9" s="188">
        <v>42386417.810000002</v>
      </c>
      <c r="M9" s="188">
        <v>176646381.94</v>
      </c>
      <c r="N9" s="188">
        <v>131087134.95999999</v>
      </c>
      <c r="O9" s="188">
        <v>96208814.079999998</v>
      </c>
      <c r="P9" s="188">
        <v>40851492.890000001</v>
      </c>
      <c r="Q9" s="188">
        <v>156373144.61000001</v>
      </c>
      <c r="R9" s="188">
        <v>112695222.38</v>
      </c>
      <c r="S9" s="188">
        <v>72217973.909999996</v>
      </c>
      <c r="T9" s="188">
        <v>31381634.989999998</v>
      </c>
      <c r="U9" s="188">
        <v>136901120.13</v>
      </c>
      <c r="V9" s="188">
        <v>100782662.40000001</v>
      </c>
      <c r="W9" s="188">
        <v>68236768.319999993</v>
      </c>
      <c r="X9" s="188">
        <v>32360470.100000001</v>
      </c>
      <c r="Y9" s="188">
        <v>121223727.97</v>
      </c>
      <c r="Z9" s="188">
        <v>89826584.159999996</v>
      </c>
      <c r="AA9" s="188">
        <v>59299407.460000001</v>
      </c>
      <c r="AB9" s="188">
        <v>21389877.350000001</v>
      </c>
      <c r="AC9" s="188">
        <v>118874325.77</v>
      </c>
      <c r="AD9" s="188">
        <v>78213334.299999997</v>
      </c>
      <c r="AE9" s="188">
        <v>60316363.409999996</v>
      </c>
      <c r="AF9" s="188">
        <v>29241170.300000001</v>
      </c>
      <c r="AG9" s="188">
        <v>144614384.90000001</v>
      </c>
      <c r="AH9" s="188">
        <v>101157630.55</v>
      </c>
      <c r="AI9" s="188">
        <v>65968283.810000002</v>
      </c>
      <c r="AJ9" s="188">
        <v>32530306.699999999</v>
      </c>
      <c r="AK9" s="188">
        <v>114100864.88</v>
      </c>
      <c r="AL9" s="188">
        <v>81063805.120000005</v>
      </c>
      <c r="AM9" s="188">
        <v>48276995.700000003</v>
      </c>
      <c r="AN9" s="188">
        <v>17157224.27</v>
      </c>
      <c r="AO9" s="188">
        <v>107969902.64</v>
      </c>
      <c r="AP9" s="188">
        <v>77724808.670000002</v>
      </c>
      <c r="AQ9" s="188">
        <v>48046909.369999997</v>
      </c>
      <c r="AR9" s="188">
        <v>17952830.829999998</v>
      </c>
      <c r="AS9" s="188">
        <v>84961328.189999998</v>
      </c>
      <c r="AT9" s="188">
        <v>54355061.079999998</v>
      </c>
      <c r="AU9" s="188">
        <v>33253698.199999999</v>
      </c>
      <c r="AV9" s="188">
        <v>16410012.84</v>
      </c>
      <c r="AW9" s="188">
        <v>61663457.020000003</v>
      </c>
      <c r="AX9" s="188">
        <v>44019409.439999998</v>
      </c>
      <c r="AY9" s="188">
        <v>28606536.489999998</v>
      </c>
      <c r="AZ9" s="188">
        <v>12788351.35</v>
      </c>
      <c r="BA9" s="188">
        <v>52247632.82</v>
      </c>
      <c r="BB9" s="188">
        <v>37205674.159999996</v>
      </c>
      <c r="BC9" s="188">
        <v>22670069.52</v>
      </c>
      <c r="BD9" s="188">
        <v>9745368.2100000009</v>
      </c>
      <c r="BE9" s="188">
        <v>52620458.640000001</v>
      </c>
      <c r="BF9" s="188">
        <v>38976523.07</v>
      </c>
      <c r="BG9" s="188">
        <v>26526774.940000001</v>
      </c>
      <c r="BH9" s="188">
        <v>12247541.789999999</v>
      </c>
      <c r="BI9" s="188">
        <v>40337440.609999999</v>
      </c>
      <c r="BJ9" s="188">
        <v>30067251.440000001</v>
      </c>
      <c r="BK9" s="188">
        <v>20385282.850000001</v>
      </c>
      <c r="BL9" s="188">
        <v>9854951.4399999995</v>
      </c>
      <c r="BM9" s="188">
        <v>41270031.350000001</v>
      </c>
      <c r="BN9" s="188">
        <v>27704403.34</v>
      </c>
      <c r="BO9" s="188">
        <v>15177775.140000001</v>
      </c>
      <c r="BP9" s="188">
        <v>36693004.859999999</v>
      </c>
      <c r="BQ9" s="188">
        <v>16486819.619999999</v>
      </c>
      <c r="BR9" s="188">
        <v>24627604.539999999</v>
      </c>
      <c r="BS9" s="188">
        <v>18450196</v>
      </c>
      <c r="BT9" s="188">
        <v>0</v>
      </c>
      <c r="BU9" s="188"/>
      <c r="BV9" s="188"/>
      <c r="BW9" s="188"/>
      <c r="BX9" s="188"/>
      <c r="BY9" s="188"/>
      <c r="BZ9" s="188"/>
      <c r="CA9" s="188"/>
      <c r="CB9" s="188"/>
      <c r="CC9" s="188"/>
      <c r="CD9" s="188"/>
      <c r="CE9" s="188"/>
      <c r="CF9" s="188"/>
      <c r="CG9" s="188"/>
      <c r="CH9" s="188"/>
      <c r="CI9" s="188"/>
      <c r="CJ9" s="188"/>
      <c r="CK9" s="188"/>
    </row>
    <row r="10" spans="1:89">
      <c r="A10" s="17" t="s">
        <v>390</v>
      </c>
      <c r="B10" s="188">
        <v>131613748.8</v>
      </c>
      <c r="C10" s="188">
        <v>105652729.68000001</v>
      </c>
      <c r="D10" s="188">
        <v>41820119.770000003</v>
      </c>
      <c r="E10" s="188">
        <v>197402020.00999999</v>
      </c>
      <c r="F10" s="188">
        <v>150917124.31999999</v>
      </c>
      <c r="G10" s="188">
        <v>84464700.480000004</v>
      </c>
      <c r="H10" s="188">
        <v>34819249.840000004</v>
      </c>
      <c r="I10" s="188">
        <v>133257009.31999999</v>
      </c>
      <c r="J10" s="188">
        <v>105429596.77</v>
      </c>
      <c r="K10" s="188">
        <v>72211426.530000001</v>
      </c>
      <c r="L10" s="188">
        <v>34878450.439999998</v>
      </c>
      <c r="M10" s="188">
        <v>111178732.95999999</v>
      </c>
      <c r="N10" s="188">
        <v>85042533.200000003</v>
      </c>
      <c r="O10" s="188">
        <v>56280089.619999997</v>
      </c>
      <c r="P10" s="188">
        <v>30874311.73</v>
      </c>
      <c r="Q10" s="188">
        <v>92841424.159999996</v>
      </c>
      <c r="R10" s="188">
        <v>66824485.920000002</v>
      </c>
      <c r="S10" s="188">
        <v>44810493.990000002</v>
      </c>
      <c r="T10" s="188">
        <v>22124442.120000001</v>
      </c>
      <c r="U10" s="188">
        <v>92042333.799999997</v>
      </c>
      <c r="V10" s="188">
        <v>62153636.380000003</v>
      </c>
      <c r="W10" s="188">
        <v>41678536.289999999</v>
      </c>
      <c r="X10" s="188">
        <v>20365627.23</v>
      </c>
      <c r="Y10" s="188">
        <v>88696133.489999995</v>
      </c>
      <c r="Z10" s="188">
        <v>64464993.710000001</v>
      </c>
      <c r="AA10" s="188">
        <v>42860569.25</v>
      </c>
      <c r="AB10" s="188">
        <v>23222635.899999999</v>
      </c>
      <c r="AC10" s="188">
        <v>97127072.049999997</v>
      </c>
      <c r="AD10" s="188">
        <v>59456124.810000002</v>
      </c>
      <c r="AE10" s="188">
        <v>36348109.229999997</v>
      </c>
      <c r="AF10" s="188">
        <v>16676547.470000001</v>
      </c>
      <c r="AG10" s="188">
        <v>74906223.370000005</v>
      </c>
      <c r="AH10" s="188">
        <v>57858620.539999999</v>
      </c>
      <c r="AI10" s="188">
        <v>38908166.909999996</v>
      </c>
      <c r="AJ10" s="188">
        <v>16125793.960000001</v>
      </c>
      <c r="AK10" s="188">
        <v>74153649.760000005</v>
      </c>
      <c r="AL10" s="188">
        <v>54778332.560000002</v>
      </c>
      <c r="AM10" s="188">
        <v>35579197.030000001</v>
      </c>
      <c r="AN10" s="188">
        <v>16124039.439999999</v>
      </c>
      <c r="AO10" s="188">
        <v>57170546.460000001</v>
      </c>
      <c r="AP10" s="188">
        <v>41852232.539999999</v>
      </c>
      <c r="AQ10" s="188">
        <v>28724292.07</v>
      </c>
      <c r="AR10" s="188">
        <v>12394912.02</v>
      </c>
      <c r="AS10" s="188">
        <v>43014387.200000003</v>
      </c>
      <c r="AT10" s="188">
        <v>43786161.289999999</v>
      </c>
      <c r="AU10" s="188">
        <v>27311664.02</v>
      </c>
      <c r="AV10" s="188">
        <v>12601679.59</v>
      </c>
      <c r="AW10" s="188">
        <v>57559441.780000001</v>
      </c>
      <c r="AX10" s="188">
        <v>41191125.170000002</v>
      </c>
      <c r="AY10" s="188">
        <v>27179103.23</v>
      </c>
      <c r="AZ10" s="188">
        <v>16546640.869999999</v>
      </c>
      <c r="BA10" s="188">
        <v>45625377.310000002</v>
      </c>
      <c r="BB10" s="188">
        <v>33966246.490000002</v>
      </c>
      <c r="BC10" s="188">
        <v>23585552.079999998</v>
      </c>
      <c r="BD10" s="188">
        <v>9546078.5899999999</v>
      </c>
      <c r="BE10" s="188">
        <v>40030575.009999998</v>
      </c>
      <c r="BF10" s="188">
        <v>29773856.199999999</v>
      </c>
      <c r="BG10" s="188">
        <v>21747811.68</v>
      </c>
      <c r="BH10" s="188">
        <v>11779607.1</v>
      </c>
      <c r="BI10" s="188">
        <v>35250194.729999997</v>
      </c>
      <c r="BJ10" s="188">
        <v>25602106.440000001</v>
      </c>
      <c r="BK10" s="188">
        <v>16138807.6</v>
      </c>
      <c r="BL10" s="188">
        <v>6833181.9100000001</v>
      </c>
      <c r="BM10" s="188">
        <v>24435988.530000001</v>
      </c>
      <c r="BN10" s="188">
        <v>16604155.26</v>
      </c>
      <c r="BO10" s="188">
        <v>11504945.84</v>
      </c>
      <c r="BP10" s="188">
        <v>22140703.48</v>
      </c>
      <c r="BQ10" s="188">
        <v>11376507.48</v>
      </c>
      <c r="BR10" s="188">
        <v>23070120.949999999</v>
      </c>
      <c r="BS10" s="188">
        <v>17893810.940000001</v>
      </c>
      <c r="BT10" s="188">
        <v>0</v>
      </c>
      <c r="BU10" s="188"/>
      <c r="BV10" s="188"/>
      <c r="BW10" s="188"/>
      <c r="BX10" s="188"/>
      <c r="BY10" s="188"/>
      <c r="BZ10" s="188"/>
      <c r="CA10" s="188"/>
      <c r="CB10" s="188"/>
      <c r="CC10" s="188"/>
      <c r="CD10" s="188"/>
      <c r="CE10" s="188"/>
      <c r="CF10" s="188"/>
      <c r="CG10" s="188"/>
      <c r="CH10" s="188"/>
      <c r="CI10" s="188"/>
      <c r="CJ10" s="188"/>
      <c r="CK10" s="188"/>
    </row>
    <row r="11" spans="1:89">
      <c r="A11" s="17" t="s">
        <v>391</v>
      </c>
      <c r="B11" s="188">
        <v>34126388.670000002</v>
      </c>
      <c r="C11" s="188">
        <v>24546163.91</v>
      </c>
      <c r="D11" s="188">
        <v>5629430.7599999998</v>
      </c>
      <c r="E11" s="188">
        <v>18517785.390000001</v>
      </c>
      <c r="F11" s="188">
        <v>3604212.98</v>
      </c>
      <c r="G11" s="188">
        <v>6891784.7199999997</v>
      </c>
      <c r="H11" s="188">
        <v>5191578.03</v>
      </c>
      <c r="I11" s="188">
        <v>85229987.120000005</v>
      </c>
      <c r="J11" s="188">
        <v>32794862.260000002</v>
      </c>
      <c r="K11" s="188">
        <v>18169836.77</v>
      </c>
      <c r="L11" s="188">
        <v>8882292.4299999997</v>
      </c>
      <c r="M11" s="188">
        <v>45712199.479999997</v>
      </c>
      <c r="N11" s="188">
        <v>23726180.739999998</v>
      </c>
      <c r="O11" s="188">
        <v>13521115.029999999</v>
      </c>
      <c r="P11" s="188">
        <v>4985708.8600000003</v>
      </c>
      <c r="Q11" s="188">
        <v>11062385.91</v>
      </c>
      <c r="R11" s="188">
        <v>5826194.3099999996</v>
      </c>
      <c r="S11" s="188">
        <v>5266885.46</v>
      </c>
      <c r="T11" s="188">
        <v>747962.85</v>
      </c>
      <c r="U11" s="188">
        <v>27162386.09</v>
      </c>
      <c r="V11" s="188">
        <v>3445637.18</v>
      </c>
      <c r="W11" s="188">
        <v>5218011.1500000004</v>
      </c>
      <c r="X11" s="188">
        <v>-256058.48</v>
      </c>
      <c r="Y11" s="188">
        <v>28473257.32</v>
      </c>
      <c r="Z11" s="188">
        <v>2630098.9700000002</v>
      </c>
      <c r="AA11" s="188">
        <v>2805424.85</v>
      </c>
      <c r="AB11" s="188">
        <v>1107385.72</v>
      </c>
      <c r="AC11" s="188">
        <v>13115589.33</v>
      </c>
      <c r="AD11" s="188">
        <v>276412.71999999997</v>
      </c>
      <c r="AE11" s="188">
        <v>1618611.51</v>
      </c>
      <c r="AF11" s="188">
        <v>752593.09</v>
      </c>
      <c r="AG11" s="188">
        <v>15408006.949999999</v>
      </c>
      <c r="AH11" s="188">
        <v>2606206.58</v>
      </c>
      <c r="AI11" s="188">
        <v>1151972.49</v>
      </c>
      <c r="AJ11" s="188">
        <v>-308613.40999999997</v>
      </c>
      <c r="AK11" s="188">
        <v>7855212.7699999996</v>
      </c>
      <c r="AL11" s="188">
        <v>-1977593.88</v>
      </c>
      <c r="AM11" s="188">
        <v>-203394.58</v>
      </c>
      <c r="AN11" s="188">
        <v>-530478.31000000006</v>
      </c>
      <c r="AO11" s="188">
        <v>7703413.7199999997</v>
      </c>
      <c r="AP11" s="188">
        <v>2988707.37</v>
      </c>
      <c r="AQ11" s="188">
        <v>1593480.53</v>
      </c>
      <c r="AR11" s="188">
        <v>1588340.89</v>
      </c>
      <c r="AS11" s="188">
        <v>2077145.79</v>
      </c>
      <c r="AT11" s="188">
        <v>4476366.8099999996</v>
      </c>
      <c r="AU11" s="188">
        <v>4734150.83</v>
      </c>
      <c r="AV11" s="188">
        <v>1198167.2</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c r="BV11" s="188"/>
      <c r="BW11" s="188"/>
      <c r="BX11" s="188"/>
      <c r="BY11" s="188"/>
      <c r="BZ11" s="188"/>
      <c r="CA11" s="188"/>
      <c r="CB11" s="188"/>
      <c r="CC11" s="188"/>
      <c r="CD11" s="188"/>
      <c r="CE11" s="188"/>
      <c r="CF11" s="188"/>
      <c r="CG11" s="188"/>
      <c r="CH11" s="188"/>
      <c r="CI11" s="188"/>
      <c r="CJ11" s="188"/>
      <c r="CK11" s="188"/>
    </row>
    <row r="12" spans="1:89" s="7" customFormat="1">
      <c r="A12" s="21" t="s">
        <v>392</v>
      </c>
      <c r="B12" s="29">
        <f>B55</f>
        <v>463</v>
      </c>
      <c r="C12" s="29">
        <f t="shared" ref="C12:BN12" si="5">C55</f>
        <v>603</v>
      </c>
      <c r="D12" s="29">
        <f t="shared" si="5"/>
        <v>653</v>
      </c>
      <c r="E12" s="29">
        <f t="shared" si="5"/>
        <v>2380303.09</v>
      </c>
      <c r="F12" s="29">
        <f t="shared" si="5"/>
        <v>1204</v>
      </c>
      <c r="G12" s="29">
        <f t="shared" si="5"/>
        <v>868</v>
      </c>
      <c r="H12" s="29">
        <f t="shared" si="5"/>
        <v>644</v>
      </c>
      <c r="I12" s="29">
        <f t="shared" si="5"/>
        <v>1934270.67</v>
      </c>
      <c r="J12" s="29">
        <f t="shared" si="5"/>
        <v>0</v>
      </c>
      <c r="K12" s="29">
        <f t="shared" si="5"/>
        <v>0</v>
      </c>
      <c r="L12" s="29">
        <f t="shared" si="5"/>
        <v>0</v>
      </c>
      <c r="M12" s="29">
        <f t="shared" si="5"/>
        <v>1694127.54</v>
      </c>
      <c r="N12" s="29">
        <f t="shared" si="5"/>
        <v>0</v>
      </c>
      <c r="O12" s="29">
        <f t="shared" si="5"/>
        <v>0</v>
      </c>
      <c r="P12" s="29">
        <f t="shared" si="5"/>
        <v>0</v>
      </c>
      <c r="Q12" s="29">
        <f t="shared" si="5"/>
        <v>1773957.95</v>
      </c>
      <c r="R12" s="29">
        <f t="shared" si="5"/>
        <v>0</v>
      </c>
      <c r="S12" s="29">
        <f t="shared" si="5"/>
        <v>0</v>
      </c>
      <c r="T12" s="29">
        <f t="shared" si="5"/>
        <v>0</v>
      </c>
      <c r="U12" s="29">
        <f t="shared" si="5"/>
        <v>1671581.8</v>
      </c>
      <c r="V12" s="29">
        <f t="shared" si="5"/>
        <v>0</v>
      </c>
      <c r="W12" s="29">
        <f t="shared" si="5"/>
        <v>0</v>
      </c>
      <c r="X12" s="29">
        <f t="shared" si="5"/>
        <v>0</v>
      </c>
      <c r="Y12" s="29">
        <f t="shared" si="5"/>
        <v>1524320.62</v>
      </c>
      <c r="Z12" s="29">
        <f t="shared" si="5"/>
        <v>0</v>
      </c>
      <c r="AA12" s="29">
        <f t="shared" si="5"/>
        <v>0</v>
      </c>
      <c r="AB12" s="29">
        <f t="shared" si="5"/>
        <v>0</v>
      </c>
      <c r="AC12" s="29">
        <f t="shared" si="5"/>
        <v>1535401.62</v>
      </c>
      <c r="AD12" s="29">
        <f t="shared" si="5"/>
        <v>0</v>
      </c>
      <c r="AE12" s="29">
        <f t="shared" si="5"/>
        <v>0</v>
      </c>
      <c r="AF12" s="29">
        <f t="shared" si="5"/>
        <v>0</v>
      </c>
      <c r="AG12" s="29">
        <f t="shared" si="5"/>
        <v>1457507.45</v>
      </c>
      <c r="AH12" s="29">
        <f t="shared" si="5"/>
        <v>0</v>
      </c>
      <c r="AI12" s="29">
        <f t="shared" si="5"/>
        <v>0</v>
      </c>
      <c r="AJ12" s="29">
        <f t="shared" si="5"/>
        <v>0</v>
      </c>
      <c r="AK12" s="29">
        <f t="shared" si="5"/>
        <v>1607991.67</v>
      </c>
      <c r="AL12" s="29">
        <f t="shared" si="5"/>
        <v>0</v>
      </c>
      <c r="AM12" s="29">
        <f t="shared" si="5"/>
        <v>0</v>
      </c>
      <c r="AN12" s="29">
        <f t="shared" si="5"/>
        <v>0</v>
      </c>
      <c r="AO12" s="29">
        <f t="shared" si="5"/>
        <v>3107542.74</v>
      </c>
      <c r="AP12" s="29">
        <f t="shared" si="5"/>
        <v>0</v>
      </c>
      <c r="AQ12" s="29">
        <f t="shared" si="5"/>
        <v>0</v>
      </c>
      <c r="AR12" s="29">
        <f t="shared" si="5"/>
        <v>0</v>
      </c>
      <c r="AS12" s="29">
        <f t="shared" si="5"/>
        <v>1408087.24</v>
      </c>
      <c r="AT12" s="29">
        <f t="shared" si="5"/>
        <v>0</v>
      </c>
      <c r="AU12" s="29">
        <f t="shared" si="5"/>
        <v>0</v>
      </c>
      <c r="AV12" s="29">
        <f t="shared" si="5"/>
        <v>0</v>
      </c>
      <c r="AW12" s="29">
        <f t="shared" si="5"/>
        <v>1017160.32</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393</v>
      </c>
      <c r="B13" s="188">
        <v>861305.53</v>
      </c>
      <c r="C13" s="188">
        <v>341475.87</v>
      </c>
      <c r="D13" s="188">
        <v>145843.23000000001</v>
      </c>
      <c r="E13" s="188">
        <v>3006290.32</v>
      </c>
      <c r="F13" s="188">
        <v>2707152.91</v>
      </c>
      <c r="G13" s="188">
        <v>3740289.95</v>
      </c>
      <c r="H13" s="188">
        <v>1985191.94</v>
      </c>
      <c r="I13" s="188">
        <v>5841850.0199999996</v>
      </c>
      <c r="J13" s="188">
        <v>3001098.68</v>
      </c>
      <c r="K13" s="188">
        <v>803591.58</v>
      </c>
      <c r="L13" s="188">
        <v>367653.5</v>
      </c>
      <c r="M13" s="188">
        <v>6011659.1299999999</v>
      </c>
      <c r="N13" s="188">
        <v>4065867.05</v>
      </c>
      <c r="O13" s="188">
        <v>3502632.53</v>
      </c>
      <c r="P13" s="188">
        <v>638855.41</v>
      </c>
      <c r="Q13" s="188">
        <v>4310474.68</v>
      </c>
      <c r="R13" s="188">
        <v>1760130.99</v>
      </c>
      <c r="S13" s="188">
        <v>987583.83</v>
      </c>
      <c r="T13" s="188">
        <v>638583.05000000005</v>
      </c>
      <c r="U13" s="188">
        <v>7725338.71</v>
      </c>
      <c r="V13" s="188">
        <v>4084840.3</v>
      </c>
      <c r="W13" s="188">
        <v>3429068.48</v>
      </c>
      <c r="X13" s="188">
        <v>411463</v>
      </c>
      <c r="Y13" s="188">
        <v>9403950.8699999992</v>
      </c>
      <c r="Z13" s="188">
        <v>3181393.05</v>
      </c>
      <c r="AA13" s="188">
        <v>2748070.14</v>
      </c>
      <c r="AB13" s="188">
        <v>773318.41</v>
      </c>
      <c r="AC13" s="188">
        <v>22621853.66</v>
      </c>
      <c r="AD13" s="188">
        <v>4058070.08</v>
      </c>
      <c r="AE13" s="188">
        <v>3871069.23</v>
      </c>
      <c r="AF13" s="188">
        <v>3079392.69</v>
      </c>
      <c r="AG13" s="188">
        <v>6948447.6900000004</v>
      </c>
      <c r="AH13" s="188">
        <v>2655199</v>
      </c>
      <c r="AI13" s="188">
        <v>1624676.77</v>
      </c>
      <c r="AJ13" s="188">
        <v>240412.02</v>
      </c>
      <c r="AK13" s="188">
        <v>6365416.8099999996</v>
      </c>
      <c r="AL13" s="188">
        <v>2137703.41</v>
      </c>
      <c r="AM13" s="188">
        <v>1425480.13</v>
      </c>
      <c r="AN13" s="188">
        <v>352210.12</v>
      </c>
      <c r="AO13" s="188">
        <v>19332421.16</v>
      </c>
      <c r="AP13" s="188">
        <v>5922551.9500000002</v>
      </c>
      <c r="AQ13" s="188">
        <v>4341372.7699999996</v>
      </c>
      <c r="AR13" s="188">
        <v>794490.93</v>
      </c>
      <c r="AS13" s="188">
        <v>7018181.1100000003</v>
      </c>
      <c r="AT13" s="188">
        <v>5297757.59</v>
      </c>
      <c r="AU13" s="188">
        <v>1550675.96</v>
      </c>
      <c r="AV13" s="188">
        <v>406479.2</v>
      </c>
      <c r="AW13" s="188">
        <v>3768539.84</v>
      </c>
      <c r="AX13" s="188">
        <v>824046.5</v>
      </c>
      <c r="AY13" s="188">
        <v>234161.43</v>
      </c>
      <c r="AZ13" s="188">
        <v>155532.32999999999</v>
      </c>
      <c r="BA13" s="188">
        <v>945602.19</v>
      </c>
      <c r="BB13" s="188">
        <v>804376</v>
      </c>
      <c r="BC13" s="188">
        <v>197276.12</v>
      </c>
      <c r="BD13" s="188">
        <v>165025.88</v>
      </c>
      <c r="BE13" s="188">
        <v>1447245.89</v>
      </c>
      <c r="BF13" s="188">
        <v>1347852.98</v>
      </c>
      <c r="BG13" s="188">
        <v>287119.3</v>
      </c>
      <c r="BH13" s="188">
        <v>94442.94</v>
      </c>
      <c r="BI13" s="188">
        <v>2422773.23</v>
      </c>
      <c r="BJ13" s="188">
        <v>410183.73</v>
      </c>
      <c r="BK13" s="188">
        <v>184521.56</v>
      </c>
      <c r="BL13" s="188">
        <v>26912.55</v>
      </c>
      <c r="BM13" s="188">
        <v>219035.31</v>
      </c>
      <c r="BN13" s="188">
        <v>212747.07</v>
      </c>
      <c r="BO13" s="188">
        <v>209672.19</v>
      </c>
      <c r="BP13" s="188">
        <v>111076.01</v>
      </c>
      <c r="BQ13" s="188">
        <v>97411.17</v>
      </c>
      <c r="BR13" s="188">
        <v>360155.93</v>
      </c>
      <c r="BS13" s="188">
        <v>56972.32</v>
      </c>
      <c r="BT13" s="188">
        <v>0</v>
      </c>
      <c r="BU13" s="188"/>
      <c r="BV13" s="188"/>
      <c r="BW13" s="188"/>
      <c r="BX13" s="188"/>
      <c r="BY13" s="188"/>
      <c r="BZ13" s="188"/>
      <c r="CA13" s="188"/>
      <c r="CB13" s="188"/>
      <c r="CC13" s="188"/>
      <c r="CD13" s="188"/>
      <c r="CE13" s="188"/>
      <c r="CF13" s="188"/>
      <c r="CG13" s="188"/>
      <c r="CH13" s="188"/>
      <c r="CI13" s="188"/>
      <c r="CJ13" s="188"/>
      <c r="CK13" s="188"/>
    </row>
    <row r="14" spans="1:89">
      <c r="A14" s="17" t="s">
        <v>394</v>
      </c>
      <c r="B14" s="188">
        <v>22301820.52</v>
      </c>
      <c r="C14" s="188">
        <v>17492169.73</v>
      </c>
      <c r="D14" s="188">
        <v>348717.33</v>
      </c>
      <c r="E14" s="188">
        <v>9305509.7100000009</v>
      </c>
      <c r="F14" s="188">
        <v>5476706.8600000003</v>
      </c>
      <c r="G14" s="188">
        <v>3622047.01</v>
      </c>
      <c r="H14" s="188">
        <v>1571584.3</v>
      </c>
      <c r="I14" s="188">
        <v>21255601.579999998</v>
      </c>
      <c r="J14" s="188">
        <v>19327642.699999999</v>
      </c>
      <c r="K14" s="188">
        <v>13028259.09</v>
      </c>
      <c r="L14" s="188">
        <v>2267644.59</v>
      </c>
      <c r="M14" s="188">
        <v>8544734.2400000002</v>
      </c>
      <c r="N14" s="188">
        <v>6745250.3399999999</v>
      </c>
      <c r="O14" s="188">
        <v>2953398.88</v>
      </c>
      <c r="P14" s="188">
        <v>363243.49</v>
      </c>
      <c r="Q14" s="188">
        <v>6534767.8200000003</v>
      </c>
      <c r="R14" s="188">
        <v>2152621.42</v>
      </c>
      <c r="S14" s="188">
        <v>967557.28</v>
      </c>
      <c r="T14" s="188">
        <v>478910.16</v>
      </c>
      <c r="U14" s="188">
        <v>4436503.29</v>
      </c>
      <c r="V14" s="188">
        <v>1054780.1000000001</v>
      </c>
      <c r="W14" s="188">
        <v>464563.93</v>
      </c>
      <c r="X14" s="188">
        <v>279512.89</v>
      </c>
      <c r="Y14" s="188">
        <v>2686870.34</v>
      </c>
      <c r="Z14" s="188">
        <v>1367878.03</v>
      </c>
      <c r="AA14" s="188">
        <v>385614.15</v>
      </c>
      <c r="AB14" s="188">
        <v>242423.13</v>
      </c>
      <c r="AC14" s="188">
        <v>3994298.24</v>
      </c>
      <c r="AD14" s="188">
        <v>4748380.5599999996</v>
      </c>
      <c r="AE14" s="188">
        <v>1086719.56</v>
      </c>
      <c r="AF14" s="188">
        <v>252367.78</v>
      </c>
      <c r="AG14" s="188">
        <v>2665198.3199999998</v>
      </c>
      <c r="AH14" s="188">
        <v>2395823.35</v>
      </c>
      <c r="AI14" s="188">
        <v>2194256.06</v>
      </c>
      <c r="AJ14" s="188">
        <v>1470174.92</v>
      </c>
      <c r="AK14" s="188">
        <v>11500331.140000001</v>
      </c>
      <c r="AL14" s="188">
        <v>3959302.37</v>
      </c>
      <c r="AM14" s="188">
        <v>1056013.47</v>
      </c>
      <c r="AN14" s="188">
        <v>12641.04</v>
      </c>
      <c r="AO14" s="188">
        <v>2242035.4900000002</v>
      </c>
      <c r="AP14" s="188">
        <v>2229298.69</v>
      </c>
      <c r="AQ14" s="188">
        <v>1776977.54</v>
      </c>
      <c r="AR14" s="188">
        <v>459582.85</v>
      </c>
      <c r="AS14" s="188">
        <v>2182875.71</v>
      </c>
      <c r="AT14" s="188">
        <v>1547335.34</v>
      </c>
      <c r="AU14" s="188">
        <v>1250333.27</v>
      </c>
      <c r="AV14" s="188">
        <v>230043.27</v>
      </c>
      <c r="AW14" s="188">
        <v>1288092.21</v>
      </c>
      <c r="AX14" s="188">
        <v>473104.35</v>
      </c>
      <c r="AY14" s="188">
        <v>304835.15000000002</v>
      </c>
      <c r="AZ14" s="188">
        <v>196695.77</v>
      </c>
      <c r="BA14" s="188">
        <v>1282347.7</v>
      </c>
      <c r="BB14" s="188">
        <v>844148.74</v>
      </c>
      <c r="BC14" s="188">
        <v>261532.58</v>
      </c>
      <c r="BD14" s="188">
        <v>5182.58</v>
      </c>
      <c r="BE14" s="188">
        <v>2006306.44</v>
      </c>
      <c r="BF14" s="188">
        <v>1310855</v>
      </c>
      <c r="BG14" s="188">
        <v>521390.8</v>
      </c>
      <c r="BH14" s="188">
        <v>386764.16</v>
      </c>
      <c r="BI14" s="188">
        <v>220775.41</v>
      </c>
      <c r="BJ14" s="188">
        <v>-82506.83</v>
      </c>
      <c r="BK14" s="188">
        <v>-145238.81</v>
      </c>
      <c r="BL14" s="188">
        <v>-157628.26</v>
      </c>
      <c r="BM14" s="188">
        <v>803482.47</v>
      </c>
      <c r="BN14" s="188">
        <v>506871.12</v>
      </c>
      <c r="BO14" s="188">
        <v>259641.62</v>
      </c>
      <c r="BP14" s="188">
        <v>1519049.58</v>
      </c>
      <c r="BQ14" s="188">
        <v>304772.07</v>
      </c>
      <c r="BR14" s="188">
        <v>949640.05</v>
      </c>
      <c r="BS14" s="188">
        <v>1016673.5</v>
      </c>
      <c r="BT14" s="188">
        <v>0</v>
      </c>
      <c r="BU14" s="188"/>
      <c r="BV14" s="188"/>
      <c r="BW14" s="188"/>
      <c r="BX14" s="188"/>
      <c r="BY14" s="188"/>
      <c r="BZ14" s="188"/>
      <c r="CA14" s="188"/>
      <c r="CB14" s="188"/>
      <c r="CC14" s="188"/>
      <c r="CD14" s="188"/>
      <c r="CE14" s="188"/>
      <c r="CF14" s="188"/>
      <c r="CG14" s="188"/>
      <c r="CH14" s="188"/>
      <c r="CI14" s="188"/>
      <c r="CJ14" s="188"/>
      <c r="CK14" s="188"/>
    </row>
    <row r="15" spans="1:89" s="2" customFormat="1">
      <c r="A15" s="20" t="s">
        <v>397</v>
      </c>
      <c r="B15" s="28">
        <f>B6-(B8+B9+B10+B11+B12)+B13-B14</f>
        <v>313761303.60000014</v>
      </c>
      <c r="C15" s="28">
        <f t="shared" ref="C15:BN15" si="7">C6-(C8+C9+C10+C11+C12)+C13-C14</f>
        <v>174948069.94</v>
      </c>
      <c r="D15" s="28">
        <f t="shared" si="7"/>
        <v>107620788.05</v>
      </c>
      <c r="E15" s="28">
        <f t="shared" si="7"/>
        <v>298165037.69000012</v>
      </c>
      <c r="F15" s="28">
        <f t="shared" si="7"/>
        <v>233777558.64999989</v>
      </c>
      <c r="G15" s="28">
        <f t="shared" si="7"/>
        <v>154385890.26000002</v>
      </c>
      <c r="H15" s="28">
        <f t="shared" si="7"/>
        <v>75506518.679999933</v>
      </c>
      <c r="I15" s="28">
        <f t="shared" si="7"/>
        <v>219153506.98000002</v>
      </c>
      <c r="J15" s="28">
        <f t="shared" si="7"/>
        <v>174135746.55999988</v>
      </c>
      <c r="K15" s="28">
        <f t="shared" si="7"/>
        <v>115612533.79000001</v>
      </c>
      <c r="L15" s="28">
        <f t="shared" si="7"/>
        <v>50783813.919999987</v>
      </c>
      <c r="M15" s="28">
        <f t="shared" si="7"/>
        <v>187579033.93999988</v>
      </c>
      <c r="N15" s="28">
        <f t="shared" si="7"/>
        <v>148858345.13000003</v>
      </c>
      <c r="O15" s="28">
        <f t="shared" si="7"/>
        <v>95247502.910000056</v>
      </c>
      <c r="P15" s="28">
        <f t="shared" si="7"/>
        <v>43262817.460000016</v>
      </c>
      <c r="Q15" s="28">
        <f t="shared" si="7"/>
        <v>169693944.40000004</v>
      </c>
      <c r="R15" s="28">
        <f t="shared" si="7"/>
        <v>132862066.88999994</v>
      </c>
      <c r="S15" s="28">
        <f t="shared" si="7"/>
        <v>91471762.789999992</v>
      </c>
      <c r="T15" s="28">
        <f t="shared" si="7"/>
        <v>41488978.469999991</v>
      </c>
      <c r="U15" s="28">
        <f t="shared" si="7"/>
        <v>173109460.62999988</v>
      </c>
      <c r="V15" s="28">
        <f t="shared" si="7"/>
        <v>141248930.54000002</v>
      </c>
      <c r="W15" s="28">
        <f t="shared" si="7"/>
        <v>94777077.440000102</v>
      </c>
      <c r="X15" s="28">
        <f t="shared" si="7"/>
        <v>43953235.650000028</v>
      </c>
      <c r="Y15" s="28">
        <f t="shared" si="7"/>
        <v>164708018.79999995</v>
      </c>
      <c r="Z15" s="28">
        <f t="shared" si="7"/>
        <v>132087051.58000009</v>
      </c>
      <c r="AA15" s="28">
        <f t="shared" si="7"/>
        <v>86746943.600000039</v>
      </c>
      <c r="AB15" s="28">
        <f t="shared" si="7"/>
        <v>37861068.900000006</v>
      </c>
      <c r="AC15" s="28">
        <f t="shared" si="7"/>
        <v>164265918.77999991</v>
      </c>
      <c r="AD15" s="28">
        <f t="shared" si="7"/>
        <v>142886691.66999999</v>
      </c>
      <c r="AE15" s="28">
        <f t="shared" si="7"/>
        <v>101746684.65000007</v>
      </c>
      <c r="AF15" s="28">
        <f t="shared" si="7"/>
        <v>54528911.100000001</v>
      </c>
      <c r="AG15" s="28">
        <f t="shared" si="7"/>
        <v>211491509.18000007</v>
      </c>
      <c r="AH15" s="28">
        <f t="shared" si="7"/>
        <v>174444458.89999995</v>
      </c>
      <c r="AI15" s="28">
        <f t="shared" si="7"/>
        <v>114105719.77000004</v>
      </c>
      <c r="AJ15" s="28">
        <f t="shared" si="7"/>
        <v>53674389.279999971</v>
      </c>
      <c r="AK15" s="28">
        <f t="shared" si="7"/>
        <v>173509996.91000015</v>
      </c>
      <c r="AL15" s="28">
        <f t="shared" si="7"/>
        <v>133135689.68999994</v>
      </c>
      <c r="AM15" s="28">
        <f t="shared" si="7"/>
        <v>87898813.559999973</v>
      </c>
      <c r="AN15" s="28">
        <f t="shared" si="7"/>
        <v>44374871.230000019</v>
      </c>
      <c r="AO15" s="28">
        <f t="shared" si="7"/>
        <v>164134375.39000002</v>
      </c>
      <c r="AP15" s="28">
        <f t="shared" si="7"/>
        <v>135194926.36999992</v>
      </c>
      <c r="AQ15" s="28">
        <f t="shared" si="7"/>
        <v>88222189.900000051</v>
      </c>
      <c r="AR15" s="28">
        <f t="shared" si="7"/>
        <v>39547084.32</v>
      </c>
      <c r="AS15" s="28">
        <f t="shared" si="7"/>
        <v>164339206.73999995</v>
      </c>
      <c r="AT15" s="28">
        <f t="shared" si="7"/>
        <v>640117581.46000004</v>
      </c>
      <c r="AU15" s="28">
        <f t="shared" si="7"/>
        <v>80541050.330000013</v>
      </c>
      <c r="AV15" s="28">
        <f t="shared" si="7"/>
        <v>36891883.199999988</v>
      </c>
      <c r="AW15" s="28">
        <f t="shared" si="7"/>
        <v>152104541.17000008</v>
      </c>
      <c r="AX15" s="28">
        <f t="shared" si="7"/>
        <v>115011953.59999993</v>
      </c>
      <c r="AY15" s="28">
        <f t="shared" si="7"/>
        <v>74549903.339999974</v>
      </c>
      <c r="AZ15" s="28">
        <f t="shared" si="7"/>
        <v>36180462.309999995</v>
      </c>
      <c r="BA15" s="28">
        <f t="shared" si="7"/>
        <v>129905748.72000001</v>
      </c>
      <c r="BB15" s="28">
        <f t="shared" si="7"/>
        <v>97052169.910000011</v>
      </c>
      <c r="BC15" s="28">
        <f t="shared" si="7"/>
        <v>65827098.550000034</v>
      </c>
      <c r="BD15" s="28">
        <f t="shared" si="7"/>
        <v>32645388.669999987</v>
      </c>
      <c r="BE15" s="28">
        <f t="shared" si="7"/>
        <v>114529058.60999998</v>
      </c>
      <c r="BF15" s="28">
        <f t="shared" si="7"/>
        <v>81130515.14000003</v>
      </c>
      <c r="BG15" s="28">
        <f t="shared" si="7"/>
        <v>53225800.690000013</v>
      </c>
      <c r="BH15" s="28">
        <f t="shared" si="7"/>
        <v>25258925.049999997</v>
      </c>
      <c r="BI15" s="28">
        <f t="shared" si="7"/>
        <v>104188770.33000006</v>
      </c>
      <c r="BJ15" s="28">
        <f t="shared" si="7"/>
        <v>74202212.24999997</v>
      </c>
      <c r="BK15" s="28">
        <f t="shared" si="7"/>
        <v>51447864.390000001</v>
      </c>
      <c r="BL15" s="28">
        <f t="shared" si="7"/>
        <v>20192689.510000005</v>
      </c>
      <c r="BM15" s="28">
        <f t="shared" si="7"/>
        <v>88123203.01000002</v>
      </c>
      <c r="BN15" s="28">
        <f t="shared" si="7"/>
        <v>62569296.900000021</v>
      </c>
      <c r="BO15" s="28">
        <f t="shared" ref="BO15:CJ15" si="8">BO6-(BO8+BO9+BO10+BO11+BO12)+BO13-BO14</f>
        <v>41842502.159999989</v>
      </c>
      <c r="BP15" s="28">
        <f t="shared" si="8"/>
        <v>66394244.170000032</v>
      </c>
      <c r="BQ15" s="28">
        <f t="shared" si="8"/>
        <v>32235635.69000002</v>
      </c>
      <c r="BR15" s="28">
        <f t="shared" si="8"/>
        <v>49945561.210000016</v>
      </c>
      <c r="BS15" s="28">
        <f t="shared" si="8"/>
        <v>47239134.959999986</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395</v>
      </c>
      <c r="B16" s="26">
        <f>B15*B41</f>
        <v>40763516.266120613</v>
      </c>
      <c r="C16" s="26">
        <f t="shared" ref="C16:BN16" si="9">C15*C41</f>
        <v>27008932.842729907</v>
      </c>
      <c r="D16" s="26">
        <f t="shared" si="9"/>
        <v>16448770.176697334</v>
      </c>
      <c r="E16" s="26">
        <f t="shared" si="9"/>
        <v>50247649.735030584</v>
      </c>
      <c r="F16" s="26">
        <f t="shared" si="9"/>
        <v>38509917.253308028</v>
      </c>
      <c r="G16" s="26">
        <f t="shared" si="9"/>
        <v>25336901.452414937</v>
      </c>
      <c r="H16" s="26">
        <f t="shared" si="9"/>
        <v>12146084.485977681</v>
      </c>
      <c r="I16" s="26">
        <f t="shared" si="9"/>
        <v>43554396.21156121</v>
      </c>
      <c r="J16" s="26">
        <f t="shared" si="9"/>
        <v>49482327.371652126</v>
      </c>
      <c r="K16" s="26">
        <f t="shared" si="9"/>
        <v>32637728.949109703</v>
      </c>
      <c r="L16" s="26">
        <f t="shared" si="9"/>
        <v>13184644.979107654</v>
      </c>
      <c r="M16" s="26">
        <f t="shared" si="9"/>
        <v>48029344.55842004</v>
      </c>
      <c r="N16" s="26">
        <f t="shared" si="9"/>
        <v>37360267.721825317</v>
      </c>
      <c r="O16" s="26">
        <f t="shared" si="9"/>
        <v>23859272.393667627</v>
      </c>
      <c r="P16" s="26">
        <f t="shared" si="9"/>
        <v>10750890.59795182</v>
      </c>
      <c r="Q16" s="26">
        <f t="shared" si="9"/>
        <v>45218575.051695064</v>
      </c>
      <c r="R16" s="26">
        <f t="shared" si="9"/>
        <v>34151366.541465439</v>
      </c>
      <c r="S16" s="26">
        <f t="shared" si="9"/>
        <v>23117991.748801082</v>
      </c>
      <c r="T16" s="26">
        <f t="shared" si="9"/>
        <v>10755530.676001333</v>
      </c>
      <c r="U16" s="26">
        <f t="shared" si="9"/>
        <v>46094245.770273656</v>
      </c>
      <c r="V16" s="26">
        <f t="shared" si="9"/>
        <v>32824506.813201122</v>
      </c>
      <c r="W16" s="26">
        <f t="shared" si="9"/>
        <v>22902017.284443446</v>
      </c>
      <c r="X16" s="26">
        <f t="shared" si="9"/>
        <v>10332361.154591592</v>
      </c>
      <c r="Y16" s="26">
        <f t="shared" si="9"/>
        <v>42113339.882150531</v>
      </c>
      <c r="Z16" s="26">
        <f t="shared" si="9"/>
        <v>34041055.874263734</v>
      </c>
      <c r="AA16" s="26">
        <f t="shared" si="9"/>
        <v>22460171.306888778</v>
      </c>
      <c r="AB16" s="26">
        <f t="shared" si="9"/>
        <v>9394101.48863017</v>
      </c>
      <c r="AC16" s="26">
        <f t="shared" si="9"/>
        <v>34350725.915031828</v>
      </c>
      <c r="AD16" s="26">
        <f t="shared" si="9"/>
        <v>30585320.950806051</v>
      </c>
      <c r="AE16" s="26">
        <f t="shared" si="9"/>
        <v>20012439.335785337</v>
      </c>
      <c r="AF16" s="26">
        <f t="shared" si="9"/>
        <v>13904865.583598863</v>
      </c>
      <c r="AG16" s="26">
        <f t="shared" si="9"/>
        <v>36522615.867256641</v>
      </c>
      <c r="AH16" s="26">
        <f t="shared" si="9"/>
        <v>28205081.630149439</v>
      </c>
      <c r="AI16" s="26">
        <f t="shared" si="9"/>
        <v>17745578.006996043</v>
      </c>
      <c r="AJ16" s="26">
        <f t="shared" si="9"/>
        <v>8067581.1865925258</v>
      </c>
      <c r="AK16" s="26">
        <f t="shared" si="9"/>
        <v>28688538.315262515</v>
      </c>
      <c r="AL16" s="26">
        <f t="shared" si="9"/>
        <v>23663654.07848721</v>
      </c>
      <c r="AM16" s="26">
        <f t="shared" si="9"/>
        <v>15356961.128580764</v>
      </c>
      <c r="AN16" s="26">
        <f t="shared" si="9"/>
        <v>6724783.4248004267</v>
      </c>
      <c r="AO16" s="26">
        <f t="shared" si="9"/>
        <v>25117468.100058801</v>
      </c>
      <c r="AP16" s="26">
        <f t="shared" si="9"/>
        <v>31144247.797216311</v>
      </c>
      <c r="AQ16" s="26">
        <f t="shared" si="9"/>
        <v>19394897.568461388</v>
      </c>
      <c r="AR16" s="26">
        <f t="shared" si="9"/>
        <v>10038985.716099981</v>
      </c>
      <c r="AS16" s="26">
        <f t="shared" si="9"/>
        <v>49950563.549158379</v>
      </c>
      <c r="AT16" s="26">
        <f t="shared" si="9"/>
        <v>34195966.107453518</v>
      </c>
      <c r="AU16" s="26">
        <f t="shared" si="9"/>
        <v>23520061.627100687</v>
      </c>
      <c r="AV16" s="26">
        <f t="shared" si="9"/>
        <v>10997336.003419727</v>
      </c>
      <c r="AW16" s="26">
        <f t="shared" si="9"/>
        <v>52428365.882718831</v>
      </c>
      <c r="AX16" s="26">
        <f t="shared" si="9"/>
        <v>34296757.777040757</v>
      </c>
      <c r="AY16" s="26">
        <f t="shared" si="9"/>
        <v>21503837.2607195</v>
      </c>
      <c r="AZ16" s="26">
        <f t="shared" si="9"/>
        <v>11651217.206500707</v>
      </c>
      <c r="BA16" s="26">
        <f t="shared" si="9"/>
        <v>41824690.281111941</v>
      </c>
      <c r="BB16" s="26">
        <f t="shared" si="9"/>
        <v>30713795.806832731</v>
      </c>
      <c r="BC16" s="26">
        <f t="shared" si="9"/>
        <v>21792169.944297269</v>
      </c>
      <c r="BD16" s="26">
        <f t="shared" si="9"/>
        <v>10653205.671121383</v>
      </c>
      <c r="BE16" s="26">
        <f t="shared" si="9"/>
        <v>39908181.945499621</v>
      </c>
      <c r="BF16" s="26">
        <f t="shared" si="9"/>
        <v>26700798.737115063</v>
      </c>
      <c r="BG16" s="26">
        <f t="shared" si="9"/>
        <v>18058990.969025951</v>
      </c>
      <c r="BH16" s="26">
        <f t="shared" si="9"/>
        <v>8512435.3968506232</v>
      </c>
      <c r="BI16" s="26">
        <f t="shared" si="9"/>
        <v>36009304.453755319</v>
      </c>
      <c r="BJ16" s="26">
        <f t="shared" si="9"/>
        <v>24288631.578629512</v>
      </c>
      <c r="BK16" s="26">
        <f t="shared" si="9"/>
        <v>16829203.380166866</v>
      </c>
      <c r="BL16" s="26">
        <f t="shared" si="9"/>
        <v>6892811.8282051086</v>
      </c>
      <c r="BM16" s="26">
        <f t="shared" si="9"/>
        <v>26069439.311925706</v>
      </c>
      <c r="BN16" s="26">
        <f t="shared" si="9"/>
        <v>19262904.408154562</v>
      </c>
      <c r="BO16" s="26">
        <f t="shared" ref="BO16:CK16" si="10">BO15*BO41</f>
        <v>13077265.291564975</v>
      </c>
      <c r="BP16" s="26">
        <f t="shared" si="10"/>
        <v>20552185.252093647</v>
      </c>
      <c r="BQ16" s="26">
        <f t="shared" si="10"/>
        <v>11213907.925740644</v>
      </c>
      <c r="BR16" s="26">
        <f t="shared" si="10"/>
        <v>15421413.078534784</v>
      </c>
      <c r="BS16" s="26">
        <f t="shared" si="10"/>
        <v>14501285.768132156</v>
      </c>
      <c r="BT16" s="26" t="e">
        <f t="shared" si="10"/>
        <v>#DIV/0!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396</v>
      </c>
      <c r="B17" s="27">
        <f>B15-B16</f>
        <v>272997787.33387953</v>
      </c>
      <c r="C17" s="27">
        <f t="shared" ref="C17:BN17" si="11">C15-C16</f>
        <v>147939137.0972701</v>
      </c>
      <c r="D17" s="27">
        <f t="shared" si="11"/>
        <v>91172017.873302668</v>
      </c>
      <c r="E17" s="27">
        <f t="shared" si="11"/>
        <v>247917387.95496953</v>
      </c>
      <c r="F17" s="27">
        <f t="shared" si="11"/>
        <v>195267641.39669186</v>
      </c>
      <c r="G17" s="27">
        <f t="shared" si="11"/>
        <v>129048988.80758509</v>
      </c>
      <c r="H17" s="27">
        <f t="shared" si="11"/>
        <v>63360434.194022253</v>
      </c>
      <c r="I17" s="27">
        <f t="shared" si="11"/>
        <v>175599110.76843882</v>
      </c>
      <c r="J17" s="27">
        <f t="shared" si="11"/>
        <v>124653419.18834776</v>
      </c>
      <c r="K17" s="27">
        <f t="shared" si="11"/>
        <v>82974804.840890303</v>
      </c>
      <c r="L17" s="27">
        <f t="shared" si="11"/>
        <v>37599168.940892331</v>
      </c>
      <c r="M17" s="27">
        <f t="shared" si="11"/>
        <v>139549689.38157985</v>
      </c>
      <c r="N17" s="27">
        <f t="shared" si="11"/>
        <v>111498077.40817471</v>
      </c>
      <c r="O17" s="27">
        <f t="shared" si="11"/>
        <v>71388230.516332433</v>
      </c>
      <c r="P17" s="27">
        <f t="shared" si="11"/>
        <v>32511926.862048194</v>
      </c>
      <c r="Q17" s="27">
        <f t="shared" si="11"/>
        <v>124475369.34830497</v>
      </c>
      <c r="R17" s="27">
        <f t="shared" si="11"/>
        <v>98710700.348534495</v>
      </c>
      <c r="S17" s="27">
        <f t="shared" si="11"/>
        <v>68353771.041198909</v>
      </c>
      <c r="T17" s="27">
        <f t="shared" si="11"/>
        <v>30733447.793998659</v>
      </c>
      <c r="U17" s="27">
        <f t="shared" si="11"/>
        <v>127015214.85972622</v>
      </c>
      <c r="V17" s="27">
        <f t="shared" si="11"/>
        <v>108424423.72679889</v>
      </c>
      <c r="W17" s="27">
        <f t="shared" si="11"/>
        <v>71875060.155556649</v>
      </c>
      <c r="X17" s="27">
        <f t="shared" si="11"/>
        <v>33620874.495408438</v>
      </c>
      <c r="Y17" s="27">
        <f t="shared" si="11"/>
        <v>122594678.91784942</v>
      </c>
      <c r="Z17" s="27">
        <f t="shared" si="11"/>
        <v>98045995.705736354</v>
      </c>
      <c r="AA17" s="27">
        <f t="shared" si="11"/>
        <v>64286772.293111265</v>
      </c>
      <c r="AB17" s="27">
        <f t="shared" si="11"/>
        <v>28466967.411369838</v>
      </c>
      <c r="AC17" s="27">
        <f t="shared" si="11"/>
        <v>129915192.86496809</v>
      </c>
      <c r="AD17" s="27">
        <f t="shared" si="11"/>
        <v>112301370.71919394</v>
      </c>
      <c r="AE17" s="27">
        <f t="shared" si="11"/>
        <v>81734245.314214736</v>
      </c>
      <c r="AF17" s="27">
        <f t="shared" si="11"/>
        <v>40624045.516401142</v>
      </c>
      <c r="AG17" s="27">
        <f t="shared" si="11"/>
        <v>174968893.31274343</v>
      </c>
      <c r="AH17" s="27">
        <f t="shared" si="11"/>
        <v>146239377.26985049</v>
      </c>
      <c r="AI17" s="27">
        <f t="shared" si="11"/>
        <v>96360141.763004005</v>
      </c>
      <c r="AJ17" s="27">
        <f t="shared" si="11"/>
        <v>45606808.093407445</v>
      </c>
      <c r="AK17" s="27">
        <f t="shared" si="11"/>
        <v>144821458.59473762</v>
      </c>
      <c r="AL17" s="27">
        <f t="shared" si="11"/>
        <v>109472035.61151272</v>
      </c>
      <c r="AM17" s="27">
        <f t="shared" si="11"/>
        <v>72541852.431419209</v>
      </c>
      <c r="AN17" s="27">
        <f t="shared" si="11"/>
        <v>37650087.805199593</v>
      </c>
      <c r="AO17" s="27">
        <f t="shared" si="11"/>
        <v>139016907.28994122</v>
      </c>
      <c r="AP17" s="27">
        <f t="shared" si="11"/>
        <v>104050678.5727836</v>
      </c>
      <c r="AQ17" s="27">
        <f t="shared" si="11"/>
        <v>68827292.331538662</v>
      </c>
      <c r="AR17" s="27">
        <f t="shared" si="11"/>
        <v>29508098.603900019</v>
      </c>
      <c r="AS17" s="27">
        <f t="shared" si="11"/>
        <v>114388643.19084157</v>
      </c>
      <c r="AT17" s="27">
        <f t="shared" si="11"/>
        <v>605921615.35254657</v>
      </c>
      <c r="AU17" s="27">
        <f t="shared" si="11"/>
        <v>57020988.702899322</v>
      </c>
      <c r="AV17" s="27">
        <f t="shared" si="11"/>
        <v>25894547.196580261</v>
      </c>
      <c r="AW17" s="27">
        <f t="shared" si="11"/>
        <v>99676175.287281245</v>
      </c>
      <c r="AX17" s="27">
        <f t="shared" si="11"/>
        <v>80715195.822959185</v>
      </c>
      <c r="AY17" s="27">
        <f t="shared" si="11"/>
        <v>53046066.079280473</v>
      </c>
      <c r="AZ17" s="27">
        <f t="shared" si="11"/>
        <v>24529245.103499286</v>
      </c>
      <c r="BA17" s="27">
        <f t="shared" si="11"/>
        <v>88081058.438888073</v>
      </c>
      <c r="BB17" s="27">
        <f t="shared" si="11"/>
        <v>66338374.103167281</v>
      </c>
      <c r="BC17" s="27">
        <f t="shared" si="11"/>
        <v>44034928.605702765</v>
      </c>
      <c r="BD17" s="27">
        <f t="shared" si="11"/>
        <v>21992182.998878606</v>
      </c>
      <c r="BE17" s="27">
        <f t="shared" si="11"/>
        <v>74620876.664500356</v>
      </c>
      <c r="BF17" s="27">
        <f t="shared" si="11"/>
        <v>54429716.402884968</v>
      </c>
      <c r="BG17" s="27">
        <f t="shared" si="11"/>
        <v>35166809.720974058</v>
      </c>
      <c r="BH17" s="27">
        <f t="shared" si="11"/>
        <v>16746489.653149374</v>
      </c>
      <c r="BI17" s="27">
        <f t="shared" si="11"/>
        <v>68179465.876244739</v>
      </c>
      <c r="BJ17" s="27">
        <f t="shared" si="11"/>
        <v>49913580.671370462</v>
      </c>
      <c r="BK17" s="27">
        <f t="shared" si="11"/>
        <v>34618661.009833135</v>
      </c>
      <c r="BL17" s="27">
        <f t="shared" si="11"/>
        <v>13299877.681794897</v>
      </c>
      <c r="BM17" s="27">
        <f t="shared" si="11"/>
        <v>62053763.698074311</v>
      </c>
      <c r="BN17" s="27">
        <f t="shared" si="11"/>
        <v>43306392.491845459</v>
      </c>
      <c r="BO17" s="27">
        <f t="shared" ref="BO17:CJ17" si="12">BO15-BO16</f>
        <v>28765236.868435014</v>
      </c>
      <c r="BP17" s="27">
        <f t="shared" si="12"/>
        <v>45842058.917906389</v>
      </c>
      <c r="BQ17" s="27">
        <f t="shared" si="12"/>
        <v>21021727.764259376</v>
      </c>
      <c r="BR17" s="27">
        <f t="shared" si="12"/>
        <v>34524148.131465234</v>
      </c>
      <c r="BS17" s="27">
        <f t="shared" si="12"/>
        <v>32737849.191867828</v>
      </c>
      <c r="BT17" s="27" t="e">
        <f t="shared" si="12"/>
        <v>#DIV/0!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398</v>
      </c>
      <c r="B18" s="57">
        <f>B17/B4*100</f>
        <v>14.213585503315015</v>
      </c>
      <c r="C18" s="57">
        <f t="shared" ref="C18:D18" si="13">C17/C4*100</f>
        <v>11.379001661098314</v>
      </c>
      <c r="D18" s="57">
        <f t="shared" si="13"/>
        <v>14.148282818382537</v>
      </c>
      <c r="E18" s="57">
        <f>E17/E4</f>
        <v>0.10638001592126169</v>
      </c>
      <c r="F18" s="57">
        <f t="shared" ref="F18:BQ18" si="14">F17/F4</f>
        <v>0.11454524629233663</v>
      </c>
      <c r="G18" s="57">
        <f t="shared" si="14"/>
        <v>0.11221286850647082</v>
      </c>
      <c r="H18" s="57">
        <f t="shared" si="14"/>
        <v>0.1102743338480706</v>
      </c>
      <c r="I18" s="57">
        <f t="shared" si="14"/>
        <v>8.5346979366189249E-2</v>
      </c>
      <c r="J18" s="57">
        <f t="shared" si="14"/>
        <v>8.6102524517393059E-2</v>
      </c>
      <c r="K18" s="57">
        <f t="shared" si="14"/>
        <v>8.5450013693500457E-2</v>
      </c>
      <c r="L18" s="57">
        <f t="shared" si="14"/>
        <v>8.3445870150100465E-2</v>
      </c>
      <c r="M18" s="57">
        <f t="shared" si="14"/>
        <v>8.0982537756223369E-2</v>
      </c>
      <c r="N18" s="57">
        <f t="shared" si="14"/>
        <v>8.5064630489387255E-2</v>
      </c>
      <c r="O18" s="57">
        <f t="shared" si="14"/>
        <v>7.9945149100694862E-2</v>
      </c>
      <c r="P18" s="57">
        <f t="shared" si="14"/>
        <v>7.817842218807558E-2</v>
      </c>
      <c r="Q18" s="57">
        <f t="shared" si="14"/>
        <v>7.3605613208075973E-2</v>
      </c>
      <c r="R18" s="57">
        <f t="shared" si="14"/>
        <v>8.0200996509709202E-2</v>
      </c>
      <c r="S18" s="57">
        <f t="shared" si="14"/>
        <v>8.4019709920224769E-2</v>
      </c>
      <c r="T18" s="57">
        <f t="shared" si="14"/>
        <v>7.8798801025699E-2</v>
      </c>
      <c r="U18" s="57">
        <f t="shared" si="14"/>
        <v>8.2234715597187841E-2</v>
      </c>
      <c r="V18" s="57">
        <f t="shared" si="14"/>
        <v>9.6600816739025458E-2</v>
      </c>
      <c r="W18" s="57">
        <f t="shared" si="14"/>
        <v>9.470603297846468E-2</v>
      </c>
      <c r="X18" s="57">
        <f t="shared" si="14"/>
        <v>9.4121841831775382E-2</v>
      </c>
      <c r="Y18" s="57">
        <f t="shared" si="14"/>
        <v>8.3506081017673858E-2</v>
      </c>
      <c r="Z18" s="57">
        <f t="shared" si="14"/>
        <v>9.1516394664689846E-2</v>
      </c>
      <c r="AA18" s="57">
        <f t="shared" si="14"/>
        <v>9.0188083742361633E-2</v>
      </c>
      <c r="AB18" s="57">
        <f t="shared" si="14"/>
        <v>8.6984036838609641E-2</v>
      </c>
      <c r="AC18" s="57">
        <f t="shared" si="14"/>
        <v>9.2983995826959431E-2</v>
      </c>
      <c r="AD18" s="57">
        <f t="shared" si="14"/>
        <v>0.10412099852006089</v>
      </c>
      <c r="AE18" s="57">
        <f t="shared" si="14"/>
        <v>0.11034339548855539</v>
      </c>
      <c r="AF18" s="57">
        <f t="shared" si="14"/>
        <v>0.10859918350627593</v>
      </c>
      <c r="AG18" s="57">
        <f t="shared" si="14"/>
        <v>0.11561171982679147</v>
      </c>
      <c r="AH18" s="57">
        <f t="shared" si="14"/>
        <v>0.1380012481135631</v>
      </c>
      <c r="AI18" s="57">
        <f t="shared" si="14"/>
        <v>0.1367952008587737</v>
      </c>
      <c r="AJ18" s="57">
        <f t="shared" si="14"/>
        <v>0.1356404942252922</v>
      </c>
      <c r="AK18" s="57">
        <f t="shared" si="14"/>
        <v>0.11658854802119989</v>
      </c>
      <c r="AL18" s="57">
        <f t="shared" si="14"/>
        <v>0.12745055962030591</v>
      </c>
      <c r="AM18" s="57">
        <f t="shared" si="14"/>
        <v>0.1290152206932326</v>
      </c>
      <c r="AN18" s="57">
        <f t="shared" si="14"/>
        <v>0.14149653304093965</v>
      </c>
      <c r="AO18" s="57">
        <f t="shared" si="14"/>
        <v>0.12001887192268329</v>
      </c>
      <c r="AP18" s="57">
        <f t="shared" si="14"/>
        <v>0.11623059283995402</v>
      </c>
      <c r="AQ18" s="57">
        <f t="shared" si="14"/>
        <v>0.12156196277751073</v>
      </c>
      <c r="AR18" s="57">
        <f t="shared" si="14"/>
        <v>0.11706293175731231</v>
      </c>
      <c r="AS18" s="57">
        <f t="shared" si="14"/>
        <v>0.11301776506000429</v>
      </c>
      <c r="AT18" s="57">
        <f t="shared" si="14"/>
        <v>0.8120734950868187</v>
      </c>
      <c r="AU18" s="57">
        <f t="shared" si="14"/>
        <v>0.11768130145733308</v>
      </c>
      <c r="AV18" s="57">
        <f t="shared" si="14"/>
        <v>0.11589600016151348</v>
      </c>
      <c r="AW18" s="57">
        <f t="shared" si="14"/>
        <v>0.1205690810756154</v>
      </c>
      <c r="AX18" s="57">
        <f t="shared" si="14"/>
        <v>0.13360520357871802</v>
      </c>
      <c r="AY18" s="57">
        <f t="shared" si="14"/>
        <v>0.13345640526324482</v>
      </c>
      <c r="AZ18" s="57">
        <f t="shared" si="14"/>
        <v>0.11885065163495472</v>
      </c>
      <c r="BA18" s="57">
        <f t="shared" si="14"/>
        <v>0.13104590145699177</v>
      </c>
      <c r="BB18" s="57">
        <f t="shared" si="14"/>
        <v>0.13599910024391457</v>
      </c>
      <c r="BC18" s="57">
        <f t="shared" si="14"/>
        <v>0.13546720231317386</v>
      </c>
      <c r="BD18" s="57">
        <f t="shared" si="14"/>
        <v>0.1440134168813047</v>
      </c>
      <c r="BE18" s="57">
        <f t="shared" si="14"/>
        <v>0.13320930737194381</v>
      </c>
      <c r="BF18" s="57">
        <f t="shared" si="14"/>
        <v>0.13577444088009441</v>
      </c>
      <c r="BG18" s="57">
        <f t="shared" si="14"/>
        <v>0.13172048190242705</v>
      </c>
      <c r="BH18" s="57">
        <f t="shared" si="14"/>
        <v>0.12589695825519298</v>
      </c>
      <c r="BI18" s="57">
        <f t="shared" si="14"/>
        <v>0.1456858787541207</v>
      </c>
      <c r="BJ18" s="57">
        <f t="shared" si="14"/>
        <v>0.14293710118851649</v>
      </c>
      <c r="BK18" s="57">
        <f t="shared" si="14"/>
        <v>0.14642883066084963</v>
      </c>
      <c r="BL18" s="57">
        <f t="shared" si="14"/>
        <v>0.14591121641178695</v>
      </c>
      <c r="BM18" s="57">
        <f t="shared" si="14"/>
        <v>0.14693601843396775</v>
      </c>
      <c r="BN18" s="57">
        <f t="shared" si="14"/>
        <v>0.14761231586673193</v>
      </c>
      <c r="BO18" s="57">
        <f t="shared" si="14"/>
        <v>0.15314477941274601</v>
      </c>
      <c r="BP18" s="57">
        <f t="shared" si="14"/>
        <v>0.13093658814185063</v>
      </c>
      <c r="BQ18" s="57">
        <f t="shared" si="14"/>
        <v>0.13063628913093894</v>
      </c>
      <c r="BR18" s="57">
        <f t="shared" ref="BR18:CK18" si="15">BR17/BR4</f>
        <v>0.11778373163191609</v>
      </c>
      <c r="BS18" s="57">
        <f t="shared" si="15"/>
        <v>0.14165660904595517</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399</v>
      </c>
      <c r="B20" s="188">
        <v>0</v>
      </c>
      <c r="C20" s="188">
        <v>0</v>
      </c>
      <c r="D20" s="188">
        <v>0</v>
      </c>
      <c r="E20" s="188">
        <v>0</v>
      </c>
      <c r="F20" s="188">
        <v>0</v>
      </c>
      <c r="G20" s="188">
        <v>0</v>
      </c>
      <c r="H20" s="188">
        <v>0</v>
      </c>
      <c r="I20" s="188">
        <v>0</v>
      </c>
      <c r="J20" s="188">
        <v>0</v>
      </c>
      <c r="K20" s="188">
        <v>0</v>
      </c>
      <c r="L20" s="188">
        <v>0</v>
      </c>
      <c r="M20" s="188">
        <v>0</v>
      </c>
      <c r="N20" s="188">
        <v>0</v>
      </c>
      <c r="O20" s="188">
        <v>0</v>
      </c>
      <c r="P20" s="188">
        <v>0</v>
      </c>
      <c r="Q20" s="188">
        <v>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c r="AW20" s="188">
        <v>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c r="BS20" s="188">
        <v>0</v>
      </c>
      <c r="BT20" s="188">
        <v>0</v>
      </c>
      <c r="BU20" s="188"/>
      <c r="BV20" s="188"/>
      <c r="BW20" s="188"/>
      <c r="BX20" s="188"/>
      <c r="BY20" s="188"/>
      <c r="BZ20" s="188"/>
      <c r="CA20" s="188"/>
      <c r="CB20" s="188"/>
      <c r="CC20" s="188"/>
      <c r="CD20" s="188"/>
      <c r="CE20" s="188"/>
      <c r="CF20" s="188"/>
      <c r="CG20" s="188"/>
      <c r="CH20" s="188"/>
      <c r="CI20" s="188"/>
      <c r="CJ20" s="188"/>
      <c r="CK20" s="188"/>
    </row>
    <row r="21" spans="1:89" s="16" customFormat="1">
      <c r="A21" s="18" t="s">
        <v>87</v>
      </c>
      <c r="B21" s="30"/>
      <c r="C21" s="30"/>
      <c r="D21" s="30"/>
      <c r="E21" s="30"/>
      <c r="F21" s="30"/>
      <c r="G21" s="30"/>
      <c r="H21" s="30"/>
      <c r="I21" s="30"/>
      <c r="J21" s="30"/>
      <c r="K21" s="30"/>
    </row>
    <row r="22" spans="1:89">
      <c r="A22" s="17" t="s">
        <v>400</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c r="BV22" s="188"/>
      <c r="BW22" s="188"/>
      <c r="BX22" s="188"/>
      <c r="BY22" s="188"/>
      <c r="BZ22" s="188"/>
      <c r="CA22" s="188"/>
      <c r="CB22" s="188"/>
      <c r="CC22" s="188"/>
      <c r="CD22" s="188"/>
      <c r="CE22" s="188"/>
      <c r="CF22" s="188"/>
      <c r="CG22" s="188"/>
      <c r="CH22" s="188"/>
      <c r="CI22" s="188"/>
      <c r="CJ22" s="188"/>
      <c r="CK22" s="188"/>
    </row>
    <row r="23" spans="1:89" s="7" customFormat="1">
      <c r="A23" s="21" t="s">
        <v>401</v>
      </c>
      <c r="B23" s="29">
        <f>-B52</f>
        <v>25636</v>
      </c>
      <c r="C23" s="29">
        <f t="shared" ref="C23:BN23" si="16">-C52</f>
        <v>27718</v>
      </c>
      <c r="D23" s="29">
        <f t="shared" si="16"/>
        <v>35317</v>
      </c>
      <c r="E23" s="29">
        <f t="shared" si="16"/>
        <v>3034722.89</v>
      </c>
      <c r="F23" s="29">
        <f t="shared" si="16"/>
        <v>34414</v>
      </c>
      <c r="G23" s="29">
        <f t="shared" si="16"/>
        <v>23309</v>
      </c>
      <c r="H23" s="29">
        <f t="shared" si="16"/>
        <v>16814</v>
      </c>
      <c r="I23" s="29">
        <f t="shared" si="16"/>
        <v>2593509.0299999998</v>
      </c>
      <c r="J23" s="29">
        <f t="shared" si="16"/>
        <v>0</v>
      </c>
      <c r="K23" s="29">
        <f t="shared" si="16"/>
        <v>0</v>
      </c>
      <c r="L23" s="29">
        <f t="shared" si="16"/>
        <v>0</v>
      </c>
      <c r="M23" s="29">
        <f t="shared" si="16"/>
        <v>4023951.46</v>
      </c>
      <c r="N23" s="29">
        <f t="shared" si="16"/>
        <v>0</v>
      </c>
      <c r="O23" s="29">
        <f t="shared" si="16"/>
        <v>0</v>
      </c>
      <c r="P23" s="29">
        <f t="shared" si="16"/>
        <v>0</v>
      </c>
      <c r="Q23" s="29">
        <f t="shared" si="16"/>
        <v>2112325.09</v>
      </c>
      <c r="R23" s="29">
        <f t="shared" si="16"/>
        <v>0</v>
      </c>
      <c r="S23" s="29">
        <f t="shared" si="16"/>
        <v>0</v>
      </c>
      <c r="T23" s="29">
        <f t="shared" si="16"/>
        <v>0</v>
      </c>
      <c r="U23" s="29">
        <f t="shared" si="16"/>
        <v>1281829</v>
      </c>
      <c r="V23" s="29">
        <f t="shared" si="16"/>
        <v>0</v>
      </c>
      <c r="W23" s="29">
        <f t="shared" si="16"/>
        <v>0</v>
      </c>
      <c r="X23" s="29">
        <f t="shared" si="16"/>
        <v>0</v>
      </c>
      <c r="Y23" s="29">
        <f t="shared" si="16"/>
        <v>793731.94</v>
      </c>
      <c r="Z23" s="29">
        <f t="shared" si="16"/>
        <v>0</v>
      </c>
      <c r="AA23" s="29">
        <f t="shared" si="16"/>
        <v>0</v>
      </c>
      <c r="AB23" s="29">
        <f t="shared" si="16"/>
        <v>0</v>
      </c>
      <c r="AC23" s="29">
        <f t="shared" si="16"/>
        <v>2030146.04</v>
      </c>
      <c r="AD23" s="29">
        <f t="shared" si="16"/>
        <v>0</v>
      </c>
      <c r="AE23" s="29">
        <f t="shared" si="16"/>
        <v>0</v>
      </c>
      <c r="AF23" s="29">
        <f t="shared" si="16"/>
        <v>0</v>
      </c>
      <c r="AG23" s="29">
        <f t="shared" si="16"/>
        <v>1335743.3</v>
      </c>
      <c r="AH23" s="29">
        <f t="shared" si="16"/>
        <v>0</v>
      </c>
      <c r="AI23" s="29">
        <f t="shared" si="16"/>
        <v>0</v>
      </c>
      <c r="AJ23" s="29">
        <f t="shared" si="16"/>
        <v>0</v>
      </c>
      <c r="AK23" s="29">
        <f t="shared" si="16"/>
        <v>1294932.8999999999</v>
      </c>
      <c r="AL23" s="29">
        <f t="shared" si="16"/>
        <v>0</v>
      </c>
      <c r="AM23" s="29">
        <f t="shared" si="16"/>
        <v>0</v>
      </c>
      <c r="AN23" s="29">
        <f t="shared" si="16"/>
        <v>0</v>
      </c>
      <c r="AO23" s="29">
        <f t="shared" si="16"/>
        <v>4695724.9800000004</v>
      </c>
      <c r="AP23" s="29">
        <f t="shared" si="16"/>
        <v>0</v>
      </c>
      <c r="AQ23" s="29">
        <f t="shared" si="16"/>
        <v>0</v>
      </c>
      <c r="AR23" s="29">
        <f t="shared" si="16"/>
        <v>0</v>
      </c>
      <c r="AS23" s="29">
        <f t="shared" si="16"/>
        <v>2825807.43</v>
      </c>
      <c r="AT23" s="29">
        <f t="shared" si="16"/>
        <v>0</v>
      </c>
      <c r="AU23" s="29">
        <f t="shared" si="16"/>
        <v>0</v>
      </c>
      <c r="AV23" s="29">
        <f t="shared" si="16"/>
        <v>0</v>
      </c>
      <c r="AW23" s="29">
        <f t="shared" si="16"/>
        <v>962305.18</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402</v>
      </c>
      <c r="B24" s="26">
        <f>B67</f>
        <v>23192587.219999999</v>
      </c>
      <c r="C24" s="26">
        <f t="shared" ref="C24:BN24" si="18">C67</f>
        <v>15468587.48</v>
      </c>
      <c r="D24" s="26">
        <f t="shared" si="18"/>
        <v>6837933.54</v>
      </c>
      <c r="E24" s="26">
        <f>E67</f>
        <v>19090598.109999999</v>
      </c>
      <c r="F24" s="26">
        <f t="shared" si="18"/>
        <v>13143318.880000001</v>
      </c>
      <c r="G24" s="26">
        <f t="shared" si="18"/>
        <v>6081822.0999999996</v>
      </c>
      <c r="H24" s="26">
        <f t="shared" si="18"/>
        <v>1149315.0900000001</v>
      </c>
      <c r="I24" s="26">
        <f t="shared" si="18"/>
        <v>1886246.83</v>
      </c>
      <c r="J24" s="26">
        <f t="shared" si="18"/>
        <v>-679741.09</v>
      </c>
      <c r="K24" s="26">
        <f t="shared" si="18"/>
        <v>319568.18</v>
      </c>
      <c r="L24" s="26">
        <f t="shared" si="18"/>
        <v>-12917.03</v>
      </c>
      <c r="M24" s="26">
        <f t="shared" si="18"/>
        <v>2818334.66</v>
      </c>
      <c r="N24" s="26">
        <f t="shared" si="18"/>
        <v>1476062.98</v>
      </c>
      <c r="O24" s="26">
        <f t="shared" si="18"/>
        <v>959350.65</v>
      </c>
      <c r="P24" s="26">
        <f t="shared" si="18"/>
        <v>0</v>
      </c>
      <c r="Q24" s="26">
        <f t="shared" si="18"/>
        <v>-330625.42</v>
      </c>
      <c r="R24" s="26">
        <f t="shared" si="18"/>
        <v>3900.84</v>
      </c>
      <c r="S24" s="26">
        <f t="shared" si="18"/>
        <v>3900.84</v>
      </c>
      <c r="T24" s="26">
        <f t="shared" si="18"/>
        <v>0</v>
      </c>
      <c r="U24" s="26">
        <f t="shared" si="18"/>
        <v>5201.12</v>
      </c>
      <c r="V24" s="26">
        <f t="shared" si="18"/>
        <v>5201.12</v>
      </c>
      <c r="W24" s="26">
        <f t="shared" si="18"/>
        <v>5201.12</v>
      </c>
      <c r="X24" s="26">
        <f t="shared" si="18"/>
        <v>0</v>
      </c>
      <c r="Y24" s="26">
        <f t="shared" si="18"/>
        <v>42947.95</v>
      </c>
      <c r="Z24" s="26">
        <f t="shared" si="18"/>
        <v>42947.95</v>
      </c>
      <c r="AA24" s="26">
        <f t="shared" si="18"/>
        <v>25665.75</v>
      </c>
      <c r="AB24" s="26">
        <f t="shared" si="18"/>
        <v>14931.51</v>
      </c>
      <c r="AC24" s="26">
        <f t="shared" si="18"/>
        <v>7151056.6699999999</v>
      </c>
      <c r="AD24" s="26">
        <f t="shared" si="18"/>
        <v>6499755.3399999999</v>
      </c>
      <c r="AE24" s="26">
        <f t="shared" si="18"/>
        <v>6499755.3399999999</v>
      </c>
      <c r="AF24" s="26">
        <f t="shared" si="18"/>
        <v>-65014.720000000001</v>
      </c>
      <c r="AG24" s="26">
        <f t="shared" si="18"/>
        <v>1771633.17</v>
      </c>
      <c r="AH24" s="26">
        <f t="shared" si="18"/>
        <v>-191696.08</v>
      </c>
      <c r="AI24" s="26">
        <f t="shared" si="18"/>
        <v>-126681.36</v>
      </c>
      <c r="AJ24" s="26">
        <f t="shared" si="18"/>
        <v>-65014.720000000001</v>
      </c>
      <c r="AK24" s="26">
        <f t="shared" si="18"/>
        <v>6359631.0599999996</v>
      </c>
      <c r="AL24" s="26">
        <f t="shared" si="18"/>
        <v>6274312.0300000003</v>
      </c>
      <c r="AM24" s="26">
        <f t="shared" si="18"/>
        <v>6339326.75</v>
      </c>
      <c r="AN24" s="26">
        <f t="shared" si="18"/>
        <v>-65014.720000000001</v>
      </c>
      <c r="AO24" s="26">
        <f t="shared" si="18"/>
        <v>575996.25</v>
      </c>
      <c r="AP24" s="26">
        <f t="shared" si="18"/>
        <v>-190572.91</v>
      </c>
      <c r="AQ24" s="26">
        <f t="shared" si="18"/>
        <v>-130029.44</v>
      </c>
      <c r="AR24" s="26">
        <f t="shared" si="18"/>
        <v>-65014.720000000001</v>
      </c>
      <c r="AS24" s="26">
        <f t="shared" si="18"/>
        <v>5448960.4299999997</v>
      </c>
      <c r="AT24" s="26">
        <f t="shared" si="18"/>
        <v>1831672.03</v>
      </c>
      <c r="AU24" s="26">
        <f t="shared" si="18"/>
        <v>1831672.03</v>
      </c>
      <c r="AV24" s="26">
        <f t="shared" si="18"/>
        <v>0</v>
      </c>
      <c r="AW24" s="26">
        <f t="shared" si="18"/>
        <v>-88475.15</v>
      </c>
      <c r="AX24" s="26">
        <f t="shared" si="18"/>
        <v>-189531.66</v>
      </c>
      <c r="AY24" s="26">
        <f t="shared" si="18"/>
        <v>-124516.94</v>
      </c>
      <c r="AZ24" s="26">
        <f t="shared" si="18"/>
        <v>-65014.720000000001</v>
      </c>
      <c r="BA24" s="26">
        <f t="shared" si="18"/>
        <v>-254362.63</v>
      </c>
      <c r="BB24" s="26">
        <f t="shared" si="18"/>
        <v>-189347.91</v>
      </c>
      <c r="BC24" s="26">
        <f t="shared" si="18"/>
        <v>-130029.44</v>
      </c>
      <c r="BD24" s="26">
        <f t="shared" si="18"/>
        <v>-65014.720000000001</v>
      </c>
      <c r="BE24" s="26">
        <f t="shared" si="18"/>
        <v>-65014.720000000001</v>
      </c>
      <c r="BF24" s="26">
        <f t="shared" si="18"/>
        <v>0</v>
      </c>
      <c r="BG24" s="26">
        <f t="shared" si="18"/>
        <v>0</v>
      </c>
      <c r="BH24" s="26">
        <f t="shared" si="18"/>
        <v>0</v>
      </c>
      <c r="BI24" s="26">
        <f t="shared" si="18"/>
        <v>0</v>
      </c>
      <c r="BJ24" s="26">
        <f t="shared" si="18"/>
        <v>0</v>
      </c>
      <c r="BK24" s="26">
        <f t="shared" si="18"/>
        <v>0</v>
      </c>
      <c r="BL24" s="26">
        <f t="shared" si="18"/>
        <v>0</v>
      </c>
      <c r="BM24" s="26">
        <f t="shared" si="18"/>
        <v>267653.7</v>
      </c>
      <c r="BN24" s="26">
        <f t="shared" si="18"/>
        <v>0</v>
      </c>
      <c r="BO24" s="26">
        <f t="shared" ref="BO24:CJ24" si="19">BO67</f>
        <v>1063042.75</v>
      </c>
      <c r="BP24" s="26">
        <f t="shared" si="19"/>
        <v>-75321.17</v>
      </c>
      <c r="BQ24" s="26">
        <f t="shared" si="19"/>
        <v>301508.32</v>
      </c>
      <c r="BR24" s="26">
        <f t="shared" si="19"/>
        <v>0</v>
      </c>
      <c r="BS24" s="26">
        <f t="shared" si="19"/>
        <v>0</v>
      </c>
      <c r="BT24" s="26">
        <f t="shared" si="19"/>
        <v>0</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c r="A25" s="21" t="s">
        <v>403</v>
      </c>
      <c r="B25" s="29">
        <f>-B54</f>
        <v>-3104</v>
      </c>
      <c r="C25" s="29">
        <f t="shared" ref="C25:BN25" si="20">-C54</f>
        <v>1424</v>
      </c>
      <c r="D25" s="29">
        <f t="shared" si="20"/>
        <v>340</v>
      </c>
      <c r="E25" s="29">
        <f t="shared" si="20"/>
        <v>-18752723.890000001</v>
      </c>
      <c r="F25" s="29">
        <f t="shared" si="20"/>
        <v>-2684</v>
      </c>
      <c r="G25" s="29">
        <f t="shared" si="20"/>
        <v>377</v>
      </c>
      <c r="H25" s="29">
        <f t="shared" si="20"/>
        <v>-1008</v>
      </c>
      <c r="I25" s="29">
        <f t="shared" si="20"/>
        <v>15322208.779999999</v>
      </c>
      <c r="J25" s="29">
        <f t="shared" si="20"/>
        <v>0</v>
      </c>
      <c r="K25" s="29">
        <f t="shared" si="20"/>
        <v>0</v>
      </c>
      <c r="L25" s="29">
        <f t="shared" si="20"/>
        <v>0</v>
      </c>
      <c r="M25" s="29">
        <f t="shared" si="20"/>
        <v>4169075.02</v>
      </c>
      <c r="N25" s="29">
        <f t="shared" si="20"/>
        <v>0</v>
      </c>
      <c r="O25" s="29">
        <f t="shared" si="20"/>
        <v>0</v>
      </c>
      <c r="P25" s="29">
        <f t="shared" si="20"/>
        <v>0</v>
      </c>
      <c r="Q25" s="29">
        <f t="shared" si="20"/>
        <v>1304043.24</v>
      </c>
      <c r="R25" s="29">
        <f t="shared" si="20"/>
        <v>0</v>
      </c>
      <c r="S25" s="29">
        <f t="shared" si="20"/>
        <v>0</v>
      </c>
      <c r="T25" s="29">
        <f t="shared" si="20"/>
        <v>0</v>
      </c>
      <c r="U25" s="29">
        <f t="shared" si="20"/>
        <v>-4864005.21</v>
      </c>
      <c r="V25" s="29">
        <f t="shared" si="20"/>
        <v>0</v>
      </c>
      <c r="W25" s="29">
        <f t="shared" si="20"/>
        <v>0</v>
      </c>
      <c r="X25" s="29">
        <f t="shared" si="20"/>
        <v>0</v>
      </c>
      <c r="Y25" s="29">
        <f t="shared" si="20"/>
        <v>-459510.1</v>
      </c>
      <c r="Z25" s="29">
        <f t="shared" si="20"/>
        <v>0</v>
      </c>
      <c r="AA25" s="29">
        <f t="shared" si="20"/>
        <v>0</v>
      </c>
      <c r="AB25" s="29">
        <f t="shared" si="20"/>
        <v>0</v>
      </c>
      <c r="AC25" s="29">
        <f t="shared" si="20"/>
        <v>-1837755.14</v>
      </c>
      <c r="AD25" s="29">
        <f t="shared" si="20"/>
        <v>0</v>
      </c>
      <c r="AE25" s="29">
        <f t="shared" si="20"/>
        <v>0</v>
      </c>
      <c r="AF25" s="29">
        <f t="shared" si="20"/>
        <v>0</v>
      </c>
      <c r="AG25" s="29">
        <f t="shared" si="20"/>
        <v>-1264784.56</v>
      </c>
      <c r="AH25" s="29">
        <f t="shared" si="20"/>
        <v>0</v>
      </c>
      <c r="AI25" s="29">
        <f t="shared" si="20"/>
        <v>0</v>
      </c>
      <c r="AJ25" s="29">
        <f t="shared" si="20"/>
        <v>0</v>
      </c>
      <c r="AK25" s="29">
        <f t="shared" si="20"/>
        <v>-1827464.3</v>
      </c>
      <c r="AL25" s="29">
        <f t="shared" si="20"/>
        <v>0</v>
      </c>
      <c r="AM25" s="29">
        <f t="shared" si="20"/>
        <v>0</v>
      </c>
      <c r="AN25" s="29">
        <f t="shared" si="20"/>
        <v>0</v>
      </c>
      <c r="AO25" s="29">
        <f t="shared" si="20"/>
        <v>-708987.47</v>
      </c>
      <c r="AP25" s="29">
        <f t="shared" si="20"/>
        <v>0</v>
      </c>
      <c r="AQ25" s="29">
        <f t="shared" si="20"/>
        <v>0</v>
      </c>
      <c r="AR25" s="29">
        <f t="shared" si="20"/>
        <v>0</v>
      </c>
      <c r="AS25" s="29">
        <f t="shared" si="20"/>
        <v>-217748.59</v>
      </c>
      <c r="AT25" s="29">
        <f t="shared" si="20"/>
        <v>0</v>
      </c>
      <c r="AU25" s="29">
        <f t="shared" si="20"/>
        <v>0</v>
      </c>
      <c r="AV25" s="29">
        <f t="shared" si="20"/>
        <v>0</v>
      </c>
      <c r="AW25" s="29">
        <f t="shared" si="20"/>
        <v>-1310694.21</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404</v>
      </c>
      <c r="B26" s="188">
        <v>0</v>
      </c>
      <c r="C26" s="188">
        <v>0</v>
      </c>
      <c r="D26" s="188">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c r="BV26" s="188"/>
      <c r="BW26" s="188"/>
      <c r="BX26" s="188"/>
      <c r="BY26" s="188"/>
      <c r="BZ26" s="188"/>
      <c r="CA26" s="188"/>
      <c r="CB26" s="188"/>
      <c r="CC26" s="188"/>
      <c r="CD26" s="188"/>
      <c r="CE26" s="188"/>
      <c r="CF26" s="188"/>
      <c r="CG26" s="188"/>
      <c r="CH26" s="188"/>
      <c r="CI26" s="188"/>
      <c r="CJ26" s="188"/>
      <c r="CK26" s="188"/>
    </row>
    <row r="27" spans="1:89">
      <c r="A27" s="17" t="s">
        <v>405</v>
      </c>
      <c r="B27" s="26">
        <f>SUM(B22:B26)</f>
        <v>23215119.219999999</v>
      </c>
      <c r="C27" s="26">
        <f t="shared" ref="C27:BN27" si="22">SUM(C22:C26)</f>
        <v>15497729.48</v>
      </c>
      <c r="D27" s="26">
        <f t="shared" si="22"/>
        <v>6873590.54</v>
      </c>
      <c r="E27" s="26">
        <f t="shared" si="22"/>
        <v>3372597.1099999994</v>
      </c>
      <c r="F27" s="26">
        <f t="shared" si="22"/>
        <v>13175048.880000001</v>
      </c>
      <c r="G27" s="26">
        <f t="shared" si="22"/>
        <v>6105508.0999999996</v>
      </c>
      <c r="H27" s="26">
        <f t="shared" si="22"/>
        <v>1165121.0900000001</v>
      </c>
      <c r="I27" s="26">
        <f t="shared" si="22"/>
        <v>19801964.640000001</v>
      </c>
      <c r="J27" s="26">
        <f t="shared" si="22"/>
        <v>-679741.09</v>
      </c>
      <c r="K27" s="26">
        <f t="shared" si="22"/>
        <v>319568.18</v>
      </c>
      <c r="L27" s="26">
        <f t="shared" si="22"/>
        <v>-12917.03</v>
      </c>
      <c r="M27" s="26">
        <f t="shared" si="22"/>
        <v>11011361.140000001</v>
      </c>
      <c r="N27" s="26">
        <f t="shared" si="22"/>
        <v>1476062.98</v>
      </c>
      <c r="O27" s="26">
        <f t="shared" si="22"/>
        <v>959350.65</v>
      </c>
      <c r="P27" s="26">
        <f t="shared" si="22"/>
        <v>0</v>
      </c>
      <c r="Q27" s="26">
        <f t="shared" si="22"/>
        <v>3085742.91</v>
      </c>
      <c r="R27" s="26">
        <f t="shared" si="22"/>
        <v>3900.84</v>
      </c>
      <c r="S27" s="26">
        <f t="shared" si="22"/>
        <v>3900.84</v>
      </c>
      <c r="T27" s="26">
        <f t="shared" si="22"/>
        <v>0</v>
      </c>
      <c r="U27" s="26">
        <f t="shared" si="22"/>
        <v>-3576975.09</v>
      </c>
      <c r="V27" s="26">
        <f t="shared" si="22"/>
        <v>5201.12</v>
      </c>
      <c r="W27" s="26">
        <f t="shared" si="22"/>
        <v>5201.12</v>
      </c>
      <c r="X27" s="26">
        <f t="shared" si="22"/>
        <v>0</v>
      </c>
      <c r="Y27" s="26">
        <f t="shared" si="22"/>
        <v>377169.78999999992</v>
      </c>
      <c r="Z27" s="26">
        <f t="shared" si="22"/>
        <v>42947.95</v>
      </c>
      <c r="AA27" s="26">
        <f t="shared" si="22"/>
        <v>25665.75</v>
      </c>
      <c r="AB27" s="26">
        <f t="shared" si="22"/>
        <v>14931.51</v>
      </c>
      <c r="AC27" s="26">
        <f t="shared" si="22"/>
        <v>7343447.5700000012</v>
      </c>
      <c r="AD27" s="26">
        <f t="shared" si="22"/>
        <v>6499755.3399999999</v>
      </c>
      <c r="AE27" s="26">
        <f t="shared" si="22"/>
        <v>6499755.3399999999</v>
      </c>
      <c r="AF27" s="26">
        <f t="shared" si="22"/>
        <v>-65014.720000000001</v>
      </c>
      <c r="AG27" s="26">
        <f t="shared" si="22"/>
        <v>1842591.9099999997</v>
      </c>
      <c r="AH27" s="26">
        <f t="shared" si="22"/>
        <v>-191696.08</v>
      </c>
      <c r="AI27" s="26">
        <f t="shared" si="22"/>
        <v>-126681.36</v>
      </c>
      <c r="AJ27" s="26">
        <f t="shared" si="22"/>
        <v>-65014.720000000001</v>
      </c>
      <c r="AK27" s="26">
        <f t="shared" si="22"/>
        <v>5827099.6599999992</v>
      </c>
      <c r="AL27" s="26">
        <f t="shared" si="22"/>
        <v>6274312.0300000003</v>
      </c>
      <c r="AM27" s="26">
        <f t="shared" si="22"/>
        <v>6339326.75</v>
      </c>
      <c r="AN27" s="26">
        <f t="shared" si="22"/>
        <v>-65014.720000000001</v>
      </c>
      <c r="AO27" s="26">
        <f t="shared" si="22"/>
        <v>4562733.7600000007</v>
      </c>
      <c r="AP27" s="26">
        <f t="shared" si="22"/>
        <v>-190572.91</v>
      </c>
      <c r="AQ27" s="26">
        <f t="shared" si="22"/>
        <v>-130029.44</v>
      </c>
      <c r="AR27" s="26">
        <f t="shared" si="22"/>
        <v>-65014.720000000001</v>
      </c>
      <c r="AS27" s="26">
        <f t="shared" si="22"/>
        <v>8057019.2699999996</v>
      </c>
      <c r="AT27" s="26">
        <f t="shared" si="22"/>
        <v>1831672.03</v>
      </c>
      <c r="AU27" s="26">
        <f t="shared" si="22"/>
        <v>1831672.03</v>
      </c>
      <c r="AV27" s="26">
        <f t="shared" si="22"/>
        <v>0</v>
      </c>
      <c r="AW27" s="26">
        <f t="shared" si="22"/>
        <v>-436864.17999999993</v>
      </c>
      <c r="AX27" s="26">
        <f t="shared" si="22"/>
        <v>-189531.66</v>
      </c>
      <c r="AY27" s="26">
        <f t="shared" si="22"/>
        <v>-124516.94</v>
      </c>
      <c r="AZ27" s="26">
        <f t="shared" si="22"/>
        <v>-65014.720000000001</v>
      </c>
      <c r="BA27" s="26">
        <f t="shared" si="22"/>
        <v>-254362.63</v>
      </c>
      <c r="BB27" s="26">
        <f t="shared" si="22"/>
        <v>-189347.91</v>
      </c>
      <c r="BC27" s="26">
        <f t="shared" si="22"/>
        <v>-130029.44</v>
      </c>
      <c r="BD27" s="26">
        <f t="shared" si="22"/>
        <v>-65014.720000000001</v>
      </c>
      <c r="BE27" s="26">
        <f t="shared" si="22"/>
        <v>-65014.720000000001</v>
      </c>
      <c r="BF27" s="26">
        <f t="shared" si="22"/>
        <v>0</v>
      </c>
      <c r="BG27" s="26">
        <f t="shared" si="22"/>
        <v>0</v>
      </c>
      <c r="BH27" s="26">
        <f t="shared" si="22"/>
        <v>0</v>
      </c>
      <c r="BI27" s="26">
        <f t="shared" si="22"/>
        <v>0</v>
      </c>
      <c r="BJ27" s="26">
        <f t="shared" si="22"/>
        <v>0</v>
      </c>
      <c r="BK27" s="26">
        <f t="shared" si="22"/>
        <v>0</v>
      </c>
      <c r="BL27" s="26">
        <f t="shared" si="22"/>
        <v>0</v>
      </c>
      <c r="BM27" s="26">
        <f t="shared" si="22"/>
        <v>267653.7</v>
      </c>
      <c r="BN27" s="26">
        <f t="shared" si="22"/>
        <v>0</v>
      </c>
      <c r="BO27" s="26">
        <f t="shared" ref="BO27:CJ27" si="23">SUM(BO22:BO26)</f>
        <v>1063042.75</v>
      </c>
      <c r="BP27" s="26">
        <f t="shared" si="23"/>
        <v>-75321.17</v>
      </c>
      <c r="BQ27" s="26">
        <f t="shared" si="23"/>
        <v>301508.32</v>
      </c>
      <c r="BR27" s="26">
        <f t="shared" si="23"/>
        <v>0</v>
      </c>
      <c r="BS27" s="26">
        <f t="shared" si="23"/>
        <v>0</v>
      </c>
      <c r="BT27" s="26">
        <f t="shared" si="23"/>
        <v>0</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c r="A28" s="17" t="s">
        <v>406</v>
      </c>
      <c r="B28" s="26">
        <f>SUM(B22:B25)*B41</f>
        <v>3016082.2226530258</v>
      </c>
      <c r="C28" s="26">
        <f t="shared" ref="C28:BN28" si="24">SUM(C22:C25)*C41</f>
        <v>2392579.3230166542</v>
      </c>
      <c r="D28" s="26">
        <f t="shared" si="24"/>
        <v>1050560.1485528327</v>
      </c>
      <c r="E28" s="26">
        <f t="shared" si="24"/>
        <v>568359.99147843732</v>
      </c>
      <c r="F28" s="26">
        <f t="shared" si="24"/>
        <v>2170311.1500821933</v>
      </c>
      <c r="G28" s="26">
        <f t="shared" si="24"/>
        <v>1001999.9676531394</v>
      </c>
      <c r="H28" s="26">
        <f t="shared" si="24"/>
        <v>187423.0125151152</v>
      </c>
      <c r="I28" s="26">
        <f t="shared" si="24"/>
        <v>3935426.9323948971</v>
      </c>
      <c r="J28" s="26">
        <f t="shared" si="24"/>
        <v>-193154.89098474322</v>
      </c>
      <c r="K28" s="26">
        <f t="shared" si="24"/>
        <v>90214.9559194459</v>
      </c>
      <c r="L28" s="26">
        <f t="shared" si="24"/>
        <v>-3353.5577891563562</v>
      </c>
      <c r="M28" s="26">
        <f t="shared" si="24"/>
        <v>2819443.3415166424</v>
      </c>
      <c r="N28" s="26">
        <f t="shared" si="24"/>
        <v>370460.30613141262</v>
      </c>
      <c r="O28" s="26">
        <f t="shared" si="24"/>
        <v>240315.05057954576</v>
      </c>
      <c r="P28" s="26">
        <f t="shared" si="24"/>
        <v>0</v>
      </c>
      <c r="Q28" s="26">
        <f t="shared" si="24"/>
        <v>822262.08990207722</v>
      </c>
      <c r="R28" s="26">
        <f t="shared" si="24"/>
        <v>1002.6866191228654</v>
      </c>
      <c r="S28" s="26">
        <f t="shared" si="24"/>
        <v>985.87350000487754</v>
      </c>
      <c r="T28" s="26">
        <f t="shared" si="24"/>
        <v>0</v>
      </c>
      <c r="U28" s="26">
        <f t="shared" si="24"/>
        <v>-952449.20937633235</v>
      </c>
      <c r="V28" s="26">
        <f t="shared" si="24"/>
        <v>1208.6760460669791</v>
      </c>
      <c r="W28" s="26">
        <f t="shared" si="24"/>
        <v>1256.8032625174853</v>
      </c>
      <c r="X28" s="26">
        <f t="shared" si="24"/>
        <v>0</v>
      </c>
      <c r="Y28" s="26">
        <f t="shared" si="24"/>
        <v>96436.589276425337</v>
      </c>
      <c r="Z28" s="26">
        <f t="shared" si="24"/>
        <v>11068.40941747883</v>
      </c>
      <c r="AA28" s="26">
        <f t="shared" si="24"/>
        <v>6645.2732257391071</v>
      </c>
      <c r="AB28" s="26">
        <f t="shared" si="24"/>
        <v>3704.8114169459241</v>
      </c>
      <c r="AC28" s="26">
        <f t="shared" si="24"/>
        <v>1535636.5862252698</v>
      </c>
      <c r="AD28" s="26">
        <f t="shared" si="24"/>
        <v>1391291.9450521106</v>
      </c>
      <c r="AE28" s="26">
        <f t="shared" si="24"/>
        <v>1278429.4631972236</v>
      </c>
      <c r="AF28" s="26">
        <f t="shared" si="24"/>
        <v>-16578.745555682235</v>
      </c>
      <c r="AG28" s="26">
        <f t="shared" si="24"/>
        <v>318198.47893642372</v>
      </c>
      <c r="AH28" s="26">
        <f t="shared" si="24"/>
        <v>-30994.412884613892</v>
      </c>
      <c r="AI28" s="26">
        <f t="shared" si="24"/>
        <v>-19701.325756882761</v>
      </c>
      <c r="AJ28" s="26">
        <f t="shared" si="24"/>
        <v>-9772.1006043942652</v>
      </c>
      <c r="AK28" s="26">
        <f t="shared" si="24"/>
        <v>963465.93763974844</v>
      </c>
      <c r="AL28" s="26">
        <f t="shared" si="24"/>
        <v>1115201.7149129845</v>
      </c>
      <c r="AM28" s="26">
        <f t="shared" si="24"/>
        <v>1107555.273367472</v>
      </c>
      <c r="AN28" s="26">
        <f t="shared" si="24"/>
        <v>-9852.6463132238041</v>
      </c>
      <c r="AO28" s="26">
        <f t="shared" si="24"/>
        <v>698234.72014043271</v>
      </c>
      <c r="AP28" s="26">
        <f t="shared" si="24"/>
        <v>-43901.42508923063</v>
      </c>
      <c r="AQ28" s="26">
        <f t="shared" si="24"/>
        <v>-28585.865671017473</v>
      </c>
      <c r="AR28" s="26">
        <f t="shared" si="24"/>
        <v>-16503.918218976294</v>
      </c>
      <c r="AS28" s="26">
        <f t="shared" si="24"/>
        <v>2448914.4194279001</v>
      </c>
      <c r="AT28" s="26">
        <f t="shared" si="24"/>
        <v>97850.45196694789</v>
      </c>
      <c r="AU28" s="26">
        <f t="shared" si="24"/>
        <v>534895.42102717957</v>
      </c>
      <c r="AV28" s="26">
        <f t="shared" si="24"/>
        <v>0</v>
      </c>
      <c r="AW28" s="26">
        <f t="shared" si="24"/>
        <v>-150581.13908969442</v>
      </c>
      <c r="AX28" s="26">
        <f t="shared" si="24"/>
        <v>-56518.659414376285</v>
      </c>
      <c r="AY28" s="26">
        <f t="shared" si="24"/>
        <v>-35916.77378508557</v>
      </c>
      <c r="AZ28" s="26">
        <f t="shared" si="24"/>
        <v>-20936.73148367865</v>
      </c>
      <c r="BA28" s="26">
        <f t="shared" si="24"/>
        <v>-81895.053326467387</v>
      </c>
      <c r="BB28" s="26">
        <f t="shared" si="24"/>
        <v>-59922.33918709444</v>
      </c>
      <c r="BC28" s="26">
        <f t="shared" si="24"/>
        <v>-43046.461361037822</v>
      </c>
      <c r="BD28" s="26">
        <f t="shared" si="24"/>
        <v>-21216.325246170491</v>
      </c>
      <c r="BE28" s="26">
        <f t="shared" si="24"/>
        <v>-22654.680885233145</v>
      </c>
      <c r="BF28" s="26">
        <f t="shared" si="24"/>
        <v>0</v>
      </c>
      <c r="BG28" s="26">
        <f t="shared" si="24"/>
        <v>0</v>
      </c>
      <c r="BH28" s="26">
        <f t="shared" si="24"/>
        <v>0</v>
      </c>
      <c r="BI28" s="26">
        <f t="shared" si="24"/>
        <v>0</v>
      </c>
      <c r="BJ28" s="26">
        <f t="shared" si="24"/>
        <v>0</v>
      </c>
      <c r="BK28" s="26">
        <f t="shared" si="24"/>
        <v>0</v>
      </c>
      <c r="BL28" s="26">
        <f t="shared" si="24"/>
        <v>0</v>
      </c>
      <c r="BM28" s="26">
        <f t="shared" si="24"/>
        <v>79179.848784781105</v>
      </c>
      <c r="BN28" s="26">
        <f t="shared" si="24"/>
        <v>0</v>
      </c>
      <c r="BO28" s="26">
        <f t="shared" ref="BO28:CJ28" si="25">SUM(BO22:BO25)*BO41</f>
        <v>332238.5455073078</v>
      </c>
      <c r="BP28" s="26">
        <f t="shared" si="25"/>
        <v>-23315.49456728212</v>
      </c>
      <c r="BQ28" s="26">
        <f t="shared" si="25"/>
        <v>104886.60970857201</v>
      </c>
      <c r="BR28" s="26">
        <f t="shared" si="25"/>
        <v>0</v>
      </c>
      <c r="BS28" s="26">
        <f t="shared" si="25"/>
        <v>0</v>
      </c>
      <c r="BT28" s="26" t="e">
        <f t="shared" si="25"/>
        <v>#DIV/0!</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407</v>
      </c>
      <c r="B29" s="28">
        <f>B27-B28</f>
        <v>20199036.997346975</v>
      </c>
      <c r="C29" s="28">
        <f t="shared" ref="C29:BN29" si="26">C27-C28</f>
        <v>13105150.156983346</v>
      </c>
      <c r="D29" s="28">
        <f t="shared" si="26"/>
        <v>5823030.3914471678</v>
      </c>
      <c r="E29" s="28">
        <f t="shared" si="26"/>
        <v>2804237.1185215618</v>
      </c>
      <c r="F29" s="28">
        <f t="shared" si="26"/>
        <v>11004737.729917808</v>
      </c>
      <c r="G29" s="28">
        <f t="shared" si="26"/>
        <v>5103508.1323468601</v>
      </c>
      <c r="H29" s="28">
        <f t="shared" si="26"/>
        <v>977698.07748488488</v>
      </c>
      <c r="I29" s="28">
        <f t="shared" si="26"/>
        <v>15866537.707605103</v>
      </c>
      <c r="J29" s="28">
        <f t="shared" si="26"/>
        <v>-486586.19901525672</v>
      </c>
      <c r="K29" s="28">
        <f t="shared" si="26"/>
        <v>229353.22408055409</v>
      </c>
      <c r="L29" s="28">
        <f t="shared" si="26"/>
        <v>-9563.4722108436436</v>
      </c>
      <c r="M29" s="28">
        <f t="shared" si="26"/>
        <v>8191917.7984833587</v>
      </c>
      <c r="N29" s="28">
        <f t="shared" si="26"/>
        <v>1105602.6738685872</v>
      </c>
      <c r="O29" s="28">
        <f t="shared" si="26"/>
        <v>719035.59942045424</v>
      </c>
      <c r="P29" s="28">
        <f t="shared" si="26"/>
        <v>0</v>
      </c>
      <c r="Q29" s="28">
        <f t="shared" si="26"/>
        <v>2263480.8200979228</v>
      </c>
      <c r="R29" s="28">
        <f t="shared" si="26"/>
        <v>2898.1533808771346</v>
      </c>
      <c r="S29" s="28">
        <f t="shared" si="26"/>
        <v>2914.9664999951228</v>
      </c>
      <c r="T29" s="28">
        <f t="shared" si="26"/>
        <v>0</v>
      </c>
      <c r="U29" s="28">
        <f t="shared" si="26"/>
        <v>-2624525.8806236675</v>
      </c>
      <c r="V29" s="28">
        <f t="shared" si="26"/>
        <v>3992.4439539330206</v>
      </c>
      <c r="W29" s="28">
        <f t="shared" si="26"/>
        <v>3944.3167374825143</v>
      </c>
      <c r="X29" s="28">
        <f t="shared" si="26"/>
        <v>0</v>
      </c>
      <c r="Y29" s="28">
        <f t="shared" si="26"/>
        <v>280733.20072357461</v>
      </c>
      <c r="Z29" s="28">
        <f t="shared" si="26"/>
        <v>31879.540582521167</v>
      </c>
      <c r="AA29" s="28">
        <f t="shared" si="26"/>
        <v>19020.476774260893</v>
      </c>
      <c r="AB29" s="28">
        <f t="shared" si="26"/>
        <v>11226.698583054076</v>
      </c>
      <c r="AC29" s="28">
        <f t="shared" si="26"/>
        <v>5807810.9837747309</v>
      </c>
      <c r="AD29" s="28">
        <f t="shared" si="26"/>
        <v>5108463.3949478893</v>
      </c>
      <c r="AE29" s="28">
        <f t="shared" si="26"/>
        <v>5221325.876802776</v>
      </c>
      <c r="AF29" s="28">
        <f t="shared" si="26"/>
        <v>-48435.974444317762</v>
      </c>
      <c r="AG29" s="28">
        <f t="shared" si="26"/>
        <v>1524393.4310635759</v>
      </c>
      <c r="AH29" s="28">
        <f t="shared" si="26"/>
        <v>-160701.66711538611</v>
      </c>
      <c r="AI29" s="28">
        <f t="shared" si="26"/>
        <v>-106980.03424311723</v>
      </c>
      <c r="AJ29" s="28">
        <f t="shared" si="26"/>
        <v>-55242.61939560574</v>
      </c>
      <c r="AK29" s="28">
        <f t="shared" si="26"/>
        <v>4863633.7223602505</v>
      </c>
      <c r="AL29" s="28">
        <f t="shared" si="26"/>
        <v>5159110.3150870157</v>
      </c>
      <c r="AM29" s="28">
        <f t="shared" si="26"/>
        <v>5231771.476632528</v>
      </c>
      <c r="AN29" s="28">
        <f t="shared" si="26"/>
        <v>-55162.073686776195</v>
      </c>
      <c r="AO29" s="28">
        <f t="shared" si="26"/>
        <v>3864499.0398595678</v>
      </c>
      <c r="AP29" s="28">
        <f t="shared" si="26"/>
        <v>-146671.48491076939</v>
      </c>
      <c r="AQ29" s="28">
        <f t="shared" si="26"/>
        <v>-101443.57432898253</v>
      </c>
      <c r="AR29" s="28">
        <f t="shared" si="26"/>
        <v>-48510.801781023707</v>
      </c>
      <c r="AS29" s="28">
        <f t="shared" si="26"/>
        <v>5608104.8505720999</v>
      </c>
      <c r="AT29" s="28">
        <f t="shared" si="26"/>
        <v>1733821.5780330522</v>
      </c>
      <c r="AU29" s="28">
        <f t="shared" si="26"/>
        <v>1296776.6089728205</v>
      </c>
      <c r="AV29" s="28">
        <f t="shared" si="26"/>
        <v>0</v>
      </c>
      <c r="AW29" s="28">
        <f t="shared" si="26"/>
        <v>-286283.04091030551</v>
      </c>
      <c r="AX29" s="28">
        <f t="shared" si="26"/>
        <v>-133013.00058562373</v>
      </c>
      <c r="AY29" s="28">
        <f t="shared" si="26"/>
        <v>-88600.166214914439</v>
      </c>
      <c r="AZ29" s="28">
        <f t="shared" si="26"/>
        <v>-44077.988516321348</v>
      </c>
      <c r="BA29" s="28">
        <f t="shared" si="26"/>
        <v>-172467.5766735326</v>
      </c>
      <c r="BB29" s="28">
        <f t="shared" si="26"/>
        <v>-129425.57081290556</v>
      </c>
      <c r="BC29" s="28">
        <f t="shared" si="26"/>
        <v>-86982.978638962173</v>
      </c>
      <c r="BD29" s="28">
        <f t="shared" si="26"/>
        <v>-43798.394753829511</v>
      </c>
      <c r="BE29" s="28">
        <f t="shared" si="26"/>
        <v>-42360.039114766856</v>
      </c>
      <c r="BF29" s="28">
        <f t="shared" si="26"/>
        <v>0</v>
      </c>
      <c r="BG29" s="28">
        <f t="shared" si="26"/>
        <v>0</v>
      </c>
      <c r="BH29" s="28">
        <f t="shared" si="26"/>
        <v>0</v>
      </c>
      <c r="BI29" s="28">
        <f t="shared" si="26"/>
        <v>0</v>
      </c>
      <c r="BJ29" s="28">
        <f t="shared" si="26"/>
        <v>0</v>
      </c>
      <c r="BK29" s="28">
        <f t="shared" si="26"/>
        <v>0</v>
      </c>
      <c r="BL29" s="28">
        <f t="shared" si="26"/>
        <v>0</v>
      </c>
      <c r="BM29" s="28">
        <f t="shared" si="26"/>
        <v>188473.85121521889</v>
      </c>
      <c r="BN29" s="28">
        <f t="shared" si="26"/>
        <v>0</v>
      </c>
      <c r="BO29" s="28">
        <f t="shared" ref="BO29:CK29" si="27">BO27-BO28</f>
        <v>730804.20449269214</v>
      </c>
      <c r="BP29" s="28">
        <f t="shared" si="27"/>
        <v>-52005.675432717879</v>
      </c>
      <c r="BQ29" s="28">
        <f t="shared" si="27"/>
        <v>196621.710291428</v>
      </c>
      <c r="BR29" s="28">
        <f t="shared" si="27"/>
        <v>0</v>
      </c>
      <c r="BS29" s="28">
        <f t="shared" si="27"/>
        <v>0</v>
      </c>
      <c r="BT29" s="28" t="e">
        <f t="shared" si="27"/>
        <v>#DIV/0!</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408</v>
      </c>
      <c r="B31" s="26">
        <f>B15+B20+B27</f>
        <v>336976422.82000017</v>
      </c>
      <c r="C31" s="26">
        <f t="shared" ref="C31:BN31" si="28">C15+C20+C27</f>
        <v>190445799.41999999</v>
      </c>
      <c r="D31" s="26">
        <f t="shared" si="28"/>
        <v>114494378.59</v>
      </c>
      <c r="E31" s="26">
        <f t="shared" si="28"/>
        <v>301537634.80000013</v>
      </c>
      <c r="F31" s="26">
        <f t="shared" si="28"/>
        <v>246952607.52999988</v>
      </c>
      <c r="G31" s="26">
        <f t="shared" si="28"/>
        <v>160491398.36000001</v>
      </c>
      <c r="H31" s="26">
        <f t="shared" si="28"/>
        <v>76671639.769999936</v>
      </c>
      <c r="I31" s="26">
        <f t="shared" si="28"/>
        <v>238955471.62</v>
      </c>
      <c r="J31" s="26">
        <f t="shared" si="28"/>
        <v>173456005.46999988</v>
      </c>
      <c r="K31" s="26">
        <f t="shared" si="28"/>
        <v>115932101.97000001</v>
      </c>
      <c r="L31" s="26">
        <f t="shared" si="28"/>
        <v>50770896.889999986</v>
      </c>
      <c r="M31" s="26">
        <f t="shared" si="28"/>
        <v>198590395.07999986</v>
      </c>
      <c r="N31" s="26">
        <f t="shared" si="28"/>
        <v>150334408.11000001</v>
      </c>
      <c r="O31" s="26">
        <f t="shared" si="28"/>
        <v>96206853.560000062</v>
      </c>
      <c r="P31" s="26">
        <f t="shared" si="28"/>
        <v>43262817.460000016</v>
      </c>
      <c r="Q31" s="26">
        <f t="shared" si="28"/>
        <v>172779687.31000003</v>
      </c>
      <c r="R31" s="26">
        <f t="shared" si="28"/>
        <v>132865967.72999994</v>
      </c>
      <c r="S31" s="26">
        <f t="shared" si="28"/>
        <v>91475663.629999995</v>
      </c>
      <c r="T31" s="26">
        <f t="shared" si="28"/>
        <v>41488978.469999991</v>
      </c>
      <c r="U31" s="26">
        <f t="shared" si="28"/>
        <v>169532485.53999987</v>
      </c>
      <c r="V31" s="26">
        <f t="shared" si="28"/>
        <v>141254131.66000003</v>
      </c>
      <c r="W31" s="26">
        <f t="shared" si="28"/>
        <v>94782278.560000107</v>
      </c>
      <c r="X31" s="26">
        <f t="shared" si="28"/>
        <v>43953235.650000028</v>
      </c>
      <c r="Y31" s="26">
        <f t="shared" si="28"/>
        <v>165085188.58999994</v>
      </c>
      <c r="Z31" s="26">
        <f t="shared" si="28"/>
        <v>132129999.53000009</v>
      </c>
      <c r="AA31" s="26">
        <f t="shared" si="28"/>
        <v>86772609.350000039</v>
      </c>
      <c r="AB31" s="26">
        <f t="shared" si="28"/>
        <v>37876000.410000004</v>
      </c>
      <c r="AC31" s="26">
        <f t="shared" si="28"/>
        <v>171609366.3499999</v>
      </c>
      <c r="AD31" s="26">
        <f t="shared" si="28"/>
        <v>149386447.00999999</v>
      </c>
      <c r="AE31" s="26">
        <f t="shared" si="28"/>
        <v>108246439.99000007</v>
      </c>
      <c r="AF31" s="26">
        <f t="shared" si="28"/>
        <v>54463896.380000003</v>
      </c>
      <c r="AG31" s="26">
        <f t="shared" si="28"/>
        <v>213334101.09000006</v>
      </c>
      <c r="AH31" s="26">
        <f t="shared" si="28"/>
        <v>174252762.81999993</v>
      </c>
      <c r="AI31" s="26">
        <f t="shared" si="28"/>
        <v>113979038.41000004</v>
      </c>
      <c r="AJ31" s="26">
        <f t="shared" si="28"/>
        <v>53609374.559999973</v>
      </c>
      <c r="AK31" s="26">
        <f t="shared" si="28"/>
        <v>179337096.57000014</v>
      </c>
      <c r="AL31" s="26">
        <f t="shared" si="28"/>
        <v>139410001.71999994</v>
      </c>
      <c r="AM31" s="26">
        <f t="shared" si="28"/>
        <v>94238140.309999973</v>
      </c>
      <c r="AN31" s="26">
        <f t="shared" si="28"/>
        <v>44309856.51000002</v>
      </c>
      <c r="AO31" s="26">
        <f t="shared" si="28"/>
        <v>168697109.15000001</v>
      </c>
      <c r="AP31" s="26">
        <f t="shared" si="28"/>
        <v>135004353.45999992</v>
      </c>
      <c r="AQ31" s="26">
        <f t="shared" si="28"/>
        <v>88092160.460000053</v>
      </c>
      <c r="AR31" s="26">
        <f t="shared" si="28"/>
        <v>39482069.600000001</v>
      </c>
      <c r="AS31" s="26">
        <f t="shared" si="28"/>
        <v>172396226.00999996</v>
      </c>
      <c r="AT31" s="26">
        <f t="shared" si="28"/>
        <v>641949253.49000001</v>
      </c>
      <c r="AU31" s="26">
        <f t="shared" si="28"/>
        <v>82372722.360000014</v>
      </c>
      <c r="AV31" s="26">
        <f t="shared" si="28"/>
        <v>36891883.199999988</v>
      </c>
      <c r="AW31" s="26">
        <f t="shared" si="28"/>
        <v>151667676.99000007</v>
      </c>
      <c r="AX31" s="26">
        <f t="shared" si="28"/>
        <v>114822421.93999994</v>
      </c>
      <c r="AY31" s="26">
        <f t="shared" si="28"/>
        <v>74425386.399999976</v>
      </c>
      <c r="AZ31" s="26">
        <f t="shared" si="28"/>
        <v>36115447.589999996</v>
      </c>
      <c r="BA31" s="26">
        <f t="shared" si="28"/>
        <v>129651386.09000002</v>
      </c>
      <c r="BB31" s="26">
        <f t="shared" si="28"/>
        <v>96862822.000000015</v>
      </c>
      <c r="BC31" s="26">
        <f t="shared" si="28"/>
        <v>65697069.110000037</v>
      </c>
      <c r="BD31" s="26">
        <f t="shared" si="28"/>
        <v>32580373.949999988</v>
      </c>
      <c r="BE31" s="26">
        <f t="shared" si="28"/>
        <v>114464043.88999999</v>
      </c>
      <c r="BF31" s="26">
        <f t="shared" si="28"/>
        <v>81130515.14000003</v>
      </c>
      <c r="BG31" s="26">
        <f t="shared" si="28"/>
        <v>53225800.690000013</v>
      </c>
      <c r="BH31" s="26">
        <f t="shared" si="28"/>
        <v>25258925.049999997</v>
      </c>
      <c r="BI31" s="26">
        <f t="shared" si="28"/>
        <v>104188770.33000006</v>
      </c>
      <c r="BJ31" s="26">
        <f t="shared" si="28"/>
        <v>74202212.24999997</v>
      </c>
      <c r="BK31" s="26">
        <f t="shared" si="28"/>
        <v>51447864.390000001</v>
      </c>
      <c r="BL31" s="26">
        <f t="shared" si="28"/>
        <v>20192689.510000005</v>
      </c>
      <c r="BM31" s="26">
        <f t="shared" si="28"/>
        <v>88390856.710000023</v>
      </c>
      <c r="BN31" s="26">
        <f t="shared" si="28"/>
        <v>62569296.900000021</v>
      </c>
      <c r="BO31" s="26">
        <f t="shared" ref="BO31:CJ31" si="29">BO15+BO20+BO27</f>
        <v>42905544.909999989</v>
      </c>
      <c r="BP31" s="26">
        <f t="shared" si="29"/>
        <v>66318923.00000003</v>
      </c>
      <c r="BQ31" s="26">
        <f t="shared" si="29"/>
        <v>32537144.01000002</v>
      </c>
      <c r="BR31" s="26">
        <f t="shared" si="29"/>
        <v>49945561.210000016</v>
      </c>
      <c r="BS31" s="26">
        <f t="shared" si="29"/>
        <v>47239134.959999986</v>
      </c>
      <c r="BT31" s="26">
        <f t="shared" si="29"/>
        <v>0</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c r="A32" s="57" t="s">
        <v>409</v>
      </c>
      <c r="B32" s="57">
        <f>B31/B4*100</f>
        <v>17.544622779288371</v>
      </c>
      <c r="C32" s="57">
        <f t="shared" ref="C32:D32" si="30">C31/C4*100</f>
        <v>14.648477140464308</v>
      </c>
      <c r="D32" s="57">
        <f t="shared" si="30"/>
        <v>17.767500239573256</v>
      </c>
      <c r="E32" s="57">
        <f>E31/E4</f>
        <v>0.12938817505091663</v>
      </c>
      <c r="F32" s="57">
        <f t="shared" ref="F32:BQ32" si="31">F31/F4</f>
        <v>0.14486397771657528</v>
      </c>
      <c r="G32" s="57">
        <f t="shared" si="31"/>
        <v>0.13955320647604938</v>
      </c>
      <c r="H32" s="57">
        <f t="shared" si="31"/>
        <v>0.13344154136926134</v>
      </c>
      <c r="I32" s="57">
        <f t="shared" si="31"/>
        <v>0.11614026754773114</v>
      </c>
      <c r="J32" s="57">
        <f t="shared" si="31"/>
        <v>0.11981219657603913</v>
      </c>
      <c r="K32" s="57">
        <f t="shared" si="31"/>
        <v>0.11939045496821561</v>
      </c>
      <c r="L32" s="57">
        <f t="shared" si="31"/>
        <v>0.11267859871975489</v>
      </c>
      <c r="M32" s="57">
        <f t="shared" si="31"/>
        <v>0.11524464324398724</v>
      </c>
      <c r="N32" s="57">
        <f t="shared" si="31"/>
        <v>0.11469382408185189</v>
      </c>
      <c r="O32" s="57">
        <f t="shared" si="31"/>
        <v>0.10773864538641685</v>
      </c>
      <c r="P32" s="57">
        <f t="shared" si="31"/>
        <v>0.10403009402625284</v>
      </c>
      <c r="Q32" s="57">
        <f t="shared" si="31"/>
        <v>0.10216924762654143</v>
      </c>
      <c r="R32" s="57">
        <f t="shared" si="31"/>
        <v>0.10795165039400983</v>
      </c>
      <c r="S32" s="57">
        <f t="shared" si="31"/>
        <v>0.11244088813066676</v>
      </c>
      <c r="T32" s="57">
        <f t="shared" si="31"/>
        <v>0.10637536605494141</v>
      </c>
      <c r="U32" s="57">
        <f t="shared" si="31"/>
        <v>0.10976209226794595</v>
      </c>
      <c r="V32" s="57">
        <f t="shared" si="31"/>
        <v>0.12585046816112505</v>
      </c>
      <c r="W32" s="57">
        <f t="shared" si="31"/>
        <v>0.12488968467852374</v>
      </c>
      <c r="X32" s="57">
        <f t="shared" si="31"/>
        <v>0.12304734947953341</v>
      </c>
      <c r="Y32" s="57">
        <f t="shared" si="31"/>
        <v>0.11244873965902087</v>
      </c>
      <c r="Z32" s="57">
        <f t="shared" si="31"/>
        <v>0.123330495008939</v>
      </c>
      <c r="AA32" s="57">
        <f t="shared" si="31"/>
        <v>0.12173352432316198</v>
      </c>
      <c r="AB32" s="57">
        <f t="shared" si="31"/>
        <v>0.11573440076538512</v>
      </c>
      <c r="AC32" s="57">
        <f t="shared" si="31"/>
        <v>0.12282570077189457</v>
      </c>
      <c r="AD32" s="57">
        <f t="shared" si="31"/>
        <v>0.13850468545872266</v>
      </c>
      <c r="AE32" s="57">
        <f t="shared" si="31"/>
        <v>0.14613556034103953</v>
      </c>
      <c r="AF32" s="57">
        <f t="shared" si="31"/>
        <v>0.14559688977924323</v>
      </c>
      <c r="AG32" s="57">
        <f t="shared" si="31"/>
        <v>0.14096175530259902</v>
      </c>
      <c r="AH32" s="57">
        <f t="shared" si="31"/>
        <v>0.16443655057435994</v>
      </c>
      <c r="AI32" s="57">
        <f t="shared" si="31"/>
        <v>0.16180741505480087</v>
      </c>
      <c r="AJ32" s="57">
        <f t="shared" si="31"/>
        <v>0.1594411528545083</v>
      </c>
      <c r="AK32" s="57">
        <f t="shared" si="31"/>
        <v>0.14437537018560165</v>
      </c>
      <c r="AL32" s="57">
        <f t="shared" si="31"/>
        <v>0.16230521919712276</v>
      </c>
      <c r="AM32" s="57">
        <f t="shared" si="31"/>
        <v>0.1676019299522126</v>
      </c>
      <c r="AN32" s="57">
        <f t="shared" si="31"/>
        <v>0.16652527102050074</v>
      </c>
      <c r="AO32" s="57">
        <f t="shared" si="31"/>
        <v>0.14564298063812389</v>
      </c>
      <c r="AP32" s="57">
        <f t="shared" si="31"/>
        <v>0.15080762810839493</v>
      </c>
      <c r="AQ32" s="57">
        <f t="shared" si="31"/>
        <v>0.15558734868205779</v>
      </c>
      <c r="AR32" s="57">
        <f t="shared" si="31"/>
        <v>0.1566311296862547</v>
      </c>
      <c r="AS32" s="57">
        <f t="shared" si="31"/>
        <v>0.17033016237392989</v>
      </c>
      <c r="AT32" s="57">
        <f t="shared" si="31"/>
        <v>0.86035876710996995</v>
      </c>
      <c r="AU32" s="57">
        <f t="shared" si="31"/>
        <v>0.17000282514244566</v>
      </c>
      <c r="AV32" s="57">
        <f t="shared" si="31"/>
        <v>0.16511668147147177</v>
      </c>
      <c r="AW32" s="57">
        <f t="shared" si="31"/>
        <v>0.18345840809855921</v>
      </c>
      <c r="AX32" s="57">
        <f t="shared" si="31"/>
        <v>0.19006177092531426</v>
      </c>
      <c r="AY32" s="57">
        <f t="shared" si="31"/>
        <v>0.18724375365417695</v>
      </c>
      <c r="AZ32" s="57">
        <f t="shared" si="31"/>
        <v>0.17498885359285754</v>
      </c>
      <c r="BA32" s="57">
        <f t="shared" si="31"/>
        <v>0.19289371706518083</v>
      </c>
      <c r="BB32" s="57">
        <f t="shared" si="31"/>
        <v>0.19857671848574152</v>
      </c>
      <c r="BC32" s="57">
        <f t="shared" si="31"/>
        <v>0.20210770028032626</v>
      </c>
      <c r="BD32" s="57">
        <f t="shared" si="31"/>
        <v>0.21334903297455265</v>
      </c>
      <c r="BE32" s="57">
        <f t="shared" si="31"/>
        <v>0.20433525692994844</v>
      </c>
      <c r="BF32" s="57">
        <f t="shared" si="31"/>
        <v>0.20237934458287349</v>
      </c>
      <c r="BG32" s="57">
        <f t="shared" si="31"/>
        <v>0.1993620738462353</v>
      </c>
      <c r="BH32" s="57">
        <f t="shared" si="31"/>
        <v>0.18989184590054414</v>
      </c>
      <c r="BI32" s="57">
        <f t="shared" si="31"/>
        <v>0.22263055843513088</v>
      </c>
      <c r="BJ32" s="57">
        <f t="shared" si="31"/>
        <v>0.21249225116950141</v>
      </c>
      <c r="BK32" s="57">
        <f t="shared" si="31"/>
        <v>0.21761242066773911</v>
      </c>
      <c r="BL32" s="57">
        <f t="shared" si="31"/>
        <v>0.2215313523569192</v>
      </c>
      <c r="BM32" s="57">
        <f t="shared" si="31"/>
        <v>0.20929915893784554</v>
      </c>
      <c r="BN32" s="57">
        <f t="shared" si="31"/>
        <v>0.21327102735009068</v>
      </c>
      <c r="BO32" s="57">
        <f t="shared" si="31"/>
        <v>0.22842711989053407</v>
      </c>
      <c r="BP32" s="57">
        <f t="shared" si="31"/>
        <v>0.18942372379941716</v>
      </c>
      <c r="BQ32" s="57">
        <f t="shared" si="31"/>
        <v>0.2021970696248864</v>
      </c>
      <c r="BR32" s="57">
        <f t="shared" ref="BR32:CK32" si="32">BR31/BR4</f>
        <v>0.17039593722524127</v>
      </c>
      <c r="BS32" s="57">
        <f t="shared" si="32"/>
        <v>0.20440364403535943</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410</v>
      </c>
      <c r="B33" s="26">
        <f>B17+B20+B29</f>
        <v>293196824.33122653</v>
      </c>
      <c r="C33" s="26">
        <f t="shared" ref="C33:BN33" si="33">C17+C20+C29</f>
        <v>161044287.25425345</v>
      </c>
      <c r="D33" s="26">
        <f t="shared" si="33"/>
        <v>96995048.26474984</v>
      </c>
      <c r="E33" s="26">
        <f t="shared" si="33"/>
        <v>250721625.0734911</v>
      </c>
      <c r="F33" s="26">
        <f t="shared" si="33"/>
        <v>206272379.12660965</v>
      </c>
      <c r="G33" s="26">
        <f t="shared" si="33"/>
        <v>134152496.93993194</v>
      </c>
      <c r="H33" s="26">
        <f t="shared" si="33"/>
        <v>64338132.271507137</v>
      </c>
      <c r="I33" s="26">
        <f t="shared" si="33"/>
        <v>191465648.47604391</v>
      </c>
      <c r="J33" s="26">
        <f t="shared" si="33"/>
        <v>124166832.9893325</v>
      </c>
      <c r="K33" s="26">
        <f t="shared" si="33"/>
        <v>83204158.064970851</v>
      </c>
      <c r="L33" s="26">
        <f t="shared" si="33"/>
        <v>37589605.468681484</v>
      </c>
      <c r="M33" s="26">
        <f t="shared" si="33"/>
        <v>147741607.18006322</v>
      </c>
      <c r="N33" s="26">
        <f t="shared" si="33"/>
        <v>112603680.08204329</v>
      </c>
      <c r="O33" s="26">
        <f t="shared" si="33"/>
        <v>72107266.115752891</v>
      </c>
      <c r="P33" s="26">
        <f t="shared" si="33"/>
        <v>32511926.862048194</v>
      </c>
      <c r="Q33" s="26">
        <f t="shared" si="33"/>
        <v>126738850.1684029</v>
      </c>
      <c r="R33" s="26">
        <f t="shared" si="33"/>
        <v>98713598.501915365</v>
      </c>
      <c r="S33" s="26">
        <f t="shared" si="33"/>
        <v>68356686.007698908</v>
      </c>
      <c r="T33" s="26">
        <f t="shared" si="33"/>
        <v>30733447.793998659</v>
      </c>
      <c r="U33" s="26">
        <f t="shared" si="33"/>
        <v>124390688.97910255</v>
      </c>
      <c r="V33" s="26">
        <f t="shared" si="33"/>
        <v>108428416.17075282</v>
      </c>
      <c r="W33" s="26">
        <f t="shared" si="33"/>
        <v>71879004.472294137</v>
      </c>
      <c r="X33" s="26">
        <f t="shared" si="33"/>
        <v>33620874.495408438</v>
      </c>
      <c r="Y33" s="26">
        <f t="shared" si="33"/>
        <v>122875412.118573</v>
      </c>
      <c r="Z33" s="26">
        <f t="shared" si="33"/>
        <v>98077875.246318877</v>
      </c>
      <c r="AA33" s="26">
        <f t="shared" si="33"/>
        <v>64305792.769885525</v>
      </c>
      <c r="AB33" s="26">
        <f t="shared" si="33"/>
        <v>28478194.109952893</v>
      </c>
      <c r="AC33" s="26">
        <f t="shared" si="33"/>
        <v>135723003.84874281</v>
      </c>
      <c r="AD33" s="26">
        <f t="shared" si="33"/>
        <v>117409834.11414182</v>
      </c>
      <c r="AE33" s="26">
        <f t="shared" si="33"/>
        <v>86955571.191017509</v>
      </c>
      <c r="AF33" s="26">
        <f t="shared" si="33"/>
        <v>40575609.541956827</v>
      </c>
      <c r="AG33" s="26">
        <f t="shared" si="33"/>
        <v>176493286.74380699</v>
      </c>
      <c r="AH33" s="26">
        <f t="shared" si="33"/>
        <v>146078675.6027351</v>
      </c>
      <c r="AI33" s="26">
        <f t="shared" si="33"/>
        <v>96253161.728760883</v>
      </c>
      <c r="AJ33" s="26">
        <f t="shared" si="33"/>
        <v>45551565.474011838</v>
      </c>
      <c r="AK33" s="26">
        <f t="shared" si="33"/>
        <v>149685092.31709787</v>
      </c>
      <c r="AL33" s="26">
        <f t="shared" si="33"/>
        <v>114631145.92659974</v>
      </c>
      <c r="AM33" s="26">
        <f t="shared" si="33"/>
        <v>77773623.908051729</v>
      </c>
      <c r="AN33" s="26">
        <f t="shared" si="33"/>
        <v>37594925.731512815</v>
      </c>
      <c r="AO33" s="26">
        <f t="shared" si="33"/>
        <v>142881406.32980078</v>
      </c>
      <c r="AP33" s="26">
        <f t="shared" si="33"/>
        <v>103904007.08787283</v>
      </c>
      <c r="AQ33" s="26">
        <f t="shared" si="33"/>
        <v>68725848.757209674</v>
      </c>
      <c r="AR33" s="26">
        <f t="shared" si="33"/>
        <v>29459587.802118994</v>
      </c>
      <c r="AS33" s="26">
        <f t="shared" si="33"/>
        <v>119996748.04141366</v>
      </c>
      <c r="AT33" s="26">
        <f t="shared" si="33"/>
        <v>607655436.93057966</v>
      </c>
      <c r="AU33" s="26">
        <f t="shared" si="33"/>
        <v>58317765.31187214</v>
      </c>
      <c r="AV33" s="26">
        <f t="shared" si="33"/>
        <v>25894547.196580261</v>
      </c>
      <c r="AW33" s="26">
        <f t="shared" si="33"/>
        <v>99389892.246370941</v>
      </c>
      <c r="AX33" s="26">
        <f t="shared" si="33"/>
        <v>80582182.822373554</v>
      </c>
      <c r="AY33" s="26">
        <f t="shared" si="33"/>
        <v>52957465.91306556</v>
      </c>
      <c r="AZ33" s="26">
        <f t="shared" si="33"/>
        <v>24485167.114982966</v>
      </c>
      <c r="BA33" s="26">
        <f t="shared" si="33"/>
        <v>87908590.862214535</v>
      </c>
      <c r="BB33" s="26">
        <f t="shared" si="33"/>
        <v>66208948.532354377</v>
      </c>
      <c r="BC33" s="26">
        <f t="shared" si="33"/>
        <v>43947945.627063803</v>
      </c>
      <c r="BD33" s="26">
        <f t="shared" si="33"/>
        <v>21948384.604124777</v>
      </c>
      <c r="BE33" s="26">
        <f t="shared" si="33"/>
        <v>74578516.625385582</v>
      </c>
      <c r="BF33" s="26">
        <f t="shared" si="33"/>
        <v>54429716.402884968</v>
      </c>
      <c r="BG33" s="26">
        <f t="shared" si="33"/>
        <v>35166809.720974058</v>
      </c>
      <c r="BH33" s="26">
        <f t="shared" si="33"/>
        <v>16746489.653149374</v>
      </c>
      <c r="BI33" s="26">
        <f t="shared" si="33"/>
        <v>68179465.876244739</v>
      </c>
      <c r="BJ33" s="26">
        <f t="shared" si="33"/>
        <v>49913580.671370462</v>
      </c>
      <c r="BK33" s="26">
        <f t="shared" si="33"/>
        <v>34618661.009833135</v>
      </c>
      <c r="BL33" s="26">
        <f t="shared" si="33"/>
        <v>13299877.681794897</v>
      </c>
      <c r="BM33" s="26">
        <f t="shared" si="33"/>
        <v>62242237.549289532</v>
      </c>
      <c r="BN33" s="26">
        <f t="shared" si="33"/>
        <v>43306392.491845459</v>
      </c>
      <c r="BO33" s="26">
        <f t="shared" ref="BO33:CJ33" si="34">BO17+BO20+BO29</f>
        <v>29496041.072927706</v>
      </c>
      <c r="BP33" s="26">
        <f t="shared" si="34"/>
        <v>45790053.242473669</v>
      </c>
      <c r="BQ33" s="26">
        <f t="shared" si="34"/>
        <v>21218349.474550802</v>
      </c>
      <c r="BR33" s="26">
        <f t="shared" si="34"/>
        <v>34524148.131465234</v>
      </c>
      <c r="BS33" s="26">
        <f t="shared" si="34"/>
        <v>32737849.191867828</v>
      </c>
      <c r="BT33" s="26" t="e">
        <f t="shared" si="34"/>
        <v>#DIV/0!</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411</v>
      </c>
      <c r="B34" s="57">
        <f>B33/B4*100</f>
        <v>15.265245087263537</v>
      </c>
      <c r="C34" s="57">
        <f t="shared" ref="C34:D34" si="35">C33/C4*100</f>
        <v>12.387007577120439</v>
      </c>
      <c r="D34" s="57">
        <f t="shared" si="35"/>
        <v>15.051914028483854</v>
      </c>
      <c r="E34" s="57">
        <f>E33/E4</f>
        <v>0.10758329896556959</v>
      </c>
      <c r="F34" s="57">
        <f t="shared" ref="F34:BQ34" si="36">F33/F4</f>
        <v>0.12100069576998551</v>
      </c>
      <c r="G34" s="57">
        <f t="shared" si="36"/>
        <v>0.11665055757531444</v>
      </c>
      <c r="H34" s="57">
        <f t="shared" si="36"/>
        <v>0.11197594788482158</v>
      </c>
      <c r="I34" s="57">
        <f t="shared" si="36"/>
        <v>9.3058641802393482E-2</v>
      </c>
      <c r="J34" s="57">
        <f t="shared" si="36"/>
        <v>8.5766422223502253E-2</v>
      </c>
      <c r="K34" s="57">
        <f t="shared" si="36"/>
        <v>8.5686208718917051E-2</v>
      </c>
      <c r="L34" s="57">
        <f t="shared" si="36"/>
        <v>8.342464541873619E-2</v>
      </c>
      <c r="M34" s="57">
        <f t="shared" si="36"/>
        <v>8.5736416430919477E-2</v>
      </c>
      <c r="N34" s="57">
        <f t="shared" si="36"/>
        <v>8.5908122010558668E-2</v>
      </c>
      <c r="O34" s="57">
        <f t="shared" si="36"/>
        <v>8.0750371583289168E-2</v>
      </c>
      <c r="P34" s="57">
        <f t="shared" si="36"/>
        <v>7.817842218807558E-2</v>
      </c>
      <c r="Q34" s="57">
        <f t="shared" si="36"/>
        <v>7.4944069921402415E-2</v>
      </c>
      <c r="R34" s="57">
        <f t="shared" si="36"/>
        <v>8.0203351216831767E-2</v>
      </c>
      <c r="S34" s="57">
        <f t="shared" si="36"/>
        <v>8.4023292965256915E-2</v>
      </c>
      <c r="T34" s="57">
        <f t="shared" si="36"/>
        <v>7.8798801025699E-2</v>
      </c>
      <c r="U34" s="57">
        <f t="shared" si="36"/>
        <v>8.0535492873288955E-2</v>
      </c>
      <c r="V34" s="57">
        <f t="shared" si="36"/>
        <v>9.6604373809780167E-2</v>
      </c>
      <c r="W34" s="57">
        <f t="shared" si="36"/>
        <v>9.4711230199729046E-2</v>
      </c>
      <c r="X34" s="57">
        <f t="shared" si="36"/>
        <v>9.4121841831775382E-2</v>
      </c>
      <c r="Y34" s="57">
        <f t="shared" si="36"/>
        <v>8.3697304075729118E-2</v>
      </c>
      <c r="Z34" s="57">
        <f t="shared" si="36"/>
        <v>9.1546151113147317E-2</v>
      </c>
      <c r="AA34" s="57">
        <f t="shared" si="36"/>
        <v>9.0214767619790026E-2</v>
      </c>
      <c r="AB34" s="57">
        <f t="shared" si="36"/>
        <v>8.7018341285199016E-2</v>
      </c>
      <c r="AC34" s="57">
        <f t="shared" si="36"/>
        <v>9.7140811210671946E-2</v>
      </c>
      <c r="AD34" s="57">
        <f t="shared" si="36"/>
        <v>0.1088573459589105</v>
      </c>
      <c r="AE34" s="57">
        <f t="shared" si="36"/>
        <v>0.11739232368240853</v>
      </c>
      <c r="AF34" s="57">
        <f t="shared" si="36"/>
        <v>0.10846970090034344</v>
      </c>
      <c r="AG34" s="57">
        <f t="shared" si="36"/>
        <v>0.11661897170408894</v>
      </c>
      <c r="AH34" s="57">
        <f t="shared" si="36"/>
        <v>0.13784959928238044</v>
      </c>
      <c r="AI34" s="57">
        <f t="shared" si="36"/>
        <v>0.13664332940025967</v>
      </c>
      <c r="AJ34" s="57">
        <f t="shared" si="36"/>
        <v>0.13547619559290877</v>
      </c>
      <c r="AK34" s="57">
        <f t="shared" si="36"/>
        <v>0.12050401745024161</v>
      </c>
      <c r="AL34" s="57">
        <f t="shared" si="36"/>
        <v>0.13345694739895411</v>
      </c>
      <c r="AM34" s="57">
        <f t="shared" si="36"/>
        <v>0.13831989281078605</v>
      </c>
      <c r="AN34" s="57">
        <f t="shared" si="36"/>
        <v>0.141289222975093</v>
      </c>
      <c r="AO34" s="57">
        <f t="shared" si="36"/>
        <v>0.12335524894582398</v>
      </c>
      <c r="AP34" s="57">
        <f t="shared" si="36"/>
        <v>0.11606675235493526</v>
      </c>
      <c r="AQ34" s="57">
        <f t="shared" si="36"/>
        <v>0.12138279431702274</v>
      </c>
      <c r="AR34" s="57">
        <f t="shared" si="36"/>
        <v>0.11687048232996648</v>
      </c>
      <c r="AS34" s="57">
        <f t="shared" si="36"/>
        <v>0.11855866019394162</v>
      </c>
      <c r="AT34" s="57">
        <f t="shared" si="36"/>
        <v>0.81439721240116314</v>
      </c>
      <c r="AU34" s="57">
        <f t="shared" si="36"/>
        <v>0.12035762052009932</v>
      </c>
      <c r="AV34" s="57">
        <f t="shared" si="36"/>
        <v>0.11589600016151348</v>
      </c>
      <c r="AW34" s="57">
        <f t="shared" si="36"/>
        <v>0.12022279087065312</v>
      </c>
      <c r="AX34" s="57">
        <f t="shared" si="36"/>
        <v>0.13338503154245315</v>
      </c>
      <c r="AY34" s="57">
        <f t="shared" si="36"/>
        <v>0.13323349976689572</v>
      </c>
      <c r="AZ34" s="57">
        <f t="shared" si="36"/>
        <v>0.11863708217385559</v>
      </c>
      <c r="BA34" s="57">
        <f t="shared" si="36"/>
        <v>0.13078930634496813</v>
      </c>
      <c r="BB34" s="57">
        <f t="shared" si="36"/>
        <v>0.13573376722336544</v>
      </c>
      <c r="BC34" s="57">
        <f t="shared" si="36"/>
        <v>0.13519961153607515</v>
      </c>
      <c r="BD34" s="57">
        <f t="shared" si="36"/>
        <v>0.14372660785999306</v>
      </c>
      <c r="BE34" s="57">
        <f t="shared" si="36"/>
        <v>0.1331336884336124</v>
      </c>
      <c r="BF34" s="57">
        <f t="shared" si="36"/>
        <v>0.13577444088009441</v>
      </c>
      <c r="BG34" s="57">
        <f t="shared" si="36"/>
        <v>0.13172048190242705</v>
      </c>
      <c r="BH34" s="57">
        <f t="shared" si="36"/>
        <v>0.12589695825519298</v>
      </c>
      <c r="BI34" s="57">
        <f t="shared" si="36"/>
        <v>0.1456858787541207</v>
      </c>
      <c r="BJ34" s="57">
        <f t="shared" si="36"/>
        <v>0.14293710118851649</v>
      </c>
      <c r="BK34" s="57">
        <f t="shared" si="36"/>
        <v>0.14642883066084963</v>
      </c>
      <c r="BL34" s="57">
        <f t="shared" si="36"/>
        <v>0.14591121641178695</v>
      </c>
      <c r="BM34" s="57">
        <f t="shared" si="36"/>
        <v>0.14738230235981026</v>
      </c>
      <c r="BN34" s="57">
        <f t="shared" si="36"/>
        <v>0.14761231586673193</v>
      </c>
      <c r="BO34" s="57">
        <f t="shared" si="36"/>
        <v>0.15703554691112712</v>
      </c>
      <c r="BP34" s="57">
        <f t="shared" si="36"/>
        <v>0.13078804669615843</v>
      </c>
      <c r="BQ34" s="57">
        <f t="shared" si="36"/>
        <v>0.13185816446312362</v>
      </c>
      <c r="BR34" s="57">
        <f t="shared" ref="BR34:CK34" si="37">BR33/BR4</f>
        <v>0.11778373163191609</v>
      </c>
      <c r="BS34" s="57">
        <f t="shared" si="37"/>
        <v>0.14165660904595517</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412</v>
      </c>
      <c r="B35" s="26">
        <f>B23+B68</f>
        <v>-29614897.039999999</v>
      </c>
      <c r="C35" s="26">
        <f t="shared" ref="C35:BN35" si="38">C23+C68</f>
        <v>-6188012.5300000003</v>
      </c>
      <c r="D35" s="26">
        <f t="shared" si="38"/>
        <v>17244888.079999998</v>
      </c>
      <c r="E35" s="26">
        <f t="shared" si="38"/>
        <v>19779054.600000001</v>
      </c>
      <c r="F35" s="26">
        <f t="shared" si="38"/>
        <v>10179685.449999999</v>
      </c>
      <c r="G35" s="26">
        <f t="shared" si="38"/>
        <v>2439032.0499999998</v>
      </c>
      <c r="H35" s="26">
        <f t="shared" si="38"/>
        <v>-524267.29000000004</v>
      </c>
      <c r="I35" s="26">
        <f t="shared" si="38"/>
        <v>-13689548.030000001</v>
      </c>
      <c r="J35" s="26">
        <f t="shared" si="38"/>
        <v>-6984746.6699999999</v>
      </c>
      <c r="K35" s="26">
        <f t="shared" si="38"/>
        <v>-3354509.71</v>
      </c>
      <c r="L35" s="26">
        <f t="shared" si="38"/>
        <v>-1227910.6100000001</v>
      </c>
      <c r="M35" s="26">
        <f t="shared" si="38"/>
        <v>798688.37000000011</v>
      </c>
      <c r="N35" s="26">
        <f t="shared" si="38"/>
        <v>-573251.26</v>
      </c>
      <c r="O35" s="26">
        <f t="shared" si="38"/>
        <v>-658194.99</v>
      </c>
      <c r="P35" s="26">
        <f t="shared" si="38"/>
        <v>419454.76</v>
      </c>
      <c r="Q35" s="26">
        <f t="shared" si="38"/>
        <v>4870079.22</v>
      </c>
      <c r="R35" s="26">
        <f t="shared" si="38"/>
        <v>2857179.26</v>
      </c>
      <c r="S35" s="26">
        <f t="shared" si="38"/>
        <v>1256157.47</v>
      </c>
      <c r="T35" s="26">
        <f t="shared" si="38"/>
        <v>1125476.3999999999</v>
      </c>
      <c r="U35" s="26">
        <f t="shared" si="38"/>
        <v>11710840.720000001</v>
      </c>
      <c r="V35" s="26">
        <f t="shared" si="38"/>
        <v>8163207.9500000002</v>
      </c>
      <c r="W35" s="26">
        <f t="shared" si="38"/>
        <v>6063434.7999999998</v>
      </c>
      <c r="X35" s="26">
        <f t="shared" si="38"/>
        <v>2846784.51</v>
      </c>
      <c r="Y35" s="26">
        <f t="shared" si="38"/>
        <v>6759368.2799999993</v>
      </c>
      <c r="Z35" s="26">
        <f t="shared" si="38"/>
        <v>2856975.74</v>
      </c>
      <c r="AA35" s="26">
        <f t="shared" si="38"/>
        <v>1632546.72</v>
      </c>
      <c r="AB35" s="26">
        <f t="shared" si="38"/>
        <v>959874.41</v>
      </c>
      <c r="AC35" s="26">
        <f t="shared" si="38"/>
        <v>8330056.6299999999</v>
      </c>
      <c r="AD35" s="26">
        <f t="shared" si="38"/>
        <v>4394677.49</v>
      </c>
      <c r="AE35" s="26">
        <f t="shared" si="38"/>
        <v>4169519.22</v>
      </c>
      <c r="AF35" s="26">
        <f t="shared" si="38"/>
        <v>1404314.36</v>
      </c>
      <c r="AG35" s="26">
        <f t="shared" si="38"/>
        <v>8757234.0800000001</v>
      </c>
      <c r="AH35" s="26">
        <f t="shared" si="38"/>
        <v>5132047.41</v>
      </c>
      <c r="AI35" s="26">
        <f t="shared" si="38"/>
        <v>2847549.66</v>
      </c>
      <c r="AJ35" s="26">
        <f t="shared" si="38"/>
        <v>1614417.21</v>
      </c>
      <c r="AK35" s="26">
        <f t="shared" si="38"/>
        <v>9921727.540000001</v>
      </c>
      <c r="AL35" s="26">
        <f t="shared" si="38"/>
        <v>4972612.01</v>
      </c>
      <c r="AM35" s="26">
        <f t="shared" si="38"/>
        <v>3604149.88</v>
      </c>
      <c r="AN35" s="26">
        <f t="shared" si="38"/>
        <v>1944412.29</v>
      </c>
      <c r="AO35" s="26">
        <f t="shared" si="38"/>
        <v>13560871.200000001</v>
      </c>
      <c r="AP35" s="26">
        <f t="shared" si="38"/>
        <v>6557430.5800000001</v>
      </c>
      <c r="AQ35" s="26">
        <f t="shared" si="38"/>
        <v>3022036.68</v>
      </c>
      <c r="AR35" s="26">
        <f t="shared" si="38"/>
        <v>-1997.85</v>
      </c>
      <c r="AS35" s="26">
        <f t="shared" si="38"/>
        <v>14504550.98</v>
      </c>
      <c r="AT35" s="26">
        <f t="shared" si="38"/>
        <v>8476458.4700000007</v>
      </c>
      <c r="AU35" s="26">
        <f t="shared" si="38"/>
        <v>6102813.75</v>
      </c>
      <c r="AV35" s="26">
        <f t="shared" si="38"/>
        <v>3048716.13</v>
      </c>
      <c r="AW35" s="26">
        <f t="shared" si="38"/>
        <v>16609291.91</v>
      </c>
      <c r="AX35" s="26">
        <f t="shared" si="38"/>
        <v>11726642.48</v>
      </c>
      <c r="AY35" s="26">
        <f t="shared" si="38"/>
        <v>7684842.1100000003</v>
      </c>
      <c r="AZ35" s="26">
        <f t="shared" si="38"/>
        <v>3893802.65</v>
      </c>
      <c r="BA35" s="26">
        <f t="shared" si="38"/>
        <v>10318993.810000001</v>
      </c>
      <c r="BB35" s="26">
        <f t="shared" si="38"/>
        <v>7241586.0300000003</v>
      </c>
      <c r="BC35" s="26">
        <f t="shared" si="38"/>
        <v>4893639.97</v>
      </c>
      <c r="BD35" s="26">
        <f t="shared" si="38"/>
        <v>2363074.59</v>
      </c>
      <c r="BE35" s="26">
        <f t="shared" si="38"/>
        <v>4004744.47</v>
      </c>
      <c r="BF35" s="26">
        <f t="shared" si="38"/>
        <v>2208563.7000000002</v>
      </c>
      <c r="BG35" s="26">
        <f t="shared" si="38"/>
        <v>772891.03</v>
      </c>
      <c r="BH35" s="26">
        <f t="shared" si="38"/>
        <v>804354.42</v>
      </c>
      <c r="BI35" s="26">
        <f t="shared" si="38"/>
        <v>-1382972.54</v>
      </c>
      <c r="BJ35" s="26">
        <f t="shared" si="38"/>
        <v>-1938357.93</v>
      </c>
      <c r="BK35" s="26">
        <f t="shared" si="38"/>
        <v>2429491.59</v>
      </c>
      <c r="BL35" s="26">
        <f t="shared" si="38"/>
        <v>1249440.6399999999</v>
      </c>
      <c r="BM35" s="26">
        <f t="shared" si="38"/>
        <v>5198578.28</v>
      </c>
      <c r="BN35" s="26">
        <f t="shared" si="38"/>
        <v>4187258.1</v>
      </c>
      <c r="BO35" s="26">
        <f t="shared" ref="BO35:CJ35" si="39">BO23+BO68</f>
        <v>2901477.14</v>
      </c>
      <c r="BP35" s="26">
        <f t="shared" si="39"/>
        <v>6702590.9100000001</v>
      </c>
      <c r="BQ35" s="26">
        <f t="shared" si="39"/>
        <v>3022181.59</v>
      </c>
      <c r="BR35" s="26">
        <f t="shared" si="39"/>
        <v>5476370.4199999999</v>
      </c>
      <c r="BS35" s="26">
        <f t="shared" si="39"/>
        <v>5911905.1100000003</v>
      </c>
      <c r="BT35" s="26">
        <f t="shared" si="39"/>
        <v>0</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413</v>
      </c>
      <c r="B36" s="26">
        <f>B35*B41</f>
        <v>-3847534.1712263543</v>
      </c>
      <c r="C36" s="26">
        <f t="shared" ref="C36:BN36" si="40">C35*C41</f>
        <v>-955321.28425343859</v>
      </c>
      <c r="D36" s="26">
        <f t="shared" si="40"/>
        <v>2635710.1252501686</v>
      </c>
      <c r="E36" s="26">
        <f t="shared" si="40"/>
        <v>3333224.4965090267</v>
      </c>
      <c r="F36" s="26">
        <f t="shared" si="40"/>
        <v>1676888.2633902202</v>
      </c>
      <c r="G36" s="26">
        <f t="shared" si="40"/>
        <v>400279.55006807216</v>
      </c>
      <c r="H36" s="26">
        <f t="shared" si="40"/>
        <v>-84334.371507201475</v>
      </c>
      <c r="I36" s="26">
        <f t="shared" si="40"/>
        <v>-2720650.0460438915</v>
      </c>
      <c r="J36" s="26">
        <f t="shared" si="40"/>
        <v>-1984782.1493326207</v>
      </c>
      <c r="K36" s="26">
        <f t="shared" si="40"/>
        <v>-946987.10497084924</v>
      </c>
      <c r="L36" s="26">
        <f t="shared" si="40"/>
        <v>-318793.80868150288</v>
      </c>
      <c r="M36" s="26">
        <f t="shared" si="40"/>
        <v>204503.01993666883</v>
      </c>
      <c r="N36" s="26">
        <f t="shared" si="40"/>
        <v>-143873.83204327637</v>
      </c>
      <c r="O36" s="26">
        <f t="shared" si="40"/>
        <v>-164876.27575282677</v>
      </c>
      <c r="P36" s="26">
        <f t="shared" si="40"/>
        <v>104235.28795182022</v>
      </c>
      <c r="Q36" s="26">
        <f t="shared" si="40"/>
        <v>1297736.6015971426</v>
      </c>
      <c r="R36" s="26">
        <f t="shared" si="40"/>
        <v>734420.12808455876</v>
      </c>
      <c r="S36" s="26">
        <f t="shared" si="40"/>
        <v>317473.2523010869</v>
      </c>
      <c r="T36" s="26">
        <f t="shared" si="40"/>
        <v>291766.54600133246</v>
      </c>
      <c r="U36" s="26">
        <f t="shared" si="40"/>
        <v>3118271.920897319</v>
      </c>
      <c r="V36" s="26">
        <f t="shared" si="40"/>
        <v>1897028.6992471875</v>
      </c>
      <c r="W36" s="26">
        <f t="shared" si="40"/>
        <v>1465173.7777059665</v>
      </c>
      <c r="X36" s="26">
        <f t="shared" si="40"/>
        <v>669211.38459159236</v>
      </c>
      <c r="Y36" s="26">
        <f t="shared" si="40"/>
        <v>1728267.8514269597</v>
      </c>
      <c r="Z36" s="26">
        <f t="shared" si="40"/>
        <v>736290.7236812131</v>
      </c>
      <c r="AA36" s="26">
        <f t="shared" si="40"/>
        <v>422692.46011451836</v>
      </c>
      <c r="AB36" s="26">
        <f t="shared" si="40"/>
        <v>238164.37004711732</v>
      </c>
      <c r="AC36" s="26">
        <f t="shared" si="40"/>
        <v>1741952.8912570931</v>
      </c>
      <c r="AD36" s="26">
        <f t="shared" si="40"/>
        <v>940693.77585815836</v>
      </c>
      <c r="AE36" s="26">
        <f t="shared" si="40"/>
        <v>820097.9789825608</v>
      </c>
      <c r="AF36" s="26">
        <f t="shared" si="40"/>
        <v>358099.98804318073</v>
      </c>
      <c r="AG36" s="26">
        <f t="shared" si="40"/>
        <v>1512292.8461930631</v>
      </c>
      <c r="AH36" s="26">
        <f t="shared" si="40"/>
        <v>829775.94726482336</v>
      </c>
      <c r="AI36" s="26">
        <f t="shared" si="40"/>
        <v>442847.341239159</v>
      </c>
      <c r="AJ36" s="26">
        <f t="shared" si="40"/>
        <v>242656.54598813166</v>
      </c>
      <c r="AK36" s="26">
        <f t="shared" si="40"/>
        <v>1640481.0429022622</v>
      </c>
      <c r="AL36" s="26">
        <f t="shared" si="40"/>
        <v>883836.41340019589</v>
      </c>
      <c r="AM36" s="26">
        <f t="shared" si="40"/>
        <v>629687.56194823701</v>
      </c>
      <c r="AN36" s="26">
        <f t="shared" si="40"/>
        <v>294665.67848720343</v>
      </c>
      <c r="AO36" s="26">
        <f t="shared" si="40"/>
        <v>2075218.8501992393</v>
      </c>
      <c r="AP36" s="26">
        <f t="shared" si="40"/>
        <v>1510605.8221270808</v>
      </c>
      <c r="AQ36" s="26">
        <f t="shared" si="40"/>
        <v>664369.0427903682</v>
      </c>
      <c r="AR36" s="26">
        <f t="shared" si="40"/>
        <v>-507.15211899369541</v>
      </c>
      <c r="AS36" s="26">
        <f t="shared" si="40"/>
        <v>4408628.4085862786</v>
      </c>
      <c r="AT36" s="26">
        <f t="shared" si="40"/>
        <v>452824.12942046381</v>
      </c>
      <c r="AU36" s="26">
        <f t="shared" si="40"/>
        <v>1782178.8381278666</v>
      </c>
      <c r="AV36" s="26">
        <f t="shared" si="40"/>
        <v>908811.17341972573</v>
      </c>
      <c r="AW36" s="26">
        <f t="shared" si="40"/>
        <v>5724996.9436291317</v>
      </c>
      <c r="AX36" s="26">
        <f t="shared" si="40"/>
        <v>3496904.487626378</v>
      </c>
      <c r="AY36" s="26">
        <f t="shared" si="40"/>
        <v>2216684.2169344164</v>
      </c>
      <c r="AZ36" s="26">
        <f t="shared" si="40"/>
        <v>1253923.7350170293</v>
      </c>
      <c r="BA36" s="26">
        <f t="shared" si="40"/>
        <v>3322321.9477854781</v>
      </c>
      <c r="BB36" s="26">
        <f t="shared" si="40"/>
        <v>2291722.017645638</v>
      </c>
      <c r="BC36" s="26">
        <f t="shared" si="40"/>
        <v>1620047.6129362341</v>
      </c>
      <c r="BD36" s="26">
        <f t="shared" si="40"/>
        <v>771144.73587521375</v>
      </c>
      <c r="BE36" s="26">
        <f t="shared" si="40"/>
        <v>1395471.7946143912</v>
      </c>
      <c r="BF36" s="26">
        <f t="shared" si="40"/>
        <v>726858.62711506197</v>
      </c>
      <c r="BG36" s="26">
        <f t="shared" si="40"/>
        <v>262234.32902595127</v>
      </c>
      <c r="BH36" s="26">
        <f t="shared" si="40"/>
        <v>271073.0968506221</v>
      </c>
      <c r="BI36" s="26">
        <f t="shared" si="40"/>
        <v>-477977.41624467523</v>
      </c>
      <c r="BJ36" s="26">
        <f t="shared" si="40"/>
        <v>-634483.26137048495</v>
      </c>
      <c r="BK36" s="26">
        <f t="shared" si="40"/>
        <v>794715.3601668668</v>
      </c>
      <c r="BL36" s="26">
        <f t="shared" si="40"/>
        <v>426498.86820510804</v>
      </c>
      <c r="BM36" s="26">
        <f t="shared" si="40"/>
        <v>1537892.590710487</v>
      </c>
      <c r="BN36" s="26">
        <f t="shared" si="40"/>
        <v>1289110.7381545608</v>
      </c>
      <c r="BO36" s="26">
        <f t="shared" ref="BO36:CJ36" si="41">BO35*BO41</f>
        <v>906814.46707228222</v>
      </c>
      <c r="BP36" s="26">
        <f t="shared" si="41"/>
        <v>2074771.567526361</v>
      </c>
      <c r="BQ36" s="26">
        <f t="shared" si="41"/>
        <v>1051335.435449216</v>
      </c>
      <c r="BR36" s="26">
        <f t="shared" si="41"/>
        <v>1690908.4285347848</v>
      </c>
      <c r="BS36" s="26">
        <f t="shared" si="41"/>
        <v>1814813.6181321554</v>
      </c>
      <c r="BT36" s="26" t="e">
        <f t="shared" si="41"/>
        <v>#DIV/0!</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414</v>
      </c>
      <c r="B37" s="26">
        <f>B35-B36</f>
        <v>-25767362.868773647</v>
      </c>
      <c r="C37" s="26">
        <f t="shared" ref="C37:BN37" si="42">C35-C36</f>
        <v>-5232691.2457465613</v>
      </c>
      <c r="D37" s="26">
        <f t="shared" si="42"/>
        <v>14609177.95474983</v>
      </c>
      <c r="E37" s="26">
        <f t="shared" si="42"/>
        <v>16445830.103490975</v>
      </c>
      <c r="F37" s="26">
        <f t="shared" si="42"/>
        <v>8502797.1866097786</v>
      </c>
      <c r="G37" s="26">
        <f t="shared" si="42"/>
        <v>2038752.4999319278</v>
      </c>
      <c r="H37" s="26">
        <f t="shared" si="42"/>
        <v>-439932.91849279858</v>
      </c>
      <c r="I37" s="26">
        <f t="shared" si="42"/>
        <v>-10968897.98395611</v>
      </c>
      <c r="J37" s="26">
        <f t="shared" si="42"/>
        <v>-4999964.5206673797</v>
      </c>
      <c r="K37" s="26">
        <f t="shared" si="42"/>
        <v>-2407522.6050291508</v>
      </c>
      <c r="L37" s="26">
        <f t="shared" si="42"/>
        <v>-909116.80131849716</v>
      </c>
      <c r="M37" s="26">
        <f t="shared" si="42"/>
        <v>594185.35006333131</v>
      </c>
      <c r="N37" s="26">
        <f t="shared" si="42"/>
        <v>-429377.42795672361</v>
      </c>
      <c r="O37" s="26">
        <f t="shared" si="42"/>
        <v>-493318.71424717322</v>
      </c>
      <c r="P37" s="26">
        <f t="shared" si="42"/>
        <v>315219.47204817977</v>
      </c>
      <c r="Q37" s="26">
        <f t="shared" si="42"/>
        <v>3572342.6184028573</v>
      </c>
      <c r="R37" s="26">
        <f t="shared" si="42"/>
        <v>2122759.1319154408</v>
      </c>
      <c r="S37" s="26">
        <f t="shared" si="42"/>
        <v>938684.21769891307</v>
      </c>
      <c r="T37" s="26">
        <f t="shared" si="42"/>
        <v>833709.85399866744</v>
      </c>
      <c r="U37" s="26">
        <f t="shared" si="42"/>
        <v>8592568.7991026826</v>
      </c>
      <c r="V37" s="26">
        <f t="shared" si="42"/>
        <v>6266179.2507528123</v>
      </c>
      <c r="W37" s="26">
        <f t="shared" si="42"/>
        <v>4598261.0222940333</v>
      </c>
      <c r="X37" s="26">
        <f t="shared" si="42"/>
        <v>2177573.1254084073</v>
      </c>
      <c r="Y37" s="26">
        <f t="shared" si="42"/>
        <v>5031100.4285730394</v>
      </c>
      <c r="Z37" s="26">
        <f t="shared" si="42"/>
        <v>2120685.0163187869</v>
      </c>
      <c r="AA37" s="26">
        <f t="shared" si="42"/>
        <v>1209854.2598854816</v>
      </c>
      <c r="AB37" s="26">
        <f t="shared" si="42"/>
        <v>721710.03995288268</v>
      </c>
      <c r="AC37" s="26">
        <f t="shared" si="42"/>
        <v>6588103.7387429066</v>
      </c>
      <c r="AD37" s="26">
        <f t="shared" si="42"/>
        <v>3453983.714141842</v>
      </c>
      <c r="AE37" s="26">
        <f t="shared" si="42"/>
        <v>3349421.2410174394</v>
      </c>
      <c r="AF37" s="26">
        <f t="shared" si="42"/>
        <v>1046214.3719568194</v>
      </c>
      <c r="AG37" s="26">
        <f t="shared" si="42"/>
        <v>7244941.233806937</v>
      </c>
      <c r="AH37" s="26">
        <f t="shared" si="42"/>
        <v>4302271.462735177</v>
      </c>
      <c r="AI37" s="26">
        <f t="shared" si="42"/>
        <v>2404702.3187608412</v>
      </c>
      <c r="AJ37" s="26">
        <f t="shared" si="42"/>
        <v>1371760.6640118682</v>
      </c>
      <c r="AK37" s="26">
        <f t="shared" si="42"/>
        <v>8281246.497097739</v>
      </c>
      <c r="AL37" s="26">
        <f t="shared" si="42"/>
        <v>4088775.5965998038</v>
      </c>
      <c r="AM37" s="26">
        <f t="shared" si="42"/>
        <v>2974462.3180517629</v>
      </c>
      <c r="AN37" s="26">
        <f t="shared" si="42"/>
        <v>1649746.6115127965</v>
      </c>
      <c r="AO37" s="26">
        <f t="shared" si="42"/>
        <v>11485652.349800762</v>
      </c>
      <c r="AP37" s="26">
        <f t="shared" si="42"/>
        <v>5046824.7578729196</v>
      </c>
      <c r="AQ37" s="26">
        <f t="shared" si="42"/>
        <v>2357667.637209632</v>
      </c>
      <c r="AR37" s="26">
        <f t="shared" si="42"/>
        <v>-1490.6978810063044</v>
      </c>
      <c r="AS37" s="26">
        <f t="shared" si="42"/>
        <v>10095922.571413722</v>
      </c>
      <c r="AT37" s="26">
        <f t="shared" si="42"/>
        <v>8023634.3405795367</v>
      </c>
      <c r="AU37" s="26">
        <f t="shared" si="42"/>
        <v>4320634.9118721336</v>
      </c>
      <c r="AV37" s="26">
        <f t="shared" si="42"/>
        <v>2139904.9565802743</v>
      </c>
      <c r="AW37" s="26">
        <f t="shared" si="42"/>
        <v>10884294.966370869</v>
      </c>
      <c r="AX37" s="26">
        <f t="shared" si="42"/>
        <v>8229737.992373623</v>
      </c>
      <c r="AY37" s="26">
        <f t="shared" si="42"/>
        <v>5468157.8930655839</v>
      </c>
      <c r="AZ37" s="26">
        <f t="shared" si="42"/>
        <v>2639878.9149829708</v>
      </c>
      <c r="BA37" s="26">
        <f t="shared" si="42"/>
        <v>6996671.8622145224</v>
      </c>
      <c r="BB37" s="26">
        <f t="shared" si="42"/>
        <v>4949864.0123543628</v>
      </c>
      <c r="BC37" s="26">
        <f t="shared" si="42"/>
        <v>3273592.3570637656</v>
      </c>
      <c r="BD37" s="26">
        <f t="shared" si="42"/>
        <v>1591929.8541247861</v>
      </c>
      <c r="BE37" s="26">
        <f t="shared" si="42"/>
        <v>2609272.6753856093</v>
      </c>
      <c r="BF37" s="26">
        <f t="shared" si="42"/>
        <v>1481705.0728849382</v>
      </c>
      <c r="BG37" s="26">
        <f t="shared" si="42"/>
        <v>510656.70097404876</v>
      </c>
      <c r="BH37" s="26">
        <f t="shared" si="42"/>
        <v>533281.32314937795</v>
      </c>
      <c r="BI37" s="26">
        <f t="shared" si="42"/>
        <v>-904995.12375532486</v>
      </c>
      <c r="BJ37" s="26">
        <f t="shared" si="42"/>
        <v>-1303874.668629515</v>
      </c>
      <c r="BK37" s="26">
        <f t="shared" si="42"/>
        <v>1634776.2298331331</v>
      </c>
      <c r="BL37" s="26">
        <f t="shared" si="42"/>
        <v>822941.77179489192</v>
      </c>
      <c r="BM37" s="26">
        <f t="shared" si="42"/>
        <v>3660685.689289513</v>
      </c>
      <c r="BN37" s="26">
        <f t="shared" si="42"/>
        <v>2898147.3618454393</v>
      </c>
      <c r="BO37" s="26">
        <f t="shared" ref="BO37:CJ37" si="43">BO35-BO36</f>
        <v>1994662.6729277179</v>
      </c>
      <c r="BP37" s="26">
        <f t="shared" si="43"/>
        <v>4627819.3424736392</v>
      </c>
      <c r="BQ37" s="26">
        <f t="shared" si="43"/>
        <v>1970846.1545507838</v>
      </c>
      <c r="BR37" s="26">
        <f t="shared" si="43"/>
        <v>3785461.9914652151</v>
      </c>
      <c r="BS37" s="26">
        <f t="shared" si="43"/>
        <v>4097091.4918678449</v>
      </c>
      <c r="BT37" s="26" t="e">
        <f t="shared" si="43"/>
        <v>#DIV/0!</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415</v>
      </c>
      <c r="B38" s="28">
        <f>B31-B35</f>
        <v>366591319.86000019</v>
      </c>
      <c r="C38" s="28">
        <f t="shared" ref="C38:BN38" si="44">C31-C35</f>
        <v>196633811.94999999</v>
      </c>
      <c r="D38" s="28">
        <f t="shared" si="44"/>
        <v>97249490.510000005</v>
      </c>
      <c r="E38" s="28">
        <f t="shared" si="44"/>
        <v>281758580.20000011</v>
      </c>
      <c r="F38" s="28">
        <f t="shared" si="44"/>
        <v>236772922.07999989</v>
      </c>
      <c r="G38" s="28">
        <f t="shared" si="44"/>
        <v>158052366.31</v>
      </c>
      <c r="H38" s="28">
        <f t="shared" si="44"/>
        <v>77195907.059999943</v>
      </c>
      <c r="I38" s="28">
        <f t="shared" si="44"/>
        <v>252645019.65000001</v>
      </c>
      <c r="J38" s="28">
        <f t="shared" si="44"/>
        <v>180440752.13999987</v>
      </c>
      <c r="K38" s="28">
        <f t="shared" si="44"/>
        <v>119286611.68000001</v>
      </c>
      <c r="L38" s="28">
        <f t="shared" si="44"/>
        <v>51998807.499999985</v>
      </c>
      <c r="M38" s="28">
        <f t="shared" si="44"/>
        <v>197791706.70999986</v>
      </c>
      <c r="N38" s="28">
        <f t="shared" si="44"/>
        <v>150907659.37</v>
      </c>
      <c r="O38" s="28">
        <f t="shared" si="44"/>
        <v>96865048.550000057</v>
      </c>
      <c r="P38" s="28">
        <f t="shared" si="44"/>
        <v>42843362.700000018</v>
      </c>
      <c r="Q38" s="28">
        <f t="shared" si="44"/>
        <v>167909608.09000003</v>
      </c>
      <c r="R38" s="28">
        <f t="shared" si="44"/>
        <v>130008788.46999994</v>
      </c>
      <c r="S38" s="28">
        <f t="shared" si="44"/>
        <v>90219506.159999996</v>
      </c>
      <c r="T38" s="28">
        <f t="shared" si="44"/>
        <v>40363502.069999993</v>
      </c>
      <c r="U38" s="28">
        <f t="shared" si="44"/>
        <v>157821644.81999987</v>
      </c>
      <c r="V38" s="28">
        <f t="shared" si="44"/>
        <v>133090923.71000002</v>
      </c>
      <c r="W38" s="28">
        <f t="shared" si="44"/>
        <v>88718843.76000011</v>
      </c>
      <c r="X38" s="28">
        <f t="shared" si="44"/>
        <v>41106451.14000003</v>
      </c>
      <c r="Y38" s="28">
        <f t="shared" si="44"/>
        <v>158325820.30999994</v>
      </c>
      <c r="Z38" s="28">
        <f t="shared" si="44"/>
        <v>129273023.7900001</v>
      </c>
      <c r="AA38" s="28">
        <f t="shared" si="44"/>
        <v>85140062.63000004</v>
      </c>
      <c r="AB38" s="28">
        <f t="shared" si="44"/>
        <v>36916126.000000007</v>
      </c>
      <c r="AC38" s="28">
        <f t="shared" si="44"/>
        <v>163279309.71999991</v>
      </c>
      <c r="AD38" s="28">
        <f t="shared" si="44"/>
        <v>144991769.51999998</v>
      </c>
      <c r="AE38" s="28">
        <f t="shared" si="44"/>
        <v>104076920.77000007</v>
      </c>
      <c r="AF38" s="28">
        <f t="shared" si="44"/>
        <v>53059582.020000003</v>
      </c>
      <c r="AG38" s="28">
        <f t="shared" si="44"/>
        <v>204576867.01000005</v>
      </c>
      <c r="AH38" s="28">
        <f t="shared" si="44"/>
        <v>169120715.40999994</v>
      </c>
      <c r="AI38" s="28">
        <f t="shared" si="44"/>
        <v>111131488.75000004</v>
      </c>
      <c r="AJ38" s="28">
        <f t="shared" si="44"/>
        <v>51994957.349999972</v>
      </c>
      <c r="AK38" s="28">
        <f t="shared" si="44"/>
        <v>169415369.03000015</v>
      </c>
      <c r="AL38" s="28">
        <f t="shared" si="44"/>
        <v>134437389.70999995</v>
      </c>
      <c r="AM38" s="28">
        <f t="shared" si="44"/>
        <v>90633990.429999977</v>
      </c>
      <c r="AN38" s="28">
        <f t="shared" si="44"/>
        <v>42365444.220000021</v>
      </c>
      <c r="AO38" s="28">
        <f t="shared" si="44"/>
        <v>155136237.95000002</v>
      </c>
      <c r="AP38" s="28">
        <f t="shared" si="44"/>
        <v>128446922.87999992</v>
      </c>
      <c r="AQ38" s="28">
        <f t="shared" si="44"/>
        <v>85070123.780000046</v>
      </c>
      <c r="AR38" s="28">
        <f t="shared" si="44"/>
        <v>39484067.450000003</v>
      </c>
      <c r="AS38" s="28">
        <f t="shared" si="44"/>
        <v>157891675.02999997</v>
      </c>
      <c r="AT38" s="28">
        <f t="shared" si="44"/>
        <v>633472795.01999998</v>
      </c>
      <c r="AU38" s="28">
        <f t="shared" si="44"/>
        <v>76269908.610000014</v>
      </c>
      <c r="AV38" s="28">
        <f t="shared" si="44"/>
        <v>33843167.069999985</v>
      </c>
      <c r="AW38" s="28">
        <f t="shared" si="44"/>
        <v>135058385.08000007</v>
      </c>
      <c r="AX38" s="28">
        <f t="shared" si="44"/>
        <v>103095779.45999993</v>
      </c>
      <c r="AY38" s="28">
        <f t="shared" si="44"/>
        <v>66740544.289999977</v>
      </c>
      <c r="AZ38" s="28">
        <f t="shared" si="44"/>
        <v>32221644.939999998</v>
      </c>
      <c r="BA38" s="28">
        <f t="shared" si="44"/>
        <v>119332392.28000002</v>
      </c>
      <c r="BB38" s="28">
        <f t="shared" si="44"/>
        <v>89621235.970000014</v>
      </c>
      <c r="BC38" s="28">
        <f t="shared" si="44"/>
        <v>60803429.140000038</v>
      </c>
      <c r="BD38" s="28">
        <f t="shared" si="44"/>
        <v>30217299.359999988</v>
      </c>
      <c r="BE38" s="28">
        <f t="shared" si="44"/>
        <v>110459299.41999999</v>
      </c>
      <c r="BF38" s="28">
        <f t="shared" si="44"/>
        <v>78921951.440000027</v>
      </c>
      <c r="BG38" s="28">
        <f t="shared" si="44"/>
        <v>52452909.660000011</v>
      </c>
      <c r="BH38" s="28">
        <f t="shared" si="44"/>
        <v>24454570.629999995</v>
      </c>
      <c r="BI38" s="28">
        <f t="shared" si="44"/>
        <v>105571742.87000006</v>
      </c>
      <c r="BJ38" s="28">
        <f t="shared" si="44"/>
        <v>76140570.179999977</v>
      </c>
      <c r="BK38" s="28">
        <f t="shared" si="44"/>
        <v>49018372.799999997</v>
      </c>
      <c r="BL38" s="28">
        <f t="shared" si="44"/>
        <v>18943248.870000005</v>
      </c>
      <c r="BM38" s="28">
        <f t="shared" si="44"/>
        <v>83192278.430000022</v>
      </c>
      <c r="BN38" s="28">
        <f t="shared" si="44"/>
        <v>58382038.800000019</v>
      </c>
      <c r="BO38" s="28">
        <f t="shared" ref="BO38:CJ38" si="45">BO31-BO35</f>
        <v>40004067.769999988</v>
      </c>
      <c r="BP38" s="28">
        <f t="shared" si="45"/>
        <v>59616332.090000033</v>
      </c>
      <c r="BQ38" s="28">
        <f t="shared" si="45"/>
        <v>29514962.42000002</v>
      </c>
      <c r="BR38" s="28">
        <f t="shared" si="45"/>
        <v>44469190.790000014</v>
      </c>
      <c r="BS38" s="28">
        <f t="shared" si="45"/>
        <v>41327229.849999987</v>
      </c>
      <c r="BT38" s="28">
        <f t="shared" si="45"/>
        <v>0</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c r="A39" s="57" t="s">
        <v>416</v>
      </c>
      <c r="B39" s="57">
        <f>B38/B4*100</f>
        <v>19.086517588622865</v>
      </c>
      <c r="C39" s="57">
        <f t="shared" ref="C39:D39" si="46">C38/C4*100</f>
        <v>15.124439122123496</v>
      </c>
      <c r="D39" s="57">
        <f t="shared" si="46"/>
        <v>15.091398959614216</v>
      </c>
      <c r="E39" s="57">
        <f>E38/E4</f>
        <v>0.12090108924942503</v>
      </c>
      <c r="F39" s="57">
        <f t="shared" ref="F39:BQ39" si="47">F38/F4</f>
        <v>0.13889250917878551</v>
      </c>
      <c r="G39" s="57">
        <f t="shared" si="47"/>
        <v>0.13743237790359308</v>
      </c>
      <c r="H39" s="57">
        <f t="shared" si="47"/>
        <v>0.13435399133742362</v>
      </c>
      <c r="I39" s="57">
        <f t="shared" si="47"/>
        <v>0.12279384095215216</v>
      </c>
      <c r="J39" s="57">
        <f t="shared" si="47"/>
        <v>0.12463680808944454</v>
      </c>
      <c r="K39" s="57">
        <f t="shared" si="47"/>
        <v>0.12284503254997836</v>
      </c>
      <c r="L39" s="57">
        <f t="shared" si="47"/>
        <v>0.11540376717970327</v>
      </c>
      <c r="M39" s="57">
        <f t="shared" si="47"/>
        <v>0.11478115377750679</v>
      </c>
      <c r="N39" s="57">
        <f t="shared" si="47"/>
        <v>0.11513117159261622</v>
      </c>
      <c r="O39" s="57">
        <f t="shared" si="47"/>
        <v>0.10847573462693026</v>
      </c>
      <c r="P39" s="57">
        <f t="shared" si="47"/>
        <v>0.10302146997713943</v>
      </c>
      <c r="Q39" s="57">
        <f t="shared" si="47"/>
        <v>9.9289439603180943E-2</v>
      </c>
      <c r="R39" s="57">
        <f t="shared" si="47"/>
        <v>0.10563023414379806</v>
      </c>
      <c r="S39" s="57">
        <f t="shared" si="47"/>
        <v>0.11089683306778061</v>
      </c>
      <c r="T39" s="57">
        <f t="shared" si="47"/>
        <v>0.10348970898525078</v>
      </c>
      <c r="U39" s="57">
        <f t="shared" si="47"/>
        <v>0.10218002694548256</v>
      </c>
      <c r="V39" s="57">
        <f t="shared" si="47"/>
        <v>0.11857745228448548</v>
      </c>
      <c r="W39" s="57">
        <f t="shared" si="47"/>
        <v>0.11690021162780553</v>
      </c>
      <c r="X39" s="57">
        <f t="shared" si="47"/>
        <v>0.11507775899740717</v>
      </c>
      <c r="Y39" s="57">
        <f t="shared" si="47"/>
        <v>0.1078445565068613</v>
      </c>
      <c r="Z39" s="57">
        <f t="shared" si="47"/>
        <v>0.12066378621081532</v>
      </c>
      <c r="AA39" s="57">
        <f t="shared" si="47"/>
        <v>0.11944322018990476</v>
      </c>
      <c r="AB39" s="57">
        <f t="shared" si="47"/>
        <v>0.11280139600118495</v>
      </c>
      <c r="AC39" s="57">
        <f t="shared" si="47"/>
        <v>0.11686364249494367</v>
      </c>
      <c r="AD39" s="57">
        <f t="shared" si="47"/>
        <v>0.13443012959620701</v>
      </c>
      <c r="AE39" s="57">
        <f t="shared" si="47"/>
        <v>0.14050659898560167</v>
      </c>
      <c r="AF39" s="57">
        <f t="shared" si="47"/>
        <v>0.14184277344386825</v>
      </c>
      <c r="AG39" s="57">
        <f t="shared" si="47"/>
        <v>0.13517536165430102</v>
      </c>
      <c r="AH39" s="57">
        <f t="shared" si="47"/>
        <v>0.1595936077146464</v>
      </c>
      <c r="AI39" s="57">
        <f t="shared" si="47"/>
        <v>0.15776496430111603</v>
      </c>
      <c r="AJ39" s="57">
        <f t="shared" si="47"/>
        <v>0.15463966909792259</v>
      </c>
      <c r="AK39" s="57">
        <f t="shared" si="47"/>
        <v>0.13638788118379855</v>
      </c>
      <c r="AL39" s="57">
        <f t="shared" si="47"/>
        <v>0.1565159582236792</v>
      </c>
      <c r="AM39" s="57">
        <f t="shared" si="47"/>
        <v>0.16119197243673161</v>
      </c>
      <c r="AN39" s="57">
        <f t="shared" si="47"/>
        <v>0.15921778214396223</v>
      </c>
      <c r="AO39" s="57">
        <f t="shared" si="47"/>
        <v>0.1339353366152406</v>
      </c>
      <c r="AP39" s="57">
        <f t="shared" si="47"/>
        <v>0.1434826009747458</v>
      </c>
      <c r="AQ39" s="57">
        <f t="shared" si="47"/>
        <v>0.15024986266507415</v>
      </c>
      <c r="AR39" s="57">
        <f t="shared" si="47"/>
        <v>0.15663905544864795</v>
      </c>
      <c r="AS39" s="57">
        <f t="shared" si="47"/>
        <v>0.15599943959209223</v>
      </c>
      <c r="AT39" s="57">
        <f t="shared" si="47"/>
        <v>0.84899837480627882</v>
      </c>
      <c r="AU39" s="57">
        <f t="shared" si="47"/>
        <v>0.15740768989507681</v>
      </c>
      <c r="AV39" s="57">
        <f t="shared" si="47"/>
        <v>0.15147156914675994</v>
      </c>
      <c r="AW39" s="57">
        <f t="shared" si="47"/>
        <v>0.1633676787228216</v>
      </c>
      <c r="AX39" s="57">
        <f t="shared" si="47"/>
        <v>0.17065104609387441</v>
      </c>
      <c r="AY39" s="57">
        <f t="shared" si="47"/>
        <v>0.16790977700295079</v>
      </c>
      <c r="AZ39" s="57">
        <f t="shared" si="47"/>
        <v>0.15612235442675015</v>
      </c>
      <c r="BA39" s="57">
        <f t="shared" si="47"/>
        <v>0.17754124662570733</v>
      </c>
      <c r="BB39" s="57">
        <f t="shared" si="47"/>
        <v>0.18373087401437574</v>
      </c>
      <c r="BC39" s="57">
        <f t="shared" si="47"/>
        <v>0.18705311209648234</v>
      </c>
      <c r="BD39" s="57">
        <f t="shared" si="47"/>
        <v>0.19787469620368089</v>
      </c>
      <c r="BE39" s="57">
        <f t="shared" si="47"/>
        <v>0.1971861954220164</v>
      </c>
      <c r="BF39" s="57">
        <f t="shared" si="47"/>
        <v>0.1968701021812416</v>
      </c>
      <c r="BG39" s="57">
        <f t="shared" si="47"/>
        <v>0.19646714025011372</v>
      </c>
      <c r="BH39" s="57">
        <f t="shared" si="47"/>
        <v>0.18384486071531903</v>
      </c>
      <c r="BI39" s="57">
        <f t="shared" si="47"/>
        <v>0.22558569407888077</v>
      </c>
      <c r="BJ39" s="57">
        <f t="shared" si="47"/>
        <v>0.21804311047178532</v>
      </c>
      <c r="BK39" s="57">
        <f t="shared" si="47"/>
        <v>0.20733624006898571</v>
      </c>
      <c r="BL39" s="57">
        <f t="shared" si="47"/>
        <v>0.20782390271125312</v>
      </c>
      <c r="BM39" s="57">
        <f t="shared" si="47"/>
        <v>0.19698953662876054</v>
      </c>
      <c r="BN39" s="57">
        <f t="shared" si="47"/>
        <v>0.19899851861159168</v>
      </c>
      <c r="BO39" s="57">
        <f t="shared" si="47"/>
        <v>0.212979790928539</v>
      </c>
      <c r="BP39" s="57">
        <f t="shared" si="47"/>
        <v>0.17027941819487166</v>
      </c>
      <c r="BQ39" s="57">
        <f t="shared" si="47"/>
        <v>0.18341618765244067</v>
      </c>
      <c r="BR39" s="57">
        <f t="shared" ref="BR39:CK39" si="48">BR38/BR4</f>
        <v>0.15171256982077902</v>
      </c>
      <c r="BS39" s="57">
        <f t="shared" si="48"/>
        <v>0.1788228422552571</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417</v>
      </c>
      <c r="B40" s="26">
        <f>B60</f>
        <v>47627132.659999996</v>
      </c>
      <c r="C40" s="26">
        <f t="shared" ref="C40:BN40" si="49">C60</f>
        <v>30356833.449999999</v>
      </c>
      <c r="D40" s="26">
        <f t="shared" si="49"/>
        <v>14863620.199999999</v>
      </c>
      <c r="E40" s="26">
        <f t="shared" si="49"/>
        <v>47482785.229999997</v>
      </c>
      <c r="F40" s="26">
        <f t="shared" si="49"/>
        <v>39003340.140000001</v>
      </c>
      <c r="G40" s="26">
        <f t="shared" si="49"/>
        <v>25938621.870000001</v>
      </c>
      <c r="H40" s="26">
        <f t="shared" si="49"/>
        <v>12417841.869999999</v>
      </c>
      <c r="I40" s="26">
        <f t="shared" si="49"/>
        <v>50210473.189999998</v>
      </c>
      <c r="J40" s="26">
        <f t="shared" si="49"/>
        <v>51273954.630000003</v>
      </c>
      <c r="K40" s="26">
        <f t="shared" si="49"/>
        <v>33674931.009999998</v>
      </c>
      <c r="L40" s="26">
        <f t="shared" si="49"/>
        <v>13500085.23</v>
      </c>
      <c r="M40" s="26">
        <f t="shared" si="49"/>
        <v>50644284.880000003</v>
      </c>
      <c r="N40" s="26">
        <f t="shared" si="49"/>
        <v>37874601.859999999</v>
      </c>
      <c r="O40" s="26">
        <f t="shared" si="49"/>
        <v>24264463.719999999</v>
      </c>
      <c r="P40" s="26">
        <f t="shared" si="49"/>
        <v>10646655.310000001</v>
      </c>
      <c r="Q40" s="26">
        <f t="shared" si="49"/>
        <v>44743100.539999999</v>
      </c>
      <c r="R40" s="26">
        <f t="shared" si="49"/>
        <v>33417949.100000001</v>
      </c>
      <c r="S40" s="26">
        <f t="shared" si="49"/>
        <v>22801504.370000001</v>
      </c>
      <c r="T40" s="26">
        <f t="shared" si="49"/>
        <v>10463764.130000001</v>
      </c>
      <c r="U40" s="26">
        <f t="shared" si="49"/>
        <v>42023524.640000001</v>
      </c>
      <c r="V40" s="26">
        <f t="shared" si="49"/>
        <v>30928686.789999999</v>
      </c>
      <c r="W40" s="26">
        <f t="shared" si="49"/>
        <v>21438100.309999999</v>
      </c>
      <c r="X40" s="26">
        <f t="shared" si="49"/>
        <v>9663149.7699999996</v>
      </c>
      <c r="Y40" s="26">
        <f t="shared" si="49"/>
        <v>40481508.619999997</v>
      </c>
      <c r="Z40" s="26">
        <f t="shared" si="49"/>
        <v>33315833.559999999</v>
      </c>
      <c r="AA40" s="26">
        <f t="shared" si="49"/>
        <v>22044124.120000001</v>
      </c>
      <c r="AB40" s="26">
        <f t="shared" si="49"/>
        <v>9159641.9299999997</v>
      </c>
      <c r="AC40" s="26">
        <f t="shared" si="49"/>
        <v>34144409.609999999</v>
      </c>
      <c r="AD40" s="26">
        <f t="shared" si="49"/>
        <v>31035919.120000001</v>
      </c>
      <c r="AE40" s="26">
        <f t="shared" si="49"/>
        <v>20470770.82</v>
      </c>
      <c r="AF40" s="26">
        <f t="shared" si="49"/>
        <v>13530186.85</v>
      </c>
      <c r="AG40" s="26">
        <f t="shared" si="49"/>
        <v>35328521.5</v>
      </c>
      <c r="AH40" s="26">
        <f t="shared" si="49"/>
        <v>27344311.27</v>
      </c>
      <c r="AI40" s="26">
        <f t="shared" si="49"/>
        <v>17283029.34</v>
      </c>
      <c r="AJ40" s="26">
        <f t="shared" si="49"/>
        <v>7815152.54</v>
      </c>
      <c r="AK40" s="26">
        <f t="shared" si="49"/>
        <v>28011523.210000001</v>
      </c>
      <c r="AL40" s="26">
        <f t="shared" si="49"/>
        <v>23895019.379999999</v>
      </c>
      <c r="AM40" s="26">
        <f t="shared" si="49"/>
        <v>15834828.84</v>
      </c>
      <c r="AN40" s="26">
        <f t="shared" si="49"/>
        <v>6420265.0999999996</v>
      </c>
      <c r="AO40" s="26">
        <f t="shared" si="49"/>
        <v>23740483.969999999</v>
      </c>
      <c r="AP40" s="26">
        <f t="shared" si="49"/>
        <v>29589740.550000001</v>
      </c>
      <c r="AQ40" s="26">
        <f t="shared" si="49"/>
        <v>18701942.66</v>
      </c>
      <c r="AR40" s="26">
        <f t="shared" si="49"/>
        <v>10022988.949999999</v>
      </c>
      <c r="AS40" s="26">
        <f t="shared" si="49"/>
        <v>47990849.560000002</v>
      </c>
      <c r="AT40" s="26">
        <f t="shared" si="49"/>
        <v>33840992.43</v>
      </c>
      <c r="AU40" s="26">
        <f t="shared" si="49"/>
        <v>22272778.210000001</v>
      </c>
      <c r="AV40" s="26">
        <f t="shared" si="49"/>
        <v>10088524.83</v>
      </c>
      <c r="AW40" s="26">
        <f t="shared" si="49"/>
        <v>46552787.799999997</v>
      </c>
      <c r="AX40" s="26">
        <f t="shared" si="49"/>
        <v>30743334.629999999</v>
      </c>
      <c r="AY40" s="26">
        <f t="shared" si="49"/>
        <v>19251236.27</v>
      </c>
      <c r="AZ40" s="26">
        <f t="shared" si="49"/>
        <v>10376356.74</v>
      </c>
      <c r="BA40" s="26">
        <f t="shared" si="49"/>
        <v>38420473.280000001</v>
      </c>
      <c r="BB40" s="26">
        <f t="shared" si="49"/>
        <v>28362151.449999999</v>
      </c>
      <c r="BC40" s="26">
        <f t="shared" si="49"/>
        <v>20129075.870000001</v>
      </c>
      <c r="BD40" s="26">
        <f t="shared" si="49"/>
        <v>9860844.6099999994</v>
      </c>
      <c r="BE40" s="26">
        <f t="shared" si="49"/>
        <v>38490055.469999999</v>
      </c>
      <c r="BF40" s="26">
        <f t="shared" si="49"/>
        <v>25973940.109999999</v>
      </c>
      <c r="BG40" s="26">
        <f t="shared" si="49"/>
        <v>17796756.640000001</v>
      </c>
      <c r="BH40" s="26">
        <f t="shared" si="49"/>
        <v>8241362.2999999998</v>
      </c>
      <c r="BI40" s="26">
        <f t="shared" si="49"/>
        <v>36487281.869999997</v>
      </c>
      <c r="BJ40" s="26">
        <f t="shared" si="49"/>
        <v>24923114.84</v>
      </c>
      <c r="BK40" s="26">
        <f t="shared" si="49"/>
        <v>16034488.02</v>
      </c>
      <c r="BL40" s="26">
        <f t="shared" si="49"/>
        <v>6466312.96</v>
      </c>
      <c r="BM40" s="26">
        <f t="shared" si="49"/>
        <v>24610726.57</v>
      </c>
      <c r="BN40" s="26">
        <f t="shared" si="49"/>
        <v>17973793.670000002</v>
      </c>
      <c r="BO40" s="26">
        <f t="shared" ref="BO40:CJ40" si="50">BO60</f>
        <v>12502689.369999999</v>
      </c>
      <c r="BP40" s="26">
        <f t="shared" si="50"/>
        <v>18454098.190000001</v>
      </c>
      <c r="BQ40" s="26">
        <f t="shared" si="50"/>
        <v>10267459.1</v>
      </c>
      <c r="BR40" s="26">
        <f t="shared" si="50"/>
        <v>13730504.65</v>
      </c>
      <c r="BS40" s="26">
        <f t="shared" si="50"/>
        <v>12686472.15</v>
      </c>
      <c r="BT40" s="26">
        <f t="shared" si="50"/>
        <v>0</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607</v>
      </c>
      <c r="B41" s="57">
        <f>B40/B38</f>
        <v>0.12991887717960321</v>
      </c>
      <c r="C41" s="57">
        <f t="shared" ref="C41:BN41" si="51">C40/C38</f>
        <v>0.15438257107948011</v>
      </c>
      <c r="D41" s="57">
        <f t="shared" si="51"/>
        <v>0.1528400829870836</v>
      </c>
      <c r="E41" s="57">
        <f t="shared" si="51"/>
        <v>0.16852294328107201</v>
      </c>
      <c r="F41" s="57">
        <f t="shared" si="51"/>
        <v>0.16472888790392048</v>
      </c>
      <c r="G41" s="57">
        <f t="shared" si="51"/>
        <v>0.16411410012757816</v>
      </c>
      <c r="H41" s="57">
        <f t="shared" si="51"/>
        <v>0.1608614024102123</v>
      </c>
      <c r="I41" s="57">
        <f t="shared" si="51"/>
        <v>0.1987392162313697</v>
      </c>
      <c r="J41" s="57">
        <f t="shared" si="51"/>
        <v>0.2841595040028303</v>
      </c>
      <c r="K41" s="57">
        <f t="shared" si="51"/>
        <v>0.28230268708056572</v>
      </c>
      <c r="L41" s="57">
        <f t="shared" si="51"/>
        <v>0.25962297750770541</v>
      </c>
      <c r="M41" s="57">
        <f t="shared" si="51"/>
        <v>0.25604857616327731</v>
      </c>
      <c r="N41" s="57">
        <f t="shared" si="51"/>
        <v>0.25097865819479642</v>
      </c>
      <c r="O41" s="57">
        <f t="shared" si="51"/>
        <v>0.25049761583999108</v>
      </c>
      <c r="P41" s="57">
        <f t="shared" si="51"/>
        <v>0.24850185977581998</v>
      </c>
      <c r="Q41" s="57">
        <f t="shared" si="51"/>
        <v>0.26647135353932555</v>
      </c>
      <c r="R41" s="57">
        <f t="shared" si="51"/>
        <v>0.25704376983492411</v>
      </c>
      <c r="S41" s="57">
        <f t="shared" si="51"/>
        <v>0.25273364198605364</v>
      </c>
      <c r="T41" s="57">
        <f t="shared" si="51"/>
        <v>0.2592382621273378</v>
      </c>
      <c r="U41" s="57">
        <f t="shared" si="51"/>
        <v>0.26627225110933955</v>
      </c>
      <c r="V41" s="57">
        <f t="shared" si="51"/>
        <v>0.23238764844244686</v>
      </c>
      <c r="W41" s="57">
        <f t="shared" si="51"/>
        <v>0.24164088936949837</v>
      </c>
      <c r="X41" s="57">
        <f t="shared" si="51"/>
        <v>0.23507623504372391</v>
      </c>
      <c r="Y41" s="57">
        <f t="shared" si="51"/>
        <v>0.25568481843793839</v>
      </c>
      <c r="Z41" s="57">
        <f t="shared" si="51"/>
        <v>0.2577168274033762</v>
      </c>
      <c r="AA41" s="57">
        <f t="shared" si="51"/>
        <v>0.2589159960546295</v>
      </c>
      <c r="AB41" s="57">
        <f t="shared" si="51"/>
        <v>0.24812034529300278</v>
      </c>
      <c r="AC41" s="57">
        <f t="shared" si="51"/>
        <v>0.20911657250727395</v>
      </c>
      <c r="AD41" s="57">
        <f t="shared" si="51"/>
        <v>0.21405297157725181</v>
      </c>
      <c r="AE41" s="57">
        <f t="shared" si="51"/>
        <v>0.19668885924515794</v>
      </c>
      <c r="AF41" s="57">
        <f t="shared" si="51"/>
        <v>0.25499987626928539</v>
      </c>
      <c r="AG41" s="57">
        <f t="shared" si="51"/>
        <v>0.17269069575825055</v>
      </c>
      <c r="AH41" s="57">
        <f t="shared" si="51"/>
        <v>0.16168516792108578</v>
      </c>
      <c r="AI41" s="57">
        <f t="shared" si="51"/>
        <v>0.1555187421170941</v>
      </c>
      <c r="AJ41" s="57">
        <f t="shared" si="51"/>
        <v>0.1503059707769912</v>
      </c>
      <c r="AK41" s="57">
        <f t="shared" si="51"/>
        <v>0.16534227898201909</v>
      </c>
      <c r="AL41" s="57">
        <f t="shared" si="51"/>
        <v>0.1777408757455412</v>
      </c>
      <c r="AM41" s="57">
        <f t="shared" si="51"/>
        <v>0.17471181357980514</v>
      </c>
      <c r="AN41" s="57">
        <f t="shared" si="51"/>
        <v>0.15154485496859488</v>
      </c>
      <c r="AO41" s="57">
        <f t="shared" si="51"/>
        <v>0.1530299063823598</v>
      </c>
      <c r="AP41" s="57">
        <f t="shared" si="51"/>
        <v>0.23036550729707927</v>
      </c>
      <c r="AQ41" s="57">
        <f t="shared" si="51"/>
        <v>0.21984148875068193</v>
      </c>
      <c r="AR41" s="57">
        <f t="shared" si="51"/>
        <v>0.25384894711499634</v>
      </c>
      <c r="AS41" s="57">
        <f t="shared" si="51"/>
        <v>0.30394794121274332</v>
      </c>
      <c r="AT41" s="57">
        <f t="shared" si="51"/>
        <v>5.3421382411428693E-2</v>
      </c>
      <c r="AU41" s="57">
        <f t="shared" si="51"/>
        <v>0.29202576239982198</v>
      </c>
      <c r="AV41" s="57">
        <f t="shared" si="51"/>
        <v>0.2980963575049953</v>
      </c>
      <c r="AW41" s="57">
        <f t="shared" si="51"/>
        <v>0.34468639449838723</v>
      </c>
      <c r="AX41" s="57">
        <f t="shared" si="51"/>
        <v>0.29820167994295138</v>
      </c>
      <c r="AY41" s="57">
        <f t="shared" si="51"/>
        <v>0.28844889526746781</v>
      </c>
      <c r="AZ41" s="57">
        <f t="shared" si="51"/>
        <v>0.32203063373461654</v>
      </c>
      <c r="BA41" s="57">
        <f t="shared" si="51"/>
        <v>0.32196181226175946</v>
      </c>
      <c r="BB41" s="57">
        <f t="shared" si="51"/>
        <v>0.3164668634953216</v>
      </c>
      <c r="BC41" s="57">
        <f t="shared" si="51"/>
        <v>0.33105165538694792</v>
      </c>
      <c r="BD41" s="57">
        <f t="shared" si="51"/>
        <v>0.32633110234375368</v>
      </c>
      <c r="BE41" s="57">
        <f t="shared" si="51"/>
        <v>0.34845464050653674</v>
      </c>
      <c r="BF41" s="57">
        <f t="shared" si="51"/>
        <v>0.32910919758169616</v>
      </c>
      <c r="BG41" s="57">
        <f t="shared" si="51"/>
        <v>0.33929017008510404</v>
      </c>
      <c r="BH41" s="57">
        <f t="shared" si="51"/>
        <v>0.33700703335554749</v>
      </c>
      <c r="BI41" s="57">
        <f t="shared" si="51"/>
        <v>0.34561598471411098</v>
      </c>
      <c r="BJ41" s="57">
        <f t="shared" si="51"/>
        <v>0.32733028897840605</v>
      </c>
      <c r="BK41" s="57">
        <f t="shared" si="51"/>
        <v>0.32711179715047578</v>
      </c>
      <c r="BL41" s="57">
        <f t="shared" si="51"/>
        <v>0.34135184541868918</v>
      </c>
      <c r="BM41" s="57">
        <f t="shared" si="51"/>
        <v>0.29582945718583792</v>
      </c>
      <c r="BN41" s="57">
        <f t="shared" si="51"/>
        <v>0.30786512495003848</v>
      </c>
      <c r="BO41" s="57">
        <f t="shared" ref="BO41:CJ41" si="52">BO40/BO38</f>
        <v>0.31253545119169274</v>
      </c>
      <c r="BP41" s="57">
        <f t="shared" si="52"/>
        <v>0.30954769512053676</v>
      </c>
      <c r="BQ41" s="57">
        <f t="shared" si="52"/>
        <v>0.34787301958556899</v>
      </c>
      <c r="BR41" s="57">
        <f t="shared" si="52"/>
        <v>0.30876443681740301</v>
      </c>
      <c r="BS41" s="57">
        <f t="shared" si="52"/>
        <v>0.30697610742472747</v>
      </c>
      <c r="BT41" s="57" t="e">
        <f t="shared" si="52"/>
        <v>#DIV/0!</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419</v>
      </c>
      <c r="B42" s="28">
        <f>B38-B40</f>
        <v>318964187.20000017</v>
      </c>
      <c r="C42" s="28">
        <f t="shared" ref="C42:BN42" si="53">C38-C40</f>
        <v>166276978.5</v>
      </c>
      <c r="D42" s="28">
        <f t="shared" si="53"/>
        <v>82385870.310000002</v>
      </c>
      <c r="E42" s="28">
        <f t="shared" si="53"/>
        <v>234275794.97000012</v>
      </c>
      <c r="F42" s="28">
        <f t="shared" si="53"/>
        <v>197769581.93999988</v>
      </c>
      <c r="G42" s="28">
        <f t="shared" si="53"/>
        <v>132113744.44</v>
      </c>
      <c r="H42" s="28">
        <f t="shared" si="53"/>
        <v>64778065.189999945</v>
      </c>
      <c r="I42" s="28">
        <f t="shared" si="53"/>
        <v>202434546.46000001</v>
      </c>
      <c r="J42" s="28">
        <f t="shared" si="53"/>
        <v>129166797.50999987</v>
      </c>
      <c r="K42" s="28">
        <f t="shared" si="53"/>
        <v>85611680.670000017</v>
      </c>
      <c r="L42" s="28">
        <f t="shared" si="53"/>
        <v>38498722.269999981</v>
      </c>
      <c r="M42" s="28">
        <f t="shared" si="53"/>
        <v>147147421.82999986</v>
      </c>
      <c r="N42" s="28">
        <f t="shared" si="53"/>
        <v>113033057.51000001</v>
      </c>
      <c r="O42" s="28">
        <f t="shared" si="53"/>
        <v>72600584.830000058</v>
      </c>
      <c r="P42" s="28">
        <f t="shared" si="53"/>
        <v>32196707.390000015</v>
      </c>
      <c r="Q42" s="28">
        <f t="shared" si="53"/>
        <v>123166507.55000004</v>
      </c>
      <c r="R42" s="28">
        <f t="shared" si="53"/>
        <v>96590839.369999945</v>
      </c>
      <c r="S42" s="28">
        <f t="shared" si="53"/>
        <v>67418001.789999992</v>
      </c>
      <c r="T42" s="28">
        <f t="shared" si="53"/>
        <v>29899737.93999999</v>
      </c>
      <c r="U42" s="28">
        <f t="shared" si="53"/>
        <v>115798120.17999987</v>
      </c>
      <c r="V42" s="28">
        <f t="shared" si="53"/>
        <v>102162236.92000002</v>
      </c>
      <c r="W42" s="28">
        <f t="shared" si="53"/>
        <v>67280743.450000107</v>
      </c>
      <c r="X42" s="28">
        <f t="shared" si="53"/>
        <v>31443301.370000031</v>
      </c>
      <c r="Y42" s="28">
        <f t="shared" si="53"/>
        <v>117844311.68999994</v>
      </c>
      <c r="Z42" s="28">
        <f t="shared" si="53"/>
        <v>95957190.230000094</v>
      </c>
      <c r="AA42" s="28">
        <f t="shared" si="53"/>
        <v>63095938.510000035</v>
      </c>
      <c r="AB42" s="28">
        <f t="shared" si="53"/>
        <v>27756484.070000008</v>
      </c>
      <c r="AC42" s="28">
        <f t="shared" si="53"/>
        <v>129134900.10999991</v>
      </c>
      <c r="AD42" s="28">
        <f t="shared" si="53"/>
        <v>113955850.39999998</v>
      </c>
      <c r="AE42" s="28">
        <f t="shared" si="53"/>
        <v>83606149.950000077</v>
      </c>
      <c r="AF42" s="28">
        <f t="shared" si="53"/>
        <v>39529395.170000002</v>
      </c>
      <c r="AG42" s="28">
        <f t="shared" si="53"/>
        <v>169248345.51000005</v>
      </c>
      <c r="AH42" s="28">
        <f t="shared" si="53"/>
        <v>141776404.13999993</v>
      </c>
      <c r="AI42" s="28">
        <f t="shared" si="53"/>
        <v>93848459.410000041</v>
      </c>
      <c r="AJ42" s="28">
        <f t="shared" si="53"/>
        <v>44179804.809999973</v>
      </c>
      <c r="AK42" s="28">
        <f t="shared" si="53"/>
        <v>141403845.82000014</v>
      </c>
      <c r="AL42" s="28">
        <f t="shared" si="53"/>
        <v>110542370.32999995</v>
      </c>
      <c r="AM42" s="28">
        <f t="shared" si="53"/>
        <v>74799161.589999974</v>
      </c>
      <c r="AN42" s="28">
        <f t="shared" si="53"/>
        <v>35945179.12000002</v>
      </c>
      <c r="AO42" s="28">
        <f t="shared" si="53"/>
        <v>131395753.98000002</v>
      </c>
      <c r="AP42" s="28">
        <f t="shared" si="53"/>
        <v>98857182.329999924</v>
      </c>
      <c r="AQ42" s="28">
        <f t="shared" si="53"/>
        <v>66368181.120000049</v>
      </c>
      <c r="AR42" s="28">
        <f t="shared" si="53"/>
        <v>29461078.500000004</v>
      </c>
      <c r="AS42" s="28">
        <f t="shared" si="53"/>
        <v>109900825.46999997</v>
      </c>
      <c r="AT42" s="28">
        <f t="shared" si="53"/>
        <v>599631802.59000003</v>
      </c>
      <c r="AU42" s="28">
        <f t="shared" si="53"/>
        <v>53997130.400000013</v>
      </c>
      <c r="AV42" s="28">
        <f t="shared" si="53"/>
        <v>23754642.239999987</v>
      </c>
      <c r="AW42" s="28">
        <f t="shared" si="53"/>
        <v>88505597.280000076</v>
      </c>
      <c r="AX42" s="28">
        <f t="shared" si="53"/>
        <v>72352444.829999939</v>
      </c>
      <c r="AY42" s="28">
        <f t="shared" si="53"/>
        <v>47489308.019999981</v>
      </c>
      <c r="AZ42" s="28">
        <f t="shared" si="53"/>
        <v>21845288.199999996</v>
      </c>
      <c r="BA42" s="28">
        <f t="shared" si="53"/>
        <v>80911919.000000015</v>
      </c>
      <c r="BB42" s="28">
        <f t="shared" si="53"/>
        <v>61259084.520000011</v>
      </c>
      <c r="BC42" s="28">
        <f t="shared" si="53"/>
        <v>40674353.270000041</v>
      </c>
      <c r="BD42" s="28">
        <f t="shared" si="53"/>
        <v>20356454.749999989</v>
      </c>
      <c r="BE42" s="28">
        <f t="shared" si="53"/>
        <v>71969243.949999988</v>
      </c>
      <c r="BF42" s="28">
        <f t="shared" si="53"/>
        <v>52948011.330000028</v>
      </c>
      <c r="BG42" s="28">
        <f t="shared" si="53"/>
        <v>34656153.020000011</v>
      </c>
      <c r="BH42" s="28">
        <f t="shared" si="53"/>
        <v>16213208.329999994</v>
      </c>
      <c r="BI42" s="28">
        <f t="shared" si="53"/>
        <v>69084461.00000006</v>
      </c>
      <c r="BJ42" s="28">
        <f t="shared" si="53"/>
        <v>51217455.339999974</v>
      </c>
      <c r="BK42" s="28">
        <f t="shared" si="53"/>
        <v>32983884.779999997</v>
      </c>
      <c r="BL42" s="28">
        <f t="shared" si="53"/>
        <v>12476935.910000004</v>
      </c>
      <c r="BM42" s="28">
        <f t="shared" si="53"/>
        <v>58581551.860000022</v>
      </c>
      <c r="BN42" s="28">
        <f t="shared" si="53"/>
        <v>40408245.130000018</v>
      </c>
      <c r="BO42" s="28">
        <f t="shared" ref="BO42:CK42" si="54">BO38-BO40</f>
        <v>27501378.399999991</v>
      </c>
      <c r="BP42" s="28">
        <f t="shared" si="54"/>
        <v>41162233.900000036</v>
      </c>
      <c r="BQ42" s="28">
        <f t="shared" si="54"/>
        <v>19247503.320000023</v>
      </c>
      <c r="BR42" s="28">
        <f t="shared" si="54"/>
        <v>30738686.140000015</v>
      </c>
      <c r="BS42" s="28">
        <f t="shared" si="54"/>
        <v>28640757.699999988</v>
      </c>
      <c r="BT42" s="28">
        <f t="shared" si="54"/>
        <v>0</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418</v>
      </c>
      <c r="B43" s="57">
        <f>B42/B4*100</f>
        <v>16.606818654240232</v>
      </c>
      <c r="C43" s="57">
        <f t="shared" ref="C43:D43" si="55">C42/C4*100</f>
        <v>12.789489324314998</v>
      </c>
      <c r="D43" s="57">
        <f t="shared" si="55"/>
        <v>12.784828290235591</v>
      </c>
      <c r="E43" s="57">
        <f>E42/E4</f>
        <v>0.10052648184322435</v>
      </c>
      <c r="F43" s="57">
        <f t="shared" ref="F43:BQ43" si="56">F42/F4</f>
        <v>0.11601290060357909</v>
      </c>
      <c r="G43" s="57">
        <f t="shared" si="56"/>
        <v>0.11487778687555165</v>
      </c>
      <c r="H43" s="57">
        <f t="shared" si="56"/>
        <v>0.11274161987147614</v>
      </c>
      <c r="I43" s="57">
        <f t="shared" si="56"/>
        <v>9.8389889243281986E-2</v>
      </c>
      <c r="J43" s="57">
        <f t="shared" si="56"/>
        <v>8.922007452225203E-2</v>
      </c>
      <c r="K43" s="57">
        <f t="shared" si="56"/>
        <v>8.8165549766619916E-2</v>
      </c>
      <c r="L43" s="57">
        <f t="shared" si="56"/>
        <v>8.5442297528902686E-2</v>
      </c>
      <c r="M43" s="57">
        <f t="shared" si="56"/>
        <v>8.5391602782398005E-2</v>
      </c>
      <c r="N43" s="57">
        <f t="shared" si="56"/>
        <v>8.623570462990654E-2</v>
      </c>
      <c r="O43" s="57">
        <f t="shared" si="56"/>
        <v>8.1302821726392666E-2</v>
      </c>
      <c r="P43" s="57">
        <f t="shared" si="56"/>
        <v>7.7420443090981478E-2</v>
      </c>
      <c r="Q43" s="57">
        <f t="shared" si="56"/>
        <v>7.2831648239960203E-2</v>
      </c>
      <c r="R43" s="57">
        <f t="shared" si="56"/>
        <v>7.8478640550930498E-2</v>
      </c>
      <c r="S43" s="57">
        <f t="shared" si="56"/>
        <v>8.286947256184099E-2</v>
      </c>
      <c r="T43" s="57">
        <f t="shared" si="56"/>
        <v>7.666121667985043E-2</v>
      </c>
      <c r="U43" s="57">
        <f t="shared" si="56"/>
        <v>7.4972321152295948E-2</v>
      </c>
      <c r="V43" s="57">
        <f t="shared" si="56"/>
        <v>9.1021516989797449E-2</v>
      </c>
      <c r="W43" s="57">
        <f t="shared" si="56"/>
        <v>8.8652340522580017E-2</v>
      </c>
      <c r="X43" s="57">
        <f t="shared" si="56"/>
        <v>8.8025712675027679E-2</v>
      </c>
      <c r="Y43" s="57">
        <f t="shared" si="56"/>
        <v>8.0270340656884473E-2</v>
      </c>
      <c r="Z43" s="57">
        <f t="shared" si="56"/>
        <v>8.9566698046084747E-2</v>
      </c>
      <c r="AA43" s="57">
        <f t="shared" si="56"/>
        <v>8.8517459862463135E-2</v>
      </c>
      <c r="AB43" s="57">
        <f t="shared" si="56"/>
        <v>8.4813074675838193E-2</v>
      </c>
      <c r="AC43" s="57">
        <f t="shared" si="56"/>
        <v>9.2425518125685641E-2</v>
      </c>
      <c r="AD43" s="57">
        <f t="shared" si="56"/>
        <v>0.10565496088662384</v>
      </c>
      <c r="AE43" s="57">
        <f t="shared" si="56"/>
        <v>0.11287051631470682</v>
      </c>
      <c r="AF43" s="57">
        <f t="shared" si="56"/>
        <v>0.10567288376598956</v>
      </c>
      <c r="AG43" s="57">
        <f t="shared" si="56"/>
        <v>0.11183183440084664</v>
      </c>
      <c r="AH43" s="57">
        <f t="shared" si="56"/>
        <v>0.1337896884521719</v>
      </c>
      <c r="AI43" s="57">
        <f t="shared" si="56"/>
        <v>0.1332295555028582</v>
      </c>
      <c r="AJ43" s="57">
        <f t="shared" si="56"/>
        <v>0.13139640351352663</v>
      </c>
      <c r="AK43" s="57">
        <f t="shared" si="56"/>
        <v>0.11383719808334045</v>
      </c>
      <c r="AL43" s="57">
        <f t="shared" si="56"/>
        <v>0.12869667474084992</v>
      </c>
      <c r="AM43" s="57">
        <f t="shared" si="56"/>
        <v>0.13302983059780427</v>
      </c>
      <c r="AN43" s="57">
        <f t="shared" si="56"/>
        <v>0.13508914644053416</v>
      </c>
      <c r="AO43" s="57">
        <f t="shared" si="56"/>
        <v>0.11343922459172048</v>
      </c>
      <c r="AP43" s="57">
        <f t="shared" si="56"/>
        <v>0.1104291588128941</v>
      </c>
      <c r="AQ43" s="57">
        <f t="shared" si="56"/>
        <v>0.11721870917219876</v>
      </c>
      <c r="AR43" s="57">
        <f t="shared" si="56"/>
        <v>0.11687639614592114</v>
      </c>
      <c r="AS43" s="57">
        <f t="shared" si="56"/>
        <v>0.10858373109773409</v>
      </c>
      <c r="AT43" s="57">
        <f t="shared" si="56"/>
        <v>0.80364370795907114</v>
      </c>
      <c r="AU43" s="57">
        <f t="shared" si="56"/>
        <v>0.11144058924587226</v>
      </c>
      <c r="AV43" s="57">
        <f t="shared" si="56"/>
        <v>0.10631844611854478</v>
      </c>
      <c r="AW43" s="57">
        <f t="shared" si="56"/>
        <v>0.10705706256628134</v>
      </c>
      <c r="AX43" s="57">
        <f t="shared" si="56"/>
        <v>0.11976261746465904</v>
      </c>
      <c r="AY43" s="57">
        <f t="shared" si="56"/>
        <v>0.11947638732184278</v>
      </c>
      <c r="AZ43" s="57">
        <f t="shared" si="56"/>
        <v>0.10584617369056337</v>
      </c>
      <c r="BA43" s="57">
        <f t="shared" si="56"/>
        <v>0.1203797451108826</v>
      </c>
      <c r="BB43" s="57">
        <f t="shared" si="56"/>
        <v>0.12558614058779216</v>
      </c>
      <c r="BC43" s="57">
        <f t="shared" si="56"/>
        <v>0.12512886969166154</v>
      </c>
      <c r="BD43" s="57">
        <f t="shared" si="56"/>
        <v>0.13330202846559833</v>
      </c>
      <c r="BE43" s="57">
        <f t="shared" si="56"/>
        <v>0.12847575058338598</v>
      </c>
      <c r="BF43" s="57">
        <f t="shared" si="56"/>
        <v>0.13207834082454664</v>
      </c>
      <c r="BG43" s="57">
        <f t="shared" si="56"/>
        <v>0.12980777081851866</v>
      </c>
      <c r="BH43" s="57">
        <f t="shared" si="56"/>
        <v>0.12188784960798552</v>
      </c>
      <c r="BI43" s="57">
        <f t="shared" si="56"/>
        <v>0.14761967228239217</v>
      </c>
      <c r="BJ43" s="57">
        <f t="shared" si="56"/>
        <v>0.1466709961113053</v>
      </c>
      <c r="BK43" s="57">
        <f t="shared" si="56"/>
        <v>0.13951410996559729</v>
      </c>
      <c r="BL43" s="57">
        <f t="shared" si="56"/>
        <v>0.13688282999865273</v>
      </c>
      <c r="BM43" s="57">
        <f t="shared" si="56"/>
        <v>0.13871422893658455</v>
      </c>
      <c r="BN43" s="57">
        <f t="shared" si="56"/>
        <v>0.13773381481436145</v>
      </c>
      <c r="BO43" s="57">
        <f t="shared" si="56"/>
        <v>0.1464160558759757</v>
      </c>
      <c r="BP43" s="57">
        <f t="shared" si="56"/>
        <v>0.11756981676618315</v>
      </c>
      <c r="BQ43" s="57">
        <f t="shared" si="56"/>
        <v>0.11961064461291279</v>
      </c>
      <c r="BR43" s="57">
        <f t="shared" ref="BR43:CK43" si="57">BR42/BR4</f>
        <v>0.10486912364194526</v>
      </c>
      <c r="BS43" s="57">
        <f t="shared" si="57"/>
        <v>0.12392850222111221</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420</v>
      </c>
      <c r="B45" s="26">
        <f>B70*B69</f>
        <v>274136922.02319998</v>
      </c>
      <c r="C45" s="26">
        <f t="shared" ref="C45:BN45" si="58">C70*C69</f>
        <v>266356147.97599998</v>
      </c>
      <c r="D45" s="26">
        <f t="shared" si="58"/>
        <v>266772887.39040002</v>
      </c>
      <c r="E45" s="26">
        <f t="shared" si="58"/>
        <v>260025301.90959999</v>
      </c>
      <c r="F45" s="26">
        <f t="shared" si="58"/>
        <v>254890050.472</v>
      </c>
      <c r="G45" s="26">
        <f t="shared" si="58"/>
        <v>249427538.58400002</v>
      </c>
      <c r="H45" s="26">
        <f t="shared" si="58"/>
        <v>248782070.48000002</v>
      </c>
      <c r="I45" s="26">
        <f t="shared" si="58"/>
        <v>243488083.95680001</v>
      </c>
      <c r="J45" s="26">
        <f t="shared" si="58"/>
        <v>185429668.956</v>
      </c>
      <c r="K45" s="26">
        <f t="shared" si="58"/>
        <v>181849602.51360002</v>
      </c>
      <c r="L45" s="26">
        <f t="shared" si="58"/>
        <v>178615658.5072</v>
      </c>
      <c r="M45" s="26">
        <f t="shared" si="58"/>
        <v>178996860.7448</v>
      </c>
      <c r="N45" s="26">
        <f t="shared" si="58"/>
        <v>176209940.3184</v>
      </c>
      <c r="O45" s="26">
        <f t="shared" si="58"/>
        <v>172762986.81759998</v>
      </c>
      <c r="P45" s="26">
        <f t="shared" si="58"/>
        <v>172571597.86320001</v>
      </c>
      <c r="Q45" s="26">
        <f t="shared" si="58"/>
        <v>170049489.47600001</v>
      </c>
      <c r="R45" s="26">
        <f t="shared" si="58"/>
        <v>167784390.3048</v>
      </c>
      <c r="S45" s="26">
        <f t="shared" si="58"/>
        <v>164516875.05360001</v>
      </c>
      <c r="T45" s="26">
        <f t="shared" si="58"/>
        <v>164670384.01360002</v>
      </c>
      <c r="U45" s="26">
        <f t="shared" si="58"/>
        <v>162398616.16240001</v>
      </c>
      <c r="V45" s="26">
        <f t="shared" si="58"/>
        <v>160689648.04960001</v>
      </c>
      <c r="W45" s="26">
        <f t="shared" si="58"/>
        <v>157903319.03600001</v>
      </c>
      <c r="X45" s="26">
        <f t="shared" si="58"/>
        <v>157945285.1816</v>
      </c>
      <c r="Y45" s="26">
        <f t="shared" si="58"/>
        <v>155227753.92160001</v>
      </c>
      <c r="Z45" s="26">
        <f t="shared" si="58"/>
        <v>153478169.18959999</v>
      </c>
      <c r="AA45" s="26">
        <f t="shared" si="58"/>
        <v>150891796.79840001</v>
      </c>
      <c r="AB45" s="26">
        <f t="shared" si="58"/>
        <v>150087062.47440001</v>
      </c>
      <c r="AC45" s="26">
        <f t="shared" si="58"/>
        <v>147979729.85680002</v>
      </c>
      <c r="AD45" s="26">
        <f t="shared" si="58"/>
        <v>146507154.4544</v>
      </c>
      <c r="AE45" s="26">
        <f t="shared" si="58"/>
        <v>143979623.6552</v>
      </c>
      <c r="AF45" s="26">
        <f t="shared" si="58"/>
        <v>143032277.088</v>
      </c>
      <c r="AG45" s="26">
        <f t="shared" si="58"/>
        <v>139627966.64160001</v>
      </c>
      <c r="AH45" s="26">
        <f t="shared" si="58"/>
        <v>137120654.544</v>
      </c>
      <c r="AI45" s="26">
        <f t="shared" si="58"/>
        <v>133238910.93120001</v>
      </c>
      <c r="AJ45" s="26">
        <f t="shared" si="58"/>
        <v>131218127.7784</v>
      </c>
      <c r="AK45" s="26">
        <f t="shared" si="58"/>
        <v>127457586.97680001</v>
      </c>
      <c r="AL45" s="26">
        <f t="shared" si="58"/>
        <v>124466644.25120001</v>
      </c>
      <c r="AM45" s="26">
        <f t="shared" si="58"/>
        <v>121591958.2816</v>
      </c>
      <c r="AN45" s="26">
        <f t="shared" si="58"/>
        <v>119080331.65440001</v>
      </c>
      <c r="AO45" s="26">
        <f t="shared" si="58"/>
        <v>116385767.528</v>
      </c>
      <c r="AP45" s="26">
        <f t="shared" si="58"/>
        <v>112446774.008</v>
      </c>
      <c r="AQ45" s="26">
        <f t="shared" si="58"/>
        <v>109847653.91120002</v>
      </c>
      <c r="AR45" s="26">
        <f t="shared" si="58"/>
        <v>106895085.7016</v>
      </c>
      <c r="AS45" s="26">
        <f t="shared" si="58"/>
        <v>104538199.4216</v>
      </c>
      <c r="AT45" s="26">
        <f t="shared" si="58"/>
        <v>102646541.49040002</v>
      </c>
      <c r="AU45" s="26">
        <f t="shared" si="58"/>
        <v>100277590.61520001</v>
      </c>
      <c r="AV45" s="26">
        <f t="shared" si="58"/>
        <v>100022240.58</v>
      </c>
      <c r="AW45" s="26">
        <f t="shared" si="58"/>
        <v>73979002.576000005</v>
      </c>
      <c r="AX45" s="26">
        <f t="shared" si="58"/>
        <v>72911916.850400001</v>
      </c>
      <c r="AY45" s="26">
        <f t="shared" si="58"/>
        <v>70865886.419200003</v>
      </c>
      <c r="AZ45" s="26">
        <f t="shared" si="58"/>
        <v>70658706.109600008</v>
      </c>
      <c r="BA45" s="26">
        <f t="shared" si="58"/>
        <v>68925873.3072</v>
      </c>
      <c r="BB45" s="26">
        <f t="shared" si="58"/>
        <v>67274577.5616</v>
      </c>
      <c r="BC45" s="26">
        <f t="shared" si="58"/>
        <v>65560832.810400002</v>
      </c>
      <c r="BD45" s="26">
        <f t="shared" si="58"/>
        <v>65360592.280000001</v>
      </c>
      <c r="BE45" s="26">
        <f t="shared" si="58"/>
        <v>63774801.376000002</v>
      </c>
      <c r="BF45" s="26">
        <f t="shared" si="58"/>
        <v>61661268.917600006</v>
      </c>
      <c r="BG45" s="26">
        <f t="shared" si="58"/>
        <v>60096692.660000004</v>
      </c>
      <c r="BH45" s="26">
        <f t="shared" si="58"/>
        <v>59413932.725600004</v>
      </c>
      <c r="BI45" s="26">
        <f t="shared" si="58"/>
        <v>52725874.4648</v>
      </c>
      <c r="BJ45" s="26">
        <f t="shared" si="58"/>
        <v>56162101.098400004</v>
      </c>
      <c r="BK45" s="26">
        <f t="shared" si="58"/>
        <v>54695317.848000005</v>
      </c>
      <c r="BL45" s="26">
        <f t="shared" si="58"/>
        <v>53002329.563199997</v>
      </c>
      <c r="BM45" s="26">
        <f t="shared" si="58"/>
        <v>52684469.6712</v>
      </c>
      <c r="BN45" s="26">
        <f t="shared" si="58"/>
        <v>51066172.232000001</v>
      </c>
      <c r="BO45" s="26">
        <f t="shared" ref="BO45:CJ45" si="59">BO70*BO69</f>
        <v>50487569.582400002</v>
      </c>
      <c r="BP45" s="26">
        <f t="shared" si="59"/>
        <v>17946977.525600001</v>
      </c>
      <c r="BQ45" s="26">
        <f t="shared" si="59"/>
        <v>15066052.448800001</v>
      </c>
      <c r="BR45" s="26">
        <f t="shared" si="59"/>
        <v>12702616.504800001</v>
      </c>
      <c r="BS45" s="26">
        <f t="shared" si="59"/>
        <v>0</v>
      </c>
      <c r="BT45" s="26">
        <f t="shared" si="59"/>
        <v>0</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422</v>
      </c>
      <c r="B47" s="28">
        <f>B42-B45</f>
        <v>44827265.176800191</v>
      </c>
      <c r="C47" s="28">
        <f t="shared" ref="C47:BN47" si="62">C42-C45</f>
        <v>-100079169.47599998</v>
      </c>
      <c r="D47" s="28">
        <f t="shared" si="62"/>
        <v>-184387017.08040002</v>
      </c>
      <c r="E47" s="28">
        <f t="shared" si="62"/>
        <v>-25749506.939599872</v>
      </c>
      <c r="F47" s="28">
        <f t="shared" si="62"/>
        <v>-57120468.532000124</v>
      </c>
      <c r="G47" s="28">
        <f t="shared" si="62"/>
        <v>-117313794.14400002</v>
      </c>
      <c r="H47" s="28">
        <f t="shared" si="62"/>
        <v>-184004005.29000008</v>
      </c>
      <c r="I47" s="28">
        <f t="shared" si="62"/>
        <v>-41053537.496800005</v>
      </c>
      <c r="J47" s="28">
        <f t="shared" si="62"/>
        <v>-56262871.446000129</v>
      </c>
      <c r="K47" s="28">
        <f t="shared" si="62"/>
        <v>-96237921.843600005</v>
      </c>
      <c r="L47" s="28">
        <f t="shared" si="62"/>
        <v>-140116936.23720002</v>
      </c>
      <c r="M47" s="28">
        <f t="shared" si="62"/>
        <v>-31849438.914800137</v>
      </c>
      <c r="N47" s="28">
        <f t="shared" si="62"/>
        <v>-63176882.80839999</v>
      </c>
      <c r="O47" s="28">
        <f t="shared" si="62"/>
        <v>-100162401.98759992</v>
      </c>
      <c r="P47" s="28">
        <f t="shared" si="62"/>
        <v>-140374890.47319999</v>
      </c>
      <c r="Q47" s="28">
        <f t="shared" si="62"/>
        <v>-46882981.925999969</v>
      </c>
      <c r="R47" s="28">
        <f t="shared" si="62"/>
        <v>-71193550.934800059</v>
      </c>
      <c r="S47" s="28">
        <f t="shared" si="62"/>
        <v>-97098873.263600022</v>
      </c>
      <c r="T47" s="28">
        <f t="shared" si="62"/>
        <v>-134770646.07360002</v>
      </c>
      <c r="U47" s="28">
        <f t="shared" si="62"/>
        <v>-46600495.982400134</v>
      </c>
      <c r="V47" s="28">
        <f t="shared" si="62"/>
        <v>-58527411.129599988</v>
      </c>
      <c r="W47" s="28">
        <f t="shared" si="62"/>
        <v>-90622575.585999906</v>
      </c>
      <c r="X47" s="28">
        <f t="shared" si="62"/>
        <v>-126501983.81159997</v>
      </c>
      <c r="Y47" s="28">
        <f t="shared" si="62"/>
        <v>-37383442.231600076</v>
      </c>
      <c r="Z47" s="28">
        <f t="shared" si="62"/>
        <v>-57520978.959599897</v>
      </c>
      <c r="AA47" s="28">
        <f t="shared" si="62"/>
        <v>-87795858.288399979</v>
      </c>
      <c r="AB47" s="28">
        <f t="shared" si="62"/>
        <v>-122330578.40440001</v>
      </c>
      <c r="AC47" s="28">
        <f t="shared" si="62"/>
        <v>-18844829.74680011</v>
      </c>
      <c r="AD47" s="28">
        <f t="shared" si="62"/>
        <v>-32551304.054400027</v>
      </c>
      <c r="AE47" s="28">
        <f t="shared" si="62"/>
        <v>-60373473.705199927</v>
      </c>
      <c r="AF47" s="28">
        <f t="shared" si="62"/>
        <v>-103502881.918</v>
      </c>
      <c r="AG47" s="28">
        <f t="shared" si="62"/>
        <v>29620378.868400037</v>
      </c>
      <c r="AH47" s="28">
        <f t="shared" si="62"/>
        <v>4655749.5959999263</v>
      </c>
      <c r="AI47" s="28">
        <f t="shared" si="62"/>
        <v>-39390451.521199971</v>
      </c>
      <c r="AJ47" s="28">
        <f t="shared" si="62"/>
        <v>-87038322.968400031</v>
      </c>
      <c r="AK47" s="28">
        <f t="shared" si="62"/>
        <v>13946258.843200132</v>
      </c>
      <c r="AL47" s="28">
        <f t="shared" si="62"/>
        <v>-13924273.921200052</v>
      </c>
      <c r="AM47" s="28">
        <f t="shared" si="62"/>
        <v>-46792796.691600025</v>
      </c>
      <c r="AN47" s="28">
        <f t="shared" si="62"/>
        <v>-83135152.534399986</v>
      </c>
      <c r="AO47" s="28">
        <f t="shared" si="62"/>
        <v>15009986.452000022</v>
      </c>
      <c r="AP47" s="28">
        <f t="shared" si="62"/>
        <v>-13589591.678000078</v>
      </c>
      <c r="AQ47" s="28">
        <f t="shared" si="62"/>
        <v>-43479472.791199967</v>
      </c>
      <c r="AR47" s="28">
        <f t="shared" si="62"/>
        <v>-77434007.2016</v>
      </c>
      <c r="AS47" s="28">
        <f t="shared" si="62"/>
        <v>5362626.0483999699</v>
      </c>
      <c r="AT47" s="28">
        <f t="shared" si="62"/>
        <v>496985261.09960002</v>
      </c>
      <c r="AU47" s="28">
        <f t="shared" si="62"/>
        <v>-46280460.2152</v>
      </c>
      <c r="AV47" s="28">
        <f t="shared" si="62"/>
        <v>-76267598.340000004</v>
      </c>
      <c r="AW47" s="28">
        <f t="shared" si="62"/>
        <v>14526594.704000071</v>
      </c>
      <c r="AX47" s="28">
        <f t="shared" si="62"/>
        <v>-559472.0204000622</v>
      </c>
      <c r="AY47" s="28">
        <f t="shared" si="62"/>
        <v>-23376578.399200022</v>
      </c>
      <c r="AZ47" s="28">
        <f t="shared" si="62"/>
        <v>-48813417.909600012</v>
      </c>
      <c r="BA47" s="28">
        <f t="shared" si="62"/>
        <v>11986045.692800015</v>
      </c>
      <c r="BB47" s="28">
        <f t="shared" si="62"/>
        <v>-6015493.0415999889</v>
      </c>
      <c r="BC47" s="28">
        <f t="shared" si="62"/>
        <v>-24886479.540399961</v>
      </c>
      <c r="BD47" s="28">
        <f t="shared" si="62"/>
        <v>-45004137.530000016</v>
      </c>
      <c r="BE47" s="28">
        <f t="shared" si="62"/>
        <v>8194442.5739999861</v>
      </c>
      <c r="BF47" s="28">
        <f t="shared" si="62"/>
        <v>-8713257.5875999779</v>
      </c>
      <c r="BG47" s="28">
        <f t="shared" si="62"/>
        <v>-25440539.639999993</v>
      </c>
      <c r="BH47" s="28">
        <f t="shared" si="62"/>
        <v>-43200724.395600006</v>
      </c>
      <c r="BI47" s="28">
        <f t="shared" si="62"/>
        <v>16358586.535200059</v>
      </c>
      <c r="BJ47" s="28">
        <f t="shared" si="62"/>
        <v>-4944645.7584000304</v>
      </c>
      <c r="BK47" s="28">
        <f t="shared" si="62"/>
        <v>-21711433.068000007</v>
      </c>
      <c r="BL47" s="28">
        <f t="shared" si="62"/>
        <v>-40525393.653199993</v>
      </c>
      <c r="BM47" s="28">
        <f t="shared" si="62"/>
        <v>5897082.188800022</v>
      </c>
      <c r="BN47" s="28">
        <f t="shared" si="62"/>
        <v>-10657927.101999983</v>
      </c>
      <c r="BO47" s="28">
        <f t="shared" ref="BO47:CJ47" si="63">BO42-BO45</f>
        <v>-22986191.182400011</v>
      </c>
      <c r="BP47" s="28">
        <f t="shared" si="63"/>
        <v>23215256.374400035</v>
      </c>
      <c r="BQ47" s="28">
        <f t="shared" si="63"/>
        <v>4181450.8712000214</v>
      </c>
      <c r="BR47" s="28">
        <f t="shared" si="63"/>
        <v>18036069.635200016</v>
      </c>
      <c r="BS47" s="28">
        <f t="shared" si="63"/>
        <v>28640757.699999988</v>
      </c>
      <c r="BT47" s="28">
        <f t="shared" si="63"/>
        <v>0</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20030331</v>
      </c>
      <c r="BM51" s="188">
        <v>20021231</v>
      </c>
      <c r="BN51" s="188">
        <v>20020930</v>
      </c>
      <c r="BO51" s="188">
        <v>20020630</v>
      </c>
      <c r="BP51" s="188">
        <v>20011231</v>
      </c>
      <c r="BQ51" s="188">
        <v>20010630</v>
      </c>
      <c r="BR51" s="188">
        <v>20001231</v>
      </c>
      <c r="BS51" s="188">
        <v>19991231</v>
      </c>
      <c r="BT51" s="188">
        <v>19700101</v>
      </c>
      <c r="BU51" s="188">
        <v>20001231</v>
      </c>
      <c r="BV51" s="188">
        <v>20000630</v>
      </c>
      <c r="BW51" s="188">
        <v>19991231</v>
      </c>
      <c r="BX51" s="188">
        <v>19990630</v>
      </c>
      <c r="BY51" s="188">
        <v>19981231</v>
      </c>
      <c r="BZ51" s="188">
        <v>19980630</v>
      </c>
      <c r="CA51" s="188">
        <v>19971231</v>
      </c>
      <c r="CB51" s="188">
        <v>19961231</v>
      </c>
      <c r="CC51" s="188">
        <v>19951231</v>
      </c>
      <c r="CD51" s="188">
        <v>19700101</v>
      </c>
      <c r="CE51" s="188">
        <v>19941231</v>
      </c>
      <c r="CF51" s="188">
        <v>19940630</v>
      </c>
      <c r="CG51" s="188">
        <v>19930630</v>
      </c>
      <c r="CH51" s="188">
        <v>19921231</v>
      </c>
      <c r="CI51" s="188">
        <v>19911231</v>
      </c>
      <c r="CJ51" s="188">
        <v>19901231</v>
      </c>
      <c r="CK51" s="188">
        <v>19700101</v>
      </c>
    </row>
    <row r="52" spans="1:89" s="43" customFormat="1">
      <c r="A52" s="130" t="s">
        <v>569</v>
      </c>
      <c r="B52" s="42">
        <v>-25636</v>
      </c>
      <c r="C52" s="42">
        <v>-27718</v>
      </c>
      <c r="D52" s="42">
        <v>-35317</v>
      </c>
      <c r="E52" s="42">
        <v>-3034722.89</v>
      </c>
      <c r="F52" s="42">
        <v>-34414</v>
      </c>
      <c r="G52" s="42">
        <v>-23309</v>
      </c>
      <c r="H52" s="42">
        <v>-16814</v>
      </c>
      <c r="I52" s="42">
        <v>-2593509.0299999998</v>
      </c>
      <c r="J52" s="42"/>
      <c r="K52" s="42"/>
      <c r="M52" s="43">
        <v>-4023951.46</v>
      </c>
      <c r="Q52" s="43">
        <v>-2112325.09</v>
      </c>
      <c r="U52" s="43">
        <v>-1281829</v>
      </c>
      <c r="Y52" s="43">
        <v>-793731.94</v>
      </c>
      <c r="AC52" s="43">
        <v>-2030146.04</v>
      </c>
      <c r="AG52" s="43">
        <v>-1335743.3</v>
      </c>
      <c r="AK52" s="43">
        <v>-1294932.8999999999</v>
      </c>
      <c r="AO52" s="43">
        <v>-4695724.9800000004</v>
      </c>
      <c r="AS52" s="43">
        <v>-2825807.43</v>
      </c>
      <c r="AW52" s="43">
        <v>-962305.18</v>
      </c>
    </row>
    <row r="53" spans="1:89" s="43" customFormat="1">
      <c r="A53" s="131" t="s">
        <v>90</v>
      </c>
      <c r="B53" s="42">
        <v>217</v>
      </c>
      <c r="C53" s="42">
        <v>189</v>
      </c>
      <c r="D53" s="42"/>
      <c r="E53" s="42">
        <v>157876</v>
      </c>
      <c r="F53" s="42"/>
      <c r="G53" s="42"/>
      <c r="H53" s="42"/>
      <c r="I53" s="42">
        <v>755142.13</v>
      </c>
      <c r="J53" s="42"/>
      <c r="K53" s="42"/>
      <c r="M53" s="43">
        <v>3141467.75</v>
      </c>
      <c r="Q53" s="43">
        <v>4400164.51</v>
      </c>
      <c r="U53" s="43">
        <v>5175253.71</v>
      </c>
      <c r="Y53" s="43">
        <v>4775537.5599999996</v>
      </c>
      <c r="AC53" s="43">
        <v>4956899.87</v>
      </c>
      <c r="AD53" s="42"/>
      <c r="AE53" s="42"/>
      <c r="AF53" s="42"/>
      <c r="AG53" s="42">
        <v>6034942.0700000003</v>
      </c>
      <c r="AH53" s="42"/>
      <c r="AI53" s="42"/>
      <c r="AJ53" s="42"/>
      <c r="AK53" s="42">
        <v>6486271.5700000003</v>
      </c>
      <c r="AL53" s="42"/>
      <c r="AM53" s="42"/>
      <c r="AN53" s="42"/>
      <c r="AO53" s="42">
        <v>9744340.9900000002</v>
      </c>
      <c r="AP53" s="42"/>
      <c r="AQ53" s="42"/>
      <c r="AR53" s="42"/>
      <c r="AS53" s="42">
        <v>12878715.15</v>
      </c>
      <c r="AT53" s="42"/>
      <c r="AU53" s="42"/>
      <c r="AV53" s="42"/>
      <c r="AW53" s="42">
        <v>14831437.380000001</v>
      </c>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1" t="s">
        <v>91</v>
      </c>
      <c r="B54" s="42">
        <v>3104</v>
      </c>
      <c r="C54" s="42">
        <v>-1424</v>
      </c>
      <c r="D54" s="42">
        <v>-340</v>
      </c>
      <c r="E54" s="42">
        <v>18752723.890000001</v>
      </c>
      <c r="F54" s="42">
        <v>2684</v>
      </c>
      <c r="G54" s="42">
        <v>-377</v>
      </c>
      <c r="H54" s="42">
        <v>1008</v>
      </c>
      <c r="I54" s="42">
        <v>-15322208.779999999</v>
      </c>
      <c r="J54" s="42"/>
      <c r="K54" s="42"/>
      <c r="M54" s="43">
        <v>-4169075.02</v>
      </c>
      <c r="Q54" s="43">
        <v>-1304043.24</v>
      </c>
      <c r="U54" s="43">
        <v>4864005.21</v>
      </c>
      <c r="Y54" s="43">
        <v>459510.1</v>
      </c>
      <c r="AC54" s="43">
        <v>1837755.14</v>
      </c>
      <c r="AG54" s="43">
        <v>1264784.56</v>
      </c>
      <c r="AK54" s="43">
        <v>1827464.3</v>
      </c>
      <c r="AO54" s="43">
        <v>708987.47</v>
      </c>
      <c r="AS54" s="43">
        <v>217748.59</v>
      </c>
      <c r="AW54" s="43">
        <v>1310694.21</v>
      </c>
    </row>
    <row r="55" spans="1:89" s="43" customFormat="1">
      <c r="A55" s="131" t="s">
        <v>92</v>
      </c>
      <c r="B55" s="42">
        <v>463</v>
      </c>
      <c r="C55" s="42">
        <v>603</v>
      </c>
      <c r="D55" s="42">
        <v>653</v>
      </c>
      <c r="E55" s="42">
        <v>2380303.09</v>
      </c>
      <c r="F55" s="42">
        <v>1204</v>
      </c>
      <c r="G55" s="42">
        <v>868</v>
      </c>
      <c r="H55" s="42">
        <v>644</v>
      </c>
      <c r="I55" s="42">
        <v>1934270.67</v>
      </c>
      <c r="J55" s="42"/>
      <c r="K55" s="42"/>
      <c r="M55" s="43">
        <v>1694127.54</v>
      </c>
      <c r="Q55" s="43">
        <v>1773957.95</v>
      </c>
      <c r="U55" s="43">
        <v>1671581.8</v>
      </c>
      <c r="Y55" s="43">
        <v>1524320.62</v>
      </c>
      <c r="AC55" s="43">
        <v>1535401.62</v>
      </c>
      <c r="AG55" s="43">
        <v>1457507.45</v>
      </c>
      <c r="AK55" s="43">
        <v>1607991.67</v>
      </c>
      <c r="AO55" s="43">
        <v>3107542.74</v>
      </c>
      <c r="AS55" s="43">
        <v>1408087.24</v>
      </c>
      <c r="AW55" s="43">
        <v>1017160.32</v>
      </c>
    </row>
    <row r="56" spans="1:89" s="26" customFormat="1">
      <c r="A56" s="132" t="s">
        <v>93</v>
      </c>
      <c r="B56" s="44">
        <f>SUM(B52:B55)</f>
        <v>-21852</v>
      </c>
      <c r="C56" s="44">
        <f t="shared" ref="C56:D56" si="64">SUM(C52:C55)</f>
        <v>-28350</v>
      </c>
      <c r="D56" s="44">
        <f t="shared" si="64"/>
        <v>-35004</v>
      </c>
      <c r="E56" s="44">
        <f>SUM(E52:E55)</f>
        <v>18256180.09</v>
      </c>
      <c r="F56" s="44">
        <f t="shared" ref="F56:BQ56" si="65">SUM(F52:F55)</f>
        <v>-30526</v>
      </c>
      <c r="G56" s="44">
        <f t="shared" si="65"/>
        <v>-22818</v>
      </c>
      <c r="H56" s="44">
        <f t="shared" si="65"/>
        <v>-15162</v>
      </c>
      <c r="I56" s="44">
        <f t="shared" si="65"/>
        <v>-15226305.01</v>
      </c>
      <c r="J56" s="44">
        <f t="shared" si="65"/>
        <v>0</v>
      </c>
      <c r="K56" s="44">
        <f t="shared" si="65"/>
        <v>0</v>
      </c>
      <c r="L56" s="44">
        <f t="shared" si="65"/>
        <v>0</v>
      </c>
      <c r="M56" s="44">
        <f t="shared" si="65"/>
        <v>-3357431.1900000004</v>
      </c>
      <c r="N56" s="44">
        <f t="shared" si="65"/>
        <v>0</v>
      </c>
      <c r="O56" s="44">
        <f t="shared" si="65"/>
        <v>0</v>
      </c>
      <c r="P56" s="44">
        <f t="shared" si="65"/>
        <v>0</v>
      </c>
      <c r="Q56" s="44">
        <f t="shared" si="65"/>
        <v>2757754.13</v>
      </c>
      <c r="R56" s="44">
        <f t="shared" si="65"/>
        <v>0</v>
      </c>
      <c r="S56" s="44">
        <f t="shared" si="65"/>
        <v>0</v>
      </c>
      <c r="T56" s="44">
        <f t="shared" si="65"/>
        <v>0</v>
      </c>
      <c r="U56" s="44">
        <f t="shared" si="65"/>
        <v>10429011.720000001</v>
      </c>
      <c r="V56" s="44">
        <f t="shared" si="65"/>
        <v>0</v>
      </c>
      <c r="W56" s="44">
        <f t="shared" si="65"/>
        <v>0</v>
      </c>
      <c r="X56" s="44">
        <f t="shared" si="65"/>
        <v>0</v>
      </c>
      <c r="Y56" s="44">
        <f t="shared" si="65"/>
        <v>5965636.3399999999</v>
      </c>
      <c r="Z56" s="44">
        <f t="shared" si="65"/>
        <v>0</v>
      </c>
      <c r="AA56" s="44">
        <f t="shared" si="65"/>
        <v>0</v>
      </c>
      <c r="AB56" s="44">
        <f t="shared" si="65"/>
        <v>0</v>
      </c>
      <c r="AC56" s="44">
        <f t="shared" si="65"/>
        <v>6299910.5899999999</v>
      </c>
      <c r="AD56" s="44">
        <f t="shared" si="65"/>
        <v>0</v>
      </c>
      <c r="AE56" s="44">
        <f t="shared" si="65"/>
        <v>0</v>
      </c>
      <c r="AF56" s="44">
        <f t="shared" si="65"/>
        <v>0</v>
      </c>
      <c r="AG56" s="44">
        <f t="shared" si="65"/>
        <v>7421490.7800000003</v>
      </c>
      <c r="AH56" s="44">
        <f t="shared" si="65"/>
        <v>0</v>
      </c>
      <c r="AI56" s="44">
        <f t="shared" si="65"/>
        <v>0</v>
      </c>
      <c r="AJ56" s="44">
        <f t="shared" si="65"/>
        <v>0</v>
      </c>
      <c r="AK56" s="44">
        <f t="shared" si="65"/>
        <v>8626794.6400000006</v>
      </c>
      <c r="AL56" s="44">
        <f t="shared" si="65"/>
        <v>0</v>
      </c>
      <c r="AM56" s="44">
        <f t="shared" si="65"/>
        <v>0</v>
      </c>
      <c r="AN56" s="44">
        <f t="shared" si="65"/>
        <v>0</v>
      </c>
      <c r="AO56" s="44">
        <f t="shared" si="65"/>
        <v>8865146.2199999988</v>
      </c>
      <c r="AP56" s="44">
        <f t="shared" si="65"/>
        <v>0</v>
      </c>
      <c r="AQ56" s="44">
        <f t="shared" si="65"/>
        <v>0</v>
      </c>
      <c r="AR56" s="44">
        <f t="shared" si="65"/>
        <v>0</v>
      </c>
      <c r="AS56" s="44">
        <f t="shared" si="65"/>
        <v>11678743.550000001</v>
      </c>
      <c r="AT56" s="44">
        <f t="shared" si="65"/>
        <v>0</v>
      </c>
      <c r="AU56" s="44">
        <f t="shared" si="65"/>
        <v>0</v>
      </c>
      <c r="AV56" s="44">
        <f t="shared" si="65"/>
        <v>0</v>
      </c>
      <c r="AW56" s="43">
        <v>1017160.32</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3" t="s">
        <v>97</v>
      </c>
    </row>
    <row r="59" spans="1:89">
      <c r="A59" s="22" t="s">
        <v>96</v>
      </c>
      <c r="B59" s="188">
        <v>262405360.37</v>
      </c>
      <c r="C59" s="188">
        <v>167592596.44</v>
      </c>
      <c r="D59" s="188">
        <v>83066487.359999999</v>
      </c>
      <c r="E59" s="188">
        <v>262758070.99000001</v>
      </c>
      <c r="F59" s="188">
        <v>199570402.81</v>
      </c>
      <c r="G59" s="188">
        <v>132114235.44</v>
      </c>
      <c r="H59" s="188">
        <v>64779717.189999998</v>
      </c>
      <c r="I59" s="188">
        <v>189046608.34999999</v>
      </c>
      <c r="J59" s="188">
        <v>129166797.51000001</v>
      </c>
      <c r="K59" s="188">
        <v>85611680.670000002</v>
      </c>
      <c r="L59" s="188">
        <v>38498722.270000003</v>
      </c>
      <c r="M59" s="188">
        <v>144672474.34999999</v>
      </c>
      <c r="N59" s="188">
        <v>113033057.51000001</v>
      </c>
      <c r="O59" s="188">
        <v>72600584.829999998</v>
      </c>
      <c r="P59" s="188">
        <v>32196707.390000001</v>
      </c>
      <c r="Q59" s="188">
        <v>123636422.26000001</v>
      </c>
      <c r="R59" s="188">
        <v>96590839.370000005</v>
      </c>
      <c r="S59" s="188">
        <v>67418001.790000007</v>
      </c>
      <c r="T59" s="188">
        <v>29899737.940000001</v>
      </c>
      <c r="U59" s="188">
        <v>122333707.19</v>
      </c>
      <c r="V59" s="188">
        <v>102162236.92</v>
      </c>
      <c r="W59" s="188">
        <v>67280743.450000003</v>
      </c>
      <c r="X59" s="188">
        <v>31443301.370000001</v>
      </c>
      <c r="Y59" s="188">
        <v>119828142.41</v>
      </c>
      <c r="Z59" s="188">
        <v>95957190.230000004</v>
      </c>
      <c r="AA59" s="188">
        <v>63095938.509999998</v>
      </c>
      <c r="AB59" s="188">
        <v>27756484.07</v>
      </c>
      <c r="AC59" s="188">
        <v>132508056.87</v>
      </c>
      <c r="AD59" s="188">
        <v>113955850.40000001</v>
      </c>
      <c r="AE59" s="188">
        <v>83606149.950000003</v>
      </c>
      <c r="AF59" s="188">
        <v>39529395.170000002</v>
      </c>
      <c r="AG59" s="188">
        <v>171970637.52000001</v>
      </c>
      <c r="AH59" s="188">
        <v>141776404.13999999</v>
      </c>
      <c r="AI59" s="188">
        <v>93848459.409999996</v>
      </c>
      <c r="AJ59" s="188">
        <v>44179804.810000002</v>
      </c>
      <c r="AK59" s="188">
        <v>144839301.78999999</v>
      </c>
      <c r="AL59" s="188">
        <v>110542370.33</v>
      </c>
      <c r="AM59" s="188">
        <v>74799161.590000004</v>
      </c>
      <c r="AN59" s="188">
        <v>35945179.119999997</v>
      </c>
      <c r="AO59" s="188">
        <v>135212284.19</v>
      </c>
      <c r="AP59" s="188">
        <v>98857182.329999998</v>
      </c>
      <c r="AQ59" s="188">
        <v>66368181.119999997</v>
      </c>
      <c r="AR59" s="188">
        <v>29461078.5</v>
      </c>
      <c r="AS59" s="188">
        <v>111526661.3</v>
      </c>
      <c r="AT59" s="188">
        <v>83719016.340000004</v>
      </c>
      <c r="AU59" s="188">
        <v>53997130.399999999</v>
      </c>
      <c r="AV59" s="188">
        <v>23754642.239999998</v>
      </c>
      <c r="AW59" s="188">
        <v>94184598.760000005</v>
      </c>
      <c r="AX59" s="188">
        <v>73375555.390000001</v>
      </c>
      <c r="AY59" s="188">
        <v>48000175</v>
      </c>
      <c r="AZ59" s="188">
        <v>21660410.030000001</v>
      </c>
      <c r="BA59" s="188">
        <v>82791903.959999993</v>
      </c>
      <c r="BB59" s="188">
        <v>62088878.240000002</v>
      </c>
      <c r="BC59" s="188">
        <v>40767068.829999998</v>
      </c>
      <c r="BD59" s="188">
        <v>19722386.32</v>
      </c>
      <c r="BE59" s="188">
        <v>75980324.579999998</v>
      </c>
      <c r="BF59" s="188">
        <v>56617592.100000001</v>
      </c>
      <c r="BG59" s="188">
        <v>38186120.07</v>
      </c>
      <c r="BH59" s="188">
        <v>17290503.690000001</v>
      </c>
      <c r="BI59" s="188">
        <v>70714765.709999993</v>
      </c>
      <c r="BJ59" s="188">
        <v>51701465.530000001</v>
      </c>
      <c r="BK59" s="188">
        <v>33366674.899999999</v>
      </c>
      <c r="BL59" s="188">
        <v>12204321.34</v>
      </c>
      <c r="BM59" s="188">
        <v>57724833.469999999</v>
      </c>
      <c r="BN59" s="188">
        <v>39669969.960000001</v>
      </c>
      <c r="BO59" s="188">
        <v>26842360.129999999</v>
      </c>
      <c r="BP59" s="188">
        <v>41198745.939999998</v>
      </c>
      <c r="BQ59" s="188">
        <v>20560953.73</v>
      </c>
      <c r="BR59" s="188">
        <v>31097864.010000002</v>
      </c>
      <c r="BS59" s="188">
        <v>28640757.699999999</v>
      </c>
      <c r="BT59" s="188">
        <v>0</v>
      </c>
      <c r="BU59" s="188">
        <v>768216832.5</v>
      </c>
      <c r="BV59" s="188">
        <v>429812800.44999999</v>
      </c>
      <c r="BW59" s="188">
        <v>649021962.89999998</v>
      </c>
      <c r="BX59" s="188">
        <v>317076251.63999999</v>
      </c>
      <c r="BY59" s="188">
        <v>553291095.09000003</v>
      </c>
      <c r="BZ59" s="188">
        <v>252919406.88</v>
      </c>
      <c r="CA59" s="188">
        <v>341298375.86000001</v>
      </c>
      <c r="CB59" s="188">
        <v>259939328.41</v>
      </c>
      <c r="CC59" s="188">
        <v>216927477.38</v>
      </c>
      <c r="CD59" s="188">
        <v>0</v>
      </c>
      <c r="CE59" s="188">
        <v>162135000</v>
      </c>
      <c r="CF59" s="188">
        <v>90056788.769999996</v>
      </c>
      <c r="CG59" s="188">
        <v>54430000</v>
      </c>
      <c r="CH59" s="188">
        <v>80440000</v>
      </c>
      <c r="CI59" s="188">
        <v>58950000</v>
      </c>
      <c r="CJ59" s="188">
        <v>67670000</v>
      </c>
      <c r="CK59" s="188">
        <v>0</v>
      </c>
    </row>
    <row r="60" spans="1:89">
      <c r="A60" s="22" t="s">
        <v>95</v>
      </c>
      <c r="B60" s="188">
        <v>47627132.659999996</v>
      </c>
      <c r="C60" s="188">
        <v>30356833.449999999</v>
      </c>
      <c r="D60" s="188">
        <v>14863620.199999999</v>
      </c>
      <c r="E60" s="188">
        <v>47482785.229999997</v>
      </c>
      <c r="F60" s="188">
        <v>39003340.140000001</v>
      </c>
      <c r="G60" s="188">
        <v>25938621.870000001</v>
      </c>
      <c r="H60" s="188">
        <v>12417841.869999999</v>
      </c>
      <c r="I60" s="188">
        <v>50210473.189999998</v>
      </c>
      <c r="J60" s="188">
        <v>51273954.630000003</v>
      </c>
      <c r="K60" s="188">
        <v>33674931.009999998</v>
      </c>
      <c r="L60" s="188">
        <v>13500085.23</v>
      </c>
      <c r="M60" s="188">
        <v>50644284.880000003</v>
      </c>
      <c r="N60" s="188">
        <v>37874601.859999999</v>
      </c>
      <c r="O60" s="188">
        <v>24264463.719999999</v>
      </c>
      <c r="P60" s="188">
        <v>10646655.310000001</v>
      </c>
      <c r="Q60" s="188">
        <v>44743100.539999999</v>
      </c>
      <c r="R60" s="188">
        <v>33417949.100000001</v>
      </c>
      <c r="S60" s="188">
        <v>22801504.370000001</v>
      </c>
      <c r="T60" s="188">
        <v>10463764.130000001</v>
      </c>
      <c r="U60" s="188">
        <v>42023524.640000001</v>
      </c>
      <c r="V60" s="188">
        <v>30928686.789999999</v>
      </c>
      <c r="W60" s="188">
        <v>21438100.309999999</v>
      </c>
      <c r="X60" s="188">
        <v>9663149.7699999996</v>
      </c>
      <c r="Y60" s="188">
        <v>40481508.619999997</v>
      </c>
      <c r="Z60" s="188">
        <v>33315833.559999999</v>
      </c>
      <c r="AA60" s="188">
        <v>22044124.120000001</v>
      </c>
      <c r="AB60" s="188">
        <v>9159641.9299999997</v>
      </c>
      <c r="AC60" s="188">
        <v>34144409.609999999</v>
      </c>
      <c r="AD60" s="188">
        <v>31035919.120000001</v>
      </c>
      <c r="AE60" s="188">
        <v>20470770.82</v>
      </c>
      <c r="AF60" s="188">
        <v>13530186.85</v>
      </c>
      <c r="AG60" s="188">
        <v>35328521.5</v>
      </c>
      <c r="AH60" s="188">
        <v>27344311.27</v>
      </c>
      <c r="AI60" s="188">
        <v>17283029.34</v>
      </c>
      <c r="AJ60" s="188">
        <v>7815152.54</v>
      </c>
      <c r="AK60" s="188">
        <v>28011523.210000001</v>
      </c>
      <c r="AL60" s="188">
        <v>23895019.379999999</v>
      </c>
      <c r="AM60" s="188">
        <v>15834828.84</v>
      </c>
      <c r="AN60" s="188">
        <v>6420265.0999999996</v>
      </c>
      <c r="AO60" s="188">
        <v>23740483.969999999</v>
      </c>
      <c r="AP60" s="188">
        <v>29589740.550000001</v>
      </c>
      <c r="AQ60" s="188">
        <v>18701942.66</v>
      </c>
      <c r="AR60" s="188">
        <v>10022988.949999999</v>
      </c>
      <c r="AS60" s="188">
        <v>47990849.560000002</v>
      </c>
      <c r="AT60" s="188">
        <v>33840992.43</v>
      </c>
      <c r="AU60" s="188">
        <v>22272778.210000001</v>
      </c>
      <c r="AV60" s="188">
        <v>10088524.83</v>
      </c>
      <c r="AW60" s="188">
        <v>46552787.799999997</v>
      </c>
      <c r="AX60" s="188">
        <v>30743334.629999999</v>
      </c>
      <c r="AY60" s="188">
        <v>19251236.27</v>
      </c>
      <c r="AZ60" s="188">
        <v>10376356.74</v>
      </c>
      <c r="BA60" s="188">
        <v>38420473.280000001</v>
      </c>
      <c r="BB60" s="188">
        <v>28362151.449999999</v>
      </c>
      <c r="BC60" s="188">
        <v>20129075.870000001</v>
      </c>
      <c r="BD60" s="188">
        <v>9860844.6099999994</v>
      </c>
      <c r="BE60" s="188">
        <v>38490055.469999999</v>
      </c>
      <c r="BF60" s="188">
        <v>25973940.109999999</v>
      </c>
      <c r="BG60" s="188">
        <v>17796756.640000001</v>
      </c>
      <c r="BH60" s="188">
        <v>8241362.2999999998</v>
      </c>
      <c r="BI60" s="188">
        <v>36487281.869999997</v>
      </c>
      <c r="BJ60" s="188">
        <v>24923114.84</v>
      </c>
      <c r="BK60" s="188">
        <v>16034488.02</v>
      </c>
      <c r="BL60" s="188">
        <v>6466312.96</v>
      </c>
      <c r="BM60" s="188">
        <v>24610726.57</v>
      </c>
      <c r="BN60" s="188">
        <v>17973793.670000002</v>
      </c>
      <c r="BO60" s="188">
        <v>12502689.369999999</v>
      </c>
      <c r="BP60" s="188">
        <v>18454098.190000001</v>
      </c>
      <c r="BQ60" s="188">
        <v>10267459.1</v>
      </c>
      <c r="BR60" s="188">
        <v>13730504.65</v>
      </c>
      <c r="BS60" s="188">
        <v>12686472.15</v>
      </c>
      <c r="BT60" s="188">
        <v>0</v>
      </c>
      <c r="BU60" s="188">
        <v>238879360.28</v>
      </c>
      <c r="BV60" s="188">
        <v>295349924.56</v>
      </c>
      <c r="BW60" s="188">
        <v>303429006.82999998</v>
      </c>
      <c r="BX60" s="188">
        <v>66653678.539999999</v>
      </c>
      <c r="BY60" s="188">
        <v>260578360.56999999</v>
      </c>
      <c r="BZ60" s="188">
        <v>44632836.509999998</v>
      </c>
      <c r="CA60" s="188">
        <v>168102185.13</v>
      </c>
      <c r="CB60" s="188">
        <v>128029818.47</v>
      </c>
      <c r="CC60" s="188">
        <v>106844876.92</v>
      </c>
      <c r="CD60" s="188">
        <v>0</v>
      </c>
      <c r="CE60" s="188">
        <v>27810000</v>
      </c>
      <c r="CF60" s="188">
        <v>16447145.279999999</v>
      </c>
      <c r="CG60" s="188">
        <v>4330000</v>
      </c>
      <c r="CH60" s="188">
        <v>4220000</v>
      </c>
      <c r="CI60" s="188">
        <v>12510000</v>
      </c>
      <c r="CJ60" s="188">
        <v>3630000</v>
      </c>
      <c r="CK60" s="188">
        <v>0</v>
      </c>
    </row>
    <row r="61" spans="1:89">
      <c r="A61" s="22" t="s">
        <v>94</v>
      </c>
      <c r="B61" s="188">
        <v>310032493.02999997</v>
      </c>
      <c r="C61" s="188">
        <v>197949429.88999999</v>
      </c>
      <c r="D61" s="188">
        <v>97930107.560000002</v>
      </c>
      <c r="E61" s="188">
        <v>310240856.22000003</v>
      </c>
      <c r="F61" s="188">
        <v>238573742.94999999</v>
      </c>
      <c r="G61" s="188">
        <v>158052857.31</v>
      </c>
      <c r="H61" s="188">
        <v>77197559.060000002</v>
      </c>
      <c r="I61" s="188">
        <v>239257081.53999999</v>
      </c>
      <c r="J61" s="188">
        <v>180440752.13999999</v>
      </c>
      <c r="K61" s="188">
        <v>119286611.68000001</v>
      </c>
      <c r="L61" s="188">
        <v>51998807.5</v>
      </c>
      <c r="M61" s="188">
        <v>195316759.22999999</v>
      </c>
      <c r="N61" s="188">
        <v>150907659.37</v>
      </c>
      <c r="O61" s="188">
        <v>96865048.549999997</v>
      </c>
      <c r="P61" s="188">
        <v>42843362.700000003</v>
      </c>
      <c r="Q61" s="188">
        <v>168379522.80000001</v>
      </c>
      <c r="R61" s="188">
        <v>130008788.47</v>
      </c>
      <c r="S61" s="188">
        <v>90219506.159999996</v>
      </c>
      <c r="T61" s="188">
        <v>40363502.07</v>
      </c>
      <c r="U61" s="188">
        <v>164357231.83000001</v>
      </c>
      <c r="V61" s="188">
        <v>133090923.70999999</v>
      </c>
      <c r="W61" s="188">
        <v>88718843.760000005</v>
      </c>
      <c r="X61" s="188">
        <v>41106451.140000001</v>
      </c>
      <c r="Y61" s="188">
        <v>160309651.03</v>
      </c>
      <c r="Z61" s="188">
        <v>129273023.79000001</v>
      </c>
      <c r="AA61" s="188">
        <v>85140062.629999995</v>
      </c>
      <c r="AB61" s="188">
        <v>36916126</v>
      </c>
      <c r="AC61" s="188">
        <v>166652466.47999999</v>
      </c>
      <c r="AD61" s="188">
        <v>144991769.52000001</v>
      </c>
      <c r="AE61" s="188">
        <v>104076920.77</v>
      </c>
      <c r="AF61" s="188">
        <v>53059582.020000003</v>
      </c>
      <c r="AG61" s="188">
        <v>207299159.02000001</v>
      </c>
      <c r="AH61" s="188">
        <v>169120715.41</v>
      </c>
      <c r="AI61" s="188">
        <v>111131488.75</v>
      </c>
      <c r="AJ61" s="188">
        <v>51994957.350000001</v>
      </c>
      <c r="AK61" s="188">
        <v>172850825</v>
      </c>
      <c r="AL61" s="188">
        <v>134437389.71000001</v>
      </c>
      <c r="AM61" s="188">
        <v>90633990.430000007</v>
      </c>
      <c r="AN61" s="188">
        <v>42365444.219999999</v>
      </c>
      <c r="AO61" s="188">
        <v>158952768.16</v>
      </c>
      <c r="AP61" s="188">
        <v>128446922.88</v>
      </c>
      <c r="AQ61" s="188">
        <v>85070123.780000001</v>
      </c>
      <c r="AR61" s="188">
        <v>39484067.450000003</v>
      </c>
      <c r="AS61" s="188">
        <v>159517510.86000001</v>
      </c>
      <c r="AT61" s="188">
        <v>117560008.77</v>
      </c>
      <c r="AU61" s="188">
        <v>76269908.609999999</v>
      </c>
      <c r="AV61" s="188">
        <v>33843167.07</v>
      </c>
      <c r="AW61" s="188">
        <v>140737386.56</v>
      </c>
      <c r="AX61" s="188">
        <v>104118890.02</v>
      </c>
      <c r="AY61" s="188">
        <v>67251411.269999996</v>
      </c>
      <c r="AZ61" s="188">
        <v>32036766.77</v>
      </c>
      <c r="BA61" s="188">
        <v>121212377.23999999</v>
      </c>
      <c r="BB61" s="188">
        <v>90451029.689999998</v>
      </c>
      <c r="BC61" s="188">
        <v>60896144.700000003</v>
      </c>
      <c r="BD61" s="188">
        <v>29583230.93</v>
      </c>
      <c r="BE61" s="188">
        <v>114470380.05</v>
      </c>
      <c r="BF61" s="188">
        <v>82591532.209999993</v>
      </c>
      <c r="BG61" s="188">
        <v>55982876.710000001</v>
      </c>
      <c r="BH61" s="188">
        <v>25531865.989999998</v>
      </c>
      <c r="BI61" s="188">
        <v>107202047.58</v>
      </c>
      <c r="BJ61" s="188">
        <v>76624580.370000005</v>
      </c>
      <c r="BK61" s="188">
        <v>49401162.920000002</v>
      </c>
      <c r="BL61" s="188">
        <v>18670634.300000001</v>
      </c>
      <c r="BM61" s="188">
        <v>82335560.040000007</v>
      </c>
      <c r="BN61" s="188">
        <v>57643763.630000003</v>
      </c>
      <c r="BO61" s="188">
        <v>39345049.5</v>
      </c>
      <c r="BP61" s="188">
        <v>59652844.130000003</v>
      </c>
      <c r="BQ61" s="188">
        <v>30828412.829999998</v>
      </c>
      <c r="BR61" s="188">
        <v>44828368.659999996</v>
      </c>
      <c r="BS61" s="188">
        <v>41327229.850000001</v>
      </c>
      <c r="BT61" s="188">
        <v>0</v>
      </c>
      <c r="BU61" s="188">
        <v>1007096192.78</v>
      </c>
      <c r="BV61" s="188">
        <v>725162725.00999999</v>
      </c>
      <c r="BW61" s="188">
        <v>786944238.74000001</v>
      </c>
      <c r="BX61" s="188">
        <v>383729930.18000001</v>
      </c>
      <c r="BY61" s="188">
        <v>813869455.65999997</v>
      </c>
      <c r="BZ61" s="188">
        <v>297552243.38999999</v>
      </c>
      <c r="CA61" s="188">
        <v>509400560.99000001</v>
      </c>
      <c r="CB61" s="188">
        <v>387969146.88</v>
      </c>
      <c r="CC61" s="188">
        <v>323772354.30000001</v>
      </c>
      <c r="CD61" s="188">
        <v>0</v>
      </c>
      <c r="CE61" s="188">
        <v>189945000</v>
      </c>
      <c r="CF61" s="188">
        <v>106503934.05</v>
      </c>
      <c r="CG61" s="188">
        <v>58750000</v>
      </c>
      <c r="CH61" s="188">
        <v>84660000</v>
      </c>
      <c r="CI61" s="188">
        <v>71460000</v>
      </c>
      <c r="CJ61" s="188">
        <v>71300000</v>
      </c>
      <c r="CK61" s="188">
        <v>0</v>
      </c>
    </row>
    <row r="62" spans="1:89">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c r="A65" s="22" t="s">
        <v>98</v>
      </c>
      <c r="B65" s="188">
        <v>23192587.219999999</v>
      </c>
      <c r="C65" s="188">
        <v>15468587.48</v>
      </c>
      <c r="D65" s="188">
        <v>6837933.54</v>
      </c>
      <c r="E65" s="188">
        <v>19090598.109999999</v>
      </c>
      <c r="F65" s="188">
        <v>13143318.880000001</v>
      </c>
      <c r="G65" s="188">
        <v>6081822.0999999996</v>
      </c>
      <c r="H65" s="188">
        <v>1149315.0900000001</v>
      </c>
      <c r="I65" s="188">
        <v>1886246.83</v>
      </c>
      <c r="J65" s="188">
        <v>-679741.09</v>
      </c>
      <c r="K65" s="188">
        <v>319568.18</v>
      </c>
      <c r="L65" s="188">
        <v>-12917.03</v>
      </c>
      <c r="M65" s="188">
        <v>2818334.66</v>
      </c>
      <c r="N65" s="188">
        <v>1476062.98</v>
      </c>
      <c r="O65" s="188">
        <v>959350.65</v>
      </c>
      <c r="P65" s="188">
        <v>0</v>
      </c>
      <c r="Q65" s="188">
        <v>-330625.42</v>
      </c>
      <c r="R65" s="188">
        <v>3900.84</v>
      </c>
      <c r="S65" s="188">
        <v>3900.84</v>
      </c>
      <c r="T65" s="188">
        <v>0</v>
      </c>
      <c r="U65" s="188">
        <v>5201.12</v>
      </c>
      <c r="V65" s="188">
        <v>5201.12</v>
      </c>
      <c r="W65" s="188">
        <v>5201.12</v>
      </c>
      <c r="X65" s="188">
        <v>0</v>
      </c>
      <c r="Y65" s="188">
        <v>42947.95</v>
      </c>
      <c r="Z65" s="188">
        <v>42947.95</v>
      </c>
      <c r="AA65" s="188">
        <v>25665.75</v>
      </c>
      <c r="AB65" s="188">
        <v>14931.51</v>
      </c>
      <c r="AC65" s="188">
        <v>7151056.6699999999</v>
      </c>
      <c r="AD65" s="188">
        <v>6499755.3399999999</v>
      </c>
      <c r="AE65" s="188">
        <v>6499755.3399999999</v>
      </c>
      <c r="AF65" s="188">
        <v>-65014.720000000001</v>
      </c>
      <c r="AG65" s="188">
        <v>1771633.17</v>
      </c>
      <c r="AH65" s="188">
        <v>-191696.08</v>
      </c>
      <c r="AI65" s="188">
        <v>-126681.36</v>
      </c>
      <c r="AJ65" s="188">
        <v>-65014.720000000001</v>
      </c>
      <c r="AK65" s="188">
        <v>6359631.0599999996</v>
      </c>
      <c r="AL65" s="188">
        <v>6274312.0300000003</v>
      </c>
      <c r="AM65" s="188">
        <v>6339326.75</v>
      </c>
      <c r="AN65" s="188">
        <v>-65014.720000000001</v>
      </c>
      <c r="AO65" s="188">
        <v>575996.25</v>
      </c>
      <c r="AP65" s="188">
        <v>-190572.91</v>
      </c>
      <c r="AQ65" s="188">
        <v>-130029.44</v>
      </c>
      <c r="AR65" s="188">
        <v>-65014.720000000001</v>
      </c>
      <c r="AS65" s="188">
        <v>5448960.4299999997</v>
      </c>
      <c r="AT65" s="188">
        <v>1831672.03</v>
      </c>
      <c r="AU65" s="188">
        <v>1831672.03</v>
      </c>
      <c r="AV65" s="188">
        <v>0</v>
      </c>
      <c r="AW65" s="188">
        <v>-88475.15</v>
      </c>
      <c r="AX65" s="188">
        <v>-189531.66</v>
      </c>
      <c r="AY65" s="188">
        <v>-124516.94</v>
      </c>
      <c r="AZ65" s="188">
        <v>-65014.720000000001</v>
      </c>
      <c r="BA65" s="188">
        <v>-254362.63</v>
      </c>
      <c r="BB65" s="188">
        <v>-189347.91</v>
      </c>
      <c r="BC65" s="188">
        <v>-130029.44</v>
      </c>
      <c r="BD65" s="188">
        <v>-65014.720000000001</v>
      </c>
      <c r="BE65" s="188">
        <v>-65014.720000000001</v>
      </c>
      <c r="BF65" s="188">
        <v>0</v>
      </c>
      <c r="BG65" s="188">
        <v>0</v>
      </c>
      <c r="BH65" s="188">
        <v>0</v>
      </c>
      <c r="BI65" s="188">
        <v>0</v>
      </c>
      <c r="BJ65" s="188">
        <v>0</v>
      </c>
      <c r="BK65" s="188">
        <v>0</v>
      </c>
      <c r="BL65" s="188">
        <v>0</v>
      </c>
      <c r="BM65" s="188">
        <v>267653.7</v>
      </c>
      <c r="BN65" s="188">
        <v>0</v>
      </c>
      <c r="BO65" s="188">
        <v>1063042.75</v>
      </c>
      <c r="BP65" s="188">
        <v>-75321.17</v>
      </c>
      <c r="BQ65" s="188">
        <v>301508.32</v>
      </c>
      <c r="BR65" s="188">
        <v>0</v>
      </c>
      <c r="BS65" s="188">
        <v>0</v>
      </c>
      <c r="BT65" s="188">
        <v>0</v>
      </c>
      <c r="BU65" s="188">
        <v>2373601.7000000002</v>
      </c>
      <c r="BV65" s="188">
        <v>0</v>
      </c>
      <c r="BW65" s="188">
        <v>0</v>
      </c>
      <c r="BX65" s="188">
        <v>0</v>
      </c>
      <c r="BY65" s="188">
        <v>0</v>
      </c>
      <c r="BZ65" s="188">
        <v>0</v>
      </c>
      <c r="CA65" s="188">
        <v>0</v>
      </c>
      <c r="CB65" s="188">
        <v>0</v>
      </c>
      <c r="CC65" s="188">
        <v>0</v>
      </c>
      <c r="CD65" s="188">
        <v>0</v>
      </c>
      <c r="CE65" s="188">
        <v>7729000</v>
      </c>
      <c r="CF65" s="188">
        <v>2092581.44</v>
      </c>
      <c r="CG65" s="188">
        <v>0</v>
      </c>
      <c r="CH65" s="188">
        <v>0</v>
      </c>
      <c r="CI65" s="188">
        <v>0</v>
      </c>
      <c r="CJ65" s="188">
        <v>0</v>
      </c>
      <c r="CK65" s="188">
        <v>0</v>
      </c>
    </row>
    <row r="66" spans="1:89">
      <c r="A66" s="22" t="s">
        <v>99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c r="A67" s="22" t="s">
        <v>100</v>
      </c>
      <c r="B67" s="4">
        <f>B65-B66</f>
        <v>23192587.219999999</v>
      </c>
      <c r="C67" s="4">
        <f t="shared" ref="C67:BN67" si="67">C65-C66</f>
        <v>15468587.48</v>
      </c>
      <c r="D67" s="4">
        <f t="shared" si="67"/>
        <v>6837933.54</v>
      </c>
      <c r="E67" s="4">
        <f t="shared" si="67"/>
        <v>19090598.109999999</v>
      </c>
      <c r="F67" s="4">
        <f t="shared" si="67"/>
        <v>13143318.880000001</v>
      </c>
      <c r="G67" s="4">
        <f t="shared" si="67"/>
        <v>6081822.0999999996</v>
      </c>
      <c r="H67" s="4">
        <f t="shared" si="67"/>
        <v>1149315.0900000001</v>
      </c>
      <c r="I67" s="4">
        <f t="shared" si="67"/>
        <v>1886246.83</v>
      </c>
      <c r="J67" s="4">
        <f t="shared" si="67"/>
        <v>-679741.09</v>
      </c>
      <c r="K67" s="4">
        <f t="shared" si="67"/>
        <v>319568.18</v>
      </c>
      <c r="L67" s="4">
        <f t="shared" si="67"/>
        <v>-12917.03</v>
      </c>
      <c r="M67" s="4">
        <f t="shared" si="67"/>
        <v>2818334.66</v>
      </c>
      <c r="N67" s="4">
        <f t="shared" si="67"/>
        <v>1476062.98</v>
      </c>
      <c r="O67" s="4">
        <f t="shared" si="67"/>
        <v>959350.65</v>
      </c>
      <c r="P67" s="4">
        <f t="shared" si="67"/>
        <v>0</v>
      </c>
      <c r="Q67" s="4">
        <f t="shared" si="67"/>
        <v>-330625.42</v>
      </c>
      <c r="R67" s="4">
        <f t="shared" si="67"/>
        <v>3900.84</v>
      </c>
      <c r="S67" s="4">
        <f t="shared" si="67"/>
        <v>3900.84</v>
      </c>
      <c r="T67" s="4">
        <f t="shared" si="67"/>
        <v>0</v>
      </c>
      <c r="U67" s="4">
        <f t="shared" si="67"/>
        <v>5201.12</v>
      </c>
      <c r="V67" s="4">
        <f t="shared" si="67"/>
        <v>5201.12</v>
      </c>
      <c r="W67" s="4">
        <f t="shared" si="67"/>
        <v>5201.12</v>
      </c>
      <c r="X67" s="4">
        <f t="shared" si="67"/>
        <v>0</v>
      </c>
      <c r="Y67" s="4">
        <f t="shared" si="67"/>
        <v>42947.95</v>
      </c>
      <c r="Z67" s="4">
        <f t="shared" si="67"/>
        <v>42947.95</v>
      </c>
      <c r="AA67" s="4">
        <f t="shared" si="67"/>
        <v>25665.75</v>
      </c>
      <c r="AB67" s="4">
        <f t="shared" si="67"/>
        <v>14931.51</v>
      </c>
      <c r="AC67" s="4">
        <f t="shared" si="67"/>
        <v>7151056.6699999999</v>
      </c>
      <c r="AD67" s="4">
        <f t="shared" si="67"/>
        <v>6499755.3399999999</v>
      </c>
      <c r="AE67" s="4">
        <f t="shared" si="67"/>
        <v>6499755.3399999999</v>
      </c>
      <c r="AF67" s="4">
        <f t="shared" si="67"/>
        <v>-65014.720000000001</v>
      </c>
      <c r="AG67" s="4">
        <f t="shared" si="67"/>
        <v>1771633.17</v>
      </c>
      <c r="AH67" s="4">
        <f t="shared" si="67"/>
        <v>-191696.08</v>
      </c>
      <c r="AI67" s="4">
        <f t="shared" si="67"/>
        <v>-126681.36</v>
      </c>
      <c r="AJ67" s="4">
        <f t="shared" si="67"/>
        <v>-65014.720000000001</v>
      </c>
      <c r="AK67" s="4">
        <f t="shared" si="67"/>
        <v>6359631.0599999996</v>
      </c>
      <c r="AL67" s="4">
        <f t="shared" si="67"/>
        <v>6274312.0300000003</v>
      </c>
      <c r="AM67" s="4">
        <f t="shared" si="67"/>
        <v>6339326.75</v>
      </c>
      <c r="AN67" s="4">
        <f t="shared" si="67"/>
        <v>-65014.720000000001</v>
      </c>
      <c r="AO67" s="4">
        <f t="shared" si="67"/>
        <v>575996.25</v>
      </c>
      <c r="AP67" s="4">
        <f t="shared" si="67"/>
        <v>-190572.91</v>
      </c>
      <c r="AQ67" s="4">
        <f t="shared" si="67"/>
        <v>-130029.44</v>
      </c>
      <c r="AR67" s="4">
        <f t="shared" si="67"/>
        <v>-65014.720000000001</v>
      </c>
      <c r="AS67" s="4">
        <f t="shared" si="67"/>
        <v>5448960.4299999997</v>
      </c>
      <c r="AT67" s="4">
        <f t="shared" si="67"/>
        <v>1831672.03</v>
      </c>
      <c r="AU67" s="4">
        <f t="shared" si="67"/>
        <v>1831672.03</v>
      </c>
      <c r="AV67" s="4">
        <f t="shared" si="67"/>
        <v>0</v>
      </c>
      <c r="AW67" s="4">
        <f t="shared" si="67"/>
        <v>-88475.15</v>
      </c>
      <c r="AX67" s="4">
        <f t="shared" si="67"/>
        <v>-189531.66</v>
      </c>
      <c r="AY67" s="4">
        <f t="shared" si="67"/>
        <v>-124516.94</v>
      </c>
      <c r="AZ67" s="4">
        <f t="shared" si="67"/>
        <v>-65014.720000000001</v>
      </c>
      <c r="BA67" s="4">
        <f t="shared" si="67"/>
        <v>-254362.63</v>
      </c>
      <c r="BB67" s="4">
        <f t="shared" si="67"/>
        <v>-189347.91</v>
      </c>
      <c r="BC67" s="4">
        <f t="shared" si="67"/>
        <v>-130029.44</v>
      </c>
      <c r="BD67" s="4">
        <f t="shared" si="67"/>
        <v>-65014.720000000001</v>
      </c>
      <c r="BE67" s="4">
        <f t="shared" si="67"/>
        <v>-65014.720000000001</v>
      </c>
      <c r="BF67" s="4">
        <f t="shared" si="67"/>
        <v>0</v>
      </c>
      <c r="BG67" s="4">
        <f t="shared" si="67"/>
        <v>0</v>
      </c>
      <c r="BH67" s="4">
        <f t="shared" si="67"/>
        <v>0</v>
      </c>
      <c r="BI67" s="4">
        <f t="shared" si="67"/>
        <v>0</v>
      </c>
      <c r="BJ67" s="4">
        <f t="shared" si="67"/>
        <v>0</v>
      </c>
      <c r="BK67" s="4">
        <f t="shared" si="67"/>
        <v>0</v>
      </c>
      <c r="BL67" s="4">
        <f t="shared" si="67"/>
        <v>0</v>
      </c>
      <c r="BM67" s="4">
        <f t="shared" si="67"/>
        <v>267653.7</v>
      </c>
      <c r="BN67" s="4">
        <f t="shared" si="67"/>
        <v>0</v>
      </c>
      <c r="BO67" s="4">
        <f t="shared" ref="BO67:CJ67" si="68">BO65-BO66</f>
        <v>1063042.75</v>
      </c>
      <c r="BP67" s="4">
        <f t="shared" si="68"/>
        <v>-75321.17</v>
      </c>
      <c r="BQ67" s="4">
        <f t="shared" si="68"/>
        <v>301508.32</v>
      </c>
      <c r="BR67" s="4">
        <f t="shared" si="68"/>
        <v>0</v>
      </c>
      <c r="BS67" s="4">
        <f t="shared" si="68"/>
        <v>0</v>
      </c>
      <c r="BT67" s="4">
        <f t="shared" si="68"/>
        <v>0</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c r="A68" s="22" t="s">
        <v>101</v>
      </c>
      <c r="B68" s="188">
        <v>-29640533.039999999</v>
      </c>
      <c r="C68" s="188">
        <v>-6215730.5300000003</v>
      </c>
      <c r="D68" s="188">
        <v>17209571.079999998</v>
      </c>
      <c r="E68" s="188">
        <v>16744331.710000001</v>
      </c>
      <c r="F68" s="188">
        <v>10145271.449999999</v>
      </c>
      <c r="G68" s="188">
        <v>2415723.0499999998</v>
      </c>
      <c r="H68" s="188">
        <v>-541081.29</v>
      </c>
      <c r="I68" s="188">
        <v>-16283057.060000001</v>
      </c>
      <c r="J68" s="188">
        <v>-6984746.6699999999</v>
      </c>
      <c r="K68" s="188">
        <v>-3354509.71</v>
      </c>
      <c r="L68" s="188">
        <v>-1227910.6100000001</v>
      </c>
      <c r="M68" s="188">
        <v>-3225263.09</v>
      </c>
      <c r="N68" s="188">
        <v>-573251.26</v>
      </c>
      <c r="O68" s="188">
        <v>-658194.99</v>
      </c>
      <c r="P68" s="188">
        <v>419454.76</v>
      </c>
      <c r="Q68" s="188">
        <v>2757754.13</v>
      </c>
      <c r="R68" s="188">
        <v>2857179.26</v>
      </c>
      <c r="S68" s="188">
        <v>1256157.47</v>
      </c>
      <c r="T68" s="188">
        <v>1125476.3999999999</v>
      </c>
      <c r="U68" s="188">
        <v>10429011.720000001</v>
      </c>
      <c r="V68" s="188">
        <v>8163207.9500000002</v>
      </c>
      <c r="W68" s="188">
        <v>6063434.7999999998</v>
      </c>
      <c r="X68" s="188">
        <v>2846784.51</v>
      </c>
      <c r="Y68" s="188">
        <v>5965636.3399999999</v>
      </c>
      <c r="Z68" s="188">
        <v>2856975.74</v>
      </c>
      <c r="AA68" s="188">
        <v>1632546.72</v>
      </c>
      <c r="AB68" s="188">
        <v>959874.41</v>
      </c>
      <c r="AC68" s="188">
        <v>6299910.5899999999</v>
      </c>
      <c r="AD68" s="188">
        <v>4394677.49</v>
      </c>
      <c r="AE68" s="188">
        <v>4169519.22</v>
      </c>
      <c r="AF68" s="188">
        <v>1404314.36</v>
      </c>
      <c r="AG68" s="188">
        <v>7421490.7800000003</v>
      </c>
      <c r="AH68" s="188">
        <v>5132047.41</v>
      </c>
      <c r="AI68" s="188">
        <v>2847549.66</v>
      </c>
      <c r="AJ68" s="188">
        <v>1614417.21</v>
      </c>
      <c r="AK68" s="188">
        <v>8626794.6400000006</v>
      </c>
      <c r="AL68" s="188">
        <v>4972612.01</v>
      </c>
      <c r="AM68" s="188">
        <v>3604149.88</v>
      </c>
      <c r="AN68" s="188">
        <v>1944412.29</v>
      </c>
      <c r="AO68" s="188">
        <v>8865146.2200000007</v>
      </c>
      <c r="AP68" s="188">
        <v>6557430.5800000001</v>
      </c>
      <c r="AQ68" s="188">
        <v>3022036.68</v>
      </c>
      <c r="AR68" s="188">
        <v>-1997.85</v>
      </c>
      <c r="AS68" s="188">
        <v>11678743.550000001</v>
      </c>
      <c r="AT68" s="188">
        <v>8476458.4700000007</v>
      </c>
      <c r="AU68" s="188">
        <v>6102813.75</v>
      </c>
      <c r="AV68" s="188">
        <v>3048716.13</v>
      </c>
      <c r="AW68" s="188">
        <v>15646986.73</v>
      </c>
      <c r="AX68" s="188">
        <v>11726642.48</v>
      </c>
      <c r="AY68" s="188">
        <v>7684842.1100000003</v>
      </c>
      <c r="AZ68" s="188">
        <v>3893802.65</v>
      </c>
      <c r="BA68" s="188">
        <v>10318993.810000001</v>
      </c>
      <c r="BB68" s="188">
        <v>7241586.0300000003</v>
      </c>
      <c r="BC68" s="188">
        <v>4893639.97</v>
      </c>
      <c r="BD68" s="188">
        <v>2363074.59</v>
      </c>
      <c r="BE68" s="188">
        <v>4004744.47</v>
      </c>
      <c r="BF68" s="188">
        <v>2208563.7000000002</v>
      </c>
      <c r="BG68" s="188">
        <v>772891.03</v>
      </c>
      <c r="BH68" s="188">
        <v>804354.42</v>
      </c>
      <c r="BI68" s="188">
        <v>-1382972.54</v>
      </c>
      <c r="BJ68" s="188">
        <v>-1938357.93</v>
      </c>
      <c r="BK68" s="188">
        <v>2429491.59</v>
      </c>
      <c r="BL68" s="188">
        <v>1249440.6399999999</v>
      </c>
      <c r="BM68" s="188">
        <v>5198578.28</v>
      </c>
      <c r="BN68" s="188">
        <v>4187258.1</v>
      </c>
      <c r="BO68" s="188">
        <v>2901477.14</v>
      </c>
      <c r="BP68" s="188">
        <v>6702590.9100000001</v>
      </c>
      <c r="BQ68" s="188">
        <v>3022181.59</v>
      </c>
      <c r="BR68" s="188">
        <v>5476370.4199999999</v>
      </c>
      <c r="BS68" s="188">
        <v>5911905.1100000003</v>
      </c>
      <c r="BT68" s="188">
        <v>0</v>
      </c>
      <c r="BU68" s="188">
        <v>-14348624.140000001</v>
      </c>
      <c r="BV68" s="188">
        <v>-7438579.8600000003</v>
      </c>
      <c r="BW68" s="188">
        <v>-15086567.960000001</v>
      </c>
      <c r="BX68" s="188">
        <v>-9593131.2100000009</v>
      </c>
      <c r="BY68" s="188">
        <v>-42791521.079999998</v>
      </c>
      <c r="BZ68" s="188">
        <v>-3834295.55</v>
      </c>
      <c r="CA68" s="188">
        <v>11835075.34</v>
      </c>
      <c r="CB68" s="188">
        <v>16252757.800000001</v>
      </c>
      <c r="CC68" s="188">
        <v>12407743.33</v>
      </c>
      <c r="CD68" s="188">
        <v>0</v>
      </c>
      <c r="CE68" s="188">
        <v>0</v>
      </c>
      <c r="CF68" s="188">
        <v>0</v>
      </c>
      <c r="CG68" s="188">
        <v>0</v>
      </c>
      <c r="CH68" s="188">
        <v>0</v>
      </c>
      <c r="CI68" s="188">
        <v>0</v>
      </c>
      <c r="CJ68" s="188">
        <v>0</v>
      </c>
      <c r="CK68" s="188">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188">
        <v>3426711525.29</v>
      </c>
      <c r="C70" s="188">
        <v>3329451849.6999998</v>
      </c>
      <c r="D70" s="188">
        <v>3334661092.3800001</v>
      </c>
      <c r="E70" s="188">
        <v>3250316273.8699999</v>
      </c>
      <c r="F70" s="188">
        <v>3186125630.9000001</v>
      </c>
      <c r="G70" s="188">
        <v>3117844232.3000002</v>
      </c>
      <c r="H70" s="188">
        <v>3109775881</v>
      </c>
      <c r="I70" s="188">
        <v>3043601049.46</v>
      </c>
      <c r="J70" s="188">
        <v>2317870861.9499998</v>
      </c>
      <c r="K70" s="188">
        <v>2273120031.4200001</v>
      </c>
      <c r="L70" s="188">
        <v>2232695731.3400002</v>
      </c>
      <c r="M70" s="188">
        <v>2237460759.3099999</v>
      </c>
      <c r="N70" s="188">
        <v>2202624253.98</v>
      </c>
      <c r="O70" s="188">
        <v>2159537335.2199998</v>
      </c>
      <c r="P70" s="188">
        <v>2157144973.29</v>
      </c>
      <c r="Q70" s="188">
        <v>2125618618.45</v>
      </c>
      <c r="R70" s="188">
        <v>2097304878.8099999</v>
      </c>
      <c r="S70" s="188">
        <v>2056460938.1700001</v>
      </c>
      <c r="T70" s="188">
        <v>2058379800.1700001</v>
      </c>
      <c r="U70" s="188">
        <v>2029982702.03</v>
      </c>
      <c r="V70" s="188">
        <v>2008620600.6199999</v>
      </c>
      <c r="W70" s="188">
        <v>1973791487.95</v>
      </c>
      <c r="X70" s="188">
        <v>1974316064.77</v>
      </c>
      <c r="Y70" s="188">
        <v>1940346924.02</v>
      </c>
      <c r="Z70" s="188">
        <v>1918477114.8699999</v>
      </c>
      <c r="AA70" s="188">
        <v>1886147459.98</v>
      </c>
      <c r="AB70" s="188">
        <v>1876088280.9300001</v>
      </c>
      <c r="AC70" s="188">
        <v>1849746623.21</v>
      </c>
      <c r="AD70" s="188">
        <v>1831339430.6800001</v>
      </c>
      <c r="AE70" s="188">
        <v>1799745295.6900001</v>
      </c>
      <c r="AF70" s="188">
        <v>1787903463.5999999</v>
      </c>
      <c r="AG70" s="188">
        <v>1745349583.02</v>
      </c>
      <c r="AH70" s="188">
        <v>1714008181.8</v>
      </c>
      <c r="AI70" s="188">
        <v>1665486386.6400001</v>
      </c>
      <c r="AJ70" s="188">
        <v>1640226597.23</v>
      </c>
      <c r="AK70" s="188">
        <v>1593219837.21</v>
      </c>
      <c r="AL70" s="188">
        <v>1555833053.1400001</v>
      </c>
      <c r="AM70" s="188">
        <v>1519899478.52</v>
      </c>
      <c r="AN70" s="188">
        <v>1488504145.6800001</v>
      </c>
      <c r="AO70" s="188">
        <v>1454822094.0999999</v>
      </c>
      <c r="AP70" s="188">
        <v>1405584675.0999999</v>
      </c>
      <c r="AQ70" s="188">
        <v>1373095673.8900001</v>
      </c>
      <c r="AR70" s="188">
        <v>1336188571.27</v>
      </c>
      <c r="AS70" s="188">
        <v>1306727492.77</v>
      </c>
      <c r="AT70" s="188">
        <v>1283081768.6300001</v>
      </c>
      <c r="AU70" s="188">
        <v>1253469882.6900001</v>
      </c>
      <c r="AV70" s="188">
        <v>1250278007.25</v>
      </c>
      <c r="AW70" s="188">
        <v>924737532.20000005</v>
      </c>
      <c r="AX70" s="188">
        <v>911398960.63</v>
      </c>
      <c r="AY70" s="188">
        <v>885823580.24000001</v>
      </c>
      <c r="AZ70" s="188">
        <v>883233826.37</v>
      </c>
      <c r="BA70" s="188">
        <v>861573416.34000003</v>
      </c>
      <c r="BB70" s="188">
        <v>840932219.51999998</v>
      </c>
      <c r="BC70" s="188">
        <v>819510410.13</v>
      </c>
      <c r="BD70" s="188">
        <v>817007403.5</v>
      </c>
      <c r="BE70" s="188">
        <v>797185017.20000005</v>
      </c>
      <c r="BF70" s="188">
        <v>770765861.47000003</v>
      </c>
      <c r="BG70" s="188">
        <v>751208658.25</v>
      </c>
      <c r="BH70" s="188">
        <v>742674159.07000005</v>
      </c>
      <c r="BI70" s="188">
        <v>659073430.80999994</v>
      </c>
      <c r="BJ70" s="188">
        <v>702026263.73000002</v>
      </c>
      <c r="BK70" s="188">
        <v>683691473.10000002</v>
      </c>
      <c r="BL70" s="188">
        <v>662529119.53999996</v>
      </c>
      <c r="BM70" s="188">
        <v>658555870.88999999</v>
      </c>
      <c r="BN70" s="188">
        <v>638327152.89999998</v>
      </c>
      <c r="BO70" s="188">
        <v>631094619.77999997</v>
      </c>
      <c r="BP70" s="188">
        <v>224337219.06999999</v>
      </c>
      <c r="BQ70" s="188">
        <v>188325655.61000001</v>
      </c>
      <c r="BR70" s="188">
        <v>158782706.31</v>
      </c>
      <c r="BS70" s="188">
        <v>0</v>
      </c>
      <c r="BT70" s="188"/>
      <c r="BU70" s="188">
        <v>3191216198.9499998</v>
      </c>
      <c r="BV70" s="188">
        <v>2850312166.9000001</v>
      </c>
      <c r="BW70" s="188">
        <v>2420499366.4499998</v>
      </c>
      <c r="BX70" s="188">
        <v>2089698452.7</v>
      </c>
      <c r="BY70" s="188">
        <v>1764990217.6700001</v>
      </c>
      <c r="BZ70" s="188">
        <v>1864618529.46</v>
      </c>
      <c r="CA70" s="188">
        <v>392384778.43000001</v>
      </c>
      <c r="CB70" s="188">
        <v>264958379.21000001</v>
      </c>
      <c r="CC70" s="188">
        <v>225967479.94999999</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zoomScale="95" zoomScaleNormal="95" workbookViewId="0">
      <selection activeCell="A10" sqref="A10"/>
    </sheetView>
  </sheetViews>
  <sheetFormatPr defaultRowHeight="13.5"/>
  <cols>
    <col min="1" max="1" width="74.625" style="17" bestFit="1" customWidth="1"/>
    <col min="2" max="2" width="22" hidden="1" customWidth="1"/>
    <col min="3" max="3" width="19.5" hidden="1" customWidth="1"/>
    <col min="4" max="4" width="19.375" hidden="1" customWidth="1"/>
    <col min="5" max="5" width="22" bestFit="1" customWidth="1"/>
    <col min="6" max="8" width="19.375" hidden="1" customWidth="1"/>
    <col min="9" max="9" width="22" bestFit="1" customWidth="1"/>
    <col min="10" max="12" width="19.375" hidden="1" customWidth="1"/>
    <col min="13" max="13" width="22" bestFit="1" customWidth="1"/>
    <col min="14" max="16" width="19.375" hidden="1" customWidth="1"/>
    <col min="17" max="17" width="22" bestFit="1" customWidth="1"/>
    <col min="18" max="20" width="19.375" hidden="1" customWidth="1"/>
    <col min="21" max="21" width="22" bestFit="1" customWidth="1"/>
    <col min="22" max="24" width="19.375" hidden="1" customWidth="1"/>
    <col min="25" max="25" width="22" bestFit="1" customWidth="1"/>
    <col min="26" max="28" width="19.375" hidden="1" customWidth="1"/>
    <col min="29" max="29" width="19.375" bestFit="1" customWidth="1"/>
    <col min="30" max="32" width="19.375" hidden="1" customWidth="1"/>
    <col min="33" max="33" width="19.375" bestFit="1" customWidth="1"/>
    <col min="34" max="34" width="19.375" hidden="1" customWidth="1"/>
    <col min="35" max="36" width="17.25" hidden="1" customWidth="1"/>
    <col min="37" max="37" width="17.25" bestFit="1" customWidth="1"/>
    <col min="38" max="40" width="17.25" hidden="1" customWidth="1"/>
    <col min="41" max="41" width="17.25" bestFit="1" customWidth="1"/>
    <col min="42" max="44" width="17.25" hidden="1" customWidth="1"/>
    <col min="45" max="45" width="18.375" bestFit="1" customWidth="1"/>
    <col min="46" max="48" width="18.375" hidden="1" customWidth="1"/>
    <col min="49" max="49" width="17.25" bestFit="1" customWidth="1"/>
    <col min="50" max="52" width="17.25" hidden="1" customWidth="1"/>
    <col min="53" max="53" width="17.25" bestFit="1" customWidth="1"/>
    <col min="54" max="56" width="17.25" hidden="1" customWidth="1"/>
    <col min="57" max="57" width="18.375" bestFit="1" customWidth="1"/>
    <col min="58" max="60" width="17.25" hidden="1" customWidth="1"/>
    <col min="61" max="61" width="17.25" bestFit="1" customWidth="1"/>
    <col min="62" max="64" width="17.25" hidden="1" customWidth="1"/>
    <col min="65" max="65" width="17.25" bestFit="1" customWidth="1"/>
    <col min="66" max="66" width="17.25" hidden="1" customWidth="1"/>
    <col min="67" max="67" width="17.25" bestFit="1" customWidth="1"/>
    <col min="68" max="70" width="17.25" hidden="1" customWidth="1"/>
    <col min="71" max="71" width="18.375" bestFit="1" customWidth="1"/>
    <col min="72" max="72" width="18.375" hidden="1" customWidth="1"/>
    <col min="73" max="73" width="19.375" bestFit="1" customWidth="1"/>
    <col min="74" max="74" width="11.625" hidden="1" customWidth="1"/>
  </cols>
  <sheetData>
    <row r="1" spans="1:74" s="6" customFormat="1" ht="14.45">
      <c r="A1" s="103">
        <v>600529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25569</v>
      </c>
      <c r="BR1" s="1">
        <v>36707</v>
      </c>
      <c r="BS1" s="1">
        <v>36525</v>
      </c>
      <c r="BT1" s="1">
        <v>36341</v>
      </c>
      <c r="BU1" s="1">
        <v>36160</v>
      </c>
      <c r="BV1" s="1">
        <v>25569</v>
      </c>
    </row>
    <row r="2" spans="1:74" s="45" customFormat="1">
      <c r="A2" s="46" t="s">
        <v>292</v>
      </c>
    </row>
    <row r="3" spans="1:74" s="191" customFormat="1">
      <c r="A3" s="191" t="s">
        <v>320</v>
      </c>
      <c r="B3" s="191">
        <v>49422.89</v>
      </c>
      <c r="C3" s="191">
        <v>30945.48</v>
      </c>
      <c r="D3" s="191">
        <v>0</v>
      </c>
      <c r="E3" s="191">
        <v>3329835.13</v>
      </c>
      <c r="F3" s="191">
        <v>3386750.74</v>
      </c>
      <c r="G3" s="191">
        <v>3368657.04</v>
      </c>
      <c r="H3" s="191">
        <v>3006868.26</v>
      </c>
      <c r="I3" s="191">
        <v>43919.37</v>
      </c>
      <c r="J3" s="191">
        <v>42935.85</v>
      </c>
      <c r="K3" s="191">
        <v>41905.06</v>
      </c>
      <c r="L3" s="191">
        <v>5011.63</v>
      </c>
      <c r="M3" s="191">
        <v>227153.23</v>
      </c>
      <c r="N3" s="191">
        <v>28419.75</v>
      </c>
      <c r="O3" s="191">
        <v>25932.52</v>
      </c>
      <c r="P3" s="191">
        <v>21673.01</v>
      </c>
      <c r="Q3" s="191">
        <v>2308006.2000000002</v>
      </c>
      <c r="R3" s="191">
        <v>176215.14</v>
      </c>
      <c r="S3" s="191">
        <v>40881.730000000003</v>
      </c>
      <c r="T3" s="191">
        <v>0</v>
      </c>
      <c r="U3" s="191">
        <v>4723535.47</v>
      </c>
      <c r="V3" s="191">
        <v>2382043.19</v>
      </c>
      <c r="W3" s="191">
        <v>2262389.33</v>
      </c>
      <c r="X3" s="191">
        <v>79246.16</v>
      </c>
      <c r="Y3" s="191">
        <v>5712939.3399999999</v>
      </c>
      <c r="Z3" s="191">
        <v>4548464.9400000004</v>
      </c>
      <c r="AA3" s="191">
        <v>615998.07999999996</v>
      </c>
      <c r="AB3" s="191">
        <v>12750</v>
      </c>
      <c r="AC3" s="191">
        <v>345921.22</v>
      </c>
      <c r="AD3" s="191">
        <v>374838.22</v>
      </c>
      <c r="AE3" s="191">
        <v>191434.38</v>
      </c>
      <c r="AF3" s="191">
        <v>0</v>
      </c>
      <c r="AG3" s="191">
        <v>125000</v>
      </c>
      <c r="AH3" s="191">
        <v>45000</v>
      </c>
      <c r="AI3" s="191">
        <v>0</v>
      </c>
      <c r="AJ3" s="191">
        <v>0</v>
      </c>
      <c r="AK3" s="191">
        <v>390000</v>
      </c>
      <c r="AL3" s="191">
        <v>0</v>
      </c>
      <c r="AM3" s="191">
        <v>0</v>
      </c>
      <c r="AN3" s="191">
        <v>0</v>
      </c>
      <c r="AO3" s="191">
        <v>1647961.92</v>
      </c>
      <c r="AP3" s="191">
        <v>337961.92</v>
      </c>
      <c r="AQ3" s="191">
        <v>325961.92</v>
      </c>
      <c r="AR3" s="191">
        <v>30000</v>
      </c>
      <c r="AS3" s="191">
        <v>406027.34</v>
      </c>
      <c r="AT3" s="191">
        <v>0</v>
      </c>
      <c r="AU3" s="191">
        <v>0</v>
      </c>
      <c r="AV3" s="191">
        <v>0</v>
      </c>
      <c r="AW3" s="191">
        <v>0</v>
      </c>
      <c r="AX3" s="191">
        <v>0</v>
      </c>
      <c r="AY3" s="191">
        <v>0</v>
      </c>
      <c r="AZ3" s="191">
        <v>0</v>
      </c>
      <c r="BA3" s="191">
        <v>63640</v>
      </c>
      <c r="BB3" s="191">
        <v>155920</v>
      </c>
      <c r="BC3" s="191">
        <v>90000</v>
      </c>
      <c r="BD3" s="191">
        <v>90000</v>
      </c>
      <c r="BE3" s="191">
        <v>4506426.18</v>
      </c>
      <c r="BF3" s="191">
        <v>205030</v>
      </c>
      <c r="BG3" s="191">
        <v>205030</v>
      </c>
      <c r="BH3" s="191">
        <v>8000</v>
      </c>
      <c r="BI3" s="191">
        <v>5000</v>
      </c>
      <c r="BJ3" s="191">
        <v>37556.019999999997</v>
      </c>
      <c r="BK3" s="191">
        <v>5000</v>
      </c>
      <c r="BL3" s="191">
        <v>5000</v>
      </c>
      <c r="BM3" s="191">
        <v>0</v>
      </c>
      <c r="BN3" s="191">
        <v>974198.32</v>
      </c>
      <c r="BO3" s="191">
        <v>1676123.64</v>
      </c>
      <c r="BP3" s="191">
        <v>0</v>
      </c>
      <c r="BQ3" s="191">
        <v>0</v>
      </c>
      <c r="BR3" s="191">
        <v>1500</v>
      </c>
      <c r="BS3" s="191">
        <v>52101.23</v>
      </c>
      <c r="BT3" s="191">
        <v>1680</v>
      </c>
      <c r="BU3" s="191">
        <v>25980.76</v>
      </c>
      <c r="BV3" s="191">
        <v>0</v>
      </c>
    </row>
    <row r="4" spans="1:74" s="191" customFormat="1">
      <c r="A4" s="191" t="s">
        <v>304</v>
      </c>
      <c r="B4" s="191">
        <v>195146631.43000001</v>
      </c>
      <c r="C4" s="191">
        <v>111157698.06</v>
      </c>
      <c r="D4" s="191">
        <v>74249155.989999995</v>
      </c>
      <c r="E4" s="191">
        <v>167064220.21000001</v>
      </c>
      <c r="F4" s="191">
        <v>121710485.06</v>
      </c>
      <c r="G4" s="191">
        <v>69734536.909999996</v>
      </c>
      <c r="H4" s="191">
        <v>79802392.700000003</v>
      </c>
      <c r="I4" s="191">
        <v>196578436.97999999</v>
      </c>
      <c r="J4" s="191">
        <v>144986063.80000001</v>
      </c>
      <c r="K4" s="191">
        <v>83701227.390000001</v>
      </c>
      <c r="L4" s="191">
        <v>56671092.32</v>
      </c>
      <c r="M4" s="191">
        <v>155116457.62</v>
      </c>
      <c r="N4" s="191">
        <v>82699815.189999998</v>
      </c>
      <c r="O4" s="191">
        <v>67938636.730000004</v>
      </c>
      <c r="P4" s="191">
        <v>37319291.990000002</v>
      </c>
      <c r="Q4" s="191">
        <v>133526993.95999999</v>
      </c>
      <c r="R4" s="191">
        <v>77948157.049999997</v>
      </c>
      <c r="S4" s="191">
        <v>71362616.689999998</v>
      </c>
      <c r="T4" s="191">
        <v>30186347.829999998</v>
      </c>
      <c r="U4" s="191">
        <v>150491058.56</v>
      </c>
      <c r="V4" s="191">
        <v>70584864.689999998</v>
      </c>
      <c r="W4" s="191">
        <v>42168123.560000002</v>
      </c>
      <c r="X4" s="191">
        <v>19451112.52</v>
      </c>
      <c r="Y4" s="191">
        <v>122095896.06999999</v>
      </c>
      <c r="Z4" s="191">
        <v>109662448.34</v>
      </c>
      <c r="AA4" s="191">
        <v>62253978.869999997</v>
      </c>
      <c r="AB4" s="191">
        <v>32437983.559999999</v>
      </c>
      <c r="AC4" s="191">
        <v>217526955.22</v>
      </c>
      <c r="AD4" s="191">
        <v>150419580.38</v>
      </c>
      <c r="AE4" s="191">
        <v>119874398.03</v>
      </c>
      <c r="AF4" s="191">
        <v>78158254.019999996</v>
      </c>
      <c r="AG4" s="191">
        <v>200368574.05000001</v>
      </c>
      <c r="AH4" s="191">
        <v>130706771.31999999</v>
      </c>
      <c r="AI4" s="191">
        <v>71871688.329999998</v>
      </c>
      <c r="AJ4" s="191">
        <v>32883521.039999999</v>
      </c>
      <c r="AK4" s="191">
        <v>118441052.56999999</v>
      </c>
      <c r="AL4" s="191">
        <v>96397822.189999998</v>
      </c>
      <c r="AM4" s="191">
        <v>44786720.770000003</v>
      </c>
      <c r="AN4" s="191">
        <v>12709831.390000001</v>
      </c>
      <c r="AO4" s="191">
        <v>158395457.02000001</v>
      </c>
      <c r="AP4" s="191">
        <v>108579041.81</v>
      </c>
      <c r="AQ4" s="191">
        <v>99132067.290000007</v>
      </c>
      <c r="AR4" s="191">
        <v>74733802.310000002</v>
      </c>
      <c r="AS4" s="191">
        <v>160823312.69</v>
      </c>
      <c r="AT4" s="191">
        <v>92316222.359999999</v>
      </c>
      <c r="AU4" s="191">
        <v>77854189.719999999</v>
      </c>
      <c r="AV4" s="191">
        <v>60498806.57</v>
      </c>
      <c r="AW4" s="191">
        <v>70593843.120000005</v>
      </c>
      <c r="AX4" s="191">
        <v>57748387.079999998</v>
      </c>
      <c r="AY4" s="191">
        <v>45255312.130000003</v>
      </c>
      <c r="AZ4" s="191">
        <v>15448962.41</v>
      </c>
      <c r="BA4" s="191">
        <v>85090006.609999999</v>
      </c>
      <c r="BB4" s="191">
        <v>74239816.640000001</v>
      </c>
      <c r="BC4" s="191">
        <v>45902132.100000001</v>
      </c>
      <c r="BD4" s="191">
        <v>15501276.99</v>
      </c>
      <c r="BE4" s="191">
        <v>146115735.33000001</v>
      </c>
      <c r="BF4" s="191">
        <v>163624956.12</v>
      </c>
      <c r="BG4" s="191">
        <v>70620409.099999994</v>
      </c>
      <c r="BH4" s="191">
        <v>34638007.329999998</v>
      </c>
      <c r="BI4" s="191">
        <v>271740283.27999997</v>
      </c>
      <c r="BJ4" s="191">
        <v>177666724.06</v>
      </c>
      <c r="BK4" s="191">
        <v>112391144.75</v>
      </c>
      <c r="BL4" s="191">
        <v>27980299.48</v>
      </c>
      <c r="BM4" s="191">
        <v>112485747.88</v>
      </c>
      <c r="BN4" s="191">
        <v>36916522.600000001</v>
      </c>
      <c r="BO4" s="191">
        <v>25317039.620000001</v>
      </c>
      <c r="BP4" s="191">
        <v>0</v>
      </c>
      <c r="BQ4" s="191">
        <v>0</v>
      </c>
      <c r="BR4" s="191">
        <v>378968057.27999997</v>
      </c>
      <c r="BS4" s="191">
        <v>94153230.329999998</v>
      </c>
      <c r="BT4" s="191">
        <v>6757461.4400000004</v>
      </c>
      <c r="BU4" s="191">
        <v>585117171</v>
      </c>
      <c r="BV4" s="191">
        <v>0</v>
      </c>
    </row>
    <row r="5" spans="1:74" s="47" customFormat="1">
      <c r="A5" s="47" t="s">
        <v>295</v>
      </c>
      <c r="E5" s="47">
        <f>E4-E3</f>
        <v>163734385.08000001</v>
      </c>
      <c r="F5" s="47">
        <f t="shared" ref="F5:AR5" si="0">F4-F3</f>
        <v>118323734.32000001</v>
      </c>
      <c r="G5" s="47">
        <f t="shared" si="0"/>
        <v>66365879.869999997</v>
      </c>
      <c r="H5" s="47">
        <f t="shared" si="0"/>
        <v>76795524.439999998</v>
      </c>
      <c r="I5" s="47">
        <f t="shared" si="0"/>
        <v>196534517.60999998</v>
      </c>
      <c r="J5" s="47">
        <f t="shared" si="0"/>
        <v>144943127.95000002</v>
      </c>
      <c r="K5" s="47">
        <f t="shared" si="0"/>
        <v>83659322.329999998</v>
      </c>
      <c r="L5" s="47">
        <f t="shared" si="0"/>
        <v>56666080.689999998</v>
      </c>
      <c r="M5" s="47">
        <f t="shared" si="0"/>
        <v>154889304.39000002</v>
      </c>
      <c r="N5" s="47">
        <f t="shared" si="0"/>
        <v>82671395.439999998</v>
      </c>
      <c r="O5" s="47">
        <f t="shared" si="0"/>
        <v>67912704.210000008</v>
      </c>
      <c r="P5" s="47">
        <f t="shared" si="0"/>
        <v>37297618.980000004</v>
      </c>
      <c r="Q5" s="47">
        <f t="shared" si="0"/>
        <v>131218987.75999999</v>
      </c>
      <c r="R5" s="47">
        <f t="shared" si="0"/>
        <v>77771941.909999996</v>
      </c>
      <c r="S5" s="47">
        <f t="shared" si="0"/>
        <v>71321734.959999993</v>
      </c>
      <c r="T5" s="47">
        <f t="shared" si="0"/>
        <v>30186347.829999998</v>
      </c>
      <c r="U5" s="47">
        <f t="shared" si="0"/>
        <v>145767523.09</v>
      </c>
      <c r="V5" s="47">
        <f t="shared" si="0"/>
        <v>68202821.5</v>
      </c>
      <c r="W5" s="47">
        <f t="shared" si="0"/>
        <v>39905734.230000004</v>
      </c>
      <c r="X5" s="47">
        <f t="shared" si="0"/>
        <v>19371866.359999999</v>
      </c>
      <c r="Y5" s="47">
        <f t="shared" si="0"/>
        <v>116382956.72999999</v>
      </c>
      <c r="Z5" s="47">
        <f t="shared" si="0"/>
        <v>105113983.40000001</v>
      </c>
      <c r="AA5" s="47">
        <f t="shared" si="0"/>
        <v>61637980.789999999</v>
      </c>
      <c r="AB5" s="47">
        <f t="shared" si="0"/>
        <v>32425233.559999999</v>
      </c>
      <c r="AC5" s="47">
        <f t="shared" si="0"/>
        <v>217181034</v>
      </c>
      <c r="AD5" s="47">
        <f t="shared" si="0"/>
        <v>150044742.16</v>
      </c>
      <c r="AE5" s="47">
        <f t="shared" si="0"/>
        <v>119682963.65000001</v>
      </c>
      <c r="AF5" s="47">
        <f t="shared" si="0"/>
        <v>78158254.019999996</v>
      </c>
      <c r="AG5" s="47">
        <f t="shared" si="0"/>
        <v>200243574.05000001</v>
      </c>
      <c r="AH5" s="47">
        <f t="shared" si="0"/>
        <v>130661771.31999999</v>
      </c>
      <c r="AI5" s="47">
        <f t="shared" si="0"/>
        <v>71871688.329999998</v>
      </c>
      <c r="AJ5" s="47">
        <f t="shared" si="0"/>
        <v>32883521.039999999</v>
      </c>
      <c r="AK5" s="47">
        <f t="shared" si="0"/>
        <v>118051052.56999999</v>
      </c>
      <c r="AL5" s="47">
        <f t="shared" si="0"/>
        <v>96397822.189999998</v>
      </c>
      <c r="AM5" s="47">
        <f t="shared" si="0"/>
        <v>44786720.770000003</v>
      </c>
      <c r="AN5" s="47">
        <f t="shared" si="0"/>
        <v>12709831.390000001</v>
      </c>
      <c r="AO5" s="47">
        <f t="shared" si="0"/>
        <v>156747495.10000002</v>
      </c>
      <c r="AP5" s="47">
        <f t="shared" si="0"/>
        <v>108241079.89</v>
      </c>
      <c r="AQ5" s="47">
        <f t="shared" si="0"/>
        <v>98806105.370000005</v>
      </c>
      <c r="AR5" s="47">
        <f t="shared" si="0"/>
        <v>74703802.310000002</v>
      </c>
    </row>
    <row r="6" spans="1:74" s="104" customFormat="1">
      <c r="A6" s="104" t="s">
        <v>305</v>
      </c>
      <c r="B6" s="191">
        <v>0</v>
      </c>
      <c r="C6" s="191">
        <v>69612941.670000002</v>
      </c>
      <c r="D6" s="191">
        <v>0</v>
      </c>
      <c r="E6" s="191">
        <v>142492433.08000001</v>
      </c>
      <c r="F6" s="191">
        <v>0</v>
      </c>
      <c r="G6" s="191">
        <v>64944852.039999999</v>
      </c>
      <c r="H6" s="191">
        <v>0</v>
      </c>
      <c r="I6" s="191">
        <v>132953096.8</v>
      </c>
      <c r="J6" s="191">
        <v>0</v>
      </c>
      <c r="K6" s="191">
        <v>63407514.82</v>
      </c>
      <c r="L6" s="191">
        <v>0</v>
      </c>
      <c r="M6" s="191">
        <v>135460162.68000001</v>
      </c>
      <c r="N6" s="191">
        <v>0</v>
      </c>
      <c r="O6" s="191">
        <v>68826542.549999997</v>
      </c>
      <c r="P6" s="191">
        <v>0</v>
      </c>
      <c r="Q6" s="191">
        <v>140552070.31999999</v>
      </c>
      <c r="R6" s="191">
        <v>0</v>
      </c>
      <c r="S6" s="191">
        <v>77825130.25</v>
      </c>
      <c r="T6" s="191">
        <v>0</v>
      </c>
      <c r="U6" s="191">
        <v>125258966.94</v>
      </c>
      <c r="V6" s="191">
        <v>0</v>
      </c>
      <c r="W6" s="191">
        <v>51270264.299999997</v>
      </c>
      <c r="X6" s="191">
        <v>0</v>
      </c>
      <c r="Y6" s="191">
        <v>116049019.73</v>
      </c>
      <c r="Z6" s="191">
        <v>0</v>
      </c>
      <c r="AA6" s="191">
        <v>56925332.259999998</v>
      </c>
      <c r="AB6" s="191">
        <v>0</v>
      </c>
      <c r="AC6" s="191">
        <v>88068825.079999998</v>
      </c>
      <c r="AD6" s="191">
        <v>0</v>
      </c>
      <c r="AE6" s="191">
        <v>43379534.490000002</v>
      </c>
      <c r="AF6" s="191">
        <v>0</v>
      </c>
      <c r="AG6" s="191">
        <v>83549207.459999993</v>
      </c>
      <c r="AH6" s="191">
        <v>0</v>
      </c>
      <c r="AI6" s="191">
        <v>40820416.229999997</v>
      </c>
      <c r="AJ6" s="191">
        <v>0</v>
      </c>
      <c r="AK6" s="191">
        <v>83786014.829999998</v>
      </c>
      <c r="AL6" s="191">
        <v>0</v>
      </c>
      <c r="AM6" s="191">
        <v>41973738.859999999</v>
      </c>
      <c r="AN6" s="191">
        <v>0</v>
      </c>
      <c r="AO6" s="191">
        <v>79760747.359999999</v>
      </c>
      <c r="AP6" s="191">
        <v>0</v>
      </c>
      <c r="AQ6" s="191">
        <v>37449392.829999998</v>
      </c>
      <c r="AR6" s="191">
        <v>0</v>
      </c>
      <c r="AS6" s="191">
        <v>64159759.909999996</v>
      </c>
      <c r="AT6" s="191">
        <v>0</v>
      </c>
      <c r="AU6" s="191">
        <v>30199046.84</v>
      </c>
      <c r="AV6" s="191">
        <v>0</v>
      </c>
      <c r="AW6" s="191">
        <v>55718008.229999997</v>
      </c>
      <c r="AX6" s="191">
        <v>42360378.600000001</v>
      </c>
      <c r="AY6" s="191">
        <v>28161584.399999999</v>
      </c>
      <c r="AZ6" s="191">
        <v>14290069.859999999</v>
      </c>
      <c r="BA6" s="191">
        <v>57341437.890000001</v>
      </c>
      <c r="BB6" s="191">
        <v>41641208.369999997</v>
      </c>
      <c r="BC6" s="191">
        <v>27348769.23</v>
      </c>
      <c r="BD6" s="191">
        <v>13227730.57</v>
      </c>
      <c r="BE6" s="191">
        <v>47832507.960000001</v>
      </c>
      <c r="BF6" s="191">
        <v>34680873.109999999</v>
      </c>
      <c r="BG6" s="191">
        <v>20354587.969999999</v>
      </c>
      <c r="BH6" s="191">
        <v>9821958.5899999999</v>
      </c>
      <c r="BI6" s="191">
        <v>24871071.25</v>
      </c>
      <c r="BJ6" s="191">
        <v>18409180.5</v>
      </c>
      <c r="BK6" s="191">
        <v>12399024.66</v>
      </c>
      <c r="BL6" s="191">
        <v>5517642.3700000001</v>
      </c>
      <c r="BM6" s="191">
        <v>19307636.579999998</v>
      </c>
      <c r="BN6" s="191">
        <v>8411377.2100000009</v>
      </c>
      <c r="BO6" s="191">
        <v>16787862</v>
      </c>
      <c r="BP6" s="191">
        <v>0</v>
      </c>
      <c r="BQ6" s="191">
        <v>0</v>
      </c>
      <c r="BR6" s="191">
        <v>62414344.259999998</v>
      </c>
      <c r="BS6" s="191">
        <v>56928281.189999998</v>
      </c>
      <c r="BT6" s="191">
        <v>29633190.559999999</v>
      </c>
      <c r="BU6" s="191">
        <v>42460875.850000001</v>
      </c>
      <c r="BV6" s="191">
        <v>0</v>
      </c>
    </row>
    <row r="7" spans="1:74" s="191" customFormat="1">
      <c r="A7" s="191" t="s">
        <v>306</v>
      </c>
      <c r="B7" s="191">
        <v>0</v>
      </c>
      <c r="C7" s="191">
        <v>1744683.33</v>
      </c>
      <c r="D7" s="191">
        <v>0</v>
      </c>
      <c r="E7" s="191">
        <v>3199480.53</v>
      </c>
      <c r="F7" s="191">
        <v>0</v>
      </c>
      <c r="G7" s="191">
        <v>1618923.55</v>
      </c>
      <c r="H7" s="191">
        <v>0</v>
      </c>
      <c r="I7" s="191">
        <v>3102553.34</v>
      </c>
      <c r="J7" s="191">
        <v>0</v>
      </c>
      <c r="K7" s="191">
        <v>1358926.32</v>
      </c>
      <c r="L7" s="191">
        <v>0</v>
      </c>
      <c r="M7" s="191">
        <v>2651968</v>
      </c>
      <c r="N7" s="191">
        <v>0</v>
      </c>
      <c r="O7" s="191">
        <v>1290952.52</v>
      </c>
      <c r="P7" s="191">
        <v>0</v>
      </c>
      <c r="Q7" s="191">
        <v>2506094.4500000002</v>
      </c>
      <c r="R7" s="191">
        <v>0</v>
      </c>
      <c r="S7" s="191">
        <v>1229035.24</v>
      </c>
      <c r="T7" s="191">
        <v>0</v>
      </c>
      <c r="U7" s="191">
        <v>2462199.61</v>
      </c>
      <c r="V7" s="191">
        <v>0</v>
      </c>
      <c r="W7" s="191">
        <v>1243824.6399999999</v>
      </c>
      <c r="X7" s="191">
        <v>0</v>
      </c>
      <c r="Y7" s="191">
        <v>2346647.56</v>
      </c>
      <c r="Z7" s="191">
        <v>0</v>
      </c>
      <c r="AA7" s="191">
        <v>1128761.46</v>
      </c>
      <c r="AB7" s="191">
        <v>0</v>
      </c>
      <c r="AC7" s="191">
        <v>1510071.42</v>
      </c>
      <c r="AD7" s="191">
        <v>0</v>
      </c>
      <c r="AE7" s="191">
        <v>679518.48</v>
      </c>
      <c r="AF7" s="191">
        <v>0</v>
      </c>
      <c r="AG7" s="191">
        <v>1389600.18</v>
      </c>
      <c r="AH7" s="191">
        <v>0</v>
      </c>
      <c r="AI7" s="191">
        <v>709165.3</v>
      </c>
      <c r="AJ7" s="191">
        <v>0</v>
      </c>
      <c r="AK7" s="191">
        <v>1450233</v>
      </c>
      <c r="AL7" s="191">
        <v>0</v>
      </c>
      <c r="AM7" s="191">
        <v>728120.46</v>
      </c>
      <c r="AN7" s="191">
        <v>0</v>
      </c>
      <c r="AO7" s="191">
        <v>1471756.68</v>
      </c>
      <c r="AP7" s="191">
        <v>0</v>
      </c>
      <c r="AQ7" s="191">
        <v>737993.54</v>
      </c>
      <c r="AR7" s="191">
        <v>0</v>
      </c>
      <c r="AS7" s="191">
        <v>1511159.51</v>
      </c>
      <c r="AT7" s="191">
        <v>0</v>
      </c>
      <c r="AU7" s="191">
        <v>683938.12</v>
      </c>
      <c r="AV7" s="191">
        <v>0</v>
      </c>
      <c r="AW7" s="191">
        <v>752333.88</v>
      </c>
      <c r="AX7" s="191">
        <v>564250.41</v>
      </c>
      <c r="AY7" s="191">
        <v>376166.94</v>
      </c>
      <c r="AZ7" s="191">
        <v>188083.47</v>
      </c>
      <c r="BA7" s="191">
        <v>725712.51</v>
      </c>
      <c r="BB7" s="191">
        <v>537035.04</v>
      </c>
      <c r="BC7" s="191">
        <v>356045.57</v>
      </c>
      <c r="BD7" s="191">
        <v>167116.98000000001</v>
      </c>
      <c r="BE7" s="191">
        <v>655382.93999999994</v>
      </c>
      <c r="BF7" s="191">
        <v>483243.32</v>
      </c>
      <c r="BG7" s="191">
        <v>323982.31</v>
      </c>
      <c r="BH7" s="191">
        <v>161805.32</v>
      </c>
      <c r="BI7" s="191">
        <v>592599.64</v>
      </c>
      <c r="BJ7" s="191">
        <v>433070.41</v>
      </c>
      <c r="BK7" s="191">
        <v>276569.02</v>
      </c>
      <c r="BL7" s="191">
        <v>120680.37</v>
      </c>
      <c r="BM7" s="191">
        <v>446032.41</v>
      </c>
      <c r="BN7" s="191">
        <v>221227.86</v>
      </c>
      <c r="BO7" s="191">
        <v>442455</v>
      </c>
      <c r="BP7" s="191">
        <v>0</v>
      </c>
      <c r="BQ7" s="191">
        <v>0</v>
      </c>
      <c r="BR7" s="191">
        <v>677235.94</v>
      </c>
      <c r="BS7" s="191">
        <v>16746446.949999999</v>
      </c>
      <c r="BT7" s="191">
        <v>1394056.95</v>
      </c>
      <c r="BU7" s="191">
        <v>2442875.52</v>
      </c>
      <c r="BV7" s="191">
        <v>0</v>
      </c>
    </row>
    <row r="8" spans="1:74" s="191" customFormat="1">
      <c r="A8" s="191" t="s">
        <v>307</v>
      </c>
      <c r="B8" s="191">
        <v>0</v>
      </c>
      <c r="C8" s="191">
        <v>0</v>
      </c>
      <c r="D8" s="191">
        <v>0</v>
      </c>
      <c r="E8" s="191">
        <v>0</v>
      </c>
      <c r="F8" s="191">
        <v>0</v>
      </c>
      <c r="G8" s="191">
        <v>47688.54</v>
      </c>
      <c r="H8" s="191">
        <v>0</v>
      </c>
      <c r="I8" s="191">
        <v>0</v>
      </c>
      <c r="J8" s="191">
        <v>0</v>
      </c>
      <c r="K8" s="191">
        <v>0</v>
      </c>
      <c r="L8" s="191">
        <v>0</v>
      </c>
      <c r="M8" s="191">
        <v>0</v>
      </c>
      <c r="N8" s="191">
        <v>0</v>
      </c>
      <c r="O8" s="191">
        <v>0</v>
      </c>
      <c r="P8" s="191">
        <v>0</v>
      </c>
      <c r="Q8" s="191">
        <v>0</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W8" s="191">
        <v>0</v>
      </c>
      <c r="AX8" s="191">
        <v>0</v>
      </c>
      <c r="AY8" s="191">
        <v>0</v>
      </c>
      <c r="AZ8" s="191">
        <v>0</v>
      </c>
      <c r="BA8" s="191">
        <v>0</v>
      </c>
      <c r="BB8" s="191">
        <v>0</v>
      </c>
      <c r="BC8" s="191">
        <v>0</v>
      </c>
      <c r="BD8" s="191">
        <v>0</v>
      </c>
      <c r="BE8" s="191">
        <v>0</v>
      </c>
      <c r="BF8" s="191">
        <v>0</v>
      </c>
      <c r="BG8" s="191">
        <v>0</v>
      </c>
      <c r="BH8" s="191">
        <v>0</v>
      </c>
      <c r="BI8" s="191">
        <v>0</v>
      </c>
      <c r="BJ8" s="191">
        <v>1021475.42</v>
      </c>
      <c r="BK8" s="191">
        <v>-365659.91</v>
      </c>
      <c r="BL8" s="191">
        <v>-6681.75</v>
      </c>
      <c r="BM8" s="191">
        <v>0</v>
      </c>
      <c r="BN8" s="191">
        <v>0</v>
      </c>
      <c r="BO8" s="191">
        <v>0</v>
      </c>
      <c r="BP8" s="191">
        <v>0</v>
      </c>
      <c r="BQ8" s="191">
        <v>0</v>
      </c>
      <c r="BR8" s="191">
        <v>0</v>
      </c>
      <c r="BS8" s="191">
        <v>0</v>
      </c>
      <c r="BT8" s="191">
        <v>0</v>
      </c>
      <c r="BU8" s="191">
        <v>0</v>
      </c>
      <c r="BV8" s="191">
        <v>0</v>
      </c>
    </row>
    <row r="9" spans="1:74" s="191" customFormat="1">
      <c r="A9" s="191" t="s">
        <v>308</v>
      </c>
      <c r="B9" s="191">
        <v>0</v>
      </c>
      <c r="C9" s="191">
        <v>-7251.2</v>
      </c>
      <c r="D9" s="191">
        <v>0</v>
      </c>
      <c r="E9" s="191">
        <v>-989416.44</v>
      </c>
      <c r="F9" s="191">
        <v>0</v>
      </c>
      <c r="G9" s="191">
        <v>-963781.74</v>
      </c>
      <c r="H9" s="191">
        <v>0</v>
      </c>
      <c r="I9" s="191">
        <v>-150245.85999999999</v>
      </c>
      <c r="J9" s="191">
        <v>0</v>
      </c>
      <c r="K9" s="191">
        <v>9002.61</v>
      </c>
      <c r="L9" s="191">
        <v>0</v>
      </c>
      <c r="M9" s="191">
        <v>28512.47</v>
      </c>
      <c r="N9" s="191">
        <v>0</v>
      </c>
      <c r="O9" s="191">
        <v>2448086.06</v>
      </c>
      <c r="P9" s="191">
        <v>0</v>
      </c>
      <c r="Q9" s="191">
        <v>2334247.9700000002</v>
      </c>
      <c r="R9" s="191">
        <v>0</v>
      </c>
      <c r="S9" s="191">
        <v>569228.18000000005</v>
      </c>
      <c r="T9" s="191">
        <v>0</v>
      </c>
      <c r="U9" s="191">
        <v>878518.3</v>
      </c>
      <c r="V9" s="191">
        <v>0</v>
      </c>
      <c r="W9" s="191">
        <v>-682922.27</v>
      </c>
      <c r="X9" s="191">
        <v>0</v>
      </c>
      <c r="Y9" s="191">
        <v>895024.94</v>
      </c>
      <c r="Z9" s="191">
        <v>0</v>
      </c>
      <c r="AA9" s="191">
        <v>-489000.28</v>
      </c>
      <c r="AB9" s="191">
        <v>0</v>
      </c>
      <c r="AC9" s="191">
        <v>-144282.20000000001</v>
      </c>
      <c r="AD9" s="191">
        <v>0</v>
      </c>
      <c r="AE9" s="191">
        <v>71979.56</v>
      </c>
      <c r="AF9" s="191">
        <v>0</v>
      </c>
      <c r="AG9" s="191">
        <v>-494899.38</v>
      </c>
      <c r="AH9" s="191">
        <v>0</v>
      </c>
      <c r="AI9" s="191">
        <v>98507.9</v>
      </c>
      <c r="AJ9" s="191">
        <v>0</v>
      </c>
      <c r="AK9" s="191">
        <v>-179055.96</v>
      </c>
      <c r="AL9" s="191">
        <v>0</v>
      </c>
      <c r="AM9" s="191">
        <v>-138460.39000000001</v>
      </c>
      <c r="AN9" s="191">
        <v>0</v>
      </c>
      <c r="AO9" s="191">
        <v>-163457.01</v>
      </c>
      <c r="AP9" s="191">
        <v>0</v>
      </c>
      <c r="AQ9" s="191">
        <v>-116503.69</v>
      </c>
      <c r="AR9" s="191">
        <v>0</v>
      </c>
      <c r="AS9" s="191">
        <v>-2380025.08</v>
      </c>
      <c r="AT9" s="191">
        <v>0</v>
      </c>
      <c r="AU9" s="191">
        <v>582316.09</v>
      </c>
      <c r="AV9" s="191">
        <v>0</v>
      </c>
      <c r="AW9" s="191">
        <v>195239.61</v>
      </c>
      <c r="AX9" s="191">
        <v>195239.61</v>
      </c>
      <c r="AY9" s="191">
        <v>195239.61</v>
      </c>
      <c r="AZ9" s="191">
        <v>175966.98</v>
      </c>
      <c r="BA9" s="191">
        <v>46981.25</v>
      </c>
      <c r="BB9" s="191">
        <v>131790.28</v>
      </c>
      <c r="BC9" s="191">
        <v>17581.189999999999</v>
      </c>
      <c r="BD9" s="191">
        <v>17581.189999999999</v>
      </c>
      <c r="BE9" s="191">
        <v>37358.83</v>
      </c>
      <c r="BF9" s="191">
        <v>171033.05</v>
      </c>
      <c r="BG9" s="191">
        <v>105412.06</v>
      </c>
      <c r="BH9" s="191">
        <v>63285.42</v>
      </c>
      <c r="BI9" s="191">
        <v>-2005129.99</v>
      </c>
      <c r="BJ9" s="191">
        <v>-50135.32</v>
      </c>
      <c r="BK9" s="191">
        <v>-70301.89</v>
      </c>
      <c r="BL9" s="191">
        <v>-70018.12</v>
      </c>
      <c r="BM9" s="191">
        <v>196586.97</v>
      </c>
      <c r="BN9" s="191">
        <v>119535.62</v>
      </c>
      <c r="BO9" s="191">
        <v>1129517.76</v>
      </c>
      <c r="BP9" s="191">
        <v>0</v>
      </c>
      <c r="BQ9" s="191">
        <v>0</v>
      </c>
      <c r="BR9" s="191">
        <v>-1500</v>
      </c>
      <c r="BS9" s="191">
        <v>169771.53</v>
      </c>
      <c r="BT9" s="191">
        <v>-1680</v>
      </c>
      <c r="BU9" s="191">
        <v>0</v>
      </c>
      <c r="BV9" s="191">
        <v>0</v>
      </c>
    </row>
    <row r="10" spans="1:74" s="191" customFormat="1">
      <c r="A10" s="191" t="s">
        <v>309</v>
      </c>
      <c r="B10" s="191">
        <v>0</v>
      </c>
      <c r="C10" s="191">
        <v>16954378.719999999</v>
      </c>
      <c r="D10" s="191">
        <v>0</v>
      </c>
      <c r="E10" s="191">
        <v>7240553.9299999997</v>
      </c>
      <c r="F10" s="191">
        <v>0</v>
      </c>
      <c r="G10" s="191">
        <v>2778633.81</v>
      </c>
      <c r="H10" s="191">
        <v>0</v>
      </c>
      <c r="I10" s="191">
        <v>17534475.91</v>
      </c>
      <c r="J10" s="191">
        <v>0</v>
      </c>
      <c r="K10" s="191">
        <v>9628477.2100000009</v>
      </c>
      <c r="L10" s="191">
        <v>0</v>
      </c>
      <c r="M10" s="191">
        <v>7115464.8200000003</v>
      </c>
      <c r="N10" s="191">
        <v>0</v>
      </c>
      <c r="O10" s="191">
        <v>0</v>
      </c>
      <c r="P10" s="191">
        <v>0</v>
      </c>
      <c r="Q10" s="191">
        <v>0</v>
      </c>
      <c r="R10" s="191">
        <v>0</v>
      </c>
      <c r="S10" s="191">
        <v>0</v>
      </c>
      <c r="T10" s="191">
        <v>0</v>
      </c>
      <c r="U10" s="191">
        <v>0</v>
      </c>
      <c r="V10" s="191">
        <v>0</v>
      </c>
      <c r="W10" s="191">
        <v>0</v>
      </c>
      <c r="X10" s="191">
        <v>0</v>
      </c>
      <c r="Y10" s="191">
        <v>0</v>
      </c>
      <c r="Z10" s="191">
        <v>0</v>
      </c>
      <c r="AA10" s="191">
        <v>0</v>
      </c>
      <c r="AB10" s="191">
        <v>0</v>
      </c>
      <c r="AC10" s="191">
        <v>0</v>
      </c>
      <c r="AD10" s="191">
        <v>0</v>
      </c>
      <c r="AE10" s="191">
        <v>0</v>
      </c>
      <c r="AF10" s="191">
        <v>0</v>
      </c>
      <c r="AG10" s="191">
        <v>1258098.74</v>
      </c>
      <c r="AH10" s="191">
        <v>0</v>
      </c>
      <c r="AI10" s="191">
        <v>1262404.32</v>
      </c>
      <c r="AJ10" s="191">
        <v>0</v>
      </c>
      <c r="AK10" s="191">
        <v>7520402.0199999996</v>
      </c>
      <c r="AL10" s="191">
        <v>0</v>
      </c>
      <c r="AM10" s="191">
        <v>0</v>
      </c>
      <c r="AN10" s="191">
        <v>0</v>
      </c>
      <c r="AO10" s="191">
        <v>0</v>
      </c>
      <c r="AP10" s="191">
        <v>0</v>
      </c>
      <c r="AQ10" s="191">
        <v>0</v>
      </c>
      <c r="AR10" s="191">
        <v>0</v>
      </c>
      <c r="AS10" s="191">
        <v>743160.54</v>
      </c>
      <c r="AT10" s="191">
        <v>0</v>
      </c>
      <c r="AU10" s="191">
        <v>0</v>
      </c>
      <c r="AV10" s="191">
        <v>0</v>
      </c>
      <c r="AW10" s="191">
        <v>0</v>
      </c>
      <c r="AX10" s="191">
        <v>137993.54999999999</v>
      </c>
      <c r="AY10" s="191">
        <v>0</v>
      </c>
      <c r="AZ10" s="191">
        <v>0</v>
      </c>
      <c r="BA10" s="191">
        <v>0</v>
      </c>
      <c r="BB10" s="191">
        <v>0</v>
      </c>
      <c r="BC10" s="191">
        <v>0</v>
      </c>
      <c r="BD10" s="191">
        <v>0</v>
      </c>
      <c r="BE10" s="191">
        <v>0</v>
      </c>
      <c r="BF10" s="191">
        <v>329770.38</v>
      </c>
      <c r="BG10" s="191">
        <v>0</v>
      </c>
      <c r="BH10" s="191">
        <v>0</v>
      </c>
      <c r="BI10" s="191">
        <v>0</v>
      </c>
      <c r="BJ10" s="191">
        <v>0</v>
      </c>
      <c r="BK10" s="191">
        <v>0</v>
      </c>
      <c r="BL10" s="191">
        <v>0</v>
      </c>
      <c r="BM10" s="191">
        <v>0</v>
      </c>
      <c r="BN10" s="191">
        <v>0</v>
      </c>
      <c r="BO10" s="191">
        <v>315404</v>
      </c>
      <c r="BP10" s="191">
        <v>0</v>
      </c>
      <c r="BQ10" s="191">
        <v>0</v>
      </c>
      <c r="BR10" s="191">
        <v>43944</v>
      </c>
      <c r="BS10" s="191">
        <v>0</v>
      </c>
      <c r="BT10" s="191">
        <v>7101</v>
      </c>
      <c r="BU10" s="191">
        <v>0</v>
      </c>
      <c r="BV10" s="191">
        <v>0</v>
      </c>
    </row>
    <row r="11" spans="1:74" s="47" customFormat="1">
      <c r="A11" s="47" t="s">
        <v>296</v>
      </c>
      <c r="E11" s="47">
        <f>E5-E6-E7-E8-E9-E10</f>
        <v>11791333.98</v>
      </c>
      <c r="F11" s="47">
        <f t="shared" ref="F11:BQ11" si="1">F5-F6-F7-F8-F9-F10</f>
        <v>118323734.32000001</v>
      </c>
      <c r="G11" s="47">
        <f t="shared" si="1"/>
        <v>-2060436.3300000019</v>
      </c>
      <c r="H11" s="47">
        <f t="shared" si="1"/>
        <v>76795524.439999998</v>
      </c>
      <c r="I11" s="47">
        <f t="shared" si="1"/>
        <v>43094637.419999987</v>
      </c>
      <c r="J11" s="47">
        <f t="shared" si="1"/>
        <v>144943127.95000002</v>
      </c>
      <c r="K11" s="47">
        <f t="shared" si="1"/>
        <v>9255401.3699999973</v>
      </c>
      <c r="L11" s="47">
        <f t="shared" si="1"/>
        <v>56666080.689999998</v>
      </c>
      <c r="M11" s="47">
        <f t="shared" si="1"/>
        <v>9633196.4200000074</v>
      </c>
      <c r="N11" s="47">
        <f t="shared" si="1"/>
        <v>82671395.439999998</v>
      </c>
      <c r="O11" s="47">
        <f t="shared" si="1"/>
        <v>-4652876.9199999887</v>
      </c>
      <c r="P11" s="47">
        <f t="shared" si="1"/>
        <v>37297618.980000004</v>
      </c>
      <c r="Q11" s="47">
        <f t="shared" si="1"/>
        <v>-14173424.980000002</v>
      </c>
      <c r="R11" s="47">
        <f t="shared" si="1"/>
        <v>77771941.909999996</v>
      </c>
      <c r="S11" s="47">
        <f t="shared" si="1"/>
        <v>-8301658.7100000065</v>
      </c>
      <c r="T11" s="47">
        <f t="shared" si="1"/>
        <v>30186347.829999998</v>
      </c>
      <c r="U11" s="47">
        <f t="shared" si="1"/>
        <v>17167838.240000006</v>
      </c>
      <c r="V11" s="47">
        <f t="shared" si="1"/>
        <v>68202821.5</v>
      </c>
      <c r="W11" s="47">
        <f t="shared" si="1"/>
        <v>-11925432.439999994</v>
      </c>
      <c r="X11" s="47">
        <f t="shared" si="1"/>
        <v>19371866.359999999</v>
      </c>
      <c r="Y11" s="47">
        <f t="shared" si="1"/>
        <v>-2907735.5000000149</v>
      </c>
      <c r="Z11" s="47">
        <f t="shared" si="1"/>
        <v>105113983.40000001</v>
      </c>
      <c r="AA11" s="47">
        <f t="shared" si="1"/>
        <v>4072887.3500000015</v>
      </c>
      <c r="AB11" s="47">
        <f t="shared" si="1"/>
        <v>32425233.559999999</v>
      </c>
      <c r="AC11" s="47">
        <f t="shared" si="1"/>
        <v>127746419.7</v>
      </c>
      <c r="AD11" s="47">
        <f t="shared" si="1"/>
        <v>150044742.16</v>
      </c>
      <c r="AE11" s="47">
        <f t="shared" si="1"/>
        <v>75551931.11999999</v>
      </c>
      <c r="AF11" s="47">
        <f t="shared" si="1"/>
        <v>78158254.019999996</v>
      </c>
      <c r="AG11" s="47">
        <f t="shared" si="1"/>
        <v>114541567.05000001</v>
      </c>
      <c r="AH11" s="47">
        <f t="shared" si="1"/>
        <v>130661771.31999999</v>
      </c>
      <c r="AI11" s="47">
        <f t="shared" si="1"/>
        <v>28981194.580000002</v>
      </c>
      <c r="AJ11" s="47">
        <f t="shared" si="1"/>
        <v>32883521.039999999</v>
      </c>
      <c r="AK11" s="47">
        <f t="shared" si="1"/>
        <v>25473458.679999996</v>
      </c>
      <c r="AL11" s="47">
        <f t="shared" si="1"/>
        <v>96397822.189999998</v>
      </c>
      <c r="AM11" s="47">
        <f t="shared" si="1"/>
        <v>2223321.840000004</v>
      </c>
      <c r="AN11" s="47">
        <f t="shared" si="1"/>
        <v>12709831.390000001</v>
      </c>
      <c r="AO11" s="47">
        <f t="shared" si="1"/>
        <v>75678448.070000023</v>
      </c>
      <c r="AP11" s="47">
        <f t="shared" si="1"/>
        <v>108241079.89</v>
      </c>
      <c r="AQ11" s="47">
        <f t="shared" si="1"/>
        <v>60735222.690000005</v>
      </c>
      <c r="AR11" s="47">
        <f t="shared" si="1"/>
        <v>74703802.310000002</v>
      </c>
      <c r="AS11" s="47">
        <f t="shared" si="1"/>
        <v>-64034054.879999995</v>
      </c>
      <c r="AT11" s="47">
        <f t="shared" si="1"/>
        <v>0</v>
      </c>
      <c r="AU11" s="47">
        <f t="shared" si="1"/>
        <v>-31465301.050000001</v>
      </c>
      <c r="AV11" s="47">
        <f t="shared" si="1"/>
        <v>0</v>
      </c>
      <c r="AW11" s="47">
        <f t="shared" si="1"/>
        <v>-56665581.719999999</v>
      </c>
      <c r="AX11" s="47">
        <f t="shared" si="1"/>
        <v>-43257862.169999994</v>
      </c>
      <c r="AY11" s="47">
        <f t="shared" si="1"/>
        <v>-28732990.949999999</v>
      </c>
      <c r="AZ11" s="47">
        <f t="shared" si="1"/>
        <v>-14654120.310000001</v>
      </c>
      <c r="BA11" s="47">
        <f t="shared" si="1"/>
        <v>-58114131.649999999</v>
      </c>
      <c r="BB11" s="47">
        <f t="shared" si="1"/>
        <v>-42310033.689999998</v>
      </c>
      <c r="BC11" s="47">
        <f t="shared" si="1"/>
        <v>-27722395.990000002</v>
      </c>
      <c r="BD11" s="47">
        <f t="shared" si="1"/>
        <v>-13412428.74</v>
      </c>
      <c r="BE11" s="47">
        <f t="shared" si="1"/>
        <v>-48525249.729999997</v>
      </c>
      <c r="BF11" s="47">
        <f t="shared" si="1"/>
        <v>-35664919.859999999</v>
      </c>
      <c r="BG11" s="47">
        <f t="shared" si="1"/>
        <v>-20783982.339999996</v>
      </c>
      <c r="BH11" s="47">
        <f t="shared" si="1"/>
        <v>-10047049.33</v>
      </c>
      <c r="BI11" s="47">
        <f t="shared" si="1"/>
        <v>-23458540.900000002</v>
      </c>
      <c r="BJ11" s="47">
        <f t="shared" si="1"/>
        <v>-19813591.010000002</v>
      </c>
      <c r="BK11" s="47">
        <f t="shared" si="1"/>
        <v>-12239631.879999999</v>
      </c>
      <c r="BL11" s="47">
        <f t="shared" si="1"/>
        <v>-5561622.8700000001</v>
      </c>
      <c r="BM11" s="47">
        <f t="shared" si="1"/>
        <v>-19950255.959999997</v>
      </c>
      <c r="BN11" s="47">
        <f t="shared" si="1"/>
        <v>-8752140.6899999995</v>
      </c>
      <c r="BO11" s="47">
        <f t="shared" si="1"/>
        <v>-18675238.760000002</v>
      </c>
      <c r="BP11" s="47">
        <f t="shared" si="1"/>
        <v>0</v>
      </c>
      <c r="BQ11" s="47">
        <f t="shared" si="1"/>
        <v>0</v>
      </c>
      <c r="BR11" s="47">
        <f t="shared" ref="BR11:BS11" si="2">BR5-BR6-BR7-BR8-BR9-BR10</f>
        <v>-63134024.199999996</v>
      </c>
      <c r="BS11" s="47">
        <f t="shared" si="2"/>
        <v>-73844499.670000002</v>
      </c>
    </row>
    <row r="12" spans="1:74" s="191" customFormat="1">
      <c r="A12" s="191" t="s">
        <v>297</v>
      </c>
      <c r="E12" s="191">
        <f t="shared" ref="E12:Q12" si="3">I34</f>
        <v>1400796408.98</v>
      </c>
      <c r="F12" s="191">
        <f t="shared" si="3"/>
        <v>1428998969.8599999</v>
      </c>
      <c r="G12" s="191">
        <f t="shared" si="3"/>
        <v>1423833637.8</v>
      </c>
      <c r="H12" s="191">
        <f t="shared" si="3"/>
        <v>1405965721.28</v>
      </c>
      <c r="I12" s="191">
        <f t="shared" si="3"/>
        <v>1341839010.0699999</v>
      </c>
      <c r="J12" s="191">
        <f t="shared" si="3"/>
        <v>1323035245.71</v>
      </c>
      <c r="K12" s="191">
        <f t="shared" si="3"/>
        <v>1292183664.47</v>
      </c>
      <c r="L12" s="191">
        <f t="shared" si="3"/>
        <v>1291537398.03</v>
      </c>
      <c r="M12" s="191">
        <f t="shared" si="3"/>
        <v>1291726633.25</v>
      </c>
      <c r="N12" s="191">
        <f t="shared" si="3"/>
        <v>1265736800.5799999</v>
      </c>
      <c r="O12" s="191">
        <f t="shared" si="3"/>
        <v>1262305125.3699999</v>
      </c>
      <c r="P12" s="191">
        <f t="shared" si="3"/>
        <v>1269497260.8</v>
      </c>
      <c r="Q12" s="191">
        <f t="shared" si="3"/>
        <v>1280998904.8499999</v>
      </c>
      <c r="R12" s="191">
        <f t="shared" ref="R12" si="4">V34</f>
        <v>1271017945.0699999</v>
      </c>
      <c r="S12" s="191">
        <f t="shared" ref="S12" si="5">W34</f>
        <v>1269584085.6600001</v>
      </c>
      <c r="T12" s="191">
        <f t="shared" ref="T12" si="6">X34</f>
        <v>1272467519.8900001</v>
      </c>
      <c r="U12" s="191">
        <f t="shared" ref="U12" si="7">Y34</f>
        <v>1284183058.6300001</v>
      </c>
      <c r="V12" s="191">
        <f t="shared" ref="V12" si="8">Z34</f>
        <v>1270866245.1600001</v>
      </c>
      <c r="W12" s="191">
        <f t="shared" ref="W12" si="9">AA34</f>
        <v>1255061808.8800001</v>
      </c>
      <c r="X12" s="191">
        <f t="shared" ref="X12" si="10">AB34</f>
        <v>1256616941.95</v>
      </c>
      <c r="Y12" s="191">
        <f t="shared" ref="Y12" si="11">AC34</f>
        <v>1254307460.1600001</v>
      </c>
      <c r="Z12" s="191">
        <f t="shared" ref="Z12" si="12">AD34</f>
        <v>1127492906.73</v>
      </c>
      <c r="AA12" s="191">
        <f t="shared" ref="AA12" si="13">AE34</f>
        <v>1102316142.3900001</v>
      </c>
      <c r="AB12" s="191">
        <f t="shared" ref="AB12" si="14">AF34</f>
        <v>1055204305.84</v>
      </c>
      <c r="AC12" s="191">
        <f t="shared" ref="AC12" si="15">AG34</f>
        <v>1052675983.63</v>
      </c>
      <c r="AD12" s="191">
        <f t="shared" ref="AD12" si="16">AH34</f>
        <v>1012204320.54</v>
      </c>
      <c r="AE12" s="191">
        <f t="shared" ref="AE12" si="17">AI34</f>
        <v>977084641.95000005</v>
      </c>
      <c r="AF12" s="191">
        <f t="shared" ref="AF12" si="18">AJ34</f>
        <v>965558781.37</v>
      </c>
      <c r="AG12" s="191">
        <f t="shared" ref="AG12" si="19">AK34</f>
        <v>945751470.53999996</v>
      </c>
      <c r="AH12" s="191">
        <f t="shared" ref="AH12" si="20">AL34</f>
        <v>946974396.79999995</v>
      </c>
      <c r="AI12" s="191">
        <f t="shared" ref="AI12" si="21">AM34</f>
        <v>930003513.78999996</v>
      </c>
      <c r="AJ12" s="191">
        <f t="shared" ref="AJ12" si="22">AN34</f>
        <v>915082500.50999999</v>
      </c>
      <c r="AK12" s="191">
        <f t="shared" ref="AK12" si="23">AO34</f>
        <v>926611528.58000004</v>
      </c>
      <c r="AL12" s="191">
        <f t="shared" ref="AL12" si="24">AP34</f>
        <v>924000528.88</v>
      </c>
      <c r="AM12" s="191">
        <f t="shared" ref="AM12" si="25">AQ34</f>
        <v>920078146.78999996</v>
      </c>
      <c r="AN12" s="191">
        <f t="shared" ref="AN12" si="26">AR34</f>
        <v>904388967.69000006</v>
      </c>
      <c r="AO12" s="191">
        <f t="shared" ref="AO12" si="27">AS34</f>
        <v>846124706.51999998</v>
      </c>
      <c r="AP12" s="191">
        <f t="shared" ref="AP12" si="28">AT34</f>
        <v>845085813.28999996</v>
      </c>
      <c r="AQ12" s="191">
        <f t="shared" ref="AQ12" si="29">AU34</f>
        <v>828738540.2299999</v>
      </c>
      <c r="AR12" s="191">
        <f t="shared" ref="AR12" si="30">AV34</f>
        <v>837892994.12</v>
      </c>
      <c r="AS12" s="191">
        <f t="shared" ref="AS12" si="31">AW34</f>
        <v>774559494.41999996</v>
      </c>
      <c r="AT12" s="191">
        <f t="shared" ref="AT12" si="32">AX34</f>
        <v>723958896.88</v>
      </c>
      <c r="AU12" s="191">
        <f t="shared" ref="AU12" si="33">AY34</f>
        <v>725165689.28999996</v>
      </c>
      <c r="AV12" s="191">
        <f t="shared" ref="AV12" si="34">AZ34</f>
        <v>710035227.82000005</v>
      </c>
      <c r="AW12" s="191">
        <f t="shared" ref="AW12" si="35">BA34</f>
        <v>708751620.94000006</v>
      </c>
      <c r="AX12" s="191">
        <f t="shared" ref="AX12" si="36">BB34</f>
        <v>688462866.96000004</v>
      </c>
      <c r="AY12" s="191">
        <f t="shared" ref="AY12" si="37">BC34</f>
        <v>677890207.51999998</v>
      </c>
      <c r="AZ12" s="191">
        <f t="shared" ref="AZ12" si="38">BD34</f>
        <v>691957451.38</v>
      </c>
      <c r="BA12" s="191">
        <f t="shared" ref="BA12" si="39">BE34</f>
        <v>665589525.48000002</v>
      </c>
      <c r="BB12" s="191">
        <f t="shared" ref="BB12" si="40">BF34</f>
        <v>685580977.60000002</v>
      </c>
      <c r="BC12" s="191">
        <f t="shared" ref="BC12" si="41">BG34</f>
        <v>624633495.08000004</v>
      </c>
      <c r="BD12" s="191">
        <f t="shared" ref="BD12" si="42">BH34</f>
        <v>570324400.86000001</v>
      </c>
      <c r="BE12" s="191">
        <f t="shared" ref="BE12" si="43">BI34</f>
        <v>551457183.10000002</v>
      </c>
      <c r="BF12" s="191">
        <f t="shared" ref="BF12" si="44">BJ34</f>
        <v>481348026.64999998</v>
      </c>
      <c r="BG12" s="191">
        <f t="shared" ref="BG12" si="45">BK34</f>
        <v>414219579.52999997</v>
      </c>
      <c r="BH12" s="191">
        <f t="shared" ref="BH12" si="46">BL34</f>
        <v>326798982.25</v>
      </c>
      <c r="BI12" s="191">
        <f t="shared" ref="BI12" si="47">BM34</f>
        <v>301836134.22000003</v>
      </c>
      <c r="BJ12" s="191">
        <f t="shared" ref="BJ12" si="48">BN34</f>
        <v>242579031.93000001</v>
      </c>
      <c r="BK12" s="191">
        <f t="shared" ref="BK12" si="49">BO34</f>
        <v>219401133.18000001</v>
      </c>
      <c r="BL12" s="191">
        <f t="shared" ref="BL12" si="50">BP34</f>
        <v>195781863.68000001</v>
      </c>
      <c r="BM12" s="191">
        <f t="shared" ref="BM12" si="51">BQ34</f>
        <v>924000528.88</v>
      </c>
      <c r="BN12" s="191">
        <f t="shared" ref="BN12" si="52">BR34</f>
        <v>920078146.78999996</v>
      </c>
    </row>
    <row r="13" spans="1:74" s="218" customFormat="1">
      <c r="A13" s="218" t="s">
        <v>350</v>
      </c>
      <c r="E13" s="218">
        <f>E11/E12</f>
        <v>8.4175929524162221E-3</v>
      </c>
      <c r="F13" s="218">
        <f t="shared" ref="F13:AR13" si="53">F11/F12</f>
        <v>8.2801833182281626E-2</v>
      </c>
      <c r="G13" s="218">
        <f t="shared" si="53"/>
        <v>-1.4471046864601629E-3</v>
      </c>
      <c r="H13" s="218">
        <f t="shared" si="53"/>
        <v>5.4621192592152867E-2</v>
      </c>
      <c r="I13" s="218">
        <f t="shared" si="53"/>
        <v>3.211610118396533E-2</v>
      </c>
      <c r="J13" s="218">
        <f t="shared" si="53"/>
        <v>0.10955348953853232</v>
      </c>
      <c r="K13" s="218">
        <f t="shared" si="53"/>
        <v>7.1626051500938747E-3</v>
      </c>
      <c r="L13" s="218">
        <f t="shared" si="53"/>
        <v>4.387490503676747E-2</v>
      </c>
      <c r="M13" s="218">
        <f t="shared" si="53"/>
        <v>7.4576122935258891E-3</v>
      </c>
      <c r="N13" s="218">
        <f t="shared" si="53"/>
        <v>6.5314839074061368E-2</v>
      </c>
      <c r="O13" s="218">
        <f t="shared" si="53"/>
        <v>-3.6860160245615445E-3</v>
      </c>
      <c r="P13" s="218">
        <f t="shared" si="53"/>
        <v>2.9379834153006473E-2</v>
      </c>
      <c r="Q13" s="218">
        <f t="shared" si="53"/>
        <v>-1.1064353705797786E-2</v>
      </c>
      <c r="R13" s="218">
        <f t="shared" si="53"/>
        <v>6.1188704857913542E-2</v>
      </c>
      <c r="S13" s="218">
        <f t="shared" si="53"/>
        <v>-6.5388805702336324E-3</v>
      </c>
      <c r="T13" s="218">
        <f t="shared" si="53"/>
        <v>2.3722686322562869E-2</v>
      </c>
      <c r="U13" s="218">
        <f t="shared" si="53"/>
        <v>1.3368684569250666E-2</v>
      </c>
      <c r="V13" s="218">
        <f t="shared" si="53"/>
        <v>5.3666404123758414E-2</v>
      </c>
      <c r="W13" s="218">
        <f t="shared" si="53"/>
        <v>-9.5018686375630268E-3</v>
      </c>
      <c r="X13" s="218">
        <f t="shared" si="53"/>
        <v>1.5415888257832189E-2</v>
      </c>
      <c r="Y13" s="218">
        <f t="shared" si="53"/>
        <v>-2.3181999568344294E-3</v>
      </c>
      <c r="Z13" s="218">
        <f t="shared" si="53"/>
        <v>9.3228066245539212E-2</v>
      </c>
      <c r="AA13" s="218">
        <f t="shared" si="53"/>
        <v>3.6948450570353812E-3</v>
      </c>
      <c r="AB13" s="218">
        <f t="shared" si="53"/>
        <v>3.0728867746789328E-2</v>
      </c>
      <c r="AC13" s="218">
        <f t="shared" si="53"/>
        <v>0.12135397946430303</v>
      </c>
      <c r="AD13" s="218">
        <f t="shared" si="53"/>
        <v>0.14823562705200938</v>
      </c>
      <c r="AE13" s="218">
        <f t="shared" si="53"/>
        <v>7.7323834472741798E-2</v>
      </c>
      <c r="AF13" s="218">
        <f t="shared" si="53"/>
        <v>8.0946137643845756E-2</v>
      </c>
      <c r="AG13" s="218">
        <f t="shared" si="53"/>
        <v>0.12111169859942136</v>
      </c>
      <c r="AH13" s="218">
        <f t="shared" si="53"/>
        <v>0.13797814572551281</v>
      </c>
      <c r="AI13" s="218">
        <f t="shared" si="53"/>
        <v>3.1162457077064463E-2</v>
      </c>
      <c r="AJ13" s="218">
        <f t="shared" si="53"/>
        <v>3.5935034296550455E-2</v>
      </c>
      <c r="AK13" s="218">
        <f t="shared" si="53"/>
        <v>2.749097965469649E-2</v>
      </c>
      <c r="AL13" s="218">
        <f t="shared" si="53"/>
        <v>0.10432658767722328</v>
      </c>
      <c r="AM13" s="218">
        <f t="shared" si="53"/>
        <v>2.4164489155152802E-3</v>
      </c>
      <c r="AN13" s="218">
        <f t="shared" si="53"/>
        <v>1.4053501141730628E-2</v>
      </c>
      <c r="AO13" s="218">
        <f t="shared" si="53"/>
        <v>8.9441246056099183E-2</v>
      </c>
      <c r="AP13" s="218">
        <f t="shared" si="53"/>
        <v>0.12808294517287791</v>
      </c>
      <c r="AQ13" s="218">
        <f t="shared" si="53"/>
        <v>7.3286349966473319E-2</v>
      </c>
      <c r="AR13" s="218">
        <f t="shared" si="53"/>
        <v>8.9156733418517153E-2</v>
      </c>
    </row>
    <row r="14" spans="1:74" s="48" customFormat="1">
      <c r="A14" s="46" t="s">
        <v>293</v>
      </c>
    </row>
    <row r="15" spans="1:74" s="26" customFormat="1">
      <c r="A15" s="17" t="s">
        <v>313</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34332204.340000004</v>
      </c>
      <c r="AD15" s="188">
        <v>62235058</v>
      </c>
      <c r="AE15" s="188">
        <v>46676294</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c r="A16" s="17" t="s">
        <v>314</v>
      </c>
      <c r="B16" s="188">
        <v>0</v>
      </c>
      <c r="C16" s="188">
        <v>0</v>
      </c>
      <c r="D16" s="188">
        <v>0</v>
      </c>
      <c r="E16" s="188">
        <v>499465.29</v>
      </c>
      <c r="F16" s="188">
        <v>3333300</v>
      </c>
      <c r="G16" s="188">
        <v>3333300</v>
      </c>
      <c r="H16" s="188">
        <v>0</v>
      </c>
      <c r="I16" s="188">
        <v>34492956.340000004</v>
      </c>
      <c r="J16" s="188">
        <v>63106940</v>
      </c>
      <c r="K16" s="188">
        <v>42082607.270000003</v>
      </c>
      <c r="L16" s="188">
        <v>29039856.34</v>
      </c>
      <c r="M16" s="188">
        <v>0</v>
      </c>
      <c r="N16" s="188">
        <v>0</v>
      </c>
      <c r="O16" s="188">
        <v>0</v>
      </c>
      <c r="P16" s="188">
        <v>0</v>
      </c>
      <c r="Q16" s="188">
        <v>5697971.4100000001</v>
      </c>
      <c r="R16" s="188">
        <v>6845328</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c r="A17" s="134" t="s">
        <v>298</v>
      </c>
      <c r="E17" s="47">
        <f>E16-E15</f>
        <v>499465.29</v>
      </c>
      <c r="F17" s="47">
        <f t="shared" ref="F17:AV17" si="54">F16-F15</f>
        <v>3333300</v>
      </c>
      <c r="G17" s="47">
        <f t="shared" si="54"/>
        <v>3333300</v>
      </c>
      <c r="H17" s="47">
        <f t="shared" si="54"/>
        <v>0</v>
      </c>
      <c r="I17" s="47">
        <f t="shared" si="54"/>
        <v>34492956.340000004</v>
      </c>
      <c r="J17" s="47">
        <f t="shared" si="54"/>
        <v>63106940</v>
      </c>
      <c r="K17" s="47">
        <f t="shared" si="54"/>
        <v>42082607.270000003</v>
      </c>
      <c r="L17" s="47">
        <f t="shared" si="54"/>
        <v>29039856.34</v>
      </c>
      <c r="M17" s="47">
        <f t="shared" si="54"/>
        <v>0</v>
      </c>
      <c r="N17" s="47">
        <f t="shared" si="54"/>
        <v>0</v>
      </c>
      <c r="O17" s="47">
        <f t="shared" si="54"/>
        <v>0</v>
      </c>
      <c r="P17" s="47">
        <f t="shared" si="54"/>
        <v>0</v>
      </c>
      <c r="Q17" s="47">
        <f t="shared" si="54"/>
        <v>5697971.4100000001</v>
      </c>
      <c r="R17" s="47">
        <f t="shared" si="54"/>
        <v>6845328</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-34332204.340000004</v>
      </c>
      <c r="AD17" s="47">
        <f t="shared" si="54"/>
        <v>-62235058</v>
      </c>
      <c r="AE17" s="47">
        <f t="shared" si="54"/>
        <v>-46676294</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c r="A18" s="46" t="s">
        <v>294</v>
      </c>
    </row>
    <row r="19" spans="1:74" s="191" customFormat="1">
      <c r="A19" s="191" t="s">
        <v>299</v>
      </c>
      <c r="E19" s="191">
        <f>E5+E17</f>
        <v>164233850.37</v>
      </c>
      <c r="F19" s="191">
        <f t="shared" ref="F19:AS19" si="55">F5+F17</f>
        <v>121657034.32000001</v>
      </c>
      <c r="G19" s="191">
        <f t="shared" si="55"/>
        <v>69699179.870000005</v>
      </c>
      <c r="H19" s="191">
        <f t="shared" si="55"/>
        <v>76795524.439999998</v>
      </c>
      <c r="I19" s="191">
        <f t="shared" si="55"/>
        <v>231027473.94999999</v>
      </c>
      <c r="J19" s="191">
        <f t="shared" si="55"/>
        <v>208050067.95000002</v>
      </c>
      <c r="K19" s="191">
        <f t="shared" si="55"/>
        <v>125741929.59999999</v>
      </c>
      <c r="L19" s="191">
        <f t="shared" si="55"/>
        <v>85705937.030000001</v>
      </c>
      <c r="M19" s="191">
        <f t="shared" si="55"/>
        <v>154889304.39000002</v>
      </c>
      <c r="N19" s="191">
        <f t="shared" si="55"/>
        <v>82671395.439999998</v>
      </c>
      <c r="O19" s="191">
        <f t="shared" si="55"/>
        <v>67912704.210000008</v>
      </c>
      <c r="P19" s="191">
        <f t="shared" si="55"/>
        <v>37297618.980000004</v>
      </c>
      <c r="Q19" s="191">
        <f t="shared" si="55"/>
        <v>136916959.16999999</v>
      </c>
      <c r="R19" s="191">
        <f t="shared" si="55"/>
        <v>84617269.909999996</v>
      </c>
      <c r="S19" s="191">
        <f t="shared" si="55"/>
        <v>71321734.959999993</v>
      </c>
      <c r="T19" s="191">
        <f t="shared" si="55"/>
        <v>30186347.829999998</v>
      </c>
      <c r="U19" s="191">
        <f t="shared" si="55"/>
        <v>145767523.09</v>
      </c>
      <c r="V19" s="191">
        <f t="shared" si="55"/>
        <v>68202821.5</v>
      </c>
      <c r="W19" s="191">
        <f t="shared" si="55"/>
        <v>39905734.230000004</v>
      </c>
      <c r="X19" s="191">
        <f t="shared" si="55"/>
        <v>19371866.359999999</v>
      </c>
      <c r="Y19" s="191">
        <f t="shared" si="55"/>
        <v>116382956.72999999</v>
      </c>
      <c r="Z19" s="191">
        <f t="shared" si="55"/>
        <v>105113983.40000001</v>
      </c>
      <c r="AA19" s="191">
        <f t="shared" si="55"/>
        <v>61637980.789999999</v>
      </c>
      <c r="AB19" s="191">
        <f t="shared" si="55"/>
        <v>32425233.559999999</v>
      </c>
      <c r="AC19" s="191">
        <f t="shared" si="55"/>
        <v>182848829.66</v>
      </c>
      <c r="AD19" s="191">
        <f t="shared" si="55"/>
        <v>87809684.159999996</v>
      </c>
      <c r="AE19" s="191">
        <f t="shared" si="55"/>
        <v>73006669.650000006</v>
      </c>
      <c r="AF19" s="191">
        <f t="shared" si="55"/>
        <v>78158254.019999996</v>
      </c>
      <c r="AG19" s="191">
        <f t="shared" si="55"/>
        <v>200243574.05000001</v>
      </c>
      <c r="AH19" s="191">
        <f t="shared" si="55"/>
        <v>130661771.31999999</v>
      </c>
      <c r="AI19" s="191">
        <f t="shared" si="55"/>
        <v>71871688.329999998</v>
      </c>
      <c r="AJ19" s="191">
        <f t="shared" si="55"/>
        <v>32883521.039999999</v>
      </c>
      <c r="AK19" s="191">
        <f t="shared" si="55"/>
        <v>118051052.56999999</v>
      </c>
      <c r="AL19" s="191">
        <f t="shared" si="55"/>
        <v>96397822.189999998</v>
      </c>
      <c r="AM19" s="191">
        <f t="shared" si="55"/>
        <v>44786720.770000003</v>
      </c>
      <c r="AN19" s="191">
        <f t="shared" si="55"/>
        <v>12709831.390000001</v>
      </c>
      <c r="AO19" s="191">
        <f t="shared" si="55"/>
        <v>156747495.10000002</v>
      </c>
      <c r="AP19" s="191">
        <f t="shared" si="55"/>
        <v>108241079.89</v>
      </c>
      <c r="AQ19" s="191">
        <f t="shared" si="55"/>
        <v>98806105.370000005</v>
      </c>
      <c r="AR19" s="191">
        <f t="shared" si="55"/>
        <v>74703802.310000002</v>
      </c>
      <c r="AS19" s="191">
        <f t="shared" si="55"/>
        <v>0</v>
      </c>
    </row>
    <row r="20" spans="1:74" s="191" customFormat="1">
      <c r="A20" s="191" t="s">
        <v>300</v>
      </c>
      <c r="B20" s="191">
        <v>313324394.80000001</v>
      </c>
      <c r="C20" s="191">
        <v>182021681.00999999</v>
      </c>
      <c r="D20" s="191">
        <v>37047812.969999999</v>
      </c>
      <c r="E20" s="191">
        <v>411962940.10000002</v>
      </c>
      <c r="F20" s="191">
        <v>239955349.46000001</v>
      </c>
      <c r="G20" s="191">
        <v>148025109.56</v>
      </c>
      <c r="H20" s="191">
        <v>100081175.03</v>
      </c>
      <c r="I20" s="191">
        <v>506528107.43000001</v>
      </c>
      <c r="J20" s="191">
        <v>397834377.94999999</v>
      </c>
      <c r="K20" s="191">
        <v>231607835.00999999</v>
      </c>
      <c r="L20" s="191">
        <v>146017224.09999999</v>
      </c>
      <c r="M20" s="191">
        <v>389634256.13999999</v>
      </c>
      <c r="N20" s="191">
        <v>309188648.60000002</v>
      </c>
      <c r="O20" s="191">
        <v>175171491.31</v>
      </c>
      <c r="P20" s="191">
        <v>70509040.489999995</v>
      </c>
      <c r="Q20" s="191">
        <v>266634293.78999999</v>
      </c>
      <c r="R20" s="191">
        <v>136203642.33000001</v>
      </c>
      <c r="S20" s="191">
        <v>100986732.22</v>
      </c>
      <c r="T20" s="191">
        <v>43924546.869999997</v>
      </c>
      <c r="U20" s="191">
        <v>268597934.04000002</v>
      </c>
      <c r="V20" s="191">
        <v>122843860.92</v>
      </c>
      <c r="W20" s="191">
        <v>109961830.09999999</v>
      </c>
      <c r="X20" s="191">
        <v>26760705.460000001</v>
      </c>
      <c r="Y20" s="191">
        <v>28519302.5</v>
      </c>
      <c r="Z20" s="191">
        <v>-12955274.6</v>
      </c>
      <c r="AA20" s="191">
        <v>-49151607.159999996</v>
      </c>
      <c r="AB20" s="191">
        <v>-77685327.200000003</v>
      </c>
      <c r="AC20" s="191">
        <v>274626291.88</v>
      </c>
      <c r="AD20" s="191">
        <v>129274059.53</v>
      </c>
      <c r="AE20" s="191">
        <v>124942208.26000001</v>
      </c>
      <c r="AF20" s="191">
        <v>46622125.670000002</v>
      </c>
      <c r="AG20" s="191">
        <v>217011545.37</v>
      </c>
      <c r="AH20" s="191">
        <v>251763804.72</v>
      </c>
      <c r="AI20" s="191">
        <v>205942179.30000001</v>
      </c>
      <c r="AJ20" s="191">
        <v>126302608.90000001</v>
      </c>
      <c r="AK20" s="191">
        <v>249269436.27000001</v>
      </c>
      <c r="AL20" s="191">
        <v>151599709.22999999</v>
      </c>
      <c r="AM20" s="191">
        <v>109943653.29000001</v>
      </c>
      <c r="AN20" s="191">
        <v>49058562.579999998</v>
      </c>
      <c r="AO20" s="191">
        <v>91758958.849999994</v>
      </c>
      <c r="AP20" s="191">
        <v>56614845.75</v>
      </c>
      <c r="AQ20" s="191">
        <v>51608092.060000002</v>
      </c>
      <c r="AR20" s="191">
        <v>29994039.989999998</v>
      </c>
      <c r="AS20" s="191">
        <v>122632735.78</v>
      </c>
      <c r="AT20" s="191">
        <v>51706666.969999999</v>
      </c>
      <c r="AU20" s="191">
        <v>54171578.590000004</v>
      </c>
      <c r="AV20" s="191">
        <v>45869256.079999998</v>
      </c>
      <c r="AW20" s="191">
        <v>78468091.319999993</v>
      </c>
      <c r="AX20" s="191">
        <v>46466956.770000003</v>
      </c>
      <c r="AY20" s="191">
        <v>29761398.41</v>
      </c>
      <c r="AZ20" s="191">
        <v>611246.42000000004</v>
      </c>
      <c r="BA20" s="191">
        <v>44086953.729999997</v>
      </c>
      <c r="BB20" s="191">
        <v>77919057.519999996</v>
      </c>
      <c r="BC20" s="191">
        <v>40496846.329999998</v>
      </c>
      <c r="BD20" s="191">
        <v>-11775125.16</v>
      </c>
      <c r="BE20" s="191">
        <v>-3698859.75</v>
      </c>
      <c r="BF20" s="191">
        <v>49665166.659999996</v>
      </c>
      <c r="BG20" s="191">
        <v>-20805085.600000001</v>
      </c>
      <c r="BH20" s="191">
        <v>-23281506.120000001</v>
      </c>
      <c r="BI20" s="191">
        <v>59348664.32</v>
      </c>
      <c r="BJ20" s="191">
        <v>31099071.09</v>
      </c>
      <c r="BK20" s="191">
        <v>7481047.8899999997</v>
      </c>
      <c r="BL20" s="191">
        <v>-20695992.199999999</v>
      </c>
      <c r="BM20" s="191">
        <v>109261606.93000001</v>
      </c>
      <c r="BN20" s="191">
        <v>35879988.640000001</v>
      </c>
      <c r="BO20" s="191">
        <v>28603697.760000002</v>
      </c>
      <c r="BP20" s="191">
        <v>0</v>
      </c>
      <c r="BQ20" s="191">
        <v>0</v>
      </c>
      <c r="BR20" s="191">
        <v>527169463.72000003</v>
      </c>
      <c r="BS20" s="191">
        <v>898446895.69000006</v>
      </c>
      <c r="BT20" s="191">
        <v>436278873.26999998</v>
      </c>
      <c r="BU20" s="191">
        <v>359005459.04000002</v>
      </c>
      <c r="BV20" s="191">
        <v>0</v>
      </c>
    </row>
    <row r="21" spans="1:74" s="219" customFormat="1">
      <c r="A21" s="219" t="s">
        <v>664</v>
      </c>
      <c r="E21" s="219">
        <f>E20/E19</f>
        <v>2.508392387877985</v>
      </c>
      <c r="F21" s="219">
        <f t="shared" ref="F21:AS21" si="56">F20/F19</f>
        <v>1.9723919031992394</v>
      </c>
      <c r="G21" s="219">
        <f t="shared" si="56"/>
        <v>2.1237711811830535</v>
      </c>
      <c r="H21" s="219">
        <f t="shared" si="56"/>
        <v>1.3032162454752552</v>
      </c>
      <c r="I21" s="219">
        <f t="shared" si="56"/>
        <v>2.1925016049806487</v>
      </c>
      <c r="J21" s="219">
        <f t="shared" si="56"/>
        <v>1.912204989260615</v>
      </c>
      <c r="K21" s="219">
        <f t="shared" si="56"/>
        <v>1.841930020851215</v>
      </c>
      <c r="L21" s="219">
        <f t="shared" si="56"/>
        <v>1.7037002238116712</v>
      </c>
      <c r="M21" s="219">
        <f t="shared" si="56"/>
        <v>2.5155659241578698</v>
      </c>
      <c r="N21" s="219">
        <f t="shared" si="56"/>
        <v>3.7399713281046321</v>
      </c>
      <c r="O21" s="219">
        <f t="shared" si="56"/>
        <v>2.5793626295359089</v>
      </c>
      <c r="P21" s="219">
        <f t="shared" si="56"/>
        <v>1.8904434765074107</v>
      </c>
      <c r="Q21" s="219">
        <f t="shared" si="56"/>
        <v>1.9474161229284919</v>
      </c>
      <c r="R21" s="219">
        <f t="shared" si="56"/>
        <v>1.6096435452818076</v>
      </c>
      <c r="S21" s="219">
        <f t="shared" si="56"/>
        <v>1.4159320756377742</v>
      </c>
      <c r="T21" s="219">
        <f t="shared" si="56"/>
        <v>1.4551129907257814</v>
      </c>
      <c r="U21" s="219">
        <f t="shared" si="56"/>
        <v>1.842645936119542</v>
      </c>
      <c r="V21" s="219">
        <f t="shared" si="56"/>
        <v>1.8011551167278321</v>
      </c>
      <c r="W21" s="219">
        <f t="shared" si="56"/>
        <v>2.7555395790045081</v>
      </c>
      <c r="X21" s="219">
        <f t="shared" si="56"/>
        <v>1.3814211270451899</v>
      </c>
      <c r="Y21" s="219">
        <f t="shared" si="56"/>
        <v>0.24504706961658237</v>
      </c>
      <c r="Z21" s="219">
        <f t="shared" si="56"/>
        <v>-0.1232497730649222</v>
      </c>
      <c r="AA21" s="219">
        <f t="shared" si="56"/>
        <v>-0.79742403190427413</v>
      </c>
      <c r="AB21" s="219">
        <f t="shared" si="56"/>
        <v>-2.3958293794939132</v>
      </c>
      <c r="AC21" s="219">
        <f t="shared" si="56"/>
        <v>1.5019308156943443</v>
      </c>
      <c r="AD21" s="219">
        <f t="shared" si="56"/>
        <v>1.4722073170704821</v>
      </c>
      <c r="AE21" s="219">
        <f t="shared" si="56"/>
        <v>1.7113807390336151</v>
      </c>
      <c r="AF21" s="219">
        <f t="shared" si="56"/>
        <v>0.59650930352243814</v>
      </c>
      <c r="AG21" s="219">
        <f t="shared" si="56"/>
        <v>1.0837378747335638</v>
      </c>
      <c r="AH21" s="219">
        <f t="shared" si="56"/>
        <v>1.9268359993636739</v>
      </c>
      <c r="AI21" s="219">
        <f t="shared" si="56"/>
        <v>2.8654145197537759</v>
      </c>
      <c r="AJ21" s="219">
        <f t="shared" si="56"/>
        <v>3.8409089083362957</v>
      </c>
      <c r="AK21" s="219">
        <f t="shared" si="56"/>
        <v>2.1115392945962279</v>
      </c>
      <c r="AL21" s="219">
        <f t="shared" si="56"/>
        <v>1.5726466198706972</v>
      </c>
      <c r="AM21" s="219">
        <f t="shared" si="56"/>
        <v>2.4548270424756082</v>
      </c>
      <c r="AN21" s="219">
        <f t="shared" si="56"/>
        <v>3.8598909045008187</v>
      </c>
      <c r="AO21" s="219">
        <f t="shared" si="56"/>
        <v>0.58539346221424871</v>
      </c>
      <c r="AP21" s="219">
        <f t="shared" si="56"/>
        <v>0.52304398484877312</v>
      </c>
      <c r="AQ21" s="219">
        <f t="shared" si="56"/>
        <v>0.52231683322344069</v>
      </c>
      <c r="AR21" s="219">
        <f t="shared" si="56"/>
        <v>0.40150620266332732</v>
      </c>
      <c r="AS21" s="219" t="e">
        <f t="shared" si="56"/>
        <v>#DIV/0!</v>
      </c>
    </row>
    <row r="22" spans="1:74" s="191" customFormat="1">
      <c r="A22" s="191" t="s">
        <v>301</v>
      </c>
      <c r="E22" s="191">
        <f>I35</f>
        <v>1100494733.4599998</v>
      </c>
      <c r="F22" s="191">
        <f t="shared" ref="F22:Y22" si="57">J35</f>
        <v>361686005.29000002</v>
      </c>
      <c r="G22" s="191">
        <f t="shared" si="57"/>
        <v>419881508.20999998</v>
      </c>
      <c r="H22" s="191">
        <f t="shared" si="57"/>
        <v>393338883.75999999</v>
      </c>
      <c r="I22" s="191">
        <f t="shared" si="57"/>
        <v>337494656.02999997</v>
      </c>
      <c r="J22" s="191">
        <f t="shared" si="57"/>
        <v>332145862.62</v>
      </c>
      <c r="K22" s="191">
        <f t="shared" si="57"/>
        <v>314250712.41000003</v>
      </c>
      <c r="L22" s="191">
        <f t="shared" si="57"/>
        <v>283934973.67000002</v>
      </c>
      <c r="M22" s="191">
        <f t="shared" si="57"/>
        <v>253352750.41999999</v>
      </c>
      <c r="N22" s="191">
        <f t="shared" si="57"/>
        <v>255971099.25</v>
      </c>
      <c r="O22" s="191">
        <f t="shared" si="57"/>
        <v>219856542.07999998</v>
      </c>
      <c r="P22" s="191">
        <f t="shared" si="57"/>
        <v>186058877.06</v>
      </c>
      <c r="Q22" s="191">
        <f t="shared" si="57"/>
        <v>174641016.42000002</v>
      </c>
      <c r="R22" s="191">
        <f t="shared" si="57"/>
        <v>143914067.59999999</v>
      </c>
      <c r="S22" s="191">
        <f t="shared" si="57"/>
        <v>189290605.87</v>
      </c>
      <c r="T22" s="191">
        <f t="shared" si="57"/>
        <v>159140119.44999999</v>
      </c>
      <c r="U22" s="191">
        <f t="shared" si="57"/>
        <v>153988709.44</v>
      </c>
      <c r="V22" s="191">
        <f t="shared" si="57"/>
        <v>122325353.25999999</v>
      </c>
      <c r="W22" s="191">
        <f t="shared" si="57"/>
        <v>124294734.5</v>
      </c>
      <c r="X22" s="191">
        <f t="shared" si="57"/>
        <v>102705554.34999999</v>
      </c>
      <c r="Y22" s="191">
        <f t="shared" si="57"/>
        <v>213982183.17999998</v>
      </c>
      <c r="Z22" s="191">
        <f t="shared" ref="Z22" si="58">AD35</f>
        <v>163765507.37</v>
      </c>
      <c r="AA22" s="191">
        <f t="shared" ref="AA22" si="59">AE35</f>
        <v>150360665.75</v>
      </c>
      <c r="AB22" s="191">
        <f t="shared" ref="AB22" si="60">AF35</f>
        <v>210114535.74000001</v>
      </c>
      <c r="AC22" s="191">
        <f t="shared" ref="AC22" si="61">AG35</f>
        <v>253436369.31</v>
      </c>
      <c r="AD22" s="191">
        <f t="shared" ref="AD22" si="62">AH35</f>
        <v>334655631.16999996</v>
      </c>
      <c r="AE22" s="191">
        <f t="shared" ref="AE22" si="63">AI35</f>
        <v>370255688.11000001</v>
      </c>
      <c r="AF22" s="191">
        <f t="shared" ref="AF22" si="64">AJ35</f>
        <v>287017103.44</v>
      </c>
      <c r="AG22" s="191">
        <f t="shared" ref="AG22" si="65">AK35</f>
        <v>249385187.75</v>
      </c>
      <c r="AH22" s="191">
        <f t="shared" ref="AH22" si="66">AL35</f>
        <v>173707631.45999998</v>
      </c>
      <c r="AI22" s="191">
        <f t="shared" ref="AI22" si="67">AM35</f>
        <v>164500410.5</v>
      </c>
      <c r="AJ22" s="191">
        <f t="shared" ref="AJ22" si="68">AN35</f>
        <v>187146473.18000001</v>
      </c>
      <c r="AK22" s="191">
        <f t="shared" ref="AK22" si="69">AO35</f>
        <v>138571586.28999999</v>
      </c>
      <c r="AL22" s="191">
        <f t="shared" ref="AL22" si="70">AP35</f>
        <v>135624400.82999998</v>
      </c>
      <c r="AM22" s="191">
        <f t="shared" ref="AM22" si="71">AQ35</f>
        <v>156358330.59</v>
      </c>
      <c r="AN22" s="191">
        <f t="shared" ref="AN22" si="72">AR35</f>
        <v>160031696.38</v>
      </c>
      <c r="AO22" s="191">
        <f t="shared" ref="AO22" si="73">AS35</f>
        <v>207492342.90000004</v>
      </c>
      <c r="AP22" s="191">
        <f t="shared" ref="AP22" si="74">AT35</f>
        <v>264196012.17000002</v>
      </c>
      <c r="AQ22" s="191">
        <f t="shared" ref="AQ22" si="75">AU35</f>
        <v>290893946.83000004</v>
      </c>
      <c r="AR22" s="191">
        <f t="shared" ref="AR22" si="76">AV35</f>
        <v>303919334.33999997</v>
      </c>
      <c r="AS22" s="191">
        <f t="shared" ref="AS22" si="77">AW35</f>
        <v>111506005.08000001</v>
      </c>
    </row>
    <row r="23" spans="1:74" s="191" customFormat="1">
      <c r="A23" s="191" t="s">
        <v>302</v>
      </c>
      <c r="E23" s="191">
        <f>E20+E22-E19</f>
        <v>1348223823.1900001</v>
      </c>
      <c r="F23" s="191">
        <f t="shared" ref="F23:AS23" si="78">F20+F22-F19</f>
        <v>479984320.43000001</v>
      </c>
      <c r="G23" s="191">
        <f t="shared" si="78"/>
        <v>498207437.89999998</v>
      </c>
      <c r="H23" s="191">
        <f t="shared" si="78"/>
        <v>416624534.34999996</v>
      </c>
      <c r="I23" s="191">
        <f t="shared" si="78"/>
        <v>612995289.50999999</v>
      </c>
      <c r="J23" s="191">
        <f t="shared" si="78"/>
        <v>521930172.61999989</v>
      </c>
      <c r="K23" s="191">
        <f t="shared" si="78"/>
        <v>420116617.82000005</v>
      </c>
      <c r="L23" s="191">
        <f t="shared" si="78"/>
        <v>344246260.74000001</v>
      </c>
      <c r="M23" s="191">
        <f t="shared" si="78"/>
        <v>488097702.16999996</v>
      </c>
      <c r="N23" s="191">
        <f t="shared" si="78"/>
        <v>482488352.41000003</v>
      </c>
      <c r="O23" s="191">
        <f t="shared" si="78"/>
        <v>327115329.17999995</v>
      </c>
      <c r="P23" s="191">
        <f t="shared" si="78"/>
        <v>219270298.56999999</v>
      </c>
      <c r="Q23" s="191">
        <f t="shared" si="78"/>
        <v>304358351.04000008</v>
      </c>
      <c r="R23" s="191">
        <f t="shared" si="78"/>
        <v>195500440.02000001</v>
      </c>
      <c r="S23" s="191">
        <f t="shared" si="78"/>
        <v>218955603.13000005</v>
      </c>
      <c r="T23" s="191">
        <f t="shared" si="78"/>
        <v>172878318.49000001</v>
      </c>
      <c r="U23" s="191">
        <f t="shared" si="78"/>
        <v>276819120.38999999</v>
      </c>
      <c r="V23" s="191">
        <f t="shared" si="78"/>
        <v>176966392.68000001</v>
      </c>
      <c r="W23" s="191">
        <f t="shared" si="78"/>
        <v>194350830.37</v>
      </c>
      <c r="X23" s="191">
        <f t="shared" si="78"/>
        <v>110094393.45</v>
      </c>
      <c r="Y23" s="191">
        <f t="shared" si="78"/>
        <v>126118528.94999999</v>
      </c>
      <c r="Z23" s="191">
        <f t="shared" si="78"/>
        <v>45696249.370000005</v>
      </c>
      <c r="AA23" s="191">
        <f t="shared" si="78"/>
        <v>39571077.800000004</v>
      </c>
      <c r="AB23" s="191">
        <f t="shared" si="78"/>
        <v>100003974.98</v>
      </c>
      <c r="AC23" s="191">
        <f t="shared" si="78"/>
        <v>345213831.52999997</v>
      </c>
      <c r="AD23" s="191">
        <f t="shared" si="78"/>
        <v>376120006.53999996</v>
      </c>
      <c r="AE23" s="191">
        <f t="shared" si="78"/>
        <v>422191226.72000003</v>
      </c>
      <c r="AF23" s="191">
        <f t="shared" si="78"/>
        <v>255480975.09000003</v>
      </c>
      <c r="AG23" s="191">
        <f t="shared" si="78"/>
        <v>266153159.06999999</v>
      </c>
      <c r="AH23" s="191">
        <f t="shared" si="78"/>
        <v>294809664.85999995</v>
      </c>
      <c r="AI23" s="191">
        <f t="shared" si="78"/>
        <v>298570901.47000003</v>
      </c>
      <c r="AJ23" s="191">
        <f t="shared" si="78"/>
        <v>280565561.04000002</v>
      </c>
      <c r="AK23" s="191">
        <f t="shared" si="78"/>
        <v>269789969.99000001</v>
      </c>
      <c r="AL23" s="191">
        <f t="shared" si="78"/>
        <v>190826287.86999995</v>
      </c>
      <c r="AM23" s="191">
        <f t="shared" si="78"/>
        <v>221515263.10999998</v>
      </c>
      <c r="AN23" s="191">
        <f t="shared" si="78"/>
        <v>196380427.56999999</v>
      </c>
      <c r="AO23" s="191">
        <f t="shared" si="78"/>
        <v>142503806.64999998</v>
      </c>
      <c r="AP23" s="191">
        <f t="shared" si="78"/>
        <v>212569778.03000003</v>
      </c>
      <c r="AQ23" s="191">
        <f t="shared" si="78"/>
        <v>243695933.52000004</v>
      </c>
      <c r="AR23" s="191">
        <f t="shared" si="78"/>
        <v>259209572.01999998</v>
      </c>
      <c r="AS23" s="191">
        <f t="shared" si="78"/>
        <v>234138740.86000001</v>
      </c>
    </row>
    <row r="24" spans="1:74" s="219" customFormat="1">
      <c r="A24" s="219" t="s">
        <v>303</v>
      </c>
      <c r="B24" s="188">
        <v>-100349874.58</v>
      </c>
      <c r="C24" s="188">
        <v>-9325939.7200000007</v>
      </c>
      <c r="D24" s="188">
        <v>109647.6</v>
      </c>
      <c r="E24" s="188">
        <v>-59066799.079999998</v>
      </c>
      <c r="F24" s="188">
        <v>-47518491.289999999</v>
      </c>
      <c r="G24" s="188">
        <v>-2376685.79</v>
      </c>
      <c r="H24" s="188">
        <v>-559976.35</v>
      </c>
      <c r="I24" s="188">
        <v>532075653.13</v>
      </c>
      <c r="J24" s="188">
        <v>-129906292.61</v>
      </c>
      <c r="K24" s="188">
        <v>-59086717.229999997</v>
      </c>
      <c r="L24" s="188">
        <v>8854322.75</v>
      </c>
      <c r="M24" s="188">
        <v>-157989176.72999999</v>
      </c>
      <c r="N24" s="188">
        <v>-101016328.92</v>
      </c>
      <c r="O24" s="188">
        <v>2285760.5099999998</v>
      </c>
      <c r="P24" s="188">
        <v>30561306.329999998</v>
      </c>
      <c r="Q24" s="188">
        <v>-32503373.629999999</v>
      </c>
      <c r="R24" s="188">
        <v>-1262740.77</v>
      </c>
      <c r="S24" s="188">
        <v>-13893591.5</v>
      </c>
      <c r="T24" s="188">
        <v>-31007324.940000001</v>
      </c>
      <c r="U24" s="188">
        <v>-68313141.379999995</v>
      </c>
      <c r="V24" s="188">
        <v>-61039685.07</v>
      </c>
      <c r="W24" s="188">
        <v>-32274560.629999999</v>
      </c>
      <c r="X24" s="188">
        <v>-1924415.63</v>
      </c>
      <c r="Y24" s="188">
        <v>29293398.370000001</v>
      </c>
      <c r="Z24" s="188">
        <v>27308520.510000002</v>
      </c>
      <c r="AA24" s="188">
        <v>21702500.440000001</v>
      </c>
      <c r="AB24" s="188">
        <v>-867986.12</v>
      </c>
      <c r="AC24" s="188">
        <v>-129047572.78</v>
      </c>
      <c r="AD24" s="188">
        <v>-130196196.93000001</v>
      </c>
      <c r="AE24" s="188">
        <v>-154385215.25</v>
      </c>
      <c r="AF24" s="188">
        <v>-11472691.76</v>
      </c>
      <c r="AG24" s="188">
        <v>-10205751.23</v>
      </c>
      <c r="AH24" s="188">
        <v>-34898349.469999999</v>
      </c>
      <c r="AI24" s="188">
        <v>-12579763.560000001</v>
      </c>
      <c r="AJ24" s="188">
        <v>-55476610.5</v>
      </c>
      <c r="AK24" s="188">
        <v>-23954761.16</v>
      </c>
      <c r="AL24" s="188">
        <v>-13846638.689999999</v>
      </c>
      <c r="AM24" s="188">
        <v>-33320138.82</v>
      </c>
      <c r="AN24" s="188">
        <v>12332212.52</v>
      </c>
      <c r="AO24" s="188">
        <v>-2816340.99</v>
      </c>
      <c r="AP24" s="188">
        <v>-19314647.859999999</v>
      </c>
      <c r="AQ24" s="188">
        <v>-3314978.12</v>
      </c>
      <c r="AR24" s="188">
        <v>-2440373.7599999998</v>
      </c>
      <c r="AS24" s="188">
        <v>96653986.209999993</v>
      </c>
      <c r="AT24" s="188">
        <v>128414405.87</v>
      </c>
      <c r="AU24" s="188">
        <v>137874885.83000001</v>
      </c>
      <c r="AV24" s="188">
        <v>172659635</v>
      </c>
      <c r="AW24" s="188">
        <v>-25368884.379999999</v>
      </c>
      <c r="AX24" s="188">
        <v>-7729448.8099999996</v>
      </c>
      <c r="AY24" s="188">
        <v>-23876508.649999999</v>
      </c>
      <c r="AZ24" s="188">
        <v>-8968981.6699999999</v>
      </c>
      <c r="BA24" s="188">
        <v>81409587.650000006</v>
      </c>
      <c r="BB24" s="188">
        <v>-16946808</v>
      </c>
      <c r="BC24" s="188">
        <v>-27902770.489999998</v>
      </c>
      <c r="BD24" s="188">
        <v>-1702909.86</v>
      </c>
      <c r="BE24" s="188">
        <v>74885322.439999998</v>
      </c>
      <c r="BF24" s="188">
        <v>42788436.530000001</v>
      </c>
      <c r="BG24" s="188">
        <v>64689018.530000001</v>
      </c>
      <c r="BH24" s="188">
        <v>39096965.280000001</v>
      </c>
      <c r="BI24" s="188">
        <v>-23034906.09</v>
      </c>
      <c r="BJ24" s="188">
        <v>-20319375.210000001</v>
      </c>
      <c r="BK24" s="188">
        <v>-13547779.140000001</v>
      </c>
      <c r="BL24" s="188">
        <v>-1518386.83</v>
      </c>
      <c r="BM24" s="188">
        <v>370786247</v>
      </c>
      <c r="BN24" s="188">
        <v>394965909.89999998</v>
      </c>
      <c r="BO24" s="188">
        <v>15050333.890000001</v>
      </c>
      <c r="BP24" s="188">
        <v>0</v>
      </c>
      <c r="BQ24" s="188">
        <v>0</v>
      </c>
      <c r="BR24" s="191">
        <v>4623692.53</v>
      </c>
      <c r="BS24" s="191">
        <v>-400000000</v>
      </c>
      <c r="BT24" s="191">
        <v>-237866348.78</v>
      </c>
      <c r="BU24" s="191">
        <v>1108113819.7</v>
      </c>
      <c r="BV24" s="191">
        <v>0</v>
      </c>
    </row>
    <row r="25" spans="1:74" s="240" customFormat="1" ht="138.6" customHeight="1">
      <c r="A25" s="273" t="s">
        <v>739</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c r="A26" s="17" t="s">
        <v>628</v>
      </c>
      <c r="E26" s="26">
        <f>现金流量表!E15</f>
        <v>562000000</v>
      </c>
      <c r="F26" s="26">
        <f>现金流量表!F15</f>
        <v>1518000000</v>
      </c>
      <c r="G26" s="26">
        <f>现金流量表!G15</f>
        <v>765000000</v>
      </c>
      <c r="H26" s="26">
        <f>现金流量表!H15</f>
        <v>160000000</v>
      </c>
      <c r="I26" s="26">
        <f>现金流量表!I15</f>
        <v>272000000</v>
      </c>
      <c r="J26" s="26">
        <f>现金流量表!J15</f>
        <v>261000000</v>
      </c>
      <c r="K26" s="26">
        <f>现金流量表!K15</f>
        <v>221000000</v>
      </c>
      <c r="L26" s="26">
        <f>现金流量表!L15</f>
        <v>0</v>
      </c>
      <c r="M26" s="26">
        <f>现金流量表!M15</f>
        <v>272000000</v>
      </c>
      <c r="N26" s="26">
        <f>现金流量表!N15</f>
        <v>172000000</v>
      </c>
      <c r="O26" s="26">
        <f>现金流量表!O15</f>
        <v>122000000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11953419.17</v>
      </c>
      <c r="AL26" s="26">
        <f>现金流量表!AL15</f>
        <v>6466048.1900000004</v>
      </c>
      <c r="AM26" s="26">
        <f>现金流量表!AM15</f>
        <v>6466048.1900000004</v>
      </c>
      <c r="AN26" s="26">
        <f>现金流量表!AN15</f>
        <v>0</v>
      </c>
      <c r="AO26" s="26">
        <f>现金流量表!AO15</f>
        <v>2609344.85</v>
      </c>
      <c r="AP26" s="26">
        <f>现金流量表!AP15</f>
        <v>0</v>
      </c>
      <c r="AQ26" s="26">
        <f>现金流量表!AQ15</f>
        <v>0</v>
      </c>
      <c r="AR26" s="26">
        <f>现金流量表!AR15</f>
        <v>0</v>
      </c>
      <c r="AS26" s="26">
        <f>现金流量表!AS15</f>
        <v>11479958.039999999</v>
      </c>
      <c r="AT26" s="26">
        <f>现金流量表!AT15</f>
        <v>29291260.710000001</v>
      </c>
      <c r="AU26" s="26">
        <f>现金流量表!AU15</f>
        <v>29291260.710000001</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2816495.9</v>
      </c>
      <c r="BN26" s="26">
        <f>现金流量表!BN15</f>
        <v>0</v>
      </c>
      <c r="BO26" s="26">
        <f>现金流量表!BO15</f>
        <v>15000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c r="A27" s="17" t="s">
        <v>629</v>
      </c>
      <c r="E27" s="26">
        <f>现金流量表!E22</f>
        <v>882176000</v>
      </c>
      <c r="F27" s="26">
        <f>现金流量表!F22</f>
        <v>1428000000</v>
      </c>
      <c r="G27" s="26">
        <f>现金流量表!G22</f>
        <v>685000000</v>
      </c>
      <c r="H27" s="26">
        <f>现金流量表!H22</f>
        <v>0</v>
      </c>
      <c r="I27" s="26">
        <f>现金流量表!I22</f>
        <v>370673840</v>
      </c>
      <c r="J27" s="26">
        <f>现金流量表!J22</f>
        <v>306000000</v>
      </c>
      <c r="K27" s="26">
        <f>现金流量表!K22</f>
        <v>205000000</v>
      </c>
      <c r="L27" s="26">
        <f>现金流量表!L22</f>
        <v>0</v>
      </c>
      <c r="M27" s="26">
        <f>现金流量表!M22</f>
        <v>242000000</v>
      </c>
      <c r="N27" s="26">
        <f>现金流量表!N22</f>
        <v>242000000</v>
      </c>
      <c r="O27" s="26">
        <f>现金流量表!O22</f>
        <v>192000000</v>
      </c>
      <c r="P27" s="26">
        <f>现金流量表!P22</f>
        <v>0</v>
      </c>
      <c r="Q27" s="26">
        <f>现金流量表!Q22</f>
        <v>30000000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10880231.800000001</v>
      </c>
      <c r="AX27" s="26">
        <f>现金流量表!AX22</f>
        <v>9630203</v>
      </c>
      <c r="AY27" s="26">
        <f>现金流量表!AY22</f>
        <v>1760000</v>
      </c>
      <c r="AZ27" s="26">
        <f>现金流量表!AZ22</f>
        <v>0</v>
      </c>
      <c r="BA27" s="26">
        <f>现金流量表!BA22</f>
        <v>14330906.380000001</v>
      </c>
      <c r="BB27" s="26">
        <f>现金流量表!BB22</f>
        <v>0</v>
      </c>
      <c r="BC27" s="26">
        <f>现金流量表!BC22</f>
        <v>0</v>
      </c>
      <c r="BD27" s="26">
        <f>现金流量表!BD22</f>
        <v>0</v>
      </c>
      <c r="BE27" s="26">
        <f>现金流量表!BE22</f>
        <v>23764466.120000001</v>
      </c>
      <c r="BF27" s="26">
        <f>现金流量表!BF22</f>
        <v>9904466.1199999992</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c r="A28" s="17" t="s">
        <v>630</v>
      </c>
      <c r="E28" s="26">
        <f>E27-E26</f>
        <v>320176000</v>
      </c>
      <c r="F28" s="26">
        <f t="shared" ref="F28:BQ28" si="79">F27-F26</f>
        <v>-90000000</v>
      </c>
      <c r="G28" s="26">
        <f t="shared" si="79"/>
        <v>-80000000</v>
      </c>
      <c r="H28" s="26">
        <f t="shared" si="79"/>
        <v>-160000000</v>
      </c>
      <c r="I28" s="26">
        <f t="shared" si="79"/>
        <v>98673840</v>
      </c>
      <c r="J28" s="26">
        <f t="shared" si="79"/>
        <v>45000000</v>
      </c>
      <c r="K28" s="26">
        <f t="shared" si="79"/>
        <v>-16000000</v>
      </c>
      <c r="L28" s="26">
        <f t="shared" si="79"/>
        <v>0</v>
      </c>
      <c r="M28" s="26">
        <f t="shared" si="79"/>
        <v>-30000000</v>
      </c>
      <c r="N28" s="26">
        <f t="shared" si="79"/>
        <v>70000000</v>
      </c>
      <c r="O28" s="26">
        <f t="shared" si="79"/>
        <v>70000000</v>
      </c>
      <c r="P28" s="26">
        <f t="shared" si="79"/>
        <v>0</v>
      </c>
      <c r="Q28" s="26">
        <f t="shared" si="79"/>
        <v>30000000</v>
      </c>
      <c r="R28" s="26">
        <f t="shared" si="79"/>
        <v>0</v>
      </c>
      <c r="S28" s="26">
        <f t="shared" si="79"/>
        <v>0</v>
      </c>
      <c r="T28" s="26">
        <f t="shared" si="79"/>
        <v>0</v>
      </c>
      <c r="U28" s="26">
        <f t="shared" si="79"/>
        <v>0</v>
      </c>
      <c r="V28" s="26">
        <f t="shared" si="79"/>
        <v>0</v>
      </c>
      <c r="W28" s="26">
        <f t="shared" si="79"/>
        <v>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-11953419.17</v>
      </c>
      <c r="AL28" s="26">
        <f t="shared" si="79"/>
        <v>-6466048.1900000004</v>
      </c>
      <c r="AM28" s="26">
        <f t="shared" si="79"/>
        <v>-6466048.1900000004</v>
      </c>
      <c r="AN28" s="26">
        <f t="shared" si="79"/>
        <v>0</v>
      </c>
      <c r="AO28" s="26">
        <f t="shared" si="79"/>
        <v>-2609344.85</v>
      </c>
      <c r="AP28" s="26">
        <f t="shared" si="79"/>
        <v>0</v>
      </c>
      <c r="AQ28" s="26">
        <f t="shared" si="79"/>
        <v>0</v>
      </c>
      <c r="AR28" s="26">
        <f t="shared" si="79"/>
        <v>0</v>
      </c>
      <c r="AS28" s="26">
        <f t="shared" si="79"/>
        <v>-11479958.039999999</v>
      </c>
      <c r="AT28" s="26">
        <f t="shared" si="79"/>
        <v>-29291260.710000001</v>
      </c>
      <c r="AU28" s="26">
        <f t="shared" si="79"/>
        <v>-29291260.710000001</v>
      </c>
      <c r="AV28" s="26">
        <f t="shared" si="79"/>
        <v>0</v>
      </c>
      <c r="AW28" s="26">
        <f t="shared" si="79"/>
        <v>10880231.800000001</v>
      </c>
      <c r="AX28" s="26">
        <f t="shared" si="79"/>
        <v>9630203</v>
      </c>
      <c r="AY28" s="26">
        <f t="shared" si="79"/>
        <v>1760000</v>
      </c>
      <c r="AZ28" s="26">
        <f t="shared" si="79"/>
        <v>0</v>
      </c>
      <c r="BA28" s="26">
        <f t="shared" si="79"/>
        <v>14330906.380000001</v>
      </c>
      <c r="BB28" s="26">
        <f t="shared" si="79"/>
        <v>0</v>
      </c>
      <c r="BC28" s="26">
        <f t="shared" si="79"/>
        <v>0</v>
      </c>
      <c r="BD28" s="26">
        <f t="shared" si="79"/>
        <v>0</v>
      </c>
      <c r="BE28" s="26">
        <f t="shared" si="79"/>
        <v>23764466.120000001</v>
      </c>
      <c r="BF28" s="26">
        <f t="shared" si="79"/>
        <v>9904466.1199999992</v>
      </c>
      <c r="BG28" s="26">
        <f t="shared" si="79"/>
        <v>0</v>
      </c>
      <c r="BH28" s="26">
        <f t="shared" si="79"/>
        <v>0</v>
      </c>
      <c r="BI28" s="26">
        <f t="shared" si="79"/>
        <v>0</v>
      </c>
      <c r="BJ28" s="26">
        <f t="shared" si="79"/>
        <v>0</v>
      </c>
      <c r="BK28" s="26">
        <f t="shared" si="79"/>
        <v>0</v>
      </c>
      <c r="BL28" s="26">
        <f t="shared" si="79"/>
        <v>0</v>
      </c>
      <c r="BM28" s="26">
        <f t="shared" si="79"/>
        <v>-2816495.9</v>
      </c>
      <c r="BN28" s="26">
        <f t="shared" si="79"/>
        <v>0</v>
      </c>
      <c r="BO28" s="26">
        <f t="shared" si="79"/>
        <v>-15000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149999999999999" customHeight="1">
      <c r="A29" s="179" t="s">
        <v>631</v>
      </c>
      <c r="E29" s="180" t="e">
        <f>POWER(E28/U28,1/5)-1</f>
        <v>#DIV/0!</v>
      </c>
    </row>
    <row r="30" spans="1:74" s="30" customFormat="1" ht="15" customHeight="1" thickBot="1">
      <c r="A30" s="135"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25569</v>
      </c>
      <c r="BR30" s="1">
        <v>36707</v>
      </c>
      <c r="BS30" s="1">
        <v>36525</v>
      </c>
      <c r="BT30" s="1">
        <v>36341</v>
      </c>
      <c r="BU30" s="1">
        <v>36160</v>
      </c>
      <c r="BV30" s="1">
        <v>25569</v>
      </c>
    </row>
    <row r="31" spans="1:74" s="51" customFormat="1" ht="17.45" customHeight="1">
      <c r="A31" s="110" t="s">
        <v>310</v>
      </c>
      <c r="B31" s="188">
        <v>1535049355.8399999</v>
      </c>
      <c r="C31" s="188">
        <v>1472431580.23</v>
      </c>
      <c r="D31" s="188">
        <v>1459257731.1199999</v>
      </c>
      <c r="E31" s="188">
        <v>1430117387.1800001</v>
      </c>
      <c r="F31" s="188">
        <v>1430744061.4100001</v>
      </c>
      <c r="G31" s="188">
        <v>1414180740.74</v>
      </c>
      <c r="H31" s="188">
        <v>1426772469.22</v>
      </c>
      <c r="I31" s="188">
        <v>1400846408.98</v>
      </c>
      <c r="J31" s="188">
        <v>1429048969.8599999</v>
      </c>
      <c r="K31" s="188">
        <v>1423883637.8</v>
      </c>
      <c r="L31" s="188">
        <v>1406015721.28</v>
      </c>
      <c r="M31" s="188">
        <v>1341889010.0699999</v>
      </c>
      <c r="N31" s="188">
        <v>1323085245.71</v>
      </c>
      <c r="O31" s="188">
        <v>1292233664.47</v>
      </c>
      <c r="P31" s="188">
        <v>1291587398.03</v>
      </c>
      <c r="Q31" s="188">
        <v>1291776633.25</v>
      </c>
      <c r="R31" s="188">
        <v>1265736800.5799999</v>
      </c>
      <c r="S31" s="188">
        <v>1262305125.3699999</v>
      </c>
      <c r="T31" s="188">
        <v>1269497260.8</v>
      </c>
      <c r="U31" s="188">
        <v>1280998904.8499999</v>
      </c>
      <c r="V31" s="188">
        <v>1271017945.0699999</v>
      </c>
      <c r="W31" s="188">
        <v>1269584085.6600001</v>
      </c>
      <c r="X31" s="188">
        <v>1272467519.8900001</v>
      </c>
      <c r="Y31" s="188">
        <v>1284183058.6300001</v>
      </c>
      <c r="Z31" s="188">
        <v>1270866245.1600001</v>
      </c>
      <c r="AA31" s="188">
        <v>1255061808.8800001</v>
      </c>
      <c r="AB31" s="188">
        <v>1256616941.95</v>
      </c>
      <c r="AC31" s="188">
        <v>1254307460.1600001</v>
      </c>
      <c r="AD31" s="188">
        <v>1127492906.73</v>
      </c>
      <c r="AE31" s="188">
        <v>1102316142.3900001</v>
      </c>
      <c r="AF31" s="188">
        <v>1055204305.84</v>
      </c>
      <c r="AG31" s="188">
        <v>1052675983.63</v>
      </c>
      <c r="AH31" s="188">
        <v>1012204320.54</v>
      </c>
      <c r="AI31" s="188">
        <v>977084641.95000005</v>
      </c>
      <c r="AJ31" s="188">
        <v>965558781.37</v>
      </c>
      <c r="AK31" s="188">
        <v>945751470.53999996</v>
      </c>
      <c r="AL31" s="188">
        <v>946974396.79999995</v>
      </c>
      <c r="AM31" s="188">
        <v>930003513.78999996</v>
      </c>
      <c r="AN31" s="188">
        <v>915082500.50999999</v>
      </c>
      <c r="AO31" s="188">
        <v>926611528.58000004</v>
      </c>
      <c r="AP31" s="188">
        <v>924000528.88</v>
      </c>
      <c r="AQ31" s="188">
        <v>920078146.78999996</v>
      </c>
      <c r="AR31" s="188">
        <v>904388967.69000006</v>
      </c>
      <c r="AS31" s="188">
        <v>846124706.51999998</v>
      </c>
      <c r="AT31" s="188">
        <v>847101269.62</v>
      </c>
      <c r="AU31" s="188">
        <v>830753996.55999994</v>
      </c>
      <c r="AV31" s="188">
        <v>839908450.45000005</v>
      </c>
      <c r="AW31" s="188">
        <v>774559494.41999996</v>
      </c>
      <c r="AX31" s="188">
        <v>723958896.88</v>
      </c>
      <c r="AY31" s="188">
        <v>725165689.28999996</v>
      </c>
      <c r="AZ31" s="188">
        <v>710035227.82000005</v>
      </c>
      <c r="BA31" s="188">
        <v>708751620.94000006</v>
      </c>
      <c r="BB31" s="188">
        <v>688462866.96000004</v>
      </c>
      <c r="BC31" s="188">
        <v>677890207.51999998</v>
      </c>
      <c r="BD31" s="188">
        <v>691957451.38</v>
      </c>
      <c r="BE31" s="188">
        <v>665589525.48000002</v>
      </c>
      <c r="BF31" s="188">
        <v>685580977.60000002</v>
      </c>
      <c r="BG31" s="188">
        <v>624633495.08000004</v>
      </c>
      <c r="BH31" s="188">
        <v>570324400.86000001</v>
      </c>
      <c r="BI31" s="188">
        <v>551457183.10000002</v>
      </c>
      <c r="BJ31" s="188">
        <v>481348026.64999998</v>
      </c>
      <c r="BK31" s="188">
        <v>414219579.52999997</v>
      </c>
      <c r="BL31" s="188">
        <v>326798982.25</v>
      </c>
      <c r="BM31" s="188">
        <v>301836134.22000003</v>
      </c>
      <c r="BN31" s="188">
        <v>242579031.93000001</v>
      </c>
      <c r="BO31" s="188">
        <v>219401133.18000001</v>
      </c>
      <c r="BP31" s="188">
        <v>195781863.68000001</v>
      </c>
      <c r="BQ31" s="188">
        <v>149752088.33000001</v>
      </c>
      <c r="BR31" s="188">
        <v>0</v>
      </c>
      <c r="BS31" s="188">
        <v>3540915525.1199999</v>
      </c>
      <c r="BT31" s="188">
        <v>1786934979.5599999</v>
      </c>
      <c r="BU31" s="188">
        <v>1665815375.1099999</v>
      </c>
      <c r="BV31" s="188">
        <v>1686369507.6900001</v>
      </c>
    </row>
    <row r="32" spans="1:74" s="54" customFormat="1" ht="15" customHeight="1">
      <c r="A32" s="136" t="s">
        <v>311</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2015456.33</v>
      </c>
      <c r="AU32" s="188">
        <v>2015456.33</v>
      </c>
      <c r="AV32" s="188">
        <v>2015456.33</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s="54" customFormat="1" ht="19.149999999999999" customHeight="1">
      <c r="A33" s="136" t="s">
        <v>312</v>
      </c>
      <c r="B33" s="188">
        <v>50000</v>
      </c>
      <c r="C33" s="188">
        <v>50000</v>
      </c>
      <c r="D33" s="188">
        <v>50000</v>
      </c>
      <c r="E33" s="188">
        <v>50000</v>
      </c>
      <c r="F33" s="188">
        <v>50000</v>
      </c>
      <c r="G33" s="188">
        <v>50000</v>
      </c>
      <c r="H33" s="188">
        <v>50000</v>
      </c>
      <c r="I33" s="188">
        <v>50000</v>
      </c>
      <c r="J33" s="188">
        <v>50000</v>
      </c>
      <c r="K33" s="188">
        <v>50000</v>
      </c>
      <c r="L33" s="188">
        <v>50000</v>
      </c>
      <c r="M33" s="188">
        <v>50000</v>
      </c>
      <c r="N33" s="188">
        <v>50000</v>
      </c>
      <c r="O33" s="188">
        <v>50000</v>
      </c>
      <c r="P33" s="188">
        <v>50000</v>
      </c>
      <c r="Q33" s="188">
        <v>50000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s="44" customFormat="1" ht="14.25" thickBot="1">
      <c r="A34" s="137" t="s">
        <v>315</v>
      </c>
      <c r="B34" s="49"/>
      <c r="C34" s="49"/>
      <c r="D34" s="49"/>
      <c r="E34" s="49">
        <f>E31-E32-E33</f>
        <v>1430067387.1800001</v>
      </c>
      <c r="F34" s="49">
        <f t="shared" ref="F34:BP34" si="81">F31-F32-F33</f>
        <v>1430694061.4100001</v>
      </c>
      <c r="G34" s="49">
        <f t="shared" si="81"/>
        <v>1414130740.74</v>
      </c>
      <c r="H34" s="49">
        <f t="shared" si="81"/>
        <v>1426722469.22</v>
      </c>
      <c r="I34" s="49">
        <f t="shared" si="81"/>
        <v>1400796408.98</v>
      </c>
      <c r="J34" s="49">
        <f t="shared" si="81"/>
        <v>1428998969.8599999</v>
      </c>
      <c r="K34" s="49">
        <f t="shared" si="81"/>
        <v>1423833637.8</v>
      </c>
      <c r="L34" s="49">
        <f t="shared" si="81"/>
        <v>1405965721.28</v>
      </c>
      <c r="M34" s="49">
        <f t="shared" si="81"/>
        <v>1341839010.0699999</v>
      </c>
      <c r="N34" s="49">
        <f t="shared" si="81"/>
        <v>1323035245.71</v>
      </c>
      <c r="O34" s="49">
        <f t="shared" si="81"/>
        <v>1292183664.47</v>
      </c>
      <c r="P34" s="49">
        <f t="shared" si="81"/>
        <v>1291537398.03</v>
      </c>
      <c r="Q34" s="49">
        <f t="shared" si="81"/>
        <v>1291726633.25</v>
      </c>
      <c r="R34" s="49">
        <f t="shared" si="81"/>
        <v>1265736800.5799999</v>
      </c>
      <c r="S34" s="49">
        <f t="shared" si="81"/>
        <v>1262305125.3699999</v>
      </c>
      <c r="T34" s="49">
        <f t="shared" si="81"/>
        <v>1269497260.8</v>
      </c>
      <c r="U34" s="49">
        <f t="shared" si="81"/>
        <v>1280998904.8499999</v>
      </c>
      <c r="V34" s="49">
        <f t="shared" si="81"/>
        <v>1271017945.0699999</v>
      </c>
      <c r="W34" s="49">
        <f t="shared" si="81"/>
        <v>1269584085.6600001</v>
      </c>
      <c r="X34" s="49">
        <f t="shared" si="81"/>
        <v>1272467519.8900001</v>
      </c>
      <c r="Y34" s="49">
        <f t="shared" si="81"/>
        <v>1284183058.6300001</v>
      </c>
      <c r="Z34" s="49">
        <f t="shared" si="81"/>
        <v>1270866245.1600001</v>
      </c>
      <c r="AA34" s="49">
        <f t="shared" si="81"/>
        <v>1255061808.8800001</v>
      </c>
      <c r="AB34" s="49">
        <f t="shared" si="81"/>
        <v>1256616941.95</v>
      </c>
      <c r="AC34" s="49">
        <f t="shared" si="81"/>
        <v>1254307460.1600001</v>
      </c>
      <c r="AD34" s="49">
        <f t="shared" si="81"/>
        <v>1127492906.73</v>
      </c>
      <c r="AE34" s="49">
        <f t="shared" si="81"/>
        <v>1102316142.3900001</v>
      </c>
      <c r="AF34" s="49">
        <f t="shared" si="81"/>
        <v>1055204305.84</v>
      </c>
      <c r="AG34" s="49">
        <f t="shared" si="81"/>
        <v>1052675983.63</v>
      </c>
      <c r="AH34" s="49">
        <f t="shared" si="81"/>
        <v>1012204320.54</v>
      </c>
      <c r="AI34" s="49">
        <f t="shared" si="81"/>
        <v>977084641.95000005</v>
      </c>
      <c r="AJ34" s="49">
        <f t="shared" si="81"/>
        <v>965558781.37</v>
      </c>
      <c r="AK34" s="49">
        <f t="shared" si="81"/>
        <v>945751470.53999996</v>
      </c>
      <c r="AL34" s="49">
        <f t="shared" si="81"/>
        <v>946974396.79999995</v>
      </c>
      <c r="AM34" s="49">
        <f t="shared" si="81"/>
        <v>930003513.78999996</v>
      </c>
      <c r="AN34" s="49">
        <f t="shared" si="81"/>
        <v>915082500.50999999</v>
      </c>
      <c r="AO34" s="49">
        <f t="shared" si="81"/>
        <v>926611528.58000004</v>
      </c>
      <c r="AP34" s="49">
        <f t="shared" si="81"/>
        <v>924000528.88</v>
      </c>
      <c r="AQ34" s="49">
        <f t="shared" si="81"/>
        <v>920078146.78999996</v>
      </c>
      <c r="AR34" s="49">
        <f t="shared" si="81"/>
        <v>904388967.69000006</v>
      </c>
      <c r="AS34" s="49">
        <f t="shared" si="81"/>
        <v>846124706.51999998</v>
      </c>
      <c r="AT34" s="49">
        <f t="shared" si="81"/>
        <v>845085813.28999996</v>
      </c>
      <c r="AU34" s="49">
        <f t="shared" si="81"/>
        <v>828738540.2299999</v>
      </c>
      <c r="AV34" s="49">
        <f t="shared" si="81"/>
        <v>837892994.12</v>
      </c>
      <c r="AW34" s="49">
        <f t="shared" si="81"/>
        <v>774559494.41999996</v>
      </c>
      <c r="AX34" s="49">
        <f t="shared" si="81"/>
        <v>723958896.88</v>
      </c>
      <c r="AY34" s="49">
        <f t="shared" si="81"/>
        <v>725165689.28999996</v>
      </c>
      <c r="AZ34" s="49">
        <f t="shared" si="81"/>
        <v>710035227.82000005</v>
      </c>
      <c r="BA34" s="49">
        <f t="shared" si="81"/>
        <v>708751620.94000006</v>
      </c>
      <c r="BB34" s="49">
        <f t="shared" si="81"/>
        <v>688462866.96000004</v>
      </c>
      <c r="BC34" s="49">
        <f t="shared" si="81"/>
        <v>677890207.51999998</v>
      </c>
      <c r="BD34" s="49">
        <f t="shared" si="81"/>
        <v>691957451.38</v>
      </c>
      <c r="BE34" s="49">
        <f t="shared" si="81"/>
        <v>665589525.48000002</v>
      </c>
      <c r="BF34" s="49">
        <f t="shared" si="81"/>
        <v>685580977.60000002</v>
      </c>
      <c r="BG34" s="49">
        <f t="shared" si="81"/>
        <v>624633495.08000004</v>
      </c>
      <c r="BH34" s="49">
        <f t="shared" si="81"/>
        <v>570324400.86000001</v>
      </c>
      <c r="BI34" s="49">
        <f t="shared" si="81"/>
        <v>551457183.10000002</v>
      </c>
      <c r="BJ34" s="49">
        <f t="shared" si="81"/>
        <v>481348026.64999998</v>
      </c>
      <c r="BK34" s="49">
        <f t="shared" si="81"/>
        <v>414219579.52999997</v>
      </c>
      <c r="BL34" s="49">
        <f t="shared" si="81"/>
        <v>326798982.25</v>
      </c>
      <c r="BM34" s="49">
        <f t="shared" si="81"/>
        <v>301836134.22000003</v>
      </c>
      <c r="BN34" s="49">
        <f t="shared" si="81"/>
        <v>242579031.93000001</v>
      </c>
      <c r="BO34" s="49">
        <f t="shared" si="81"/>
        <v>219401133.18000001</v>
      </c>
      <c r="BP34" s="49">
        <f t="shared" si="81"/>
        <v>195781863.68000001</v>
      </c>
      <c r="BQ34" s="49">
        <f>AP31-AP32-AP33</f>
        <v>924000528.88</v>
      </c>
      <c r="BR34" s="49">
        <f>AQ31-AQ32-AQ33</f>
        <v>920078146.78999996</v>
      </c>
      <c r="BS34" s="49">
        <f>AR31-AR32-AR33</f>
        <v>904388967.69000006</v>
      </c>
      <c r="BT34" s="49"/>
      <c r="BU34" s="50"/>
    </row>
    <row r="35" spans="1:74" s="105" customFormat="1" ht="14.25" thickBot="1">
      <c r="A35" s="138" t="s">
        <v>317</v>
      </c>
      <c r="B35" s="33">
        <f>SUM(B22:B31)</f>
        <v>1434742854.26</v>
      </c>
      <c r="C35" s="33">
        <f>SUM(C22:C31)</f>
        <v>1463148921.51</v>
      </c>
      <c r="D35" s="33">
        <f>SUM(D22:D31)</f>
        <v>1459410568.7199998</v>
      </c>
      <c r="E35" s="33">
        <f>资产资本表!E17</f>
        <v>713992695.25</v>
      </c>
      <c r="F35" s="33">
        <f>资产资本表!F17</f>
        <v>601621716.59000003</v>
      </c>
      <c r="G35" s="33">
        <f>资产资本表!G17</f>
        <v>536004591.54000002</v>
      </c>
      <c r="H35" s="33">
        <f>资产资本表!H17</f>
        <v>550295822.35000002</v>
      </c>
      <c r="I35" s="33">
        <f>资产资本表!I17</f>
        <v>1100494733.4599998</v>
      </c>
      <c r="J35" s="33">
        <f>资产资本表!J17</f>
        <v>361686005.29000002</v>
      </c>
      <c r="K35" s="33">
        <f>资产资本表!K17</f>
        <v>419881508.20999998</v>
      </c>
      <c r="L35" s="33">
        <f>资产资本表!L17</f>
        <v>393338883.75999999</v>
      </c>
      <c r="M35" s="33">
        <f>资产资本表!M17</f>
        <v>337494656.02999997</v>
      </c>
      <c r="N35" s="33">
        <f>资产资本表!N17</f>
        <v>332145862.62</v>
      </c>
      <c r="O35" s="33">
        <f>资产资本表!O17</f>
        <v>314250712.41000003</v>
      </c>
      <c r="P35" s="33">
        <f>资产资本表!P17</f>
        <v>283934973.67000002</v>
      </c>
      <c r="Q35" s="33">
        <f>资产资本表!Q17</f>
        <v>253352750.41999999</v>
      </c>
      <c r="R35" s="33">
        <f>资产资本表!R17</f>
        <v>255971099.25</v>
      </c>
      <c r="S35" s="33">
        <f>资产资本表!S17</f>
        <v>219856542.07999998</v>
      </c>
      <c r="T35" s="33">
        <f>资产资本表!T17</f>
        <v>186058877.06</v>
      </c>
      <c r="U35" s="33">
        <f>资产资本表!U17</f>
        <v>174641016.42000002</v>
      </c>
      <c r="V35" s="33">
        <f>资产资本表!V17</f>
        <v>143914067.59999999</v>
      </c>
      <c r="W35" s="33">
        <f>资产资本表!W17</f>
        <v>189290605.87</v>
      </c>
      <c r="X35" s="33">
        <f>资产资本表!X17</f>
        <v>159140119.44999999</v>
      </c>
      <c r="Y35" s="33">
        <f>资产资本表!Y17</f>
        <v>153988709.44</v>
      </c>
      <c r="Z35" s="33">
        <f>资产资本表!Z17</f>
        <v>122325353.25999999</v>
      </c>
      <c r="AA35" s="33">
        <f>资产资本表!AA17</f>
        <v>124294734.5</v>
      </c>
      <c r="AB35" s="33">
        <f>资产资本表!AB17</f>
        <v>102705554.34999999</v>
      </c>
      <c r="AC35" s="33">
        <f>资产资本表!AC17</f>
        <v>213982183.17999998</v>
      </c>
      <c r="AD35" s="33">
        <f>资产资本表!AD17</f>
        <v>163765507.37</v>
      </c>
      <c r="AE35" s="33">
        <f>资产资本表!AE17</f>
        <v>150360665.75</v>
      </c>
      <c r="AF35" s="33">
        <f>资产资本表!AF17</f>
        <v>210114535.74000001</v>
      </c>
      <c r="AG35" s="33">
        <f>资产资本表!AG17</f>
        <v>253436369.31</v>
      </c>
      <c r="AH35" s="33">
        <f>资产资本表!AH17</f>
        <v>334655631.16999996</v>
      </c>
      <c r="AI35" s="33">
        <f>资产资本表!AI17</f>
        <v>370255688.11000001</v>
      </c>
      <c r="AJ35" s="33">
        <f>资产资本表!AJ17</f>
        <v>287017103.44</v>
      </c>
      <c r="AK35" s="33">
        <f>资产资本表!AK17</f>
        <v>249385187.75</v>
      </c>
      <c r="AL35" s="33">
        <f>资产资本表!AL17</f>
        <v>173707631.45999998</v>
      </c>
      <c r="AM35" s="33">
        <f>资产资本表!AM17</f>
        <v>164500410.5</v>
      </c>
      <c r="AN35" s="33">
        <f>资产资本表!AN17</f>
        <v>187146473.18000001</v>
      </c>
      <c r="AO35" s="33">
        <f>资产资本表!AO17</f>
        <v>138571586.28999999</v>
      </c>
      <c r="AP35" s="33">
        <f>资产资本表!AP17</f>
        <v>135624400.82999998</v>
      </c>
      <c r="AQ35" s="33">
        <f>资产资本表!AQ17</f>
        <v>156358330.59</v>
      </c>
      <c r="AR35" s="33">
        <f>资产资本表!AR17</f>
        <v>160031696.38</v>
      </c>
      <c r="AS35" s="33">
        <f>资产资本表!AS17</f>
        <v>207492342.90000004</v>
      </c>
      <c r="AT35" s="33">
        <f>资产资本表!AT17</f>
        <v>264196012.17000002</v>
      </c>
      <c r="AU35" s="33">
        <f>资产资本表!AU17</f>
        <v>290893946.83000004</v>
      </c>
      <c r="AV35" s="33">
        <f>资产资本表!AV17</f>
        <v>303919334.33999997</v>
      </c>
      <c r="AW35" s="33">
        <f>资产资本表!AW17</f>
        <v>111506005.08000001</v>
      </c>
      <c r="AX35" s="33">
        <f>资产资本表!AX17</f>
        <v>110733288.25</v>
      </c>
      <c r="AY35" s="33">
        <f>资产资本表!AY17</f>
        <v>90373745</v>
      </c>
      <c r="AZ35" s="33">
        <f>资产资本表!AZ17</f>
        <v>353474736.30000001</v>
      </c>
      <c r="BA35" s="33">
        <f>资产资本表!BA17</f>
        <v>130344167.36999999</v>
      </c>
      <c r="BB35" s="33">
        <f>资产资本表!BB17</f>
        <v>76929286.680000007</v>
      </c>
      <c r="BC35" s="33">
        <f>资产资本表!BC17</f>
        <v>56822877.539999999</v>
      </c>
      <c r="BD35" s="33">
        <f>资产资本表!BD17</f>
        <v>61151621.789999999</v>
      </c>
      <c r="BE35" s="33">
        <f>资产资本表!BE17</f>
        <v>90040933.799999997</v>
      </c>
      <c r="BF35" s="33">
        <f>资产资本表!BF17</f>
        <v>103493177.39</v>
      </c>
      <c r="BG35" s="33">
        <f>资产资本表!BG17</f>
        <v>157832520.27000001</v>
      </c>
      <c r="BH35" s="33">
        <f>资产资本表!BH17</f>
        <v>165549418.27000001</v>
      </c>
      <c r="BI35" s="33">
        <f>资产资本表!BI17</f>
        <v>184363966.44</v>
      </c>
      <c r="BJ35" s="33">
        <f>资产资本表!BJ17</f>
        <v>252915507.03999999</v>
      </c>
      <c r="BK35" s="33">
        <f>资产资本表!BK17</f>
        <v>301312103.19999999</v>
      </c>
      <c r="BL35" s="33">
        <f>资产资本表!BL17</f>
        <v>369620785.82999998</v>
      </c>
      <c r="BM35" s="33">
        <f>资产资本表!BM17</f>
        <v>419764979.19999999</v>
      </c>
      <c r="BN35" s="33">
        <f>资产资本表!BN17</f>
        <v>424856147.61000001</v>
      </c>
      <c r="BO35" s="33">
        <f>资产资本表!BO17</f>
        <v>444289951.50999999</v>
      </c>
      <c r="BP35" s="33">
        <f>资产资本表!BP17</f>
        <v>49386377.25</v>
      </c>
      <c r="BQ35" s="33">
        <f>资产资本表!BQ17</f>
        <v>29415606.75</v>
      </c>
      <c r="BR35" s="33">
        <f>资产资本表!BR17</f>
        <v>28179071.710000001</v>
      </c>
      <c r="BS35" s="33">
        <f>资产资本表!BS17</f>
        <v>0</v>
      </c>
      <c r="BT35" s="33">
        <f>资产资本表!BT17</f>
        <v>0</v>
      </c>
      <c r="BU35" s="33">
        <f>资产资本表!BU17</f>
        <v>0</v>
      </c>
      <c r="BV35" s="33">
        <f>资产资本表!BV17</f>
        <v>0</v>
      </c>
    </row>
    <row r="36" spans="1:74" s="26" customFormat="1" ht="14.45">
      <c r="A36" s="17"/>
    </row>
    <row r="37" spans="1:74" s="26" customFormat="1" ht="14.45">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25569</v>
      </c>
      <c r="BR38" s="1">
        <v>36707</v>
      </c>
      <c r="BS38" s="1">
        <v>36525</v>
      </c>
      <c r="BT38" s="1">
        <v>36341</v>
      </c>
      <c r="BU38" s="1">
        <v>36160</v>
      </c>
      <c r="BV38" s="1">
        <v>25569</v>
      </c>
    </row>
    <row r="39" spans="1:74" s="48" customFormat="1">
      <c r="A39" s="46" t="s">
        <v>319</v>
      </c>
    </row>
    <row r="40" spans="1:74" s="191" customFormat="1">
      <c r="A40" s="191" t="s">
        <v>740</v>
      </c>
      <c r="B40" s="188">
        <v>0</v>
      </c>
      <c r="C40" s="188">
        <v>0</v>
      </c>
      <c r="D40" s="188">
        <v>0</v>
      </c>
      <c r="E40" s="188">
        <v>0</v>
      </c>
      <c r="F40" s="188">
        <v>0</v>
      </c>
      <c r="G40" s="188">
        <v>0</v>
      </c>
      <c r="H40" s="188">
        <v>0</v>
      </c>
      <c r="I40" s="188">
        <v>666499979.67999995</v>
      </c>
      <c r="J40" s="188">
        <v>0</v>
      </c>
      <c r="K40" s="188">
        <v>0</v>
      </c>
      <c r="L40" s="188">
        <v>0</v>
      </c>
      <c r="M40" s="188">
        <v>0</v>
      </c>
      <c r="N40" s="188">
        <v>0</v>
      </c>
      <c r="O40" s="188">
        <v>0</v>
      </c>
      <c r="P40" s="188">
        <v>0</v>
      </c>
      <c r="Q40" s="188">
        <v>6480000</v>
      </c>
      <c r="R40" s="188">
        <v>7840000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765000</v>
      </c>
      <c r="AL40" s="188">
        <v>765000</v>
      </c>
      <c r="AM40" s="188">
        <v>0</v>
      </c>
      <c r="AN40" s="188">
        <v>0</v>
      </c>
      <c r="AO40" s="188">
        <v>0</v>
      </c>
      <c r="AP40" s="188">
        <v>0</v>
      </c>
      <c r="AQ40" s="188">
        <v>0</v>
      </c>
      <c r="AR40" s="188">
        <v>0</v>
      </c>
      <c r="AS40" s="188">
        <v>290188911</v>
      </c>
      <c r="AT40" s="188">
        <v>291368704</v>
      </c>
      <c r="AU40" s="188">
        <v>291368704</v>
      </c>
      <c r="AV40" s="188">
        <v>291368704</v>
      </c>
      <c r="AW40" s="188">
        <v>0</v>
      </c>
      <c r="AX40" s="188">
        <v>0</v>
      </c>
      <c r="AY40" s="188">
        <v>0</v>
      </c>
      <c r="AZ40" s="188">
        <v>0</v>
      </c>
      <c r="BA40" s="188">
        <v>0</v>
      </c>
      <c r="BB40" s="188">
        <v>0</v>
      </c>
      <c r="BC40" s="188">
        <v>0</v>
      </c>
      <c r="BD40" s="188">
        <v>0</v>
      </c>
      <c r="BE40" s="188">
        <v>224110000</v>
      </c>
      <c r="BF40" s="188">
        <v>0</v>
      </c>
      <c r="BG40" s="188">
        <v>0</v>
      </c>
      <c r="BH40" s="188">
        <v>0</v>
      </c>
      <c r="BI40" s="188">
        <v>0</v>
      </c>
      <c r="BJ40" s="188">
        <v>0</v>
      </c>
      <c r="BK40" s="188">
        <v>0</v>
      </c>
      <c r="BL40" s="188">
        <v>0</v>
      </c>
      <c r="BM40" s="188">
        <v>400317739.32999998</v>
      </c>
      <c r="BN40" s="188">
        <v>398487739.32999998</v>
      </c>
      <c r="BO40" s="188">
        <v>0</v>
      </c>
      <c r="BP40" s="188">
        <v>0</v>
      </c>
      <c r="BQ40" s="188">
        <v>0</v>
      </c>
      <c r="BR40" s="191">
        <v>0</v>
      </c>
      <c r="BS40" s="191">
        <v>0</v>
      </c>
      <c r="BT40" s="191">
        <v>0</v>
      </c>
      <c r="BU40" s="191">
        <v>1165397962.47</v>
      </c>
      <c r="BV40" s="191">
        <v>0</v>
      </c>
    </row>
    <row r="41" spans="1:74" s="53" customFormat="1" ht="21.75" customHeight="1">
      <c r="A41" s="139" t="s">
        <v>632</v>
      </c>
      <c r="B41" s="53">
        <v>1419647033.29</v>
      </c>
      <c r="C41" s="53">
        <v>682396282.87</v>
      </c>
      <c r="D41" s="53">
        <v>73246783.790000007</v>
      </c>
      <c r="E41" s="53">
        <v>91066491.900000006</v>
      </c>
      <c r="I41" s="53">
        <v>60710994.600000001</v>
      </c>
      <c r="M41" s="53">
        <v>43754618.869999997</v>
      </c>
      <c r="Q41" s="53">
        <v>38607016.649999999</v>
      </c>
      <c r="U41" s="53">
        <v>38607016.649999999</v>
      </c>
      <c r="Y41" s="53">
        <v>36033215.539999999</v>
      </c>
      <c r="AC41" s="53">
        <v>25738011.100000001</v>
      </c>
      <c r="AG41" s="53">
        <v>25738011.100000001</v>
      </c>
      <c r="AK41" s="53">
        <v>25738011.100000001</v>
      </c>
      <c r="AO41" s="53">
        <v>15442806.66</v>
      </c>
      <c r="AW41" s="53">
        <v>26700612.719999999</v>
      </c>
    </row>
    <row r="42" spans="1:74" s="26" customFormat="1">
      <c r="A42" s="17" t="s">
        <v>322</v>
      </c>
      <c r="E42" s="26">
        <f>E40-E41</f>
        <v>-91066491.900000006</v>
      </c>
      <c r="F42" s="26">
        <f t="shared" ref="F42:Y42" si="82">F40-F41</f>
        <v>0</v>
      </c>
      <c r="G42" s="26">
        <f t="shared" si="82"/>
        <v>0</v>
      </c>
      <c r="H42" s="26">
        <f t="shared" si="82"/>
        <v>0</v>
      </c>
      <c r="I42" s="26">
        <f>I40-I41</f>
        <v>605788985.07999992</v>
      </c>
      <c r="J42" s="26">
        <f t="shared" si="82"/>
        <v>0</v>
      </c>
      <c r="K42" s="26">
        <f t="shared" si="82"/>
        <v>0</v>
      </c>
      <c r="L42" s="26">
        <f t="shared" si="82"/>
        <v>0</v>
      </c>
      <c r="M42" s="26">
        <f t="shared" si="82"/>
        <v>-43754618.869999997</v>
      </c>
      <c r="N42" s="26">
        <f t="shared" si="82"/>
        <v>0</v>
      </c>
      <c r="O42" s="26">
        <f t="shared" si="82"/>
        <v>0</v>
      </c>
      <c r="P42" s="26">
        <f t="shared" si="82"/>
        <v>0</v>
      </c>
      <c r="Q42" s="26">
        <f t="shared" si="82"/>
        <v>-32127016.649999999</v>
      </c>
      <c r="R42" s="26">
        <f t="shared" si="82"/>
        <v>7840000</v>
      </c>
      <c r="S42" s="26">
        <f t="shared" si="82"/>
        <v>0</v>
      </c>
      <c r="T42" s="26">
        <f t="shared" si="82"/>
        <v>0</v>
      </c>
      <c r="U42" s="26">
        <f t="shared" si="82"/>
        <v>-38607016.649999999</v>
      </c>
      <c r="V42" s="26">
        <f t="shared" si="82"/>
        <v>0</v>
      </c>
      <c r="W42" s="26">
        <f t="shared" si="82"/>
        <v>0</v>
      </c>
      <c r="X42" s="26">
        <f t="shared" si="82"/>
        <v>0</v>
      </c>
      <c r="Y42" s="26">
        <f t="shared" si="82"/>
        <v>-36033215.539999999</v>
      </c>
      <c r="Z42" s="26">
        <f t="shared" ref="Z42:BQ42" si="83">Z40-Z41</f>
        <v>0</v>
      </c>
      <c r="AA42" s="26">
        <f t="shared" si="83"/>
        <v>0</v>
      </c>
      <c r="AB42" s="26">
        <f t="shared" si="83"/>
        <v>0</v>
      </c>
      <c r="AC42" s="26">
        <f t="shared" si="83"/>
        <v>-25738011.100000001</v>
      </c>
      <c r="AD42" s="26">
        <f t="shared" si="83"/>
        <v>0</v>
      </c>
      <c r="AE42" s="26">
        <f t="shared" si="83"/>
        <v>0</v>
      </c>
      <c r="AF42" s="26">
        <f t="shared" si="83"/>
        <v>0</v>
      </c>
      <c r="AG42" s="26">
        <f t="shared" si="83"/>
        <v>-25738011.100000001</v>
      </c>
      <c r="AH42" s="26">
        <f t="shared" si="83"/>
        <v>0</v>
      </c>
      <c r="AI42" s="26">
        <f t="shared" si="83"/>
        <v>0</v>
      </c>
      <c r="AJ42" s="26">
        <f t="shared" si="83"/>
        <v>0</v>
      </c>
      <c r="AK42" s="26">
        <f t="shared" si="83"/>
        <v>-24973011.100000001</v>
      </c>
      <c r="AL42" s="191">
        <f t="shared" si="83"/>
        <v>765000</v>
      </c>
      <c r="AM42" s="191">
        <f t="shared" si="83"/>
        <v>0</v>
      </c>
      <c r="AN42" s="191">
        <f t="shared" si="83"/>
        <v>0</v>
      </c>
      <c r="AO42" s="191">
        <f t="shared" si="83"/>
        <v>-15442806.66</v>
      </c>
      <c r="AP42" s="191">
        <f t="shared" si="83"/>
        <v>0</v>
      </c>
      <c r="AQ42" s="191">
        <f t="shared" si="83"/>
        <v>0</v>
      </c>
      <c r="AR42" s="191">
        <f t="shared" si="83"/>
        <v>0</v>
      </c>
      <c r="AS42" s="191">
        <f t="shared" si="83"/>
        <v>290188911</v>
      </c>
      <c r="AT42" s="191">
        <f t="shared" si="83"/>
        <v>291368704</v>
      </c>
      <c r="AU42" s="191">
        <f t="shared" si="83"/>
        <v>291368704</v>
      </c>
      <c r="AV42" s="191">
        <f t="shared" si="83"/>
        <v>291368704</v>
      </c>
      <c r="AW42" s="191">
        <f t="shared" si="83"/>
        <v>-26700612.719999999</v>
      </c>
      <c r="AX42" s="191">
        <f t="shared" si="83"/>
        <v>0</v>
      </c>
      <c r="AY42" s="191">
        <f t="shared" si="83"/>
        <v>0</v>
      </c>
      <c r="AZ42" s="191">
        <f t="shared" si="83"/>
        <v>0</v>
      </c>
      <c r="BA42" s="26">
        <f t="shared" si="83"/>
        <v>0</v>
      </c>
      <c r="BB42" s="26">
        <f t="shared" si="83"/>
        <v>0</v>
      </c>
      <c r="BC42" s="26">
        <f t="shared" si="83"/>
        <v>0</v>
      </c>
      <c r="BD42" s="26">
        <f t="shared" si="83"/>
        <v>0</v>
      </c>
      <c r="BE42" s="26">
        <f t="shared" si="83"/>
        <v>224110000</v>
      </c>
      <c r="BF42" s="26">
        <f t="shared" si="83"/>
        <v>0</v>
      </c>
      <c r="BG42" s="26">
        <f t="shared" si="83"/>
        <v>0</v>
      </c>
      <c r="BH42" s="26">
        <f t="shared" si="83"/>
        <v>0</v>
      </c>
      <c r="BI42" s="26">
        <f t="shared" si="83"/>
        <v>0</v>
      </c>
      <c r="BJ42" s="26">
        <f t="shared" si="83"/>
        <v>0</v>
      </c>
      <c r="BK42" s="26">
        <f t="shared" si="83"/>
        <v>0</v>
      </c>
      <c r="BL42" s="26">
        <f t="shared" si="83"/>
        <v>0</v>
      </c>
      <c r="BM42" s="26">
        <f t="shared" si="83"/>
        <v>400317739.32999998</v>
      </c>
      <c r="BN42" s="26">
        <f t="shared" si="83"/>
        <v>398487739.32999998</v>
      </c>
      <c r="BO42" s="26">
        <f t="shared" si="83"/>
        <v>0</v>
      </c>
      <c r="BP42" s="26">
        <f t="shared" si="83"/>
        <v>0</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c r="A43" s="140" t="s">
        <v>321</v>
      </c>
    </row>
    <row r="44" spans="1:74" s="191" customFormat="1">
      <c r="A44" s="191" t="s">
        <v>324</v>
      </c>
      <c r="B44" s="188">
        <v>0</v>
      </c>
      <c r="C44" s="188">
        <v>0</v>
      </c>
      <c r="D44" s="188">
        <v>0</v>
      </c>
      <c r="E44" s="188">
        <v>0</v>
      </c>
      <c r="F44" s="188">
        <v>0</v>
      </c>
      <c r="G44" s="188">
        <v>0</v>
      </c>
      <c r="H44" s="188">
        <v>0</v>
      </c>
      <c r="I44" s="188">
        <v>88641120</v>
      </c>
      <c r="J44" s="188">
        <v>90441120</v>
      </c>
      <c r="K44" s="188">
        <v>89641120</v>
      </c>
      <c r="L44" s="188">
        <v>61061600</v>
      </c>
      <c r="M44" s="188">
        <v>164806100</v>
      </c>
      <c r="N44" s="188">
        <v>162267730</v>
      </c>
      <c r="O44" s="188">
        <v>161006100</v>
      </c>
      <c r="P44" s="188">
        <v>97013460</v>
      </c>
      <c r="Q44" s="188">
        <v>242766960</v>
      </c>
      <c r="R44" s="188">
        <v>191195600</v>
      </c>
      <c r="S44" s="188">
        <v>75000000</v>
      </c>
      <c r="T44" s="188">
        <v>50000000</v>
      </c>
      <c r="U44" s="188">
        <v>170000000</v>
      </c>
      <c r="V44" s="188">
        <v>85000000</v>
      </c>
      <c r="W44" s="188">
        <v>85000000</v>
      </c>
      <c r="X44" s="188">
        <v>80000000</v>
      </c>
      <c r="Y44" s="188">
        <v>190000000</v>
      </c>
      <c r="Z44" s="188">
        <v>125000000</v>
      </c>
      <c r="AA44" s="188">
        <v>75000000</v>
      </c>
      <c r="AB44" s="188">
        <v>20000000</v>
      </c>
      <c r="AC44" s="188">
        <v>55000000</v>
      </c>
      <c r="AD44" s="188">
        <v>50000000</v>
      </c>
      <c r="AE44" s="188">
        <v>25000000</v>
      </c>
      <c r="AF44" s="188">
        <v>0</v>
      </c>
      <c r="AG44" s="188">
        <v>174529000</v>
      </c>
      <c r="AH44" s="188">
        <v>129929000</v>
      </c>
      <c r="AI44" s="188">
        <v>129929000</v>
      </c>
      <c r="AJ44" s="188">
        <v>0</v>
      </c>
      <c r="AK44" s="188">
        <v>134000000</v>
      </c>
      <c r="AL44" s="188">
        <v>134000000</v>
      </c>
      <c r="AM44" s="188">
        <v>114000000</v>
      </c>
      <c r="AN44" s="188">
        <v>54000000</v>
      </c>
      <c r="AO44" s="188">
        <v>196928000</v>
      </c>
      <c r="AP44" s="188">
        <v>79000000</v>
      </c>
      <c r="AQ44" s="188">
        <v>10000000</v>
      </c>
      <c r="AR44" s="188">
        <v>0</v>
      </c>
      <c r="AS44" s="188">
        <v>131000000</v>
      </c>
      <c r="AT44" s="188">
        <v>90000000</v>
      </c>
      <c r="AU44" s="188">
        <v>0</v>
      </c>
      <c r="AV44" s="188">
        <v>0</v>
      </c>
      <c r="AW44" s="188">
        <v>314210000</v>
      </c>
      <c r="AX44" s="188">
        <v>196530000</v>
      </c>
      <c r="AY44" s="188">
        <v>93470000</v>
      </c>
      <c r="AZ44" s="188">
        <v>15000000</v>
      </c>
      <c r="BA44" s="188">
        <v>329160000</v>
      </c>
      <c r="BB44" s="188">
        <v>199160000</v>
      </c>
      <c r="BC44" s="188">
        <v>144630000</v>
      </c>
      <c r="BD44" s="188">
        <v>73710000</v>
      </c>
      <c r="BE44" s="188">
        <v>0</v>
      </c>
      <c r="BF44" s="188">
        <v>160000000</v>
      </c>
      <c r="BG44" s="188">
        <v>124000000</v>
      </c>
      <c r="BH44" s="188">
        <v>40000000</v>
      </c>
      <c r="BI44" s="188">
        <v>88000000</v>
      </c>
      <c r="BJ44" s="188">
        <v>50000000</v>
      </c>
      <c r="BK44" s="188">
        <v>44000000</v>
      </c>
      <c r="BL44" s="188">
        <v>0</v>
      </c>
      <c r="BM44" s="188">
        <v>25000000</v>
      </c>
      <c r="BN44" s="188">
        <v>20000000</v>
      </c>
      <c r="BO44" s="188">
        <v>58870592</v>
      </c>
      <c r="BP44" s="188">
        <v>0</v>
      </c>
      <c r="BQ44" s="188">
        <v>0</v>
      </c>
      <c r="BR44" s="188">
        <v>0</v>
      </c>
      <c r="BS44" s="188">
        <v>0</v>
      </c>
      <c r="BT44" s="188">
        <v>0</v>
      </c>
      <c r="BU44" s="188">
        <v>0</v>
      </c>
      <c r="BV44" s="188">
        <v>0</v>
      </c>
    </row>
    <row r="45" spans="1:74" s="191" customFormat="1">
      <c r="A45" s="191" t="s">
        <v>323</v>
      </c>
      <c r="E45" s="191">
        <f>股权价值增加表!E53</f>
        <v>157876</v>
      </c>
      <c r="F45" s="191">
        <f>股权价值增加表!F53</f>
        <v>0</v>
      </c>
      <c r="G45" s="191">
        <f>股权价值增加表!G53</f>
        <v>0</v>
      </c>
      <c r="H45" s="191">
        <f>股权价值增加表!H53</f>
        <v>0</v>
      </c>
      <c r="I45" s="191">
        <f>股权价值增加表!I53</f>
        <v>755142.13</v>
      </c>
      <c r="J45" s="191">
        <f>股权价值增加表!J53</f>
        <v>0</v>
      </c>
      <c r="K45" s="191">
        <f>股权价值增加表!K53</f>
        <v>0</v>
      </c>
      <c r="L45" s="191">
        <f>股权价值增加表!L53</f>
        <v>0</v>
      </c>
      <c r="M45" s="191">
        <f>股权价值增加表!M53</f>
        <v>3141467.75</v>
      </c>
      <c r="N45" s="191">
        <f>股权价值增加表!N53</f>
        <v>0</v>
      </c>
      <c r="O45" s="191">
        <f>股权价值增加表!O53</f>
        <v>0</v>
      </c>
      <c r="P45" s="191">
        <f>股权价值增加表!P53</f>
        <v>0</v>
      </c>
      <c r="Q45" s="191">
        <f>股权价值增加表!Q53</f>
        <v>4400164.51</v>
      </c>
      <c r="R45" s="191">
        <f>股权价值增加表!R53</f>
        <v>0</v>
      </c>
      <c r="S45" s="191">
        <f>股权价值增加表!S53</f>
        <v>0</v>
      </c>
      <c r="T45" s="191">
        <f>股权价值增加表!T53</f>
        <v>0</v>
      </c>
      <c r="U45" s="191">
        <f>股权价值增加表!U53</f>
        <v>5175253.71</v>
      </c>
      <c r="V45" s="191">
        <f>股权价值增加表!V53</f>
        <v>0</v>
      </c>
      <c r="W45" s="191">
        <f>股权价值增加表!W53</f>
        <v>0</v>
      </c>
      <c r="X45" s="191">
        <f>股权价值增加表!X53</f>
        <v>0</v>
      </c>
      <c r="Y45" s="191">
        <f>股权价值增加表!Y53</f>
        <v>4775537.5599999996</v>
      </c>
      <c r="Z45" s="191">
        <f>股权价值增加表!Z53</f>
        <v>0</v>
      </c>
      <c r="AA45" s="191">
        <f>股权价值增加表!AA53</f>
        <v>0</v>
      </c>
      <c r="AB45" s="191">
        <f>股权价值增加表!AB53</f>
        <v>0</v>
      </c>
      <c r="AC45" s="191">
        <f>股权价值增加表!AC53</f>
        <v>4956899.87</v>
      </c>
      <c r="AD45" s="191">
        <f>股权价值增加表!AD53</f>
        <v>0</v>
      </c>
      <c r="AE45" s="191">
        <f>股权价值增加表!AE53</f>
        <v>0</v>
      </c>
      <c r="AF45" s="191">
        <f>股权价值增加表!AF53</f>
        <v>0</v>
      </c>
      <c r="AG45" s="191">
        <f>股权价值增加表!AG53</f>
        <v>6034942.0700000003</v>
      </c>
      <c r="AH45" s="191">
        <f>股权价值增加表!AH53</f>
        <v>0</v>
      </c>
      <c r="AI45" s="191">
        <f>股权价值增加表!AI53</f>
        <v>0</v>
      </c>
      <c r="AJ45" s="191">
        <f>股权价值增加表!AJ53</f>
        <v>0</v>
      </c>
      <c r="AK45" s="191">
        <f>股权价值增加表!AK53</f>
        <v>6486271.5700000003</v>
      </c>
      <c r="AL45" s="191">
        <f>股权价值增加表!AL53</f>
        <v>0</v>
      </c>
      <c r="AM45" s="191">
        <f>股权价值增加表!AM53</f>
        <v>0</v>
      </c>
      <c r="AN45" s="191">
        <f>股权价值增加表!AN53</f>
        <v>0</v>
      </c>
      <c r="AO45" s="191">
        <f>股权价值增加表!AO53</f>
        <v>9744340.9900000002</v>
      </c>
      <c r="AP45" s="191">
        <f>股权价值增加表!AP53</f>
        <v>0</v>
      </c>
      <c r="AQ45" s="191">
        <f>股权价值增加表!AQ53</f>
        <v>0</v>
      </c>
      <c r="AR45" s="191">
        <f>股权价值增加表!AR53</f>
        <v>0</v>
      </c>
      <c r="AS45" s="191">
        <f>股权价值增加表!AS53</f>
        <v>12878715.15</v>
      </c>
      <c r="AT45" s="191">
        <f>股权价值增加表!AT53</f>
        <v>0</v>
      </c>
      <c r="AU45" s="191">
        <f>股权价值增加表!AU53</f>
        <v>0</v>
      </c>
      <c r="AV45" s="191">
        <f>股权价值增加表!AV53</f>
        <v>0</v>
      </c>
      <c r="AW45" s="191">
        <f>股权价值增加表!AW53</f>
        <v>14831437.380000001</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c r="A46" s="191" t="s">
        <v>325</v>
      </c>
      <c r="B46" s="188">
        <v>43875</v>
      </c>
      <c r="C46" s="188">
        <v>0</v>
      </c>
      <c r="D46" s="188">
        <v>0</v>
      </c>
      <c r="E46" s="188">
        <v>0</v>
      </c>
      <c r="F46" s="188">
        <v>0</v>
      </c>
      <c r="G46" s="188">
        <v>0</v>
      </c>
      <c r="H46" s="188">
        <v>0</v>
      </c>
      <c r="I46" s="188">
        <v>0</v>
      </c>
      <c r="J46" s="188">
        <v>0</v>
      </c>
      <c r="K46" s="188">
        <v>0</v>
      </c>
      <c r="L46" s="188">
        <v>0</v>
      </c>
      <c r="M46" s="188">
        <v>0</v>
      </c>
      <c r="N46" s="188">
        <v>0</v>
      </c>
      <c r="O46" s="188">
        <v>0</v>
      </c>
      <c r="P46" s="188">
        <v>932741.44</v>
      </c>
      <c r="Q46" s="188">
        <v>242636.05</v>
      </c>
      <c r="R46" s="188">
        <v>420211.12</v>
      </c>
      <c r="S46" s="188">
        <v>406311.11</v>
      </c>
      <c r="T46" s="188">
        <v>24577.78</v>
      </c>
      <c r="U46" s="188">
        <v>756077.77</v>
      </c>
      <c r="V46" s="188">
        <v>157084.44</v>
      </c>
      <c r="W46" s="188">
        <v>777255.55</v>
      </c>
      <c r="X46" s="188">
        <v>124233.33</v>
      </c>
      <c r="Y46" s="188">
        <v>676105.56</v>
      </c>
      <c r="Z46" s="188">
        <v>0</v>
      </c>
      <c r="AA46" s="188">
        <v>0</v>
      </c>
      <c r="AB46" s="188">
        <v>0</v>
      </c>
      <c r="AC46" s="188">
        <v>0</v>
      </c>
      <c r="AD46" s="188">
        <v>0</v>
      </c>
      <c r="AE46" s="188">
        <v>0</v>
      </c>
      <c r="AF46" s="188">
        <v>88437.21</v>
      </c>
      <c r="AG46" s="188">
        <v>88437.2</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s="191" customFormat="1">
      <c r="A47" s="191" t="s">
        <v>326</v>
      </c>
      <c r="B47" s="188">
        <v>0</v>
      </c>
      <c r="C47" s="188">
        <v>0</v>
      </c>
      <c r="D47" s="188">
        <v>0</v>
      </c>
      <c r="E47" s="188">
        <v>3000000</v>
      </c>
      <c r="F47" s="188">
        <v>1000000</v>
      </c>
      <c r="G47" s="188">
        <v>1000000</v>
      </c>
      <c r="H47" s="188">
        <v>1000000</v>
      </c>
      <c r="I47" s="188">
        <v>117261120</v>
      </c>
      <c r="J47" s="188">
        <v>114461120</v>
      </c>
      <c r="K47" s="188">
        <v>82561600</v>
      </c>
      <c r="L47" s="188">
        <v>23500000</v>
      </c>
      <c r="M47" s="188">
        <v>279010130</v>
      </c>
      <c r="N47" s="188">
        <v>225755860</v>
      </c>
      <c r="O47" s="188">
        <v>151613040</v>
      </c>
      <c r="P47" s="188">
        <v>64445600</v>
      </c>
      <c r="Q47" s="188">
        <v>237550000</v>
      </c>
      <c r="R47" s="188">
        <v>161130282.34</v>
      </c>
      <c r="S47" s="188">
        <v>85000000</v>
      </c>
      <c r="T47" s="188">
        <v>80000000</v>
      </c>
      <c r="U47" s="188">
        <v>200000000</v>
      </c>
      <c r="V47" s="188">
        <v>115000000</v>
      </c>
      <c r="W47" s="188">
        <v>115000000</v>
      </c>
      <c r="X47" s="188">
        <v>80000000</v>
      </c>
      <c r="Y47" s="188">
        <v>130000000</v>
      </c>
      <c r="Z47" s="188">
        <v>70000000</v>
      </c>
      <c r="AA47" s="188">
        <v>50000000</v>
      </c>
      <c r="AB47" s="188">
        <v>20000000</v>
      </c>
      <c r="AC47" s="188">
        <v>154529000</v>
      </c>
      <c r="AD47" s="188">
        <v>149529000</v>
      </c>
      <c r="AE47" s="188">
        <v>149520000</v>
      </c>
      <c r="AF47" s="188">
        <v>10000000</v>
      </c>
      <c r="AG47" s="188">
        <v>154000000</v>
      </c>
      <c r="AH47" s="188">
        <v>134000000</v>
      </c>
      <c r="AI47" s="188">
        <v>114000000</v>
      </c>
      <c r="AJ47" s="188">
        <v>54000000</v>
      </c>
      <c r="AK47" s="188">
        <v>136928000</v>
      </c>
      <c r="AL47" s="188">
        <v>128500000</v>
      </c>
      <c r="AM47" s="188">
        <v>128500000</v>
      </c>
      <c r="AN47" s="188">
        <v>40000000</v>
      </c>
      <c r="AO47" s="188">
        <v>190000000</v>
      </c>
      <c r="AP47" s="188">
        <v>90000000</v>
      </c>
      <c r="AQ47" s="188">
        <v>10470000</v>
      </c>
      <c r="AR47" s="188">
        <v>0</v>
      </c>
      <c r="AS47" s="188">
        <v>286000000</v>
      </c>
      <c r="AT47" s="188">
        <v>215000000</v>
      </c>
      <c r="AU47" s="188">
        <v>125000000</v>
      </c>
      <c r="AV47" s="188">
        <v>115000000</v>
      </c>
      <c r="AW47" s="188">
        <v>300740000</v>
      </c>
      <c r="AX47" s="188">
        <v>170000000</v>
      </c>
      <c r="AY47" s="188">
        <v>87000000</v>
      </c>
      <c r="AZ47" s="188">
        <v>20000000</v>
      </c>
      <c r="BA47" s="188">
        <v>219740000</v>
      </c>
      <c r="BB47" s="188">
        <v>189740000</v>
      </c>
      <c r="BC47" s="188">
        <v>149210000</v>
      </c>
      <c r="BD47" s="188">
        <v>73100000</v>
      </c>
      <c r="BE47" s="188">
        <v>130000000</v>
      </c>
      <c r="BF47" s="188">
        <v>100000000</v>
      </c>
      <c r="BG47" s="188">
        <v>44000000</v>
      </c>
      <c r="BH47" s="188">
        <v>0</v>
      </c>
      <c r="BI47" s="188">
        <v>100870000</v>
      </c>
      <c r="BJ47" s="188">
        <v>57870000</v>
      </c>
      <c r="BK47" s="188">
        <v>46870000</v>
      </c>
      <c r="BL47" s="188">
        <v>0</v>
      </c>
      <c r="BM47" s="188">
        <v>26918592</v>
      </c>
      <c r="BN47" s="188">
        <v>20000000</v>
      </c>
      <c r="BO47" s="188">
        <v>35952000</v>
      </c>
      <c r="BP47" s="188">
        <v>0</v>
      </c>
      <c r="BQ47" s="188">
        <v>0</v>
      </c>
      <c r="BR47" s="188">
        <v>2814887.33</v>
      </c>
      <c r="BS47" s="188">
        <v>0</v>
      </c>
      <c r="BT47" s="188">
        <v>0</v>
      </c>
      <c r="BU47" s="188">
        <v>70000000</v>
      </c>
      <c r="BV47" s="188">
        <v>0</v>
      </c>
    </row>
    <row r="48" spans="1:74" s="191" customFormat="1">
      <c r="A48" s="191" t="s">
        <v>596</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88">
        <v>0</v>
      </c>
      <c r="BK48" s="188">
        <v>0</v>
      </c>
      <c r="BL48" s="188">
        <v>0</v>
      </c>
      <c r="BM48" s="188">
        <v>0</v>
      </c>
      <c r="BN48" s="188">
        <v>0</v>
      </c>
      <c r="BO48" s="188">
        <v>0</v>
      </c>
      <c r="BP48" s="188">
        <v>0</v>
      </c>
      <c r="BQ48" s="188">
        <v>0</v>
      </c>
      <c r="BR48" s="188">
        <v>0</v>
      </c>
      <c r="BS48" s="188">
        <v>0</v>
      </c>
      <c r="BT48" s="188">
        <v>0</v>
      </c>
      <c r="BU48" s="188">
        <v>0</v>
      </c>
      <c r="BV48" s="188">
        <v>0</v>
      </c>
    </row>
    <row r="49" spans="1:74" s="191" customFormat="1">
      <c r="A49" s="191" t="s">
        <v>597</v>
      </c>
      <c r="E49" s="191">
        <f>E44+E48-E45-E46-E47</f>
        <v>-3157876</v>
      </c>
      <c r="F49" s="191">
        <f t="shared" ref="F49:BQ49" si="85">F44+F48-F45-F46-F47</f>
        <v>-1000000</v>
      </c>
      <c r="G49" s="191">
        <f t="shared" si="85"/>
        <v>-1000000</v>
      </c>
      <c r="H49" s="191">
        <f t="shared" si="85"/>
        <v>-1000000</v>
      </c>
      <c r="I49" s="191">
        <f t="shared" si="85"/>
        <v>-29375142.129999995</v>
      </c>
      <c r="J49" s="191">
        <f t="shared" si="85"/>
        <v>-24020000</v>
      </c>
      <c r="K49" s="191">
        <f t="shared" si="85"/>
        <v>7079520</v>
      </c>
      <c r="L49" s="191">
        <f t="shared" si="85"/>
        <v>37561600</v>
      </c>
      <c r="M49" s="191">
        <f t="shared" si="85"/>
        <v>-117345497.75</v>
      </c>
      <c r="N49" s="191">
        <f t="shared" si="85"/>
        <v>-63488130</v>
      </c>
      <c r="O49" s="191">
        <f t="shared" si="85"/>
        <v>9393060</v>
      </c>
      <c r="P49" s="191">
        <f t="shared" si="85"/>
        <v>31635118.560000002</v>
      </c>
      <c r="Q49" s="191">
        <f t="shared" si="85"/>
        <v>574159.43999999762</v>
      </c>
      <c r="R49" s="191">
        <f t="shared" si="85"/>
        <v>29645106.539999992</v>
      </c>
      <c r="S49" s="191">
        <f t="shared" si="85"/>
        <v>-10406311.109999999</v>
      </c>
      <c r="T49" s="191">
        <f t="shared" si="85"/>
        <v>-30024577.780000001</v>
      </c>
      <c r="U49" s="191">
        <f t="shared" si="85"/>
        <v>-35931331.480000019</v>
      </c>
      <c r="V49" s="191">
        <f t="shared" si="85"/>
        <v>-30157084.439999998</v>
      </c>
      <c r="W49" s="191">
        <f t="shared" si="85"/>
        <v>-30777255.549999997</v>
      </c>
      <c r="X49" s="191">
        <f t="shared" si="85"/>
        <v>-124233.32999999821</v>
      </c>
      <c r="Y49" s="191">
        <f t="shared" si="85"/>
        <v>54548356.879999995</v>
      </c>
      <c r="Z49" s="191">
        <f t="shared" si="85"/>
        <v>55000000</v>
      </c>
      <c r="AA49" s="191">
        <f t="shared" si="85"/>
        <v>25000000</v>
      </c>
      <c r="AB49" s="191">
        <f t="shared" si="85"/>
        <v>0</v>
      </c>
      <c r="AC49" s="191">
        <f t="shared" si="85"/>
        <v>-104485899.87</v>
      </c>
      <c r="AD49" s="191">
        <f t="shared" si="85"/>
        <v>-99529000</v>
      </c>
      <c r="AE49" s="191">
        <f t="shared" si="85"/>
        <v>-124520000</v>
      </c>
      <c r="AF49" s="191">
        <f t="shared" si="85"/>
        <v>-10088437.210000001</v>
      </c>
      <c r="AG49" s="191">
        <f t="shared" si="85"/>
        <v>14405620.730000019</v>
      </c>
      <c r="AH49" s="191">
        <f t="shared" si="85"/>
        <v>-4071000</v>
      </c>
      <c r="AI49" s="191">
        <f t="shared" si="85"/>
        <v>15929000</v>
      </c>
      <c r="AJ49" s="191">
        <f t="shared" si="85"/>
        <v>-54000000</v>
      </c>
      <c r="AK49" s="191">
        <f t="shared" si="85"/>
        <v>-9414271.5699999928</v>
      </c>
      <c r="AL49" s="191">
        <f t="shared" si="85"/>
        <v>5500000</v>
      </c>
      <c r="AM49" s="191">
        <f t="shared" si="85"/>
        <v>-14500000</v>
      </c>
      <c r="AN49" s="191">
        <f t="shared" si="85"/>
        <v>14000000</v>
      </c>
      <c r="AO49" s="191">
        <f t="shared" si="85"/>
        <v>-2816340.9900000095</v>
      </c>
      <c r="AP49" s="191">
        <f t="shared" si="85"/>
        <v>-11000000</v>
      </c>
      <c r="AQ49" s="191">
        <f t="shared" si="85"/>
        <v>-470000</v>
      </c>
      <c r="AR49" s="191">
        <f t="shared" si="85"/>
        <v>0</v>
      </c>
      <c r="AS49" s="191">
        <f t="shared" si="85"/>
        <v>-167878715.15000001</v>
      </c>
      <c r="AT49" s="191">
        <f t="shared" si="85"/>
        <v>-125000000</v>
      </c>
      <c r="AU49" s="191">
        <f t="shared" si="85"/>
        <v>-125000000</v>
      </c>
      <c r="AV49" s="191">
        <f t="shared" si="85"/>
        <v>-115000000</v>
      </c>
      <c r="AW49" s="191">
        <f t="shared" si="85"/>
        <v>-1361437.3799999952</v>
      </c>
      <c r="AX49" s="191">
        <f t="shared" si="85"/>
        <v>26530000</v>
      </c>
      <c r="AY49" s="191">
        <f t="shared" si="85"/>
        <v>6470000</v>
      </c>
      <c r="AZ49" s="191">
        <f t="shared" si="85"/>
        <v>-5000000</v>
      </c>
      <c r="BA49" s="191">
        <f t="shared" si="85"/>
        <v>109420000</v>
      </c>
      <c r="BB49" s="191">
        <f t="shared" si="85"/>
        <v>9420000</v>
      </c>
      <c r="BC49" s="191">
        <f t="shared" si="85"/>
        <v>-4580000</v>
      </c>
      <c r="BD49" s="191">
        <f t="shared" si="85"/>
        <v>610000</v>
      </c>
      <c r="BE49" s="191">
        <f t="shared" si="85"/>
        <v>-130000000</v>
      </c>
      <c r="BF49" s="191">
        <f t="shared" si="85"/>
        <v>60000000</v>
      </c>
      <c r="BG49" s="191">
        <f t="shared" si="85"/>
        <v>80000000</v>
      </c>
      <c r="BH49" s="191">
        <f t="shared" si="85"/>
        <v>40000000</v>
      </c>
      <c r="BI49" s="191">
        <f t="shared" si="85"/>
        <v>-12870000</v>
      </c>
      <c r="BJ49" s="191">
        <f t="shared" si="85"/>
        <v>-7870000</v>
      </c>
      <c r="BK49" s="191">
        <f t="shared" si="85"/>
        <v>-2870000</v>
      </c>
      <c r="BL49" s="191">
        <f t="shared" si="85"/>
        <v>0</v>
      </c>
      <c r="BM49" s="191">
        <f t="shared" si="85"/>
        <v>-1918592</v>
      </c>
      <c r="BN49" s="191">
        <f t="shared" si="85"/>
        <v>0</v>
      </c>
      <c r="BO49" s="191">
        <f t="shared" si="85"/>
        <v>22918592</v>
      </c>
      <c r="BP49" s="191">
        <f t="shared" si="85"/>
        <v>0</v>
      </c>
      <c r="BQ49" s="191">
        <f t="shared" si="85"/>
        <v>0</v>
      </c>
      <c r="BR49" s="191">
        <f t="shared" ref="BR49:BV49" si="86">BR44+BR48-BR45-BR46-BR47</f>
        <v>-2814887.33</v>
      </c>
      <c r="BS49" s="191">
        <f t="shared" si="86"/>
        <v>0</v>
      </c>
      <c r="BT49" s="191">
        <f t="shared" si="86"/>
        <v>0</v>
      </c>
      <c r="BU49" s="191">
        <f t="shared" si="86"/>
        <v>-70000000</v>
      </c>
      <c r="BV49" s="191">
        <f t="shared" si="86"/>
        <v>0</v>
      </c>
    </row>
    <row r="50" spans="1:74" s="26" customFormat="1" ht="14.45"/>
    <row r="51" spans="1:74" s="16" customFormat="1" ht="120" customHeight="1">
      <c r="A51" s="275" t="s">
        <v>665</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E12" sqref="E12"/>
    </sheetView>
  </sheetViews>
  <sheetFormatPr defaultRowHeight="13.5"/>
  <cols>
    <col min="1" max="1" width="61.25" style="17"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4" width="19.375" hidden="1" customWidth="1"/>
    <col min="55" max="56" width="17.25" hidden="1" customWidth="1"/>
    <col min="57" max="57" width="17.25" bestFit="1" customWidth="1"/>
    <col min="58" max="60" width="17.25" hidden="1" customWidth="1"/>
    <col min="61" max="61" width="17.25" bestFit="1" customWidth="1"/>
    <col min="62" max="64" width="17.25" hidden="1" customWidth="1"/>
    <col min="65" max="65" width="17.25" bestFit="1" customWidth="1"/>
    <col min="66" max="66" width="17.25" hidden="1" customWidth="1"/>
    <col min="67" max="67" width="17.25" bestFit="1" customWidth="1"/>
    <col min="68" max="70" width="17.25" hidden="1" customWidth="1"/>
    <col min="71" max="71" width="11.625" bestFit="1" customWidth="1"/>
    <col min="72" max="72" width="19.375" hidden="1" customWidth="1"/>
    <col min="73" max="73" width="19.375" bestFit="1" customWidth="1"/>
    <col min="74" max="74" width="9.5" hidden="1" customWidth="1"/>
  </cols>
  <sheetData>
    <row r="1" spans="1:74" ht="14.45">
      <c r="A1" s="17">
        <v>600529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25569</v>
      </c>
      <c r="BR1" s="1">
        <v>36707</v>
      </c>
      <c r="BS1" s="1">
        <v>36525</v>
      </c>
      <c r="BT1" s="1">
        <v>36341</v>
      </c>
      <c r="BU1" s="1">
        <v>36160</v>
      </c>
      <c r="BV1" s="1">
        <v>25569</v>
      </c>
    </row>
    <row r="2" spans="1:74" s="48" customFormat="1">
      <c r="A2" s="46" t="s">
        <v>327</v>
      </c>
    </row>
    <row r="3" spans="1:74" s="26" customFormat="1">
      <c r="A3" s="17" t="s">
        <v>328</v>
      </c>
      <c r="B3" s="26">
        <f>平均资本成本表!E53</f>
        <v>0</v>
      </c>
      <c r="E3" s="26">
        <f>股权价值增加表!E53</f>
        <v>157876</v>
      </c>
      <c r="F3" s="26">
        <f>股权价值增加表!F53</f>
        <v>0</v>
      </c>
      <c r="G3" s="26">
        <f>股权价值增加表!G53</f>
        <v>0</v>
      </c>
      <c r="H3" s="26">
        <f>股权价值增加表!H53</f>
        <v>0</v>
      </c>
      <c r="I3" s="26">
        <f>股权价值增加表!I53</f>
        <v>755142.13</v>
      </c>
      <c r="J3" s="26">
        <f>股权价值增加表!J53</f>
        <v>0</v>
      </c>
      <c r="K3" s="26">
        <f>股权价值增加表!K53</f>
        <v>0</v>
      </c>
      <c r="L3" s="26">
        <f>股权价值增加表!L53</f>
        <v>0</v>
      </c>
      <c r="M3" s="26">
        <f>股权价值增加表!M53</f>
        <v>3141467.75</v>
      </c>
      <c r="N3" s="26">
        <f>股权价值增加表!N53</f>
        <v>0</v>
      </c>
      <c r="O3" s="26">
        <f>股权价值增加表!O53</f>
        <v>0</v>
      </c>
      <c r="P3" s="26">
        <f>股权价值增加表!P53</f>
        <v>0</v>
      </c>
      <c r="Q3" s="26">
        <f>股权价值增加表!Q53</f>
        <v>4400164.51</v>
      </c>
      <c r="R3" s="26">
        <f>股权价值增加表!R53</f>
        <v>0</v>
      </c>
      <c r="S3" s="26">
        <f>股权价值增加表!S53</f>
        <v>0</v>
      </c>
      <c r="T3" s="26">
        <f>股权价值增加表!T53</f>
        <v>0</v>
      </c>
      <c r="U3" s="26">
        <f>股权价值增加表!U53</f>
        <v>5175253.71</v>
      </c>
      <c r="V3" s="26">
        <f>股权价值增加表!V53</f>
        <v>0</v>
      </c>
      <c r="W3" s="26">
        <f>股权价值增加表!W53</f>
        <v>0</v>
      </c>
      <c r="X3" s="26">
        <f>股权价值增加表!X53</f>
        <v>0</v>
      </c>
      <c r="Y3" s="26">
        <f>股权价值增加表!Y53</f>
        <v>4775537.5599999996</v>
      </c>
      <c r="Z3" s="26">
        <f>股权价值增加表!Z53</f>
        <v>0</v>
      </c>
      <c r="AA3" s="26">
        <f>股权价值增加表!AA53</f>
        <v>0</v>
      </c>
      <c r="AB3" s="26">
        <f>股权价值增加表!AB53</f>
        <v>0</v>
      </c>
      <c r="AC3" s="26">
        <f>股权价值增加表!AC53</f>
        <v>4956899.87</v>
      </c>
      <c r="AD3" s="26">
        <f>股权价值增加表!AD53</f>
        <v>0</v>
      </c>
      <c r="AE3" s="26">
        <f>股权价值增加表!AE53</f>
        <v>0</v>
      </c>
      <c r="AF3" s="26">
        <f>股权价值增加表!AF53</f>
        <v>0</v>
      </c>
      <c r="AG3" s="26">
        <f>股权价值增加表!AG53</f>
        <v>6034942.0700000003</v>
      </c>
      <c r="AH3" s="26">
        <f>股权价值增加表!AH53</f>
        <v>0</v>
      </c>
      <c r="AI3" s="26">
        <f>股权价值增加表!AI53</f>
        <v>0</v>
      </c>
      <c r="AJ3" s="26">
        <f>股权价值增加表!AJ53</f>
        <v>0</v>
      </c>
      <c r="AK3" s="26">
        <f>股权价值增加表!AK53</f>
        <v>6486271.5700000003</v>
      </c>
      <c r="AL3" s="26">
        <f>股权价值增加表!AL53</f>
        <v>0</v>
      </c>
      <c r="AM3" s="26">
        <f>股权价值增加表!AM53</f>
        <v>0</v>
      </c>
      <c r="AN3" s="26">
        <f>股权价值增加表!AN53</f>
        <v>0</v>
      </c>
      <c r="AO3" s="26">
        <f>股权价值增加表!AO53</f>
        <v>9744340.9900000002</v>
      </c>
      <c r="AP3" s="26">
        <f>股权价值增加表!AP53</f>
        <v>0</v>
      </c>
      <c r="AQ3" s="26">
        <f>股权价值增加表!AQ53</f>
        <v>0</v>
      </c>
      <c r="AR3" s="26">
        <f>股权价值增加表!AR53</f>
        <v>0</v>
      </c>
      <c r="AS3" s="26">
        <f>股权价值增加表!AS53</f>
        <v>12878715.15</v>
      </c>
      <c r="AT3" s="26">
        <f>股权价值增加表!AT53</f>
        <v>0</v>
      </c>
      <c r="AU3" s="26">
        <f>股权价值增加表!AU53</f>
        <v>0</v>
      </c>
      <c r="AV3" s="26">
        <f>股权价值增加表!AV53</f>
        <v>0</v>
      </c>
      <c r="AW3" s="26">
        <f>股权价值增加表!AW53</f>
        <v>14831437.380000001</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329</v>
      </c>
      <c r="E4" s="26">
        <f>资产资本表!E89</f>
        <v>0</v>
      </c>
      <c r="F4" s="26">
        <f>资产资本表!F89</f>
        <v>0</v>
      </c>
      <c r="G4" s="26">
        <f>资产资本表!G89</f>
        <v>0</v>
      </c>
      <c r="H4" s="26">
        <f>资产资本表!H89</f>
        <v>0</v>
      </c>
      <c r="I4" s="26">
        <f>资产资本表!I89</f>
        <v>1000000</v>
      </c>
      <c r="J4" s="26">
        <f>资产资本表!J89</f>
        <v>2800000</v>
      </c>
      <c r="K4" s="26">
        <f>资产资本表!K89</f>
        <v>32379520</v>
      </c>
      <c r="L4" s="26">
        <f>资产资本表!L89</f>
        <v>62861600</v>
      </c>
      <c r="M4" s="26">
        <f>资产资本表!M89</f>
        <v>2800000</v>
      </c>
      <c r="N4" s="26">
        <f>资产资本表!N89</f>
        <v>50254270</v>
      </c>
      <c r="O4" s="26">
        <f>资产资本表!O89</f>
        <v>123135460</v>
      </c>
      <c r="P4" s="26">
        <f>资产资本表!P89</f>
        <v>147243001.44</v>
      </c>
      <c r="Q4" s="26">
        <f>资产资本表!Q89</f>
        <v>113985036.05</v>
      </c>
      <c r="R4" s="26">
        <f>资产资本表!R89</f>
        <v>143715811.12</v>
      </c>
      <c r="S4" s="26">
        <f>资产资本表!S89</f>
        <v>75406311.109999999</v>
      </c>
      <c r="T4" s="26">
        <f>资产资本表!T89</f>
        <v>55024577.780000001</v>
      </c>
      <c r="U4" s="26">
        <f>资产资本表!U89</f>
        <v>85756077.769999996</v>
      </c>
      <c r="V4" s="26">
        <f>资产资本表!V89</f>
        <v>85157084.439999998</v>
      </c>
      <c r="W4" s="26">
        <f>资产资本表!W89</f>
        <v>85777255.549999997</v>
      </c>
      <c r="X4" s="26">
        <f>资产资本表!X89</f>
        <v>115124233.33</v>
      </c>
      <c r="Y4" s="26">
        <f>资产资本表!Y89</f>
        <v>117238605.56</v>
      </c>
      <c r="Z4" s="26">
        <f>资产资本表!Z89</f>
        <v>115312500</v>
      </c>
      <c r="AA4" s="26">
        <f>资产资本表!AA89</f>
        <v>85312500</v>
      </c>
      <c r="AB4" s="26">
        <f>资产资本表!AB89</f>
        <v>60312500</v>
      </c>
      <c r="AC4" s="26">
        <f>资产资本表!AC89</f>
        <v>60312500</v>
      </c>
      <c r="AD4" s="26">
        <f>资产资本表!AD89</f>
        <v>64062500</v>
      </c>
      <c r="AE4" s="26">
        <f>资产资本表!AE89</f>
        <v>34062500</v>
      </c>
      <c r="AF4" s="26">
        <f>资产资本表!AF89</f>
        <v>114079937.20999999</v>
      </c>
      <c r="AG4" s="26">
        <f>资产资本表!AG89</f>
        <v>124079937.2</v>
      </c>
      <c r="AH4" s="26">
        <f>资产资本表!AH89</f>
        <v>129929000</v>
      </c>
      <c r="AI4" s="26">
        <f>资产资本表!AI89</f>
        <v>149929000</v>
      </c>
      <c r="AJ4" s="26">
        <f>资产资本表!AJ89</f>
        <v>80000000</v>
      </c>
      <c r="AK4" s="26">
        <f>资产资本表!AK89</f>
        <v>134000000</v>
      </c>
      <c r="AL4" s="26">
        <f>资产资本表!AL89</f>
        <v>134000000</v>
      </c>
      <c r="AM4" s="26">
        <f>资产资本表!AM89</f>
        <v>114000000</v>
      </c>
      <c r="AN4" s="26">
        <f>资产资本表!AN89</f>
        <v>150928000</v>
      </c>
      <c r="AO4" s="26">
        <f>资产资本表!AO89</f>
        <v>136928000</v>
      </c>
      <c r="AP4" s="26">
        <f>资产资本表!AP89</f>
        <v>140158259.09</v>
      </c>
      <c r="AQ4" s="26">
        <f>资产资本表!AQ89</f>
        <v>144478395.69</v>
      </c>
      <c r="AR4" s="26">
        <f>资产资本表!AR89</f>
        <v>144212992.84</v>
      </c>
      <c r="AS4" s="26">
        <f>资产资本表!AS89</f>
        <v>142629641.84</v>
      </c>
      <c r="AT4" s="26">
        <f>资产资本表!AT89</f>
        <v>163251250.12</v>
      </c>
      <c r="AU4" s="26">
        <f>资产资本表!AU89</f>
        <v>161993347.08000001</v>
      </c>
      <c r="AV4" s="26">
        <f>资产资本表!AV89</f>
        <v>170000000</v>
      </c>
      <c r="AW4" s="26">
        <f>资产资本表!AW89</f>
        <v>285000000</v>
      </c>
      <c r="AX4" s="26">
        <f>资产资本表!AX89</f>
        <v>285000000</v>
      </c>
      <c r="AY4" s="26">
        <f>资产资本表!AY89</f>
        <v>278000000</v>
      </c>
      <c r="AZ4" s="26">
        <f>资产资本表!AZ89</f>
        <v>266530000</v>
      </c>
      <c r="BA4" s="26">
        <f>资产资本表!BA89</f>
        <v>271530000</v>
      </c>
      <c r="BB4" s="26">
        <f>资产资本表!BB89</f>
        <v>171530000</v>
      </c>
      <c r="BC4" s="26">
        <f>资产资本表!BC89</f>
        <v>157530000</v>
      </c>
      <c r="BD4" s="26">
        <f>资产资本表!BD89</f>
        <v>161500000</v>
      </c>
      <c r="BE4" s="26">
        <f>资产资本表!BE89</f>
        <v>162110000</v>
      </c>
      <c r="BF4" s="26">
        <f>资产资本表!BF89</f>
        <v>128000000</v>
      </c>
      <c r="BG4" s="26">
        <f>资产资本表!BG89</f>
        <v>148000000</v>
      </c>
      <c r="BH4" s="26">
        <f>资产资本表!BH89</f>
        <v>108000000</v>
      </c>
      <c r="BI4" s="26">
        <f>资产资本表!BI89</f>
        <v>68000000</v>
      </c>
      <c r="BJ4" s="26">
        <f>资产资本表!BJ89</f>
        <v>78000000</v>
      </c>
      <c r="BK4" s="26">
        <f>资产资本表!BK89</f>
        <v>78000000</v>
      </c>
      <c r="BL4" s="26">
        <f>资产资本表!BL89</f>
        <v>80870000</v>
      </c>
      <c r="BM4" s="26">
        <f>资产资本表!BM89</f>
        <v>80870000</v>
      </c>
      <c r="BN4" s="26">
        <f>资产资本表!BN89</f>
        <v>80870000</v>
      </c>
      <c r="BO4" s="26">
        <f>资产资本表!BO89</f>
        <v>92789024</v>
      </c>
      <c r="BP4" s="26">
        <f>资产资本表!BP89</f>
        <v>92788592</v>
      </c>
      <c r="BQ4" s="26">
        <f>资产资本表!BQ89</f>
        <v>65268700.939999998</v>
      </c>
      <c r="BR4" s="26">
        <f>资产资本表!BR89</f>
        <v>77235309.930000007</v>
      </c>
      <c r="BS4" s="26">
        <f>资产资本表!BS89</f>
        <v>0</v>
      </c>
      <c r="BT4" s="26">
        <f>资产资本表!BT89</f>
        <v>0</v>
      </c>
      <c r="BU4" s="26">
        <f>资产资本表!BU89</f>
        <v>0</v>
      </c>
      <c r="BV4" s="26">
        <f>资产资本表!BV89</f>
        <v>0</v>
      </c>
    </row>
    <row r="5" spans="1:74" s="63" customFormat="1">
      <c r="A5" s="63" t="s">
        <v>333</v>
      </c>
      <c r="E5" s="63">
        <f>IF(E4+I4=0,0,E3/((E4+I4)/2))</f>
        <v>0.31575199999999998</v>
      </c>
      <c r="F5" s="63">
        <f t="shared" ref="F5:BQ5" si="0">IF(F4+J4=0,0,F3/((F4+J4)/2))</f>
        <v>0</v>
      </c>
      <c r="G5" s="63">
        <f t="shared" si="0"/>
        <v>0</v>
      </c>
      <c r="H5" s="63">
        <f t="shared" si="0"/>
        <v>0</v>
      </c>
      <c r="I5" s="63">
        <f t="shared" si="0"/>
        <v>0.39744322631578949</v>
      </c>
      <c r="J5" s="63">
        <f t="shared" si="0"/>
        <v>0</v>
      </c>
      <c r="K5" s="63">
        <f t="shared" si="0"/>
        <v>0</v>
      </c>
      <c r="L5" s="63">
        <f t="shared" si="0"/>
        <v>0</v>
      </c>
      <c r="M5" s="63">
        <f t="shared" si="0"/>
        <v>5.3799148525415896E-2</v>
      </c>
      <c r="N5" s="63">
        <f t="shared" si="0"/>
        <v>0</v>
      </c>
      <c r="O5" s="63">
        <f t="shared" si="0"/>
        <v>0</v>
      </c>
      <c r="P5" s="63">
        <f t="shared" si="0"/>
        <v>0</v>
      </c>
      <c r="Q5" s="63">
        <f t="shared" si="0"/>
        <v>4.405867601164256E-2</v>
      </c>
      <c r="R5" s="63">
        <f t="shared" si="0"/>
        <v>0</v>
      </c>
      <c r="S5" s="63">
        <f t="shared" si="0"/>
        <v>0</v>
      </c>
      <c r="T5" s="63">
        <f t="shared" si="0"/>
        <v>0</v>
      </c>
      <c r="U5" s="63">
        <f t="shared" si="0"/>
        <v>5.0989056709301157E-2</v>
      </c>
      <c r="V5" s="63">
        <f t="shared" si="0"/>
        <v>0</v>
      </c>
      <c r="W5" s="63">
        <f t="shared" si="0"/>
        <v>0</v>
      </c>
      <c r="X5" s="63">
        <f t="shared" si="0"/>
        <v>0</v>
      </c>
      <c r="Y5" s="63">
        <f t="shared" si="0"/>
        <v>5.379338579658912E-2</v>
      </c>
      <c r="Z5" s="63">
        <f t="shared" si="0"/>
        <v>0</v>
      </c>
      <c r="AA5" s="63">
        <f t="shared" si="0"/>
        <v>0</v>
      </c>
      <c r="AB5" s="63">
        <f t="shared" si="0"/>
        <v>0</v>
      </c>
      <c r="AC5" s="63">
        <f t="shared" si="0"/>
        <v>5.3764676526549003E-2</v>
      </c>
      <c r="AD5" s="63">
        <f t="shared" si="0"/>
        <v>0</v>
      </c>
      <c r="AE5" s="63">
        <f t="shared" si="0"/>
        <v>0</v>
      </c>
      <c r="AF5" s="63">
        <f t="shared" si="0"/>
        <v>0</v>
      </c>
      <c r="AG5" s="63">
        <f t="shared" si="0"/>
        <v>4.676800634311376E-2</v>
      </c>
      <c r="AH5" s="63">
        <f t="shared" si="0"/>
        <v>0</v>
      </c>
      <c r="AI5" s="63">
        <f t="shared" si="0"/>
        <v>0</v>
      </c>
      <c r="AJ5" s="63">
        <f t="shared" si="0"/>
        <v>0</v>
      </c>
      <c r="AK5" s="63">
        <f t="shared" si="0"/>
        <v>4.7881884264454028E-2</v>
      </c>
      <c r="AL5" s="63">
        <f t="shared" si="0"/>
        <v>0</v>
      </c>
      <c r="AM5" s="63">
        <f t="shared" si="0"/>
        <v>0</v>
      </c>
      <c r="AN5" s="63">
        <f t="shared" si="0"/>
        <v>0</v>
      </c>
      <c r="AO5" s="63">
        <f t="shared" si="0"/>
        <v>6.9712571088126465E-2</v>
      </c>
      <c r="AP5" s="63">
        <f t="shared" si="0"/>
        <v>0</v>
      </c>
      <c r="AQ5" s="63">
        <f t="shared" si="0"/>
        <v>0</v>
      </c>
      <c r="AR5" s="63">
        <f t="shared" si="0"/>
        <v>0</v>
      </c>
      <c r="AS5" s="63">
        <f t="shared" si="0"/>
        <v>6.0233032932822943E-2</v>
      </c>
      <c r="AT5" s="63">
        <f t="shared" si="0"/>
        <v>0</v>
      </c>
      <c r="AU5" s="63">
        <f t="shared" si="0"/>
        <v>0</v>
      </c>
      <c r="AV5" s="63">
        <f t="shared" si="0"/>
        <v>0</v>
      </c>
      <c r="AW5" s="63">
        <f t="shared" si="0"/>
        <v>5.3299686917147329E-2</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c r="A6" s="63" t="s">
        <v>346</v>
      </c>
      <c r="E6" s="63">
        <f>股权价值增加表!E41</f>
        <v>0.16852294328107201</v>
      </c>
      <c r="F6" s="63">
        <f>股权价值增加表!F41</f>
        <v>0.16472888790392048</v>
      </c>
      <c r="G6" s="63">
        <f>股权价值增加表!G41</f>
        <v>0.16411410012757816</v>
      </c>
      <c r="H6" s="63">
        <f>股权价值增加表!H41</f>
        <v>0.1608614024102123</v>
      </c>
      <c r="I6" s="63">
        <f>股权价值增加表!I41</f>
        <v>0.1987392162313697</v>
      </c>
      <c r="J6" s="63">
        <f>股权价值增加表!J41</f>
        <v>0.2841595040028303</v>
      </c>
      <c r="K6" s="63">
        <f>股权价值增加表!K41</f>
        <v>0.28230268708056572</v>
      </c>
      <c r="L6" s="63">
        <f>股权价值增加表!L41</f>
        <v>0.25962297750770541</v>
      </c>
      <c r="M6" s="63">
        <f>股权价值增加表!M41</f>
        <v>0.25604857616327731</v>
      </c>
      <c r="N6" s="63">
        <f>股权价值增加表!N41</f>
        <v>0.25097865819479642</v>
      </c>
      <c r="O6" s="63">
        <f>股权价值增加表!O41</f>
        <v>0.25049761583999108</v>
      </c>
      <c r="P6" s="63">
        <f>股权价值增加表!P41</f>
        <v>0.24850185977581998</v>
      </c>
      <c r="Q6" s="63">
        <f>股权价值增加表!Q41</f>
        <v>0.26647135353932555</v>
      </c>
      <c r="R6" s="63">
        <f>股权价值增加表!R41</f>
        <v>0.25704376983492411</v>
      </c>
      <c r="S6" s="63">
        <f>股权价值增加表!S41</f>
        <v>0.25273364198605364</v>
      </c>
      <c r="T6" s="63">
        <f>股权价值增加表!T41</f>
        <v>0.2592382621273378</v>
      </c>
      <c r="U6" s="63">
        <f>股权价值增加表!U41</f>
        <v>0.26627225110933955</v>
      </c>
      <c r="V6" s="63">
        <f>股权价值增加表!V41</f>
        <v>0.23238764844244686</v>
      </c>
      <c r="W6" s="63">
        <f>股权价值增加表!W41</f>
        <v>0.24164088936949837</v>
      </c>
      <c r="X6" s="63">
        <f>股权价值增加表!X41</f>
        <v>0.23507623504372391</v>
      </c>
      <c r="Y6" s="63">
        <f>股权价值增加表!Y41</f>
        <v>0.25568481843793839</v>
      </c>
      <c r="Z6" s="63">
        <f>股权价值增加表!Z41</f>
        <v>0.2577168274033762</v>
      </c>
      <c r="AA6" s="63">
        <f>股权价值增加表!AA41</f>
        <v>0.2589159960546295</v>
      </c>
      <c r="AB6" s="63">
        <f>股权价值增加表!AB41</f>
        <v>0.24812034529300278</v>
      </c>
      <c r="AC6" s="63">
        <f>股权价值增加表!AC41</f>
        <v>0.20911657250727395</v>
      </c>
      <c r="AD6" s="63">
        <f>股权价值增加表!AD41</f>
        <v>0.21405297157725181</v>
      </c>
      <c r="AE6" s="63">
        <f>股权价值增加表!AE41</f>
        <v>0.19668885924515794</v>
      </c>
      <c r="AF6" s="63">
        <f>股权价值增加表!AF41</f>
        <v>0.25499987626928539</v>
      </c>
      <c r="AG6" s="63">
        <f>股权价值增加表!AG41</f>
        <v>0.17269069575825055</v>
      </c>
      <c r="AH6" s="63">
        <f>股权价值增加表!AH41</f>
        <v>0.16168516792108578</v>
      </c>
      <c r="AI6" s="63">
        <f>股权价值增加表!AI41</f>
        <v>0.1555187421170941</v>
      </c>
      <c r="AJ6" s="63">
        <f>股权价值增加表!AJ41</f>
        <v>0.1503059707769912</v>
      </c>
      <c r="AK6" s="63">
        <f>股权价值增加表!AK41</f>
        <v>0.16534227898201909</v>
      </c>
      <c r="AL6" s="63">
        <f>股权价值增加表!AL41</f>
        <v>0.1777408757455412</v>
      </c>
      <c r="AM6" s="63">
        <f>股权价值增加表!AM41</f>
        <v>0.17471181357980514</v>
      </c>
      <c r="AN6" s="63">
        <f>股权价值增加表!AN41</f>
        <v>0.15154485496859488</v>
      </c>
      <c r="AO6" s="63">
        <f>股权价值增加表!AO41</f>
        <v>0.1530299063823598</v>
      </c>
      <c r="AP6" s="63">
        <f>股权价值增加表!AP41</f>
        <v>0.23036550729707927</v>
      </c>
      <c r="AQ6" s="63">
        <f>股权价值增加表!AQ41</f>
        <v>0.21984148875068193</v>
      </c>
      <c r="AR6" s="63">
        <f>股权价值增加表!AR41</f>
        <v>0.25384894711499634</v>
      </c>
      <c r="AS6" s="63">
        <f>股权价值增加表!AS41</f>
        <v>0.30394794121274332</v>
      </c>
      <c r="AT6" s="63">
        <f>股权价值增加表!AT41</f>
        <v>5.3421382411428693E-2</v>
      </c>
      <c r="AU6" s="63">
        <f>股权价值增加表!AU41</f>
        <v>0.29202576239982198</v>
      </c>
      <c r="AV6" s="63">
        <f>股权价值增加表!AV41</f>
        <v>0.2980963575049953</v>
      </c>
      <c r="AW6" s="63">
        <f>股权价值增加表!AW41</f>
        <v>0.34468639449838723</v>
      </c>
      <c r="AX6" s="63">
        <f>股权价值增加表!AX41</f>
        <v>0.29820167994295138</v>
      </c>
      <c r="AY6" s="63">
        <f>股权价值增加表!AY41</f>
        <v>0.28844889526746781</v>
      </c>
      <c r="AZ6" s="63">
        <f>股权价值增加表!AZ41</f>
        <v>0.32203063373461654</v>
      </c>
      <c r="BA6" s="63">
        <f>股权价值增加表!BA41</f>
        <v>0.32196181226175946</v>
      </c>
      <c r="BB6" s="63">
        <f>股权价值增加表!BB41</f>
        <v>0.3164668634953216</v>
      </c>
      <c r="BC6" s="63">
        <f>股权价值增加表!BC41</f>
        <v>0.33105165538694792</v>
      </c>
      <c r="BD6" s="63">
        <f>股权价值增加表!BD41</f>
        <v>0.32633110234375368</v>
      </c>
      <c r="BE6" s="63">
        <f>股权价值增加表!BE41</f>
        <v>0.34845464050653674</v>
      </c>
      <c r="BF6" s="63">
        <f>股权价值增加表!BF41</f>
        <v>0.32910919758169616</v>
      </c>
      <c r="BG6" s="63">
        <f>股权价值增加表!BG41</f>
        <v>0.33929017008510404</v>
      </c>
      <c r="BH6" s="63">
        <f>股权价值增加表!BH41</f>
        <v>0.33700703335554749</v>
      </c>
      <c r="BI6" s="63">
        <f>股权价值增加表!BI41</f>
        <v>0.34561598471411098</v>
      </c>
      <c r="BJ6" s="63">
        <f>股权价值增加表!BJ41</f>
        <v>0.32733028897840605</v>
      </c>
      <c r="BK6" s="63">
        <f>股权价值增加表!BK41</f>
        <v>0.32711179715047578</v>
      </c>
      <c r="BL6" s="63">
        <f>股权价值增加表!BL41</f>
        <v>0.34135184541868918</v>
      </c>
      <c r="BM6" s="63">
        <f>股权价值增加表!BM41</f>
        <v>0.29582945718583792</v>
      </c>
      <c r="BN6" s="63">
        <f>股权价值增加表!BN41</f>
        <v>0.30786512495003848</v>
      </c>
      <c r="BO6" s="63">
        <f>股权价值增加表!BO41</f>
        <v>0.31253545119169274</v>
      </c>
      <c r="BP6" s="63">
        <f>股权价值增加表!BP41</f>
        <v>0.30954769512053676</v>
      </c>
      <c r="BQ6" s="63">
        <f>股权价值增加表!BQ41</f>
        <v>0.34787301958556899</v>
      </c>
      <c r="BR6" s="63">
        <f>股权价值增加表!BR41</f>
        <v>0.30876443681740301</v>
      </c>
      <c r="BS6" s="63">
        <f>股权价值增加表!BS41</f>
        <v>0.30697610742472747</v>
      </c>
      <c r="BT6" s="63" t="e">
        <f>股权价值增加表!BT41</f>
        <v>#DIV/0!</v>
      </c>
      <c r="BU6" s="63">
        <f>股权价值增加表!BU41</f>
        <v>14.285141378045161</v>
      </c>
    </row>
    <row r="7" spans="1:74" s="63" customFormat="1">
      <c r="A7" s="63" t="s">
        <v>330</v>
      </c>
      <c r="E7" s="63">
        <f>E5*(1-E6)</f>
        <v>0.26254054361311496</v>
      </c>
      <c r="F7" s="63">
        <f t="shared" ref="F7:BQ7" si="2">F5*(1-F6)</f>
        <v>0</v>
      </c>
      <c r="G7" s="63">
        <f t="shared" si="2"/>
        <v>0</v>
      </c>
      <c r="H7" s="63">
        <f t="shared" si="2"/>
        <v>0</v>
      </c>
      <c r="I7" s="63">
        <f t="shared" si="2"/>
        <v>0.31845567102132261</v>
      </c>
      <c r="J7" s="63">
        <f t="shared" si="2"/>
        <v>0</v>
      </c>
      <c r="K7" s="63">
        <f t="shared" si="2"/>
        <v>0</v>
      </c>
      <c r="L7" s="63">
        <f t="shared" si="2"/>
        <v>0</v>
      </c>
      <c r="M7" s="63">
        <f t="shared" si="2"/>
        <v>4.0023953146686476E-2</v>
      </c>
      <c r="N7" s="63">
        <f t="shared" si="2"/>
        <v>0</v>
      </c>
      <c r="O7" s="63">
        <f t="shared" si="2"/>
        <v>0</v>
      </c>
      <c r="P7" s="63">
        <f t="shared" si="2"/>
        <v>0</v>
      </c>
      <c r="Q7" s="63">
        <f t="shared" si="2"/>
        <v>3.2318300979669555E-2</v>
      </c>
      <c r="R7" s="63">
        <f t="shared" si="2"/>
        <v>0</v>
      </c>
      <c r="S7" s="63">
        <f t="shared" si="2"/>
        <v>0</v>
      </c>
      <c r="T7" s="63">
        <f t="shared" si="2"/>
        <v>0</v>
      </c>
      <c r="U7" s="63">
        <f t="shared" si="2"/>
        <v>3.7412085797373762E-2</v>
      </c>
      <c r="V7" s="63">
        <f t="shared" si="2"/>
        <v>0</v>
      </c>
      <c r="W7" s="63">
        <f t="shared" si="2"/>
        <v>0</v>
      </c>
      <c r="X7" s="63">
        <f t="shared" si="2"/>
        <v>0</v>
      </c>
      <c r="Y7" s="63">
        <f t="shared" si="2"/>
        <v>4.003923371602626E-2</v>
      </c>
      <c r="Z7" s="63">
        <f t="shared" si="2"/>
        <v>0</v>
      </c>
      <c r="AA7" s="63">
        <f t="shared" si="2"/>
        <v>0</v>
      </c>
      <c r="AB7" s="63">
        <f t="shared" si="2"/>
        <v>0</v>
      </c>
      <c r="AC7" s="63">
        <f t="shared" si="2"/>
        <v>4.252159164935479E-2</v>
      </c>
      <c r="AD7" s="63">
        <f t="shared" si="2"/>
        <v>0</v>
      </c>
      <c r="AE7" s="63">
        <f t="shared" si="2"/>
        <v>0</v>
      </c>
      <c r="AF7" s="63">
        <f t="shared" si="2"/>
        <v>0</v>
      </c>
      <c r="AG7" s="63">
        <f t="shared" si="2"/>
        <v>3.8691606788495168E-2</v>
      </c>
      <c r="AH7" s="63">
        <f t="shared" si="2"/>
        <v>0</v>
      </c>
      <c r="AI7" s="63">
        <f t="shared" si="2"/>
        <v>0</v>
      </c>
      <c r="AJ7" s="63">
        <f t="shared" si="2"/>
        <v>0</v>
      </c>
      <c r="AK7" s="63">
        <f t="shared" si="2"/>
        <v>3.9964984398215921E-2</v>
      </c>
      <c r="AL7" s="63">
        <f t="shared" si="2"/>
        <v>0</v>
      </c>
      <c r="AM7" s="63">
        <f t="shared" si="2"/>
        <v>0</v>
      </c>
      <c r="AN7" s="63">
        <f t="shared" si="2"/>
        <v>0</v>
      </c>
      <c r="AO7" s="63">
        <f t="shared" si="2"/>
        <v>5.9044462860836873E-2</v>
      </c>
      <c r="AP7" s="63">
        <f t="shared" si="2"/>
        <v>0</v>
      </c>
      <c r="AQ7" s="63">
        <f t="shared" si="2"/>
        <v>0</v>
      </c>
      <c r="AR7" s="63">
        <f t="shared" si="2"/>
        <v>0</v>
      </c>
      <c r="AS7" s="63">
        <f t="shared" si="2"/>
        <v>4.1925326579892043E-2</v>
      </c>
      <c r="AT7" s="63">
        <f t="shared" si="2"/>
        <v>0</v>
      </c>
      <c r="AU7" s="63">
        <f t="shared" si="2"/>
        <v>0</v>
      </c>
      <c r="AV7" s="63">
        <f t="shared" si="2"/>
        <v>0</v>
      </c>
      <c r="AW7" s="63">
        <f t="shared" si="2"/>
        <v>3.4928010005782953E-2</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t="e">
        <f>BT5*(1-BT6)</f>
        <v>#DIV/0!</v>
      </c>
      <c r="BU7" s="63">
        <f>BU5*(1-BU6)</f>
        <v>0</v>
      </c>
      <c r="BV7" s="63">
        <f>BV5*(1-BV6)</f>
        <v>0</v>
      </c>
    </row>
    <row r="8" spans="1:74" s="26" customFormat="1">
      <c r="A8" s="17" t="s">
        <v>331</v>
      </c>
      <c r="E8" s="26">
        <f>资产资本表!E107</f>
        <v>3250316273.8699999</v>
      </c>
      <c r="F8" s="26">
        <f>资产资本表!F107</f>
        <v>3186125630.9000001</v>
      </c>
      <c r="G8" s="26">
        <f>资产资本表!G107</f>
        <v>3117844232.3000002</v>
      </c>
      <c r="H8" s="26">
        <f>资产资本表!H107</f>
        <v>3109775881</v>
      </c>
      <c r="I8" s="26">
        <f>资产资本表!I107</f>
        <v>3043601049.46</v>
      </c>
      <c r="J8" s="26">
        <f>资产资本表!J107</f>
        <v>2317870861.9499998</v>
      </c>
      <c r="K8" s="26">
        <f>资产资本表!K107</f>
        <v>2273120031.4200001</v>
      </c>
      <c r="L8" s="26">
        <f>资产资本表!L107</f>
        <v>2232695731.3399997</v>
      </c>
      <c r="M8" s="26">
        <f>资产资本表!M107</f>
        <v>2237460759.3099999</v>
      </c>
      <c r="N8" s="26">
        <f>资产资本表!N107</f>
        <v>2202624253.98</v>
      </c>
      <c r="O8" s="26">
        <f>资产资本表!O107</f>
        <v>2159537335.2199998</v>
      </c>
      <c r="P8" s="26">
        <f>资产资本表!P107</f>
        <v>2157144973.29</v>
      </c>
      <c r="Q8" s="26">
        <f>资产资本表!Q107</f>
        <v>2125618618.45</v>
      </c>
      <c r="R8" s="26">
        <f>资产资本表!R107</f>
        <v>2097304878.8099999</v>
      </c>
      <c r="S8" s="26">
        <f>资产资本表!S107</f>
        <v>2056460938.1700001</v>
      </c>
      <c r="T8" s="26">
        <f>资产资本表!T107</f>
        <v>2058379800.1700001</v>
      </c>
      <c r="U8" s="26">
        <f>资产资本表!U107</f>
        <v>2029982702.03</v>
      </c>
      <c r="V8" s="26">
        <f>资产资本表!V107</f>
        <v>2008620600.6199999</v>
      </c>
      <c r="W8" s="26">
        <f>资产资本表!W107</f>
        <v>1973791487.95</v>
      </c>
      <c r="X8" s="26">
        <f>资产资本表!X107</f>
        <v>1974316064.77</v>
      </c>
      <c r="Y8" s="26">
        <f>资产资本表!Y107</f>
        <v>1940346924.02</v>
      </c>
      <c r="Z8" s="26">
        <f>资产资本表!Z107</f>
        <v>1918477114.8699999</v>
      </c>
      <c r="AA8" s="26">
        <f>资产资本表!AA107</f>
        <v>1886147459.98</v>
      </c>
      <c r="AB8" s="26">
        <f>资产资本表!AB107</f>
        <v>1876088280.9300001</v>
      </c>
      <c r="AC8" s="26">
        <f>资产资本表!AC107</f>
        <v>1849746623.21</v>
      </c>
      <c r="AD8" s="26">
        <f>资产资本表!AD107</f>
        <v>1831339430.6800001</v>
      </c>
      <c r="AE8" s="26">
        <f>资产资本表!AE107</f>
        <v>1799745295.6900001</v>
      </c>
      <c r="AF8" s="26">
        <f>资产资本表!AF107</f>
        <v>1787903463.5999999</v>
      </c>
      <c r="AG8" s="26">
        <f>资产资本表!AG107</f>
        <v>1745349583.02</v>
      </c>
      <c r="AH8" s="26">
        <f>资产资本表!AH107</f>
        <v>1714008181.8</v>
      </c>
      <c r="AI8" s="26">
        <f>资产资本表!AI107</f>
        <v>1665486386.6400001</v>
      </c>
      <c r="AJ8" s="26">
        <f>资产资本表!AJ107</f>
        <v>1640226597.23</v>
      </c>
      <c r="AK8" s="26">
        <f>资产资本表!AK107</f>
        <v>1593219837.21</v>
      </c>
      <c r="AL8" s="26">
        <f>资产资本表!AL107</f>
        <v>1555833053.1399999</v>
      </c>
      <c r="AM8" s="26">
        <f>资产资本表!AM107</f>
        <v>1519899478.52</v>
      </c>
      <c r="AN8" s="26">
        <f>资产资本表!AN107</f>
        <v>1488504145.6800001</v>
      </c>
      <c r="AO8" s="26">
        <f>资产资本表!AO107</f>
        <v>1454822094.0999999</v>
      </c>
      <c r="AP8" s="26">
        <f>资产资本表!AP107</f>
        <v>1405584675.1000001</v>
      </c>
      <c r="AQ8" s="26">
        <f>资产资本表!AQ107</f>
        <v>1373095673.8899999</v>
      </c>
      <c r="AR8" s="26">
        <f>资产资本表!AR107</f>
        <v>1336188571.27</v>
      </c>
      <c r="AS8" s="26">
        <f>资产资本表!AS107</f>
        <v>1306727492.77</v>
      </c>
      <c r="AT8" s="26">
        <f>资产资本表!AT107</f>
        <v>1283081768.6300001</v>
      </c>
      <c r="AU8" s="26">
        <f>资产资本表!AU107</f>
        <v>1253469882.6900001</v>
      </c>
      <c r="AV8" s="26">
        <f>资产资本表!AV107</f>
        <v>1250278007.25</v>
      </c>
      <c r="AW8" s="26">
        <f>资产资本表!AW107</f>
        <v>924737532.19999993</v>
      </c>
      <c r="AX8" s="26">
        <f>资产资本表!AX107</f>
        <v>911398960.63000011</v>
      </c>
      <c r="AY8" s="26">
        <f>资产资本表!AY107</f>
        <v>885823580.24000001</v>
      </c>
      <c r="AZ8" s="26">
        <f>资产资本表!AZ107</f>
        <v>883233826.37</v>
      </c>
      <c r="BA8" s="26">
        <f>资产资本表!BA107</f>
        <v>861573416.34000003</v>
      </c>
      <c r="BB8" s="26">
        <f>资产资本表!BB107</f>
        <v>840932219.51999998</v>
      </c>
      <c r="BC8" s="26">
        <f>资产资本表!BC107</f>
        <v>819510410.13</v>
      </c>
      <c r="BD8" s="26">
        <f>资产资本表!BD107</f>
        <v>817007403.5</v>
      </c>
      <c r="BE8" s="26">
        <f>资产资本表!BE107</f>
        <v>797185017.19999993</v>
      </c>
      <c r="BF8" s="26">
        <f>资产资本表!BF107</f>
        <v>770765861.47000003</v>
      </c>
      <c r="BG8" s="26">
        <f>资产资本表!BG107</f>
        <v>751208658.25</v>
      </c>
      <c r="BH8" s="26">
        <f>资产资本表!BH107</f>
        <v>742674159.07000005</v>
      </c>
      <c r="BI8" s="26">
        <f>资产资本表!BI107</f>
        <v>659073430.80999994</v>
      </c>
      <c r="BJ8" s="26">
        <f>资产资本表!BJ107</f>
        <v>702026263.73000002</v>
      </c>
      <c r="BK8" s="26">
        <f>资产资本表!BK107</f>
        <v>683691473.10000002</v>
      </c>
      <c r="BL8" s="26">
        <f>资产资本表!BL107</f>
        <v>662529119.54000008</v>
      </c>
      <c r="BM8" s="26">
        <f>资产资本表!BM107</f>
        <v>658555870.88999999</v>
      </c>
      <c r="BN8" s="26">
        <f>资产资本表!BN107</f>
        <v>638327152.89999998</v>
      </c>
      <c r="BO8" s="26">
        <f>资产资本表!BO107</f>
        <v>631094619.77999997</v>
      </c>
      <c r="BP8" s="26">
        <f>资产资本表!BP107</f>
        <v>224337219.06999999</v>
      </c>
      <c r="BQ8" s="26">
        <f>资产资本表!BQ107</f>
        <v>188325655.61000001</v>
      </c>
      <c r="BR8" s="26">
        <f>资产资本表!BR107</f>
        <v>158782706.31</v>
      </c>
      <c r="BS8" s="26">
        <f>资产资本表!BS107</f>
        <v>0</v>
      </c>
      <c r="BT8" s="26">
        <f>资产资本表!BT107</f>
        <v>4238623191.5</v>
      </c>
      <c r="BU8" s="26">
        <f>资产资本表!BU107</f>
        <v>3191216198.9499998</v>
      </c>
    </row>
    <row r="9" spans="1:74" s="63" customFormat="1">
      <c r="A9" s="63" t="s">
        <v>738</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c r="A10" s="17" t="s">
        <v>332</v>
      </c>
      <c r="E10" s="26">
        <f>资产资本表!E70</f>
        <v>3259824425.6699996</v>
      </c>
      <c r="F10" s="26">
        <f>资产资本表!F70</f>
        <v>3195633782.6999998</v>
      </c>
      <c r="G10" s="26">
        <f>资产资本表!G70</f>
        <v>3178555226.9000006</v>
      </c>
      <c r="H10" s="26">
        <f>资产资本表!H70</f>
        <v>3114439165.9300003</v>
      </c>
      <c r="I10" s="26">
        <f>资产资本表!I70</f>
        <v>3049264334.3900003</v>
      </c>
      <c r="J10" s="26">
        <f>资产资本表!J70</f>
        <v>2325334146.8800001</v>
      </c>
      <c r="K10" s="26">
        <f>资产资本表!K70</f>
        <v>2347050102.6900005</v>
      </c>
      <c r="L10" s="26">
        <f>资产资本表!L70</f>
        <v>2372780572.4499998</v>
      </c>
      <c r="M10" s="26">
        <f>资产资本表!M70</f>
        <v>2240260759.3099995</v>
      </c>
      <c r="N10" s="26">
        <f>资产资本表!N70</f>
        <v>2257849594.46</v>
      </c>
      <c r="O10" s="26">
        <f>资产资本表!O70</f>
        <v>2321279863.6399999</v>
      </c>
      <c r="P10" s="26">
        <f>资产资本表!P70</f>
        <v>2308502640.3499999</v>
      </c>
      <c r="Q10" s="26">
        <f>资产资本表!Q70</f>
        <v>2243718320.1199999</v>
      </c>
      <c r="R10" s="26">
        <f>资产资本表!R70</f>
        <v>2248503690.1999998</v>
      </c>
      <c r="S10" s="26">
        <f>资产资本表!S70</f>
        <v>2172986247.4899998</v>
      </c>
      <c r="T10" s="26">
        <f>资产资本表!T70</f>
        <v>2115916359.51</v>
      </c>
      <c r="U10" s="26">
        <f>资产资本表!U70</f>
        <v>2120266850.1600003</v>
      </c>
      <c r="V10" s="26">
        <f>资产资本表!V70</f>
        <v>2102146106.0200002</v>
      </c>
      <c r="W10" s="26">
        <f>资产资本表!W70</f>
        <v>2097314673.74</v>
      </c>
      <c r="X10" s="26">
        <f>资产资本表!X70</f>
        <v>2091153012.8</v>
      </c>
      <c r="Y10" s="26">
        <f>资产资本表!Y70</f>
        <v>2059298244.2799997</v>
      </c>
      <c r="Z10" s="26">
        <f>资产资本表!Z70</f>
        <v>2035502329.5700002</v>
      </c>
      <c r="AA10" s="26">
        <f>资产资本表!AA70</f>
        <v>1998339780.8799999</v>
      </c>
      <c r="AB10" s="26">
        <f>资产资本表!AB70</f>
        <v>1937542590.73</v>
      </c>
      <c r="AC10" s="26">
        <f>资产资本表!AC70</f>
        <v>1912640996.4399996</v>
      </c>
      <c r="AD10" s="26">
        <f>资产资本表!AD70</f>
        <v>1897983803.9100003</v>
      </c>
      <c r="AE10" s="26">
        <f>资产资本表!AE70</f>
        <v>1839132776.4900002</v>
      </c>
      <c r="AF10" s="26">
        <f>资产资本表!AF70</f>
        <v>1902554305.71</v>
      </c>
      <c r="AG10" s="26">
        <f>资产资本表!AG70</f>
        <v>1870000425.1199996</v>
      </c>
      <c r="AH10" s="26">
        <f>资产资本表!AH70</f>
        <v>1847257394.27</v>
      </c>
      <c r="AI10" s="26">
        <f>资产资本表!AI70</f>
        <v>1820175662.54</v>
      </c>
      <c r="AJ10" s="26">
        <f>资产资本表!AJ70</f>
        <v>1720226597.2300003</v>
      </c>
      <c r="AK10" s="26">
        <f>资产资本表!AK70</f>
        <v>1727219837.21</v>
      </c>
      <c r="AL10" s="26">
        <f>资产资本表!AL70</f>
        <v>1692334674.2799997</v>
      </c>
      <c r="AM10" s="26">
        <f>资产资本表!AM70</f>
        <v>1637217646.22</v>
      </c>
      <c r="AN10" s="26">
        <f>资产资本表!AN70</f>
        <v>1639432145.6800001</v>
      </c>
      <c r="AO10" s="26">
        <f>资产资本表!AO70</f>
        <v>1591750094.1000001</v>
      </c>
      <c r="AP10" s="26">
        <f>资产资本表!AP70</f>
        <v>1545742934.1899998</v>
      </c>
      <c r="AQ10" s="26">
        <f>资产资本表!AQ70</f>
        <v>1517574069.5799999</v>
      </c>
      <c r="AR10" s="26">
        <f>资产资本表!AR70</f>
        <v>1480401564.1100001</v>
      </c>
      <c r="AS10" s="26">
        <f>资产资本表!AS70</f>
        <v>1449357134.6099999</v>
      </c>
      <c r="AT10" s="26">
        <f>资产资本表!AT70</f>
        <v>1446333018.75</v>
      </c>
      <c r="AU10" s="26">
        <f>资产资本表!AU70</f>
        <v>1419825602.5100002</v>
      </c>
      <c r="AV10" s="26">
        <f>资产资本表!AV70</f>
        <v>1420278007.2499998</v>
      </c>
      <c r="AW10" s="26">
        <f>资产资本表!AW70</f>
        <v>1210118014.21</v>
      </c>
      <c r="AX10" s="26">
        <f>资产资本表!AX70</f>
        <v>1195915083.76</v>
      </c>
      <c r="AY10" s="26">
        <f>资产资本表!AY70</f>
        <v>1162724209.8400002</v>
      </c>
      <c r="AZ10" s="26">
        <f>资产资本表!AZ70</f>
        <v>1149677315.9199998</v>
      </c>
      <c r="BA10" s="26">
        <f>资产资本表!BA70</f>
        <v>1133665836.2199998</v>
      </c>
      <c r="BB10" s="26">
        <f>资产资本表!BB70</f>
        <v>1012160829.2400001</v>
      </c>
      <c r="BC10" s="26">
        <f>资产资本表!BC70</f>
        <v>976673240.80999994</v>
      </c>
      <c r="BD10" s="26">
        <f>资产资本表!BD70</f>
        <v>978426961.20999992</v>
      </c>
      <c r="BE10" s="26">
        <f>资产资本表!BE70</f>
        <v>959612716.39999998</v>
      </c>
      <c r="BF10" s="26">
        <f>资产资本表!BF70</f>
        <v>901143623.43000007</v>
      </c>
      <c r="BG10" s="26">
        <f>资产资本表!BG70</f>
        <v>901534938.90999985</v>
      </c>
      <c r="BH10" s="26">
        <f>资产资本表!BH70</f>
        <v>850857440.19999993</v>
      </c>
      <c r="BI10" s="26">
        <f>资产资本表!BI70</f>
        <v>793349576.8900001</v>
      </c>
      <c r="BJ10" s="26">
        <f>资产资本表!BJ70</f>
        <v>780126099.06000006</v>
      </c>
      <c r="BK10" s="26">
        <f>资产资本表!BK70</f>
        <v>761757003.18000007</v>
      </c>
      <c r="BL10" s="26">
        <f>资产资本表!BL70</f>
        <v>751416999.48000002</v>
      </c>
      <c r="BM10" s="26">
        <f>资产资本表!BM70</f>
        <v>739639680.1099999</v>
      </c>
      <c r="BN10" s="26">
        <f>资产资本表!BN70</f>
        <v>719359636.58000004</v>
      </c>
      <c r="BO10" s="26">
        <f>资产资本表!BO70</f>
        <v>739840619.45999992</v>
      </c>
      <c r="BP10" s="26">
        <f>资产资本表!BP70</f>
        <v>319060671.80000007</v>
      </c>
      <c r="BQ10" s="26">
        <f>资产资本表!BQ70</f>
        <v>264542302.21000001</v>
      </c>
      <c r="BR10" s="26">
        <f>资产资本表!BR70</f>
        <v>247650397.78999999</v>
      </c>
      <c r="BS10" s="26">
        <f>资产资本表!BS70</f>
        <v>0</v>
      </c>
      <c r="BT10" s="26">
        <f>资产资本表!BT70</f>
        <v>0</v>
      </c>
      <c r="BU10" s="26">
        <f>资产资本表!BU70</f>
        <v>0</v>
      </c>
    </row>
    <row r="11" spans="1:74" s="63" customFormat="1">
      <c r="A11" s="17" t="s">
        <v>347</v>
      </c>
      <c r="E11" s="63">
        <f>E4/E10</f>
        <v>0</v>
      </c>
      <c r="F11" s="63">
        <f t="shared" ref="F11:BQ11" si="3">F4/F10</f>
        <v>0</v>
      </c>
      <c r="G11" s="63">
        <f t="shared" si="3"/>
        <v>0</v>
      </c>
      <c r="H11" s="63">
        <f t="shared" si="3"/>
        <v>0</v>
      </c>
      <c r="I11" s="63">
        <f t="shared" si="3"/>
        <v>3.2794795410875656E-4</v>
      </c>
      <c r="J11" s="63">
        <f t="shared" si="3"/>
        <v>1.2041280190878715E-3</v>
      </c>
      <c r="K11" s="63">
        <f t="shared" si="3"/>
        <v>1.3795836724102818E-2</v>
      </c>
      <c r="L11" s="63">
        <f t="shared" si="3"/>
        <v>2.6492799515419434E-2</v>
      </c>
      <c r="M11" s="63">
        <f t="shared" si="3"/>
        <v>1.2498545039294445E-3</v>
      </c>
      <c r="N11" s="63">
        <f t="shared" si="3"/>
        <v>2.2257580896135418E-2</v>
      </c>
      <c r="O11" s="63">
        <f t="shared" si="3"/>
        <v>5.3046365467932524E-2</v>
      </c>
      <c r="P11" s="63">
        <f t="shared" si="3"/>
        <v>6.3782903630413862E-2</v>
      </c>
      <c r="Q11" s="63">
        <f t="shared" si="3"/>
        <v>5.080184755272836E-2</v>
      </c>
      <c r="R11" s="63">
        <f t="shared" si="3"/>
        <v>6.3916199802730486E-2</v>
      </c>
      <c r="S11" s="63">
        <f t="shared" si="3"/>
        <v>3.4701697351790087E-2</v>
      </c>
      <c r="T11" s="63">
        <f t="shared" si="3"/>
        <v>2.6005081690819998E-2</v>
      </c>
      <c r="U11" s="63">
        <f t="shared" si="3"/>
        <v>4.0445889046243702E-2</v>
      </c>
      <c r="V11" s="63">
        <f t="shared" si="3"/>
        <v>4.0509593598719057E-2</v>
      </c>
      <c r="W11" s="63">
        <f t="shared" si="3"/>
        <v>4.0898610315370176E-2</v>
      </c>
      <c r="X11" s="63">
        <f t="shared" si="3"/>
        <v>5.5052993552036453E-2</v>
      </c>
      <c r="Y11" s="63">
        <f t="shared" si="3"/>
        <v>5.6931338569169022E-2</v>
      </c>
      <c r="Z11" s="63">
        <f t="shared" si="3"/>
        <v>5.6650635238702854E-2</v>
      </c>
      <c r="AA11" s="63">
        <f t="shared" si="3"/>
        <v>4.2691688778987984E-2</v>
      </c>
      <c r="AB11" s="63">
        <f t="shared" si="3"/>
        <v>3.1128347984999031E-2</v>
      </c>
      <c r="AC11" s="63">
        <f t="shared" si="3"/>
        <v>3.1533622939307331E-2</v>
      </c>
      <c r="AD11" s="63">
        <f t="shared" si="3"/>
        <v>3.3752922373745269E-2</v>
      </c>
      <c r="AE11" s="63">
        <f t="shared" si="3"/>
        <v>1.8520957505313212E-2</v>
      </c>
      <c r="AF11" s="63">
        <f t="shared" si="3"/>
        <v>5.9961461739946161E-2</v>
      </c>
      <c r="AG11" s="63">
        <f t="shared" si="3"/>
        <v>6.6352892509122116E-2</v>
      </c>
      <c r="AH11" s="63">
        <f t="shared" si="3"/>
        <v>7.0336164523160785E-2</v>
      </c>
      <c r="AI11" s="63">
        <f t="shared" si="3"/>
        <v>8.2370621190912208E-2</v>
      </c>
      <c r="AJ11" s="63">
        <f t="shared" si="3"/>
        <v>4.650550115247621E-2</v>
      </c>
      <c r="AK11" s="63">
        <f t="shared" si="3"/>
        <v>7.7581322952179552E-2</v>
      </c>
      <c r="AL11" s="63">
        <f t="shared" si="3"/>
        <v>7.9180555735531455E-2</v>
      </c>
      <c r="AM11" s="63">
        <f t="shared" si="3"/>
        <v>6.9630326953293367E-2</v>
      </c>
      <c r="AN11" s="63">
        <f t="shared" si="3"/>
        <v>9.2061144706540088E-2</v>
      </c>
      <c r="AO11" s="63">
        <f t="shared" si="3"/>
        <v>8.6023553890487561E-2</v>
      </c>
      <c r="AP11" s="63">
        <f t="shared" si="3"/>
        <v>9.0673718113061103E-2</v>
      </c>
      <c r="AQ11" s="63">
        <f t="shared" si="3"/>
        <v>9.5203521584936862E-2</v>
      </c>
      <c r="AR11" s="63">
        <f t="shared" si="3"/>
        <v>9.7414780108462759E-2</v>
      </c>
      <c r="AS11" s="63">
        <f t="shared" si="3"/>
        <v>9.8408900355935733E-2</v>
      </c>
      <c r="AT11" s="63">
        <f t="shared" si="3"/>
        <v>0.11287251829533053</v>
      </c>
      <c r="AU11" s="63">
        <f t="shared" si="3"/>
        <v>0.11409383433685409</v>
      </c>
      <c r="AV11" s="63">
        <f t="shared" si="3"/>
        <v>0.11969487602582887</v>
      </c>
      <c r="AW11" s="63">
        <f t="shared" si="3"/>
        <v>0.23551421981438417</v>
      </c>
      <c r="AX11" s="63">
        <f t="shared" si="3"/>
        <v>0.23831123452674396</v>
      </c>
      <c r="AY11" s="63">
        <f t="shared" si="3"/>
        <v>0.23909367126556602</v>
      </c>
      <c r="AZ11" s="63">
        <f t="shared" si="3"/>
        <v>0.23183026777101903</v>
      </c>
      <c r="BA11" s="63">
        <f t="shared" si="3"/>
        <v>0.23951502402627467</v>
      </c>
      <c r="BB11" s="63">
        <f t="shared" si="3"/>
        <v>0.16946911503065823</v>
      </c>
      <c r="BC11" s="63">
        <f t="shared" si="3"/>
        <v>0.16129242966598853</v>
      </c>
      <c r="BD11" s="63">
        <f t="shared" si="3"/>
        <v>0.1650608644310827</v>
      </c>
      <c r="BE11" s="63">
        <f t="shared" si="3"/>
        <v>0.16893273424737204</v>
      </c>
      <c r="BF11" s="63">
        <f t="shared" si="3"/>
        <v>0.14204173083175894</v>
      </c>
      <c r="BG11" s="63">
        <f t="shared" si="3"/>
        <v>0.1641644639740078</v>
      </c>
      <c r="BH11" s="63">
        <f t="shared" si="3"/>
        <v>0.12693078170017982</v>
      </c>
      <c r="BI11" s="63">
        <f t="shared" si="3"/>
        <v>8.5712530744096391E-2</v>
      </c>
      <c r="BJ11" s="63">
        <f t="shared" si="3"/>
        <v>9.9983836066995832E-2</v>
      </c>
      <c r="BK11" s="63">
        <f t="shared" si="3"/>
        <v>0.10239485777535927</v>
      </c>
      <c r="BL11" s="63">
        <f t="shared" si="3"/>
        <v>0.10762333039572451</v>
      </c>
      <c r="BM11" s="63">
        <f t="shared" si="3"/>
        <v>0.10933702203209668</v>
      </c>
      <c r="BN11" s="63">
        <f t="shared" si="3"/>
        <v>0.1124194295699915</v>
      </c>
      <c r="BO11" s="63">
        <f t="shared" si="3"/>
        <v>0.1254175853006361</v>
      </c>
      <c r="BP11" s="63">
        <f t="shared" si="3"/>
        <v>0.29081801739000784</v>
      </c>
      <c r="BQ11" s="63">
        <f t="shared" si="3"/>
        <v>0.24672311533823479</v>
      </c>
      <c r="BR11" s="63">
        <f>BR4/BR10</f>
        <v>0.31187234351019782</v>
      </c>
      <c r="BS11" s="63" t="e">
        <f>BS4/BS10</f>
        <v>#DIV/0!</v>
      </c>
      <c r="BT11" s="63" t="e">
        <f>BT4/BT10</f>
        <v>#DIV/0!</v>
      </c>
      <c r="BU11" s="63" t="e">
        <f>BU4/BU10</f>
        <v>#DIV/0!</v>
      </c>
      <c r="BV11" s="63" t="e">
        <f>BV4/BV10*100</f>
        <v>#DIV/0!</v>
      </c>
    </row>
    <row r="12" spans="1:74" s="63" customFormat="1">
      <c r="A12" s="17" t="s">
        <v>348</v>
      </c>
      <c r="E12" s="63">
        <f>E8/E10</f>
        <v>0.99708323192957071</v>
      </c>
      <c r="F12" s="63">
        <f t="shared" ref="F12:BQ12" si="4">F8/F10</f>
        <v>0.99702464285755354</v>
      </c>
      <c r="G12" s="63">
        <f t="shared" si="4"/>
        <v>0.98089981445462848</v>
      </c>
      <c r="H12" s="63">
        <f t="shared" si="4"/>
        <v>0.99850268870844749</v>
      </c>
      <c r="I12" s="63">
        <f t="shared" si="4"/>
        <v>0.99814273729367142</v>
      </c>
      <c r="J12" s="63">
        <f t="shared" si="4"/>
        <v>0.9967904462504823</v>
      </c>
      <c r="K12" s="63">
        <f t="shared" si="4"/>
        <v>0.96850085510093387</v>
      </c>
      <c r="L12" s="63">
        <f t="shared" si="4"/>
        <v>0.94096173799781391</v>
      </c>
      <c r="M12" s="63">
        <f t="shared" si="4"/>
        <v>0.99875014549607077</v>
      </c>
      <c r="N12" s="63">
        <f t="shared" si="4"/>
        <v>0.97554073547879172</v>
      </c>
      <c r="O12" s="63">
        <f t="shared" si="4"/>
        <v>0.93032183195421703</v>
      </c>
      <c r="P12" s="63">
        <f t="shared" si="4"/>
        <v>0.9344347004788125</v>
      </c>
      <c r="Q12" s="63">
        <f t="shared" si="4"/>
        <v>0.94736429229508468</v>
      </c>
      <c r="R12" s="63">
        <f t="shared" si="4"/>
        <v>0.93275580909695943</v>
      </c>
      <c r="S12" s="63">
        <f t="shared" si="4"/>
        <v>0.94637549618429606</v>
      </c>
      <c r="T12" s="63">
        <f t="shared" si="4"/>
        <v>0.97280773453950509</v>
      </c>
      <c r="U12" s="63">
        <f t="shared" si="4"/>
        <v>0.95741849752393793</v>
      </c>
      <c r="V12" s="63">
        <f t="shared" si="4"/>
        <v>0.95550951233495729</v>
      </c>
      <c r="W12" s="63">
        <f t="shared" si="4"/>
        <v>0.94110412360309792</v>
      </c>
      <c r="X12" s="63">
        <f t="shared" si="4"/>
        <v>0.94412797757273714</v>
      </c>
      <c r="Y12" s="63">
        <f t="shared" si="4"/>
        <v>0.94223696320316674</v>
      </c>
      <c r="Z12" s="63">
        <f t="shared" si="4"/>
        <v>0.94250794361668855</v>
      </c>
      <c r="AA12" s="63">
        <f t="shared" si="4"/>
        <v>0.943857234903969</v>
      </c>
      <c r="AB12" s="63">
        <f t="shared" si="4"/>
        <v>0.96828234378226186</v>
      </c>
      <c r="AC12" s="63">
        <f t="shared" si="4"/>
        <v>0.96711647750567675</v>
      </c>
      <c r="AD12" s="63">
        <f t="shared" si="4"/>
        <v>0.96488675346296027</v>
      </c>
      <c r="AE12" s="63">
        <f t="shared" si="4"/>
        <v>0.97858366655007289</v>
      </c>
      <c r="AF12" s="63">
        <f t="shared" si="4"/>
        <v>0.93973846540626627</v>
      </c>
      <c r="AG12" s="63">
        <f t="shared" si="4"/>
        <v>0.93334181082231538</v>
      </c>
      <c r="AH12" s="63">
        <f t="shared" si="4"/>
        <v>0.92786646144531604</v>
      </c>
      <c r="AI12" s="63">
        <f t="shared" si="4"/>
        <v>0.91501409502194109</v>
      </c>
      <c r="AJ12" s="63">
        <f t="shared" si="4"/>
        <v>0.95349449884752369</v>
      </c>
      <c r="AK12" s="63">
        <f t="shared" si="4"/>
        <v>0.92241867704782043</v>
      </c>
      <c r="AL12" s="63">
        <f t="shared" si="4"/>
        <v>0.91934123715920779</v>
      </c>
      <c r="AM12" s="63">
        <f t="shared" si="4"/>
        <v>0.92834296162708507</v>
      </c>
      <c r="AN12" s="63">
        <f t="shared" si="4"/>
        <v>0.90793885529345986</v>
      </c>
      <c r="AO12" s="63">
        <f t="shared" si="4"/>
        <v>0.91397644610951234</v>
      </c>
      <c r="AP12" s="63">
        <f t="shared" si="4"/>
        <v>0.90932628188693909</v>
      </c>
      <c r="AQ12" s="63">
        <f t="shared" si="4"/>
        <v>0.90479647841506305</v>
      </c>
      <c r="AR12" s="63">
        <f t="shared" si="4"/>
        <v>0.90258521989153717</v>
      </c>
      <c r="AS12" s="63">
        <f t="shared" si="4"/>
        <v>0.90159109964406436</v>
      </c>
      <c r="AT12" s="63">
        <f t="shared" si="4"/>
        <v>0.8871274817046696</v>
      </c>
      <c r="AU12" s="63">
        <f t="shared" si="4"/>
        <v>0.88283369483835705</v>
      </c>
      <c r="AV12" s="63">
        <f t="shared" si="4"/>
        <v>0.88030512397417127</v>
      </c>
      <c r="AW12" s="63">
        <f t="shared" si="4"/>
        <v>0.76417136290934007</v>
      </c>
      <c r="AX12" s="63">
        <f t="shared" si="4"/>
        <v>0.76209337352325135</v>
      </c>
      <c r="AY12" s="63">
        <f t="shared" si="4"/>
        <v>0.76185184134240758</v>
      </c>
      <c r="AZ12" s="63">
        <f t="shared" si="4"/>
        <v>0.768244979821329</v>
      </c>
      <c r="BA12" s="63">
        <f t="shared" si="4"/>
        <v>0.75998886868881765</v>
      </c>
      <c r="BB12" s="63">
        <f t="shared" si="4"/>
        <v>0.83082865412943285</v>
      </c>
      <c r="BC12" s="63">
        <f t="shared" si="4"/>
        <v>0.83908350908676721</v>
      </c>
      <c r="BD12" s="63">
        <f t="shared" si="4"/>
        <v>0.83502135150652868</v>
      </c>
      <c r="BE12" s="63">
        <f t="shared" si="4"/>
        <v>0.83073619552547229</v>
      </c>
      <c r="BF12" s="63">
        <f t="shared" si="4"/>
        <v>0.85531966429086359</v>
      </c>
      <c r="BG12" s="63">
        <f t="shared" si="4"/>
        <v>0.83325518050165448</v>
      </c>
      <c r="BH12" s="63">
        <f t="shared" si="4"/>
        <v>0.87285381073406298</v>
      </c>
      <c r="BI12" s="63">
        <f t="shared" si="4"/>
        <v>0.8307478191311648</v>
      </c>
      <c r="BJ12" s="63">
        <f t="shared" si="4"/>
        <v>0.89988819060905012</v>
      </c>
      <c r="BK12" s="63">
        <f t="shared" si="4"/>
        <v>0.8975191173115431</v>
      </c>
      <c r="BL12" s="63">
        <f t="shared" si="4"/>
        <v>0.88170632285200812</v>
      </c>
      <c r="BM12" s="63">
        <f t="shared" si="4"/>
        <v>0.89037390583487752</v>
      </c>
      <c r="BN12" s="63">
        <f t="shared" si="4"/>
        <v>0.88735469776251696</v>
      </c>
      <c r="BO12" s="63">
        <f t="shared" si="4"/>
        <v>0.85301428872697982</v>
      </c>
      <c r="BP12" s="63">
        <f t="shared" si="4"/>
        <v>0.70311774185263265</v>
      </c>
      <c r="BQ12" s="63">
        <f t="shared" si="4"/>
        <v>0.71189240449152291</v>
      </c>
      <c r="BR12" s="63">
        <f>BR8/BR10</f>
        <v>0.64115667782873065</v>
      </c>
      <c r="BS12" s="63" t="e">
        <f>BS8/BS10</f>
        <v>#DIV/0!</v>
      </c>
      <c r="BT12" s="63" t="e">
        <f>BT8/BT10</f>
        <v>#DIV/0!</v>
      </c>
      <c r="BU12" s="63" t="e">
        <f>BU8/BU10</f>
        <v>#DIV/0!</v>
      </c>
      <c r="BV12" s="63" t="e">
        <f>BV8/BV10*100</f>
        <v>#DIV/0!</v>
      </c>
    </row>
    <row r="13" spans="1:74" s="63" customFormat="1">
      <c r="A13" s="63" t="s">
        <v>349</v>
      </c>
      <c r="E13" s="63">
        <f>E5*E11*(1-E6)+E9*E12</f>
        <v>7.9766658554365655E-2</v>
      </c>
      <c r="F13" s="63">
        <f t="shared" ref="F13:J13" si="5">F5*F11*(1-F6)+F9*F12</f>
        <v>7.9761971428604292E-2</v>
      </c>
      <c r="G13" s="63">
        <f t="shared" si="5"/>
        <v>7.8471985156370286E-2</v>
      </c>
      <c r="H13" s="63">
        <f t="shared" si="5"/>
        <v>7.9880215096675797E-2</v>
      </c>
      <c r="I13" s="63">
        <f t="shared" si="5"/>
        <v>7.9955855869279488E-2</v>
      </c>
      <c r="J13" s="63">
        <f t="shared" si="5"/>
        <v>7.9743235700038592E-2</v>
      </c>
      <c r="K13" s="63">
        <f t="shared" ref="K13" si="6">K5*K11*(1-K6)+K9*K12</f>
        <v>7.7480068408074712E-2</v>
      </c>
      <c r="L13" s="63">
        <f t="shared" ref="L13" si="7">L5*L11*(1-L6)+L9*L12</f>
        <v>7.5276939039825116E-2</v>
      </c>
      <c r="M13" s="63">
        <f t="shared" ref="M13" si="8">M5*M11*(1-M6)+M9*M12</f>
        <v>7.995003575779111E-2</v>
      </c>
      <c r="N13" s="63">
        <f t="shared" ref="N13:O13" si="9">N5*N11*(1-N6)+N9*N12</f>
        <v>7.8043258838303334E-2</v>
      </c>
      <c r="O13" s="63">
        <f t="shared" si="9"/>
        <v>7.4425746556337366E-2</v>
      </c>
      <c r="P13" s="63">
        <f t="shared" ref="P13" si="10">P5*P11*(1-P6)+P9*P12</f>
        <v>7.4754776038305007E-2</v>
      </c>
      <c r="Q13" s="63">
        <f t="shared" ref="Q13" si="11">Q5*Q11*(1-Q6)+Q9*Q12</f>
        <v>7.7430972783139138E-2</v>
      </c>
      <c r="R13" s="63">
        <f t="shared" ref="R13" si="12">R5*R11*(1-R6)+R9*R12</f>
        <v>7.4620464727756755E-2</v>
      </c>
      <c r="S13" s="63">
        <f t="shared" ref="S13:T13" si="13">S5*S11*(1-S6)+S9*S12</f>
        <v>7.5710039694743686E-2</v>
      </c>
      <c r="T13" s="63">
        <f t="shared" si="13"/>
        <v>7.7824618763160408E-2</v>
      </c>
      <c r="U13" s="63">
        <f t="shared" ref="U13" si="14">U5*U11*(1-U6)+U9*U12</f>
        <v>7.8106644873064165E-2</v>
      </c>
      <c r="V13" s="63">
        <f t="shared" ref="V13" si="15">V5*V11*(1-V6)+V9*V12</f>
        <v>7.6440760986796585E-2</v>
      </c>
      <c r="W13" s="63">
        <f t="shared" ref="W13" si="16">W5*W11*(1-W6)+W9*W12</f>
        <v>7.5288329888247837E-2</v>
      </c>
      <c r="X13" s="63">
        <f t="shared" ref="X13:Y13" si="17">X5*X11*(1-X6)+X9*X12</f>
        <v>7.5530238205818973E-2</v>
      </c>
      <c r="Y13" s="63">
        <f t="shared" si="17"/>
        <v>7.7658444226990531E-2</v>
      </c>
      <c r="Z13" s="63">
        <f t="shared" ref="Z13" si="18">Z5*Z11*(1-Z6)+Z9*Z12</f>
        <v>7.540063548933508E-2</v>
      </c>
      <c r="AA13" s="63">
        <f t="shared" ref="AA13" si="19">AA5*AA11*(1-AA6)+AA9*AA12</f>
        <v>7.5508578792317524E-2</v>
      </c>
      <c r="AB13" s="63">
        <f t="shared" ref="AB13" si="20">AB5*AB11*(1-AB6)+AB9*AB12</f>
        <v>7.7462587502580948E-2</v>
      </c>
      <c r="AC13" s="63">
        <f t="shared" ref="AC13:AD13" si="21">AC5*AC11*(1-AC6)+AC9*AC12</f>
        <v>7.8710178038304102E-2</v>
      </c>
      <c r="AD13" s="63">
        <f t="shared" si="21"/>
        <v>7.7190940277036824E-2</v>
      </c>
      <c r="AE13" s="63">
        <f t="shared" ref="AE13" si="22">AE5*AE11*(1-AE6)+AE9*AE12</f>
        <v>7.8286693324005827E-2</v>
      </c>
      <c r="AF13" s="63">
        <f t="shared" ref="AF13" si="23">AF5*AF11*(1-AF6)+AF9*AF12</f>
        <v>7.5179077232501307E-2</v>
      </c>
      <c r="AG13" s="63">
        <f t="shared" ref="AG13" si="24">AG5*AG11*(1-AG6)+AG9*AG12</f>
        <v>7.7234644892027471E-2</v>
      </c>
      <c r="AH13" s="63">
        <f t="shared" ref="AH13:AI13" si="25">AH5*AH11*(1-AH6)+AH9*AH12</f>
        <v>7.4229316915625287E-2</v>
      </c>
      <c r="AI13" s="63">
        <f t="shared" si="25"/>
        <v>7.3201127601755289E-2</v>
      </c>
      <c r="AJ13" s="63">
        <f t="shared" ref="AJ13" si="26">AJ5*AJ11*(1-AJ6)+AJ9*AJ12</f>
        <v>7.62795599078019E-2</v>
      </c>
      <c r="AK13" s="63">
        <f t="shared" ref="AK13" si="27">AK5*AK11*(1-AK6)+AK9*AK12</f>
        <v>7.6894030525202439E-2</v>
      </c>
      <c r="AL13" s="63">
        <f t="shared" ref="AL13" si="28">AL5*AL11*(1-AL6)+AL9*AL12</f>
        <v>7.3547298972736624E-2</v>
      </c>
      <c r="AM13" s="63">
        <f t="shared" ref="AM13:AN13" si="29">AM5*AM11*(1-AM6)+AM9*AM12</f>
        <v>7.4267436930166811E-2</v>
      </c>
      <c r="AN13" s="63">
        <f t="shared" si="29"/>
        <v>7.2635108423476785E-2</v>
      </c>
      <c r="AO13" s="63">
        <f t="shared" ref="AO13" si="30">AO5*AO11*(1-AO6)+AO9*AO12</f>
        <v>7.8197330221605077E-2</v>
      </c>
      <c r="AP13" s="63">
        <f t="shared" ref="AP13" si="31">AP5*AP11*(1-AP6)+AP9*AP12</f>
        <v>7.2746102550955136E-2</v>
      </c>
      <c r="AQ13" s="63">
        <f t="shared" ref="AQ13" si="32">AQ5*AQ11*(1-AQ6)+AQ9*AQ12</f>
        <v>7.2383718273205042E-2</v>
      </c>
      <c r="AR13" s="63">
        <f t="shared" ref="AR13:AS13" si="33">AR5*AR11*(1-AR6)+AR9*AR12</f>
        <v>7.2206817591322969E-2</v>
      </c>
      <c r="AS13" s="63">
        <f t="shared" si="33"/>
        <v>7.6253113257315805E-2</v>
      </c>
      <c r="AT13" s="63">
        <f t="shared" ref="AT13" si="34">AT5*AT11*(1-AT6)+AT9*AT12</f>
        <v>7.0970198536373569E-2</v>
      </c>
      <c r="AU13" s="63">
        <f t="shared" ref="AU13" si="35">AU5*AU11*(1-AU6)+AU9*AU12</f>
        <v>7.0626695587068564E-2</v>
      </c>
      <c r="AV13" s="63">
        <f t="shared" ref="AV13" si="36">AV5*AV11*(1-AV6)+AV9*AV12</f>
        <v>7.0424409917933709E-2</v>
      </c>
      <c r="AW13" s="63">
        <f t="shared" ref="AW13:AX13" si="37">AW5*AW11*(1-AW6)+AW9*AW12</f>
        <v>6.9359752058928192E-2</v>
      </c>
      <c r="AX13" s="63">
        <f t="shared" si="37"/>
        <v>6.0967469881860109E-2</v>
      </c>
      <c r="AY13" s="63">
        <f t="shared" ref="AY13" si="38">AY5*AY11*(1-AY6)+AY9*AY12</f>
        <v>6.0948147307392606E-2</v>
      </c>
      <c r="AZ13" s="63">
        <f t="shared" ref="AZ13" si="39">AZ5*AZ11*(1-AZ6)+AZ9*AZ12</f>
        <v>6.1459598385706318E-2</v>
      </c>
      <c r="BA13" s="63">
        <f t="shared" ref="BA13" si="40">BA5*BA11*(1-BA6)+BA9*BA12</f>
        <v>6.0799109495105412E-2</v>
      </c>
      <c r="BB13" s="63">
        <f t="shared" ref="BB13:BC13" si="41">BB5*BB11*(1-BB6)+BB9*BB12</f>
        <v>6.6466292330354629E-2</v>
      </c>
      <c r="BC13" s="63">
        <f t="shared" si="41"/>
        <v>6.7126680726941376E-2</v>
      </c>
      <c r="BD13" s="63">
        <f t="shared" ref="BD13" si="42">BD5*BD11*(1-BD6)+BD9*BD12</f>
        <v>6.6801708120522302E-2</v>
      </c>
      <c r="BE13" s="63">
        <f t="shared" ref="BE13" si="43">BE5*BE11*(1-BE6)+BE9*BE12</f>
        <v>6.6458895642037788E-2</v>
      </c>
      <c r="BF13" s="63">
        <f t="shared" ref="BF13" si="44">BF5*BF11*(1-BF6)+BF9*BF12</f>
        <v>6.8425573143269094E-2</v>
      </c>
      <c r="BG13" s="63">
        <f t="shared" ref="BG13:BH13" si="45">BG5*BG11*(1-BG6)+BG9*BG12</f>
        <v>6.6660414440132362E-2</v>
      </c>
      <c r="BH13" s="63">
        <f t="shared" si="45"/>
        <v>6.9828304858725043E-2</v>
      </c>
      <c r="BI13" s="63">
        <f t="shared" ref="BI13" si="46">BI5*BI11*(1-BI6)+BI9*BI12</f>
        <v>6.6459825530493191E-2</v>
      </c>
      <c r="BJ13" s="63">
        <f t="shared" ref="BJ13" si="47">BJ5*BJ11*(1-BJ6)+BJ9*BJ12</f>
        <v>7.1991055248724012E-2</v>
      </c>
      <c r="BK13" s="63">
        <f t="shared" ref="BK13" si="48">BK5*BK11*(1-BK6)+BK9*BK12</f>
        <v>7.1801529384923443E-2</v>
      </c>
      <c r="BL13" s="63">
        <f t="shared" ref="BL13:BM13" si="49">BL5*BL11*(1-BL6)+BL9*BL12</f>
        <v>7.0536505828160651E-2</v>
      </c>
      <c r="BM13" s="63">
        <f t="shared" si="49"/>
        <v>7.122991246679021E-2</v>
      </c>
      <c r="BN13" s="63">
        <f t="shared" ref="BN13" si="50">BN5*BN11*(1-BN6)+BN9*BN12</f>
        <v>7.0988375821001357E-2</v>
      </c>
      <c r="BO13" s="63">
        <f t="shared" ref="BO13" si="51">BO5*BO11*(1-BO6)+BO9*BO12</f>
        <v>6.8241143098158388E-2</v>
      </c>
      <c r="BP13" s="63">
        <f t="shared" ref="BP13" si="52">BP5*BP11*(1-BP6)+BP9*BP12</f>
        <v>5.6249419348210615E-2</v>
      </c>
      <c r="BQ13" s="63">
        <f t="shared" ref="BQ13:BR13" si="53">BQ5*BQ11*(1-BQ6)+BQ9*BQ12</f>
        <v>5.6951392359321833E-2</v>
      </c>
      <c r="BR13" s="63">
        <f t="shared" si="53"/>
        <v>5.1292534226298453E-2</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5" customHeight="1">
      <c r="A14" s="277" t="s">
        <v>666</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ht="14.4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87"/>
  <sheetViews>
    <sheetView workbookViewId="0">
      <selection activeCell="M4" sqref="M4"/>
    </sheetView>
  </sheetViews>
  <sheetFormatPr defaultRowHeight="13.5"/>
  <cols>
    <col min="1" max="1" width="36.75" style="17"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40" width="22" hidden="1" customWidth="1"/>
    <col min="41" max="41" width="22" bestFit="1" customWidth="1"/>
    <col min="42" max="44" width="22" hidden="1" customWidth="1"/>
    <col min="45" max="45" width="22" bestFit="1" customWidth="1"/>
    <col min="46" max="48" width="22" hidden="1" customWidth="1"/>
    <col min="49" max="49" width="22" bestFit="1" customWidth="1"/>
    <col min="50" max="52" width="22" hidden="1" customWidth="1"/>
    <col min="53" max="53" width="22" bestFit="1" customWidth="1"/>
    <col min="54" max="54" width="22" hidden="1" customWidth="1"/>
    <col min="55" max="56" width="19.5" hidden="1" customWidth="1"/>
    <col min="57" max="57" width="19.5" bestFit="1" customWidth="1"/>
    <col min="58" max="60" width="19.5" hidden="1" customWidth="1"/>
    <col min="61" max="61" width="19.5" bestFit="1" customWidth="1"/>
    <col min="62" max="64" width="19.5" hidden="1" customWidth="1"/>
    <col min="65" max="65" width="19.5" bestFit="1" customWidth="1"/>
    <col min="66" max="67" width="19.5" hidden="1" customWidth="1"/>
    <col min="68" max="70" width="19.5" bestFit="1" customWidth="1"/>
    <col min="71" max="71" width="9.5" hidden="1" customWidth="1"/>
    <col min="72" max="90" width="8.5" bestFit="1" customWidth="1"/>
  </cols>
  <sheetData>
    <row r="1" spans="1:90" s="26" customFormat="1" ht="14.45">
      <c r="A1" s="17">
        <v>600529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37256</v>
      </c>
      <c r="BQ1" s="1">
        <v>36891</v>
      </c>
      <c r="BR1" s="1">
        <v>36525</v>
      </c>
      <c r="BS1" s="1">
        <v>25569</v>
      </c>
      <c r="BT1" s="188"/>
      <c r="BU1" s="188"/>
      <c r="BV1" s="188"/>
      <c r="BW1" s="188"/>
      <c r="BX1" s="188"/>
      <c r="BY1" s="188"/>
      <c r="BZ1" s="188"/>
      <c r="CA1" s="188"/>
      <c r="CB1" s="188"/>
      <c r="CC1" s="188"/>
      <c r="CD1" s="188"/>
      <c r="CE1" s="188"/>
      <c r="CF1" s="188"/>
      <c r="CG1" s="188"/>
      <c r="CH1" s="188"/>
      <c r="CI1" s="188"/>
      <c r="CJ1" s="188"/>
      <c r="CK1" s="188"/>
      <c r="CL1" s="188"/>
    </row>
    <row r="2" spans="1:90" s="26" customFormat="1">
      <c r="A2" s="41" t="s">
        <v>550</v>
      </c>
      <c r="E2" s="26">
        <f>资产资本表!E17</f>
        <v>713992695.25</v>
      </c>
      <c r="F2" s="26">
        <f>资产资本表!F17</f>
        <v>601621716.59000003</v>
      </c>
      <c r="G2" s="26">
        <f>资产资本表!G17</f>
        <v>536004591.54000002</v>
      </c>
      <c r="H2" s="26">
        <f>资产资本表!H17</f>
        <v>550295822.35000002</v>
      </c>
      <c r="I2" s="26">
        <f>资产资本表!I17</f>
        <v>1100494733.4599998</v>
      </c>
      <c r="J2" s="26">
        <f>资产资本表!J17</f>
        <v>361686005.29000002</v>
      </c>
      <c r="K2" s="26">
        <f>资产资本表!K17</f>
        <v>419881508.20999998</v>
      </c>
      <c r="L2" s="26">
        <f>资产资本表!L17</f>
        <v>393338883.75999999</v>
      </c>
      <c r="M2" s="26">
        <f>资产资本表!M17</f>
        <v>337494656.02999997</v>
      </c>
      <c r="N2" s="26">
        <f>资产资本表!N17</f>
        <v>332145862.62</v>
      </c>
      <c r="O2" s="26">
        <f>资产资本表!O17</f>
        <v>314250712.41000003</v>
      </c>
      <c r="P2" s="26">
        <f>资产资本表!P17</f>
        <v>283934973.67000002</v>
      </c>
      <c r="Q2" s="26">
        <f>资产资本表!Q17</f>
        <v>253352750.41999999</v>
      </c>
      <c r="R2" s="26">
        <f>资产资本表!R17</f>
        <v>255971099.25</v>
      </c>
      <c r="S2" s="26">
        <f>资产资本表!S17</f>
        <v>219856542.07999998</v>
      </c>
      <c r="T2" s="26">
        <f>资产资本表!T17</f>
        <v>186058877.06</v>
      </c>
      <c r="U2" s="26">
        <f>资产资本表!U17</f>
        <v>174641016.42000002</v>
      </c>
      <c r="V2" s="26">
        <f>资产资本表!V17</f>
        <v>143914067.59999999</v>
      </c>
      <c r="W2" s="26">
        <f>资产资本表!W17</f>
        <v>189290605.87</v>
      </c>
      <c r="X2" s="26">
        <f>资产资本表!X17</f>
        <v>159140119.44999999</v>
      </c>
      <c r="Y2" s="26">
        <f>资产资本表!Y17</f>
        <v>153988709.44</v>
      </c>
      <c r="Z2" s="26">
        <f>资产资本表!Z17</f>
        <v>122325353.25999999</v>
      </c>
      <c r="AA2" s="26">
        <f>资产资本表!AA17</f>
        <v>124294734.5</v>
      </c>
      <c r="AB2" s="26">
        <f>资产资本表!AB17</f>
        <v>102705554.34999999</v>
      </c>
      <c r="AC2" s="26">
        <f>资产资本表!AC17</f>
        <v>213982183.17999998</v>
      </c>
      <c r="AD2" s="26">
        <f>资产资本表!AD17</f>
        <v>163765507.37</v>
      </c>
      <c r="AE2" s="26">
        <f>资产资本表!AE17</f>
        <v>150360665.75</v>
      </c>
      <c r="AF2" s="26">
        <f>资产资本表!AF17</f>
        <v>210114535.74000001</v>
      </c>
      <c r="AG2" s="26">
        <f>资产资本表!AG17</f>
        <v>253436369.31</v>
      </c>
      <c r="AH2" s="26">
        <f>资产资本表!AH17</f>
        <v>334655631.16999996</v>
      </c>
      <c r="AI2" s="26">
        <f>资产资本表!AI17</f>
        <v>370255688.11000001</v>
      </c>
      <c r="AJ2" s="26">
        <f>资产资本表!AJ17</f>
        <v>287017103.44</v>
      </c>
      <c r="AK2" s="26">
        <f>资产资本表!AK17</f>
        <v>249385187.75</v>
      </c>
      <c r="AL2" s="26">
        <f>资产资本表!AL17</f>
        <v>173707631.45999998</v>
      </c>
      <c r="AM2" s="26">
        <f>资产资本表!AM17</f>
        <v>164500410.5</v>
      </c>
      <c r="AN2" s="26">
        <f>资产资本表!AN17</f>
        <v>187146473.18000001</v>
      </c>
      <c r="AO2" s="26">
        <f>资产资本表!AO17</f>
        <v>138571586.28999999</v>
      </c>
      <c r="AP2" s="26">
        <f>资产资本表!AP17</f>
        <v>135624400.82999998</v>
      </c>
      <c r="AQ2" s="26">
        <f>资产资本表!AQ17</f>
        <v>156358330.59</v>
      </c>
      <c r="AR2" s="26">
        <f>资产资本表!AR17</f>
        <v>160031696.38</v>
      </c>
      <c r="AS2" s="26">
        <f>资产资本表!AS17</f>
        <v>207492342.90000004</v>
      </c>
      <c r="AT2" s="26">
        <f>资产资本表!AT17</f>
        <v>264196012.17000002</v>
      </c>
      <c r="AU2" s="26">
        <f>资产资本表!AU17</f>
        <v>290893946.83000004</v>
      </c>
      <c r="AV2" s="26">
        <f>资产资本表!AV17</f>
        <v>303919334.33999997</v>
      </c>
      <c r="AW2" s="26">
        <f>资产资本表!AW17</f>
        <v>111506005.08000001</v>
      </c>
      <c r="AX2" s="26">
        <f>资产资本表!AX17</f>
        <v>110733288.25</v>
      </c>
      <c r="AY2" s="26">
        <f>资产资本表!AY17</f>
        <v>90373745</v>
      </c>
      <c r="AZ2" s="26">
        <f>资产资本表!AZ17</f>
        <v>353474736.30000001</v>
      </c>
      <c r="BA2" s="26">
        <f>资产资本表!BA17</f>
        <v>130344167.36999999</v>
      </c>
      <c r="BB2" s="26">
        <f>资产资本表!BB17</f>
        <v>76929286.680000007</v>
      </c>
      <c r="BC2" s="26">
        <f>资产资本表!BC17</f>
        <v>56822877.539999999</v>
      </c>
      <c r="BD2" s="26">
        <f>资产资本表!BD17</f>
        <v>61151621.789999999</v>
      </c>
      <c r="BE2" s="26">
        <f>资产资本表!BE17</f>
        <v>90040933.799999997</v>
      </c>
      <c r="BF2" s="26">
        <f>资产资本表!BF17</f>
        <v>103493177.39</v>
      </c>
      <c r="BG2" s="26">
        <f>资产资本表!BG17</f>
        <v>157832520.27000001</v>
      </c>
      <c r="BH2" s="26">
        <f>资产资本表!BH17</f>
        <v>165549418.27000001</v>
      </c>
      <c r="BI2" s="26">
        <f>资产资本表!BI17</f>
        <v>184363966.44</v>
      </c>
      <c r="BJ2" s="26">
        <f>资产资本表!BJ17</f>
        <v>252915507.03999999</v>
      </c>
      <c r="BK2" s="26">
        <f>资产资本表!BK17</f>
        <v>301312103.19999999</v>
      </c>
      <c r="BL2" s="26">
        <f>资产资本表!BL17</f>
        <v>369620785.82999998</v>
      </c>
      <c r="BM2" s="26">
        <f>资产资本表!BM17</f>
        <v>419764979.19999999</v>
      </c>
      <c r="BN2" s="26">
        <f>资产资本表!BN17</f>
        <v>424856147.61000001</v>
      </c>
      <c r="BO2" s="26">
        <f>资产资本表!BO17</f>
        <v>444289951.50999999</v>
      </c>
      <c r="BP2" s="26">
        <f>资产资本表!BP17</f>
        <v>49386377.25</v>
      </c>
      <c r="BQ2" s="26">
        <f>资产资本表!BQ17</f>
        <v>29415606.75</v>
      </c>
      <c r="BR2" s="26">
        <f>资产资本表!BR17</f>
        <v>28179071.710000001</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41" t="s">
        <v>551</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50000</v>
      </c>
      <c r="S3" s="26">
        <f>资产资本表!S19</f>
        <v>50000</v>
      </c>
      <c r="T3" s="26">
        <f>资产资本表!T19</f>
        <v>50000</v>
      </c>
      <c r="U3" s="26">
        <f>资产资本表!U19</f>
        <v>50000</v>
      </c>
      <c r="V3" s="26">
        <f>资产资本表!V19</f>
        <v>5914625.8899999997</v>
      </c>
      <c r="W3" s="26">
        <f>资产资本表!W19</f>
        <v>5914625.8899999997</v>
      </c>
      <c r="X3" s="26">
        <f>资产资本表!X19</f>
        <v>5914625.8899999997</v>
      </c>
      <c r="Y3" s="26">
        <f>资产资本表!Y19</f>
        <v>5914625.8899999997</v>
      </c>
      <c r="Z3" s="26">
        <f>资产资本表!Z19</f>
        <v>11779251.779999999</v>
      </c>
      <c r="AA3" s="26">
        <f>资产资本表!AA19</f>
        <v>11779251.779999999</v>
      </c>
      <c r="AB3" s="26">
        <f>资产资本表!AB19</f>
        <v>11779251.779999999</v>
      </c>
      <c r="AC3" s="26">
        <f>资产资本表!AC19</f>
        <v>11779251.779999999</v>
      </c>
      <c r="AD3" s="26">
        <f>资产资本表!AD19</f>
        <v>50000</v>
      </c>
      <c r="AE3" s="26">
        <f>资产资本表!AE19</f>
        <v>50000</v>
      </c>
      <c r="AF3" s="26">
        <f>资产资本表!AF19</f>
        <v>50000</v>
      </c>
      <c r="AG3" s="26">
        <f>资产资本表!AG19</f>
        <v>50000</v>
      </c>
      <c r="AH3" s="26">
        <f>资产资本表!AH19</f>
        <v>50000</v>
      </c>
      <c r="AI3" s="26">
        <f>资产资本表!AI19</f>
        <v>50000</v>
      </c>
      <c r="AJ3" s="26">
        <f>资产资本表!AJ19</f>
        <v>50000</v>
      </c>
      <c r="AK3" s="26">
        <f>资产资本表!AK19</f>
        <v>50000</v>
      </c>
      <c r="AL3" s="26">
        <f>资产资本表!AL19</f>
        <v>50000</v>
      </c>
      <c r="AM3" s="26">
        <f>资产资本表!AM19</f>
        <v>50000</v>
      </c>
      <c r="AN3" s="26">
        <f>资产资本表!AN19</f>
        <v>50000</v>
      </c>
      <c r="AO3" s="26">
        <f>资产资本表!AO19</f>
        <v>50000</v>
      </c>
      <c r="AP3" s="26">
        <f>资产资本表!AP19</f>
        <v>50000</v>
      </c>
      <c r="AQ3" s="26">
        <f>资产资本表!AQ19</f>
        <v>50000</v>
      </c>
      <c r="AR3" s="26">
        <f>资产资本表!AR19</f>
        <v>50000</v>
      </c>
      <c r="AS3" s="26">
        <f>资产资本表!AS19</f>
        <v>50000</v>
      </c>
      <c r="AT3" s="26">
        <f>资产资本表!AT19</f>
        <v>50000</v>
      </c>
      <c r="AU3" s="26">
        <f>资产资本表!AU19</f>
        <v>50000</v>
      </c>
      <c r="AV3" s="26">
        <f>资产资本表!AV19</f>
        <v>29341260.710000001</v>
      </c>
      <c r="AW3" s="26">
        <f>资产资本表!AW19</f>
        <v>31356717.039999999</v>
      </c>
      <c r="AX3" s="26">
        <f>资产资本表!AX19</f>
        <v>2130471.0499999998</v>
      </c>
      <c r="AY3" s="26">
        <f>资产资本表!AY19</f>
        <v>2195485.77</v>
      </c>
      <c r="AZ3" s="26">
        <f>资产资本表!AZ19</f>
        <v>2260500.4900000002</v>
      </c>
      <c r="BA3" s="26">
        <f>资产资本表!BA19</f>
        <v>2325515.21</v>
      </c>
      <c r="BB3" s="26">
        <f>资产资本表!BB19</f>
        <v>2390529.91</v>
      </c>
      <c r="BC3" s="26">
        <f>资产资本表!BC19</f>
        <v>2455544.65</v>
      </c>
      <c r="BD3" s="26">
        <f>资产资本表!BD19</f>
        <v>2520559.35</v>
      </c>
      <c r="BE3" s="26">
        <f>资产资本表!BE19</f>
        <v>2585574.09</v>
      </c>
      <c r="BF3" s="26">
        <f>资产资本表!BF19</f>
        <v>1750982.62</v>
      </c>
      <c r="BG3" s="26">
        <f>资产资本表!BG19</f>
        <v>50000</v>
      </c>
      <c r="BH3" s="26">
        <f>资产资本表!BH19</f>
        <v>50000</v>
      </c>
      <c r="BI3" s="26">
        <f>资产资本表!BI19</f>
        <v>50000</v>
      </c>
      <c r="BJ3" s="26">
        <f>资产资本表!BJ19</f>
        <v>50000</v>
      </c>
      <c r="BK3" s="26">
        <f>资产资本表!BK19</f>
        <v>50000</v>
      </c>
      <c r="BL3" s="26">
        <f>资产资本表!BL19</f>
        <v>50000</v>
      </c>
      <c r="BM3" s="26">
        <f>资产资本表!BM19</f>
        <v>50000</v>
      </c>
      <c r="BN3" s="26">
        <f>资产资本表!BN19</f>
        <v>50000</v>
      </c>
      <c r="BO3" s="26">
        <f>资产资本表!BO19</f>
        <v>50000</v>
      </c>
      <c r="BP3" s="26">
        <f>资产资本表!BP19</f>
        <v>50000</v>
      </c>
      <c r="BQ3" s="26">
        <f>资产资本表!BQ19</f>
        <v>50000</v>
      </c>
      <c r="BR3" s="26">
        <f>资产资本表!BR19</f>
        <v>50000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556</v>
      </c>
      <c r="E4" s="26">
        <f>资产资本表!E50</f>
        <v>1115764343.2399998</v>
      </c>
      <c r="F4" s="26">
        <f>资产资本表!F50</f>
        <v>1163318004.6999998</v>
      </c>
      <c r="G4" s="26">
        <f>资产资本表!G50</f>
        <v>1228419894.6200001</v>
      </c>
      <c r="H4" s="26">
        <f>资产资本表!H50</f>
        <v>1159312455.4900002</v>
      </c>
      <c r="I4" s="26">
        <f>资产资本表!I50</f>
        <v>570177786.54000008</v>
      </c>
      <c r="J4" s="26">
        <f>资产资本表!J50</f>
        <v>557166779.77999997</v>
      </c>
      <c r="K4" s="26">
        <f>资产资本表!K50</f>
        <v>526165578.19000018</v>
      </c>
      <c r="L4" s="26">
        <f>资产资本表!L50</f>
        <v>598020328.12000012</v>
      </c>
      <c r="M4" s="26">
        <f>资产资本表!M50</f>
        <v>585753718.03999996</v>
      </c>
      <c r="N4" s="26">
        <f>资产资本表!N50</f>
        <v>627833937.38000011</v>
      </c>
      <c r="O4" s="26">
        <f>资产资本表!O50</f>
        <v>740368833.99000001</v>
      </c>
      <c r="P4" s="26">
        <f>资产资本表!P50</f>
        <v>758892334.56999993</v>
      </c>
      <c r="Q4" s="26">
        <f>资产资本表!Q50</f>
        <v>724820866.96000004</v>
      </c>
      <c r="R4" s="26">
        <f>资产资本表!R50</f>
        <v>753335509.13999975</v>
      </c>
      <c r="S4" s="26">
        <f>资产资本表!S50</f>
        <v>716159309.23000002</v>
      </c>
      <c r="T4" s="26">
        <f>资产资本表!T50</f>
        <v>686007964.29999995</v>
      </c>
      <c r="U4" s="26">
        <f>资产资本表!U50</f>
        <v>690587685.00000024</v>
      </c>
      <c r="V4" s="26">
        <f>资产资本表!V50</f>
        <v>713487862.9200002</v>
      </c>
      <c r="W4" s="26">
        <f>资产资本表!W50</f>
        <v>665026765.24000013</v>
      </c>
      <c r="X4" s="26">
        <f>资产资本表!X50</f>
        <v>686445169.95000005</v>
      </c>
      <c r="Y4" s="26">
        <f>资产资本表!Y50</f>
        <v>648638643.10000002</v>
      </c>
      <c r="Z4" s="26">
        <f>资产资本表!Z50</f>
        <v>669836554.56000018</v>
      </c>
      <c r="AA4" s="26">
        <f>资产资本表!AA50</f>
        <v>646822074.36999989</v>
      </c>
      <c r="AB4" s="26">
        <f>资产资本表!AB50</f>
        <v>606371944.75999999</v>
      </c>
      <c r="AC4" s="26">
        <f>资产资本表!AC50</f>
        <v>473152954.70999992</v>
      </c>
      <c r="AD4" s="26">
        <f>资产资本表!AD50</f>
        <v>635503267.06000006</v>
      </c>
      <c r="AE4" s="26">
        <f>资产资本表!AE50</f>
        <v>615546859.06000006</v>
      </c>
      <c r="AF4" s="26">
        <f>资产资本表!AF50</f>
        <v>666639368.30000007</v>
      </c>
      <c r="AG4" s="26">
        <f>资产资本表!AG50</f>
        <v>593604989.80999982</v>
      </c>
      <c r="AH4" s="26">
        <f>资产资本表!AH50</f>
        <v>530427373.64999998</v>
      </c>
      <c r="AI4" s="26">
        <f>资产资本表!AI50</f>
        <v>503178277.03000009</v>
      </c>
      <c r="AJ4" s="26">
        <f>资产资本表!AJ50</f>
        <v>498306670.43000019</v>
      </c>
      <c r="AK4" s="26">
        <f>资产资本表!AK50</f>
        <v>563049698.60000002</v>
      </c>
      <c r="AL4" s="26">
        <f>资产资本表!AL50</f>
        <v>603126272.21999979</v>
      </c>
      <c r="AM4" s="26">
        <f>资产资本表!AM50</f>
        <v>574501889.81999993</v>
      </c>
      <c r="AN4" s="26">
        <f>资产资本表!AN50</f>
        <v>581259300.74000001</v>
      </c>
      <c r="AO4" s="26">
        <f>资产资本表!AO50</f>
        <v>570729164.80000019</v>
      </c>
      <c r="AP4" s="26">
        <f>资产资本表!AP50</f>
        <v>532369366.72999984</v>
      </c>
      <c r="AQ4" s="26">
        <f>资产资本表!AQ50</f>
        <v>487699464.88999999</v>
      </c>
      <c r="AR4" s="26">
        <f>资产资本表!AR50</f>
        <v>462853283.17000014</v>
      </c>
      <c r="AS4" s="26">
        <f>资产资本表!AS50</f>
        <v>442922978.75999987</v>
      </c>
      <c r="AT4" s="26">
        <f>资产资本表!AT50</f>
        <v>394009099.01000005</v>
      </c>
      <c r="AU4" s="26">
        <f>资产资本表!AU50</f>
        <v>357461531.61000013</v>
      </c>
      <c r="AV4" s="26">
        <f>资产资本表!AV50</f>
        <v>336044605.38999999</v>
      </c>
      <c r="AW4" s="26">
        <f>资产资本表!AW50</f>
        <v>349263652.88999999</v>
      </c>
      <c r="AX4" s="26">
        <f>资产资本表!AX50</f>
        <v>384584008.00999999</v>
      </c>
      <c r="AY4" s="26">
        <f>资产资本表!AY50</f>
        <v>362675681.93000007</v>
      </c>
      <c r="AZ4" s="26">
        <f>资产资本表!AZ50</f>
        <v>100518258.18000001</v>
      </c>
      <c r="BA4" s="26">
        <f>资产资本表!BA50</f>
        <v>308900954.2899999</v>
      </c>
      <c r="BB4" s="26">
        <f>资产资本表!BB50</f>
        <v>246768675.59999996</v>
      </c>
      <c r="BC4" s="26">
        <f>资产资本表!BC50</f>
        <v>241960155.74999994</v>
      </c>
      <c r="BD4" s="26">
        <f>资产资本表!BD50</f>
        <v>225317888.03999999</v>
      </c>
      <c r="BE4" s="26">
        <f>资产资本表!BE50</f>
        <v>203982257.12</v>
      </c>
      <c r="BF4" s="26">
        <f>资产资本表!BF50</f>
        <v>112069468.44000006</v>
      </c>
      <c r="BG4" s="26">
        <f>资产资本表!BG50</f>
        <v>119068923.55999997</v>
      </c>
      <c r="BH4" s="26">
        <f>资产资本表!BH50</f>
        <v>114983621.06999996</v>
      </c>
      <c r="BI4" s="26">
        <f>资产资本表!BI50</f>
        <v>57528427.349999994</v>
      </c>
      <c r="BJ4" s="26">
        <f>资产资本表!BJ50</f>
        <v>45862565.370000005</v>
      </c>
      <c r="BK4" s="26">
        <f>资产资本表!BK50</f>
        <v>46225320.449999988</v>
      </c>
      <c r="BL4" s="26">
        <f>资产资本表!BL50</f>
        <v>54997231.399999976</v>
      </c>
      <c r="BM4" s="26">
        <f>资产资本表!BM50</f>
        <v>18038566.690000027</v>
      </c>
      <c r="BN4" s="26">
        <f>资产资本表!BN50</f>
        <v>51924457.039999992</v>
      </c>
      <c r="BO4" s="26">
        <f>资产资本表!BO50</f>
        <v>76149534.769999951</v>
      </c>
      <c r="BP4" s="26">
        <f>资产资本表!BP50</f>
        <v>73892430.870000035</v>
      </c>
      <c r="BQ4" s="26">
        <f>资产资本表!BQ50</f>
        <v>85488214.629999995</v>
      </c>
      <c r="BR4" s="26">
        <f>资产资本表!BR50</f>
        <v>84341629.099999994</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334</v>
      </c>
      <c r="E5" s="26">
        <f>资产资本表!E33</f>
        <v>2036099930.3599999</v>
      </c>
      <c r="F5" s="26">
        <f>资产资本表!F33</f>
        <v>2078800873.8299999</v>
      </c>
      <c r="G5" s="26">
        <f>资产资本表!G33</f>
        <v>2121290212.6100001</v>
      </c>
      <c r="H5" s="26">
        <f>资产资本表!H33</f>
        <v>2046939645.0100002</v>
      </c>
      <c r="I5" s="26">
        <f>资产资本表!I33</f>
        <v>1425138896.2600002</v>
      </c>
      <c r="J5" s="26">
        <f>资产资本表!J33</f>
        <v>1405571251.03</v>
      </c>
      <c r="K5" s="26">
        <f>资产资本表!K33</f>
        <v>1368488042.1500001</v>
      </c>
      <c r="L5" s="26">
        <f>资产资本表!L33</f>
        <v>1367628539.9700003</v>
      </c>
      <c r="M5" s="26">
        <f>资产资本表!M33</f>
        <v>1318563826.03</v>
      </c>
      <c r="N5" s="26">
        <f>资产资本表!N33</f>
        <v>1310343874.4100001</v>
      </c>
      <c r="O5" s="26">
        <f>资产资本表!O33</f>
        <v>1328279437.8399999</v>
      </c>
      <c r="P5" s="26">
        <f>资产资本表!P33</f>
        <v>1345609778.0799999</v>
      </c>
      <c r="Q5" s="26">
        <f>资产资本表!Q33</f>
        <v>1299282626.1400001</v>
      </c>
      <c r="R5" s="26">
        <f>资产资本表!R33</f>
        <v>1348985383.8699996</v>
      </c>
      <c r="S5" s="26">
        <f>资产资本表!S33</f>
        <v>1315567933.6400001</v>
      </c>
      <c r="T5" s="26">
        <f>资产资本表!T33</f>
        <v>1278593835.1099999</v>
      </c>
      <c r="U5" s="26">
        <f>资产资本表!U33</f>
        <v>1275783838.9700003</v>
      </c>
      <c r="V5" s="26">
        <f>资产资本表!V33</f>
        <v>1284848670.1700001</v>
      </c>
      <c r="W5" s="26">
        <f>资产资本表!W33</f>
        <v>1233589611.6700001</v>
      </c>
      <c r="X5" s="26">
        <f>资产资本表!X33</f>
        <v>1216254683.24</v>
      </c>
      <c r="Y5" s="26">
        <f>资产资本表!Y33</f>
        <v>1201185715.9300001</v>
      </c>
      <c r="Z5" s="26">
        <f>资产资本表!Z33</f>
        <v>1223809142.9100001</v>
      </c>
      <c r="AA5" s="26">
        <f>资产资本表!AA33</f>
        <v>1175393300.1599998</v>
      </c>
      <c r="AB5" s="26">
        <f>资产资本表!AB33</f>
        <v>1113245047.8099999</v>
      </c>
      <c r="AC5" s="26">
        <f>资产资本表!AC33</f>
        <v>1054724892.0899999</v>
      </c>
      <c r="AD5" s="26">
        <f>资产资本表!AD33</f>
        <v>1223401510.5999999</v>
      </c>
      <c r="AE5" s="26">
        <f>资产资本表!AE33</f>
        <v>1153235347.98</v>
      </c>
      <c r="AF5" s="26">
        <f>资产资本表!AF33</f>
        <v>1326671724.73</v>
      </c>
      <c r="AG5" s="26">
        <f>资产资本表!AG33</f>
        <v>1247294412.5699999</v>
      </c>
      <c r="AH5" s="26">
        <f>资产资本表!AH33</f>
        <v>1155838086</v>
      </c>
      <c r="AI5" s="26">
        <f>资产资本表!AI33</f>
        <v>1148009728.4000001</v>
      </c>
      <c r="AJ5" s="26">
        <f>资产资本表!AJ33</f>
        <v>1088438430.71</v>
      </c>
      <c r="AK5" s="26">
        <f>资产资本表!AK33</f>
        <v>1052560984.99</v>
      </c>
      <c r="AL5" s="26">
        <f>资产资本表!AL33</f>
        <v>1075073736.7599998</v>
      </c>
      <c r="AM5" s="26">
        <f>资产资本表!AM33</f>
        <v>1031181479.3499999</v>
      </c>
      <c r="AN5" s="26">
        <f>资产资本表!AN33</f>
        <v>1015738064.95</v>
      </c>
      <c r="AO5" s="26">
        <f>资产资本表!AO33</f>
        <v>968318094.97000015</v>
      </c>
      <c r="AP5" s="26">
        <f>资产资本表!AP33</f>
        <v>1001417552.0999999</v>
      </c>
      <c r="AQ5" s="26">
        <f>资产资本表!AQ33</f>
        <v>936970473.37</v>
      </c>
      <c r="AR5" s="26">
        <f>资产资本表!AR33</f>
        <v>851128108.4000001</v>
      </c>
      <c r="AS5" s="26">
        <f>资产资本表!AS33</f>
        <v>864951248.87999988</v>
      </c>
      <c r="AT5" s="26">
        <f>资产资本表!AT33</f>
        <v>861574326.24000001</v>
      </c>
      <c r="AU5" s="26">
        <f>资产资本表!AU33</f>
        <v>814250523.29000008</v>
      </c>
      <c r="AV5" s="26">
        <f>资产资本表!AV33</f>
        <v>773410463.74000001</v>
      </c>
      <c r="AW5" s="26">
        <f>资产资本表!AW33</f>
        <v>769748106.25</v>
      </c>
      <c r="AX5" s="26">
        <f>资产资本表!AX33</f>
        <v>742613672.48000002</v>
      </c>
      <c r="AY5" s="26">
        <f>资产资本表!AY33</f>
        <v>711167697.42000008</v>
      </c>
      <c r="AZ5" s="26">
        <f>资产资本表!AZ33</f>
        <v>413277605.61000001</v>
      </c>
      <c r="BA5" s="26">
        <f>资产资本表!BA33</f>
        <v>601078058.16999996</v>
      </c>
      <c r="BB5" s="26">
        <f>资产资本表!BB33</f>
        <v>549447142.53999996</v>
      </c>
      <c r="BC5" s="26">
        <f>资产资本表!BC33</f>
        <v>522034739.43999994</v>
      </c>
      <c r="BD5" s="26">
        <f>资产资本表!BD33</f>
        <v>484138631.01999998</v>
      </c>
      <c r="BE5" s="26">
        <f>资产资本表!BE33</f>
        <v>476405007.84000003</v>
      </c>
      <c r="BF5" s="26">
        <f>资产资本表!BF33</f>
        <v>439760690.82999998</v>
      </c>
      <c r="BG5" s="26">
        <f>资产资本表!BG33</f>
        <v>387034493.63999999</v>
      </c>
      <c r="BH5" s="26">
        <f>资产资本表!BH33</f>
        <v>352378951.43000001</v>
      </c>
      <c r="BI5" s="26">
        <f>资产资本表!BI33</f>
        <v>300208026.48000002</v>
      </c>
      <c r="BJ5" s="26">
        <f>资产资本表!BJ33</f>
        <v>263998686.25</v>
      </c>
      <c r="BK5" s="26">
        <f>资产资本表!BK33</f>
        <v>233305212.35999998</v>
      </c>
      <c r="BL5" s="26">
        <f>资产资本表!BL33</f>
        <v>248188150.82999998</v>
      </c>
      <c r="BM5" s="26">
        <f>资产资本表!BM33</f>
        <v>221992662.44</v>
      </c>
      <c r="BN5" s="26">
        <f>资产资本表!BN33</f>
        <v>240888334.56999999</v>
      </c>
      <c r="BO5" s="26">
        <f>资产资本表!BO33</f>
        <v>242528405.03999996</v>
      </c>
      <c r="BP5" s="26">
        <f>资产资本表!BP33</f>
        <v>222067541.02000001</v>
      </c>
      <c r="BQ5" s="26">
        <f>资产资本表!BQ33</f>
        <v>215555931.66</v>
      </c>
      <c r="BR5" s="26">
        <f>资产资本表!BR33</f>
        <v>190140165.41</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335</v>
      </c>
      <c r="E6" s="26">
        <f>资产资本表!E49</f>
        <v>920335587.12000012</v>
      </c>
      <c r="F6" s="26">
        <f>资产资本表!F49</f>
        <v>915482869.13</v>
      </c>
      <c r="G6" s="26">
        <f>资产资本表!G49</f>
        <v>892870317.99000001</v>
      </c>
      <c r="H6" s="26">
        <f>资产资本表!H49</f>
        <v>887627189.51999998</v>
      </c>
      <c r="I6" s="26">
        <f>资产资本表!I49</f>
        <v>854961109.72000015</v>
      </c>
      <c r="J6" s="26">
        <f>资产资本表!J49</f>
        <v>848404471.25</v>
      </c>
      <c r="K6" s="26">
        <f>资产资本表!K49</f>
        <v>842322463.95999992</v>
      </c>
      <c r="L6" s="26">
        <f>资产资本表!L49</f>
        <v>769608211.85000014</v>
      </c>
      <c r="M6" s="26">
        <f>资产资本表!M49</f>
        <v>732810107.99000001</v>
      </c>
      <c r="N6" s="26">
        <f>资产资本表!N49</f>
        <v>682509937.02999997</v>
      </c>
      <c r="O6" s="26">
        <f>资产资本表!O49</f>
        <v>587910603.8499999</v>
      </c>
      <c r="P6" s="26">
        <f>资产资本表!P49</f>
        <v>586717443.50999999</v>
      </c>
      <c r="Q6" s="26">
        <f>资产资本表!Q49</f>
        <v>574461759.18000007</v>
      </c>
      <c r="R6" s="26">
        <f>资产资本表!R49</f>
        <v>595649874.7299999</v>
      </c>
      <c r="S6" s="26">
        <f>资产资本表!S49</f>
        <v>599408624.41000009</v>
      </c>
      <c r="T6" s="26">
        <f>资产资本表!T49</f>
        <v>592585870.80999994</v>
      </c>
      <c r="U6" s="26">
        <f>资产资本表!U49</f>
        <v>585196153.97000003</v>
      </c>
      <c r="V6" s="26">
        <f>资产资本表!V49</f>
        <v>571360807.24999988</v>
      </c>
      <c r="W6" s="26">
        <f>资产资本表!W49</f>
        <v>568562846.42999995</v>
      </c>
      <c r="X6" s="26">
        <f>资产资本表!X49</f>
        <v>529809513.28999996</v>
      </c>
      <c r="Y6" s="26">
        <f>资产资本表!Y49</f>
        <v>552547072.83000004</v>
      </c>
      <c r="Z6" s="26">
        <f>资产资本表!Z49</f>
        <v>553972588.3499999</v>
      </c>
      <c r="AA6" s="26">
        <f>资产资本表!AA49</f>
        <v>528571225.79000002</v>
      </c>
      <c r="AB6" s="26">
        <f>资产资本表!AB49</f>
        <v>506873103.04999995</v>
      </c>
      <c r="AC6" s="26">
        <f>资产资本表!AC49</f>
        <v>581571937.38</v>
      </c>
      <c r="AD6" s="26">
        <f>资产资本表!AD49</f>
        <v>587898243.53999984</v>
      </c>
      <c r="AE6" s="26">
        <f>资产资本表!AE49</f>
        <v>537688488.91999996</v>
      </c>
      <c r="AF6" s="26">
        <f>资产资本表!AF49</f>
        <v>660032356.42999995</v>
      </c>
      <c r="AG6" s="26">
        <f>资产资本表!AG49</f>
        <v>653689422.76000011</v>
      </c>
      <c r="AH6" s="26">
        <f>资产资本表!AH49</f>
        <v>625410712.35000002</v>
      </c>
      <c r="AI6" s="26">
        <f>资产资本表!AI49</f>
        <v>644831451.37</v>
      </c>
      <c r="AJ6" s="26">
        <f>资产资本表!AJ49</f>
        <v>590131760.27999985</v>
      </c>
      <c r="AK6" s="26">
        <f>资产资本表!AK49</f>
        <v>489511286.38999999</v>
      </c>
      <c r="AL6" s="26">
        <f>资产资本表!AL49</f>
        <v>471947464.54000002</v>
      </c>
      <c r="AM6" s="26">
        <f>资产资本表!AM49</f>
        <v>456679589.53000003</v>
      </c>
      <c r="AN6" s="26">
        <f>资产资本表!AN49</f>
        <v>434478764.21000004</v>
      </c>
      <c r="AO6" s="26">
        <f>资产资本表!AO49</f>
        <v>397588930.16999996</v>
      </c>
      <c r="AP6" s="26">
        <f>资产资本表!AP49</f>
        <v>469048185.37000006</v>
      </c>
      <c r="AQ6" s="26">
        <f>资产资本表!AQ49</f>
        <v>449271008.48000002</v>
      </c>
      <c r="AR6" s="26">
        <f>资产资本表!AR49</f>
        <v>388274825.22999996</v>
      </c>
      <c r="AS6" s="26">
        <f>资产资本表!AS49</f>
        <v>422028270.12</v>
      </c>
      <c r="AT6" s="26">
        <f>资产资本表!AT49</f>
        <v>467565227.22999996</v>
      </c>
      <c r="AU6" s="26">
        <f>资产资本表!AU49</f>
        <v>456788991.67999995</v>
      </c>
      <c r="AV6" s="26">
        <f>资产资本表!AV49</f>
        <v>437365858.35000002</v>
      </c>
      <c r="AW6" s="26">
        <f>资产资本表!AW49</f>
        <v>420484453.36000001</v>
      </c>
      <c r="AX6" s="26">
        <f>资产资本表!AX49</f>
        <v>358029664.47000003</v>
      </c>
      <c r="AY6" s="26">
        <f>资产资本表!AY49</f>
        <v>348492015.49000001</v>
      </c>
      <c r="AZ6" s="26">
        <f>资产资本表!AZ49</f>
        <v>312759347.43000001</v>
      </c>
      <c r="BA6" s="26">
        <f>资产资本表!BA49</f>
        <v>292177103.88000005</v>
      </c>
      <c r="BB6" s="26">
        <f>资产资本表!BB49</f>
        <v>302678466.94</v>
      </c>
      <c r="BC6" s="26">
        <f>资产资本表!BC49</f>
        <v>280074583.69</v>
      </c>
      <c r="BD6" s="26">
        <f>资产资本表!BD49</f>
        <v>258820742.97999999</v>
      </c>
      <c r="BE6" s="26">
        <f>资产资本表!BE49</f>
        <v>272422750.72000003</v>
      </c>
      <c r="BF6" s="26">
        <f>资产资本表!BF49</f>
        <v>327691222.38999993</v>
      </c>
      <c r="BG6" s="26">
        <f>资产资本表!BG49</f>
        <v>267965570.08000001</v>
      </c>
      <c r="BH6" s="26">
        <f>资产资本表!BH49</f>
        <v>237395330.36000004</v>
      </c>
      <c r="BI6" s="26">
        <f>资产资本表!BI49</f>
        <v>242679599.13000003</v>
      </c>
      <c r="BJ6" s="26">
        <f>资产资本表!BJ49</f>
        <v>218136120.88</v>
      </c>
      <c r="BK6" s="26">
        <f>资产资本表!BK49</f>
        <v>187079891.91</v>
      </c>
      <c r="BL6" s="26">
        <f>资产资本表!BL49</f>
        <v>193190919.43000001</v>
      </c>
      <c r="BM6" s="26">
        <f>资产资本表!BM49</f>
        <v>203954095.74999997</v>
      </c>
      <c r="BN6" s="26">
        <f>资产资本表!BN49</f>
        <v>188963877.53</v>
      </c>
      <c r="BO6" s="26">
        <f>资产资本表!BO49</f>
        <v>166378870.27000001</v>
      </c>
      <c r="BP6" s="26">
        <f>资产资本表!BP49</f>
        <v>148175110.14999998</v>
      </c>
      <c r="BQ6" s="26">
        <f>资产资本表!BQ49</f>
        <v>130067717.03</v>
      </c>
      <c r="BR6" s="26">
        <f>资产资本表!BR49</f>
        <v>105798536.31</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336</v>
      </c>
      <c r="E7" s="26">
        <f>资产资本表!E68</f>
        <v>1430067387.1799998</v>
      </c>
      <c r="F7" s="26">
        <f>资产资本表!F68</f>
        <v>1430694061.4100001</v>
      </c>
      <c r="G7" s="26">
        <f>资产资本表!G68</f>
        <v>1414130740.7400002</v>
      </c>
      <c r="H7" s="26">
        <f>资产资本表!H68</f>
        <v>1404830888.0900002</v>
      </c>
      <c r="I7" s="26">
        <f>资产资本表!I68</f>
        <v>1378591814.3900001</v>
      </c>
      <c r="J7" s="26">
        <f>资产资本表!J68</f>
        <v>1406481361.8100002</v>
      </c>
      <c r="K7" s="26">
        <f>资产资本表!K68</f>
        <v>1401003016.2900002</v>
      </c>
      <c r="L7" s="26">
        <f>资产资本表!L68</f>
        <v>1381421360.5699999</v>
      </c>
      <c r="M7" s="26">
        <f>资产资本表!M68</f>
        <v>1317012385.2399995</v>
      </c>
      <c r="N7" s="26">
        <f>资产资本表!N68</f>
        <v>1297869794.4599998</v>
      </c>
      <c r="O7" s="26">
        <f>资产资本表!O68</f>
        <v>1266660317.24</v>
      </c>
      <c r="P7" s="26">
        <f>资产资本表!P68</f>
        <v>1265675332.1099999</v>
      </c>
      <c r="Q7" s="26">
        <f>资产资本表!Q68</f>
        <v>1265544702.7399998</v>
      </c>
      <c r="R7" s="26">
        <f>资产资本表!R68</f>
        <v>1239147081.8099999</v>
      </c>
      <c r="S7" s="26">
        <f>资产资本表!S68</f>
        <v>1236920396.1799998</v>
      </c>
      <c r="T7" s="26">
        <f>资产资本表!T68</f>
        <v>1243799518.1500001</v>
      </c>
      <c r="U7" s="26">
        <f>资产资本表!U68</f>
        <v>1254988148.74</v>
      </c>
      <c r="V7" s="26">
        <f>资产资本表!V68</f>
        <v>1238829549.6100001</v>
      </c>
      <c r="W7" s="26">
        <f>资产资本表!W68</f>
        <v>1237082676.74</v>
      </c>
      <c r="X7" s="26">
        <f>资产资本表!X68</f>
        <v>1239653097.51</v>
      </c>
      <c r="Y7" s="26">
        <f>资产资本表!Y68</f>
        <v>1250756265.8499999</v>
      </c>
      <c r="Z7" s="26">
        <f>资产资本表!Z68</f>
        <v>1231561169.97</v>
      </c>
      <c r="AA7" s="26">
        <f>资产资本表!AA68</f>
        <v>1215443720.23</v>
      </c>
      <c r="AB7" s="26">
        <f>资产资本表!AB68</f>
        <v>1216685839.8400002</v>
      </c>
      <c r="AC7" s="26">
        <f>资产资本表!AC68</f>
        <v>1213726606.7699997</v>
      </c>
      <c r="AD7" s="26">
        <f>资产资本表!AD68</f>
        <v>1098665029.4800003</v>
      </c>
      <c r="AE7" s="26">
        <f>资产资本表!AE68</f>
        <v>1073175251.6800001</v>
      </c>
      <c r="AF7" s="26">
        <f>资产资本表!AF68</f>
        <v>1025750401.67</v>
      </c>
      <c r="AG7" s="26">
        <f>资产资本表!AG68</f>
        <v>1022909065.9999999</v>
      </c>
      <c r="AH7" s="26">
        <f>资产资本表!AH68</f>
        <v>982124389.45000005</v>
      </c>
      <c r="AI7" s="26">
        <f>资产资本表!AI68</f>
        <v>946691697.39999998</v>
      </c>
      <c r="AJ7" s="26">
        <f>资产资本表!AJ68</f>
        <v>934852823.36000001</v>
      </c>
      <c r="AK7" s="26">
        <f>资产资本表!AK68</f>
        <v>914734950.86000013</v>
      </c>
      <c r="AL7" s="26">
        <f>资产资本表!AL68</f>
        <v>915450770.59999979</v>
      </c>
      <c r="AM7" s="26">
        <f>资产资本表!AM68</f>
        <v>898165345.9000001</v>
      </c>
      <c r="AN7" s="26">
        <f>资产资本表!AN68</f>
        <v>870976371.75999999</v>
      </c>
      <c r="AO7" s="26">
        <f>资产资本表!AO68</f>
        <v>882399343.00999999</v>
      </c>
      <c r="AP7" s="26">
        <f>资产资本表!AP68</f>
        <v>877699166.63</v>
      </c>
      <c r="AQ7" s="26">
        <f>资产资本表!AQ68</f>
        <v>873466274.10000002</v>
      </c>
      <c r="AR7" s="26">
        <f>资产资本表!AR68</f>
        <v>857466584.56000006</v>
      </c>
      <c r="AS7" s="26">
        <f>资产资本表!AS68</f>
        <v>798891812.94999993</v>
      </c>
      <c r="AT7" s="26">
        <f>资产资本表!AT68</f>
        <v>788077907.56999993</v>
      </c>
      <c r="AU7" s="26">
        <f>资产资本表!AU68</f>
        <v>771420124.06999993</v>
      </c>
      <c r="AV7" s="26">
        <f>资产资本表!AV68</f>
        <v>750972806.80999994</v>
      </c>
      <c r="AW7" s="26">
        <f>资产资本表!AW68</f>
        <v>717991639.19999993</v>
      </c>
      <c r="AX7" s="26">
        <f>资产资本表!AX68</f>
        <v>698467316.45000005</v>
      </c>
      <c r="AY7" s="26">
        <f>资产资本表!AY68</f>
        <v>707479297.13999999</v>
      </c>
      <c r="AZ7" s="26">
        <f>资产资本表!AZ68</f>
        <v>693423820.94999993</v>
      </c>
      <c r="BA7" s="26">
        <f>资产资本表!BA68</f>
        <v>692095199.35000002</v>
      </c>
      <c r="BB7" s="26">
        <f>资产资本表!BB68</f>
        <v>686072337.05000007</v>
      </c>
      <c r="BC7" s="26">
        <f>资产资本表!BC68</f>
        <v>675434662.87</v>
      </c>
      <c r="BD7" s="26">
        <f>资产资本表!BD68</f>
        <v>689436892.02999997</v>
      </c>
      <c r="BE7" s="26">
        <f>资产资本表!BE68</f>
        <v>663003951.38999999</v>
      </c>
      <c r="BF7" s="26">
        <f>资产资本表!BF68</f>
        <v>683829994.98000002</v>
      </c>
      <c r="BG7" s="26">
        <f>资产资本表!BG68</f>
        <v>624583495.07999992</v>
      </c>
      <c r="BH7" s="26">
        <f>资产资本表!BH68</f>
        <v>570274400.86000001</v>
      </c>
      <c r="BI7" s="26">
        <f>资产资本表!BI68</f>
        <v>551407183.10000002</v>
      </c>
      <c r="BJ7" s="26">
        <f>资产资本表!BJ68</f>
        <v>481298026.65000004</v>
      </c>
      <c r="BK7" s="26">
        <f>资产资本表!BK68</f>
        <v>414169579.53000003</v>
      </c>
      <c r="BL7" s="26">
        <f>资产资本表!BL68</f>
        <v>326748982.25</v>
      </c>
      <c r="BM7" s="26">
        <f>资产资本表!BM68</f>
        <v>301786134.21999997</v>
      </c>
      <c r="BN7" s="26">
        <f>资产资本表!BN68</f>
        <v>242529031.93000001</v>
      </c>
      <c r="BO7" s="26">
        <f>资产资本表!BO68</f>
        <v>219351133.17999998</v>
      </c>
      <c r="BP7" s="26">
        <f>资产资本表!BP68</f>
        <v>195731863.68000001</v>
      </c>
      <c r="BQ7" s="26">
        <f>资产资本表!BQ68</f>
        <v>149588480.83000001</v>
      </c>
      <c r="BR7" s="26">
        <f>资产资本表!BR68</f>
        <v>135079696.97999999</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41" t="s">
        <v>635</v>
      </c>
      <c r="E8" s="26">
        <f>资产资本表!E69</f>
        <v>2545831730.4199996</v>
      </c>
      <c r="F8" s="26">
        <f>资产资本表!F69</f>
        <v>2594012066.1099997</v>
      </c>
      <c r="G8" s="26">
        <f>资产资本表!G69</f>
        <v>2642550635.3600006</v>
      </c>
      <c r="H8" s="26">
        <f>资产资本表!H69</f>
        <v>2564143343.5800004</v>
      </c>
      <c r="I8" s="26">
        <f>资产资本表!I69</f>
        <v>1948769600.9300003</v>
      </c>
      <c r="J8" s="26">
        <f>资产资本表!J69</f>
        <v>1963648141.5900002</v>
      </c>
      <c r="K8" s="26">
        <f>资产资本表!K69</f>
        <v>1927168594.4800005</v>
      </c>
      <c r="L8" s="26">
        <f>资产资本表!L69</f>
        <v>1979441688.6900001</v>
      </c>
      <c r="M8" s="26">
        <f>资产资本表!M69</f>
        <v>1902766103.2799995</v>
      </c>
      <c r="N8" s="26">
        <f>资产资本表!N69</f>
        <v>1925703731.8399999</v>
      </c>
      <c r="O8" s="26">
        <f>资产资本表!O69</f>
        <v>2007029151.23</v>
      </c>
      <c r="P8" s="26">
        <f>资产资本表!P69</f>
        <v>2024567666.6799998</v>
      </c>
      <c r="Q8" s="26">
        <f>资产资本表!Q69</f>
        <v>1990365569.6999998</v>
      </c>
      <c r="R8" s="26">
        <f>资产资本表!R69</f>
        <v>1992482590.9499998</v>
      </c>
      <c r="S8" s="26">
        <f>资产资本表!S69</f>
        <v>1953079705.4099998</v>
      </c>
      <c r="T8" s="26">
        <f>资产资本表!T69</f>
        <v>1929807482.45</v>
      </c>
      <c r="U8" s="26">
        <f>资产资本表!U69</f>
        <v>1945575833.7400002</v>
      </c>
      <c r="V8" s="26">
        <f>资产资本表!V69</f>
        <v>1952317412.5300002</v>
      </c>
      <c r="W8" s="26">
        <f>资产资本表!W69</f>
        <v>1902109441.98</v>
      </c>
      <c r="X8" s="26">
        <f>资产资本表!X69</f>
        <v>1926098267.46</v>
      </c>
      <c r="Y8" s="26">
        <f>资产资本表!Y69</f>
        <v>1899394908.9499998</v>
      </c>
      <c r="Z8" s="26">
        <f>资产资本表!Z69</f>
        <v>1901397724.5300002</v>
      </c>
      <c r="AA8" s="26">
        <f>资产资本表!AA69</f>
        <v>1862265794.5999999</v>
      </c>
      <c r="AB8" s="26">
        <f>资产资本表!AB69</f>
        <v>1823057784.6000001</v>
      </c>
      <c r="AC8" s="26">
        <f>资产资本表!AC69</f>
        <v>1686879561.4799995</v>
      </c>
      <c r="AD8" s="26">
        <f>资产资本表!AD69</f>
        <v>1734168296.5400004</v>
      </c>
      <c r="AE8" s="26">
        <f>资产资本表!AE69</f>
        <v>1688722110.7400002</v>
      </c>
      <c r="AF8" s="26">
        <f>资产资本表!AF69</f>
        <v>1692389769.97</v>
      </c>
      <c r="AG8" s="26">
        <f>资产资本表!AG69</f>
        <v>1616514055.8099997</v>
      </c>
      <c r="AH8" s="26">
        <f>资产资本表!AH69</f>
        <v>1512551763.0999999</v>
      </c>
      <c r="AI8" s="26">
        <f>资产资本表!AI69</f>
        <v>1449869974.4300001</v>
      </c>
      <c r="AJ8" s="26">
        <f>资产资本表!AJ69</f>
        <v>1433159493.7900002</v>
      </c>
      <c r="AK8" s="26">
        <f>资产资本表!AK69</f>
        <v>1477784649.46</v>
      </c>
      <c r="AL8" s="26">
        <f>资产资本表!AL69</f>
        <v>1518577042.8199997</v>
      </c>
      <c r="AM8" s="26">
        <f>资产资本表!AM69</f>
        <v>1472667235.72</v>
      </c>
      <c r="AN8" s="26">
        <f>资产资本表!AN69</f>
        <v>1452235672.5</v>
      </c>
      <c r="AO8" s="26">
        <f>资产资本表!AO69</f>
        <v>1453128507.8100002</v>
      </c>
      <c r="AP8" s="26">
        <f>资产资本表!AP69</f>
        <v>1410068533.3599999</v>
      </c>
      <c r="AQ8" s="26">
        <f>资产资本表!AQ69</f>
        <v>1361165738.99</v>
      </c>
      <c r="AR8" s="26">
        <f>资产资本表!AR69</f>
        <v>1320319867.7300003</v>
      </c>
      <c r="AS8" s="26">
        <f>资产资本表!AS69</f>
        <v>1241814791.7099998</v>
      </c>
      <c r="AT8" s="26">
        <f>资产资本表!AT69</f>
        <v>1182087006.5799999</v>
      </c>
      <c r="AU8" s="26">
        <f>资产资本表!AU69</f>
        <v>1128881655.6800001</v>
      </c>
      <c r="AV8" s="26">
        <f>资产资本表!AV69</f>
        <v>1087017412.1999998</v>
      </c>
      <c r="AW8" s="26">
        <f>资产资本表!AW69</f>
        <v>1067255292.0899999</v>
      </c>
      <c r="AX8" s="26">
        <f>资产资本表!AX69</f>
        <v>1083051324.46</v>
      </c>
      <c r="AY8" s="26">
        <f>资产资本表!AY69</f>
        <v>1070154979.0700001</v>
      </c>
      <c r="AZ8" s="26">
        <f>资产资本表!AZ69</f>
        <v>793942079.12999988</v>
      </c>
      <c r="BA8" s="26">
        <f>资产资本表!BA69</f>
        <v>1000996153.6399999</v>
      </c>
      <c r="BB8" s="26">
        <f>资产资本表!BB69</f>
        <v>932841012.6500001</v>
      </c>
      <c r="BC8" s="26">
        <f>资产资本表!BC69</f>
        <v>917394818.61999989</v>
      </c>
      <c r="BD8" s="26">
        <f>资产资本表!BD69</f>
        <v>914754780.06999993</v>
      </c>
      <c r="BE8" s="26">
        <f>资产资本表!BE69</f>
        <v>866986208.50999999</v>
      </c>
      <c r="BF8" s="26">
        <f>资产资本表!BF69</f>
        <v>795899463.42000008</v>
      </c>
      <c r="BG8" s="26">
        <f>资产资本表!BG69</f>
        <v>743652418.63999987</v>
      </c>
      <c r="BH8" s="26">
        <f>资产资本表!BH69</f>
        <v>685258021.92999995</v>
      </c>
      <c r="BI8" s="26">
        <f>资产资本表!BI69</f>
        <v>608935610.45000005</v>
      </c>
      <c r="BJ8" s="26">
        <f>资产资本表!BJ69</f>
        <v>527160592.02000004</v>
      </c>
      <c r="BK8" s="26">
        <f>资产资本表!BK69</f>
        <v>460394899.98000002</v>
      </c>
      <c r="BL8" s="26">
        <f>资产资本表!BL69</f>
        <v>381746213.64999998</v>
      </c>
      <c r="BM8" s="26">
        <f>资产资本表!BM69</f>
        <v>319824700.90999997</v>
      </c>
      <c r="BN8" s="26">
        <f>资产资本表!BN69</f>
        <v>294453488.97000003</v>
      </c>
      <c r="BO8" s="26">
        <f>资产资本表!BO69</f>
        <v>295500667.94999993</v>
      </c>
      <c r="BP8" s="26">
        <f>资产资本表!BP69</f>
        <v>269624294.55000007</v>
      </c>
      <c r="BQ8" s="26">
        <f>资产资本表!BQ69</f>
        <v>235076695.46000001</v>
      </c>
      <c r="BR8" s="26">
        <f>资产资本表!BR69</f>
        <v>219421326.07999998</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637</v>
      </c>
      <c r="E9" s="48">
        <f>资产资本表!E70</f>
        <v>3259824425.6699996</v>
      </c>
      <c r="F9" s="48">
        <f>资产资本表!F70</f>
        <v>3195633782.6999998</v>
      </c>
      <c r="G9" s="48">
        <f>资产资本表!G70</f>
        <v>3178555226.9000006</v>
      </c>
      <c r="H9" s="48">
        <f>资产资本表!H70</f>
        <v>3114439165.9300003</v>
      </c>
      <c r="I9" s="48">
        <f>资产资本表!I70</f>
        <v>3049264334.3900003</v>
      </c>
      <c r="J9" s="48">
        <f>资产资本表!J70</f>
        <v>2325334146.8800001</v>
      </c>
      <c r="K9" s="48">
        <f>资产资本表!K70</f>
        <v>2347050102.6900005</v>
      </c>
      <c r="L9" s="48">
        <f>资产资本表!L70</f>
        <v>2372780572.4499998</v>
      </c>
      <c r="M9" s="48">
        <f>资产资本表!M70</f>
        <v>2240260759.3099995</v>
      </c>
      <c r="N9" s="48">
        <f>资产资本表!N70</f>
        <v>2257849594.46</v>
      </c>
      <c r="O9" s="48">
        <f>资产资本表!O70</f>
        <v>2321279863.6399999</v>
      </c>
      <c r="P9" s="48">
        <f>资产资本表!P70</f>
        <v>2308502640.3499999</v>
      </c>
      <c r="Q9" s="48">
        <f>资产资本表!Q70</f>
        <v>2243718320.1199999</v>
      </c>
      <c r="R9" s="48">
        <f>资产资本表!R70</f>
        <v>2248503690.1999998</v>
      </c>
      <c r="S9" s="48">
        <f>资产资本表!S70</f>
        <v>2172986247.4899998</v>
      </c>
      <c r="T9" s="48">
        <f>资产资本表!T70</f>
        <v>2115916359.51</v>
      </c>
      <c r="U9" s="48">
        <f>资产资本表!U70</f>
        <v>2120266850.1600003</v>
      </c>
      <c r="V9" s="48">
        <f>资产资本表!V70</f>
        <v>2102146106.0200002</v>
      </c>
      <c r="W9" s="48">
        <f>资产资本表!W70</f>
        <v>2097314673.74</v>
      </c>
      <c r="X9" s="48">
        <f>资产资本表!X70</f>
        <v>2091153012.8</v>
      </c>
      <c r="Y9" s="48">
        <f>资产资本表!Y70</f>
        <v>2059298244.2799997</v>
      </c>
      <c r="Z9" s="48">
        <f>资产资本表!Z70</f>
        <v>2035502329.5700002</v>
      </c>
      <c r="AA9" s="48">
        <f>资产资本表!AA70</f>
        <v>1998339780.8799999</v>
      </c>
      <c r="AB9" s="48">
        <f>资产资本表!AB70</f>
        <v>1937542590.73</v>
      </c>
      <c r="AC9" s="48">
        <f>资产资本表!AC70</f>
        <v>1912640996.4399996</v>
      </c>
      <c r="AD9" s="48">
        <f>资产资本表!AD70</f>
        <v>1897983803.9100003</v>
      </c>
      <c r="AE9" s="48">
        <f>资产资本表!AE70</f>
        <v>1839132776.4900002</v>
      </c>
      <c r="AF9" s="48">
        <f>资产资本表!AF70</f>
        <v>1902554305.71</v>
      </c>
      <c r="AG9" s="48">
        <f>资产资本表!AG70</f>
        <v>1870000425.1199996</v>
      </c>
      <c r="AH9" s="48">
        <f>资产资本表!AH70</f>
        <v>1847257394.27</v>
      </c>
      <c r="AI9" s="48">
        <f>资产资本表!AI70</f>
        <v>1820175662.54</v>
      </c>
      <c r="AJ9" s="48">
        <f>资产资本表!AJ70</f>
        <v>1720226597.2300003</v>
      </c>
      <c r="AK9" s="48">
        <f>资产资本表!AK70</f>
        <v>1727219837.21</v>
      </c>
      <c r="AL9" s="48">
        <f>资产资本表!AL70</f>
        <v>1692334674.2799997</v>
      </c>
      <c r="AM9" s="48">
        <f>资产资本表!AM70</f>
        <v>1637217646.22</v>
      </c>
      <c r="AN9" s="48">
        <f>资产资本表!AN70</f>
        <v>1639432145.6800001</v>
      </c>
      <c r="AO9" s="48">
        <f>资产资本表!AO70</f>
        <v>1591750094.1000001</v>
      </c>
      <c r="AP9" s="48">
        <f>资产资本表!AP70</f>
        <v>1545742934.1899998</v>
      </c>
      <c r="AQ9" s="48">
        <f>资产资本表!AQ70</f>
        <v>1517574069.5799999</v>
      </c>
      <c r="AR9" s="48">
        <f>资产资本表!AR70</f>
        <v>1480401564.1100001</v>
      </c>
      <c r="AS9" s="48">
        <f>资产资本表!AS70</f>
        <v>1449357134.6099999</v>
      </c>
      <c r="AT9" s="48">
        <f>资产资本表!AT70</f>
        <v>1446333018.75</v>
      </c>
      <c r="AU9" s="48">
        <f>资产资本表!AU70</f>
        <v>1419825602.5100002</v>
      </c>
      <c r="AV9" s="48">
        <f>资产资本表!AV70</f>
        <v>1420278007.2499998</v>
      </c>
      <c r="AW9" s="48">
        <f>资产资本表!AW70</f>
        <v>1210118014.21</v>
      </c>
      <c r="AX9" s="48">
        <f>资产资本表!AX70</f>
        <v>1195915083.76</v>
      </c>
      <c r="AY9" s="48">
        <f>资产资本表!AY70</f>
        <v>1162724209.8400002</v>
      </c>
      <c r="AZ9" s="48">
        <f>资产资本表!AZ70</f>
        <v>1149677315.9199998</v>
      </c>
      <c r="BA9" s="48">
        <f>资产资本表!BA70</f>
        <v>1133665836.2199998</v>
      </c>
      <c r="BB9" s="48">
        <f>资产资本表!BB70</f>
        <v>1012160829.2400001</v>
      </c>
      <c r="BC9" s="48">
        <f>资产资本表!BC70</f>
        <v>976673240.80999994</v>
      </c>
      <c r="BD9" s="48">
        <f>资产资本表!BD70</f>
        <v>978426961.20999992</v>
      </c>
      <c r="BE9" s="48">
        <f>资产资本表!BE70</f>
        <v>959612716.39999998</v>
      </c>
      <c r="BF9" s="48">
        <f>资产资本表!BF70</f>
        <v>901143623.43000007</v>
      </c>
      <c r="BG9" s="48">
        <f>资产资本表!BG70</f>
        <v>901534938.90999985</v>
      </c>
      <c r="BH9" s="48">
        <f>资产资本表!BH70</f>
        <v>850857440.19999993</v>
      </c>
      <c r="BI9" s="48">
        <f>资产资本表!BI70</f>
        <v>793349576.8900001</v>
      </c>
      <c r="BJ9" s="48">
        <f>资产资本表!BJ70</f>
        <v>780126099.06000006</v>
      </c>
      <c r="BK9" s="48">
        <f>资产资本表!BK70</f>
        <v>761757003.18000007</v>
      </c>
      <c r="BL9" s="48">
        <f>资产资本表!BL70</f>
        <v>751416999.48000002</v>
      </c>
      <c r="BM9" s="48">
        <f>资产资本表!BM70</f>
        <v>739639680.1099999</v>
      </c>
      <c r="BN9" s="48">
        <f>资产资本表!BN70</f>
        <v>719359636.58000004</v>
      </c>
      <c r="BO9" s="48">
        <f>资产资本表!BO70</f>
        <v>739840619.45999992</v>
      </c>
      <c r="BP9" s="48">
        <f>资产资本表!BP70</f>
        <v>319060671.80000007</v>
      </c>
      <c r="BQ9" s="48">
        <f>资产资本表!BQ70</f>
        <v>264542302.21000001</v>
      </c>
      <c r="BR9" s="48">
        <f>资产资本表!BR70</f>
        <v>247650397.78999999</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339</v>
      </c>
      <c r="E10" s="26">
        <f>资产资本表!E72</f>
        <v>0</v>
      </c>
      <c r="F10" s="26">
        <f>资产资本表!F72</f>
        <v>0</v>
      </c>
      <c r="G10" s="26">
        <f>资产资本表!G72</f>
        <v>0</v>
      </c>
      <c r="H10" s="26">
        <f>资产资本表!H72</f>
        <v>0</v>
      </c>
      <c r="I10" s="26">
        <f>资产资本表!I72</f>
        <v>1000000</v>
      </c>
      <c r="J10" s="26">
        <f>资产资本表!J72</f>
        <v>2800000</v>
      </c>
      <c r="K10" s="26">
        <f>资产资本表!K72</f>
        <v>32379520</v>
      </c>
      <c r="L10" s="26">
        <f>资产资本表!L72</f>
        <v>62861600</v>
      </c>
      <c r="M10" s="26">
        <f>资产资本表!M72</f>
        <v>2800000</v>
      </c>
      <c r="N10" s="26">
        <f>资产资本表!N72</f>
        <v>50254270</v>
      </c>
      <c r="O10" s="26">
        <f>资产资本表!O72</f>
        <v>123135460</v>
      </c>
      <c r="P10" s="26">
        <f>资产资本表!P72</f>
        <v>147243001.44</v>
      </c>
      <c r="Q10" s="26">
        <f>资产资本表!Q72</f>
        <v>113985036.05</v>
      </c>
      <c r="R10" s="26">
        <f>资产资本表!R72</f>
        <v>143715811.12</v>
      </c>
      <c r="S10" s="26">
        <f>资产资本表!S72</f>
        <v>75406311.109999999</v>
      </c>
      <c r="T10" s="26">
        <f>资产资本表!T72</f>
        <v>55024577.780000001</v>
      </c>
      <c r="U10" s="26">
        <f>资产资本表!U72</f>
        <v>85756077.769999996</v>
      </c>
      <c r="V10" s="26">
        <f>资产资本表!V72</f>
        <v>85157084.439999998</v>
      </c>
      <c r="W10" s="26">
        <f>资产资本表!W72</f>
        <v>85777255.549999997</v>
      </c>
      <c r="X10" s="26">
        <f>资产资本表!X72</f>
        <v>115124233.33</v>
      </c>
      <c r="Y10" s="26">
        <f>资产资本表!Y72</f>
        <v>117238605.56</v>
      </c>
      <c r="Z10" s="26">
        <f>资产资本表!Z72</f>
        <v>110000000</v>
      </c>
      <c r="AA10" s="26">
        <f>资产资本表!AA72</f>
        <v>80000000</v>
      </c>
      <c r="AB10" s="26">
        <f>资产资本表!AB72</f>
        <v>55000000</v>
      </c>
      <c r="AC10" s="26">
        <f>资产资本表!AC72</f>
        <v>55000000</v>
      </c>
      <c r="AD10" s="26">
        <f>资产资本表!AD72</f>
        <v>55000000</v>
      </c>
      <c r="AE10" s="26">
        <f>资产资本表!AE72</f>
        <v>25000000</v>
      </c>
      <c r="AF10" s="26">
        <f>资产资本表!AF72</f>
        <v>105017437.20999999</v>
      </c>
      <c r="AG10" s="26">
        <f>资产资本表!AG72</f>
        <v>115017437.2</v>
      </c>
      <c r="AH10" s="26">
        <f>资产资本表!AH72</f>
        <v>129929000</v>
      </c>
      <c r="AI10" s="26">
        <f>资产资本表!AI72</f>
        <v>149929000</v>
      </c>
      <c r="AJ10" s="26">
        <f>资产资本表!AJ72</f>
        <v>80000000</v>
      </c>
      <c r="AK10" s="26">
        <f>资产资本表!AK72</f>
        <v>134000000</v>
      </c>
      <c r="AL10" s="26">
        <f>资产资本表!AL72</f>
        <v>134000000</v>
      </c>
      <c r="AM10" s="26">
        <f>资产资本表!AM72</f>
        <v>114000000</v>
      </c>
      <c r="AN10" s="26">
        <f>资产资本表!AN72</f>
        <v>150928000</v>
      </c>
      <c r="AO10" s="26">
        <f>资产资本表!AO72</f>
        <v>136928000</v>
      </c>
      <c r="AP10" s="26">
        <f>资产资本表!AP72</f>
        <v>119000000</v>
      </c>
      <c r="AQ10" s="26">
        <f>资产资本表!AQ72</f>
        <v>129530000</v>
      </c>
      <c r="AR10" s="26">
        <f>资产资本表!AR72</f>
        <v>130000000</v>
      </c>
      <c r="AS10" s="26">
        <f>资产资本表!AS72</f>
        <v>130000000</v>
      </c>
      <c r="AT10" s="26">
        <f>资产资本表!AT72</f>
        <v>160000000</v>
      </c>
      <c r="AU10" s="26">
        <f>资产资本表!AU72</f>
        <v>160000000</v>
      </c>
      <c r="AV10" s="26">
        <f>资产资本表!AV72</f>
        <v>170000000</v>
      </c>
      <c r="AW10" s="26">
        <f>资产资本表!AW72</f>
        <v>260000000</v>
      </c>
      <c r="AX10" s="26">
        <f>资产资本表!AX72</f>
        <v>250000000</v>
      </c>
      <c r="AY10" s="26">
        <f>资产资本表!AY72</f>
        <v>243000000</v>
      </c>
      <c r="AZ10" s="26">
        <f>资产资本表!AZ72</f>
        <v>231530000</v>
      </c>
      <c r="BA10" s="26">
        <f>资产资本表!BA72</f>
        <v>236530000</v>
      </c>
      <c r="BB10" s="26">
        <f>资产资本表!BB72</f>
        <v>171530000</v>
      </c>
      <c r="BC10" s="26">
        <f>资产资本表!BC72</f>
        <v>157530000</v>
      </c>
      <c r="BD10" s="26">
        <f>资产资本表!BD72</f>
        <v>161500000</v>
      </c>
      <c r="BE10" s="26">
        <f>资产资本表!BE72</f>
        <v>162110000</v>
      </c>
      <c r="BF10" s="26">
        <f>资产资本表!BF72</f>
        <v>110000000</v>
      </c>
      <c r="BG10" s="26">
        <f>资产资本表!BG72</f>
        <v>130000000</v>
      </c>
      <c r="BH10" s="26">
        <f>资产资本表!BH72</f>
        <v>90000000</v>
      </c>
      <c r="BI10" s="26">
        <f>资产资本表!BI72</f>
        <v>50000000</v>
      </c>
      <c r="BJ10" s="26">
        <f>资产资本表!BJ72</f>
        <v>60000000</v>
      </c>
      <c r="BK10" s="26">
        <f>资产资本表!BK72</f>
        <v>60000000</v>
      </c>
      <c r="BL10" s="26">
        <f>资产资本表!BL72</f>
        <v>62870000</v>
      </c>
      <c r="BM10" s="26">
        <f>资产资本表!BM72</f>
        <v>62870000</v>
      </c>
      <c r="BN10" s="26">
        <f>资产资本表!BN72</f>
        <v>62870000</v>
      </c>
      <c r="BO10" s="26">
        <f>资产资本表!BO72</f>
        <v>31919024</v>
      </c>
      <c r="BP10" s="26">
        <f>资产资本表!BP72</f>
        <v>26918592</v>
      </c>
      <c r="BQ10" s="26">
        <f>资产资本表!BQ72</f>
        <v>22000000</v>
      </c>
      <c r="BR10" s="26">
        <f>资产资本表!BR72</f>
        <v>11050000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5312500</v>
      </c>
      <c r="AA11" s="26">
        <f>资产资本表!AA81</f>
        <v>5312500</v>
      </c>
      <c r="AB11" s="26">
        <f>资产资本表!AB81</f>
        <v>5312500</v>
      </c>
      <c r="AC11" s="26">
        <f>资产资本表!AC81</f>
        <v>5312500</v>
      </c>
      <c r="AD11" s="26">
        <f>资产资本表!AD81</f>
        <v>9062500</v>
      </c>
      <c r="AE11" s="26">
        <f>资产资本表!AE81</f>
        <v>9062500</v>
      </c>
      <c r="AF11" s="26">
        <f>资产资本表!AF81</f>
        <v>9062500</v>
      </c>
      <c r="AG11" s="26">
        <f>资产资本表!AG81</f>
        <v>9062500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21158259.09</v>
      </c>
      <c r="AQ11" s="26">
        <f>资产资本表!AQ81</f>
        <v>14948395.689999999</v>
      </c>
      <c r="AR11" s="26">
        <f>资产资本表!AR81</f>
        <v>14212992.84</v>
      </c>
      <c r="AS11" s="26">
        <f>资产资本表!AS81</f>
        <v>12629641.84</v>
      </c>
      <c r="AT11" s="26">
        <f>资产资本表!AT81</f>
        <v>3251250.12</v>
      </c>
      <c r="AU11" s="26">
        <f>资产资本表!AU81</f>
        <v>1993347.08</v>
      </c>
      <c r="AV11" s="26">
        <f>资产资本表!AV81</f>
        <v>0</v>
      </c>
      <c r="AW11" s="26">
        <f>资产资本表!AW81</f>
        <v>25000000</v>
      </c>
      <c r="AX11" s="26">
        <f>资产资本表!AX81</f>
        <v>35000000</v>
      </c>
      <c r="AY11" s="26">
        <f>资产资本表!AY81</f>
        <v>35000000</v>
      </c>
      <c r="AZ11" s="26">
        <f>资产资本表!AZ81</f>
        <v>35000000</v>
      </c>
      <c r="BA11" s="26">
        <f>资产资本表!BA81</f>
        <v>35000000</v>
      </c>
      <c r="BB11" s="26">
        <f>资产资本表!BB81</f>
        <v>0</v>
      </c>
      <c r="BC11" s="26">
        <f>资产资本表!BC81</f>
        <v>0</v>
      </c>
      <c r="BD11" s="26">
        <f>资产资本表!BD81</f>
        <v>0</v>
      </c>
      <c r="BE11" s="26">
        <f>资产资本表!BE81</f>
        <v>0</v>
      </c>
      <c r="BF11" s="26">
        <f>资产资本表!BF81</f>
        <v>18000000</v>
      </c>
      <c r="BG11" s="26">
        <f>资产资本表!BG81</f>
        <v>18000000</v>
      </c>
      <c r="BH11" s="26">
        <f>资产资本表!BH81</f>
        <v>18000000</v>
      </c>
      <c r="BI11" s="26">
        <f>资产资本表!BI81</f>
        <v>18000000</v>
      </c>
      <c r="BJ11" s="26">
        <f>资产资本表!BJ81</f>
        <v>18000000</v>
      </c>
      <c r="BK11" s="26">
        <f>资产资本表!BK81</f>
        <v>18000000</v>
      </c>
      <c r="BL11" s="26">
        <f>资产资本表!BL81</f>
        <v>18000000</v>
      </c>
      <c r="BM11" s="26">
        <f>资产资本表!BM81</f>
        <v>18000000</v>
      </c>
      <c r="BN11" s="26">
        <f>资产资本表!BN81</f>
        <v>18000000</v>
      </c>
      <c r="BO11" s="26">
        <f>资产资本表!BO81</f>
        <v>60870000</v>
      </c>
      <c r="BP11" s="26">
        <f>资产资本表!BP81</f>
        <v>65870000</v>
      </c>
      <c r="BQ11" s="26">
        <f>资产资本表!BQ81</f>
        <v>43268700.939999998</v>
      </c>
      <c r="BR11" s="26">
        <f>资产资本表!BR81</f>
        <v>66185309.93</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41" t="s">
        <v>636</v>
      </c>
      <c r="E12" s="26">
        <f>资产资本表!E89</f>
        <v>0</v>
      </c>
      <c r="F12" s="26">
        <f>资产资本表!F89</f>
        <v>0</v>
      </c>
      <c r="G12" s="26">
        <f>资产资本表!G89</f>
        <v>0</v>
      </c>
      <c r="H12" s="26">
        <f>资产资本表!H89</f>
        <v>0</v>
      </c>
      <c r="I12" s="26">
        <f>资产资本表!I89</f>
        <v>1000000</v>
      </c>
      <c r="J12" s="26">
        <f>资产资本表!J89</f>
        <v>2800000</v>
      </c>
      <c r="K12" s="26">
        <f>资产资本表!K89</f>
        <v>32379520</v>
      </c>
      <c r="L12" s="26">
        <f>资产资本表!L89</f>
        <v>62861600</v>
      </c>
      <c r="M12" s="26">
        <f>资产资本表!M89</f>
        <v>2800000</v>
      </c>
      <c r="N12" s="26">
        <f>资产资本表!N89</f>
        <v>50254270</v>
      </c>
      <c r="O12" s="26">
        <f>资产资本表!O89</f>
        <v>123135460</v>
      </c>
      <c r="P12" s="26">
        <f>资产资本表!P89</f>
        <v>147243001.44</v>
      </c>
      <c r="Q12" s="26">
        <f>资产资本表!Q89</f>
        <v>113985036.05</v>
      </c>
      <c r="R12" s="26">
        <f>资产资本表!R89</f>
        <v>143715811.12</v>
      </c>
      <c r="S12" s="26">
        <f>资产资本表!S89</f>
        <v>75406311.109999999</v>
      </c>
      <c r="T12" s="26">
        <f>资产资本表!T89</f>
        <v>55024577.780000001</v>
      </c>
      <c r="U12" s="26">
        <f>资产资本表!U89</f>
        <v>85756077.769999996</v>
      </c>
      <c r="V12" s="26">
        <f>资产资本表!V89</f>
        <v>85157084.439999998</v>
      </c>
      <c r="W12" s="26">
        <f>资产资本表!W89</f>
        <v>85777255.549999997</v>
      </c>
      <c r="X12" s="26">
        <f>资产资本表!X89</f>
        <v>115124233.33</v>
      </c>
      <c r="Y12" s="26">
        <f>资产资本表!Y89</f>
        <v>117238605.56</v>
      </c>
      <c r="Z12" s="26">
        <f>资产资本表!Z89</f>
        <v>115312500</v>
      </c>
      <c r="AA12" s="26">
        <f>资产资本表!AA89</f>
        <v>85312500</v>
      </c>
      <c r="AB12" s="26">
        <f>资产资本表!AB89</f>
        <v>60312500</v>
      </c>
      <c r="AC12" s="26">
        <f>资产资本表!AC89</f>
        <v>60312500</v>
      </c>
      <c r="AD12" s="26">
        <f>资产资本表!AD89</f>
        <v>64062500</v>
      </c>
      <c r="AE12" s="26">
        <f>资产资本表!AE89</f>
        <v>34062500</v>
      </c>
      <c r="AF12" s="26">
        <f>资产资本表!AF89</f>
        <v>114079937.20999999</v>
      </c>
      <c r="AG12" s="26">
        <f>资产资本表!AG89</f>
        <v>124079937.2</v>
      </c>
      <c r="AH12" s="26">
        <f>资产资本表!AH89</f>
        <v>129929000</v>
      </c>
      <c r="AI12" s="26">
        <f>资产资本表!AI89</f>
        <v>149929000</v>
      </c>
      <c r="AJ12" s="26">
        <f>资产资本表!AJ89</f>
        <v>80000000</v>
      </c>
      <c r="AK12" s="26">
        <f>资产资本表!AK89</f>
        <v>134000000</v>
      </c>
      <c r="AL12" s="26">
        <f>资产资本表!AL89</f>
        <v>134000000</v>
      </c>
      <c r="AM12" s="26">
        <f>资产资本表!AM89</f>
        <v>114000000</v>
      </c>
      <c r="AN12" s="26">
        <f>资产资本表!AN89</f>
        <v>150928000</v>
      </c>
      <c r="AO12" s="26">
        <f>资产资本表!AO89</f>
        <v>136928000</v>
      </c>
      <c r="AP12" s="26">
        <f>资产资本表!AP89</f>
        <v>140158259.09</v>
      </c>
      <c r="AQ12" s="26">
        <f>资产资本表!AQ89</f>
        <v>144478395.69</v>
      </c>
      <c r="AR12" s="26">
        <f>资产资本表!AR89</f>
        <v>144212992.84</v>
      </c>
      <c r="AS12" s="26">
        <f>资产资本表!AS89</f>
        <v>142629641.84</v>
      </c>
      <c r="AT12" s="26">
        <f>资产资本表!AT89</f>
        <v>163251250.12</v>
      </c>
      <c r="AU12" s="26">
        <f>资产资本表!AU89</f>
        <v>161993347.08000001</v>
      </c>
      <c r="AV12" s="26">
        <f>资产资本表!AV89</f>
        <v>170000000</v>
      </c>
      <c r="AW12" s="26">
        <f>资产资本表!AW89</f>
        <v>285000000</v>
      </c>
      <c r="AX12" s="26">
        <f>资产资本表!AX89</f>
        <v>285000000</v>
      </c>
      <c r="AY12" s="26">
        <f>资产资本表!AY89</f>
        <v>278000000</v>
      </c>
      <c r="AZ12" s="26">
        <f>资产资本表!AZ89</f>
        <v>266530000</v>
      </c>
      <c r="BA12" s="26">
        <f>资产资本表!BA89</f>
        <v>271530000</v>
      </c>
      <c r="BB12" s="26">
        <f>资产资本表!BB89</f>
        <v>171530000</v>
      </c>
      <c r="BC12" s="26">
        <f>资产资本表!BC89</f>
        <v>157530000</v>
      </c>
      <c r="BD12" s="26">
        <f>资产资本表!BD89</f>
        <v>161500000</v>
      </c>
      <c r="BE12" s="26">
        <f>资产资本表!BE89</f>
        <v>162110000</v>
      </c>
      <c r="BF12" s="26">
        <f>资产资本表!BF89</f>
        <v>128000000</v>
      </c>
      <c r="BG12" s="26">
        <f>资产资本表!BG89</f>
        <v>148000000</v>
      </c>
      <c r="BH12" s="26">
        <f>资产资本表!BH89</f>
        <v>108000000</v>
      </c>
      <c r="BI12" s="26">
        <f>资产资本表!BI89</f>
        <v>68000000</v>
      </c>
      <c r="BJ12" s="26">
        <f>资产资本表!BJ89</f>
        <v>78000000</v>
      </c>
      <c r="BK12" s="26">
        <f>资产资本表!BK89</f>
        <v>78000000</v>
      </c>
      <c r="BL12" s="26">
        <f>资产资本表!BL89</f>
        <v>80870000</v>
      </c>
      <c r="BM12" s="26">
        <f>资产资本表!BM89</f>
        <v>80870000</v>
      </c>
      <c r="BN12" s="26">
        <f>资产资本表!BN89</f>
        <v>80870000</v>
      </c>
      <c r="BO12" s="26">
        <f>资产资本表!BO89</f>
        <v>92789024</v>
      </c>
      <c r="BP12" s="26">
        <f>资产资本表!BP89</f>
        <v>92788592</v>
      </c>
      <c r="BQ12" s="26">
        <f>资产资本表!BQ89</f>
        <v>65268700.939999998</v>
      </c>
      <c r="BR12" s="26">
        <f>资产资本表!BR89</f>
        <v>77235309.930000007</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41" t="s">
        <v>345</v>
      </c>
      <c r="E13" s="26">
        <f>E9-E12</f>
        <v>3259824425.6699996</v>
      </c>
      <c r="F13" s="26">
        <f t="shared" ref="F13:BQ13" si="0">F9-F12</f>
        <v>3195633782.6999998</v>
      </c>
      <c r="G13" s="26">
        <f t="shared" si="0"/>
        <v>3178555226.9000006</v>
      </c>
      <c r="H13" s="26">
        <f t="shared" si="0"/>
        <v>3114439165.9300003</v>
      </c>
      <c r="I13" s="26">
        <f t="shared" si="0"/>
        <v>3048264334.3900003</v>
      </c>
      <c r="J13" s="26">
        <f t="shared" si="0"/>
        <v>2322534146.8800001</v>
      </c>
      <c r="K13" s="26">
        <f t="shared" si="0"/>
        <v>2314670582.6900005</v>
      </c>
      <c r="L13" s="26">
        <f t="shared" si="0"/>
        <v>2309918972.4499998</v>
      </c>
      <c r="M13" s="26">
        <f t="shared" si="0"/>
        <v>2237460759.3099995</v>
      </c>
      <c r="N13" s="26">
        <f t="shared" si="0"/>
        <v>2207595324.46</v>
      </c>
      <c r="O13" s="26">
        <f t="shared" si="0"/>
        <v>2198144403.6399999</v>
      </c>
      <c r="P13" s="26">
        <f t="shared" si="0"/>
        <v>2161259638.9099998</v>
      </c>
      <c r="Q13" s="26">
        <f t="shared" si="0"/>
        <v>2129733284.0699999</v>
      </c>
      <c r="R13" s="26">
        <f t="shared" si="0"/>
        <v>2104787879.0799999</v>
      </c>
      <c r="S13" s="26">
        <f t="shared" si="0"/>
        <v>2097579936.3799999</v>
      </c>
      <c r="T13" s="26">
        <f t="shared" si="0"/>
        <v>2060891781.73</v>
      </c>
      <c r="U13" s="26">
        <f t="shared" si="0"/>
        <v>2034510772.3900003</v>
      </c>
      <c r="V13" s="26">
        <f t="shared" si="0"/>
        <v>2016989021.5800002</v>
      </c>
      <c r="W13" s="26">
        <f t="shared" si="0"/>
        <v>2011537418.1900001</v>
      </c>
      <c r="X13" s="26">
        <f t="shared" si="0"/>
        <v>1976028779.47</v>
      </c>
      <c r="Y13" s="26">
        <f t="shared" si="0"/>
        <v>1942059638.7199998</v>
      </c>
      <c r="Z13" s="26">
        <f t="shared" si="0"/>
        <v>1920189829.5700002</v>
      </c>
      <c r="AA13" s="26">
        <f t="shared" si="0"/>
        <v>1913027280.8799999</v>
      </c>
      <c r="AB13" s="26">
        <f t="shared" si="0"/>
        <v>1877230090.73</v>
      </c>
      <c r="AC13" s="26">
        <f t="shared" si="0"/>
        <v>1852328496.4399996</v>
      </c>
      <c r="AD13" s="26">
        <f t="shared" si="0"/>
        <v>1833921303.9100003</v>
      </c>
      <c r="AE13" s="26">
        <f t="shared" si="0"/>
        <v>1805070276.4900002</v>
      </c>
      <c r="AF13" s="26">
        <f t="shared" si="0"/>
        <v>1788474368.5</v>
      </c>
      <c r="AG13" s="26">
        <f t="shared" si="0"/>
        <v>1745920487.9199996</v>
      </c>
      <c r="AH13" s="26">
        <f t="shared" si="0"/>
        <v>1717328394.27</v>
      </c>
      <c r="AI13" s="26">
        <f t="shared" si="0"/>
        <v>1670246662.54</v>
      </c>
      <c r="AJ13" s="26">
        <f t="shared" si="0"/>
        <v>1640226597.2300003</v>
      </c>
      <c r="AK13" s="26">
        <f t="shared" si="0"/>
        <v>1593219837.21</v>
      </c>
      <c r="AL13" s="26">
        <f t="shared" si="0"/>
        <v>1558334674.2799997</v>
      </c>
      <c r="AM13" s="26">
        <f t="shared" si="0"/>
        <v>1523217646.22</v>
      </c>
      <c r="AN13" s="26">
        <f t="shared" si="0"/>
        <v>1488504145.6800001</v>
      </c>
      <c r="AO13" s="26">
        <f t="shared" si="0"/>
        <v>1454822094.1000001</v>
      </c>
      <c r="AP13" s="26">
        <f t="shared" si="0"/>
        <v>1405584675.0999999</v>
      </c>
      <c r="AQ13" s="26">
        <f t="shared" si="0"/>
        <v>1373095673.8899999</v>
      </c>
      <c r="AR13" s="26">
        <f t="shared" si="0"/>
        <v>1336188571.2700002</v>
      </c>
      <c r="AS13" s="26">
        <f t="shared" si="0"/>
        <v>1306727492.77</v>
      </c>
      <c r="AT13" s="26">
        <f t="shared" si="0"/>
        <v>1283081768.6300001</v>
      </c>
      <c r="AU13" s="26">
        <f t="shared" si="0"/>
        <v>1257832255.4300003</v>
      </c>
      <c r="AV13" s="26">
        <f t="shared" si="0"/>
        <v>1250278007.2499998</v>
      </c>
      <c r="AW13" s="26">
        <f t="shared" si="0"/>
        <v>925118014.21000004</v>
      </c>
      <c r="AX13" s="26">
        <f t="shared" si="0"/>
        <v>910915083.75999999</v>
      </c>
      <c r="AY13" s="26">
        <f t="shared" si="0"/>
        <v>884724209.84000015</v>
      </c>
      <c r="AZ13" s="26">
        <f t="shared" si="0"/>
        <v>883147315.91999984</v>
      </c>
      <c r="BA13" s="26">
        <f t="shared" si="0"/>
        <v>862135836.21999979</v>
      </c>
      <c r="BB13" s="26">
        <f t="shared" si="0"/>
        <v>840630829.24000013</v>
      </c>
      <c r="BC13" s="26">
        <f t="shared" si="0"/>
        <v>819143240.80999994</v>
      </c>
      <c r="BD13" s="26">
        <f t="shared" si="0"/>
        <v>816926961.20999992</v>
      </c>
      <c r="BE13" s="26">
        <f t="shared" si="0"/>
        <v>797502716.39999998</v>
      </c>
      <c r="BF13" s="26">
        <f t="shared" si="0"/>
        <v>773143623.43000007</v>
      </c>
      <c r="BG13" s="26">
        <f t="shared" si="0"/>
        <v>753534938.90999985</v>
      </c>
      <c r="BH13" s="26">
        <f t="shared" si="0"/>
        <v>742857440.19999993</v>
      </c>
      <c r="BI13" s="26">
        <f t="shared" si="0"/>
        <v>725349576.8900001</v>
      </c>
      <c r="BJ13" s="26">
        <f t="shared" si="0"/>
        <v>702126099.06000006</v>
      </c>
      <c r="BK13" s="26">
        <f t="shared" si="0"/>
        <v>683757003.18000007</v>
      </c>
      <c r="BL13" s="26">
        <f t="shared" si="0"/>
        <v>670546999.48000002</v>
      </c>
      <c r="BM13" s="26">
        <f t="shared" si="0"/>
        <v>658769680.1099999</v>
      </c>
      <c r="BN13" s="26">
        <f t="shared" si="0"/>
        <v>638489636.58000004</v>
      </c>
      <c r="BO13" s="26">
        <f t="shared" si="0"/>
        <v>647051595.45999992</v>
      </c>
      <c r="BP13" s="26">
        <f t="shared" si="0"/>
        <v>226272079.80000007</v>
      </c>
      <c r="BQ13" s="26">
        <f t="shared" si="0"/>
        <v>199273601.27000001</v>
      </c>
      <c r="BR13" s="26">
        <f t="shared" ref="BR13:CL13" si="1">BR9-BR12</f>
        <v>170415087.85999998</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638</v>
      </c>
      <c r="E14" s="48">
        <f>E9</f>
        <v>3259824425.6699996</v>
      </c>
      <c r="F14" s="48">
        <f t="shared" ref="F14:BQ14" si="2">F9</f>
        <v>3195633782.6999998</v>
      </c>
      <c r="G14" s="48">
        <f t="shared" si="2"/>
        <v>3178555226.9000006</v>
      </c>
      <c r="H14" s="48">
        <f t="shared" si="2"/>
        <v>3114439165.9300003</v>
      </c>
      <c r="I14" s="48">
        <f t="shared" si="2"/>
        <v>3049264334.3900003</v>
      </c>
      <c r="J14" s="48">
        <f t="shared" si="2"/>
        <v>2325334146.8800001</v>
      </c>
      <c r="K14" s="48">
        <f t="shared" si="2"/>
        <v>2347050102.6900005</v>
      </c>
      <c r="L14" s="48">
        <f t="shared" si="2"/>
        <v>2372780572.4499998</v>
      </c>
      <c r="M14" s="48">
        <f t="shared" si="2"/>
        <v>2240260759.3099995</v>
      </c>
      <c r="N14" s="48">
        <f t="shared" si="2"/>
        <v>2257849594.46</v>
      </c>
      <c r="O14" s="48">
        <f t="shared" si="2"/>
        <v>2321279863.6399999</v>
      </c>
      <c r="P14" s="48">
        <f t="shared" si="2"/>
        <v>2308502640.3499999</v>
      </c>
      <c r="Q14" s="48">
        <f t="shared" si="2"/>
        <v>2243718320.1199999</v>
      </c>
      <c r="R14" s="48">
        <f t="shared" si="2"/>
        <v>2248503690.1999998</v>
      </c>
      <c r="S14" s="48">
        <f t="shared" si="2"/>
        <v>2172986247.4899998</v>
      </c>
      <c r="T14" s="48">
        <f t="shared" si="2"/>
        <v>2115916359.51</v>
      </c>
      <c r="U14" s="48">
        <f t="shared" si="2"/>
        <v>2120266850.1600003</v>
      </c>
      <c r="V14" s="48">
        <f t="shared" si="2"/>
        <v>2102146106.0200002</v>
      </c>
      <c r="W14" s="48">
        <f t="shared" si="2"/>
        <v>2097314673.74</v>
      </c>
      <c r="X14" s="48">
        <f t="shared" si="2"/>
        <v>2091153012.8</v>
      </c>
      <c r="Y14" s="48">
        <f t="shared" si="2"/>
        <v>2059298244.2799997</v>
      </c>
      <c r="Z14" s="48">
        <f t="shared" si="2"/>
        <v>2035502329.5700002</v>
      </c>
      <c r="AA14" s="48">
        <f t="shared" si="2"/>
        <v>1998339780.8799999</v>
      </c>
      <c r="AB14" s="48">
        <f t="shared" si="2"/>
        <v>1937542590.73</v>
      </c>
      <c r="AC14" s="48">
        <f t="shared" si="2"/>
        <v>1912640996.4399996</v>
      </c>
      <c r="AD14" s="48">
        <f t="shared" si="2"/>
        <v>1897983803.9100003</v>
      </c>
      <c r="AE14" s="48">
        <f t="shared" si="2"/>
        <v>1839132776.4900002</v>
      </c>
      <c r="AF14" s="48">
        <f t="shared" si="2"/>
        <v>1902554305.71</v>
      </c>
      <c r="AG14" s="48">
        <f t="shared" si="2"/>
        <v>1870000425.1199996</v>
      </c>
      <c r="AH14" s="48">
        <f t="shared" si="2"/>
        <v>1847257394.27</v>
      </c>
      <c r="AI14" s="48">
        <f t="shared" si="2"/>
        <v>1820175662.54</v>
      </c>
      <c r="AJ14" s="48">
        <f t="shared" si="2"/>
        <v>1720226597.2300003</v>
      </c>
      <c r="AK14" s="48">
        <f t="shared" si="2"/>
        <v>1727219837.21</v>
      </c>
      <c r="AL14" s="48">
        <f t="shared" si="2"/>
        <v>1692334674.2799997</v>
      </c>
      <c r="AM14" s="48">
        <f t="shared" si="2"/>
        <v>1637217646.22</v>
      </c>
      <c r="AN14" s="48">
        <f t="shared" si="2"/>
        <v>1639432145.6800001</v>
      </c>
      <c r="AO14" s="48">
        <f t="shared" si="2"/>
        <v>1591750094.1000001</v>
      </c>
      <c r="AP14" s="48">
        <f t="shared" si="2"/>
        <v>1545742934.1899998</v>
      </c>
      <c r="AQ14" s="48">
        <f t="shared" si="2"/>
        <v>1517574069.5799999</v>
      </c>
      <c r="AR14" s="48">
        <f t="shared" si="2"/>
        <v>1480401564.1100001</v>
      </c>
      <c r="AS14" s="48">
        <f t="shared" si="2"/>
        <v>1449357134.6099999</v>
      </c>
      <c r="AT14" s="48">
        <f t="shared" si="2"/>
        <v>1446333018.75</v>
      </c>
      <c r="AU14" s="48">
        <f t="shared" si="2"/>
        <v>1419825602.5100002</v>
      </c>
      <c r="AV14" s="48">
        <f t="shared" si="2"/>
        <v>1420278007.2499998</v>
      </c>
      <c r="AW14" s="48">
        <f t="shared" si="2"/>
        <v>1210118014.21</v>
      </c>
      <c r="AX14" s="48">
        <f t="shared" si="2"/>
        <v>1195915083.76</v>
      </c>
      <c r="AY14" s="48">
        <f t="shared" si="2"/>
        <v>1162724209.8400002</v>
      </c>
      <c r="AZ14" s="48">
        <f t="shared" si="2"/>
        <v>1149677315.9199998</v>
      </c>
      <c r="BA14" s="48">
        <f t="shared" si="2"/>
        <v>1133665836.2199998</v>
      </c>
      <c r="BB14" s="48">
        <f t="shared" si="2"/>
        <v>1012160829.2400001</v>
      </c>
      <c r="BC14" s="48">
        <f t="shared" si="2"/>
        <v>976673240.80999994</v>
      </c>
      <c r="BD14" s="48">
        <f t="shared" si="2"/>
        <v>978426961.20999992</v>
      </c>
      <c r="BE14" s="48">
        <f t="shared" si="2"/>
        <v>959612716.39999998</v>
      </c>
      <c r="BF14" s="48">
        <f t="shared" si="2"/>
        <v>901143623.43000007</v>
      </c>
      <c r="BG14" s="48">
        <f t="shared" si="2"/>
        <v>901534938.90999985</v>
      </c>
      <c r="BH14" s="48">
        <f t="shared" si="2"/>
        <v>850857440.19999993</v>
      </c>
      <c r="BI14" s="48">
        <f t="shared" si="2"/>
        <v>793349576.8900001</v>
      </c>
      <c r="BJ14" s="48">
        <f t="shared" si="2"/>
        <v>780126099.06000006</v>
      </c>
      <c r="BK14" s="48">
        <f t="shared" si="2"/>
        <v>761757003.18000007</v>
      </c>
      <c r="BL14" s="48">
        <f t="shared" si="2"/>
        <v>751416999.48000002</v>
      </c>
      <c r="BM14" s="48">
        <f t="shared" si="2"/>
        <v>739639680.1099999</v>
      </c>
      <c r="BN14" s="48">
        <f t="shared" si="2"/>
        <v>719359636.58000004</v>
      </c>
      <c r="BO14" s="48">
        <f t="shared" si="2"/>
        <v>739840619.45999992</v>
      </c>
      <c r="BP14" s="48">
        <f t="shared" si="2"/>
        <v>319060671.80000007</v>
      </c>
      <c r="BQ14" s="48">
        <f t="shared" si="2"/>
        <v>264542302.21000001</v>
      </c>
      <c r="BR14" s="48">
        <f t="shared" ref="BR14:CL14" si="3">BR9</f>
        <v>247650397.78999999</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c r="A15" s="46" t="s">
        <v>343</v>
      </c>
      <c r="E15" s="58">
        <f>E11+E13-E3-E4-E7</f>
        <v>713992695.25</v>
      </c>
      <c r="F15" s="58">
        <f t="shared" ref="F15:BQ15" si="4">F11+F13-F3-F4-F7</f>
        <v>601621716.58999991</v>
      </c>
      <c r="G15" s="58">
        <f t="shared" si="4"/>
        <v>536004591.5400002</v>
      </c>
      <c r="H15" s="58">
        <f t="shared" si="4"/>
        <v>550295822.3499999</v>
      </c>
      <c r="I15" s="58">
        <f t="shared" si="4"/>
        <v>1099494733.4600003</v>
      </c>
      <c r="J15" s="58">
        <f t="shared" si="4"/>
        <v>358886005.28999996</v>
      </c>
      <c r="K15" s="58">
        <f t="shared" si="4"/>
        <v>387501988.21000028</v>
      </c>
      <c r="L15" s="58">
        <f t="shared" si="4"/>
        <v>330477283.75999975</v>
      </c>
      <c r="M15" s="58">
        <f t="shared" si="4"/>
        <v>334694656.02999997</v>
      </c>
      <c r="N15" s="58">
        <f t="shared" si="4"/>
        <v>281891592.62000012</v>
      </c>
      <c r="O15" s="58">
        <f t="shared" si="4"/>
        <v>191115252.40999985</v>
      </c>
      <c r="P15" s="58">
        <f t="shared" si="4"/>
        <v>136691972.23000002</v>
      </c>
      <c r="Q15" s="58">
        <f t="shared" si="4"/>
        <v>139367714.37000012</v>
      </c>
      <c r="R15" s="58">
        <f t="shared" si="4"/>
        <v>112255288.13000011</v>
      </c>
      <c r="S15" s="58">
        <f t="shared" si="4"/>
        <v>144450230.97000003</v>
      </c>
      <c r="T15" s="58">
        <f t="shared" si="4"/>
        <v>131034299.27999997</v>
      </c>
      <c r="U15" s="58">
        <f t="shared" si="4"/>
        <v>88884938.650000095</v>
      </c>
      <c r="V15" s="58">
        <f t="shared" si="4"/>
        <v>58756983.159999847</v>
      </c>
      <c r="W15" s="58">
        <f t="shared" si="4"/>
        <v>103513350.31999993</v>
      </c>
      <c r="X15" s="58">
        <f t="shared" si="4"/>
        <v>44015886.119999886</v>
      </c>
      <c r="Y15" s="58">
        <f t="shared" si="4"/>
        <v>36750103.879999638</v>
      </c>
      <c r="Z15" s="58">
        <f t="shared" si="4"/>
        <v>12325353.25999999</v>
      </c>
      <c r="AA15" s="58">
        <f t="shared" si="4"/>
        <v>44294734.5</v>
      </c>
      <c r="AB15" s="58">
        <f t="shared" si="4"/>
        <v>47705554.349999905</v>
      </c>
      <c r="AC15" s="58">
        <f t="shared" si="4"/>
        <v>158982183.18000007</v>
      </c>
      <c r="AD15" s="58">
        <f t="shared" si="4"/>
        <v>108765507.37000012</v>
      </c>
      <c r="AE15" s="58">
        <f t="shared" si="4"/>
        <v>125360665.75000024</v>
      </c>
      <c r="AF15" s="58">
        <f t="shared" si="4"/>
        <v>105097098.52999985</v>
      </c>
      <c r="AG15" s="58">
        <f t="shared" si="4"/>
        <v>138418932.10999978</v>
      </c>
      <c r="AH15" s="58">
        <f t="shared" si="4"/>
        <v>204726631.16999984</v>
      </c>
      <c r="AI15" s="58">
        <f t="shared" si="4"/>
        <v>220326688.10999978</v>
      </c>
      <c r="AJ15" s="58">
        <f t="shared" si="4"/>
        <v>207017103.44000018</v>
      </c>
      <c r="AK15" s="58">
        <f t="shared" si="4"/>
        <v>115385187.74999988</v>
      </c>
      <c r="AL15" s="58">
        <f t="shared" si="4"/>
        <v>39707631.460000157</v>
      </c>
      <c r="AM15" s="58">
        <f t="shared" si="4"/>
        <v>50500410.5</v>
      </c>
      <c r="AN15" s="58">
        <f t="shared" si="4"/>
        <v>36218473.180000067</v>
      </c>
      <c r="AO15" s="58">
        <f t="shared" si="4"/>
        <v>1643586.2899999619</v>
      </c>
      <c r="AP15" s="58">
        <f t="shared" si="4"/>
        <v>16624400.830000043</v>
      </c>
      <c r="AQ15" s="58">
        <f t="shared" si="4"/>
        <v>26828330.589999914</v>
      </c>
      <c r="AR15" s="58">
        <f t="shared" si="4"/>
        <v>30031696.379999995</v>
      </c>
      <c r="AS15" s="58">
        <f t="shared" si="4"/>
        <v>77492342.900000095</v>
      </c>
      <c r="AT15" s="58">
        <f t="shared" si="4"/>
        <v>104196012.17000008</v>
      </c>
      <c r="AU15" s="58">
        <f t="shared" si="4"/>
        <v>130893946.83000016</v>
      </c>
      <c r="AV15" s="58">
        <f t="shared" si="4"/>
        <v>133919334.33999979</v>
      </c>
      <c r="AW15" s="58">
        <f t="shared" si="4"/>
        <v>-148493994.91999984</v>
      </c>
      <c r="AX15" s="58">
        <f t="shared" si="4"/>
        <v>-139266711.75</v>
      </c>
      <c r="AY15" s="58">
        <f t="shared" si="4"/>
        <v>-152626254.99999988</v>
      </c>
      <c r="AZ15" s="58">
        <f t="shared" si="4"/>
        <v>121944736.29999983</v>
      </c>
      <c r="BA15" s="58">
        <f t="shared" si="4"/>
        <v>-106185832.63000023</v>
      </c>
      <c r="BB15" s="58">
        <f t="shared" si="4"/>
        <v>-94600713.319999814</v>
      </c>
      <c r="BC15" s="58">
        <f t="shared" si="4"/>
        <v>-100707122.45999992</v>
      </c>
      <c r="BD15" s="58">
        <f t="shared" si="4"/>
        <v>-100348378.21000004</v>
      </c>
      <c r="BE15" s="58">
        <f t="shared" si="4"/>
        <v>-72069066.200000048</v>
      </c>
      <c r="BF15" s="58">
        <f t="shared" si="4"/>
        <v>-6506822.6100000143</v>
      </c>
      <c r="BG15" s="58">
        <f t="shared" si="4"/>
        <v>27832520.269999981</v>
      </c>
      <c r="BH15" s="58">
        <f t="shared" si="4"/>
        <v>75549418.269999981</v>
      </c>
      <c r="BI15" s="58">
        <f t="shared" si="4"/>
        <v>134363966.44000006</v>
      </c>
      <c r="BJ15" s="58">
        <f t="shared" si="4"/>
        <v>192915507.04000002</v>
      </c>
      <c r="BK15" s="58">
        <f t="shared" si="4"/>
        <v>241312103.19999999</v>
      </c>
      <c r="BL15" s="58">
        <f t="shared" si="4"/>
        <v>306750785.83000004</v>
      </c>
      <c r="BM15" s="58">
        <f t="shared" si="4"/>
        <v>356894979.19999987</v>
      </c>
      <c r="BN15" s="58">
        <f t="shared" si="4"/>
        <v>361986147.61000007</v>
      </c>
      <c r="BO15" s="58">
        <f t="shared" si="4"/>
        <v>412370927.50999999</v>
      </c>
      <c r="BP15" s="58">
        <f t="shared" si="4"/>
        <v>22467785.25000003</v>
      </c>
      <c r="BQ15" s="58">
        <f t="shared" si="4"/>
        <v>7415606.75</v>
      </c>
      <c r="BR15" s="58">
        <f t="shared" ref="BR15:CL15" si="5">BR11+BR13-BR3-BR4-BR7</f>
        <v>17129071.710000008</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c r="A16" s="46" t="s">
        <v>344</v>
      </c>
      <c r="E16" s="58">
        <f>E10-E2</f>
        <v>-713992695.25</v>
      </c>
      <c r="F16" s="58">
        <f t="shared" ref="F16:BQ16" si="6">F10-F2</f>
        <v>-601621716.59000003</v>
      </c>
      <c r="G16" s="58">
        <f t="shared" si="6"/>
        <v>-536004591.54000002</v>
      </c>
      <c r="H16" s="58">
        <f t="shared" si="6"/>
        <v>-550295822.35000002</v>
      </c>
      <c r="I16" s="58">
        <f t="shared" si="6"/>
        <v>-1099494733.4599998</v>
      </c>
      <c r="J16" s="58">
        <f t="shared" si="6"/>
        <v>-358886005.29000002</v>
      </c>
      <c r="K16" s="58">
        <f t="shared" si="6"/>
        <v>-387501988.20999998</v>
      </c>
      <c r="L16" s="58">
        <f t="shared" si="6"/>
        <v>-330477283.75999999</v>
      </c>
      <c r="M16" s="58">
        <f t="shared" si="6"/>
        <v>-334694656.02999997</v>
      </c>
      <c r="N16" s="58">
        <f t="shared" si="6"/>
        <v>-281891592.62</v>
      </c>
      <c r="O16" s="58">
        <f t="shared" si="6"/>
        <v>-191115252.41000003</v>
      </c>
      <c r="P16" s="58">
        <f t="shared" si="6"/>
        <v>-136691972.23000002</v>
      </c>
      <c r="Q16" s="58">
        <f t="shared" si="6"/>
        <v>-139367714.37</v>
      </c>
      <c r="R16" s="58">
        <f t="shared" si="6"/>
        <v>-112255288.13</v>
      </c>
      <c r="S16" s="58">
        <f t="shared" si="6"/>
        <v>-144450230.96999997</v>
      </c>
      <c r="T16" s="58">
        <f t="shared" si="6"/>
        <v>-131034299.28</v>
      </c>
      <c r="U16" s="58">
        <f t="shared" si="6"/>
        <v>-88884938.650000021</v>
      </c>
      <c r="V16" s="58">
        <f t="shared" si="6"/>
        <v>-58756983.159999996</v>
      </c>
      <c r="W16" s="58">
        <f t="shared" si="6"/>
        <v>-103513350.32000001</v>
      </c>
      <c r="X16" s="58">
        <f t="shared" si="6"/>
        <v>-44015886.11999999</v>
      </c>
      <c r="Y16" s="58">
        <f t="shared" si="6"/>
        <v>-36750103.879999995</v>
      </c>
      <c r="Z16" s="58">
        <f t="shared" si="6"/>
        <v>-12325353.25999999</v>
      </c>
      <c r="AA16" s="58">
        <f t="shared" si="6"/>
        <v>-44294734.5</v>
      </c>
      <c r="AB16" s="58">
        <f t="shared" si="6"/>
        <v>-47705554.349999994</v>
      </c>
      <c r="AC16" s="58">
        <f t="shared" si="6"/>
        <v>-158982183.17999998</v>
      </c>
      <c r="AD16" s="58">
        <f t="shared" si="6"/>
        <v>-108765507.37</v>
      </c>
      <c r="AE16" s="58">
        <f t="shared" si="6"/>
        <v>-125360665.75</v>
      </c>
      <c r="AF16" s="58">
        <f t="shared" si="6"/>
        <v>-105097098.53000002</v>
      </c>
      <c r="AG16" s="58">
        <f t="shared" si="6"/>
        <v>-138418932.11000001</v>
      </c>
      <c r="AH16" s="58">
        <f t="shared" si="6"/>
        <v>-204726631.16999996</v>
      </c>
      <c r="AI16" s="58">
        <f t="shared" si="6"/>
        <v>-220326688.11000001</v>
      </c>
      <c r="AJ16" s="58">
        <f t="shared" si="6"/>
        <v>-207017103.44</v>
      </c>
      <c r="AK16" s="58">
        <f t="shared" si="6"/>
        <v>-115385187.75</v>
      </c>
      <c r="AL16" s="58">
        <f t="shared" si="6"/>
        <v>-39707631.459999979</v>
      </c>
      <c r="AM16" s="58">
        <f t="shared" si="6"/>
        <v>-50500410.5</v>
      </c>
      <c r="AN16" s="58">
        <f t="shared" si="6"/>
        <v>-36218473.180000007</v>
      </c>
      <c r="AO16" s="58">
        <f t="shared" si="6"/>
        <v>-1643586.2899999917</v>
      </c>
      <c r="AP16" s="58">
        <f t="shared" si="6"/>
        <v>-16624400.829999983</v>
      </c>
      <c r="AQ16" s="58">
        <f t="shared" si="6"/>
        <v>-26828330.590000004</v>
      </c>
      <c r="AR16" s="58">
        <f t="shared" si="6"/>
        <v>-30031696.379999995</v>
      </c>
      <c r="AS16" s="58">
        <f t="shared" si="6"/>
        <v>-77492342.900000036</v>
      </c>
      <c r="AT16" s="58">
        <f t="shared" si="6"/>
        <v>-104196012.17000002</v>
      </c>
      <c r="AU16" s="58">
        <f t="shared" si="6"/>
        <v>-130893946.83000004</v>
      </c>
      <c r="AV16" s="58">
        <f t="shared" si="6"/>
        <v>-133919334.33999997</v>
      </c>
      <c r="AW16" s="58">
        <f t="shared" si="6"/>
        <v>148493994.91999999</v>
      </c>
      <c r="AX16" s="58">
        <f t="shared" si="6"/>
        <v>139266711.75</v>
      </c>
      <c r="AY16" s="58">
        <f t="shared" si="6"/>
        <v>152626255</v>
      </c>
      <c r="AZ16" s="58">
        <f t="shared" si="6"/>
        <v>-121944736.30000001</v>
      </c>
      <c r="BA16" s="58">
        <f t="shared" si="6"/>
        <v>106185832.63000001</v>
      </c>
      <c r="BB16" s="58">
        <f t="shared" si="6"/>
        <v>94600713.319999993</v>
      </c>
      <c r="BC16" s="58">
        <f t="shared" si="6"/>
        <v>100707122.46000001</v>
      </c>
      <c r="BD16" s="58">
        <f t="shared" si="6"/>
        <v>100348378.21000001</v>
      </c>
      <c r="BE16" s="58">
        <f t="shared" si="6"/>
        <v>72069066.200000003</v>
      </c>
      <c r="BF16" s="58">
        <f t="shared" si="6"/>
        <v>6506822.6099999994</v>
      </c>
      <c r="BG16" s="58">
        <f t="shared" si="6"/>
        <v>-27832520.270000011</v>
      </c>
      <c r="BH16" s="58">
        <f t="shared" si="6"/>
        <v>-75549418.270000011</v>
      </c>
      <c r="BI16" s="58">
        <f t="shared" si="6"/>
        <v>-134363966.44</v>
      </c>
      <c r="BJ16" s="58">
        <f t="shared" si="6"/>
        <v>-192915507.03999999</v>
      </c>
      <c r="BK16" s="58">
        <f t="shared" si="6"/>
        <v>-241312103.19999999</v>
      </c>
      <c r="BL16" s="58">
        <f t="shared" si="6"/>
        <v>-306750785.82999998</v>
      </c>
      <c r="BM16" s="58">
        <f t="shared" si="6"/>
        <v>-356894979.19999999</v>
      </c>
      <c r="BN16" s="58">
        <f t="shared" si="6"/>
        <v>-361986147.61000001</v>
      </c>
      <c r="BO16" s="58">
        <f t="shared" si="6"/>
        <v>-412370927.50999999</v>
      </c>
      <c r="BP16" s="58">
        <f t="shared" si="6"/>
        <v>-22467785.25</v>
      </c>
      <c r="BQ16" s="58">
        <f t="shared" si="6"/>
        <v>-7415606.75</v>
      </c>
      <c r="BR16" s="58">
        <f t="shared" ref="BR16:CL16" si="7">BR10-BR2</f>
        <v>-17129071.710000001</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c r="A17" s="66" t="s">
        <v>663</v>
      </c>
      <c r="E17" s="59">
        <f>(E11+E13-E7-E3)/E4</f>
        <v>1.6399135261633118</v>
      </c>
      <c r="F17" s="59">
        <f t="shared" ref="F17:BQ17" si="8">(F11+F13-F7-F3)/F4</f>
        <v>1.5171601523911324</v>
      </c>
      <c r="G17" s="59">
        <f t="shared" si="8"/>
        <v>1.4363366255198986</v>
      </c>
      <c r="H17" s="59">
        <f t="shared" si="8"/>
        <v>1.4746742948754135</v>
      </c>
      <c r="I17" s="59">
        <f t="shared" si="8"/>
        <v>2.9283366686942416</v>
      </c>
      <c r="J17" s="59">
        <f t="shared" si="8"/>
        <v>1.6441267109135758</v>
      </c>
      <c r="K17" s="59">
        <f t="shared" si="8"/>
        <v>1.7364639654745182</v>
      </c>
      <c r="L17" s="59">
        <f t="shared" si="8"/>
        <v>1.552618812806787</v>
      </c>
      <c r="M17" s="59">
        <f t="shared" si="8"/>
        <v>1.5713914324776754</v>
      </c>
      <c r="N17" s="59">
        <f t="shared" si="8"/>
        <v>1.4489906897934757</v>
      </c>
      <c r="O17" s="59">
        <f t="shared" si="8"/>
        <v>1.258135193752066</v>
      </c>
      <c r="P17" s="59">
        <f t="shared" si="8"/>
        <v>1.180120375451482</v>
      </c>
      <c r="Q17" s="59">
        <f t="shared" si="8"/>
        <v>1.1922788384315255</v>
      </c>
      <c r="R17" s="59">
        <f t="shared" si="8"/>
        <v>1.1490110140409413</v>
      </c>
      <c r="S17" s="59">
        <f t="shared" si="8"/>
        <v>1.2017012543274903</v>
      </c>
      <c r="T17" s="59">
        <f t="shared" si="8"/>
        <v>1.1910098804956395</v>
      </c>
      <c r="U17" s="59">
        <f t="shared" si="8"/>
        <v>1.1287091278640453</v>
      </c>
      <c r="V17" s="59">
        <f t="shared" si="8"/>
        <v>1.0823517626768488</v>
      </c>
      <c r="W17" s="59">
        <f t="shared" si="8"/>
        <v>1.1556529086203668</v>
      </c>
      <c r="X17" s="59">
        <f t="shared" si="8"/>
        <v>1.0641214885716306</v>
      </c>
      <c r="Y17" s="59">
        <f t="shared" si="8"/>
        <v>1.0566572840994521</v>
      </c>
      <c r="Z17" s="59">
        <f t="shared" si="8"/>
        <v>1.0184005384240282</v>
      </c>
      <c r="AA17" s="59">
        <f t="shared" si="8"/>
        <v>1.068480554784935</v>
      </c>
      <c r="AB17" s="59">
        <f t="shared" si="8"/>
        <v>1.0786737492759195</v>
      </c>
      <c r="AC17" s="59">
        <f t="shared" si="8"/>
        <v>1.33600589745327</v>
      </c>
      <c r="AD17" s="59">
        <f t="shared" si="8"/>
        <v>1.1711486203260244</v>
      </c>
      <c r="AE17" s="59">
        <f t="shared" si="8"/>
        <v>1.2036573883935304</v>
      </c>
      <c r="AF17" s="59">
        <f t="shared" si="8"/>
        <v>1.1576521032623808</v>
      </c>
      <c r="AG17" s="59">
        <f t="shared" si="8"/>
        <v>1.2331835723859141</v>
      </c>
      <c r="AH17" s="59">
        <f t="shared" si="8"/>
        <v>1.3859654334225364</v>
      </c>
      <c r="AI17" s="59">
        <f t="shared" si="8"/>
        <v>1.4378700316922937</v>
      </c>
      <c r="AJ17" s="59">
        <f t="shared" si="8"/>
        <v>1.4154411644968756</v>
      </c>
      <c r="AK17" s="59">
        <f t="shared" si="8"/>
        <v>1.2049289574914974</v>
      </c>
      <c r="AL17" s="59">
        <f t="shared" si="8"/>
        <v>1.0658363485209217</v>
      </c>
      <c r="AM17" s="59">
        <f t="shared" si="8"/>
        <v>1.0879029493111372</v>
      </c>
      <c r="AN17" s="59">
        <f t="shared" si="8"/>
        <v>1.0623103546625239</v>
      </c>
      <c r="AO17" s="59">
        <f t="shared" si="8"/>
        <v>1.0028798007730617</v>
      </c>
      <c r="AP17" s="59">
        <f t="shared" si="8"/>
        <v>1.0312271927517409</v>
      </c>
      <c r="AQ17" s="59">
        <f t="shared" si="8"/>
        <v>1.0550099651966012</v>
      </c>
      <c r="AR17" s="59">
        <f t="shared" si="8"/>
        <v>1.0648838357034396</v>
      </c>
      <c r="AS17" s="59">
        <f t="shared" si="8"/>
        <v>1.1749567004108625</v>
      </c>
      <c r="AT17" s="59">
        <f t="shared" si="8"/>
        <v>1.2644507764714223</v>
      </c>
      <c r="AU17" s="59">
        <f t="shared" si="8"/>
        <v>1.3661763162051488</v>
      </c>
      <c r="AV17" s="59">
        <f t="shared" si="8"/>
        <v>1.3985165427208046</v>
      </c>
      <c r="AW17" s="59">
        <f t="shared" si="8"/>
        <v>0.57483696430682463</v>
      </c>
      <c r="AX17" s="59">
        <f t="shared" si="8"/>
        <v>0.63787700775540612</v>
      </c>
      <c r="AY17" s="59">
        <f t="shared" si="8"/>
        <v>0.57916600807699514</v>
      </c>
      <c r="AZ17" s="59">
        <f t="shared" si="8"/>
        <v>2.2131600617435199</v>
      </c>
      <c r="BA17" s="59">
        <f t="shared" si="8"/>
        <v>0.65624634318768849</v>
      </c>
      <c r="BB17" s="59">
        <f t="shared" si="8"/>
        <v>0.61664213219127106</v>
      </c>
      <c r="BC17" s="59">
        <f t="shared" si="8"/>
        <v>0.58378633809422142</v>
      </c>
      <c r="BD17" s="59">
        <f t="shared" si="8"/>
        <v>0.55463643351660785</v>
      </c>
      <c r="BE17" s="59">
        <f t="shared" si="8"/>
        <v>0.64668953458239875</v>
      </c>
      <c r="BF17" s="59">
        <f t="shared" si="8"/>
        <v>0.94193938188005555</v>
      </c>
      <c r="BG17" s="59">
        <f t="shared" si="8"/>
        <v>1.2337513386183834</v>
      </c>
      <c r="BH17" s="59">
        <f t="shared" si="8"/>
        <v>1.6570450431719037</v>
      </c>
      <c r="BI17" s="59">
        <f t="shared" si="8"/>
        <v>3.3356099345900181</v>
      </c>
      <c r="BJ17" s="59">
        <f t="shared" si="8"/>
        <v>5.2063828197057527</v>
      </c>
      <c r="BK17" s="59">
        <f t="shared" si="8"/>
        <v>6.2203446260803608</v>
      </c>
      <c r="BL17" s="59">
        <f t="shared" si="8"/>
        <v>6.5775677797119103</v>
      </c>
      <c r="BM17" s="59">
        <f t="shared" si="8"/>
        <v>20.785107394250478</v>
      </c>
      <c r="BN17" s="59">
        <f t="shared" si="8"/>
        <v>7.9713997650691679</v>
      </c>
      <c r="BO17" s="59">
        <f t="shared" si="8"/>
        <v>6.4152783566638236</v>
      </c>
      <c r="BP17" s="59">
        <f t="shared" si="8"/>
        <v>1.3040607134650626</v>
      </c>
      <c r="BQ17" s="59">
        <f t="shared" si="8"/>
        <v>1.0867441995612537</v>
      </c>
      <c r="BR17" s="59">
        <f t="shared" ref="BR17:CL17" si="9">(BR11+BR13-BR7-BR3)/BR4</f>
        <v>1.2030915443865906</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c r="A18" s="275" t="s">
        <v>741</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c r="A19" s="112" t="s">
        <v>572</v>
      </c>
      <c r="B19" s="113"/>
      <c r="C19" s="113"/>
      <c r="D19" s="113"/>
      <c r="E19" s="113" t="s">
        <v>565</v>
      </c>
      <c r="F19" s="113"/>
      <c r="G19" s="113"/>
      <c r="H19" s="113"/>
      <c r="I19" s="113" t="s">
        <v>600</v>
      </c>
      <c r="M19" s="113" t="s">
        <v>567</v>
      </c>
      <c r="N19" s="63"/>
      <c r="O19" s="63"/>
      <c r="P19" s="63"/>
      <c r="Q19" s="63"/>
      <c r="R19" s="63"/>
      <c r="S19" s="63"/>
      <c r="T19" s="63"/>
      <c r="U19" s="63"/>
    </row>
    <row r="20" spans="1:90" s="63" customFormat="1" ht="14.25" customHeight="1">
      <c r="A20" s="112" t="s">
        <v>573</v>
      </c>
      <c r="B20" s="114"/>
      <c r="C20" s="114"/>
      <c r="D20" s="114"/>
      <c r="E20" s="114">
        <f>POWER(E9/U9,1/5)-1</f>
        <v>8.9834965150028312E-2</v>
      </c>
      <c r="F20" s="114"/>
      <c r="G20" s="114"/>
      <c r="H20" s="114"/>
      <c r="I20" s="114">
        <f>POWER(E9/Y9,1/6)-1</f>
        <v>7.9557618822413856E-2</v>
      </c>
      <c r="M20" s="114">
        <f>POWER(E9/AC9,1/7)-1</f>
        <v>7.9145755801130591E-2</v>
      </c>
    </row>
    <row r="21" spans="1:90" s="63" customFormat="1" ht="14.25" customHeight="1">
      <c r="A21" s="112" t="s">
        <v>571</v>
      </c>
      <c r="B21" s="114"/>
      <c r="C21" s="114"/>
      <c r="D21" s="114"/>
      <c r="E21" s="114">
        <f>POWER(E4/U4,1/5)-1</f>
        <v>0.10070446906216146</v>
      </c>
      <c r="F21" s="114"/>
      <c r="G21" s="114"/>
      <c r="H21" s="114"/>
      <c r="I21" s="114">
        <f>POWER(E4/Y4,1/6)-1</f>
        <v>9.4615541416258608E-2</v>
      </c>
      <c r="M21" s="114">
        <f>POWER(E4/AC4,1/7)-1</f>
        <v>0.13037987651673588</v>
      </c>
    </row>
    <row r="22" spans="1:90" s="63" customFormat="1" ht="14.25" customHeight="1">
      <c r="A22" s="112" t="s">
        <v>574</v>
      </c>
      <c r="B22" s="114"/>
      <c r="C22" s="114"/>
      <c r="D22" s="114"/>
      <c r="E22" s="114">
        <f>POWER(E5/U5,1/5)-1</f>
        <v>9.8005204176659033E-2</v>
      </c>
      <c r="F22" s="114"/>
      <c r="G22" s="114"/>
      <c r="H22" s="114"/>
      <c r="I22" s="114">
        <f>POWER(E5/Y5,1/6)-1</f>
        <v>9.1938440180743486E-2</v>
      </c>
      <c r="M22" s="114">
        <f>POWER(E5/AC5,1/7)-1</f>
        <v>9.8521487209756398E-2</v>
      </c>
    </row>
    <row r="23" spans="1:90" s="63" customFormat="1" ht="14.25" customHeight="1">
      <c r="A23" s="112" t="s">
        <v>575</v>
      </c>
      <c r="B23" s="114"/>
      <c r="C23" s="114"/>
      <c r="D23" s="114"/>
      <c r="E23" s="114">
        <f>POWER(E6/U6,1/5)-1</f>
        <v>9.4785282539824767E-2</v>
      </c>
      <c r="F23" s="114"/>
      <c r="G23" s="114"/>
      <c r="H23" s="114"/>
      <c r="I23" s="114">
        <f>POWER(E6/Y6,1/6)-1</f>
        <v>8.8753311180036709E-2</v>
      </c>
      <c r="M23" s="114">
        <f>POWER(E6/AC6,1/7)-1</f>
        <v>6.7769567862013158E-2</v>
      </c>
    </row>
    <row r="24" spans="1:90" s="63" customFormat="1" ht="14.25" customHeight="1">
      <c r="A24" s="112" t="s">
        <v>576</v>
      </c>
      <c r="B24" s="114"/>
      <c r="C24" s="114"/>
      <c r="D24" s="114"/>
      <c r="E24" s="114">
        <f>POWER(E7/U7,1/5)-1</f>
        <v>2.646318018240712E-2</v>
      </c>
      <c r="F24" s="114"/>
      <c r="G24" s="114"/>
      <c r="H24" s="114"/>
      <c r="I24" s="114">
        <f>POWER(E7/Y7,1/6)-1</f>
        <v>2.2580019278600982E-2</v>
      </c>
      <c r="M24" s="114">
        <f>POWER(E7/AC7,1/7)-1</f>
        <v>2.3708993322507199E-2</v>
      </c>
    </row>
    <row r="25" spans="1:90" s="106" customFormat="1">
      <c r="A25" s="141" t="s">
        <v>552</v>
      </c>
      <c r="B25" s="107"/>
      <c r="C25" s="107"/>
      <c r="D25" s="107"/>
      <c r="E25" s="107">
        <f>(E2-I2)/I2</f>
        <v>-0.35120753099364849</v>
      </c>
      <c r="F25" s="107">
        <f t="shared" ref="F25:BQ25" si="10">(F2-J2)/J2</f>
        <v>0.6633812417143965</v>
      </c>
      <c r="G25" s="107">
        <f t="shared" si="10"/>
        <v>0.27656155619961742</v>
      </c>
      <c r="H25" s="107">
        <f t="shared" si="10"/>
        <v>0.39903743329319313</v>
      </c>
      <c r="I25" s="107">
        <f t="shared" si="10"/>
        <v>2.2607767672688026</v>
      </c>
      <c r="J25" s="106">
        <f t="shared" si="10"/>
        <v>8.8937259181807643E-2</v>
      </c>
      <c r="K25" s="106">
        <f t="shared" si="10"/>
        <v>0.33613542190537476</v>
      </c>
      <c r="L25" s="106">
        <f t="shared" si="10"/>
        <v>0.38531325914486797</v>
      </c>
      <c r="M25" s="107">
        <f t="shared" si="10"/>
        <v>0.33211364577851338</v>
      </c>
      <c r="N25" s="107">
        <f t="shared" si="10"/>
        <v>0.29759126554987442</v>
      </c>
      <c r="O25" s="107">
        <f t="shared" si="10"/>
        <v>0.42934437809748005</v>
      </c>
      <c r="P25" s="107">
        <f t="shared" si="10"/>
        <v>0.52604905585040729</v>
      </c>
      <c r="Q25" s="107">
        <f t="shared" si="10"/>
        <v>0.45070588578517828</v>
      </c>
      <c r="R25" s="107">
        <f t="shared" si="10"/>
        <v>0.7786384855819336</v>
      </c>
      <c r="S25" s="107">
        <f t="shared" si="10"/>
        <v>0.16147624479046727</v>
      </c>
      <c r="T25" s="107">
        <f t="shared" si="10"/>
        <v>0.16915129700186998</v>
      </c>
      <c r="U25" s="107">
        <f t="shared" si="10"/>
        <v>0.13411572221823811</v>
      </c>
      <c r="V25" s="106">
        <f t="shared" si="10"/>
        <v>0.17648601671407924</v>
      </c>
      <c r="W25" s="106">
        <f t="shared" si="10"/>
        <v>0.52291733540812224</v>
      </c>
      <c r="X25" s="106">
        <f t="shared" si="10"/>
        <v>0.54947919279693758</v>
      </c>
      <c r="Y25" s="106">
        <f t="shared" si="10"/>
        <v>-0.28036667748891031</v>
      </c>
      <c r="Z25" s="106">
        <f t="shared" si="10"/>
        <v>-0.25304567961538516</v>
      </c>
      <c r="AA25" s="106">
        <f t="shared" si="10"/>
        <v>-0.17335605106550281</v>
      </c>
      <c r="AB25" s="106">
        <f t="shared" si="10"/>
        <v>-0.51119253131020914</v>
      </c>
      <c r="AC25" s="106">
        <f t="shared" si="10"/>
        <v>-0.15567689135311194</v>
      </c>
      <c r="AD25" s="106">
        <f t="shared" si="10"/>
        <v>-0.51064469826055425</v>
      </c>
      <c r="AE25" s="106">
        <f t="shared" si="10"/>
        <v>-0.59390045695846527</v>
      </c>
      <c r="AF25" s="106">
        <f t="shared" si="10"/>
        <v>-0.2679372301451583</v>
      </c>
      <c r="AG25" s="106">
        <f t="shared" si="10"/>
        <v>1.6244675943068325E-2</v>
      </c>
      <c r="AH25" s="106">
        <f t="shared" si="10"/>
        <v>0.92654535875737742</v>
      </c>
      <c r="AI25" s="106">
        <f t="shared" si="10"/>
        <v>1.2507888398856002</v>
      </c>
      <c r="AJ25" s="106">
        <f t="shared" si="10"/>
        <v>0.53364954499539552</v>
      </c>
      <c r="AK25" s="106">
        <f t="shared" si="10"/>
        <v>0.79968487355042184</v>
      </c>
      <c r="AL25" s="106">
        <f t="shared" si="10"/>
        <v>0.28079925438886083</v>
      </c>
      <c r="AM25" s="106">
        <f t="shared" si="10"/>
        <v>5.2073208247215251E-2</v>
      </c>
      <c r="AN25" s="106">
        <f t="shared" si="10"/>
        <v>0.1694337897638426</v>
      </c>
      <c r="AO25" s="106">
        <f t="shared" si="10"/>
        <v>-0.33216048190855929</v>
      </c>
      <c r="AP25" s="106">
        <f t="shared" si="10"/>
        <v>-0.48665235437872212</v>
      </c>
      <c r="AQ25" s="106">
        <f t="shared" si="10"/>
        <v>-0.46249025703729535</v>
      </c>
      <c r="AR25" s="106">
        <f t="shared" si="10"/>
        <v>-0.47344022476381947</v>
      </c>
      <c r="AS25" s="106">
        <f t="shared" si="10"/>
        <v>0.86081765507727226</v>
      </c>
      <c r="AT25" s="106">
        <f t="shared" si="10"/>
        <v>1.3858770596022647</v>
      </c>
      <c r="AU25" s="106">
        <f t="shared" si="10"/>
        <v>2.218788231360779</v>
      </c>
      <c r="AV25" s="106">
        <f t="shared" si="10"/>
        <v>-0.14019503198084721</v>
      </c>
      <c r="AW25" s="106">
        <f t="shared" si="10"/>
        <v>-0.14452631575393199</v>
      </c>
      <c r="AX25" s="106">
        <f t="shared" si="10"/>
        <v>0.4394165477006603</v>
      </c>
      <c r="AY25" s="106">
        <f t="shared" si="10"/>
        <v>0.59044647002225714</v>
      </c>
      <c r="AZ25" s="106">
        <f t="shared" si="10"/>
        <v>4.780300275826912</v>
      </c>
      <c r="BA25" s="106">
        <f t="shared" si="10"/>
        <v>0.44761012429660069</v>
      </c>
      <c r="BB25" s="106">
        <f t="shared" si="10"/>
        <v>-0.25667286849158738</v>
      </c>
      <c r="BC25" s="106">
        <f t="shared" si="10"/>
        <v>-0.63997991388090003</v>
      </c>
      <c r="BD25" s="106">
        <f t="shared" si="10"/>
        <v>-0.63061409439527116</v>
      </c>
      <c r="BE25" s="106">
        <f t="shared" si="10"/>
        <v>-0.5116131663976583</v>
      </c>
      <c r="BF25" s="106">
        <f t="shared" si="10"/>
        <v>-0.59079939936766313</v>
      </c>
      <c r="BG25" s="106">
        <f t="shared" si="10"/>
        <v>-0.47618260735700835</v>
      </c>
      <c r="BH25" s="106">
        <f t="shared" si="10"/>
        <v>-0.5521100960319334</v>
      </c>
      <c r="BI25" s="106">
        <f t="shared" si="10"/>
        <v>-0.56079240628561711</v>
      </c>
      <c r="BJ25" s="106">
        <f t="shared" si="10"/>
        <v>-0.4047031955103878</v>
      </c>
      <c r="BK25" s="106">
        <f t="shared" si="10"/>
        <v>-0.32181202348615773</v>
      </c>
      <c r="BL25" s="106">
        <f t="shared" si="10"/>
        <v>6.4842660347191181</v>
      </c>
      <c r="BM25" s="106">
        <f t="shared" si="10"/>
        <v>13.270145190868789</v>
      </c>
      <c r="BN25" s="106">
        <f t="shared" si="10"/>
        <v>14.077010058469382</v>
      </c>
      <c r="BO25" s="106" t="e">
        <f t="shared" si="10"/>
        <v>#DIV/0!</v>
      </c>
      <c r="BP25" s="106" t="e">
        <f t="shared" si="10"/>
        <v>#DIV/0!</v>
      </c>
      <c r="BQ25" s="106" t="e">
        <f t="shared" si="10"/>
        <v>#DIV/0!</v>
      </c>
      <c r="BR25" s="106" t="e">
        <f t="shared" ref="BR25:CK25" si="11">(BR2-BV2)/BV2</f>
        <v>#DIV/0!</v>
      </c>
      <c r="BS25" s="106" t="e">
        <f t="shared" si="11"/>
        <v>#DIV/0!</v>
      </c>
      <c r="BT25" s="106" t="e">
        <f t="shared" si="11"/>
        <v>#DIV/0!</v>
      </c>
      <c r="BU25" s="106" t="e">
        <f t="shared" si="11"/>
        <v>#DIV/0!</v>
      </c>
      <c r="BV25" s="106" t="e">
        <f t="shared" si="11"/>
        <v>#DIV/0!</v>
      </c>
      <c r="BW25" s="106" t="e">
        <f t="shared" si="11"/>
        <v>#DIV/0!</v>
      </c>
      <c r="BX25" s="106" t="e">
        <f t="shared" si="11"/>
        <v>#DIV/0!</v>
      </c>
      <c r="BY25" s="106" t="e">
        <f t="shared" si="11"/>
        <v>#DIV/0!</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c r="A26" s="141" t="s">
        <v>560</v>
      </c>
      <c r="E26" s="107">
        <f>E2/E9</f>
        <v>0.21902796041024553</v>
      </c>
      <c r="F26" s="107">
        <f t="shared" ref="F26:BQ26" si="12">F2/F9</f>
        <v>0.1882636614517475</v>
      </c>
      <c r="G26" s="107">
        <f t="shared" si="12"/>
        <v>0.16863151755357658</v>
      </c>
      <c r="H26" s="107">
        <f t="shared" si="12"/>
        <v>0.17669178719876411</v>
      </c>
      <c r="I26" s="107">
        <f t="shared" si="12"/>
        <v>0.36090499634566831</v>
      </c>
      <c r="J26" s="107">
        <f t="shared" si="12"/>
        <v>0.15554151895773324</v>
      </c>
      <c r="K26" s="107">
        <f t="shared" si="12"/>
        <v>0.17889754791717719</v>
      </c>
      <c r="L26" s="107">
        <f t="shared" si="12"/>
        <v>0.16577128468051319</v>
      </c>
      <c r="M26" s="107">
        <f t="shared" si="12"/>
        <v>0.1506497199611479</v>
      </c>
      <c r="N26" s="107">
        <f t="shared" si="12"/>
        <v>0.1471071693327021</v>
      </c>
      <c r="O26" s="107">
        <f t="shared" si="12"/>
        <v>0.13537820981104079</v>
      </c>
      <c r="P26" s="107">
        <f t="shared" si="12"/>
        <v>0.12299529951022783</v>
      </c>
      <c r="Q26" s="107">
        <f t="shared" si="12"/>
        <v>0.11291646912543372</v>
      </c>
      <c r="R26" s="107">
        <f t="shared" si="12"/>
        <v>0.11384064005126533</v>
      </c>
      <c r="S26" s="107">
        <f t="shared" si="12"/>
        <v>0.10117714381945796</v>
      </c>
      <c r="T26" s="107">
        <f t="shared" si="12"/>
        <v>8.7933001804989669E-2</v>
      </c>
      <c r="U26" s="107">
        <f t="shared" si="12"/>
        <v>8.2367470116707808E-2</v>
      </c>
      <c r="V26" s="107">
        <f t="shared" si="12"/>
        <v>6.8460544767971879E-2</v>
      </c>
      <c r="W26" s="107">
        <f t="shared" si="12"/>
        <v>9.0253793691554549E-2</v>
      </c>
      <c r="X26" s="107">
        <f t="shared" si="12"/>
        <v>7.6101614026280878E-2</v>
      </c>
      <c r="Y26" s="107">
        <f t="shared" si="12"/>
        <v>7.4777274184410158E-2</v>
      </c>
      <c r="Z26" s="107">
        <f t="shared" si="12"/>
        <v>6.0095904329346174E-2</v>
      </c>
      <c r="AA26" s="107">
        <f t="shared" si="12"/>
        <v>6.2198999233886484E-2</v>
      </c>
      <c r="AB26" s="107">
        <f t="shared" si="12"/>
        <v>5.3008153132419161E-2</v>
      </c>
      <c r="AC26" s="107">
        <f t="shared" si="12"/>
        <v>0.11187786081041096</v>
      </c>
      <c r="AD26" s="107">
        <f t="shared" si="12"/>
        <v>8.6283932999127705E-2</v>
      </c>
      <c r="AE26" s="107">
        <f t="shared" si="12"/>
        <v>8.1756286262792049E-2</v>
      </c>
      <c r="AF26" s="107">
        <f t="shared" si="12"/>
        <v>0.11043812789437774</v>
      </c>
      <c r="AG26" s="107">
        <f t="shared" si="12"/>
        <v>0.13552743940886364</v>
      </c>
      <c r="AH26" s="107">
        <f t="shared" si="12"/>
        <v>0.18116350878229903</v>
      </c>
      <c r="AI26" s="107">
        <f t="shared" si="12"/>
        <v>0.2034175578379723</v>
      </c>
      <c r="AJ26" s="107">
        <f t="shared" si="12"/>
        <v>0.16684842793511628</v>
      </c>
      <c r="AK26" s="107">
        <f t="shared" si="12"/>
        <v>0.14438531933076629</v>
      </c>
      <c r="AL26" s="107">
        <f t="shared" si="12"/>
        <v>0.1026437820485499</v>
      </c>
      <c r="AM26" s="107">
        <f t="shared" si="12"/>
        <v>0.10047559093917521</v>
      </c>
      <c r="AN26" s="107">
        <f t="shared" si="12"/>
        <v>0.11415322901477926</v>
      </c>
      <c r="AO26" s="107">
        <f t="shared" si="12"/>
        <v>8.7056119427057724E-2</v>
      </c>
      <c r="AP26" s="107">
        <f t="shared" si="12"/>
        <v>8.7740592455672381E-2</v>
      </c>
      <c r="AQ26" s="107">
        <f t="shared" si="12"/>
        <v>0.10303176215528864</v>
      </c>
      <c r="AR26" s="107">
        <f t="shared" si="12"/>
        <v>0.10810019406876888</v>
      </c>
      <c r="AS26" s="107">
        <f t="shared" si="12"/>
        <v>0.14316163900889278</v>
      </c>
      <c r="AT26" s="107">
        <f t="shared" si="12"/>
        <v>0.18266610023072877</v>
      </c>
      <c r="AU26" s="107">
        <f t="shared" si="12"/>
        <v>0.20488005450511038</v>
      </c>
      <c r="AV26" s="107">
        <f t="shared" si="12"/>
        <v>0.21398580615105137</v>
      </c>
      <c r="AW26" s="107">
        <f t="shared" si="12"/>
        <v>9.2144736108894593E-2</v>
      </c>
      <c r="AX26" s="107">
        <f t="shared" si="12"/>
        <v>9.2592935530046633E-2</v>
      </c>
      <c r="AY26" s="107">
        <f t="shared" si="12"/>
        <v>7.7725865029021915E-2</v>
      </c>
      <c r="AZ26" s="107">
        <f t="shared" si="12"/>
        <v>0.30745560637346392</v>
      </c>
      <c r="BA26" s="107">
        <f t="shared" si="12"/>
        <v>0.11497582727253089</v>
      </c>
      <c r="BB26" s="107">
        <f t="shared" si="12"/>
        <v>7.6005002819328427E-2</v>
      </c>
      <c r="BC26" s="107">
        <f t="shared" si="12"/>
        <v>5.8180029067730142E-2</v>
      </c>
      <c r="BD26" s="107">
        <f t="shared" si="12"/>
        <v>6.2499935319009485E-2</v>
      </c>
      <c r="BE26" s="107">
        <f t="shared" si="12"/>
        <v>9.3830492511384977E-2</v>
      </c>
      <c r="BF26" s="107">
        <f t="shared" si="12"/>
        <v>0.11484648473245203</v>
      </c>
      <c r="BG26" s="107">
        <f t="shared" si="12"/>
        <v>0.17507088572831941</v>
      </c>
      <c r="BH26" s="107">
        <f t="shared" si="12"/>
        <v>0.19456775065760309</v>
      </c>
      <c r="BI26" s="107">
        <f t="shared" si="12"/>
        <v>0.23238679619988317</v>
      </c>
      <c r="BJ26" s="107">
        <f t="shared" si="12"/>
        <v>0.3241982383934422</v>
      </c>
      <c r="BK26" s="107">
        <f t="shared" si="12"/>
        <v>0.39554884555331243</v>
      </c>
      <c r="BL26" s="107">
        <f t="shared" si="12"/>
        <v>0.49189835482267119</v>
      </c>
      <c r="BM26" s="107">
        <f t="shared" si="12"/>
        <v>0.56752631110539142</v>
      </c>
      <c r="BN26" s="107">
        <f t="shared" si="12"/>
        <v>0.59060326157561904</v>
      </c>
      <c r="BO26" s="107">
        <f t="shared" si="12"/>
        <v>0.60052116607801487</v>
      </c>
      <c r="BP26" s="107">
        <f t="shared" si="12"/>
        <v>0.15478679014678859</v>
      </c>
      <c r="BQ26" s="107">
        <f t="shared" si="12"/>
        <v>0.11119434020291087</v>
      </c>
      <c r="BR26" s="107">
        <f t="shared" ref="BR26:CK26" si="13">BR2/BR9</f>
        <v>0.11378569128685591</v>
      </c>
      <c r="BS26" s="107" t="e">
        <f t="shared" si="13"/>
        <v>#DIV/0!</v>
      </c>
      <c r="BT26" s="107" t="e">
        <f t="shared" si="13"/>
        <v>#DIV/0!</v>
      </c>
      <c r="BU26" s="107" t="e">
        <f t="shared" si="13"/>
        <v>#DIV/0!</v>
      </c>
      <c r="BV26" s="107" t="e">
        <f t="shared" si="13"/>
        <v>#DIV/0!</v>
      </c>
      <c r="BW26" s="107" t="e">
        <f t="shared" si="13"/>
        <v>#DIV/0!</v>
      </c>
      <c r="BX26" s="107" t="e">
        <f t="shared" si="13"/>
        <v>#DIV/0!</v>
      </c>
      <c r="BY26" s="107" t="e">
        <f t="shared" si="13"/>
        <v>#DIV/0!</v>
      </c>
      <c r="BZ26" s="107" t="e">
        <f t="shared" si="13"/>
        <v>#DIV/0!</v>
      </c>
      <c r="CA26" s="107" t="e">
        <f t="shared" si="13"/>
        <v>#DIV/0!</v>
      </c>
      <c r="CB26" s="107" t="e">
        <f t="shared" si="13"/>
        <v>#DIV/0!</v>
      </c>
      <c r="CC26" s="107" t="e">
        <f t="shared" si="13"/>
        <v>#DIV/0!</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c r="A27" s="142" t="s">
        <v>553</v>
      </c>
      <c r="E27" s="108" t="e">
        <f>(E3-I3)/I3</f>
        <v>#DIV/0!</v>
      </c>
      <c r="F27" s="108" t="e">
        <f t="shared" ref="F27:BQ27" si="14">(F3-J3)/J3</f>
        <v>#DIV/0!</v>
      </c>
      <c r="G27" s="108" t="e">
        <f t="shared" si="14"/>
        <v>#DIV/0!</v>
      </c>
      <c r="H27" s="108" t="e">
        <f t="shared" si="14"/>
        <v>#DIV/0!</v>
      </c>
      <c r="I27" s="108" t="e">
        <f t="shared" si="14"/>
        <v>#DIV/0!</v>
      </c>
      <c r="J27" s="108" t="e">
        <f t="shared" si="14"/>
        <v>#DIV/0!</v>
      </c>
      <c r="K27" s="108" t="e">
        <f t="shared" si="14"/>
        <v>#DIV/0!</v>
      </c>
      <c r="L27" s="108" t="e">
        <f t="shared" si="14"/>
        <v>#DIV/0!</v>
      </c>
      <c r="M27" s="108" t="e">
        <f t="shared" si="14"/>
        <v>#DIV/0!</v>
      </c>
      <c r="N27" s="108">
        <f t="shared" si="14"/>
        <v>-1</v>
      </c>
      <c r="O27" s="108">
        <f t="shared" si="14"/>
        <v>-1</v>
      </c>
      <c r="P27" s="108">
        <f t="shared" si="14"/>
        <v>-1</v>
      </c>
      <c r="Q27" s="108">
        <f t="shared" si="14"/>
        <v>-1</v>
      </c>
      <c r="R27" s="108">
        <f t="shared" si="14"/>
        <v>-0.99154637995202088</v>
      </c>
      <c r="S27" s="108">
        <f t="shared" si="14"/>
        <v>-0.99154637995202088</v>
      </c>
      <c r="T27" s="108">
        <f t="shared" si="14"/>
        <v>-0.99154637995202088</v>
      </c>
      <c r="U27" s="108">
        <f t="shared" si="14"/>
        <v>-0.99154637995202088</v>
      </c>
      <c r="V27" s="108">
        <f t="shared" si="14"/>
        <v>-0.49787762410831155</v>
      </c>
      <c r="W27" s="108">
        <f t="shared" si="14"/>
        <v>-0.49787762410831155</v>
      </c>
      <c r="X27" s="108">
        <f t="shared" si="14"/>
        <v>-0.49787762410831155</v>
      </c>
      <c r="Y27" s="108">
        <f t="shared" si="14"/>
        <v>-0.49787762410831155</v>
      </c>
      <c r="Z27" s="108">
        <f t="shared" si="14"/>
        <v>234.5850356</v>
      </c>
      <c r="AA27" s="108">
        <f t="shared" si="14"/>
        <v>234.5850356</v>
      </c>
      <c r="AB27" s="108">
        <f t="shared" si="14"/>
        <v>234.5850356</v>
      </c>
      <c r="AC27" s="108">
        <f t="shared" si="14"/>
        <v>234.5850356</v>
      </c>
      <c r="AD27" s="108">
        <f t="shared" si="14"/>
        <v>0</v>
      </c>
      <c r="AE27" s="108">
        <f t="shared" si="14"/>
        <v>0</v>
      </c>
      <c r="AF27" s="108">
        <f t="shared" si="14"/>
        <v>0</v>
      </c>
      <c r="AG27" s="108">
        <f t="shared" si="14"/>
        <v>0</v>
      </c>
      <c r="AH27" s="108">
        <f t="shared" si="14"/>
        <v>0</v>
      </c>
      <c r="AI27" s="108">
        <f t="shared" si="14"/>
        <v>0</v>
      </c>
      <c r="AJ27" s="108">
        <f t="shared" si="14"/>
        <v>0</v>
      </c>
      <c r="AK27" s="108">
        <f t="shared" si="14"/>
        <v>0</v>
      </c>
      <c r="AL27" s="108">
        <f t="shared" si="14"/>
        <v>0</v>
      </c>
      <c r="AM27" s="108">
        <f t="shared" si="14"/>
        <v>0</v>
      </c>
      <c r="AN27" s="108">
        <f t="shared" si="14"/>
        <v>0</v>
      </c>
      <c r="AO27" s="108">
        <f t="shared" si="14"/>
        <v>0</v>
      </c>
      <c r="AP27" s="108">
        <f t="shared" si="14"/>
        <v>0</v>
      </c>
      <c r="AQ27" s="108">
        <f t="shared" si="14"/>
        <v>0</v>
      </c>
      <c r="AR27" s="108">
        <f t="shared" si="14"/>
        <v>-0.99829591507692239</v>
      </c>
      <c r="AS27" s="108">
        <f t="shared" si="14"/>
        <v>-0.99840544531698849</v>
      </c>
      <c r="AT27" s="108">
        <f t="shared" si="14"/>
        <v>-0.97653101176850066</v>
      </c>
      <c r="AU27" s="108">
        <f t="shared" si="14"/>
        <v>-0.97722599677792488</v>
      </c>
      <c r="AV27" s="108">
        <f t="shared" si="14"/>
        <v>11.979984229067783</v>
      </c>
      <c r="AW27" s="108">
        <f t="shared" si="14"/>
        <v>12.483772071308017</v>
      </c>
      <c r="AX27" s="108">
        <f t="shared" si="14"/>
        <v>-0.10878711825027963</v>
      </c>
      <c r="AY27" s="108">
        <f t="shared" si="14"/>
        <v>-0.10590680157251463</v>
      </c>
      <c r="AZ27" s="108">
        <f t="shared" si="14"/>
        <v>-0.10317505913915491</v>
      </c>
      <c r="BA27" s="108">
        <f t="shared" si="14"/>
        <v>-0.10058071087802396</v>
      </c>
      <c r="BB27" s="108">
        <f t="shared" si="14"/>
        <v>0.36525050716951146</v>
      </c>
      <c r="BC27" s="108">
        <f t="shared" si="14"/>
        <v>48.110892999999997</v>
      </c>
      <c r="BD27" s="108">
        <f t="shared" si="14"/>
        <v>49.411187000000005</v>
      </c>
      <c r="BE27" s="108">
        <f t="shared" si="14"/>
        <v>50.711481799999994</v>
      </c>
      <c r="BF27" s="108">
        <f t="shared" si="14"/>
        <v>34.019652400000005</v>
      </c>
      <c r="BG27" s="108">
        <f t="shared" si="14"/>
        <v>0</v>
      </c>
      <c r="BH27" s="108">
        <f t="shared" si="14"/>
        <v>0</v>
      </c>
      <c r="BI27" s="108">
        <f t="shared" si="14"/>
        <v>0</v>
      </c>
      <c r="BJ27" s="108">
        <f t="shared" si="14"/>
        <v>0</v>
      </c>
      <c r="BK27" s="108">
        <f t="shared" si="14"/>
        <v>0</v>
      </c>
      <c r="BL27" s="108">
        <f t="shared" si="14"/>
        <v>0</v>
      </c>
      <c r="BM27" s="108">
        <f t="shared" si="14"/>
        <v>0</v>
      </c>
      <c r="BN27" s="108">
        <f t="shared" si="14"/>
        <v>0</v>
      </c>
      <c r="BO27" s="108" t="e">
        <f t="shared" si="14"/>
        <v>#DIV/0!</v>
      </c>
      <c r="BP27" s="108" t="e">
        <f t="shared" si="14"/>
        <v>#DIV/0!</v>
      </c>
      <c r="BQ27" s="108" t="e">
        <f t="shared" si="14"/>
        <v>#DIV/0!</v>
      </c>
      <c r="BR27" s="108" t="e">
        <f t="shared" ref="BR27:CL27" si="15">(BR3-BV3)/BV3</f>
        <v>#DIV/0!</v>
      </c>
      <c r="BS27" s="108" t="e">
        <f t="shared" si="15"/>
        <v>#DIV/0!</v>
      </c>
      <c r="BT27" s="108" t="e">
        <f t="shared" si="15"/>
        <v>#DIV/0!</v>
      </c>
      <c r="BU27" s="108" t="e">
        <f t="shared" si="15"/>
        <v>#DIV/0!</v>
      </c>
      <c r="BV27" s="108" t="e">
        <f t="shared" si="15"/>
        <v>#DIV/0!</v>
      </c>
      <c r="BW27" s="108" t="e">
        <f t="shared" si="15"/>
        <v>#DIV/0!</v>
      </c>
      <c r="BX27" s="108" t="e">
        <f t="shared" si="15"/>
        <v>#DIV/0!</v>
      </c>
      <c r="BY27" s="108" t="e">
        <f t="shared" si="15"/>
        <v>#DIV/0!</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c r="A28" s="142" t="s">
        <v>561</v>
      </c>
      <c r="E28" s="108">
        <f>E3/E9</f>
        <v>0</v>
      </c>
      <c r="F28" s="108">
        <f t="shared" ref="F28:BQ28" si="16">F3/F9</f>
        <v>0</v>
      </c>
      <c r="G28" s="108">
        <f t="shared" si="16"/>
        <v>0</v>
      </c>
      <c r="H28" s="108">
        <f t="shared" si="16"/>
        <v>0</v>
      </c>
      <c r="I28" s="108">
        <f t="shared" si="16"/>
        <v>0</v>
      </c>
      <c r="J28" s="108">
        <f t="shared" si="16"/>
        <v>0</v>
      </c>
      <c r="K28" s="108">
        <f t="shared" si="16"/>
        <v>0</v>
      </c>
      <c r="L28" s="108">
        <f t="shared" si="16"/>
        <v>0</v>
      </c>
      <c r="M28" s="108">
        <f t="shared" si="16"/>
        <v>0</v>
      </c>
      <c r="N28" s="108">
        <f t="shared" si="16"/>
        <v>0</v>
      </c>
      <c r="O28" s="108">
        <f t="shared" si="16"/>
        <v>0</v>
      </c>
      <c r="P28" s="108">
        <f t="shared" si="16"/>
        <v>0</v>
      </c>
      <c r="Q28" s="108">
        <f t="shared" si="16"/>
        <v>0</v>
      </c>
      <c r="R28" s="108">
        <f t="shared" si="16"/>
        <v>2.2237010425165279E-5</v>
      </c>
      <c r="S28" s="108">
        <f t="shared" si="16"/>
        <v>2.3009809683680525E-5</v>
      </c>
      <c r="T28" s="108">
        <f t="shared" si="16"/>
        <v>2.3630423657945964E-5</v>
      </c>
      <c r="U28" s="108">
        <f t="shared" si="16"/>
        <v>2.3581937337852962E-5</v>
      </c>
      <c r="V28" s="108">
        <f t="shared" si="16"/>
        <v>2.8136131323422517E-3</v>
      </c>
      <c r="W28" s="108">
        <f t="shared" si="16"/>
        <v>2.8200946496277765E-3</v>
      </c>
      <c r="X28" s="108">
        <f t="shared" si="16"/>
        <v>2.8284041644951021E-3</v>
      </c>
      <c r="Y28" s="108">
        <f t="shared" si="16"/>
        <v>2.872156039771671E-3</v>
      </c>
      <c r="Z28" s="108">
        <f t="shared" si="16"/>
        <v>5.786901645299697E-3</v>
      </c>
      <c r="AA28" s="108">
        <f t="shared" si="16"/>
        <v>5.8945189865623471E-3</v>
      </c>
      <c r="AB28" s="108">
        <f t="shared" si="16"/>
        <v>6.0794801809037798E-3</v>
      </c>
      <c r="AC28" s="108">
        <f t="shared" si="16"/>
        <v>6.158631861350212E-3</v>
      </c>
      <c r="AD28" s="108">
        <f t="shared" si="16"/>
        <v>2.6343744291703622E-5</v>
      </c>
      <c r="AE28" s="108">
        <f t="shared" si="16"/>
        <v>2.71867266133038E-5</v>
      </c>
      <c r="AF28" s="108">
        <f t="shared" si="16"/>
        <v>2.6280458775835507E-5</v>
      </c>
      <c r="AG28" s="108">
        <f t="shared" si="16"/>
        <v>2.6737961835913194E-5</v>
      </c>
      <c r="AH28" s="108">
        <f t="shared" si="16"/>
        <v>2.7067153800599088E-5</v>
      </c>
      <c r="AI28" s="108">
        <f t="shared" si="16"/>
        <v>2.7469876138342886E-5</v>
      </c>
      <c r="AJ28" s="108">
        <f t="shared" si="16"/>
        <v>2.906593822029763E-5</v>
      </c>
      <c r="AK28" s="108">
        <f t="shared" si="16"/>
        <v>2.8948254832902818E-5</v>
      </c>
      <c r="AL28" s="108">
        <f t="shared" si="16"/>
        <v>2.9544983483407262E-5</v>
      </c>
      <c r="AM28" s="108">
        <f t="shared" si="16"/>
        <v>3.0539617084777794E-5</v>
      </c>
      <c r="AN28" s="108">
        <f t="shared" si="16"/>
        <v>3.0498365017273167E-5</v>
      </c>
      <c r="AO28" s="108">
        <f t="shared" si="16"/>
        <v>3.1411966102801309E-5</v>
      </c>
      <c r="AP28" s="108">
        <f t="shared" si="16"/>
        <v>3.2346905099198143E-5</v>
      </c>
      <c r="AQ28" s="108">
        <f t="shared" si="16"/>
        <v>3.2947320992271488E-5</v>
      </c>
      <c r="AR28" s="108">
        <f t="shared" si="16"/>
        <v>3.3774619814090378E-5</v>
      </c>
      <c r="AS28" s="108">
        <f t="shared" si="16"/>
        <v>3.4498053520434938E-5</v>
      </c>
      <c r="AT28" s="108">
        <f t="shared" si="16"/>
        <v>3.4570184979398955E-5</v>
      </c>
      <c r="AU28" s="108">
        <f t="shared" si="16"/>
        <v>3.5215592613352549E-5</v>
      </c>
      <c r="AV28" s="108">
        <f t="shared" si="16"/>
        <v>2.0658815077205728E-2</v>
      </c>
      <c r="AW28" s="108">
        <f t="shared" si="16"/>
        <v>2.5912114910933353E-2</v>
      </c>
      <c r="AX28" s="108">
        <f t="shared" si="16"/>
        <v>1.7814567931543452E-3</v>
      </c>
      <c r="AY28" s="108">
        <f t="shared" si="16"/>
        <v>1.8882257300741297E-3</v>
      </c>
      <c r="AZ28" s="108">
        <f t="shared" si="16"/>
        <v>1.9662043068068126E-3</v>
      </c>
      <c r="BA28" s="108">
        <f t="shared" si="16"/>
        <v>2.0513233579958646E-3</v>
      </c>
      <c r="BB28" s="108">
        <f t="shared" si="16"/>
        <v>2.361808361814371E-3</v>
      </c>
      <c r="BC28" s="108">
        <f t="shared" si="16"/>
        <v>2.5141926157037989E-3</v>
      </c>
      <c r="BD28" s="108">
        <f t="shared" si="16"/>
        <v>2.5761343972807919E-3</v>
      </c>
      <c r="BE28" s="108">
        <f t="shared" si="16"/>
        <v>2.6943933170246177E-3</v>
      </c>
      <c r="BF28" s="108">
        <f t="shared" si="16"/>
        <v>1.9430672031338129E-3</v>
      </c>
      <c r="BG28" s="108">
        <f t="shared" si="16"/>
        <v>5.5460967558786422E-5</v>
      </c>
      <c r="BH28" s="108">
        <f t="shared" si="16"/>
        <v>5.8764250787120287E-5</v>
      </c>
      <c r="BI28" s="108">
        <f t="shared" si="16"/>
        <v>6.3023919664776756E-5</v>
      </c>
      <c r="BJ28" s="108">
        <f t="shared" si="16"/>
        <v>6.4092202607048606E-5</v>
      </c>
      <c r="BK28" s="108">
        <f t="shared" si="16"/>
        <v>6.5637729343179013E-5</v>
      </c>
      <c r="BL28" s="108">
        <f t="shared" si="16"/>
        <v>6.654094868042817E-5</v>
      </c>
      <c r="BM28" s="108">
        <f t="shared" si="16"/>
        <v>6.7600483511868852E-5</v>
      </c>
      <c r="BN28" s="108">
        <f t="shared" si="16"/>
        <v>6.9506262872506187E-5</v>
      </c>
      <c r="BO28" s="108">
        <f t="shared" si="16"/>
        <v>6.7582123345017676E-5</v>
      </c>
      <c r="BP28" s="108">
        <f t="shared" si="16"/>
        <v>1.5671000665146845E-4</v>
      </c>
      <c r="BQ28" s="108">
        <f t="shared" si="16"/>
        <v>1.8900568862634606E-4</v>
      </c>
      <c r="BR28" s="108">
        <f t="shared" ref="BR28:CK28" si="17">BR3/BR9</f>
        <v>2.0189751539344782E-4</v>
      </c>
      <c r="BS28" s="108" t="e">
        <f t="shared" si="17"/>
        <v>#DIV/0!</v>
      </c>
      <c r="BT28" s="108" t="e">
        <f t="shared" si="17"/>
        <v>#DIV/0!</v>
      </c>
      <c r="BU28" s="108" t="e">
        <f t="shared" si="17"/>
        <v>#DIV/0!</v>
      </c>
      <c r="BV28" s="108" t="e">
        <f t="shared" si="17"/>
        <v>#DIV/0!</v>
      </c>
      <c r="BW28" s="108" t="e">
        <f t="shared" si="17"/>
        <v>#DIV/0!</v>
      </c>
      <c r="BX28" s="108" t="e">
        <f t="shared" si="17"/>
        <v>#DIV/0!</v>
      </c>
      <c r="BY28" s="108" t="e">
        <f t="shared" si="17"/>
        <v>#DIV/0!</v>
      </c>
      <c r="BZ28" s="108" t="e">
        <f t="shared" si="17"/>
        <v>#DIV/0!</v>
      </c>
      <c r="CA28" s="108" t="e">
        <f t="shared" si="17"/>
        <v>#DIV/0!</v>
      </c>
      <c r="CB28" s="108" t="e">
        <f t="shared" si="17"/>
        <v>#DIV/0!</v>
      </c>
      <c r="CC28" s="108" t="e">
        <f t="shared" si="17"/>
        <v>#DIV/0!</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c r="A29" s="141" t="s">
        <v>570</v>
      </c>
      <c r="E29" s="107">
        <f>(E4-I4)/I4</f>
        <v>0.95687094372927628</v>
      </c>
      <c r="F29" s="107">
        <f t="shared" ref="F29:BQ29" si="18">(F4-J4)/J4</f>
        <v>1.0879170239821936</v>
      </c>
      <c r="G29" s="107">
        <f t="shared" si="18"/>
        <v>1.3346641162763664</v>
      </c>
      <c r="H29" s="107">
        <f t="shared" si="18"/>
        <v>0.93858369185297985</v>
      </c>
      <c r="I29" s="107">
        <f t="shared" si="18"/>
        <v>-2.6591263564009048E-2</v>
      </c>
      <c r="J29" s="107">
        <f t="shared" si="18"/>
        <v>-0.11255708459294139</v>
      </c>
      <c r="K29" s="107">
        <f t="shared" si="18"/>
        <v>-0.28931965523942221</v>
      </c>
      <c r="L29" s="107">
        <f t="shared" si="18"/>
        <v>-0.21198264776406309</v>
      </c>
      <c r="M29" s="107">
        <f t="shared" si="18"/>
        <v>-0.19186416293899916</v>
      </c>
      <c r="N29" s="107">
        <f t="shared" si="18"/>
        <v>-0.16659452559626584</v>
      </c>
      <c r="O29" s="107">
        <f t="shared" si="18"/>
        <v>3.3804663917626904E-2</v>
      </c>
      <c r="P29" s="107">
        <f t="shared" si="18"/>
        <v>0.106244204240939</v>
      </c>
      <c r="Q29" s="107">
        <f t="shared" si="18"/>
        <v>4.9571086631815316E-2</v>
      </c>
      <c r="R29" s="107">
        <f t="shared" si="18"/>
        <v>5.5849087687238584E-2</v>
      </c>
      <c r="S29" s="107">
        <f t="shared" si="18"/>
        <v>7.6887948970815898E-2</v>
      </c>
      <c r="T29" s="107">
        <f t="shared" si="18"/>
        <v>-6.3691270496074863E-4</v>
      </c>
      <c r="U29" s="107">
        <f t="shared" si="18"/>
        <v>6.4672437182459033E-2</v>
      </c>
      <c r="V29" s="107">
        <f t="shared" si="18"/>
        <v>6.5167103919363631E-2</v>
      </c>
      <c r="W29" s="107">
        <f t="shared" si="18"/>
        <v>2.8144820022927453E-2</v>
      </c>
      <c r="X29" s="107">
        <f t="shared" si="18"/>
        <v>0.13205298477602354</v>
      </c>
      <c r="Y29" s="107">
        <f t="shared" si="18"/>
        <v>0.3708857498259881</v>
      </c>
      <c r="Z29" s="107">
        <f t="shared" si="18"/>
        <v>5.4025351685184325E-2</v>
      </c>
      <c r="AA29" s="107">
        <f t="shared" si="18"/>
        <v>5.0808829335527959E-2</v>
      </c>
      <c r="AB29" s="107">
        <f t="shared" si="18"/>
        <v>-9.040483716659023E-2</v>
      </c>
      <c r="AC29" s="107">
        <f t="shared" si="18"/>
        <v>-0.20291614317216911</v>
      </c>
      <c r="AD29" s="107">
        <f t="shared" si="18"/>
        <v>0.19809666436886028</v>
      </c>
      <c r="AE29" s="107">
        <f t="shared" si="18"/>
        <v>0.22331763345042105</v>
      </c>
      <c r="AF29" s="107">
        <f t="shared" si="18"/>
        <v>0.33780944117152145</v>
      </c>
      <c r="AG29" s="107">
        <f t="shared" si="18"/>
        <v>5.4267485243264101E-2</v>
      </c>
      <c r="AH29" s="107">
        <f t="shared" si="18"/>
        <v>-0.12053677964053562</v>
      </c>
      <c r="AI29" s="107">
        <f t="shared" si="18"/>
        <v>-0.12414861300516628</v>
      </c>
      <c r="AJ29" s="107">
        <f t="shared" si="18"/>
        <v>-0.14271191911147574</v>
      </c>
      <c r="AK29" s="107">
        <f t="shared" si="18"/>
        <v>-1.3455534908035182E-2</v>
      </c>
      <c r="AL29" s="107">
        <f t="shared" si="18"/>
        <v>0.13290942325365898</v>
      </c>
      <c r="AM29" s="107">
        <f t="shared" si="18"/>
        <v>0.17798343278801448</v>
      </c>
      <c r="AN29" s="107">
        <f t="shared" si="18"/>
        <v>0.25581760327820952</v>
      </c>
      <c r="AO29" s="107">
        <f t="shared" si="18"/>
        <v>0.28855171704526256</v>
      </c>
      <c r="AP29" s="107">
        <f t="shared" si="18"/>
        <v>0.35116008251496794</v>
      </c>
      <c r="AQ29" s="107">
        <f t="shared" si="18"/>
        <v>0.36434111579338513</v>
      </c>
      <c r="AR29" s="107">
        <f t="shared" si="18"/>
        <v>0.37735668344632717</v>
      </c>
      <c r="AS29" s="107">
        <f t="shared" si="18"/>
        <v>0.26816224675831851</v>
      </c>
      <c r="AT29" s="107">
        <f t="shared" si="18"/>
        <v>2.4507235880060273E-2</v>
      </c>
      <c r="AU29" s="107">
        <f t="shared" si="18"/>
        <v>-1.4376895335944566E-2</v>
      </c>
      <c r="AV29" s="107">
        <f t="shared" si="18"/>
        <v>2.3431200607181069</v>
      </c>
      <c r="AW29" s="107">
        <f t="shared" si="18"/>
        <v>0.13066550309879296</v>
      </c>
      <c r="AX29" s="107">
        <f t="shared" si="18"/>
        <v>0.55847984787741856</v>
      </c>
      <c r="AY29" s="107">
        <f t="shared" si="18"/>
        <v>0.49890663115925094</v>
      </c>
      <c r="AZ29" s="107">
        <f t="shared" si="18"/>
        <v>-0.55388247664492885</v>
      </c>
      <c r="BA29" s="107">
        <f t="shared" si="18"/>
        <v>0.51435207478990508</v>
      </c>
      <c r="BB29" s="107">
        <f t="shared" si="18"/>
        <v>1.2019259931808759</v>
      </c>
      <c r="BC29" s="107">
        <f t="shared" si="18"/>
        <v>1.0321016476484219</v>
      </c>
      <c r="BD29" s="107">
        <f t="shared" si="18"/>
        <v>0.95956507494950527</v>
      </c>
      <c r="BE29" s="107">
        <f t="shared" si="18"/>
        <v>2.5457645292297397</v>
      </c>
      <c r="BF29" s="107">
        <f t="shared" si="18"/>
        <v>1.4435935394339683</v>
      </c>
      <c r="BG29" s="107">
        <f t="shared" si="18"/>
        <v>1.5758377097416099</v>
      </c>
      <c r="BH29" s="107">
        <f t="shared" si="18"/>
        <v>1.0907165350508901</v>
      </c>
      <c r="BI29" s="107">
        <f t="shared" si="18"/>
        <v>2.1891906013736566</v>
      </c>
      <c r="BJ29" s="107">
        <f t="shared" si="18"/>
        <v>-0.11674444020339414</v>
      </c>
      <c r="BK29" s="107">
        <f t="shared" si="18"/>
        <v>-0.39296647590011247</v>
      </c>
      <c r="BL29" s="107">
        <f t="shared" si="18"/>
        <v>-0.25571224613306659</v>
      </c>
      <c r="BM29" s="107">
        <f t="shared" si="18"/>
        <v>-0.78899352655717025</v>
      </c>
      <c r="BN29" s="107">
        <f t="shared" si="18"/>
        <v>-0.38435553600185324</v>
      </c>
      <c r="BO29" s="107" t="e">
        <f t="shared" si="18"/>
        <v>#DIV/0!</v>
      </c>
      <c r="BP29" s="107" t="e">
        <f t="shared" si="18"/>
        <v>#DIV/0!</v>
      </c>
      <c r="BQ29" s="107" t="e">
        <f t="shared" si="18"/>
        <v>#DIV/0!</v>
      </c>
      <c r="BR29" s="107" t="e">
        <f t="shared" ref="BR29:CK29" si="19">(BR4-BV4)/BV4</f>
        <v>#DIV/0!</v>
      </c>
      <c r="BS29" s="107" t="e">
        <f t="shared" si="19"/>
        <v>#DIV/0!</v>
      </c>
      <c r="BT29" s="107" t="e">
        <f t="shared" si="19"/>
        <v>#DIV/0!</v>
      </c>
      <c r="BU29" s="107" t="e">
        <f t="shared" si="19"/>
        <v>#DIV/0!</v>
      </c>
      <c r="BV29" s="107" t="e">
        <f t="shared" si="19"/>
        <v>#DIV/0!</v>
      </c>
      <c r="BW29" s="107" t="e">
        <f t="shared" si="19"/>
        <v>#DIV/0!</v>
      </c>
      <c r="BX29" s="107" t="e">
        <f t="shared" si="19"/>
        <v>#DIV/0!</v>
      </c>
      <c r="BY29" s="107" t="e">
        <f t="shared" si="19"/>
        <v>#DIV/0!</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c r="A30" s="141" t="s">
        <v>554</v>
      </c>
      <c r="E30" s="107">
        <f>(E5-I5)/I5</f>
        <v>0.42870279921721877</v>
      </c>
      <c r="F30" s="107">
        <f t="shared" ref="F30:BQ30" si="20">(F5-J5)/J5</f>
        <v>0.47897224869010274</v>
      </c>
      <c r="G30" s="107">
        <f t="shared" si="20"/>
        <v>0.55009773361065684</v>
      </c>
      <c r="H30" s="107">
        <f t="shared" si="20"/>
        <v>0.49670731868091977</v>
      </c>
      <c r="I30" s="107">
        <f t="shared" si="20"/>
        <v>8.082662979681611E-2</v>
      </c>
      <c r="J30" s="107">
        <f t="shared" si="20"/>
        <v>7.2673577127131836E-2</v>
      </c>
      <c r="K30" s="107">
        <f t="shared" si="20"/>
        <v>3.0271193820018746E-2</v>
      </c>
      <c r="L30" s="107">
        <f t="shared" si="20"/>
        <v>1.6363408061301463E-2</v>
      </c>
      <c r="M30" s="107">
        <f t="shared" si="20"/>
        <v>1.4839881256075752E-2</v>
      </c>
      <c r="N30" s="107">
        <f t="shared" si="20"/>
        <v>-2.8644868893348517E-2</v>
      </c>
      <c r="O30" s="107">
        <f t="shared" si="20"/>
        <v>9.662370049434682E-3</v>
      </c>
      <c r="P30" s="107">
        <f t="shared" si="20"/>
        <v>5.2413785464744178E-2</v>
      </c>
      <c r="Q30" s="107">
        <f t="shared" si="20"/>
        <v>1.8419097696810067E-2</v>
      </c>
      <c r="R30" s="107">
        <f t="shared" si="20"/>
        <v>4.99177180854408E-2</v>
      </c>
      <c r="S30" s="107">
        <f t="shared" si="20"/>
        <v>6.6455100784303792E-2</v>
      </c>
      <c r="T30" s="107">
        <f t="shared" si="20"/>
        <v>5.1255014865746407E-2</v>
      </c>
      <c r="U30" s="107">
        <f t="shared" si="20"/>
        <v>6.2103738040410944E-2</v>
      </c>
      <c r="V30" s="107">
        <f t="shared" si="20"/>
        <v>4.9876672039611394E-2</v>
      </c>
      <c r="W30" s="107">
        <f t="shared" si="20"/>
        <v>4.9512202853358347E-2</v>
      </c>
      <c r="X30" s="107">
        <f t="shared" si="20"/>
        <v>9.2530962192594421E-2</v>
      </c>
      <c r="Y30" s="107">
        <f t="shared" si="20"/>
        <v>0.13886163580512387</v>
      </c>
      <c r="Z30" s="107">
        <f t="shared" si="20"/>
        <v>3.3319585309344902E-4</v>
      </c>
      <c r="AA30" s="107">
        <f t="shared" si="20"/>
        <v>1.9213729633601295E-2</v>
      </c>
      <c r="AB30" s="107">
        <f t="shared" si="20"/>
        <v>-0.16087376623892094</v>
      </c>
      <c r="AC30" s="107">
        <f t="shared" si="20"/>
        <v>-0.15438978844074053</v>
      </c>
      <c r="AD30" s="107">
        <f t="shared" si="20"/>
        <v>5.8454056340898168E-2</v>
      </c>
      <c r="AE30" s="107">
        <f t="shared" si="20"/>
        <v>4.5518948583153172E-3</v>
      </c>
      <c r="AF30" s="107">
        <f t="shared" si="20"/>
        <v>0.21887622422941999</v>
      </c>
      <c r="AG30" s="107">
        <f t="shared" si="20"/>
        <v>0.18500916370356443</v>
      </c>
      <c r="AH30" s="107">
        <f t="shared" si="20"/>
        <v>7.5124474236905422E-2</v>
      </c>
      <c r="AI30" s="107">
        <f t="shared" si="20"/>
        <v>0.11329552691699069</v>
      </c>
      <c r="AJ30" s="107">
        <f t="shared" si="20"/>
        <v>7.1573930591622245E-2</v>
      </c>
      <c r="AK30" s="107">
        <f t="shared" si="20"/>
        <v>8.6999190098383763E-2</v>
      </c>
      <c r="AL30" s="107">
        <f t="shared" si="20"/>
        <v>7.3551920979955679E-2</v>
      </c>
      <c r="AM30" s="107">
        <f t="shared" si="20"/>
        <v>0.10054853237920225</v>
      </c>
      <c r="AN30" s="107">
        <f t="shared" si="20"/>
        <v>0.19340209179490417</v>
      </c>
      <c r="AO30" s="107">
        <f t="shared" si="20"/>
        <v>0.11950597935299473</v>
      </c>
      <c r="AP30" s="107">
        <f t="shared" si="20"/>
        <v>0.16231127321340955</v>
      </c>
      <c r="AQ30" s="107">
        <f t="shared" si="20"/>
        <v>0.15071522408625151</v>
      </c>
      <c r="AR30" s="107">
        <f t="shared" si="20"/>
        <v>0.10048693197681728</v>
      </c>
      <c r="AS30" s="107">
        <f t="shared" si="20"/>
        <v>0.12368090529485454</v>
      </c>
      <c r="AT30" s="107">
        <f t="shared" si="20"/>
        <v>0.16019184425021993</v>
      </c>
      <c r="AU30" s="107">
        <f t="shared" si="20"/>
        <v>0.14494868966063507</v>
      </c>
      <c r="AV30" s="107">
        <f t="shared" si="20"/>
        <v>0.87140666041761905</v>
      </c>
      <c r="AW30" s="107">
        <f t="shared" si="20"/>
        <v>0.2806125523755118</v>
      </c>
      <c r="AX30" s="107">
        <f t="shared" si="20"/>
        <v>0.35156526439836289</v>
      </c>
      <c r="AY30" s="107">
        <f t="shared" si="20"/>
        <v>0.36229956301928856</v>
      </c>
      <c r="AZ30" s="107">
        <f t="shared" si="20"/>
        <v>-0.14636515425490321</v>
      </c>
      <c r="BA30" s="107">
        <f t="shared" si="20"/>
        <v>0.26169550755828996</v>
      </c>
      <c r="BB30" s="107">
        <f t="shared" si="20"/>
        <v>0.24942304757384942</v>
      </c>
      <c r="BC30" s="107">
        <f t="shared" si="20"/>
        <v>0.34880675500093899</v>
      </c>
      <c r="BD30" s="107">
        <f t="shared" si="20"/>
        <v>0.37391472746967974</v>
      </c>
      <c r="BE30" s="107">
        <f t="shared" si="20"/>
        <v>0.58691629076659058</v>
      </c>
      <c r="BF30" s="107">
        <f t="shared" si="20"/>
        <v>0.66576848194448157</v>
      </c>
      <c r="BG30" s="107">
        <f t="shared" si="20"/>
        <v>0.65891918883830636</v>
      </c>
      <c r="BH30" s="107">
        <f t="shared" si="20"/>
        <v>0.41980570084253138</v>
      </c>
      <c r="BI30" s="107">
        <f t="shared" si="20"/>
        <v>0.35233310497881887</v>
      </c>
      <c r="BJ30" s="107">
        <f t="shared" si="20"/>
        <v>9.5938027556433395E-2</v>
      </c>
      <c r="BK30" s="107">
        <f t="shared" si="20"/>
        <v>-3.8029329712859015E-2</v>
      </c>
      <c r="BL30" s="107">
        <f t="shared" si="20"/>
        <v>0.11762461857335323</v>
      </c>
      <c r="BM30" s="107">
        <f t="shared" si="20"/>
        <v>2.9861070073231688E-2</v>
      </c>
      <c r="BN30" s="107">
        <f t="shared" si="20"/>
        <v>0.2668987325774726</v>
      </c>
      <c r="BO30" s="107" t="e">
        <f t="shared" si="20"/>
        <v>#DIV/0!</v>
      </c>
      <c r="BP30" s="107" t="e">
        <f t="shared" si="20"/>
        <v>#DIV/0!</v>
      </c>
      <c r="BQ30" s="107" t="e">
        <f t="shared" si="20"/>
        <v>#DIV/0!</v>
      </c>
      <c r="BR30" s="107" t="e">
        <f t="shared" ref="BR30:CK30" si="21">(BR5-BV5)/BV5</f>
        <v>#DIV/0!</v>
      </c>
      <c r="BS30" s="107" t="e">
        <f t="shared" si="21"/>
        <v>#DIV/0!</v>
      </c>
      <c r="BT30" s="107" t="e">
        <f t="shared" si="21"/>
        <v>#DIV/0!</v>
      </c>
      <c r="BU30" s="107" t="e">
        <f t="shared" si="21"/>
        <v>#DIV/0!</v>
      </c>
      <c r="BV30" s="107" t="e">
        <f t="shared" si="21"/>
        <v>#DIV/0!</v>
      </c>
      <c r="BW30" s="107" t="e">
        <f t="shared" si="21"/>
        <v>#DIV/0!</v>
      </c>
      <c r="BX30" s="107" t="e">
        <f t="shared" si="21"/>
        <v>#DIV/0!</v>
      </c>
      <c r="BY30" s="107" t="e">
        <f t="shared" si="21"/>
        <v>#DIV/0!</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c r="A31" s="141" t="s">
        <v>555</v>
      </c>
      <c r="E31" s="107">
        <f>(E6-I6)/I6</f>
        <v>7.646485513406584E-2</v>
      </c>
      <c r="F31" s="107">
        <f t="shared" ref="F31:BQ31" si="22">(F6-J6)/J6</f>
        <v>7.9064172989529127E-2</v>
      </c>
      <c r="G31" s="107">
        <f t="shared" si="22"/>
        <v>6.0010098498810192E-2</v>
      </c>
      <c r="H31" s="107">
        <f t="shared" si="22"/>
        <v>0.15334942617920277</v>
      </c>
      <c r="I31" s="107">
        <f t="shared" si="22"/>
        <v>0.16668847822670457</v>
      </c>
      <c r="J31" s="107">
        <f t="shared" si="22"/>
        <v>0.24306537563673314</v>
      </c>
      <c r="K31" s="107">
        <f t="shared" si="22"/>
        <v>0.43273902264044029</v>
      </c>
      <c r="L31" s="107">
        <f t="shared" si="22"/>
        <v>0.31171864815517958</v>
      </c>
      <c r="M31" s="107">
        <f t="shared" si="22"/>
        <v>0.27564645736563914</v>
      </c>
      <c r="N31" s="107">
        <f t="shared" si="22"/>
        <v>0.14582402512780276</v>
      </c>
      <c r="O31" s="107">
        <f t="shared" si="22"/>
        <v>-1.9182274147819815E-2</v>
      </c>
      <c r="P31" s="107">
        <f t="shared" si="22"/>
        <v>-9.9030833995053837E-3</v>
      </c>
      <c r="Q31" s="107">
        <f t="shared" si="22"/>
        <v>-1.8343242205502017E-2</v>
      </c>
      <c r="R31" s="107">
        <f t="shared" si="22"/>
        <v>4.2510909344491137E-2</v>
      </c>
      <c r="S31" s="107">
        <f t="shared" si="22"/>
        <v>5.4252187200905667E-2</v>
      </c>
      <c r="T31" s="107">
        <f t="shared" si="22"/>
        <v>0.11848854342039401</v>
      </c>
      <c r="U31" s="107">
        <f t="shared" si="22"/>
        <v>5.908832522228382E-2</v>
      </c>
      <c r="V31" s="107">
        <f t="shared" si="22"/>
        <v>3.1388229789113861E-2</v>
      </c>
      <c r="W31" s="107">
        <f t="shared" si="22"/>
        <v>7.565985185861876E-2</v>
      </c>
      <c r="X31" s="107">
        <f t="shared" si="22"/>
        <v>4.5250793743019879E-2</v>
      </c>
      <c r="Y31" s="107">
        <f t="shared" si="22"/>
        <v>-4.9907608473610136E-2</v>
      </c>
      <c r="Z31" s="107">
        <f t="shared" si="22"/>
        <v>-5.7706678941100938E-2</v>
      </c>
      <c r="AA31" s="107">
        <f t="shared" si="22"/>
        <v>-1.6956403787465959E-2</v>
      </c>
      <c r="AB31" s="107">
        <f t="shared" si="22"/>
        <v>-0.23204809868475498</v>
      </c>
      <c r="AC31" s="107">
        <f t="shared" si="22"/>
        <v>-0.11032377589269608</v>
      </c>
      <c r="AD31" s="107">
        <f t="shared" si="22"/>
        <v>-5.9980534501953002E-2</v>
      </c>
      <c r="AE31" s="107">
        <f t="shared" si="22"/>
        <v>-0.16615653939082156</v>
      </c>
      <c r="AF31" s="107">
        <f t="shared" si="22"/>
        <v>0.11844913433710864</v>
      </c>
      <c r="AG31" s="107">
        <f t="shared" si="22"/>
        <v>0.33539193259621247</v>
      </c>
      <c r="AH31" s="107">
        <f t="shared" si="22"/>
        <v>0.32517019232125399</v>
      </c>
      <c r="AI31" s="107">
        <f t="shared" si="22"/>
        <v>0.41199971742472624</v>
      </c>
      <c r="AJ31" s="107">
        <f t="shared" si="22"/>
        <v>0.35825225279541356</v>
      </c>
      <c r="AK31" s="107">
        <f t="shared" si="22"/>
        <v>0.23119948581238448</v>
      </c>
      <c r="AL31" s="107">
        <f t="shared" si="22"/>
        <v>6.1811968587255359E-3</v>
      </c>
      <c r="AM31" s="107">
        <f t="shared" si="22"/>
        <v>1.6490227301924416E-2</v>
      </c>
      <c r="AN31" s="107">
        <f t="shared" si="22"/>
        <v>0.11899802917335817</v>
      </c>
      <c r="AO31" s="107">
        <f t="shared" si="22"/>
        <v>-5.7909248456391171E-2</v>
      </c>
      <c r="AP31" s="107">
        <f t="shared" si="22"/>
        <v>3.171660452137565E-3</v>
      </c>
      <c r="AQ31" s="107">
        <f t="shared" si="22"/>
        <v>-1.6458328324309959E-2</v>
      </c>
      <c r="AR31" s="107">
        <f t="shared" si="22"/>
        <v>-0.11224249031508808</v>
      </c>
      <c r="AS31" s="107">
        <f t="shared" si="22"/>
        <v>3.6715192384966571E-3</v>
      </c>
      <c r="AT31" s="107">
        <f t="shared" si="22"/>
        <v>0.30593990842113061</v>
      </c>
      <c r="AU31" s="107">
        <f t="shared" si="22"/>
        <v>0.31075884489843503</v>
      </c>
      <c r="AV31" s="107">
        <f t="shared" si="22"/>
        <v>0.39841018963594277</v>
      </c>
      <c r="AW31" s="107">
        <f t="shared" si="22"/>
        <v>0.43914238239796166</v>
      </c>
      <c r="AX31" s="107">
        <f t="shared" si="22"/>
        <v>0.18287127620800428</v>
      </c>
      <c r="AY31" s="107">
        <f t="shared" si="22"/>
        <v>0.24428290099942704</v>
      </c>
      <c r="AZ31" s="107">
        <f t="shared" si="22"/>
        <v>0.20840139715605424</v>
      </c>
      <c r="BA31" s="107">
        <f t="shared" si="22"/>
        <v>7.2513595534110992E-2</v>
      </c>
      <c r="BB31" s="107">
        <f t="shared" si="22"/>
        <v>-7.6330257696775081E-2</v>
      </c>
      <c r="BC31" s="107">
        <f t="shared" si="22"/>
        <v>4.5188691988992793E-2</v>
      </c>
      <c r="BD31" s="107">
        <f t="shared" si="22"/>
        <v>9.0252039024985062E-2</v>
      </c>
      <c r="BE31" s="107">
        <f t="shared" si="22"/>
        <v>0.12256140069716787</v>
      </c>
      <c r="BF31" s="107">
        <f t="shared" si="22"/>
        <v>0.50223273920905498</v>
      </c>
      <c r="BG31" s="107">
        <f t="shared" si="22"/>
        <v>0.4323590170177794</v>
      </c>
      <c r="BH31" s="107">
        <f t="shared" si="22"/>
        <v>0.22881205317735898</v>
      </c>
      <c r="BI31" s="107">
        <f t="shared" si="22"/>
        <v>0.18987362444276906</v>
      </c>
      <c r="BJ31" s="107">
        <f t="shared" si="22"/>
        <v>0.15437999966617214</v>
      </c>
      <c r="BK31" s="107">
        <f t="shared" si="22"/>
        <v>0.12442097729360899</v>
      </c>
      <c r="BL31" s="107">
        <f t="shared" si="22"/>
        <v>0.30380142275197114</v>
      </c>
      <c r="BM31" s="107">
        <f t="shared" si="22"/>
        <v>0.56806085635344972</v>
      </c>
      <c r="BN31" s="107">
        <f t="shared" si="22"/>
        <v>0.78607270119803418</v>
      </c>
      <c r="BO31" s="107" t="e">
        <f t="shared" si="22"/>
        <v>#DIV/0!</v>
      </c>
      <c r="BP31" s="107" t="e">
        <f t="shared" si="22"/>
        <v>#DIV/0!</v>
      </c>
      <c r="BQ31" s="107" t="e">
        <f t="shared" si="22"/>
        <v>#DIV/0!</v>
      </c>
      <c r="BR31" s="107" t="e">
        <f t="shared" ref="BR31:CK31" si="23">(BR6-BV6)/BV6</f>
        <v>#DIV/0!</v>
      </c>
      <c r="BS31" s="107" t="e">
        <f t="shared" si="23"/>
        <v>#DIV/0!</v>
      </c>
      <c r="BT31" s="107" t="e">
        <f t="shared" si="23"/>
        <v>#DIV/0!</v>
      </c>
      <c r="BU31" s="107" t="e">
        <f t="shared" si="23"/>
        <v>#DIV/0!</v>
      </c>
      <c r="BV31" s="107" t="e">
        <f t="shared" si="23"/>
        <v>#DIV/0!</v>
      </c>
      <c r="BW31" s="107" t="e">
        <f t="shared" si="23"/>
        <v>#DIV/0!</v>
      </c>
      <c r="BX31" s="107" t="e">
        <f t="shared" si="23"/>
        <v>#DIV/0!</v>
      </c>
      <c r="BY31" s="107" t="e">
        <f t="shared" si="23"/>
        <v>#DIV/0!</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c r="A32" s="142" t="s">
        <v>557</v>
      </c>
      <c r="E32" s="108">
        <f>(E7-I7)/I7</f>
        <v>3.73392415744008E-2</v>
      </c>
      <c r="F32" s="108">
        <f t="shared" ref="F32:BQ32" si="24">(F7-J7)/J7</f>
        <v>1.7215087421308301E-2</v>
      </c>
      <c r="G32" s="108">
        <f t="shared" si="24"/>
        <v>9.3702328241687949E-3</v>
      </c>
      <c r="H32" s="108">
        <f t="shared" si="24"/>
        <v>1.6945971872290303E-2</v>
      </c>
      <c r="I32" s="108">
        <f t="shared" si="24"/>
        <v>4.6756909684474178E-2</v>
      </c>
      <c r="J32" s="108">
        <f t="shared" si="24"/>
        <v>8.3684486543729161E-2</v>
      </c>
      <c r="K32" s="108">
        <f t="shared" si="24"/>
        <v>0.106060557216103</v>
      </c>
      <c r="L32" s="108">
        <f t="shared" si="24"/>
        <v>9.1450015279226873E-2</v>
      </c>
      <c r="M32" s="108">
        <f t="shared" si="24"/>
        <v>4.0668403406508159E-2</v>
      </c>
      <c r="N32" s="108">
        <f t="shared" si="24"/>
        <v>4.7389622678386686E-2</v>
      </c>
      <c r="O32" s="108">
        <f t="shared" si="24"/>
        <v>2.4043520627395613E-2</v>
      </c>
      <c r="P32" s="108">
        <f t="shared" si="24"/>
        <v>1.7587893901532783E-2</v>
      </c>
      <c r="Q32" s="108">
        <f t="shared" si="24"/>
        <v>8.4116762461848536E-3</v>
      </c>
      <c r="R32" s="108">
        <f t="shared" si="24"/>
        <v>2.5631629476369254E-4</v>
      </c>
      <c r="S32" s="108">
        <f t="shared" si="24"/>
        <v>-1.3118004402731443E-4</v>
      </c>
      <c r="T32" s="108">
        <f t="shared" si="24"/>
        <v>3.3448233609295335E-3</v>
      </c>
      <c r="U32" s="108">
        <f t="shared" si="24"/>
        <v>3.3834592762356981E-3</v>
      </c>
      <c r="V32" s="108">
        <f t="shared" si="24"/>
        <v>5.9017609658618565E-3</v>
      </c>
      <c r="W32" s="108">
        <f t="shared" si="24"/>
        <v>1.7803338936915335E-2</v>
      </c>
      <c r="X32" s="108">
        <f t="shared" si="24"/>
        <v>1.8876900608147243E-2</v>
      </c>
      <c r="Y32" s="108">
        <f t="shared" si="24"/>
        <v>3.0509060997306828E-2</v>
      </c>
      <c r="Z32" s="108">
        <f t="shared" si="24"/>
        <v>0.12096147317340182</v>
      </c>
      <c r="AA32" s="108">
        <f t="shared" si="24"/>
        <v>0.1325677873462755</v>
      </c>
      <c r="AB32" s="108">
        <f t="shared" si="24"/>
        <v>0.18614220170827397</v>
      </c>
      <c r="AC32" s="108">
        <f t="shared" si="24"/>
        <v>0.18654399214211273</v>
      </c>
      <c r="AD32" s="108">
        <f t="shared" si="24"/>
        <v>0.11866179201115674</v>
      </c>
      <c r="AE32" s="108">
        <f t="shared" si="24"/>
        <v>0.13360585566280481</v>
      </c>
      <c r="AF32" s="108">
        <f t="shared" si="24"/>
        <v>9.7231966400123326E-2</v>
      </c>
      <c r="AG32" s="108">
        <f t="shared" si="24"/>
        <v>0.11825733239808803</v>
      </c>
      <c r="AH32" s="108">
        <f t="shared" si="24"/>
        <v>7.2831462915587911E-2</v>
      </c>
      <c r="AI32" s="108">
        <f t="shared" si="24"/>
        <v>5.4028305279774966E-2</v>
      </c>
      <c r="AJ32" s="108">
        <f t="shared" si="24"/>
        <v>7.3338902949713264E-2</v>
      </c>
      <c r="AK32" s="108">
        <f t="shared" si="24"/>
        <v>3.664509511045011E-2</v>
      </c>
      <c r="AL32" s="108">
        <f t="shared" si="24"/>
        <v>4.3012008448122675E-2</v>
      </c>
      <c r="AM32" s="108">
        <f t="shared" si="24"/>
        <v>2.8277075523550625E-2</v>
      </c>
      <c r="AN32" s="108">
        <f t="shared" si="24"/>
        <v>1.575546784360388E-2</v>
      </c>
      <c r="AO32" s="108">
        <f t="shared" si="24"/>
        <v>0.10452920997104589</v>
      </c>
      <c r="AP32" s="108">
        <f t="shared" si="24"/>
        <v>0.11372131891927141</v>
      </c>
      <c r="AQ32" s="108">
        <f t="shared" si="24"/>
        <v>0.13228349487644459</v>
      </c>
      <c r="AR32" s="108">
        <f t="shared" si="24"/>
        <v>0.14180776824978111</v>
      </c>
      <c r="AS32" s="108">
        <f t="shared" si="24"/>
        <v>0.11267564875844589</v>
      </c>
      <c r="AT32" s="108">
        <f t="shared" si="24"/>
        <v>0.12829604050115162</v>
      </c>
      <c r="AU32" s="108">
        <f t="shared" si="24"/>
        <v>9.0378371760816312E-2</v>
      </c>
      <c r="AV32" s="108">
        <f t="shared" si="24"/>
        <v>8.2992513555644992E-2</v>
      </c>
      <c r="AW32" s="108">
        <f t="shared" si="24"/>
        <v>3.741745337104093E-2</v>
      </c>
      <c r="AX32" s="108">
        <f t="shared" si="24"/>
        <v>1.806657801318208E-2</v>
      </c>
      <c r="AY32" s="108">
        <f t="shared" si="24"/>
        <v>4.7442981581428796E-2</v>
      </c>
      <c r="AZ32" s="108">
        <f t="shared" si="24"/>
        <v>5.7828772525658099E-3</v>
      </c>
      <c r="BA32" s="108">
        <f t="shared" si="24"/>
        <v>4.3877940544712744E-2</v>
      </c>
      <c r="BB32" s="108">
        <f t="shared" si="24"/>
        <v>3.2790928834083013E-3</v>
      </c>
      <c r="BC32" s="108">
        <f t="shared" si="24"/>
        <v>8.1416124810481577E-2</v>
      </c>
      <c r="BD32" s="108">
        <f t="shared" si="24"/>
        <v>0.20895640938870383</v>
      </c>
      <c r="BE32" s="108">
        <f t="shared" si="24"/>
        <v>0.20238540902315633</v>
      </c>
      <c r="BF32" s="108">
        <f t="shared" si="24"/>
        <v>0.42080365410947601</v>
      </c>
      <c r="BG32" s="108">
        <f t="shared" si="24"/>
        <v>0.50803807413566626</v>
      </c>
      <c r="BH32" s="108">
        <f t="shared" si="24"/>
        <v>0.74529817027456102</v>
      </c>
      <c r="BI32" s="108">
        <f t="shared" si="24"/>
        <v>0.82714551987344809</v>
      </c>
      <c r="BJ32" s="108">
        <f t="shared" si="24"/>
        <v>0.98449654797993336</v>
      </c>
      <c r="BK32" s="108">
        <f t="shared" si="24"/>
        <v>0.88815792070757915</v>
      </c>
      <c r="BL32" s="108">
        <f t="shared" si="24"/>
        <v>0.66937041372169492</v>
      </c>
      <c r="BM32" s="108">
        <f t="shared" si="24"/>
        <v>1.0174423361045102</v>
      </c>
      <c r="BN32" s="108">
        <f t="shared" si="24"/>
        <v>0.79545140648271562</v>
      </c>
      <c r="BO32" s="108" t="e">
        <f t="shared" si="24"/>
        <v>#DIV/0!</v>
      </c>
      <c r="BP32" s="108" t="e">
        <f t="shared" si="24"/>
        <v>#DIV/0!</v>
      </c>
      <c r="BQ32" s="108" t="e">
        <f t="shared" si="24"/>
        <v>#DIV/0!</v>
      </c>
      <c r="BR32" s="108" t="e">
        <f t="shared" ref="BR32:CK32" si="25">(BR7-BV7)/BV7</f>
        <v>#DIV/0!</v>
      </c>
      <c r="BS32" s="108" t="e">
        <f t="shared" si="25"/>
        <v>#DIV/0!</v>
      </c>
      <c r="BT32" s="108" t="e">
        <f t="shared" si="25"/>
        <v>#DIV/0!</v>
      </c>
      <c r="BU32" s="108" t="e">
        <f t="shared" si="25"/>
        <v>#DIV/0!</v>
      </c>
      <c r="BV32" s="108" t="e">
        <f t="shared" si="25"/>
        <v>#DIV/0!</v>
      </c>
      <c r="BW32" s="108" t="e">
        <f t="shared" si="25"/>
        <v>#DIV/0!</v>
      </c>
      <c r="BX32" s="108" t="e">
        <f t="shared" si="25"/>
        <v>#DIV/0!</v>
      </c>
      <c r="BY32" s="108" t="e">
        <f t="shared" si="25"/>
        <v>#DIV/0!</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c r="A33" s="142" t="s">
        <v>564</v>
      </c>
      <c r="E33" s="108">
        <f>E7/E9</f>
        <v>0.43869460450652176</v>
      </c>
      <c r="F33" s="108">
        <f t="shared" ref="F33:BQ33" si="26">F7/F9</f>
        <v>0.44770275904431162</v>
      </c>
      <c r="G33" s="108">
        <f t="shared" si="26"/>
        <v>0.4448973322131583</v>
      </c>
      <c r="H33" s="108">
        <f t="shared" si="26"/>
        <v>0.45107026120720667</v>
      </c>
      <c r="I33" s="108">
        <f t="shared" si="26"/>
        <v>0.45210636508027924</v>
      </c>
      <c r="J33" s="108">
        <f t="shared" si="26"/>
        <v>0.60485129145724548</v>
      </c>
      <c r="K33" s="108">
        <f t="shared" si="26"/>
        <v>0.59692079631546124</v>
      </c>
      <c r="L33" s="108">
        <f t="shared" si="26"/>
        <v>0.58219515812354361</v>
      </c>
      <c r="M33" s="108">
        <f t="shared" si="26"/>
        <v>0.58788352193681215</v>
      </c>
      <c r="N33" s="108">
        <f t="shared" si="26"/>
        <v>0.57482562064565046</v>
      </c>
      <c r="O33" s="108">
        <f t="shared" si="26"/>
        <v>0.54567324564378439</v>
      </c>
      <c r="P33" s="108">
        <f t="shared" si="26"/>
        <v>0.5482667899041721</v>
      </c>
      <c r="Q33" s="108">
        <f t="shared" si="26"/>
        <v>0.56403902904902747</v>
      </c>
      <c r="R33" s="108">
        <f t="shared" si="26"/>
        <v>0.55109853153044208</v>
      </c>
      <c r="S33" s="108">
        <f t="shared" si="26"/>
        <v>0.56922605819929017</v>
      </c>
      <c r="T33" s="108">
        <f t="shared" si="26"/>
        <v>0.58783019118867108</v>
      </c>
      <c r="U33" s="108">
        <f t="shared" si="26"/>
        <v>0.59190103766669544</v>
      </c>
      <c r="V33" s="108">
        <f t="shared" si="26"/>
        <v>0.58931657797824533</v>
      </c>
      <c r="W33" s="108">
        <f t="shared" si="26"/>
        <v>0.58984123471276428</v>
      </c>
      <c r="X33" s="108">
        <f t="shared" si="26"/>
        <v>0.59280841235531423</v>
      </c>
      <c r="Y33" s="108">
        <f t="shared" si="26"/>
        <v>0.60737014141791135</v>
      </c>
      <c r="Z33" s="108">
        <f t="shared" si="26"/>
        <v>0.60504041291378297</v>
      </c>
      <c r="AA33" s="108">
        <f t="shared" si="26"/>
        <v>0.60822675495893919</v>
      </c>
      <c r="AB33" s="108">
        <f t="shared" si="26"/>
        <v>0.62795308121799498</v>
      </c>
      <c r="AC33" s="108">
        <f t="shared" si="26"/>
        <v>0.63458150747009512</v>
      </c>
      <c r="AD33" s="108">
        <f t="shared" si="26"/>
        <v>0.57885901197716294</v>
      </c>
      <c r="AE33" s="108">
        <f t="shared" si="26"/>
        <v>0.5835224435117532</v>
      </c>
      <c r="AF33" s="108">
        <f t="shared" si="26"/>
        <v>0.53914382290770291</v>
      </c>
      <c r="AG33" s="108">
        <f t="shared" si="26"/>
        <v>0.54701007136635216</v>
      </c>
      <c r="AH33" s="108">
        <f t="shared" si="26"/>
        <v>0.53166623801125257</v>
      </c>
      <c r="AI33" s="108">
        <f t="shared" si="26"/>
        <v>0.52011007337551174</v>
      </c>
      <c r="AJ33" s="108">
        <f t="shared" si="26"/>
        <v>0.54344748817705146</v>
      </c>
      <c r="AK33" s="108">
        <f t="shared" si="26"/>
        <v>0.52959960924116234</v>
      </c>
      <c r="AL33" s="108">
        <f t="shared" si="26"/>
        <v>0.54093955794498882</v>
      </c>
      <c r="AM33" s="108">
        <f t="shared" si="26"/>
        <v>0.54859251485205995</v>
      </c>
      <c r="AN33" s="108">
        <f t="shared" si="26"/>
        <v>0.53126710614713379</v>
      </c>
      <c r="AO33" s="108">
        <f t="shared" si="26"/>
        <v>0.55435796503528534</v>
      </c>
      <c r="AP33" s="108">
        <f t="shared" si="26"/>
        <v>0.56781703297251807</v>
      </c>
      <c r="AQ33" s="108">
        <f t="shared" si="26"/>
        <v>0.57556747417392184</v>
      </c>
      <c r="AR33" s="108">
        <f t="shared" si="26"/>
        <v>0.57921215793601166</v>
      </c>
      <c r="AS33" s="108">
        <f t="shared" si="26"/>
        <v>0.55120425040372789</v>
      </c>
      <c r="AT33" s="108">
        <f t="shared" si="26"/>
        <v>0.54487998085745137</v>
      </c>
      <c r="AU33" s="108">
        <f t="shared" si="26"/>
        <v>0.54332033645981992</v>
      </c>
      <c r="AV33" s="108">
        <f t="shared" si="26"/>
        <v>0.52875057064642161</v>
      </c>
      <c r="AW33" s="108">
        <f t="shared" si="26"/>
        <v>0.59332365171732904</v>
      </c>
      <c r="AX33" s="108">
        <f t="shared" si="26"/>
        <v>0.58404424020975942</v>
      </c>
      <c r="AY33" s="108">
        <f t="shared" si="26"/>
        <v>0.60846698740138438</v>
      </c>
      <c r="AZ33" s="108">
        <f t="shared" si="26"/>
        <v>0.60314647540480115</v>
      </c>
      <c r="BA33" s="108">
        <f t="shared" si="26"/>
        <v>0.61049312525608446</v>
      </c>
      <c r="BB33" s="108">
        <f t="shared" si="26"/>
        <v>0.67782936982964481</v>
      </c>
      <c r="BC33" s="108">
        <f t="shared" si="26"/>
        <v>0.69156667209376088</v>
      </c>
      <c r="BD33" s="108">
        <f t="shared" si="26"/>
        <v>0.70463807658916922</v>
      </c>
      <c r="BE33" s="108">
        <f t="shared" si="26"/>
        <v>0.69090784236089353</v>
      </c>
      <c r="BF33" s="108">
        <f t="shared" si="26"/>
        <v>0.75884684438775174</v>
      </c>
      <c r="BG33" s="108">
        <f t="shared" si="26"/>
        <v>0.69280009916770624</v>
      </c>
      <c r="BH33" s="108">
        <f t="shared" si="26"/>
        <v>0.67023495819223611</v>
      </c>
      <c r="BI33" s="108">
        <f t="shared" si="26"/>
        <v>0.69503684020550505</v>
      </c>
      <c r="BJ33" s="108">
        <f t="shared" si="26"/>
        <v>0.61694901276848968</v>
      </c>
      <c r="BK33" s="108">
        <f t="shared" si="26"/>
        <v>0.54370301526736797</v>
      </c>
      <c r="BL33" s="108">
        <f t="shared" si="26"/>
        <v>0.43484374518558766</v>
      </c>
      <c r="BM33" s="108">
        <f t="shared" si="26"/>
        <v>0.40801777180899496</v>
      </c>
      <c r="BN33" s="108">
        <f t="shared" si="26"/>
        <v>0.33714573295082056</v>
      </c>
      <c r="BO33" s="108">
        <f t="shared" si="26"/>
        <v>0.29648430676880316</v>
      </c>
      <c r="BP33" s="108">
        <f t="shared" si="26"/>
        <v>0.61346283318394235</v>
      </c>
      <c r="BQ33" s="108">
        <f t="shared" si="26"/>
        <v>0.56546147659686241</v>
      </c>
      <c r="BR33" s="108">
        <f t="shared" ref="BR33:CK33" si="27">BR7/BR9</f>
        <v>0.54544510400723634</v>
      </c>
      <c r="BS33" s="108" t="e">
        <f t="shared" si="27"/>
        <v>#DIV/0!</v>
      </c>
      <c r="BT33" s="108" t="e">
        <f t="shared" si="27"/>
        <v>#DIV/0!</v>
      </c>
      <c r="BU33" s="108" t="e">
        <f t="shared" si="27"/>
        <v>#DIV/0!</v>
      </c>
      <c r="BV33" s="108" t="e">
        <f t="shared" si="27"/>
        <v>#DIV/0!</v>
      </c>
      <c r="BW33" s="108" t="e">
        <f t="shared" si="27"/>
        <v>#DIV/0!</v>
      </c>
      <c r="BX33" s="108" t="e">
        <f t="shared" si="27"/>
        <v>#DIV/0!</v>
      </c>
      <c r="BY33" s="108" t="e">
        <f t="shared" si="27"/>
        <v>#DIV/0!</v>
      </c>
      <c r="BZ33" s="108" t="e">
        <f t="shared" si="27"/>
        <v>#DIV/0!</v>
      </c>
      <c r="CA33" s="108" t="e">
        <f t="shared" si="27"/>
        <v>#DIV/0!</v>
      </c>
      <c r="CB33" s="108" t="e">
        <f t="shared" si="27"/>
        <v>#DIV/0!</v>
      </c>
      <c r="CC33" s="108" t="e">
        <f t="shared" si="27"/>
        <v>#DIV/0!</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c r="A34" s="141" t="s">
        <v>558</v>
      </c>
      <c r="E34" s="107">
        <f>(E10-I10)/I10</f>
        <v>-1</v>
      </c>
      <c r="F34" s="107">
        <f t="shared" ref="F34:BQ34" si="28">(F10-J10)/J10</f>
        <v>-1</v>
      </c>
      <c r="G34" s="107">
        <f t="shared" si="28"/>
        <v>-1</v>
      </c>
      <c r="H34" s="107">
        <f t="shared" si="28"/>
        <v>-1</v>
      </c>
      <c r="I34" s="107">
        <f t="shared" si="28"/>
        <v>-0.6428571428571429</v>
      </c>
      <c r="J34" s="107">
        <f t="shared" si="28"/>
        <v>-0.94428334149516047</v>
      </c>
      <c r="K34" s="107">
        <f t="shared" si="28"/>
        <v>-0.73704146636557821</v>
      </c>
      <c r="L34" s="107">
        <f t="shared" si="28"/>
        <v>-0.5730758040434577</v>
      </c>
      <c r="M34" s="107">
        <f t="shared" si="28"/>
        <v>-0.97543537207136766</v>
      </c>
      <c r="N34" s="107">
        <f t="shared" si="28"/>
        <v>-0.65032191233267556</v>
      </c>
      <c r="O34" s="107">
        <f t="shared" si="28"/>
        <v>0.63295960493776771</v>
      </c>
      <c r="P34" s="107">
        <f t="shared" si="28"/>
        <v>1.6759496824984088</v>
      </c>
      <c r="Q34" s="107">
        <f t="shared" si="28"/>
        <v>0.32917734828907164</v>
      </c>
      <c r="R34" s="107">
        <f t="shared" si="28"/>
        <v>0.68765537318576631</v>
      </c>
      <c r="S34" s="107">
        <f t="shared" si="28"/>
        <v>-0.12090552878501366</v>
      </c>
      <c r="T34" s="107">
        <f t="shared" si="28"/>
        <v>-0.52204174404989279</v>
      </c>
      <c r="U34" s="107">
        <f t="shared" si="28"/>
        <v>-0.26853379601046157</v>
      </c>
      <c r="V34" s="107">
        <f t="shared" si="28"/>
        <v>-0.22584468690909093</v>
      </c>
      <c r="W34" s="107">
        <f t="shared" si="28"/>
        <v>7.2215694374999959E-2</v>
      </c>
      <c r="X34" s="107">
        <f t="shared" si="28"/>
        <v>1.0931678787272727</v>
      </c>
      <c r="Y34" s="107">
        <f t="shared" si="28"/>
        <v>1.1316110101818182</v>
      </c>
      <c r="Z34" s="107">
        <f t="shared" si="28"/>
        <v>1</v>
      </c>
      <c r="AA34" s="107">
        <f t="shared" si="28"/>
        <v>2.2000000000000002</v>
      </c>
      <c r="AB34" s="107">
        <f t="shared" si="28"/>
        <v>-0.476277450096042</v>
      </c>
      <c r="AC34" s="107">
        <f t="shared" si="28"/>
        <v>-0.52181163709670975</v>
      </c>
      <c r="AD34" s="107">
        <f t="shared" si="28"/>
        <v>-0.57669188556827189</v>
      </c>
      <c r="AE34" s="107">
        <f t="shared" si="28"/>
        <v>-0.83325440708602072</v>
      </c>
      <c r="AF34" s="107">
        <f t="shared" si="28"/>
        <v>0.31271796512499994</v>
      </c>
      <c r="AG34" s="107">
        <f t="shared" si="28"/>
        <v>-0.14166091641791043</v>
      </c>
      <c r="AH34" s="107">
        <f t="shared" si="28"/>
        <v>-3.0380597014925372E-2</v>
      </c>
      <c r="AI34" s="107">
        <f t="shared" si="28"/>
        <v>0.31516666666666665</v>
      </c>
      <c r="AJ34" s="107">
        <f t="shared" si="28"/>
        <v>-0.46994593448531752</v>
      </c>
      <c r="AK34" s="107">
        <f t="shared" si="28"/>
        <v>-2.1383500817948119E-2</v>
      </c>
      <c r="AL34" s="107">
        <f t="shared" si="28"/>
        <v>0.12605042016806722</v>
      </c>
      <c r="AM34" s="107">
        <f t="shared" si="28"/>
        <v>-0.11989500501814251</v>
      </c>
      <c r="AN34" s="107">
        <f t="shared" si="28"/>
        <v>0.16098461538461539</v>
      </c>
      <c r="AO34" s="107">
        <f t="shared" si="28"/>
        <v>5.3292307692307694E-2</v>
      </c>
      <c r="AP34" s="107">
        <f t="shared" si="28"/>
        <v>-0.25624999999999998</v>
      </c>
      <c r="AQ34" s="107">
        <f t="shared" si="28"/>
        <v>-0.19043750000000001</v>
      </c>
      <c r="AR34" s="107">
        <f t="shared" si="28"/>
        <v>-0.23529411764705882</v>
      </c>
      <c r="AS34" s="107">
        <f t="shared" si="28"/>
        <v>-0.5</v>
      </c>
      <c r="AT34" s="107">
        <f t="shared" si="28"/>
        <v>-0.36</v>
      </c>
      <c r="AU34" s="107">
        <f t="shared" si="28"/>
        <v>-0.34156378600823045</v>
      </c>
      <c r="AV34" s="107">
        <f t="shared" si="28"/>
        <v>-0.26575389798298277</v>
      </c>
      <c r="AW34" s="107">
        <f t="shared" si="28"/>
        <v>9.922631378683465E-2</v>
      </c>
      <c r="AX34" s="107">
        <f t="shared" si="28"/>
        <v>0.45747099632717309</v>
      </c>
      <c r="AY34" s="107">
        <f t="shared" si="28"/>
        <v>0.54256332127213869</v>
      </c>
      <c r="AZ34" s="107">
        <f t="shared" si="28"/>
        <v>0.43362229102167182</v>
      </c>
      <c r="BA34" s="107">
        <f t="shared" si="28"/>
        <v>0.45907100117204369</v>
      </c>
      <c r="BB34" s="107">
        <f t="shared" si="28"/>
        <v>0.5593636363636364</v>
      </c>
      <c r="BC34" s="107">
        <f t="shared" si="28"/>
        <v>0.21176923076923077</v>
      </c>
      <c r="BD34" s="107">
        <f t="shared" si="28"/>
        <v>0.7944444444444444</v>
      </c>
      <c r="BE34" s="107">
        <f t="shared" si="28"/>
        <v>2.2422</v>
      </c>
      <c r="BF34" s="107">
        <f t="shared" si="28"/>
        <v>0.83333333333333337</v>
      </c>
      <c r="BG34" s="107">
        <f t="shared" si="28"/>
        <v>1.1666666666666667</v>
      </c>
      <c r="BH34" s="107">
        <f t="shared" si="28"/>
        <v>0.43152536981072054</v>
      </c>
      <c r="BI34" s="107">
        <f t="shared" si="28"/>
        <v>-0.20470812788293305</v>
      </c>
      <c r="BJ34" s="107">
        <f t="shared" si="28"/>
        <v>-4.5649753459519646E-2</v>
      </c>
      <c r="BK34" s="107">
        <f t="shared" si="28"/>
        <v>0.87975672439107155</v>
      </c>
      <c r="BL34" s="107">
        <f t="shared" si="28"/>
        <v>1.3355604929113678</v>
      </c>
      <c r="BM34" s="107">
        <f t="shared" si="28"/>
        <v>1.8577272727272727</v>
      </c>
      <c r="BN34" s="107">
        <f t="shared" si="28"/>
        <v>4.6895927601809957</v>
      </c>
      <c r="BO34" s="107" t="e">
        <f t="shared" si="28"/>
        <v>#DIV/0!</v>
      </c>
      <c r="BP34" s="107" t="e">
        <f t="shared" si="28"/>
        <v>#DIV/0!</v>
      </c>
      <c r="BQ34" s="107" t="e">
        <f t="shared" si="28"/>
        <v>#DIV/0!</v>
      </c>
      <c r="BR34" s="107" t="e">
        <f t="shared" ref="BR34:CK34" si="29">(BR10-BV10)/BV10</f>
        <v>#DIV/0!</v>
      </c>
      <c r="BS34" s="107" t="e">
        <f t="shared" si="29"/>
        <v>#DIV/0!</v>
      </c>
      <c r="BT34" s="107" t="e">
        <f t="shared" si="29"/>
        <v>#DIV/0!</v>
      </c>
      <c r="BU34" s="107" t="e">
        <f t="shared" si="29"/>
        <v>#DIV/0!</v>
      </c>
      <c r="BV34" s="107" t="e">
        <f t="shared" si="29"/>
        <v>#DIV/0!</v>
      </c>
      <c r="BW34" s="107" t="e">
        <f t="shared" si="29"/>
        <v>#DIV/0!</v>
      </c>
      <c r="BX34" s="107" t="e">
        <f t="shared" si="29"/>
        <v>#DIV/0!</v>
      </c>
      <c r="BY34" s="107" t="e">
        <f t="shared" si="29"/>
        <v>#DIV/0!</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c r="A35" s="141" t="s">
        <v>562</v>
      </c>
      <c r="E35" s="107" t="e">
        <f>E10/E12</f>
        <v>#DIV/0!</v>
      </c>
      <c r="F35" s="107" t="e">
        <f t="shared" ref="F35:BQ35" si="30">F10/F12</f>
        <v>#DIV/0!</v>
      </c>
      <c r="G35" s="107" t="e">
        <f t="shared" si="30"/>
        <v>#DIV/0!</v>
      </c>
      <c r="H35" s="107" t="e">
        <f t="shared" si="30"/>
        <v>#DIV/0!</v>
      </c>
      <c r="I35" s="107">
        <f t="shared" si="30"/>
        <v>1</v>
      </c>
      <c r="J35" s="107">
        <f t="shared" si="30"/>
        <v>1</v>
      </c>
      <c r="K35" s="107">
        <f t="shared" si="30"/>
        <v>1</v>
      </c>
      <c r="L35" s="107">
        <f t="shared" si="30"/>
        <v>1</v>
      </c>
      <c r="M35" s="107">
        <f t="shared" si="30"/>
        <v>1</v>
      </c>
      <c r="N35" s="107">
        <f t="shared" si="30"/>
        <v>1</v>
      </c>
      <c r="O35" s="107">
        <f t="shared" si="30"/>
        <v>1</v>
      </c>
      <c r="P35" s="107">
        <f t="shared" si="30"/>
        <v>1</v>
      </c>
      <c r="Q35" s="107">
        <f t="shared" si="30"/>
        <v>1</v>
      </c>
      <c r="R35" s="107">
        <f t="shared" si="30"/>
        <v>1</v>
      </c>
      <c r="S35" s="107">
        <f t="shared" si="30"/>
        <v>1</v>
      </c>
      <c r="T35" s="107">
        <f t="shared" si="30"/>
        <v>1</v>
      </c>
      <c r="U35" s="107">
        <f t="shared" si="30"/>
        <v>1</v>
      </c>
      <c r="V35" s="107">
        <f t="shared" si="30"/>
        <v>1</v>
      </c>
      <c r="W35" s="107">
        <f t="shared" si="30"/>
        <v>1</v>
      </c>
      <c r="X35" s="107">
        <f t="shared" si="30"/>
        <v>1</v>
      </c>
      <c r="Y35" s="107">
        <f t="shared" si="30"/>
        <v>1</v>
      </c>
      <c r="Z35" s="107">
        <f t="shared" si="30"/>
        <v>0.95392953929539293</v>
      </c>
      <c r="AA35" s="107">
        <f t="shared" si="30"/>
        <v>0.93772893772893773</v>
      </c>
      <c r="AB35" s="107">
        <f t="shared" si="30"/>
        <v>0.91191709844559588</v>
      </c>
      <c r="AC35" s="107">
        <f t="shared" si="30"/>
        <v>0.91191709844559588</v>
      </c>
      <c r="AD35" s="107">
        <f t="shared" si="30"/>
        <v>0.85853658536585364</v>
      </c>
      <c r="AE35" s="107">
        <f t="shared" si="30"/>
        <v>0.73394495412844041</v>
      </c>
      <c r="AF35" s="107">
        <f t="shared" si="30"/>
        <v>0.92056008951584867</v>
      </c>
      <c r="AG35" s="107">
        <f t="shared" si="30"/>
        <v>0.92696240661862617</v>
      </c>
      <c r="AH35" s="107">
        <f t="shared" si="30"/>
        <v>1</v>
      </c>
      <c r="AI35" s="107">
        <f t="shared" si="30"/>
        <v>1</v>
      </c>
      <c r="AJ35" s="107">
        <f t="shared" si="30"/>
        <v>1</v>
      </c>
      <c r="AK35" s="107">
        <f t="shared" si="30"/>
        <v>1</v>
      </c>
      <c r="AL35" s="107">
        <f t="shared" si="30"/>
        <v>1</v>
      </c>
      <c r="AM35" s="107">
        <f t="shared" si="30"/>
        <v>1</v>
      </c>
      <c r="AN35" s="107">
        <f t="shared" si="30"/>
        <v>1</v>
      </c>
      <c r="AO35" s="107">
        <f t="shared" si="30"/>
        <v>1</v>
      </c>
      <c r="AP35" s="107">
        <f t="shared" si="30"/>
        <v>0.8490402261887855</v>
      </c>
      <c r="AQ35" s="107">
        <f t="shared" si="30"/>
        <v>0.89653542580806322</v>
      </c>
      <c r="AR35" s="107">
        <f t="shared" si="30"/>
        <v>0.90144443603795887</v>
      </c>
      <c r="AS35" s="107">
        <f t="shared" si="30"/>
        <v>0.91145149299212458</v>
      </c>
      <c r="AT35" s="107">
        <f t="shared" si="30"/>
        <v>0.98008437841909246</v>
      </c>
      <c r="AU35" s="107">
        <f t="shared" si="30"/>
        <v>0.98769488305581088</v>
      </c>
      <c r="AV35" s="107">
        <f t="shared" si="30"/>
        <v>1</v>
      </c>
      <c r="AW35" s="107">
        <f t="shared" si="30"/>
        <v>0.91228070175438591</v>
      </c>
      <c r="AX35" s="107">
        <f t="shared" si="30"/>
        <v>0.8771929824561403</v>
      </c>
      <c r="AY35" s="107">
        <f t="shared" si="30"/>
        <v>0.87410071942446044</v>
      </c>
      <c r="AZ35" s="107">
        <f t="shared" si="30"/>
        <v>0.8686826998836904</v>
      </c>
      <c r="BA35" s="107">
        <f t="shared" si="30"/>
        <v>0.87110079917504513</v>
      </c>
      <c r="BB35" s="107">
        <f t="shared" si="30"/>
        <v>1</v>
      </c>
      <c r="BC35" s="107">
        <f t="shared" si="30"/>
        <v>1</v>
      </c>
      <c r="BD35" s="107">
        <f t="shared" si="30"/>
        <v>1</v>
      </c>
      <c r="BE35" s="107">
        <f t="shared" si="30"/>
        <v>1</v>
      </c>
      <c r="BF35" s="107">
        <f t="shared" si="30"/>
        <v>0.859375</v>
      </c>
      <c r="BG35" s="107">
        <f t="shared" si="30"/>
        <v>0.8783783783783784</v>
      </c>
      <c r="BH35" s="107">
        <f t="shared" si="30"/>
        <v>0.83333333333333337</v>
      </c>
      <c r="BI35" s="107">
        <f t="shared" si="30"/>
        <v>0.73529411764705888</v>
      </c>
      <c r="BJ35" s="107">
        <f t="shared" si="30"/>
        <v>0.76923076923076927</v>
      </c>
      <c r="BK35" s="107">
        <f t="shared" si="30"/>
        <v>0.76923076923076927</v>
      </c>
      <c r="BL35" s="107">
        <f t="shared" si="30"/>
        <v>0.77742055150241129</v>
      </c>
      <c r="BM35" s="107">
        <f t="shared" si="30"/>
        <v>0.77742055150241129</v>
      </c>
      <c r="BN35" s="107">
        <f t="shared" si="30"/>
        <v>0.77742055150241129</v>
      </c>
      <c r="BO35" s="107">
        <f t="shared" si="30"/>
        <v>0.34399568638635536</v>
      </c>
      <c r="BP35" s="107">
        <f t="shared" si="30"/>
        <v>0.29010669759920488</v>
      </c>
      <c r="BQ35" s="107">
        <f t="shared" si="30"/>
        <v>0.33706814572920779</v>
      </c>
      <c r="BR35" s="107">
        <f t="shared" ref="BR35:CK35" si="31">BR10/BR12</f>
        <v>0.14306927764017324</v>
      </c>
      <c r="BS35" s="107" t="e">
        <f t="shared" si="31"/>
        <v>#DIV/0!</v>
      </c>
      <c r="BT35" s="107" t="e">
        <f t="shared" si="31"/>
        <v>#DIV/0!</v>
      </c>
      <c r="BU35" s="107" t="e">
        <f t="shared" si="31"/>
        <v>#DIV/0!</v>
      </c>
      <c r="BV35" s="107" t="e">
        <f t="shared" si="31"/>
        <v>#DIV/0!</v>
      </c>
      <c r="BW35" s="107" t="e">
        <f t="shared" si="31"/>
        <v>#DIV/0!</v>
      </c>
      <c r="BX35" s="107" t="e">
        <f t="shared" si="31"/>
        <v>#DIV/0!</v>
      </c>
      <c r="BY35" s="107" t="e">
        <f t="shared" si="31"/>
        <v>#DIV/0!</v>
      </c>
      <c r="BZ35" s="107" t="e">
        <f t="shared" si="31"/>
        <v>#DIV/0!</v>
      </c>
      <c r="CA35" s="107" t="e">
        <f t="shared" si="31"/>
        <v>#DIV/0!</v>
      </c>
      <c r="CB35" s="107" t="e">
        <f t="shared" si="31"/>
        <v>#DIV/0!</v>
      </c>
      <c r="CC35" s="107" t="e">
        <f t="shared" si="31"/>
        <v>#DIV/0!</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c r="A36" s="141" t="s">
        <v>559</v>
      </c>
      <c r="E36" s="107" t="e">
        <f>(E11-I11)/I11</f>
        <v>#DIV/0!</v>
      </c>
      <c r="F36" s="107" t="e">
        <f t="shared" ref="F36:BQ36" si="32">(F11-J11)/J11</f>
        <v>#DIV/0!</v>
      </c>
      <c r="G36" s="107" t="e">
        <f t="shared" si="32"/>
        <v>#DIV/0!</v>
      </c>
      <c r="H36" s="107" t="e">
        <f t="shared" si="32"/>
        <v>#DIV/0!</v>
      </c>
      <c r="I36" s="107" t="e">
        <f t="shared" si="32"/>
        <v>#DIV/0!</v>
      </c>
      <c r="J36" s="107" t="e">
        <f t="shared" si="32"/>
        <v>#DIV/0!</v>
      </c>
      <c r="K36" s="107" t="e">
        <f t="shared" si="32"/>
        <v>#DIV/0!</v>
      </c>
      <c r="L36" s="107" t="e">
        <f t="shared" si="32"/>
        <v>#DIV/0!</v>
      </c>
      <c r="M36" s="107" t="e">
        <f t="shared" si="32"/>
        <v>#DIV/0!</v>
      </c>
      <c r="N36" s="107" t="e">
        <f t="shared" si="32"/>
        <v>#DIV/0!</v>
      </c>
      <c r="O36" s="107" t="e">
        <f t="shared" si="32"/>
        <v>#DIV/0!</v>
      </c>
      <c r="P36" s="107" t="e">
        <f t="shared" si="32"/>
        <v>#DIV/0!</v>
      </c>
      <c r="Q36" s="107" t="e">
        <f t="shared" si="32"/>
        <v>#DIV/0!</v>
      </c>
      <c r="R36" s="107" t="e">
        <f t="shared" si="32"/>
        <v>#DIV/0!</v>
      </c>
      <c r="S36" s="107" t="e">
        <f t="shared" si="32"/>
        <v>#DIV/0!</v>
      </c>
      <c r="T36" s="107" t="e">
        <f t="shared" si="32"/>
        <v>#DIV/0!</v>
      </c>
      <c r="U36" s="107" t="e">
        <f t="shared" si="32"/>
        <v>#DIV/0!</v>
      </c>
      <c r="V36" s="107">
        <f t="shared" si="32"/>
        <v>-1</v>
      </c>
      <c r="W36" s="107">
        <f t="shared" si="32"/>
        <v>-1</v>
      </c>
      <c r="X36" s="107">
        <f t="shared" si="32"/>
        <v>-1</v>
      </c>
      <c r="Y36" s="107">
        <f t="shared" si="32"/>
        <v>-1</v>
      </c>
      <c r="Z36" s="107">
        <f t="shared" si="32"/>
        <v>-0.41379310344827586</v>
      </c>
      <c r="AA36" s="107">
        <f t="shared" si="32"/>
        <v>-0.41379310344827586</v>
      </c>
      <c r="AB36" s="107">
        <f t="shared" si="32"/>
        <v>-0.41379310344827586</v>
      </c>
      <c r="AC36" s="107">
        <f t="shared" si="32"/>
        <v>-0.41379310344827586</v>
      </c>
      <c r="AD36" s="107" t="e">
        <f t="shared" si="32"/>
        <v>#DIV/0!</v>
      </c>
      <c r="AE36" s="107" t="e">
        <f t="shared" si="32"/>
        <v>#DIV/0!</v>
      </c>
      <c r="AF36" s="107" t="e">
        <f t="shared" si="32"/>
        <v>#DIV/0!</v>
      </c>
      <c r="AG36" s="107" t="e">
        <f t="shared" si="32"/>
        <v>#DIV/0!</v>
      </c>
      <c r="AH36" s="107" t="e">
        <f t="shared" si="32"/>
        <v>#DIV/0!</v>
      </c>
      <c r="AI36" s="107" t="e">
        <f t="shared" si="32"/>
        <v>#DIV/0!</v>
      </c>
      <c r="AJ36" s="107" t="e">
        <f t="shared" si="32"/>
        <v>#DIV/0!</v>
      </c>
      <c r="AK36" s="107" t="e">
        <f t="shared" si="32"/>
        <v>#DIV/0!</v>
      </c>
      <c r="AL36" s="107">
        <f t="shared" si="32"/>
        <v>-1</v>
      </c>
      <c r="AM36" s="107">
        <f t="shared" si="32"/>
        <v>-1</v>
      </c>
      <c r="AN36" s="107">
        <f t="shared" si="32"/>
        <v>-1</v>
      </c>
      <c r="AO36" s="107">
        <f t="shared" si="32"/>
        <v>-1</v>
      </c>
      <c r="AP36" s="107">
        <f t="shared" si="32"/>
        <v>5.507730352655857</v>
      </c>
      <c r="AQ36" s="107">
        <f t="shared" si="32"/>
        <v>6.4991434457064043</v>
      </c>
      <c r="AR36" s="107" t="e">
        <f t="shared" si="32"/>
        <v>#DIV/0!</v>
      </c>
      <c r="AS36" s="107">
        <f t="shared" si="32"/>
        <v>-0.4948143264</v>
      </c>
      <c r="AT36" s="107">
        <f t="shared" si="32"/>
        <v>-0.90710713942857135</v>
      </c>
      <c r="AU36" s="107">
        <f t="shared" si="32"/>
        <v>-0.94304722628571436</v>
      </c>
      <c r="AV36" s="107">
        <f t="shared" si="32"/>
        <v>-1</v>
      </c>
      <c r="AW36" s="107">
        <f t="shared" si="32"/>
        <v>-0.2857142857142857</v>
      </c>
      <c r="AX36" s="107" t="e">
        <f t="shared" si="32"/>
        <v>#DIV/0!</v>
      </c>
      <c r="AY36" s="107" t="e">
        <f t="shared" si="32"/>
        <v>#DIV/0!</v>
      </c>
      <c r="AZ36" s="107" t="e">
        <f t="shared" si="32"/>
        <v>#DIV/0!</v>
      </c>
      <c r="BA36" s="107" t="e">
        <f t="shared" si="32"/>
        <v>#DIV/0!</v>
      </c>
      <c r="BB36" s="107">
        <f t="shared" si="32"/>
        <v>-1</v>
      </c>
      <c r="BC36" s="107">
        <f t="shared" si="32"/>
        <v>-1</v>
      </c>
      <c r="BD36" s="107">
        <f t="shared" si="32"/>
        <v>-1</v>
      </c>
      <c r="BE36" s="107">
        <f t="shared" si="32"/>
        <v>-1</v>
      </c>
      <c r="BF36" s="107">
        <f t="shared" si="32"/>
        <v>0</v>
      </c>
      <c r="BG36" s="107">
        <f t="shared" si="32"/>
        <v>0</v>
      </c>
      <c r="BH36" s="107">
        <f t="shared" si="32"/>
        <v>0</v>
      </c>
      <c r="BI36" s="107">
        <f t="shared" si="32"/>
        <v>0</v>
      </c>
      <c r="BJ36" s="107">
        <f t="shared" si="32"/>
        <v>0</v>
      </c>
      <c r="BK36" s="107">
        <f t="shared" si="32"/>
        <v>-0.70428782651552491</v>
      </c>
      <c r="BL36" s="107">
        <f t="shared" si="32"/>
        <v>-0.72673447700015181</v>
      </c>
      <c r="BM36" s="107">
        <f t="shared" si="32"/>
        <v>-0.58399490604166027</v>
      </c>
      <c r="BN36" s="107">
        <f t="shared" si="32"/>
        <v>-0.72803632680669683</v>
      </c>
      <c r="BO36" s="107" t="e">
        <f t="shared" si="32"/>
        <v>#DIV/0!</v>
      </c>
      <c r="BP36" s="107" t="e">
        <f t="shared" si="32"/>
        <v>#DIV/0!</v>
      </c>
      <c r="BQ36" s="107" t="e">
        <f t="shared" si="32"/>
        <v>#DIV/0!</v>
      </c>
      <c r="BR36" s="107" t="e">
        <f t="shared" ref="BR36:CK36" si="33">(BR11-BV11)/BV11</f>
        <v>#DIV/0!</v>
      </c>
      <c r="BS36" s="107" t="e">
        <f t="shared" si="33"/>
        <v>#DIV/0!</v>
      </c>
      <c r="BT36" s="107" t="e">
        <f t="shared" si="33"/>
        <v>#DIV/0!</v>
      </c>
      <c r="BU36" s="107" t="e">
        <f t="shared" si="33"/>
        <v>#DIV/0!</v>
      </c>
      <c r="BV36" s="107" t="e">
        <f t="shared" si="33"/>
        <v>#DIV/0!</v>
      </c>
      <c r="BW36" s="107" t="e">
        <f t="shared" si="33"/>
        <v>#DIV/0!</v>
      </c>
      <c r="BX36" s="107" t="e">
        <f t="shared" si="33"/>
        <v>#DIV/0!</v>
      </c>
      <c r="BY36" s="107" t="e">
        <f t="shared" si="33"/>
        <v>#DIV/0!</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c r="A37" s="141" t="s">
        <v>563</v>
      </c>
      <c r="B37" s="107"/>
      <c r="C37" s="107"/>
      <c r="D37" s="107"/>
      <c r="E37" s="107" t="e">
        <f>E11/E12</f>
        <v>#DIV/0!</v>
      </c>
      <c r="F37" s="107" t="e">
        <f t="shared" ref="F37:BQ37" si="34">F11/F12</f>
        <v>#DIV/0!</v>
      </c>
      <c r="G37" s="107" t="e">
        <f t="shared" si="34"/>
        <v>#DIV/0!</v>
      </c>
      <c r="H37" s="107" t="e">
        <f t="shared" si="34"/>
        <v>#DIV/0!</v>
      </c>
      <c r="I37" s="107">
        <f t="shared" si="34"/>
        <v>0</v>
      </c>
      <c r="J37" s="107">
        <f t="shared" si="34"/>
        <v>0</v>
      </c>
      <c r="K37" s="107">
        <f t="shared" si="34"/>
        <v>0</v>
      </c>
      <c r="L37" s="107">
        <f t="shared" si="34"/>
        <v>0</v>
      </c>
      <c r="M37" s="107">
        <f t="shared" si="34"/>
        <v>0</v>
      </c>
      <c r="N37" s="107">
        <f t="shared" si="34"/>
        <v>0</v>
      </c>
      <c r="O37" s="109">
        <f t="shared" si="34"/>
        <v>0</v>
      </c>
      <c r="P37" s="109">
        <f t="shared" si="34"/>
        <v>0</v>
      </c>
      <c r="Q37" s="109">
        <f t="shared" si="34"/>
        <v>0</v>
      </c>
      <c r="R37" s="109">
        <f t="shared" si="34"/>
        <v>0</v>
      </c>
      <c r="S37" s="109">
        <f t="shared" si="34"/>
        <v>0</v>
      </c>
      <c r="T37" s="109">
        <f t="shared" si="34"/>
        <v>0</v>
      </c>
      <c r="U37" s="109">
        <f t="shared" si="34"/>
        <v>0</v>
      </c>
      <c r="V37" s="109">
        <f t="shared" si="34"/>
        <v>0</v>
      </c>
      <c r="W37" s="109">
        <f t="shared" si="34"/>
        <v>0</v>
      </c>
      <c r="X37" s="109">
        <f t="shared" si="34"/>
        <v>0</v>
      </c>
      <c r="Y37" s="109">
        <f t="shared" si="34"/>
        <v>0</v>
      </c>
      <c r="Z37" s="109">
        <f t="shared" si="34"/>
        <v>4.6070460704607047E-2</v>
      </c>
      <c r="AA37" s="109">
        <f t="shared" si="34"/>
        <v>6.2271062271062272E-2</v>
      </c>
      <c r="AB37" s="109">
        <f t="shared" si="34"/>
        <v>8.8082901554404139E-2</v>
      </c>
      <c r="AC37" s="109">
        <f t="shared" si="34"/>
        <v>8.8082901554404139E-2</v>
      </c>
      <c r="AD37" s="109">
        <f t="shared" si="34"/>
        <v>0.14146341463414633</v>
      </c>
      <c r="AE37" s="109">
        <f t="shared" si="34"/>
        <v>0.26605504587155965</v>
      </c>
      <c r="AF37" s="109">
        <f t="shared" si="34"/>
        <v>7.9439910484151291E-2</v>
      </c>
      <c r="AG37" s="109">
        <f t="shared" si="34"/>
        <v>7.3037593381373819E-2</v>
      </c>
      <c r="AH37" s="109">
        <f t="shared" si="34"/>
        <v>0</v>
      </c>
      <c r="AI37" s="109">
        <f t="shared" si="34"/>
        <v>0</v>
      </c>
      <c r="AJ37" s="109">
        <f t="shared" si="34"/>
        <v>0</v>
      </c>
      <c r="AK37" s="109">
        <f t="shared" si="34"/>
        <v>0</v>
      </c>
      <c r="AL37" s="109">
        <f t="shared" si="34"/>
        <v>0</v>
      </c>
      <c r="AM37" s="109">
        <f t="shared" si="34"/>
        <v>0</v>
      </c>
      <c r="AN37" s="109">
        <f t="shared" si="34"/>
        <v>0</v>
      </c>
      <c r="AO37" s="109">
        <f t="shared" si="34"/>
        <v>0</v>
      </c>
      <c r="AP37" s="109">
        <f t="shared" si="34"/>
        <v>0.1509597738112145</v>
      </c>
      <c r="AQ37" s="109">
        <f t="shared" si="34"/>
        <v>0.10346457419193675</v>
      </c>
      <c r="AR37" s="109">
        <f t="shared" si="34"/>
        <v>9.8555563962041126E-2</v>
      </c>
      <c r="AS37" s="109">
        <f t="shared" si="34"/>
        <v>8.8548507007875407E-2</v>
      </c>
      <c r="AT37" s="109">
        <f t="shared" si="34"/>
        <v>1.9915621580907501E-2</v>
      </c>
      <c r="AU37" s="109">
        <f t="shared" si="34"/>
        <v>1.2305116944189013E-2</v>
      </c>
      <c r="AV37" s="109">
        <f t="shared" si="34"/>
        <v>0</v>
      </c>
      <c r="AW37" s="109">
        <f t="shared" si="34"/>
        <v>8.771929824561403E-2</v>
      </c>
      <c r="AX37" s="109">
        <f t="shared" si="34"/>
        <v>0.12280701754385964</v>
      </c>
      <c r="AY37" s="109">
        <f t="shared" si="34"/>
        <v>0.12589928057553956</v>
      </c>
      <c r="AZ37" s="109">
        <f t="shared" si="34"/>
        <v>0.1313173001163096</v>
      </c>
      <c r="BA37" s="109">
        <f t="shared" si="34"/>
        <v>0.12889920082495487</v>
      </c>
      <c r="BB37" s="109">
        <f t="shared" si="34"/>
        <v>0</v>
      </c>
      <c r="BC37" s="109">
        <f t="shared" si="34"/>
        <v>0</v>
      </c>
      <c r="BD37" s="109">
        <f t="shared" si="34"/>
        <v>0</v>
      </c>
      <c r="BE37" s="109">
        <f t="shared" si="34"/>
        <v>0</v>
      </c>
      <c r="BF37" s="109">
        <f t="shared" si="34"/>
        <v>0.140625</v>
      </c>
      <c r="BG37" s="109">
        <f t="shared" si="34"/>
        <v>0.12162162162162163</v>
      </c>
      <c r="BH37" s="109">
        <f t="shared" si="34"/>
        <v>0.16666666666666666</v>
      </c>
      <c r="BI37" s="109">
        <f t="shared" si="34"/>
        <v>0.26470588235294118</v>
      </c>
      <c r="BJ37" s="109">
        <f t="shared" si="34"/>
        <v>0.23076923076923078</v>
      </c>
      <c r="BK37" s="109">
        <f t="shared" si="34"/>
        <v>0.23076923076923078</v>
      </c>
      <c r="BL37" s="109">
        <f t="shared" si="34"/>
        <v>0.22257944849758873</v>
      </c>
      <c r="BM37" s="109">
        <f t="shared" si="34"/>
        <v>0.22257944849758873</v>
      </c>
      <c r="BN37" s="109">
        <f t="shared" si="34"/>
        <v>0.22257944849758873</v>
      </c>
      <c r="BO37" s="109">
        <f t="shared" si="34"/>
        <v>0.65600431361364464</v>
      </c>
      <c r="BP37" s="109">
        <f t="shared" si="34"/>
        <v>0.70989330240079518</v>
      </c>
      <c r="BQ37" s="109">
        <f t="shared" si="34"/>
        <v>0.66293185427079226</v>
      </c>
      <c r="BR37" s="109">
        <f t="shared" ref="BR37:CK37" si="35">BR11/BR12</f>
        <v>0.8569307223598267</v>
      </c>
      <c r="BS37" s="109" t="e">
        <f t="shared" si="35"/>
        <v>#DIV/0!</v>
      </c>
      <c r="BT37" s="109" t="e">
        <f t="shared" si="35"/>
        <v>#DIV/0!</v>
      </c>
      <c r="BU37" s="109" t="e">
        <f t="shared" si="35"/>
        <v>#DIV/0!</v>
      </c>
      <c r="BV37" s="109" t="e">
        <f t="shared" si="35"/>
        <v>#DIV/0!</v>
      </c>
      <c r="BW37" s="109" t="e">
        <f t="shared" si="35"/>
        <v>#DIV/0!</v>
      </c>
      <c r="BX37" s="109" t="e">
        <f t="shared" si="35"/>
        <v>#DIV/0!</v>
      </c>
      <c r="BY37" s="109" t="e">
        <f t="shared" si="35"/>
        <v>#DIV/0!</v>
      </c>
      <c r="BZ37" s="109" t="e">
        <f t="shared" si="35"/>
        <v>#DIV/0!</v>
      </c>
      <c r="CA37" s="109" t="e">
        <f t="shared" si="35"/>
        <v>#DIV/0!</v>
      </c>
      <c r="CB37" s="109" t="e">
        <f t="shared" si="35"/>
        <v>#DIV/0!</v>
      </c>
      <c r="CC37" s="109" t="e">
        <f t="shared" si="35"/>
        <v>#DIV/0!</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7" customFormat="1">
      <c r="A38" s="184" t="s">
        <v>633</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c r="A39" s="220" t="s">
        <v>550</v>
      </c>
      <c r="B39" s="221"/>
      <c r="C39" s="221"/>
      <c r="D39" s="221"/>
      <c r="E39" s="222">
        <f>E2/E9</f>
        <v>0.21902796041024553</v>
      </c>
      <c r="F39" s="222">
        <f t="shared" ref="F39:U39" si="37">F2/F9</f>
        <v>0.1882636614517475</v>
      </c>
      <c r="G39" s="222">
        <f t="shared" si="37"/>
        <v>0.16863151755357658</v>
      </c>
      <c r="H39" s="222">
        <f t="shared" si="37"/>
        <v>0.17669178719876411</v>
      </c>
      <c r="I39" s="222">
        <f t="shared" si="37"/>
        <v>0.36090499634566831</v>
      </c>
      <c r="J39" s="222">
        <f t="shared" si="37"/>
        <v>0.15554151895773324</v>
      </c>
      <c r="K39" s="222">
        <f t="shared" si="37"/>
        <v>0.17889754791717719</v>
      </c>
      <c r="L39" s="222">
        <f t="shared" si="37"/>
        <v>0.16577128468051319</v>
      </c>
      <c r="M39" s="222">
        <f t="shared" si="37"/>
        <v>0.1506497199611479</v>
      </c>
      <c r="N39" s="222">
        <f t="shared" si="37"/>
        <v>0.1471071693327021</v>
      </c>
      <c r="O39" s="222">
        <f t="shared" si="37"/>
        <v>0.13537820981104079</v>
      </c>
      <c r="P39" s="222">
        <f t="shared" si="37"/>
        <v>0.12299529951022783</v>
      </c>
      <c r="Q39" s="222">
        <f t="shared" si="37"/>
        <v>0.11291646912543372</v>
      </c>
      <c r="R39" s="222">
        <f t="shared" si="37"/>
        <v>0.11384064005126533</v>
      </c>
      <c r="S39" s="222">
        <f t="shared" si="37"/>
        <v>0.10117714381945796</v>
      </c>
      <c r="T39" s="222">
        <f t="shared" si="37"/>
        <v>8.7933001804989669E-2</v>
      </c>
      <c r="U39" s="222">
        <f t="shared" si="37"/>
        <v>8.2367470116707808E-2</v>
      </c>
    </row>
    <row r="40" spans="1:89" s="223" customFormat="1">
      <c r="A40" s="220" t="s">
        <v>551</v>
      </c>
      <c r="B40" s="221"/>
      <c r="C40" s="221"/>
      <c r="D40" s="221"/>
      <c r="E40" s="222">
        <f>E3/E9</f>
        <v>0</v>
      </c>
      <c r="F40" s="222">
        <f t="shared" ref="F40:U40" si="38">F3/F9</f>
        <v>0</v>
      </c>
      <c r="G40" s="222">
        <f t="shared" si="38"/>
        <v>0</v>
      </c>
      <c r="H40" s="222">
        <f t="shared" si="38"/>
        <v>0</v>
      </c>
      <c r="I40" s="222">
        <f t="shared" si="38"/>
        <v>0</v>
      </c>
      <c r="J40" s="222">
        <f t="shared" si="38"/>
        <v>0</v>
      </c>
      <c r="K40" s="222">
        <f t="shared" si="38"/>
        <v>0</v>
      </c>
      <c r="L40" s="222">
        <f t="shared" si="38"/>
        <v>0</v>
      </c>
      <c r="M40" s="222">
        <f t="shared" si="38"/>
        <v>0</v>
      </c>
      <c r="N40" s="222">
        <f t="shared" si="38"/>
        <v>0</v>
      </c>
      <c r="O40" s="222">
        <f t="shared" si="38"/>
        <v>0</v>
      </c>
      <c r="P40" s="222">
        <f t="shared" si="38"/>
        <v>0</v>
      </c>
      <c r="Q40" s="222">
        <f t="shared" si="38"/>
        <v>0</v>
      </c>
      <c r="R40" s="222">
        <f t="shared" si="38"/>
        <v>2.2237010425165279E-5</v>
      </c>
      <c r="S40" s="222">
        <f t="shared" si="38"/>
        <v>2.3009809683680525E-5</v>
      </c>
      <c r="T40" s="222">
        <f t="shared" si="38"/>
        <v>2.3630423657945964E-5</v>
      </c>
      <c r="U40" s="222">
        <f t="shared" si="38"/>
        <v>2.3581937337852962E-5</v>
      </c>
    </row>
    <row r="41" spans="1:89">
      <c r="A41" s="182" t="s">
        <v>556</v>
      </c>
      <c r="B41" s="64"/>
      <c r="C41" s="64"/>
      <c r="D41" s="64"/>
      <c r="E41" s="90">
        <f>E4/E9</f>
        <v>0.34227743508323277</v>
      </c>
      <c r="F41" s="90">
        <f t="shared" ref="F41:U41" si="39">F4/F9</f>
        <v>0.36403357950394089</v>
      </c>
      <c r="G41" s="90">
        <f t="shared" si="39"/>
        <v>0.38647115023326511</v>
      </c>
      <c r="H41" s="90">
        <f t="shared" si="39"/>
        <v>0.37223795159402923</v>
      </c>
      <c r="I41" s="90">
        <f t="shared" si="39"/>
        <v>0.18698863857405235</v>
      </c>
      <c r="J41" s="90">
        <f t="shared" si="39"/>
        <v>0.23960718958502131</v>
      </c>
      <c r="K41" s="90">
        <f t="shared" si="39"/>
        <v>0.22418165576736152</v>
      </c>
      <c r="L41" s="90">
        <f t="shared" si="39"/>
        <v>0.25203355719594328</v>
      </c>
      <c r="M41" s="90">
        <f t="shared" si="39"/>
        <v>0.26146675810203995</v>
      </c>
      <c r="N41" s="212">
        <f t="shared" si="39"/>
        <v>0.27806721002164736</v>
      </c>
      <c r="O41" s="212">
        <f t="shared" si="39"/>
        <v>0.31894854454517491</v>
      </c>
      <c r="P41" s="212">
        <f t="shared" si="39"/>
        <v>0.32873791058560009</v>
      </c>
      <c r="Q41" s="212">
        <f t="shared" si="39"/>
        <v>0.32304450182553873</v>
      </c>
      <c r="R41" s="212">
        <f t="shared" si="39"/>
        <v>0.3350385914078674</v>
      </c>
      <c r="S41" s="212">
        <f t="shared" si="39"/>
        <v>0.32957378817156818</v>
      </c>
      <c r="T41" s="212">
        <f t="shared" si="39"/>
        <v>0.32421317658268139</v>
      </c>
      <c r="U41" s="212">
        <f t="shared" si="39"/>
        <v>0.32570791027925888</v>
      </c>
    </row>
    <row r="42" spans="1:89">
      <c r="A42" s="182" t="s">
        <v>334</v>
      </c>
      <c r="B42" s="64"/>
      <c r="C42" s="64"/>
      <c r="D42" s="64"/>
      <c r="E42" s="90">
        <f>E5/E9</f>
        <v>0.6246041701897842</v>
      </c>
      <c r="F42" s="90">
        <f t="shared" ref="F42:U42" si="40">F5/F9</f>
        <v>0.6505128607301226</v>
      </c>
      <c r="G42" s="90">
        <f t="shared" si="40"/>
        <v>0.66737560343693136</v>
      </c>
      <c r="H42" s="90">
        <f t="shared" si="40"/>
        <v>0.65724181335831777</v>
      </c>
      <c r="I42" s="90">
        <f t="shared" si="40"/>
        <v>0.46737138534927858</v>
      </c>
      <c r="J42" s="90">
        <f t="shared" si="40"/>
        <v>0.60445990221057688</v>
      </c>
      <c r="K42" s="90">
        <f t="shared" si="40"/>
        <v>0.58306724708669355</v>
      </c>
      <c r="L42" s="90">
        <f t="shared" si="40"/>
        <v>0.57638222254907623</v>
      </c>
      <c r="M42" s="90">
        <f t="shared" si="40"/>
        <v>0.5885760488150128</v>
      </c>
      <c r="N42" s="212">
        <f t="shared" si="40"/>
        <v>0.58035038189662469</v>
      </c>
      <c r="O42" s="212">
        <f t="shared" si="40"/>
        <v>0.57221856728517195</v>
      </c>
      <c r="P42" s="212">
        <f t="shared" si="40"/>
        <v>0.58289289107158548</v>
      </c>
      <c r="Q42" s="212">
        <f t="shared" si="40"/>
        <v>0.57907564175458137</v>
      </c>
      <c r="R42" s="212">
        <f t="shared" si="40"/>
        <v>0.59994804089025544</v>
      </c>
      <c r="S42" s="212">
        <f t="shared" si="40"/>
        <v>0.605419355580185</v>
      </c>
      <c r="T42" s="212">
        <f t="shared" si="40"/>
        <v>0.60427428020174401</v>
      </c>
      <c r="U42" s="212">
        <f t="shared" si="40"/>
        <v>0.6017090909447208</v>
      </c>
    </row>
    <row r="43" spans="1:89">
      <c r="A43" s="182" t="s">
        <v>335</v>
      </c>
      <c r="B43" s="64"/>
      <c r="C43" s="64"/>
      <c r="D43" s="64"/>
      <c r="E43" s="90">
        <f>E6/E9</f>
        <v>0.28232673510655143</v>
      </c>
      <c r="F43" s="90">
        <f t="shared" ref="F43:U43" si="41">F6/F9</f>
        <v>0.28647928122618166</v>
      </c>
      <c r="G43" s="90">
        <f t="shared" si="41"/>
        <v>0.28090445320366625</v>
      </c>
      <c r="H43" s="90">
        <f t="shared" si="41"/>
        <v>0.28500386176428855</v>
      </c>
      <c r="I43" s="90">
        <f t="shared" si="41"/>
        <v>0.28038274677522618</v>
      </c>
      <c r="J43" s="90">
        <f t="shared" si="41"/>
        <v>0.36485271262555552</v>
      </c>
      <c r="K43" s="90">
        <f t="shared" si="41"/>
        <v>0.35888559131933206</v>
      </c>
      <c r="L43" s="90">
        <f t="shared" si="41"/>
        <v>0.32434866535313289</v>
      </c>
      <c r="M43" s="90">
        <f t="shared" si="41"/>
        <v>0.3271092907129729</v>
      </c>
      <c r="N43" s="212">
        <f t="shared" si="41"/>
        <v>0.30228317187497727</v>
      </c>
      <c r="O43" s="212">
        <f t="shared" si="41"/>
        <v>0.25327002273999699</v>
      </c>
      <c r="P43" s="212">
        <f t="shared" si="41"/>
        <v>0.25415498048598539</v>
      </c>
      <c r="Q43" s="212">
        <f t="shared" si="41"/>
        <v>0.25603113992904258</v>
      </c>
      <c r="R43" s="212">
        <f t="shared" si="41"/>
        <v>0.26490944948238804</v>
      </c>
      <c r="S43" s="212">
        <f t="shared" si="41"/>
        <v>0.27584556740861682</v>
      </c>
      <c r="T43" s="212">
        <f t="shared" si="41"/>
        <v>0.28006110361906267</v>
      </c>
      <c r="U43" s="212">
        <f t="shared" si="41"/>
        <v>0.27600118066546186</v>
      </c>
    </row>
    <row r="44" spans="1:89">
      <c r="A44" s="182" t="s">
        <v>336</v>
      </c>
      <c r="B44" s="64"/>
      <c r="C44" s="64"/>
      <c r="D44" s="64"/>
      <c r="E44" s="90">
        <f>E7/E9</f>
        <v>0.43869460450652176</v>
      </c>
      <c r="F44" s="90">
        <f t="shared" ref="F44:U44" si="42">F7/F9</f>
        <v>0.44770275904431162</v>
      </c>
      <c r="G44" s="90">
        <f t="shared" si="42"/>
        <v>0.4448973322131583</v>
      </c>
      <c r="H44" s="90">
        <f t="shared" si="42"/>
        <v>0.45107026120720667</v>
      </c>
      <c r="I44" s="90">
        <f t="shared" si="42"/>
        <v>0.45210636508027924</v>
      </c>
      <c r="J44" s="90">
        <f t="shared" si="42"/>
        <v>0.60485129145724548</v>
      </c>
      <c r="K44" s="90">
        <f t="shared" si="42"/>
        <v>0.59692079631546124</v>
      </c>
      <c r="L44" s="90">
        <f t="shared" si="42"/>
        <v>0.58219515812354361</v>
      </c>
      <c r="M44" s="90">
        <f t="shared" si="42"/>
        <v>0.58788352193681215</v>
      </c>
      <c r="N44" s="212">
        <f t="shared" si="42"/>
        <v>0.57482562064565046</v>
      </c>
      <c r="O44" s="212">
        <f t="shared" si="42"/>
        <v>0.54567324564378439</v>
      </c>
      <c r="P44" s="212">
        <f t="shared" si="42"/>
        <v>0.5482667899041721</v>
      </c>
      <c r="Q44" s="212">
        <f t="shared" si="42"/>
        <v>0.56403902904902747</v>
      </c>
      <c r="R44" s="212">
        <f t="shared" si="42"/>
        <v>0.55109853153044208</v>
      </c>
      <c r="S44" s="212">
        <f t="shared" si="42"/>
        <v>0.56922605819929017</v>
      </c>
      <c r="T44" s="212">
        <f t="shared" si="42"/>
        <v>0.58783019118867108</v>
      </c>
      <c r="U44" s="212">
        <f t="shared" si="42"/>
        <v>0.59190103766669544</v>
      </c>
    </row>
    <row r="45" spans="1:89" s="223" customFormat="1">
      <c r="A45" s="220" t="s">
        <v>337</v>
      </c>
      <c r="B45" s="221"/>
      <c r="C45" s="221"/>
      <c r="D45" s="221"/>
      <c r="E45" s="222">
        <f>E8/E9</f>
        <v>0.78097203958975447</v>
      </c>
      <c r="F45" s="222">
        <f t="shared" ref="F45:U45" si="43">F8/F9</f>
        <v>0.81173633854825245</v>
      </c>
      <c r="G45" s="222">
        <f t="shared" si="43"/>
        <v>0.83136848244642347</v>
      </c>
      <c r="H45" s="222">
        <f t="shared" si="43"/>
        <v>0.82330821280123589</v>
      </c>
      <c r="I45" s="222">
        <f t="shared" si="43"/>
        <v>0.63909500365433158</v>
      </c>
      <c r="J45" s="222">
        <f t="shared" si="43"/>
        <v>0.84445848104226673</v>
      </c>
      <c r="K45" s="222">
        <f t="shared" si="43"/>
        <v>0.82110245208282284</v>
      </c>
      <c r="L45" s="222">
        <f t="shared" si="43"/>
        <v>0.83422871531948695</v>
      </c>
      <c r="M45" s="222">
        <f t="shared" si="43"/>
        <v>0.84935028003885216</v>
      </c>
      <c r="N45" s="222">
        <f t="shared" si="43"/>
        <v>0.85289283066729782</v>
      </c>
      <c r="O45" s="222">
        <f t="shared" si="43"/>
        <v>0.86462179018895935</v>
      </c>
      <c r="P45" s="222">
        <f t="shared" si="43"/>
        <v>0.87700470048977208</v>
      </c>
      <c r="Q45" s="222">
        <f t="shared" si="43"/>
        <v>0.88708353087456626</v>
      </c>
      <c r="R45" s="222">
        <f t="shared" si="43"/>
        <v>0.88613712293830948</v>
      </c>
      <c r="S45" s="222">
        <f t="shared" si="43"/>
        <v>0.89879984637085841</v>
      </c>
      <c r="T45" s="222">
        <f t="shared" si="43"/>
        <v>0.91204336777135242</v>
      </c>
      <c r="U45" s="222">
        <f t="shared" si="43"/>
        <v>0.91760894794595427</v>
      </c>
    </row>
    <row r="46" spans="1:89">
      <c r="A46" s="183"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c r="A47" s="182" t="s">
        <v>339</v>
      </c>
      <c r="B47" s="64"/>
      <c r="C47" s="64"/>
      <c r="D47" s="64"/>
      <c r="E47" s="90">
        <f>E10/E14</f>
        <v>0</v>
      </c>
      <c r="F47" s="90">
        <f t="shared" ref="F47:U47" si="45">F10/F14</f>
        <v>0</v>
      </c>
      <c r="G47" s="90">
        <f t="shared" si="45"/>
        <v>0</v>
      </c>
      <c r="H47" s="90">
        <f t="shared" si="45"/>
        <v>0</v>
      </c>
      <c r="I47" s="90">
        <f t="shared" si="45"/>
        <v>3.2794795410875656E-4</v>
      </c>
      <c r="J47" s="90">
        <f t="shared" si="45"/>
        <v>1.2041280190878715E-3</v>
      </c>
      <c r="K47" s="90">
        <f t="shared" si="45"/>
        <v>1.3795836724102818E-2</v>
      </c>
      <c r="L47" s="90">
        <f t="shared" si="45"/>
        <v>2.6492799515419434E-2</v>
      </c>
      <c r="M47" s="90">
        <f t="shared" si="45"/>
        <v>1.2498545039294445E-3</v>
      </c>
      <c r="N47" s="212">
        <f t="shared" si="45"/>
        <v>2.2257580896135418E-2</v>
      </c>
      <c r="O47" s="212">
        <f t="shared" si="45"/>
        <v>5.3046365467932524E-2</v>
      </c>
      <c r="P47" s="212">
        <f t="shared" si="45"/>
        <v>6.3782903630413862E-2</v>
      </c>
      <c r="Q47" s="212">
        <f t="shared" si="45"/>
        <v>5.080184755272836E-2</v>
      </c>
      <c r="R47" s="212">
        <f t="shared" si="45"/>
        <v>6.3916199802730486E-2</v>
      </c>
      <c r="S47" s="212">
        <f t="shared" si="45"/>
        <v>3.4701697351790087E-2</v>
      </c>
      <c r="T47" s="212">
        <f t="shared" si="45"/>
        <v>2.6005081690819998E-2</v>
      </c>
      <c r="U47" s="212">
        <f t="shared" si="45"/>
        <v>4.0445889046243702E-2</v>
      </c>
    </row>
    <row r="48" spans="1:89">
      <c r="A48" s="182" t="s">
        <v>340</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c r="A49" s="182" t="s">
        <v>341</v>
      </c>
      <c r="B49" s="64"/>
      <c r="C49" s="64"/>
      <c r="D49" s="64"/>
      <c r="E49" s="90">
        <f>E12/E14</f>
        <v>0</v>
      </c>
      <c r="F49" s="90">
        <f t="shared" ref="F49:U49" si="47">F12/F14</f>
        <v>0</v>
      </c>
      <c r="G49" s="90">
        <f t="shared" si="47"/>
        <v>0</v>
      </c>
      <c r="H49" s="90">
        <f t="shared" si="47"/>
        <v>0</v>
      </c>
      <c r="I49" s="90">
        <f t="shared" si="47"/>
        <v>3.2794795410875656E-4</v>
      </c>
      <c r="J49" s="90">
        <f t="shared" si="47"/>
        <v>1.2041280190878715E-3</v>
      </c>
      <c r="K49" s="90">
        <f t="shared" si="47"/>
        <v>1.3795836724102818E-2</v>
      </c>
      <c r="L49" s="90">
        <f t="shared" si="47"/>
        <v>2.6492799515419434E-2</v>
      </c>
      <c r="M49" s="90">
        <f t="shared" si="47"/>
        <v>1.2498545039294445E-3</v>
      </c>
      <c r="N49" s="212">
        <f t="shared" si="47"/>
        <v>2.2257580896135418E-2</v>
      </c>
      <c r="O49" s="212">
        <f t="shared" si="47"/>
        <v>5.3046365467932524E-2</v>
      </c>
      <c r="P49" s="212">
        <f t="shared" si="47"/>
        <v>6.3782903630413862E-2</v>
      </c>
      <c r="Q49" s="212">
        <f t="shared" si="47"/>
        <v>5.080184755272836E-2</v>
      </c>
      <c r="R49" s="212">
        <f t="shared" si="47"/>
        <v>6.3916199802730486E-2</v>
      </c>
      <c r="S49" s="212">
        <f t="shared" si="47"/>
        <v>3.4701697351790087E-2</v>
      </c>
      <c r="T49" s="212">
        <f t="shared" si="47"/>
        <v>2.6005081690819998E-2</v>
      </c>
      <c r="U49" s="212">
        <f t="shared" si="47"/>
        <v>4.0445889046243702E-2</v>
      </c>
    </row>
    <row r="50" spans="1:21">
      <c r="A50" s="182" t="s">
        <v>345</v>
      </c>
      <c r="B50" s="64"/>
      <c r="C50" s="64"/>
      <c r="D50" s="64"/>
      <c r="E50" s="90">
        <f>E13/E14</f>
        <v>1</v>
      </c>
      <c r="F50" s="90">
        <f t="shared" ref="F50:U50" si="48">F13/F14</f>
        <v>1</v>
      </c>
      <c r="G50" s="90">
        <f t="shared" si="48"/>
        <v>1</v>
      </c>
      <c r="H50" s="90">
        <f t="shared" si="48"/>
        <v>1</v>
      </c>
      <c r="I50" s="90">
        <f t="shared" si="48"/>
        <v>0.99967205204589127</v>
      </c>
      <c r="J50" s="90">
        <f t="shared" si="48"/>
        <v>0.99879587198091213</v>
      </c>
      <c r="K50" s="90">
        <f t="shared" si="48"/>
        <v>0.98620416327589722</v>
      </c>
      <c r="L50" s="90">
        <f t="shared" si="48"/>
        <v>0.97350720048458061</v>
      </c>
      <c r="M50" s="90">
        <f t="shared" si="48"/>
        <v>0.99875014549607055</v>
      </c>
      <c r="N50" s="212">
        <f t="shared" si="48"/>
        <v>0.97774241910386461</v>
      </c>
      <c r="O50" s="212">
        <f t="shared" si="48"/>
        <v>0.94695363453206749</v>
      </c>
      <c r="P50" s="212">
        <f t="shared" si="48"/>
        <v>0.93621709636958617</v>
      </c>
      <c r="Q50" s="212">
        <f t="shared" si="48"/>
        <v>0.94919815244727168</v>
      </c>
      <c r="R50" s="212">
        <f t="shared" si="48"/>
        <v>0.93608380019726956</v>
      </c>
      <c r="S50" s="212">
        <f t="shared" si="48"/>
        <v>0.96529830264820993</v>
      </c>
      <c r="T50" s="212">
        <f t="shared" si="48"/>
        <v>0.97399491830918006</v>
      </c>
      <c r="U50" s="212">
        <f t="shared" si="48"/>
        <v>0.95955411095375631</v>
      </c>
    </row>
    <row r="51" spans="1:21">
      <c r="A51" s="183"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c r="A54" s="227" t="s">
        <v>639</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c r="A55" s="182" t="s">
        <v>643</v>
      </c>
      <c r="B55" s="64"/>
      <c r="C55" s="64"/>
      <c r="D55" s="64"/>
      <c r="E55" s="212">
        <f>E2/E9</f>
        <v>0.21902796041024553</v>
      </c>
      <c r="F55" s="212">
        <f t="shared" ref="F55:U55" si="51">F2/F9</f>
        <v>0.1882636614517475</v>
      </c>
      <c r="G55" s="212">
        <f t="shared" si="51"/>
        <v>0.16863151755357658</v>
      </c>
      <c r="H55" s="212">
        <f t="shared" si="51"/>
        <v>0.17669178719876411</v>
      </c>
      <c r="I55" s="212">
        <f t="shared" si="51"/>
        <v>0.36090499634566831</v>
      </c>
      <c r="J55" s="212">
        <f t="shared" si="51"/>
        <v>0.15554151895773324</v>
      </c>
      <c r="K55" s="212">
        <f t="shared" si="51"/>
        <v>0.17889754791717719</v>
      </c>
      <c r="L55" s="212">
        <f t="shared" si="51"/>
        <v>0.16577128468051319</v>
      </c>
      <c r="M55" s="212">
        <f t="shared" si="51"/>
        <v>0.1506497199611479</v>
      </c>
      <c r="N55" s="212">
        <f t="shared" si="51"/>
        <v>0.1471071693327021</v>
      </c>
      <c r="O55" s="212">
        <f t="shared" si="51"/>
        <v>0.13537820981104079</v>
      </c>
      <c r="P55" s="212">
        <f t="shared" si="51"/>
        <v>0.12299529951022783</v>
      </c>
      <c r="Q55" s="212">
        <f t="shared" si="51"/>
        <v>0.11291646912543372</v>
      </c>
      <c r="R55" s="212">
        <f t="shared" si="51"/>
        <v>0.11384064005126533</v>
      </c>
      <c r="S55" s="212">
        <f t="shared" si="51"/>
        <v>0.10117714381945796</v>
      </c>
      <c r="T55" s="212">
        <f t="shared" si="51"/>
        <v>8.7933001804989669E-2</v>
      </c>
      <c r="U55" s="212">
        <f t="shared" si="51"/>
        <v>8.2367470116707808E-2</v>
      </c>
    </row>
    <row r="56" spans="1:21">
      <c r="A56" s="182" t="s">
        <v>644</v>
      </c>
      <c r="B56" s="64"/>
      <c r="C56" s="64"/>
      <c r="D56" s="64"/>
      <c r="E56" s="212">
        <f>E4/E9</f>
        <v>0.34227743508323277</v>
      </c>
      <c r="F56" s="212">
        <f t="shared" ref="F56:U56" si="52">F4/F9</f>
        <v>0.36403357950394089</v>
      </c>
      <c r="G56" s="212">
        <f t="shared" si="52"/>
        <v>0.38647115023326511</v>
      </c>
      <c r="H56" s="212">
        <f t="shared" si="52"/>
        <v>0.37223795159402923</v>
      </c>
      <c r="I56" s="212">
        <f t="shared" si="52"/>
        <v>0.18698863857405235</v>
      </c>
      <c r="J56" s="212">
        <f t="shared" si="52"/>
        <v>0.23960718958502131</v>
      </c>
      <c r="K56" s="212">
        <f t="shared" si="52"/>
        <v>0.22418165576736152</v>
      </c>
      <c r="L56" s="212">
        <f t="shared" si="52"/>
        <v>0.25203355719594328</v>
      </c>
      <c r="M56" s="212">
        <f t="shared" si="52"/>
        <v>0.26146675810203995</v>
      </c>
      <c r="N56" s="212">
        <f t="shared" si="52"/>
        <v>0.27806721002164736</v>
      </c>
      <c r="O56" s="212">
        <f t="shared" si="52"/>
        <v>0.31894854454517491</v>
      </c>
      <c r="P56" s="212">
        <f t="shared" si="52"/>
        <v>0.32873791058560009</v>
      </c>
      <c r="Q56" s="212">
        <f t="shared" si="52"/>
        <v>0.32304450182553873</v>
      </c>
      <c r="R56" s="212">
        <f t="shared" si="52"/>
        <v>0.3350385914078674</v>
      </c>
      <c r="S56" s="212">
        <f t="shared" si="52"/>
        <v>0.32957378817156818</v>
      </c>
      <c r="T56" s="212">
        <f t="shared" si="52"/>
        <v>0.32421317658268139</v>
      </c>
      <c r="U56" s="212">
        <f t="shared" si="52"/>
        <v>0.32570791027925888</v>
      </c>
    </row>
    <row r="57" spans="1:21">
      <c r="A57" s="182" t="s">
        <v>645</v>
      </c>
      <c r="B57" s="64"/>
      <c r="C57" s="64"/>
      <c r="D57" s="64"/>
      <c r="E57" s="212">
        <f>E5/E9</f>
        <v>0.6246041701897842</v>
      </c>
      <c r="F57" s="212">
        <f t="shared" ref="F57:U57" si="53">F5/F9</f>
        <v>0.6505128607301226</v>
      </c>
      <c r="G57" s="212">
        <f t="shared" si="53"/>
        <v>0.66737560343693136</v>
      </c>
      <c r="H57" s="212">
        <f t="shared" si="53"/>
        <v>0.65724181335831777</v>
      </c>
      <c r="I57" s="212">
        <f t="shared" si="53"/>
        <v>0.46737138534927858</v>
      </c>
      <c r="J57" s="212">
        <f t="shared" si="53"/>
        <v>0.60445990221057688</v>
      </c>
      <c r="K57" s="212">
        <f t="shared" si="53"/>
        <v>0.58306724708669355</v>
      </c>
      <c r="L57" s="212">
        <f t="shared" si="53"/>
        <v>0.57638222254907623</v>
      </c>
      <c r="M57" s="212">
        <f t="shared" si="53"/>
        <v>0.5885760488150128</v>
      </c>
      <c r="N57" s="212">
        <f t="shared" si="53"/>
        <v>0.58035038189662469</v>
      </c>
      <c r="O57" s="212">
        <f t="shared" si="53"/>
        <v>0.57221856728517195</v>
      </c>
      <c r="P57" s="212">
        <f t="shared" si="53"/>
        <v>0.58289289107158548</v>
      </c>
      <c r="Q57" s="212">
        <f t="shared" si="53"/>
        <v>0.57907564175458137</v>
      </c>
      <c r="R57" s="212">
        <f t="shared" si="53"/>
        <v>0.59994804089025544</v>
      </c>
      <c r="S57" s="212">
        <f t="shared" si="53"/>
        <v>0.605419355580185</v>
      </c>
      <c r="T57" s="212">
        <f t="shared" si="53"/>
        <v>0.60427428020174401</v>
      </c>
      <c r="U57" s="212">
        <f t="shared" si="53"/>
        <v>0.6017090909447208</v>
      </c>
    </row>
    <row r="58" spans="1:21">
      <c r="A58" s="182" t="s">
        <v>646</v>
      </c>
      <c r="B58" s="64"/>
      <c r="C58" s="64"/>
      <c r="D58" s="64"/>
      <c r="E58" s="212">
        <f>E6/E9</f>
        <v>0.28232673510655143</v>
      </c>
      <c r="F58" s="212">
        <f t="shared" ref="F58:U58" si="54">F6/F9</f>
        <v>0.28647928122618166</v>
      </c>
      <c r="G58" s="212">
        <f t="shared" si="54"/>
        <v>0.28090445320366625</v>
      </c>
      <c r="H58" s="212">
        <f t="shared" si="54"/>
        <v>0.28500386176428855</v>
      </c>
      <c r="I58" s="212">
        <f t="shared" si="54"/>
        <v>0.28038274677522618</v>
      </c>
      <c r="J58" s="212">
        <f t="shared" si="54"/>
        <v>0.36485271262555552</v>
      </c>
      <c r="K58" s="212">
        <f t="shared" si="54"/>
        <v>0.35888559131933206</v>
      </c>
      <c r="L58" s="212">
        <f t="shared" si="54"/>
        <v>0.32434866535313289</v>
      </c>
      <c r="M58" s="212">
        <f t="shared" si="54"/>
        <v>0.3271092907129729</v>
      </c>
      <c r="N58" s="212">
        <f t="shared" si="54"/>
        <v>0.30228317187497727</v>
      </c>
      <c r="O58" s="212">
        <f t="shared" si="54"/>
        <v>0.25327002273999699</v>
      </c>
      <c r="P58" s="212">
        <f t="shared" si="54"/>
        <v>0.25415498048598539</v>
      </c>
      <c r="Q58" s="212">
        <f t="shared" si="54"/>
        <v>0.25603113992904258</v>
      </c>
      <c r="R58" s="212">
        <f t="shared" si="54"/>
        <v>0.26490944948238804</v>
      </c>
      <c r="S58" s="212">
        <f t="shared" si="54"/>
        <v>0.27584556740861682</v>
      </c>
      <c r="T58" s="212">
        <f t="shared" si="54"/>
        <v>0.28006110361906267</v>
      </c>
      <c r="U58" s="212">
        <f t="shared" si="54"/>
        <v>0.27600118066546186</v>
      </c>
    </row>
    <row r="59" spans="1:21" s="223" customFormat="1">
      <c r="A59" s="225" t="s">
        <v>640</v>
      </c>
      <c r="B59" s="221"/>
      <c r="C59" s="221"/>
      <c r="D59" s="221"/>
      <c r="E59" s="222">
        <f>E55+E56</f>
        <v>0.56130539549347835</v>
      </c>
      <c r="F59" s="222">
        <f t="shared" ref="F59:U59" si="55">F55+F56</f>
        <v>0.55229724095568833</v>
      </c>
      <c r="G59" s="222">
        <f t="shared" si="55"/>
        <v>0.5551026677868417</v>
      </c>
      <c r="H59" s="222">
        <f t="shared" si="55"/>
        <v>0.54892973879279339</v>
      </c>
      <c r="I59" s="222">
        <f t="shared" si="55"/>
        <v>0.54789363491972065</v>
      </c>
      <c r="J59" s="222">
        <f t="shared" si="55"/>
        <v>0.39514870854275452</v>
      </c>
      <c r="K59" s="222">
        <f t="shared" si="55"/>
        <v>0.4030792036845387</v>
      </c>
      <c r="L59" s="222">
        <f t="shared" si="55"/>
        <v>0.4178048418764565</v>
      </c>
      <c r="M59" s="222">
        <f t="shared" si="55"/>
        <v>0.41211647806318785</v>
      </c>
      <c r="N59" s="222">
        <f t="shared" si="55"/>
        <v>0.42517437935434943</v>
      </c>
      <c r="O59" s="222">
        <f t="shared" si="55"/>
        <v>0.45432675435621572</v>
      </c>
      <c r="P59" s="222">
        <f t="shared" si="55"/>
        <v>0.4517332100958279</v>
      </c>
      <c r="Q59" s="222">
        <f t="shared" si="55"/>
        <v>0.43596097095097247</v>
      </c>
      <c r="R59" s="222">
        <f t="shared" si="55"/>
        <v>0.44887923145913272</v>
      </c>
      <c r="S59" s="222">
        <f t="shared" si="55"/>
        <v>0.43075093199102615</v>
      </c>
      <c r="T59" s="222">
        <f t="shared" si="55"/>
        <v>0.41214617838767109</v>
      </c>
      <c r="U59" s="222">
        <f t="shared" si="55"/>
        <v>0.40807538039596669</v>
      </c>
    </row>
    <row r="60" spans="1:21">
      <c r="A60" s="182" t="s">
        <v>647</v>
      </c>
      <c r="B60" s="64"/>
      <c r="C60" s="64"/>
      <c r="D60" s="64"/>
      <c r="E60" s="212">
        <f>E3/E9</f>
        <v>0</v>
      </c>
      <c r="F60" s="212">
        <f t="shared" ref="F60:U60" si="56">F3/F9</f>
        <v>0</v>
      </c>
      <c r="G60" s="212">
        <f t="shared" si="56"/>
        <v>0</v>
      </c>
      <c r="H60" s="212">
        <f t="shared" si="56"/>
        <v>0</v>
      </c>
      <c r="I60" s="212">
        <f t="shared" si="56"/>
        <v>0</v>
      </c>
      <c r="J60" s="212">
        <f t="shared" si="56"/>
        <v>0</v>
      </c>
      <c r="K60" s="212">
        <f t="shared" si="56"/>
        <v>0</v>
      </c>
      <c r="L60" s="212">
        <f t="shared" si="56"/>
        <v>0</v>
      </c>
      <c r="M60" s="212">
        <f t="shared" si="56"/>
        <v>0</v>
      </c>
      <c r="N60" s="212">
        <f t="shared" si="56"/>
        <v>0</v>
      </c>
      <c r="O60" s="212">
        <f t="shared" si="56"/>
        <v>0</v>
      </c>
      <c r="P60" s="212">
        <f t="shared" si="56"/>
        <v>0</v>
      </c>
      <c r="Q60" s="212">
        <f t="shared" si="56"/>
        <v>0</v>
      </c>
      <c r="R60" s="212">
        <f t="shared" si="56"/>
        <v>2.2237010425165279E-5</v>
      </c>
      <c r="S60" s="212">
        <f t="shared" si="56"/>
        <v>2.3009809683680525E-5</v>
      </c>
      <c r="T60" s="212">
        <f t="shared" si="56"/>
        <v>2.3630423657945964E-5</v>
      </c>
      <c r="U60" s="212">
        <f t="shared" si="56"/>
        <v>2.3581937337852962E-5</v>
      </c>
    </row>
    <row r="61" spans="1:21">
      <c r="A61" s="182" t="s">
        <v>648</v>
      </c>
      <c r="B61" s="64"/>
      <c r="C61" s="64"/>
      <c r="D61" s="64"/>
      <c r="E61" s="212">
        <f>E7/E9</f>
        <v>0.43869460450652176</v>
      </c>
      <c r="F61" s="212">
        <f t="shared" ref="F61:U61" si="57">F7/F9</f>
        <v>0.44770275904431162</v>
      </c>
      <c r="G61" s="212">
        <f t="shared" si="57"/>
        <v>0.4448973322131583</v>
      </c>
      <c r="H61" s="212">
        <f t="shared" si="57"/>
        <v>0.45107026120720667</v>
      </c>
      <c r="I61" s="212">
        <f t="shared" si="57"/>
        <v>0.45210636508027924</v>
      </c>
      <c r="J61" s="212">
        <f t="shared" si="57"/>
        <v>0.60485129145724548</v>
      </c>
      <c r="K61" s="212">
        <f t="shared" si="57"/>
        <v>0.59692079631546124</v>
      </c>
      <c r="L61" s="212">
        <f t="shared" si="57"/>
        <v>0.58219515812354361</v>
      </c>
      <c r="M61" s="212">
        <f t="shared" si="57"/>
        <v>0.58788352193681215</v>
      </c>
      <c r="N61" s="212">
        <f t="shared" si="57"/>
        <v>0.57482562064565046</v>
      </c>
      <c r="O61" s="212">
        <f t="shared" si="57"/>
        <v>0.54567324564378439</v>
      </c>
      <c r="P61" s="212">
        <f t="shared" si="57"/>
        <v>0.5482667899041721</v>
      </c>
      <c r="Q61" s="212">
        <f t="shared" si="57"/>
        <v>0.56403902904902747</v>
      </c>
      <c r="R61" s="212">
        <f t="shared" si="57"/>
        <v>0.55109853153044208</v>
      </c>
      <c r="S61" s="212">
        <f t="shared" si="57"/>
        <v>0.56922605819929017</v>
      </c>
      <c r="T61" s="212">
        <f t="shared" si="57"/>
        <v>0.58783019118867108</v>
      </c>
      <c r="U61" s="212">
        <f t="shared" si="57"/>
        <v>0.59190103766669544</v>
      </c>
    </row>
    <row r="62" spans="1:21" s="223" customFormat="1">
      <c r="A62" s="225" t="s">
        <v>641</v>
      </c>
      <c r="B62" s="221"/>
      <c r="C62" s="221"/>
      <c r="D62" s="221"/>
      <c r="E62" s="222">
        <f>E60+E61</f>
        <v>0.43869460450652176</v>
      </c>
      <c r="F62" s="222">
        <f t="shared" ref="F62:M62" si="58">F60+F61</f>
        <v>0.44770275904431162</v>
      </c>
      <c r="G62" s="222">
        <f t="shared" si="58"/>
        <v>0.4448973322131583</v>
      </c>
      <c r="H62" s="222">
        <f t="shared" si="58"/>
        <v>0.45107026120720667</v>
      </c>
      <c r="I62" s="222">
        <f t="shared" si="58"/>
        <v>0.45210636508027924</v>
      </c>
      <c r="J62" s="222">
        <f t="shared" si="58"/>
        <v>0.60485129145724548</v>
      </c>
      <c r="K62" s="222">
        <f t="shared" si="58"/>
        <v>0.59692079631546124</v>
      </c>
      <c r="L62" s="222">
        <f t="shared" si="58"/>
        <v>0.58219515812354361</v>
      </c>
      <c r="M62" s="222">
        <f t="shared" si="58"/>
        <v>0.58788352193681215</v>
      </c>
      <c r="N62" s="222">
        <f t="shared" ref="N62" si="59">N60+N61</f>
        <v>0.57482562064565046</v>
      </c>
      <c r="O62" s="222">
        <f t="shared" ref="O62" si="60">O60+O61</f>
        <v>0.54567324564378439</v>
      </c>
      <c r="P62" s="222">
        <f t="shared" ref="P62" si="61">P60+P61</f>
        <v>0.5482667899041721</v>
      </c>
      <c r="Q62" s="222">
        <f t="shared" ref="Q62" si="62">Q60+Q61</f>
        <v>0.56403902904902747</v>
      </c>
      <c r="R62" s="222">
        <f t="shared" ref="R62" si="63">R60+R61</f>
        <v>0.55112076854086722</v>
      </c>
      <c r="S62" s="222">
        <f t="shared" ref="S62" si="64">S60+S61</f>
        <v>0.5692490680089739</v>
      </c>
      <c r="T62" s="222">
        <f t="shared" ref="T62" si="65">T60+T61</f>
        <v>0.58785382161232902</v>
      </c>
      <c r="U62" s="222">
        <f t="shared" ref="U62" si="66">U60+U61</f>
        <v>0.59192461960403331</v>
      </c>
    </row>
    <row r="63" spans="1:21">
      <c r="A63" s="224" t="s">
        <v>642</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c r="A64" s="279" t="s">
        <v>698</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c r="A66" s="230" t="s">
        <v>649</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c r="A67" s="17" t="s">
        <v>650</v>
      </c>
      <c r="E67" s="191">
        <f>E10</f>
        <v>0</v>
      </c>
      <c r="F67" s="191">
        <f t="shared" ref="F67:U67" si="68">F10</f>
        <v>0</v>
      </c>
      <c r="G67" s="191">
        <f t="shared" si="68"/>
        <v>0</v>
      </c>
      <c r="H67" s="191">
        <f t="shared" si="68"/>
        <v>0</v>
      </c>
      <c r="I67" s="191">
        <f t="shared" si="68"/>
        <v>1000000</v>
      </c>
      <c r="J67" s="191">
        <f t="shared" si="68"/>
        <v>2800000</v>
      </c>
      <c r="K67" s="191">
        <f t="shared" si="68"/>
        <v>32379520</v>
      </c>
      <c r="L67" s="191">
        <f t="shared" si="68"/>
        <v>62861600</v>
      </c>
      <c r="M67" s="191">
        <f t="shared" si="68"/>
        <v>2800000</v>
      </c>
      <c r="N67" s="191">
        <f t="shared" si="68"/>
        <v>50254270</v>
      </c>
      <c r="O67" s="191">
        <f t="shared" si="68"/>
        <v>123135460</v>
      </c>
      <c r="P67" s="191">
        <f t="shared" si="68"/>
        <v>147243001.44</v>
      </c>
      <c r="Q67" s="191">
        <f t="shared" si="68"/>
        <v>113985036.05</v>
      </c>
      <c r="R67" s="191">
        <f t="shared" si="68"/>
        <v>143715811.12</v>
      </c>
      <c r="S67" s="191">
        <f t="shared" si="68"/>
        <v>75406311.109999999</v>
      </c>
      <c r="T67" s="191">
        <f t="shared" si="68"/>
        <v>55024577.780000001</v>
      </c>
      <c r="U67" s="191">
        <f t="shared" si="68"/>
        <v>85756077.769999996</v>
      </c>
    </row>
    <row r="68" spans="1:21">
      <c r="A68" s="17" t="s">
        <v>651</v>
      </c>
      <c r="E68" s="191">
        <f>E11</f>
        <v>0</v>
      </c>
      <c r="F68" s="191">
        <f t="shared" ref="F68:U68" si="69">F11</f>
        <v>0</v>
      </c>
      <c r="G68" s="191">
        <f t="shared" si="69"/>
        <v>0</v>
      </c>
      <c r="H68" s="191">
        <f t="shared" si="69"/>
        <v>0</v>
      </c>
      <c r="I68" s="191">
        <f t="shared" si="69"/>
        <v>0</v>
      </c>
      <c r="J68" s="191">
        <f t="shared" si="69"/>
        <v>0</v>
      </c>
      <c r="K68" s="191">
        <f t="shared" si="69"/>
        <v>0</v>
      </c>
      <c r="L68" s="191">
        <f t="shared" si="69"/>
        <v>0</v>
      </c>
      <c r="M68" s="191">
        <f t="shared" si="69"/>
        <v>0</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c r="A69" s="17" t="s">
        <v>652</v>
      </c>
      <c r="E69" s="191">
        <f>E12</f>
        <v>0</v>
      </c>
      <c r="F69" s="191">
        <f t="shared" ref="F69:U69" si="70">F12</f>
        <v>0</v>
      </c>
      <c r="G69" s="191">
        <f t="shared" si="70"/>
        <v>0</v>
      </c>
      <c r="H69" s="191">
        <f t="shared" si="70"/>
        <v>0</v>
      </c>
      <c r="I69" s="191">
        <f t="shared" si="70"/>
        <v>1000000</v>
      </c>
      <c r="J69" s="191">
        <f t="shared" si="70"/>
        <v>2800000</v>
      </c>
      <c r="K69" s="191">
        <f t="shared" si="70"/>
        <v>32379520</v>
      </c>
      <c r="L69" s="191">
        <f t="shared" si="70"/>
        <v>62861600</v>
      </c>
      <c r="M69" s="191">
        <f t="shared" si="70"/>
        <v>2800000</v>
      </c>
      <c r="N69" s="191">
        <f t="shared" si="70"/>
        <v>50254270</v>
      </c>
      <c r="O69" s="191">
        <f t="shared" si="70"/>
        <v>123135460</v>
      </c>
      <c r="P69" s="191">
        <f t="shared" si="70"/>
        <v>147243001.44</v>
      </c>
      <c r="Q69" s="191">
        <f t="shared" si="70"/>
        <v>113985036.05</v>
      </c>
      <c r="R69" s="191">
        <f t="shared" si="70"/>
        <v>143715811.12</v>
      </c>
      <c r="S69" s="191">
        <f t="shared" si="70"/>
        <v>75406311.109999999</v>
      </c>
      <c r="T69" s="191">
        <f t="shared" si="70"/>
        <v>55024577.780000001</v>
      </c>
      <c r="U69" s="191">
        <f t="shared" si="70"/>
        <v>85756077.769999996</v>
      </c>
    </row>
    <row r="70" spans="1:21" s="232" customFormat="1">
      <c r="A70" s="232" t="s">
        <v>655</v>
      </c>
      <c r="E70" s="232">
        <f>E69/E74</f>
        <v>0</v>
      </c>
      <c r="F70" s="232">
        <f t="shared" ref="F70:U70" si="71">F69/F74</f>
        <v>0</v>
      </c>
      <c r="G70" s="232">
        <f t="shared" si="71"/>
        <v>0</v>
      </c>
      <c r="H70" s="232">
        <f t="shared" si="71"/>
        <v>0</v>
      </c>
      <c r="I70" s="232">
        <f t="shared" si="71"/>
        <v>3.2794795410875656E-4</v>
      </c>
      <c r="J70" s="232">
        <f t="shared" si="71"/>
        <v>1.2041280190878715E-3</v>
      </c>
      <c r="K70" s="232">
        <f t="shared" si="71"/>
        <v>1.3795836724102818E-2</v>
      </c>
      <c r="L70" s="232">
        <f t="shared" si="71"/>
        <v>2.6492799515419434E-2</v>
      </c>
      <c r="M70" s="232">
        <f t="shared" si="71"/>
        <v>1.2498545039294445E-3</v>
      </c>
      <c r="N70" s="232">
        <f t="shared" si="71"/>
        <v>2.2257580896135418E-2</v>
      </c>
      <c r="O70" s="232">
        <f t="shared" si="71"/>
        <v>5.3046365467932524E-2</v>
      </c>
      <c r="P70" s="232">
        <f t="shared" si="71"/>
        <v>6.3782903630413862E-2</v>
      </c>
      <c r="Q70" s="232">
        <f t="shared" si="71"/>
        <v>5.080184755272836E-2</v>
      </c>
      <c r="R70" s="232">
        <f t="shared" si="71"/>
        <v>6.3916199802730486E-2</v>
      </c>
      <c r="S70" s="232">
        <f t="shared" si="71"/>
        <v>3.4701697351790087E-2</v>
      </c>
      <c r="T70" s="232">
        <f t="shared" si="71"/>
        <v>2.6005081690819998E-2</v>
      </c>
      <c r="U70" s="232">
        <f t="shared" si="71"/>
        <v>4.0445889046243702E-2</v>
      </c>
    </row>
    <row r="71" spans="1:21">
      <c r="A71" s="17" t="s">
        <v>653</v>
      </c>
      <c r="E71" s="191">
        <f>E13</f>
        <v>3259824425.6699996</v>
      </c>
      <c r="F71" s="191">
        <f t="shared" ref="F71:U71" si="72">F13</f>
        <v>3195633782.6999998</v>
      </c>
      <c r="G71" s="191">
        <f t="shared" si="72"/>
        <v>3178555226.9000006</v>
      </c>
      <c r="H71" s="191">
        <f t="shared" si="72"/>
        <v>3114439165.9300003</v>
      </c>
      <c r="I71" s="191">
        <f t="shared" si="72"/>
        <v>3048264334.3900003</v>
      </c>
      <c r="J71" s="191">
        <f t="shared" si="72"/>
        <v>2322534146.8800001</v>
      </c>
      <c r="K71" s="191">
        <f t="shared" si="72"/>
        <v>2314670582.6900005</v>
      </c>
      <c r="L71" s="191">
        <f t="shared" si="72"/>
        <v>2309918972.4499998</v>
      </c>
      <c r="M71" s="191">
        <f t="shared" si="72"/>
        <v>2237460759.3099995</v>
      </c>
      <c r="N71" s="191">
        <f t="shared" si="72"/>
        <v>2207595324.46</v>
      </c>
      <c r="O71" s="191">
        <f t="shared" si="72"/>
        <v>2198144403.6399999</v>
      </c>
      <c r="P71" s="191">
        <f t="shared" si="72"/>
        <v>2161259638.9099998</v>
      </c>
      <c r="Q71" s="191">
        <f t="shared" si="72"/>
        <v>2129733284.0699999</v>
      </c>
      <c r="R71" s="191">
        <f t="shared" si="72"/>
        <v>2104787879.0799999</v>
      </c>
      <c r="S71" s="191">
        <f t="shared" si="72"/>
        <v>2097579936.3799999</v>
      </c>
      <c r="T71" s="191">
        <f t="shared" si="72"/>
        <v>2060891781.73</v>
      </c>
      <c r="U71" s="191">
        <f t="shared" si="72"/>
        <v>2034510772.3900003</v>
      </c>
    </row>
    <row r="72" spans="1:21" s="232" customFormat="1">
      <c r="A72" s="232" t="s">
        <v>656</v>
      </c>
      <c r="E72" s="232">
        <f>E71/E74</f>
        <v>1</v>
      </c>
      <c r="F72" s="232">
        <f t="shared" ref="F72:U72" si="73">F71/F74</f>
        <v>1</v>
      </c>
      <c r="G72" s="232">
        <f t="shared" si="73"/>
        <v>1</v>
      </c>
      <c r="H72" s="232">
        <f t="shared" si="73"/>
        <v>1</v>
      </c>
      <c r="I72" s="232">
        <f t="shared" si="73"/>
        <v>0.99967205204589127</v>
      </c>
      <c r="J72" s="232">
        <f t="shared" si="73"/>
        <v>0.99879587198091213</v>
      </c>
      <c r="K72" s="232">
        <f t="shared" si="73"/>
        <v>0.98620416327589722</v>
      </c>
      <c r="L72" s="232">
        <f t="shared" si="73"/>
        <v>0.97350720048458061</v>
      </c>
      <c r="M72" s="232">
        <f t="shared" si="73"/>
        <v>0.99875014549607055</v>
      </c>
      <c r="N72" s="232">
        <f t="shared" si="73"/>
        <v>0.97774241910386461</v>
      </c>
      <c r="O72" s="232">
        <f t="shared" si="73"/>
        <v>0.94695363453206749</v>
      </c>
      <c r="P72" s="232">
        <f t="shared" si="73"/>
        <v>0.93621709636958617</v>
      </c>
      <c r="Q72" s="232">
        <f t="shared" si="73"/>
        <v>0.94919815244727168</v>
      </c>
      <c r="R72" s="232">
        <f t="shared" si="73"/>
        <v>0.93608380019726956</v>
      </c>
      <c r="S72" s="232">
        <f t="shared" si="73"/>
        <v>0.96529830264820993</v>
      </c>
      <c r="T72" s="232">
        <f t="shared" si="73"/>
        <v>0.97399491830918006</v>
      </c>
      <c r="U72" s="232">
        <f t="shared" si="73"/>
        <v>0.95955411095375631</v>
      </c>
    </row>
    <row r="73" spans="1:21" s="234" customFormat="1">
      <c r="A73" s="233" t="s">
        <v>657</v>
      </c>
      <c r="E73" s="235">
        <f>E74/E71</f>
        <v>1</v>
      </c>
      <c r="F73" s="235">
        <f t="shared" ref="F73:U73" si="74">F74/F71</f>
        <v>1</v>
      </c>
      <c r="G73" s="235">
        <f t="shared" si="74"/>
        <v>1</v>
      </c>
      <c r="H73" s="235">
        <f t="shared" si="74"/>
        <v>1</v>
      </c>
      <c r="I73" s="235">
        <f t="shared" si="74"/>
        <v>1.0003280555392517</v>
      </c>
      <c r="J73" s="235">
        <f t="shared" si="74"/>
        <v>1.0012055796913735</v>
      </c>
      <c r="K73" s="235">
        <f t="shared" si="74"/>
        <v>1.0139888242595498</v>
      </c>
      <c r="L73" s="235">
        <f t="shared" si="74"/>
        <v>1.0272137684263991</v>
      </c>
      <c r="M73" s="235">
        <f t="shared" si="74"/>
        <v>1.0012514185950969</v>
      </c>
      <c r="N73" s="235">
        <f t="shared" si="74"/>
        <v>1.0227642582148939</v>
      </c>
      <c r="O73" s="235">
        <f t="shared" si="74"/>
        <v>1.0560179121062723</v>
      </c>
      <c r="P73" s="235">
        <f t="shared" si="74"/>
        <v>1.0681283260877716</v>
      </c>
      <c r="Q73" s="235">
        <f t="shared" si="74"/>
        <v>1.0535208032398171</v>
      </c>
      <c r="R73" s="235">
        <f t="shared" si="74"/>
        <v>1.0682804250957669</v>
      </c>
      <c r="S73" s="235">
        <f t="shared" si="74"/>
        <v>1.0359491954524203</v>
      </c>
      <c r="T73" s="235">
        <f t="shared" si="74"/>
        <v>1.0266994018161448</v>
      </c>
      <c r="U73" s="235">
        <f t="shared" si="74"/>
        <v>1.0421507120698406</v>
      </c>
    </row>
    <row r="74" spans="1:21">
      <c r="A74" s="17" t="s">
        <v>654</v>
      </c>
      <c r="E74" s="191">
        <f>E14</f>
        <v>3259824425.6699996</v>
      </c>
      <c r="F74" s="191">
        <f t="shared" ref="F74:U74" si="75">F14</f>
        <v>3195633782.6999998</v>
      </c>
      <c r="G74" s="191">
        <f t="shared" si="75"/>
        <v>3178555226.9000006</v>
      </c>
      <c r="H74" s="191">
        <f t="shared" si="75"/>
        <v>3114439165.9300003</v>
      </c>
      <c r="I74" s="191">
        <f t="shared" si="75"/>
        <v>3049264334.3900003</v>
      </c>
      <c r="J74" s="191">
        <f t="shared" si="75"/>
        <v>2325334146.8800001</v>
      </c>
      <c r="K74" s="191">
        <f t="shared" si="75"/>
        <v>2347050102.6900005</v>
      </c>
      <c r="L74" s="191">
        <f t="shared" si="75"/>
        <v>2372780572.4499998</v>
      </c>
      <c r="M74" s="191">
        <f t="shared" si="75"/>
        <v>2240260759.3099995</v>
      </c>
      <c r="N74" s="191">
        <f t="shared" si="75"/>
        <v>2257849594.46</v>
      </c>
      <c r="O74" s="191">
        <f t="shared" si="75"/>
        <v>2321279863.6399999</v>
      </c>
      <c r="P74" s="191">
        <f t="shared" si="75"/>
        <v>2308502640.3499999</v>
      </c>
      <c r="Q74" s="191">
        <f t="shared" si="75"/>
        <v>2243718320.1199999</v>
      </c>
      <c r="R74" s="191">
        <f t="shared" si="75"/>
        <v>2248503690.1999998</v>
      </c>
      <c r="S74" s="191">
        <f t="shared" si="75"/>
        <v>2172986247.4899998</v>
      </c>
      <c r="T74" s="191">
        <f t="shared" si="75"/>
        <v>2115916359.51</v>
      </c>
      <c r="U74" s="191">
        <f t="shared" si="75"/>
        <v>2120266850.1600003</v>
      </c>
    </row>
    <row r="75" spans="1:21" ht="83.45" customHeight="1">
      <c r="A75" s="277" t="s">
        <v>699</v>
      </c>
      <c r="B75" s="276"/>
      <c r="C75" s="276"/>
      <c r="D75" s="276"/>
      <c r="E75" s="276"/>
      <c r="F75" s="276"/>
      <c r="G75" s="276"/>
      <c r="H75" s="276"/>
      <c r="I75" s="276"/>
      <c r="J75" s="276"/>
      <c r="K75" s="276"/>
      <c r="L75" s="276"/>
      <c r="M75" s="276"/>
      <c r="N75" s="276"/>
      <c r="O75" s="276"/>
      <c r="P75" s="276"/>
      <c r="Q75" s="276"/>
      <c r="R75" s="276"/>
      <c r="S75" s="276"/>
      <c r="T75" s="276"/>
      <c r="U75" s="276"/>
    </row>
    <row r="77" spans="1:21" s="236" customFormat="1">
      <c r="A77" s="237" t="s">
        <v>658</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c r="A78" s="182" t="s">
        <v>650</v>
      </c>
      <c r="B78" s="64"/>
      <c r="C78" s="64"/>
      <c r="D78" s="64"/>
      <c r="E78" s="89">
        <f>E10</f>
        <v>0</v>
      </c>
      <c r="F78" s="89">
        <f t="shared" ref="F78:U78" si="77">F10</f>
        <v>0</v>
      </c>
      <c r="G78" s="89">
        <f t="shared" si="77"/>
        <v>0</v>
      </c>
      <c r="H78" s="89">
        <f t="shared" si="77"/>
        <v>0</v>
      </c>
      <c r="I78" s="89">
        <f t="shared" si="77"/>
        <v>1000000</v>
      </c>
      <c r="J78" s="89">
        <f t="shared" si="77"/>
        <v>2800000</v>
      </c>
      <c r="K78" s="89">
        <f t="shared" si="77"/>
        <v>32379520</v>
      </c>
      <c r="L78" s="89">
        <f t="shared" si="77"/>
        <v>62861600</v>
      </c>
      <c r="M78" s="89">
        <f t="shared" si="77"/>
        <v>2800000</v>
      </c>
      <c r="N78" s="89">
        <f t="shared" si="77"/>
        <v>50254270</v>
      </c>
      <c r="O78" s="89">
        <f t="shared" si="77"/>
        <v>123135460</v>
      </c>
      <c r="P78" s="89">
        <f t="shared" si="77"/>
        <v>147243001.44</v>
      </c>
      <c r="Q78" s="89">
        <f t="shared" si="77"/>
        <v>113985036.05</v>
      </c>
      <c r="R78" s="89">
        <f t="shared" si="77"/>
        <v>143715811.12</v>
      </c>
      <c r="S78" s="89">
        <f t="shared" si="77"/>
        <v>75406311.109999999</v>
      </c>
      <c r="T78" s="89">
        <f t="shared" si="77"/>
        <v>55024577.780000001</v>
      </c>
      <c r="U78" s="89">
        <f t="shared" si="77"/>
        <v>85756077.769999996</v>
      </c>
    </row>
    <row r="79" spans="1:21">
      <c r="A79" s="182" t="s">
        <v>659</v>
      </c>
      <c r="B79" s="64"/>
      <c r="C79" s="64"/>
      <c r="D79" s="64"/>
      <c r="E79" s="89">
        <f>E78</f>
        <v>0</v>
      </c>
      <c r="F79" s="89">
        <f t="shared" ref="F79:U79" si="78">F78</f>
        <v>0</v>
      </c>
      <c r="G79" s="89">
        <f t="shared" si="78"/>
        <v>0</v>
      </c>
      <c r="H79" s="89">
        <f t="shared" si="78"/>
        <v>0</v>
      </c>
      <c r="I79" s="89">
        <f t="shared" si="78"/>
        <v>1000000</v>
      </c>
      <c r="J79" s="89">
        <f t="shared" si="78"/>
        <v>2800000</v>
      </c>
      <c r="K79" s="89">
        <f t="shared" si="78"/>
        <v>32379520</v>
      </c>
      <c r="L79" s="89">
        <f t="shared" si="78"/>
        <v>62861600</v>
      </c>
      <c r="M79" s="89">
        <f t="shared" si="78"/>
        <v>2800000</v>
      </c>
      <c r="N79" s="89">
        <f t="shared" si="78"/>
        <v>50254270</v>
      </c>
      <c r="O79" s="89">
        <f t="shared" si="78"/>
        <v>123135460</v>
      </c>
      <c r="P79" s="89">
        <f t="shared" si="78"/>
        <v>147243001.44</v>
      </c>
      <c r="Q79" s="89">
        <f t="shared" si="78"/>
        <v>113985036.05</v>
      </c>
      <c r="R79" s="89">
        <f t="shared" si="78"/>
        <v>143715811.12</v>
      </c>
      <c r="S79" s="89">
        <f t="shared" si="78"/>
        <v>75406311.109999999</v>
      </c>
      <c r="T79" s="89">
        <f t="shared" si="78"/>
        <v>55024577.780000001</v>
      </c>
      <c r="U79" s="89">
        <f t="shared" si="78"/>
        <v>85756077.769999996</v>
      </c>
    </row>
    <row r="80" spans="1:21" s="218" customFormat="1">
      <c r="A80" s="222" t="s">
        <v>660</v>
      </c>
      <c r="B80" s="222"/>
      <c r="C80" s="222"/>
      <c r="D80" s="222"/>
      <c r="E80" s="222">
        <f>E79/E85</f>
        <v>0</v>
      </c>
      <c r="F80" s="222">
        <f t="shared" ref="F80:U80" si="79">F79/F85</f>
        <v>0</v>
      </c>
      <c r="G80" s="222">
        <f t="shared" si="79"/>
        <v>0</v>
      </c>
      <c r="H80" s="222">
        <f t="shared" si="79"/>
        <v>0</v>
      </c>
      <c r="I80" s="222">
        <f t="shared" si="79"/>
        <v>3.2794795410875656E-4</v>
      </c>
      <c r="J80" s="222">
        <f t="shared" si="79"/>
        <v>1.2041280190878715E-3</v>
      </c>
      <c r="K80" s="222">
        <f t="shared" si="79"/>
        <v>1.3795836724102818E-2</v>
      </c>
      <c r="L80" s="222">
        <f t="shared" si="79"/>
        <v>2.6492799515419434E-2</v>
      </c>
      <c r="M80" s="222">
        <f t="shared" si="79"/>
        <v>1.2498545039294445E-3</v>
      </c>
      <c r="N80" s="222">
        <f t="shared" si="79"/>
        <v>2.2257580896135418E-2</v>
      </c>
      <c r="O80" s="222">
        <f t="shared" si="79"/>
        <v>5.3046365467932524E-2</v>
      </c>
      <c r="P80" s="222">
        <f t="shared" si="79"/>
        <v>6.3782903630413862E-2</v>
      </c>
      <c r="Q80" s="222">
        <f t="shared" si="79"/>
        <v>5.080184755272836E-2</v>
      </c>
      <c r="R80" s="222">
        <f t="shared" si="79"/>
        <v>6.3916199802730486E-2</v>
      </c>
      <c r="S80" s="222">
        <f t="shared" si="79"/>
        <v>3.4701697351790087E-2</v>
      </c>
      <c r="T80" s="222">
        <f t="shared" si="79"/>
        <v>2.6005081690819998E-2</v>
      </c>
      <c r="U80" s="222">
        <f t="shared" si="79"/>
        <v>4.0445889046243702E-2</v>
      </c>
    </row>
    <row r="81" spans="1:21">
      <c r="A81" s="182" t="s">
        <v>651</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0</v>
      </c>
      <c r="S81" s="89">
        <f t="shared" si="80"/>
        <v>0</v>
      </c>
      <c r="T81" s="89">
        <f t="shared" si="80"/>
        <v>0</v>
      </c>
      <c r="U81" s="89">
        <f t="shared" si="80"/>
        <v>0</v>
      </c>
    </row>
    <row r="82" spans="1:21">
      <c r="A82" s="182" t="s">
        <v>653</v>
      </c>
      <c r="B82" s="64"/>
      <c r="C82" s="64"/>
      <c r="D82" s="64"/>
      <c r="E82" s="89">
        <f>E13</f>
        <v>3259824425.6699996</v>
      </c>
      <c r="F82" s="89">
        <f t="shared" ref="F82:U82" si="81">F13</f>
        <v>3195633782.6999998</v>
      </c>
      <c r="G82" s="89">
        <f t="shared" si="81"/>
        <v>3178555226.9000006</v>
      </c>
      <c r="H82" s="89">
        <f t="shared" si="81"/>
        <v>3114439165.9300003</v>
      </c>
      <c r="I82" s="89">
        <f t="shared" si="81"/>
        <v>3048264334.3900003</v>
      </c>
      <c r="J82" s="89">
        <f t="shared" si="81"/>
        <v>2322534146.8800001</v>
      </c>
      <c r="K82" s="89">
        <f t="shared" si="81"/>
        <v>2314670582.6900005</v>
      </c>
      <c r="L82" s="89">
        <f t="shared" si="81"/>
        <v>2309918972.4499998</v>
      </c>
      <c r="M82" s="89">
        <f t="shared" si="81"/>
        <v>2237460759.3099995</v>
      </c>
      <c r="N82" s="89">
        <f t="shared" si="81"/>
        <v>2207595324.46</v>
      </c>
      <c r="O82" s="89">
        <f t="shared" si="81"/>
        <v>2198144403.6399999</v>
      </c>
      <c r="P82" s="89">
        <f t="shared" si="81"/>
        <v>2161259638.9099998</v>
      </c>
      <c r="Q82" s="89">
        <f t="shared" si="81"/>
        <v>2129733284.0699999</v>
      </c>
      <c r="R82" s="89">
        <f t="shared" si="81"/>
        <v>2104787879.0799999</v>
      </c>
      <c r="S82" s="89">
        <f t="shared" si="81"/>
        <v>2097579936.3799999</v>
      </c>
      <c r="T82" s="89">
        <f t="shared" si="81"/>
        <v>2060891781.73</v>
      </c>
      <c r="U82" s="89">
        <f t="shared" si="81"/>
        <v>2034510772.3900003</v>
      </c>
    </row>
    <row r="83" spans="1:21">
      <c r="A83" s="182" t="s">
        <v>661</v>
      </c>
      <c r="B83" s="64"/>
      <c r="C83" s="64"/>
      <c r="D83" s="64"/>
      <c r="E83" s="89">
        <f>E81+E82</f>
        <v>3259824425.6699996</v>
      </c>
      <c r="F83" s="89">
        <f t="shared" ref="F83:U83" si="82">F81+F82</f>
        <v>3195633782.6999998</v>
      </c>
      <c r="G83" s="89">
        <f t="shared" si="82"/>
        <v>3178555226.9000006</v>
      </c>
      <c r="H83" s="89">
        <f t="shared" si="82"/>
        <v>3114439165.9300003</v>
      </c>
      <c r="I83" s="89">
        <f t="shared" si="82"/>
        <v>3048264334.3900003</v>
      </c>
      <c r="J83" s="89">
        <f t="shared" si="82"/>
        <v>2322534146.8800001</v>
      </c>
      <c r="K83" s="89">
        <f t="shared" si="82"/>
        <v>2314670582.6900005</v>
      </c>
      <c r="L83" s="89">
        <f t="shared" si="82"/>
        <v>2309918972.4499998</v>
      </c>
      <c r="M83" s="89">
        <f t="shared" si="82"/>
        <v>2237460759.3099995</v>
      </c>
      <c r="N83" s="89">
        <f t="shared" si="82"/>
        <v>2207595324.46</v>
      </c>
      <c r="O83" s="89">
        <f t="shared" si="82"/>
        <v>2198144403.6399999</v>
      </c>
      <c r="P83" s="89">
        <f t="shared" si="82"/>
        <v>2161259638.9099998</v>
      </c>
      <c r="Q83" s="89">
        <f t="shared" si="82"/>
        <v>2129733284.0699999</v>
      </c>
      <c r="R83" s="89">
        <f t="shared" si="82"/>
        <v>2104787879.0799999</v>
      </c>
      <c r="S83" s="89">
        <f t="shared" si="82"/>
        <v>2097579936.3799999</v>
      </c>
      <c r="T83" s="89">
        <f t="shared" si="82"/>
        <v>2060891781.73</v>
      </c>
      <c r="U83" s="89">
        <f t="shared" si="82"/>
        <v>2034510772.3900003</v>
      </c>
    </row>
    <row r="84" spans="1:21" s="218" customFormat="1">
      <c r="A84" s="222" t="s">
        <v>662</v>
      </c>
      <c r="B84" s="222"/>
      <c r="C84" s="222"/>
      <c r="D84" s="222"/>
      <c r="E84" s="222">
        <f>E83/E85</f>
        <v>1</v>
      </c>
      <c r="F84" s="222">
        <f t="shared" ref="F84:U84" si="83">F83/F85</f>
        <v>1</v>
      </c>
      <c r="G84" s="222">
        <f t="shared" si="83"/>
        <v>1</v>
      </c>
      <c r="H84" s="222">
        <f t="shared" si="83"/>
        <v>1</v>
      </c>
      <c r="I84" s="222">
        <f t="shared" si="83"/>
        <v>0.99967205204589127</v>
      </c>
      <c r="J84" s="222">
        <f t="shared" si="83"/>
        <v>0.99879587198091213</v>
      </c>
      <c r="K84" s="222">
        <f t="shared" si="83"/>
        <v>0.98620416327589722</v>
      </c>
      <c r="L84" s="222">
        <f t="shared" si="83"/>
        <v>0.97350720048458061</v>
      </c>
      <c r="M84" s="222">
        <f t="shared" si="83"/>
        <v>0.99875014549607055</v>
      </c>
      <c r="N84" s="222">
        <f t="shared" si="83"/>
        <v>0.97774241910386461</v>
      </c>
      <c r="O84" s="222">
        <f t="shared" si="83"/>
        <v>0.94695363453206749</v>
      </c>
      <c r="P84" s="222">
        <f t="shared" si="83"/>
        <v>0.93621709636958617</v>
      </c>
      <c r="Q84" s="222">
        <f t="shared" si="83"/>
        <v>0.94919815244727168</v>
      </c>
      <c r="R84" s="222">
        <f t="shared" si="83"/>
        <v>0.93608380019726956</v>
      </c>
      <c r="S84" s="222">
        <f t="shared" si="83"/>
        <v>0.96529830264820993</v>
      </c>
      <c r="T84" s="222">
        <f t="shared" si="83"/>
        <v>0.97399491830918006</v>
      </c>
      <c r="U84" s="222">
        <f t="shared" si="83"/>
        <v>0.95955411095375631</v>
      </c>
    </row>
    <row r="85" spans="1:21">
      <c r="A85" s="182" t="s">
        <v>654</v>
      </c>
      <c r="B85" s="64"/>
      <c r="C85" s="64"/>
      <c r="D85" s="64"/>
      <c r="E85" s="89">
        <f>E14</f>
        <v>3259824425.6699996</v>
      </c>
      <c r="F85" s="89">
        <f t="shared" ref="F85:U85" si="84">F14</f>
        <v>3195633782.6999998</v>
      </c>
      <c r="G85" s="89">
        <f t="shared" si="84"/>
        <v>3178555226.9000006</v>
      </c>
      <c r="H85" s="89">
        <f t="shared" si="84"/>
        <v>3114439165.9300003</v>
      </c>
      <c r="I85" s="89">
        <f t="shared" si="84"/>
        <v>3049264334.3900003</v>
      </c>
      <c r="J85" s="89">
        <f t="shared" si="84"/>
        <v>2325334146.8800001</v>
      </c>
      <c r="K85" s="89">
        <f t="shared" si="84"/>
        <v>2347050102.6900005</v>
      </c>
      <c r="L85" s="89">
        <f t="shared" si="84"/>
        <v>2372780572.4499998</v>
      </c>
      <c r="M85" s="89">
        <f t="shared" si="84"/>
        <v>2240260759.3099995</v>
      </c>
      <c r="N85" s="89">
        <f t="shared" si="84"/>
        <v>2257849594.46</v>
      </c>
      <c r="O85" s="89">
        <f t="shared" si="84"/>
        <v>2321279863.6399999</v>
      </c>
      <c r="P85" s="89">
        <f t="shared" si="84"/>
        <v>2308502640.3499999</v>
      </c>
      <c r="Q85" s="89">
        <f t="shared" si="84"/>
        <v>2243718320.1199999</v>
      </c>
      <c r="R85" s="89">
        <f t="shared" si="84"/>
        <v>2248503690.1999998</v>
      </c>
      <c r="S85" s="89">
        <f t="shared" si="84"/>
        <v>2172986247.4899998</v>
      </c>
      <c r="T85" s="89">
        <f t="shared" si="84"/>
        <v>2115916359.51</v>
      </c>
      <c r="U85" s="89">
        <f t="shared" si="84"/>
        <v>2120266850.1600003</v>
      </c>
    </row>
    <row r="87" spans="1:21" s="56" customFormat="1" ht="85.9" customHeight="1">
      <c r="A87" s="275" t="s">
        <v>700</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78"/>
  <sheetViews>
    <sheetView topLeftCell="A28" zoomScaleNormal="100" workbookViewId="0">
      <selection activeCell="A35" sqref="A35:AG35"/>
    </sheetView>
  </sheetViews>
  <sheetFormatPr defaultRowHeight="13.5"/>
  <cols>
    <col min="1" max="1" width="45.625" style="17" bestFit="1" customWidth="1"/>
    <col min="2" max="4" width="10.5" hidden="1" customWidth="1"/>
    <col min="5" max="5" width="19.375" bestFit="1" customWidth="1"/>
    <col min="6" max="7" width="19.375" hidden="1" customWidth="1"/>
    <col min="8" max="8" width="18.375" hidden="1" customWidth="1"/>
    <col min="9" max="9" width="23" bestFit="1" customWidth="1"/>
    <col min="10" max="10" width="19.375" hidden="1" customWidth="1"/>
    <col min="11" max="11" width="17.25" hidden="1" customWidth="1"/>
    <col min="12" max="12" width="18.375" hidden="1" customWidth="1"/>
    <col min="13" max="13" width="23" bestFit="1" customWidth="1"/>
    <col min="14" max="14" width="19.375" hidden="1" customWidth="1"/>
    <col min="15" max="16" width="18.375" hidden="1" customWidth="1"/>
    <col min="17" max="17" width="19.375" bestFit="1" customWidth="1"/>
    <col min="18" max="18" width="19.375" hidden="1" customWidth="1"/>
    <col min="19" max="19" width="17.25" hidden="1" customWidth="1"/>
    <col min="20" max="20" width="18.375" hidden="1" customWidth="1"/>
    <col min="21" max="21" width="19.375" bestFit="1" customWidth="1"/>
    <col min="22" max="22" width="19.375" hidden="1" customWidth="1"/>
    <col min="23" max="23" width="17.25" hidden="1" customWidth="1"/>
    <col min="24" max="24" width="18.375" hidden="1" customWidth="1"/>
    <col min="25" max="25" width="19.375" bestFit="1" customWidth="1"/>
    <col min="26" max="26" width="19.375" hidden="1" customWidth="1"/>
    <col min="27" max="27" width="17.25" hidden="1" customWidth="1"/>
    <col min="28" max="28" width="18.375" hidden="1" customWidth="1"/>
    <col min="29" max="29" width="19.375" bestFit="1" customWidth="1"/>
    <col min="30" max="30" width="19.375" hidden="1" customWidth="1"/>
    <col min="31" max="31" width="17.25" hidden="1" customWidth="1"/>
    <col min="32" max="32" width="18.375" hidden="1" customWidth="1"/>
    <col min="33" max="33" width="19.375" bestFit="1" customWidth="1"/>
    <col min="34" max="34" width="19.375" hidden="1" customWidth="1"/>
    <col min="35" max="36" width="17.25" hidden="1" customWidth="1"/>
    <col min="37" max="37" width="19.375" bestFit="1" customWidth="1"/>
    <col min="38" max="40" width="17.25" hidden="1" customWidth="1"/>
    <col min="41" max="41" width="19.375" bestFit="1" customWidth="1"/>
    <col min="42" max="44" width="17.25" hidden="1" customWidth="1"/>
    <col min="45" max="45" width="19.375" bestFit="1" customWidth="1"/>
    <col min="46" max="48" width="17.25" hidden="1" customWidth="1"/>
    <col min="49" max="49" width="17.25" bestFit="1" customWidth="1"/>
    <col min="50" max="52" width="17.25" hidden="1" customWidth="1"/>
    <col min="53" max="53" width="17.25" bestFit="1" customWidth="1"/>
    <col min="54" max="56" width="17.25" hidden="1" customWidth="1"/>
    <col min="57" max="57" width="17.25" bestFit="1" customWidth="1"/>
    <col min="58" max="60" width="17.25" hidden="1" customWidth="1"/>
    <col min="61" max="61" width="17.25" bestFit="1" customWidth="1"/>
    <col min="62" max="64" width="17.25" hidden="1" customWidth="1"/>
    <col min="65" max="65" width="17.25" bestFit="1" customWidth="1"/>
    <col min="66" max="67" width="17.25" hidden="1" customWidth="1"/>
    <col min="68" max="68" width="17.25" bestFit="1" customWidth="1"/>
    <col min="69" max="69" width="17.25" hidden="1" customWidth="1"/>
    <col min="70" max="71" width="17.25" bestFit="1" customWidth="1"/>
    <col min="72" max="72" width="9.625" hidden="1" customWidth="1"/>
    <col min="73" max="81" width="18.375" bestFit="1" customWidth="1"/>
    <col min="82" max="82" width="9.625" bestFit="1" customWidth="1"/>
    <col min="83"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ht="14.45">
      <c r="A1" s="17">
        <v>600529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37256</v>
      </c>
      <c r="BQ1" s="1">
        <v>37072</v>
      </c>
      <c r="BR1" s="1">
        <v>36891</v>
      </c>
      <c r="BS1" s="1">
        <v>36525</v>
      </c>
      <c r="BT1" s="1">
        <v>25569</v>
      </c>
      <c r="BU1" s="1"/>
      <c r="BV1" s="1"/>
      <c r="BW1" s="1"/>
      <c r="BX1" s="1"/>
      <c r="BY1" s="1"/>
      <c r="BZ1" s="1"/>
      <c r="CA1" s="1"/>
      <c r="CB1" s="1"/>
      <c r="CC1" s="1"/>
      <c r="CD1" s="1"/>
      <c r="CE1" s="1"/>
      <c r="CF1" s="1"/>
      <c r="CG1" s="1"/>
      <c r="CH1" s="1"/>
      <c r="CI1" s="1"/>
      <c r="CJ1" s="1"/>
      <c r="CK1" s="1"/>
    </row>
    <row r="2" spans="1:89" s="26" customFormat="1">
      <c r="A2" s="17" t="s">
        <v>351</v>
      </c>
      <c r="E2" s="26">
        <f>股权价值增加表!E4</f>
        <v>2330488351.6700001</v>
      </c>
      <c r="F2" s="26">
        <f>股权价值增加表!F4</f>
        <v>1704720603.5799999</v>
      </c>
      <c r="G2" s="26">
        <f>股权价值增加表!G4</f>
        <v>1150037339.97</v>
      </c>
      <c r="H2" s="26">
        <f>股权价值增加表!H4</f>
        <v>574570999.27999997</v>
      </c>
      <c r="I2" s="26">
        <f>股权价值增加表!I4</f>
        <v>2057473059.6500001</v>
      </c>
      <c r="J2" s="26">
        <f>股权价值增加表!J4</f>
        <v>1447732454.8499999</v>
      </c>
      <c r="K2" s="26">
        <f>股权价值增加表!K4</f>
        <v>971033253.88</v>
      </c>
      <c r="L2" s="26">
        <f>股权价值增加表!L4</f>
        <v>450581543.13999999</v>
      </c>
      <c r="M2" s="26">
        <f>股权价值增加表!M4</f>
        <v>1723207165.99</v>
      </c>
      <c r="N2" s="26">
        <f>股权价值增加表!N4</f>
        <v>1310745450.45</v>
      </c>
      <c r="O2" s="26">
        <f>股权价值增加表!O4</f>
        <v>892965130.71000004</v>
      </c>
      <c r="P2" s="26">
        <f>股权价值增加表!P4</f>
        <v>415868291.43000001</v>
      </c>
      <c r="Q2" s="26">
        <f>股权价值增加表!Q4</f>
        <v>1691112456.28</v>
      </c>
      <c r="R2" s="26">
        <f>股权价值增加表!R4</f>
        <v>1230791444.55</v>
      </c>
      <c r="S2" s="26">
        <f>股权价值增加表!S4</f>
        <v>813544477.90999997</v>
      </c>
      <c r="T2" s="26">
        <f>股权价值增加表!T4</f>
        <v>390024307.39999998</v>
      </c>
      <c r="U2" s="26">
        <f>股权价值增加表!U4</f>
        <v>1544544952.0599999</v>
      </c>
      <c r="V2" s="26">
        <f>股权价值增加表!V4</f>
        <v>1122396553.02</v>
      </c>
      <c r="W2" s="26">
        <f>股权价值增加表!W4</f>
        <v>758927999.57000005</v>
      </c>
      <c r="X2" s="26">
        <f>股权价值增加表!X4</f>
        <v>357205871.04000002</v>
      </c>
      <c r="Y2" s="26">
        <f>股权价值增加表!Y4</f>
        <v>1468092831.3699999</v>
      </c>
      <c r="Z2" s="26">
        <f>股权价值增加表!Z4</f>
        <v>1071348975.9400001</v>
      </c>
      <c r="AA2" s="26">
        <f>股权价值增加表!AA4</f>
        <v>712807830.32000005</v>
      </c>
      <c r="AB2" s="26">
        <f>股权价值增加表!AB4</f>
        <v>327266570.35000002</v>
      </c>
      <c r="AC2" s="26">
        <f>股权价值增加表!AC4</f>
        <v>1397177995.0899999</v>
      </c>
      <c r="AD2" s="26">
        <f>股权价值增加表!AD4</f>
        <v>1078566017.5699999</v>
      </c>
      <c r="AE2" s="26">
        <f>股权价值增加表!AE4</f>
        <v>740726211.59000003</v>
      </c>
      <c r="AF2" s="26">
        <f>股权价值增加表!AF4</f>
        <v>374073213.12</v>
      </c>
      <c r="AG2" s="26">
        <f>股权价值增加表!AG4</f>
        <v>1513418307.2</v>
      </c>
      <c r="AH2" s="26">
        <f>股权价值增加表!AH4</f>
        <v>1059696048.1799999</v>
      </c>
      <c r="AI2" s="26">
        <f>股权价值增加表!AI4</f>
        <v>704411712.97000003</v>
      </c>
      <c r="AJ2" s="26">
        <f>股权价值增加表!AJ4</f>
        <v>336232983.76999998</v>
      </c>
      <c r="AK2" s="26">
        <f>股权价值增加表!AK4</f>
        <v>1242158522.8800001</v>
      </c>
      <c r="AL2" s="26">
        <f>股权价值增加表!AL4</f>
        <v>858937268.99000001</v>
      </c>
      <c r="AM2" s="26">
        <f>股权价值增加表!AM4</f>
        <v>562273598.74000001</v>
      </c>
      <c r="AN2" s="26">
        <f>股权价值增加表!AN4</f>
        <v>266084878.52000001</v>
      </c>
      <c r="AO2" s="26">
        <f>股权价值增加表!AO4</f>
        <v>1158292067.4300001</v>
      </c>
      <c r="AP2" s="26">
        <f>股权价值增加表!AP4</f>
        <v>895209049.78999996</v>
      </c>
      <c r="AQ2" s="26">
        <f>股权价值增加表!AQ4</f>
        <v>566191025.21000004</v>
      </c>
      <c r="AR2" s="26">
        <f>股权价值增加表!AR4</f>
        <v>252070387.78999999</v>
      </c>
      <c r="AS2" s="26">
        <f>股权价值增加表!AS4</f>
        <v>1012129757.92</v>
      </c>
      <c r="AT2" s="26">
        <f>股权价值增加表!AT4</f>
        <v>746141351.75999999</v>
      </c>
      <c r="AU2" s="26">
        <f>股权价值增加表!AU4</f>
        <v>484537373.37</v>
      </c>
      <c r="AV2" s="26">
        <f>股权价值增加表!AV4</f>
        <v>223429170.63999999</v>
      </c>
      <c r="AW2" s="26">
        <f>股权价值增加表!AW4</f>
        <v>826714232.19000006</v>
      </c>
      <c r="AX2" s="26">
        <f>股权价值增加表!AX4</f>
        <v>604132127.04999995</v>
      </c>
      <c r="AY2" s="26">
        <f>股权价值增加表!AY4</f>
        <v>397478607.14999998</v>
      </c>
      <c r="AZ2" s="26">
        <f>股权价值增加表!AZ4</f>
        <v>206387131.80000001</v>
      </c>
      <c r="BA2" s="26">
        <f>股权价值增加表!BA4</f>
        <v>672138979.24000001</v>
      </c>
      <c r="BB2" s="26">
        <f>股权价值增加表!BB4</f>
        <v>487785389.63999999</v>
      </c>
      <c r="BC2" s="26">
        <f>股权价值增加表!BC4</f>
        <v>325059703.41000003</v>
      </c>
      <c r="BD2" s="26">
        <f>股权价值增加表!BD4</f>
        <v>152709264.69999999</v>
      </c>
      <c r="BE2" s="26">
        <f>股权价值增加表!BE4</f>
        <v>560177649.26999998</v>
      </c>
      <c r="BF2" s="26">
        <f>股权价值增加表!BF4</f>
        <v>400883377.24000001</v>
      </c>
      <c r="BG2" s="26">
        <f>股权价值增加表!BG4</f>
        <v>266980572.90000001</v>
      </c>
      <c r="BH2" s="26">
        <f>股权价值增加表!BH4</f>
        <v>133017428.58</v>
      </c>
      <c r="BI2" s="26">
        <f>股权价值增加表!BI4</f>
        <v>467989529.66000003</v>
      </c>
      <c r="BJ2" s="26">
        <f>股权价值增加表!BJ4</f>
        <v>349199614.76999998</v>
      </c>
      <c r="BK2" s="26">
        <f>股权价值增加表!BK4</f>
        <v>236419705.41999999</v>
      </c>
      <c r="BL2" s="26">
        <f>股权价值增加表!BL4</f>
        <v>91150481.840000004</v>
      </c>
      <c r="BM2" s="26">
        <f>股权价值增加表!BM4</f>
        <v>422318260.42000002</v>
      </c>
      <c r="BN2" s="26">
        <f>股权价值增加表!BN4</f>
        <v>293379263.36000001</v>
      </c>
      <c r="BO2" s="26">
        <f>股权价值增加表!BO4</f>
        <v>187830345.75999999</v>
      </c>
      <c r="BP2" s="26">
        <f>股权价值增加表!BP4</f>
        <v>350108854.74000001</v>
      </c>
      <c r="BQ2" s="26">
        <f>股权价值增加表!BQ4</f>
        <v>160917980.02000001</v>
      </c>
      <c r="BR2" s="26">
        <f>股权价值增加表!BR4</f>
        <v>293114742.19</v>
      </c>
      <c r="BS2" s="26">
        <f>股权价值增加表!BS4</f>
        <v>231107107.62</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c r="A3" s="46" t="s">
        <v>372</v>
      </c>
      <c r="E3" s="66">
        <f>(E2-I2)/I2</f>
        <v>0.13269446748743483</v>
      </c>
      <c r="F3" s="66">
        <f t="shared" ref="F3:BQ3" si="0">(F2-J2)/J2</f>
        <v>0.17751080171551908</v>
      </c>
      <c r="G3" s="66">
        <f t="shared" si="0"/>
        <v>0.18434392990636067</v>
      </c>
      <c r="H3" s="66">
        <f t="shared" si="0"/>
        <v>0.27517650917511122</v>
      </c>
      <c r="I3" s="66">
        <f t="shared" si="0"/>
        <v>0.19397893663467963</v>
      </c>
      <c r="J3" s="66">
        <f t="shared" si="0"/>
        <v>0.10451076092079511</v>
      </c>
      <c r="K3" s="66">
        <f t="shared" si="0"/>
        <v>8.7425724124219381E-2</v>
      </c>
      <c r="L3" s="66">
        <f t="shared" si="0"/>
        <v>8.3471744360781586E-2</v>
      </c>
      <c r="M3" s="66">
        <f t="shared" si="0"/>
        <v>1.8978459765236374E-2</v>
      </c>
      <c r="N3" s="66">
        <f t="shared" si="0"/>
        <v>6.4961457324098276E-2</v>
      </c>
      <c r="O3" s="66">
        <f t="shared" si="0"/>
        <v>9.7623000286391398E-2</v>
      </c>
      <c r="P3" s="66">
        <f t="shared" si="0"/>
        <v>6.6262495797460727E-2</v>
      </c>
      <c r="Q3" s="66">
        <f t="shared" si="0"/>
        <v>9.4893647494376329E-2</v>
      </c>
      <c r="R3" s="66">
        <f t="shared" si="0"/>
        <v>9.6574505007472597E-2</v>
      </c>
      <c r="S3" s="66">
        <f t="shared" si="0"/>
        <v>7.196529627440941E-2</v>
      </c>
      <c r="T3" s="66">
        <f t="shared" si="0"/>
        <v>9.1875411410371075E-2</v>
      </c>
      <c r="U3" s="66">
        <f t="shared" si="0"/>
        <v>5.2075808188952334E-2</v>
      </c>
      <c r="V3" s="66">
        <f t="shared" si="0"/>
        <v>4.7647944998697414E-2</v>
      </c>
      <c r="W3" s="66">
        <f t="shared" si="0"/>
        <v>6.470210804123086E-2</v>
      </c>
      <c r="X3" s="66">
        <f t="shared" si="0"/>
        <v>9.1482917604388911E-2</v>
      </c>
      <c r="Y3" s="66">
        <f t="shared" si="0"/>
        <v>5.075576378185942E-2</v>
      </c>
      <c r="Z3" s="66">
        <f t="shared" si="0"/>
        <v>-6.6913304447138149E-3</v>
      </c>
      <c r="AA3" s="66">
        <f t="shared" si="0"/>
        <v>-3.7690553990349547E-2</v>
      </c>
      <c r="AB3" s="66">
        <f t="shared" si="0"/>
        <v>-0.12512695677833727</v>
      </c>
      <c r="AC3" s="66">
        <f t="shared" si="0"/>
        <v>-7.6806466234083187E-2</v>
      </c>
      <c r="AD3" s="66">
        <f t="shared" si="0"/>
        <v>1.7806964008602901E-2</v>
      </c>
      <c r="AE3" s="66">
        <f t="shared" si="0"/>
        <v>5.155294545981888E-2</v>
      </c>
      <c r="AF3" s="66">
        <f t="shared" si="0"/>
        <v>0.11254169333929659</v>
      </c>
      <c r="AG3" s="66">
        <f t="shared" si="0"/>
        <v>0.21837775076491203</v>
      </c>
      <c r="AH3" s="66">
        <f t="shared" si="0"/>
        <v>0.23372926805943173</v>
      </c>
      <c r="AI3" s="66">
        <f t="shared" si="0"/>
        <v>0.25279172728102045</v>
      </c>
      <c r="AJ3" s="66">
        <f t="shared" si="0"/>
        <v>0.26363055894109128</v>
      </c>
      <c r="AK3" s="66">
        <f t="shared" si="0"/>
        <v>7.2405274807831155E-2</v>
      </c>
      <c r="AL3" s="66">
        <f t="shared" si="0"/>
        <v>-4.051766546429425E-2</v>
      </c>
      <c r="AM3" s="66">
        <f t="shared" si="0"/>
        <v>-6.9189130444924606E-3</v>
      </c>
      <c r="AN3" s="66">
        <f t="shared" si="0"/>
        <v>5.5597529138073531E-2</v>
      </c>
      <c r="AO3" s="66">
        <f t="shared" si="0"/>
        <v>0.14441064336491227</v>
      </c>
      <c r="AP3" s="66">
        <f t="shared" si="0"/>
        <v>0.19978479637722629</v>
      </c>
      <c r="AQ3" s="66">
        <f t="shared" si="0"/>
        <v>0.16851878993789832</v>
      </c>
      <c r="AR3" s="66">
        <f t="shared" si="0"/>
        <v>0.12818924703501736</v>
      </c>
      <c r="AS3" s="66">
        <f t="shared" si="0"/>
        <v>0.22428006983601398</v>
      </c>
      <c r="AT3" s="66">
        <f t="shared" si="0"/>
        <v>0.23506318957648628</v>
      </c>
      <c r="AU3" s="66">
        <f t="shared" si="0"/>
        <v>0.21902755180770245</v>
      </c>
      <c r="AV3" s="66">
        <f t="shared" si="0"/>
        <v>8.2573165736488874E-2</v>
      </c>
      <c r="AW3" s="66">
        <f t="shared" si="0"/>
        <v>0.22997513568515421</v>
      </c>
      <c r="AX3" s="66">
        <f t="shared" si="0"/>
        <v>0.23852034087340601</v>
      </c>
      <c r="AY3" s="66">
        <f t="shared" si="0"/>
        <v>0.22278646962480456</v>
      </c>
      <c r="AZ3" s="66">
        <f t="shared" si="0"/>
        <v>0.35150367075272826</v>
      </c>
      <c r="BA3" s="66">
        <f t="shared" si="0"/>
        <v>0.19986754222683348</v>
      </c>
      <c r="BB3" s="66">
        <f t="shared" si="0"/>
        <v>0.21677629289171962</v>
      </c>
      <c r="BC3" s="66">
        <f t="shared" si="0"/>
        <v>0.21754066177599404</v>
      </c>
      <c r="BD3" s="66">
        <f t="shared" si="0"/>
        <v>0.14803951880754354</v>
      </c>
      <c r="BE3" s="66">
        <f t="shared" si="0"/>
        <v>0.19698756866841813</v>
      </c>
      <c r="BF3" s="66">
        <f t="shared" si="0"/>
        <v>0.14800635591777928</v>
      </c>
      <c r="BG3" s="66">
        <f t="shared" si="0"/>
        <v>0.1292653140976916</v>
      </c>
      <c r="BH3" s="66">
        <f t="shared" si="0"/>
        <v>0.45931679015686039</v>
      </c>
      <c r="BI3" s="66">
        <f t="shared" si="0"/>
        <v>0.1081441972094208</v>
      </c>
      <c r="BJ3" s="66">
        <f t="shared" si="0"/>
        <v>0.19026686061824313</v>
      </c>
      <c r="BK3" s="66">
        <f t="shared" si="0"/>
        <v>0.25868748451373769</v>
      </c>
      <c r="BL3" s="66">
        <f t="shared" si="0"/>
        <v>-0.73965102394313698</v>
      </c>
      <c r="BM3" s="66">
        <f t="shared" si="0"/>
        <v>1.6244317780245026</v>
      </c>
      <c r="BN3" s="66">
        <f t="shared" si="0"/>
        <v>9.0244921843116079E-4</v>
      </c>
      <c r="BO3" s="66">
        <f t="shared" si="0"/>
        <v>-0.18725846342708866</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c r="A4" s="17" t="s">
        <v>352</v>
      </c>
      <c r="E4" s="26">
        <f>股权价值增加表!E5</f>
        <v>1579599031.7</v>
      </c>
      <c r="F4" s="26">
        <f>股权价值增加表!F5</f>
        <v>1153215749.49</v>
      </c>
      <c r="G4" s="26">
        <f>股权价值增加表!G5</f>
        <v>796388753.14999998</v>
      </c>
      <c r="H4" s="26">
        <f>股权价值增加表!H5</f>
        <v>411318554.22000003</v>
      </c>
      <c r="I4" s="26">
        <f>股权价值增加表!I5</f>
        <v>1382503304.6800001</v>
      </c>
      <c r="J4" s="26">
        <f>股权价值增加表!J5</f>
        <v>970886286.33000004</v>
      </c>
      <c r="K4" s="26">
        <f>股权价值增加表!K5</f>
        <v>649258615.39999998</v>
      </c>
      <c r="L4" s="26">
        <f>股权价值增加表!L5</f>
        <v>307907841.31999999</v>
      </c>
      <c r="M4" s="26">
        <f>股权价值增加表!M5</f>
        <v>1183736156.6700001</v>
      </c>
      <c r="N4" s="26">
        <f>股权价值增加表!N5</f>
        <v>908369418.73000002</v>
      </c>
      <c r="O4" s="26">
        <f>股权价值增加表!O5</f>
        <v>624520521.64999998</v>
      </c>
      <c r="P4" s="26">
        <f>股权价值增加表!P5</f>
        <v>292314282.32999998</v>
      </c>
      <c r="Q4" s="26">
        <f>股权价值增加表!Q5</f>
        <v>1243464862.0899999</v>
      </c>
      <c r="R4" s="26">
        <f>股权价值增加表!R5</f>
        <v>902356240.62</v>
      </c>
      <c r="S4" s="26">
        <f>股权价值增加表!S5</f>
        <v>593503600.02999997</v>
      </c>
      <c r="T4" s="26">
        <f>股权价值增加表!T5</f>
        <v>291515172.32999998</v>
      </c>
      <c r="U4" s="26">
        <f>股权价值增加表!U5</f>
        <v>1104935553.8800001</v>
      </c>
      <c r="V4" s="26">
        <f>股权价值增加表!V5</f>
        <v>808786141.90999997</v>
      </c>
      <c r="W4" s="26">
        <f>股权价值增加表!W5</f>
        <v>545516762.55999994</v>
      </c>
      <c r="X4" s="26">
        <f>股权价值增加表!X5</f>
        <v>258279524.25999999</v>
      </c>
      <c r="Y4" s="26">
        <f>股权价值增加表!Y5</f>
        <v>1060594067.3099999</v>
      </c>
      <c r="Z4" s="26">
        <f>股权价值增加表!Z5</f>
        <v>777805780.02999997</v>
      </c>
      <c r="AA4" s="26">
        <f>股权价值增加表!AA5</f>
        <v>519428180.99000001</v>
      </c>
      <c r="AB4" s="26">
        <f>股权价值增加表!AB5</f>
        <v>242687344.61000001</v>
      </c>
      <c r="AC4" s="26">
        <f>股权价值增加表!AC5</f>
        <v>1013706164.67</v>
      </c>
      <c r="AD4" s="26">
        <f>股权价值增加表!AD5</f>
        <v>790385986.66999996</v>
      </c>
      <c r="AE4" s="26">
        <f>股权价值增加表!AE5</f>
        <v>538361908.03999996</v>
      </c>
      <c r="AF4" s="26">
        <f>股权价值增加表!AF5</f>
        <v>273131191.94</v>
      </c>
      <c r="AG4" s="26">
        <f>股权价值增加表!AG5</f>
        <v>1055308223.25</v>
      </c>
      <c r="AH4" s="26">
        <f>股权价值增加表!AH5</f>
        <v>715710989.24000001</v>
      </c>
      <c r="AI4" s="26">
        <f>股权价值增加表!AI5</f>
        <v>478525587.07999998</v>
      </c>
      <c r="AJ4" s="26">
        <f>股权价值增加表!AJ5</f>
        <v>231108203.18000001</v>
      </c>
      <c r="AK4" s="26">
        <f>股权价值增加表!AK5</f>
        <v>853986940.02999997</v>
      </c>
      <c r="AL4" s="26">
        <f>股权价值增加表!AL5</f>
        <v>582879138.94000006</v>
      </c>
      <c r="AM4" s="26">
        <f>股权价值增加表!AM5</f>
        <v>386402196.72000003</v>
      </c>
      <c r="AN4" s="26">
        <f>股权价值增加表!AN5</f>
        <v>187493809.56999999</v>
      </c>
      <c r="AO4" s="26">
        <f>股权价值增加表!AO5</f>
        <v>826362337.98000002</v>
      </c>
      <c r="AP4" s="26">
        <f>股权价值增加表!AP5</f>
        <v>634021966.73000002</v>
      </c>
      <c r="AQ4" s="26">
        <f>股权价值增加表!AQ5</f>
        <v>397642299.64999998</v>
      </c>
      <c r="AR4" s="26">
        <f>股权价值增加表!AR5</f>
        <v>178944728.38</v>
      </c>
      <c r="AS4" s="26">
        <f>股权价值增加表!AS5</f>
        <v>711281672.12</v>
      </c>
      <c r="AT4" s="26">
        <f>股权价值增加表!AT5</f>
        <v>0</v>
      </c>
      <c r="AU4" s="26">
        <f>股权价值增加表!AU5</f>
        <v>334221833.19999999</v>
      </c>
      <c r="AV4" s="26">
        <f>股权价值增加表!AV5</f>
        <v>155088250.44</v>
      </c>
      <c r="AW4" s="26">
        <f>股权价值增加表!AW5</f>
        <v>549849844.25</v>
      </c>
      <c r="AX4" s="26">
        <f>股权价值增加表!AX5</f>
        <v>399752333.11000001</v>
      </c>
      <c r="AY4" s="26">
        <f>股权价值增加表!AY5</f>
        <v>264472201.12</v>
      </c>
      <c r="AZ4" s="26">
        <f>股权价值增加表!AZ5</f>
        <v>139406531.86000001</v>
      </c>
      <c r="BA4" s="26">
        <f>股权价值增加表!BA5</f>
        <v>438848747.44</v>
      </c>
      <c r="BB4" s="26">
        <f>股权价值增加表!BB5</f>
        <v>316063792.14999998</v>
      </c>
      <c r="BC4" s="26">
        <f>股权价值增加表!BC5</f>
        <v>210801945.63</v>
      </c>
      <c r="BD4" s="26">
        <f>股权价值增加表!BD5</f>
        <v>99686734.280000001</v>
      </c>
      <c r="BE4" s="26">
        <f>股权价值增加表!BE5</f>
        <v>348115005.56</v>
      </c>
      <c r="BF4" s="26">
        <f>股权价值增加表!BF5</f>
        <v>248121787.66999999</v>
      </c>
      <c r="BG4" s="26">
        <f>股权价值增加表!BG5</f>
        <v>163159453.94999999</v>
      </c>
      <c r="BH4" s="26">
        <f>股权价值增加表!BH5</f>
        <v>82341285.030000001</v>
      </c>
      <c r="BI4" s="26">
        <f>股权价值增加表!BI5</f>
        <v>286673483.69999999</v>
      </c>
      <c r="BJ4" s="26">
        <f>股权价值增加表!BJ5</f>
        <v>217006307.15000001</v>
      </c>
      <c r="BK4" s="26">
        <f>股权价值增加表!BK5</f>
        <v>146837244.50999999</v>
      </c>
      <c r="BL4" s="26">
        <f>股权价值增加表!BL5</f>
        <v>53834394.850000001</v>
      </c>
      <c r="BM4" s="26">
        <f>股权价值增加表!BM5</f>
        <v>265049811.56</v>
      </c>
      <c r="BN4" s="26">
        <f>股权价值增加表!BN5</f>
        <v>184150130.88</v>
      </c>
      <c r="BO4" s="26">
        <f>股权价值增加表!BO5</f>
        <v>117979340.59</v>
      </c>
      <c r="BP4" s="26">
        <f>股权价值增加表!BP5</f>
        <v>220947506.97999999</v>
      </c>
      <c r="BQ4" s="26">
        <f>股权价值增加表!BQ5</f>
        <v>99360610.209999993</v>
      </c>
      <c r="BR4" s="26">
        <f>股权价值增加表!BR5</f>
        <v>192752420.78999999</v>
      </c>
      <c r="BS4" s="26">
        <f>股权价值增加表!BS5</f>
        <v>144715708.33000001</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c r="A5" s="46" t="s">
        <v>353</v>
      </c>
      <c r="E5" s="66">
        <f t="shared" ref="E5:AJ5" si="2">E4/E2</f>
        <v>0.67779743699129769</v>
      </c>
      <c r="F5" s="66">
        <f t="shared" si="2"/>
        <v>0.6764837282239613</v>
      </c>
      <c r="G5" s="66">
        <f t="shared" si="2"/>
        <v>0.69248947444678155</v>
      </c>
      <c r="H5" s="66">
        <f t="shared" si="2"/>
        <v>0.71587071873698283</v>
      </c>
      <c r="I5" s="66">
        <f t="shared" si="2"/>
        <v>0.67194236065243051</v>
      </c>
      <c r="J5" s="66">
        <f t="shared" si="2"/>
        <v>0.67062548959061219</v>
      </c>
      <c r="K5" s="66">
        <f t="shared" si="2"/>
        <v>0.66862655095047363</v>
      </c>
      <c r="L5" s="66">
        <f t="shared" si="2"/>
        <v>0.68335653336854518</v>
      </c>
      <c r="M5" s="66">
        <f t="shared" si="2"/>
        <v>0.6869378099353084</v>
      </c>
      <c r="N5" s="66">
        <f t="shared" si="2"/>
        <v>0.69301741113664916</v>
      </c>
      <c r="O5" s="66">
        <f t="shared" si="2"/>
        <v>0.69937839695200787</v>
      </c>
      <c r="P5" s="66">
        <f t="shared" si="2"/>
        <v>0.70290110680199103</v>
      </c>
      <c r="Q5" s="66">
        <f t="shared" si="2"/>
        <v>0.73529401162669783</v>
      </c>
      <c r="R5" s="66">
        <f t="shared" si="2"/>
        <v>0.73315121307974163</v>
      </c>
      <c r="S5" s="66">
        <f t="shared" si="2"/>
        <v>0.72952815260293302</v>
      </c>
      <c r="T5" s="66">
        <f t="shared" si="2"/>
        <v>0.74742821613686938</v>
      </c>
      <c r="U5" s="66">
        <f t="shared" si="2"/>
        <v>0.7153793435447241</v>
      </c>
      <c r="V5" s="66">
        <f t="shared" si="2"/>
        <v>0.72058858318285324</v>
      </c>
      <c r="W5" s="66">
        <f t="shared" si="2"/>
        <v>0.71879909934682018</v>
      </c>
      <c r="X5" s="66">
        <f t="shared" si="2"/>
        <v>0.72305509287409719</v>
      </c>
      <c r="Y5" s="66">
        <f t="shared" si="2"/>
        <v>0.72242983866372479</v>
      </c>
      <c r="Z5" s="66">
        <f t="shared" si="2"/>
        <v>0.72600599570980529</v>
      </c>
      <c r="AA5" s="66">
        <f t="shared" si="2"/>
        <v>0.72870717589734346</v>
      </c>
      <c r="AB5" s="66">
        <f t="shared" si="2"/>
        <v>0.74155861489444064</v>
      </c>
      <c r="AC5" s="66">
        <f t="shared" si="2"/>
        <v>0.72553831239283262</v>
      </c>
      <c r="AD5" s="66">
        <f t="shared" si="2"/>
        <v>0.73281187594870911</v>
      </c>
      <c r="AE5" s="66">
        <f t="shared" si="2"/>
        <v>0.72680283162166415</v>
      </c>
      <c r="AF5" s="66">
        <f t="shared" si="2"/>
        <v>0.73015437181913767</v>
      </c>
      <c r="AG5" s="66">
        <f t="shared" si="2"/>
        <v>0.69730108207984021</v>
      </c>
      <c r="AH5" s="66">
        <f t="shared" si="2"/>
        <v>0.6753927132871872</v>
      </c>
      <c r="AI5" s="66">
        <f t="shared" si="2"/>
        <v>0.67932656182334061</v>
      </c>
      <c r="AJ5" s="66">
        <f t="shared" si="2"/>
        <v>0.68734542515343899</v>
      </c>
      <c r="AK5" s="66">
        <f t="shared" ref="AK5:BP5" si="3">AK4/AK2</f>
        <v>0.6875023793661964</v>
      </c>
      <c r="AL5" s="66">
        <f t="shared" si="3"/>
        <v>0.67860501573693632</v>
      </c>
      <c r="AM5" s="66">
        <f t="shared" si="3"/>
        <v>0.68721383608600772</v>
      </c>
      <c r="AN5" s="66">
        <f t="shared" si="3"/>
        <v>0.70463910092473447</v>
      </c>
      <c r="AO5" s="66">
        <f t="shared" si="3"/>
        <v>0.71343175112432533</v>
      </c>
      <c r="AP5" s="66">
        <f t="shared" si="3"/>
        <v>0.7082390050443863</v>
      </c>
      <c r="AQ5" s="66">
        <f t="shared" si="3"/>
        <v>0.70231120230582</v>
      </c>
      <c r="AR5" s="66">
        <f t="shared" si="3"/>
        <v>0.70989984166279363</v>
      </c>
      <c r="AS5" s="66">
        <f t="shared" si="3"/>
        <v>0.70275739504165491</v>
      </c>
      <c r="AT5" s="66">
        <f t="shared" si="3"/>
        <v>0</v>
      </c>
      <c r="AU5" s="66">
        <f t="shared" si="3"/>
        <v>0.68977513721069184</v>
      </c>
      <c r="AV5" s="66">
        <f t="shared" si="3"/>
        <v>0.69412713655857305</v>
      </c>
      <c r="AW5" s="66">
        <f t="shared" si="3"/>
        <v>0.66510267132262268</v>
      </c>
      <c r="AX5" s="66">
        <f t="shared" si="3"/>
        <v>0.66169686267473604</v>
      </c>
      <c r="AY5" s="66">
        <f t="shared" si="3"/>
        <v>0.66537468020308776</v>
      </c>
      <c r="AZ5" s="66">
        <f t="shared" si="3"/>
        <v>0.67546135577431388</v>
      </c>
      <c r="BA5" s="66">
        <f t="shared" si="3"/>
        <v>0.65291369939028743</v>
      </c>
      <c r="BB5" s="66">
        <f t="shared" si="3"/>
        <v>0.6479566605782604</v>
      </c>
      <c r="BC5" s="66">
        <f t="shared" si="3"/>
        <v>0.64850223949202979</v>
      </c>
      <c r="BD5" s="66">
        <f t="shared" si="3"/>
        <v>0.65278773017364944</v>
      </c>
      <c r="BE5" s="66">
        <f t="shared" si="3"/>
        <v>0.62143679958250542</v>
      </c>
      <c r="BF5" s="66">
        <f t="shared" si="3"/>
        <v>0.61893758074547189</v>
      </c>
      <c r="BG5" s="66">
        <f t="shared" si="3"/>
        <v>0.61112856331727494</v>
      </c>
      <c r="BH5" s="66">
        <f t="shared" si="3"/>
        <v>0.61902628782571822</v>
      </c>
      <c r="BI5" s="66">
        <f t="shared" si="3"/>
        <v>0.61256388344472512</v>
      </c>
      <c r="BJ5" s="66">
        <f t="shared" si="3"/>
        <v>0.62143913673252771</v>
      </c>
      <c r="BK5" s="66">
        <f t="shared" si="3"/>
        <v>0.62108716466397496</v>
      </c>
      <c r="BL5" s="66">
        <f t="shared" si="3"/>
        <v>0.59061009621976124</v>
      </c>
      <c r="BM5" s="66">
        <f t="shared" si="3"/>
        <v>0.62760679894922167</v>
      </c>
      <c r="BN5" s="66">
        <f t="shared" si="3"/>
        <v>0.62768625420547508</v>
      </c>
      <c r="BO5" s="66">
        <f t="shared" si="3"/>
        <v>0.62811650648158834</v>
      </c>
      <c r="BP5" s="66">
        <f t="shared" si="3"/>
        <v>0.63108231622442512</v>
      </c>
      <c r="BQ5" s="66">
        <f t="shared" ref="BQ5:CK5" si="4">BQ4/BQ2</f>
        <v>0.61746120724142051</v>
      </c>
      <c r="BR5" s="66">
        <f t="shared" si="4"/>
        <v>0.65760056744282036</v>
      </c>
      <c r="BS5" s="66">
        <f t="shared" si="4"/>
        <v>0.62618458523547516</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c r="A6" s="46" t="s">
        <v>354</v>
      </c>
      <c r="E6" s="66">
        <f>(E4-I4)/I4</f>
        <v>0.14256438039084512</v>
      </c>
      <c r="F6" s="66">
        <f t="shared" ref="F6:BQ6" si="5">(F4-J4)/J4</f>
        <v>0.18779692918437924</v>
      </c>
      <c r="G6" s="66">
        <f t="shared" si="5"/>
        <v>0.22661253044652321</v>
      </c>
      <c r="H6" s="66">
        <f t="shared" si="5"/>
        <v>0.33584955958470764</v>
      </c>
      <c r="I6" s="66">
        <f t="shared" si="5"/>
        <v>0.16791507709721157</v>
      </c>
      <c r="J6" s="66">
        <f t="shared" si="5"/>
        <v>6.8823175143220311E-2</v>
      </c>
      <c r="K6" s="66">
        <f t="shared" si="5"/>
        <v>3.961133844671956E-2</v>
      </c>
      <c r="L6" s="66">
        <f t="shared" si="5"/>
        <v>5.3345183361229336E-2</v>
      </c>
      <c r="M6" s="66">
        <f t="shared" si="5"/>
        <v>-4.8034091867789966E-2</v>
      </c>
      <c r="N6" s="66">
        <f t="shared" si="5"/>
        <v>6.6638627177537102E-3</v>
      </c>
      <c r="O6" s="66">
        <f t="shared" si="5"/>
        <v>5.2260713529677302E-2</v>
      </c>
      <c r="P6" s="66">
        <f t="shared" si="5"/>
        <v>2.7412295339996721E-3</v>
      </c>
      <c r="Q6" s="66">
        <f t="shared" si="5"/>
        <v>0.12537320183385517</v>
      </c>
      <c r="R6" s="66">
        <f t="shared" si="5"/>
        <v>0.11569201530707277</v>
      </c>
      <c r="S6" s="66">
        <f t="shared" si="5"/>
        <v>8.7965834899018491E-2</v>
      </c>
      <c r="T6" s="66">
        <f t="shared" si="5"/>
        <v>0.12868092492126071</v>
      </c>
      <c r="U6" s="66">
        <f t="shared" si="5"/>
        <v>4.1808160102633919E-2</v>
      </c>
      <c r="V6" s="66">
        <f t="shared" si="5"/>
        <v>3.9830459833822635E-2</v>
      </c>
      <c r="W6" s="66">
        <f t="shared" si="5"/>
        <v>5.0225579829489823E-2</v>
      </c>
      <c r="X6" s="66">
        <f t="shared" si="5"/>
        <v>6.4248012911660893E-2</v>
      </c>
      <c r="Y6" s="66">
        <f t="shared" si="5"/>
        <v>4.6253938541711233E-2</v>
      </c>
      <c r="Z6" s="66">
        <f t="shared" si="5"/>
        <v>-1.5916535530952479E-2</v>
      </c>
      <c r="AA6" s="66">
        <f t="shared" si="5"/>
        <v>-3.5169143223619727E-2</v>
      </c>
      <c r="AB6" s="66">
        <f t="shared" si="5"/>
        <v>-0.11146236031762979</v>
      </c>
      <c r="AC6" s="66">
        <f t="shared" si="5"/>
        <v>-3.9421713641043632E-2</v>
      </c>
      <c r="AD6" s="66">
        <f t="shared" si="5"/>
        <v>0.10433680431440059</v>
      </c>
      <c r="AE6" s="66">
        <f t="shared" si="5"/>
        <v>0.12504309607585631</v>
      </c>
      <c r="AF6" s="66">
        <f t="shared" si="5"/>
        <v>0.18183252771547073</v>
      </c>
      <c r="AG6" s="66">
        <f t="shared" si="5"/>
        <v>0.23574281266283503</v>
      </c>
      <c r="AH6" s="66">
        <f t="shared" si="5"/>
        <v>0.22788918220947565</v>
      </c>
      <c r="AI6" s="66">
        <f t="shared" si="5"/>
        <v>0.23841321592370668</v>
      </c>
      <c r="AJ6" s="66">
        <f t="shared" si="5"/>
        <v>0.23261777927509</v>
      </c>
      <c r="AK6" s="66">
        <f t="shared" si="5"/>
        <v>3.3429163915585577E-2</v>
      </c>
      <c r="AL6" s="66">
        <f t="shared" si="5"/>
        <v>-8.0664125966757358E-2</v>
      </c>
      <c r="AM6" s="66">
        <f t="shared" si="5"/>
        <v>-2.8266869344366414E-2</v>
      </c>
      <c r="AN6" s="66">
        <f t="shared" si="5"/>
        <v>4.7774982070695624E-2</v>
      </c>
      <c r="AO6" s="66">
        <f t="shared" si="5"/>
        <v>0.16179337999388912</v>
      </c>
      <c r="AP6" s="66" t="e">
        <f t="shared" si="5"/>
        <v>#DIV/0!</v>
      </c>
      <c r="AQ6" s="66">
        <f t="shared" si="5"/>
        <v>0.18975560585848641</v>
      </c>
      <c r="AR6" s="66">
        <f t="shared" si="5"/>
        <v>0.15382517935637882</v>
      </c>
      <c r="AS6" s="66">
        <f t="shared" si="5"/>
        <v>0.29359256814957257</v>
      </c>
      <c r="AT6" s="66">
        <f t="shared" si="5"/>
        <v>-1</v>
      </c>
      <c r="AU6" s="66">
        <f t="shared" si="5"/>
        <v>0.26373143107147284</v>
      </c>
      <c r="AV6" s="66">
        <f t="shared" si="5"/>
        <v>0.11248912350641116</v>
      </c>
      <c r="AW6" s="66">
        <f t="shared" si="5"/>
        <v>0.25293702547294206</v>
      </c>
      <c r="AX6" s="66">
        <f t="shared" si="5"/>
        <v>0.26478370202013679</v>
      </c>
      <c r="AY6" s="66">
        <f t="shared" si="5"/>
        <v>0.25460038013217462</v>
      </c>
      <c r="AZ6" s="66">
        <f t="shared" si="5"/>
        <v>0.39844617106660435</v>
      </c>
      <c r="BA6" s="66">
        <f t="shared" si="5"/>
        <v>0.26064300714081517</v>
      </c>
      <c r="BB6" s="66">
        <f t="shared" si="5"/>
        <v>0.27382522557979599</v>
      </c>
      <c r="BC6" s="66">
        <f t="shared" si="5"/>
        <v>0.29199957787674374</v>
      </c>
      <c r="BD6" s="66">
        <f t="shared" si="5"/>
        <v>0.21065312793795246</v>
      </c>
      <c r="BE6" s="66">
        <f t="shared" si="5"/>
        <v>0.21432579346716893</v>
      </c>
      <c r="BF6" s="66">
        <f t="shared" si="5"/>
        <v>0.1433851436331397</v>
      </c>
      <c r="BG6" s="66">
        <f t="shared" si="5"/>
        <v>0.1111585108700975</v>
      </c>
      <c r="BH6" s="66">
        <f t="shared" si="5"/>
        <v>0.52952931410168902</v>
      </c>
      <c r="BI6" s="66">
        <f t="shared" si="5"/>
        <v>8.1583427706399175E-2</v>
      </c>
      <c r="BJ6" s="66">
        <f t="shared" si="5"/>
        <v>0.17842059689553239</v>
      </c>
      <c r="BK6" s="66">
        <f t="shared" si="5"/>
        <v>0.24460133253572364</v>
      </c>
      <c r="BL6" s="66">
        <f t="shared" si="5"/>
        <v>-0.75634757963178534</v>
      </c>
      <c r="BM6" s="66">
        <f t="shared" si="5"/>
        <v>1.667554184699688</v>
      </c>
      <c r="BN6" s="66">
        <f t="shared" si="5"/>
        <v>-4.4628699731724897E-2</v>
      </c>
      <c r="BO6" s="66">
        <f t="shared" si="5"/>
        <v>-0.18475097173993155</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c r="A7" s="127" t="s">
        <v>355</v>
      </c>
      <c r="E7" s="27">
        <f>股权价值增加表!E6</f>
        <v>750889319.97000003</v>
      </c>
      <c r="F7" s="27">
        <f>股权价值增加表!F6</f>
        <v>551504854.08999991</v>
      </c>
      <c r="G7" s="27">
        <f>股权价值增加表!G6</f>
        <v>353648586.82000005</v>
      </c>
      <c r="H7" s="27">
        <f>股权价值增加表!H6</f>
        <v>163252445.05999994</v>
      </c>
      <c r="I7" s="27">
        <f>股权价值增加表!I6</f>
        <v>674969754.97000003</v>
      </c>
      <c r="J7" s="27">
        <f>股权价值增加表!J6</f>
        <v>476846168.51999986</v>
      </c>
      <c r="K7" s="27">
        <f>股权价值增加表!K6</f>
        <v>321774638.48000002</v>
      </c>
      <c r="L7" s="27">
        <f>股权价值增加表!L6</f>
        <v>142673701.81999999</v>
      </c>
      <c r="M7" s="27">
        <f>股权价值增加表!M6</f>
        <v>539471009.31999993</v>
      </c>
      <c r="N7" s="27">
        <f>股权价值增加表!N6</f>
        <v>402376031.72000003</v>
      </c>
      <c r="O7" s="27">
        <f>股权价值增加表!O6</f>
        <v>268444609.06000006</v>
      </c>
      <c r="P7" s="27">
        <f>股权价值增加表!P6</f>
        <v>123554009.10000002</v>
      </c>
      <c r="Q7" s="27">
        <f>股权价值增加表!Q6</f>
        <v>447647594.19000006</v>
      </c>
      <c r="R7" s="27">
        <f>股权价值增加表!R6</f>
        <v>328435203.92999995</v>
      </c>
      <c r="S7" s="27">
        <f>股权价值增加表!S6</f>
        <v>220040877.88</v>
      </c>
      <c r="T7" s="27">
        <f>股权价值增加表!T6</f>
        <v>98509135.069999993</v>
      </c>
      <c r="U7" s="27">
        <f>股权价值增加表!U6</f>
        <v>439609398.17999983</v>
      </c>
      <c r="V7" s="27">
        <f>股权价值增加表!V6</f>
        <v>313610411.11000001</v>
      </c>
      <c r="W7" s="27">
        <f>股权价值增加表!W6</f>
        <v>213411237.01000011</v>
      </c>
      <c r="X7" s="27">
        <f>股权价值增加表!X6</f>
        <v>98926346.780000031</v>
      </c>
      <c r="Y7" s="27">
        <f>股权价值增加表!Y6</f>
        <v>407498764.05999994</v>
      </c>
      <c r="Z7" s="27">
        <f>股权价值增加表!Z6</f>
        <v>293543195.91000009</v>
      </c>
      <c r="AA7" s="27">
        <f>股权价值增加表!AA6</f>
        <v>193379649.33000004</v>
      </c>
      <c r="AB7" s="27">
        <f>股权价值增加表!AB6</f>
        <v>84579225.74000001</v>
      </c>
      <c r="AC7" s="27">
        <f>股权价值增加表!AC6</f>
        <v>383471830.41999996</v>
      </c>
      <c r="AD7" s="27">
        <f>股权价值增加表!AD6</f>
        <v>288180030.89999998</v>
      </c>
      <c r="AE7" s="27">
        <f>股权价值增加表!AE6</f>
        <v>202364303.55000007</v>
      </c>
      <c r="AF7" s="27">
        <f>股权价值增加表!AF6</f>
        <v>100942021.18000001</v>
      </c>
      <c r="AG7" s="27">
        <f>股权价值增加表!AG6</f>
        <v>458110083.95000005</v>
      </c>
      <c r="AH7" s="27">
        <f>股权价值增加表!AH6</f>
        <v>343985058.93999994</v>
      </c>
      <c r="AI7" s="27">
        <f>股权价值增加表!AI6</f>
        <v>225886125.89000005</v>
      </c>
      <c r="AJ7" s="27">
        <f>股权价值增加表!AJ6</f>
        <v>105124780.58999997</v>
      </c>
      <c r="AK7" s="27">
        <f>股权价值增加表!AK6</f>
        <v>388171582.85000014</v>
      </c>
      <c r="AL7" s="27">
        <f>股权价值增加表!AL6</f>
        <v>276058130.04999995</v>
      </c>
      <c r="AM7" s="27">
        <f>股权价值增加表!AM6</f>
        <v>175871402.01999998</v>
      </c>
      <c r="AN7" s="27">
        <f>股权价值增加表!AN6</f>
        <v>78591068.950000018</v>
      </c>
      <c r="AO7" s="27">
        <f>股权价值增加表!AO6</f>
        <v>331929729.45000005</v>
      </c>
      <c r="AP7" s="27">
        <f>股权价值增加表!AP6</f>
        <v>261187083.05999994</v>
      </c>
      <c r="AQ7" s="27">
        <f>股权价值增加表!AQ6</f>
        <v>168548725.56000006</v>
      </c>
      <c r="AR7" s="27">
        <f>股权价值增加表!AR6</f>
        <v>73125659.409999996</v>
      </c>
      <c r="AS7" s="27">
        <f>股权价值增加表!AS6</f>
        <v>300848085.79999995</v>
      </c>
      <c r="AT7" s="27">
        <f>股权价值增加表!AT6</f>
        <v>746141351.75999999</v>
      </c>
      <c r="AU7" s="27">
        <f>股权价值增加表!AU6</f>
        <v>150315540.17000002</v>
      </c>
      <c r="AV7" s="27">
        <f>股权价值增加表!AV6</f>
        <v>68340920.199999988</v>
      </c>
      <c r="AW7" s="27">
        <f>股权价值增加表!AW6</f>
        <v>276864387.94000006</v>
      </c>
      <c r="AX7" s="27">
        <f>股权价值增加表!AX6</f>
        <v>204379793.93999994</v>
      </c>
      <c r="AY7" s="27">
        <f>股权价值增加表!AY6</f>
        <v>133006406.02999997</v>
      </c>
      <c r="AZ7" s="27">
        <f>股权价值增加表!AZ6</f>
        <v>66980599.939999998</v>
      </c>
      <c r="BA7" s="27">
        <f>股权价值增加表!BA6</f>
        <v>233290231.80000001</v>
      </c>
      <c r="BB7" s="27">
        <f>股权价值增加表!BB6</f>
        <v>171721597.49000001</v>
      </c>
      <c r="BC7" s="27">
        <f>股权价值增加表!BC6</f>
        <v>114257757.78000003</v>
      </c>
      <c r="BD7" s="27">
        <f>股权价值增加表!BD6</f>
        <v>53022530.419999987</v>
      </c>
      <c r="BE7" s="27">
        <f>股权价值增加表!BE6</f>
        <v>212062643.70999998</v>
      </c>
      <c r="BF7" s="27">
        <f>股权价值增加表!BF6</f>
        <v>152761589.57000002</v>
      </c>
      <c r="BG7" s="27">
        <f>股权价值增加表!BG6</f>
        <v>103821118.95000002</v>
      </c>
      <c r="BH7" s="27">
        <f>股权价值增加表!BH6</f>
        <v>50676143.549999997</v>
      </c>
      <c r="BI7" s="27">
        <f>股权价值增加表!BI6</f>
        <v>181316045.96000004</v>
      </c>
      <c r="BJ7" s="27">
        <f>股权价值增加表!BJ6</f>
        <v>132193307.61999997</v>
      </c>
      <c r="BK7" s="27">
        <f>股权价值增加表!BK6</f>
        <v>89582460.909999996</v>
      </c>
      <c r="BL7" s="27">
        <f>股权价值增加表!BL6</f>
        <v>37316086.990000002</v>
      </c>
      <c r="BM7" s="27">
        <f>股权价值增加表!BM6</f>
        <v>157268448.86000001</v>
      </c>
      <c r="BN7" s="27">
        <f>股权价值增加表!BN6</f>
        <v>109229132.48000002</v>
      </c>
      <c r="BO7" s="27">
        <f>股权价值增加表!BO6</f>
        <v>69851005.169999987</v>
      </c>
      <c r="BP7" s="27">
        <f>股权价值增加表!BP6</f>
        <v>129161347.76000002</v>
      </c>
      <c r="BQ7" s="27">
        <f>股权价值增加表!BQ6</f>
        <v>61557369.810000017</v>
      </c>
      <c r="BR7" s="27">
        <f>股权价值增加表!BR6</f>
        <v>100362321.40000001</v>
      </c>
      <c r="BS7" s="27">
        <f>股权价值增加表!BS6</f>
        <v>86391399.289999992</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c r="A8" s="46" t="s">
        <v>356</v>
      </c>
      <c r="E8" s="66">
        <f>E7/E2</f>
        <v>0.32220256300870231</v>
      </c>
      <c r="F8" s="66">
        <f t="shared" ref="F8:BQ8" si="7">F7/F2</f>
        <v>0.32351627177603864</v>
      </c>
      <c r="G8" s="66">
        <f t="shared" si="7"/>
        <v>0.30751052555321845</v>
      </c>
      <c r="H8" s="66">
        <f t="shared" si="7"/>
        <v>0.28412928126301717</v>
      </c>
      <c r="I8" s="66">
        <f t="shared" si="7"/>
        <v>0.32805763934756949</v>
      </c>
      <c r="J8" s="66">
        <f t="shared" si="7"/>
        <v>0.32937451040938781</v>
      </c>
      <c r="K8" s="66">
        <f t="shared" si="7"/>
        <v>0.33137344904952643</v>
      </c>
      <c r="L8" s="66">
        <f t="shared" si="7"/>
        <v>0.31664346663145482</v>
      </c>
      <c r="M8" s="66">
        <f t="shared" si="7"/>
        <v>0.3130621900646916</v>
      </c>
      <c r="N8" s="66">
        <f t="shared" si="7"/>
        <v>0.30698258886335089</v>
      </c>
      <c r="O8" s="66">
        <f t="shared" si="7"/>
        <v>0.30062160304799218</v>
      </c>
      <c r="P8" s="66">
        <f t="shared" si="7"/>
        <v>0.29709889319800892</v>
      </c>
      <c r="Q8" s="66">
        <f t="shared" si="7"/>
        <v>0.26470598837330211</v>
      </c>
      <c r="R8" s="66">
        <f t="shared" si="7"/>
        <v>0.26684878692025837</v>
      </c>
      <c r="S8" s="66">
        <f t="shared" si="7"/>
        <v>0.27047184739706692</v>
      </c>
      <c r="T8" s="66">
        <f t="shared" si="7"/>
        <v>0.25257178386313056</v>
      </c>
      <c r="U8" s="66">
        <f t="shared" si="7"/>
        <v>0.2846206564552759</v>
      </c>
      <c r="V8" s="66">
        <f t="shared" si="7"/>
        <v>0.27941141681714682</v>
      </c>
      <c r="W8" s="66">
        <f t="shared" si="7"/>
        <v>0.28120090065317987</v>
      </c>
      <c r="X8" s="66">
        <f t="shared" si="7"/>
        <v>0.27694490712590286</v>
      </c>
      <c r="Y8" s="66">
        <f t="shared" si="7"/>
        <v>0.27757016133627521</v>
      </c>
      <c r="Z8" s="66">
        <f t="shared" si="7"/>
        <v>0.27399400429019471</v>
      </c>
      <c r="AA8" s="66">
        <f t="shared" si="7"/>
        <v>0.27129282410265659</v>
      </c>
      <c r="AB8" s="66">
        <f t="shared" si="7"/>
        <v>0.25844138510555942</v>
      </c>
      <c r="AC8" s="66">
        <f t="shared" si="7"/>
        <v>0.27446168760716733</v>
      </c>
      <c r="AD8" s="66">
        <f t="shared" si="7"/>
        <v>0.26718812405129094</v>
      </c>
      <c r="AE8" s="66">
        <f t="shared" si="7"/>
        <v>0.27319716837833585</v>
      </c>
      <c r="AF8" s="66">
        <f t="shared" si="7"/>
        <v>0.26984562818086238</v>
      </c>
      <c r="AG8" s="66">
        <f t="shared" si="7"/>
        <v>0.30269891792015985</v>
      </c>
      <c r="AH8" s="66">
        <f t="shared" si="7"/>
        <v>0.3246072867128128</v>
      </c>
      <c r="AI8" s="66">
        <f t="shared" si="7"/>
        <v>0.32067343817665939</v>
      </c>
      <c r="AJ8" s="66">
        <f t="shared" si="7"/>
        <v>0.31265457484656095</v>
      </c>
      <c r="AK8" s="66">
        <f t="shared" si="7"/>
        <v>0.3124976206338036</v>
      </c>
      <c r="AL8" s="66">
        <f t="shared" si="7"/>
        <v>0.32139498426306368</v>
      </c>
      <c r="AM8" s="66">
        <f t="shared" si="7"/>
        <v>0.31278616391399233</v>
      </c>
      <c r="AN8" s="66">
        <f t="shared" si="7"/>
        <v>0.29536089907526553</v>
      </c>
      <c r="AO8" s="66">
        <f t="shared" si="7"/>
        <v>0.28656824887567472</v>
      </c>
      <c r="AP8" s="66">
        <f t="shared" si="7"/>
        <v>0.29176099495561375</v>
      </c>
      <c r="AQ8" s="66">
        <f t="shared" si="7"/>
        <v>0.29768879769418</v>
      </c>
      <c r="AR8" s="66">
        <f t="shared" si="7"/>
        <v>0.29010015833720632</v>
      </c>
      <c r="AS8" s="66">
        <f t="shared" si="7"/>
        <v>0.29724260495834504</v>
      </c>
      <c r="AT8" s="66">
        <f t="shared" si="7"/>
        <v>1</v>
      </c>
      <c r="AU8" s="66">
        <f t="shared" si="7"/>
        <v>0.31022486278930811</v>
      </c>
      <c r="AV8" s="66">
        <f t="shared" si="7"/>
        <v>0.30587286344142695</v>
      </c>
      <c r="AW8" s="66">
        <f t="shared" si="7"/>
        <v>0.33489732867737732</v>
      </c>
      <c r="AX8" s="66">
        <f t="shared" si="7"/>
        <v>0.33830313732526396</v>
      </c>
      <c r="AY8" s="66">
        <f t="shared" si="7"/>
        <v>0.33462531979691218</v>
      </c>
      <c r="AZ8" s="66">
        <f t="shared" si="7"/>
        <v>0.32453864422568612</v>
      </c>
      <c r="BA8" s="66">
        <f t="shared" si="7"/>
        <v>0.34708630060971257</v>
      </c>
      <c r="BB8" s="66">
        <f t="shared" si="7"/>
        <v>0.3520433394217396</v>
      </c>
      <c r="BC8" s="66">
        <f t="shared" si="7"/>
        <v>0.35149776050797027</v>
      </c>
      <c r="BD8" s="66">
        <f t="shared" si="7"/>
        <v>0.34721226982635056</v>
      </c>
      <c r="BE8" s="66">
        <f t="shared" si="7"/>
        <v>0.37856320041749458</v>
      </c>
      <c r="BF8" s="66">
        <f t="shared" si="7"/>
        <v>0.38106241925452805</v>
      </c>
      <c r="BG8" s="66">
        <f t="shared" si="7"/>
        <v>0.38887143668272506</v>
      </c>
      <c r="BH8" s="66">
        <f t="shared" si="7"/>
        <v>0.38097371217428172</v>
      </c>
      <c r="BI8" s="66">
        <f t="shared" si="7"/>
        <v>0.38743611655527488</v>
      </c>
      <c r="BJ8" s="66">
        <f t="shared" si="7"/>
        <v>0.37856086326747235</v>
      </c>
      <c r="BK8" s="66">
        <f t="shared" si="7"/>
        <v>0.37891283533602504</v>
      </c>
      <c r="BL8" s="66">
        <f t="shared" si="7"/>
        <v>0.40938990378023876</v>
      </c>
      <c r="BM8" s="66">
        <f t="shared" si="7"/>
        <v>0.37239320105077828</v>
      </c>
      <c r="BN8" s="66">
        <f t="shared" si="7"/>
        <v>0.37231374579452492</v>
      </c>
      <c r="BO8" s="66">
        <f t="shared" si="7"/>
        <v>0.37188349351841171</v>
      </c>
      <c r="BP8" s="66">
        <f t="shared" si="7"/>
        <v>0.36891768377557493</v>
      </c>
      <c r="BQ8" s="66">
        <f t="shared" si="7"/>
        <v>0.38253879275857949</v>
      </c>
      <c r="BR8" s="66">
        <f t="shared" ref="BR8:CJ8" si="8">BR7/BR2</f>
        <v>0.34239943255717964</v>
      </c>
      <c r="BS8" s="66">
        <f t="shared" si="8"/>
        <v>0.3738154147645249</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c r="A9" s="46" t="s">
        <v>357</v>
      </c>
      <c r="E9" s="66">
        <f>(E7-I7)/I7</f>
        <v>0.11247846950323626</v>
      </c>
      <c r="F9" s="66">
        <f t="shared" ref="F9:BQ9" si="9">(F7-J7)/J7</f>
        <v>0.15656765325748595</v>
      </c>
      <c r="G9" s="66">
        <f t="shared" si="9"/>
        <v>9.9056745088942633E-2</v>
      </c>
      <c r="H9" s="66">
        <f t="shared" si="9"/>
        <v>0.14423641482270155</v>
      </c>
      <c r="I9" s="66">
        <f t="shared" si="9"/>
        <v>0.25116965195367119</v>
      </c>
      <c r="J9" s="66">
        <f t="shared" si="9"/>
        <v>0.18507597602588094</v>
      </c>
      <c r="K9" s="66">
        <f t="shared" si="9"/>
        <v>0.19866306724036376</v>
      </c>
      <c r="L9" s="66">
        <f t="shared" si="9"/>
        <v>0.15474765132489712</v>
      </c>
      <c r="M9" s="66">
        <f t="shared" si="9"/>
        <v>0.20512433512828451</v>
      </c>
      <c r="N9" s="66">
        <f t="shared" si="9"/>
        <v>0.22513064039797401</v>
      </c>
      <c r="O9" s="66">
        <f t="shared" si="9"/>
        <v>0.219976086472429</v>
      </c>
      <c r="P9" s="66">
        <f t="shared" si="9"/>
        <v>0.25423910190870413</v>
      </c>
      <c r="Q9" s="66">
        <f t="shared" si="9"/>
        <v>1.8284859339401469E-2</v>
      </c>
      <c r="R9" s="66">
        <f t="shared" si="9"/>
        <v>4.727136694068515E-2</v>
      </c>
      <c r="S9" s="66">
        <f t="shared" si="9"/>
        <v>3.1065097428254123E-2</v>
      </c>
      <c r="T9" s="66">
        <f t="shared" si="9"/>
        <v>-4.2173973221498358E-3</v>
      </c>
      <c r="U9" s="66">
        <f t="shared" si="9"/>
        <v>7.8799341131920414E-2</v>
      </c>
      <c r="V9" s="66">
        <f t="shared" si="9"/>
        <v>6.8362051921491335E-2</v>
      </c>
      <c r="W9" s="66">
        <f t="shared" si="9"/>
        <v>0.1035868445795783</v>
      </c>
      <c r="X9" s="66">
        <f t="shared" si="9"/>
        <v>0.16962937310520737</v>
      </c>
      <c r="Y9" s="66">
        <f t="shared" si="9"/>
        <v>6.2656319797165627E-2</v>
      </c>
      <c r="Z9" s="66">
        <f t="shared" si="9"/>
        <v>1.861046719042499E-2</v>
      </c>
      <c r="AA9" s="66">
        <f t="shared" si="9"/>
        <v>-4.439841445544325E-2</v>
      </c>
      <c r="AB9" s="66">
        <f t="shared" si="9"/>
        <v>-0.16210092931289566</v>
      </c>
      <c r="AC9" s="66">
        <f t="shared" si="9"/>
        <v>-0.16292645838843051</v>
      </c>
      <c r="AD9" s="66">
        <f t="shared" si="9"/>
        <v>-0.16223096494936379</v>
      </c>
      <c r="AE9" s="66">
        <f t="shared" si="9"/>
        <v>-0.10413132832892276</v>
      </c>
      <c r="AF9" s="66">
        <f t="shared" si="9"/>
        <v>-3.9788519762179203E-2</v>
      </c>
      <c r="AG9" s="66">
        <f t="shared" si="9"/>
        <v>0.18017419149156524</v>
      </c>
      <c r="AH9" s="66">
        <f t="shared" si="9"/>
        <v>0.24606023694247653</v>
      </c>
      <c r="AI9" s="66">
        <f t="shared" si="9"/>
        <v>0.28438235719706395</v>
      </c>
      <c r="AJ9" s="66">
        <f t="shared" si="9"/>
        <v>0.33761739081168141</v>
      </c>
      <c r="AK9" s="66">
        <f t="shared" si="9"/>
        <v>0.16943903606703611</v>
      </c>
      <c r="AL9" s="66">
        <f t="shared" si="9"/>
        <v>5.6936379915019882E-2</v>
      </c>
      <c r="AM9" s="66">
        <f t="shared" si="9"/>
        <v>4.3445457304233305E-2</v>
      </c>
      <c r="AN9" s="66">
        <f t="shared" si="9"/>
        <v>7.4739969308948509E-2</v>
      </c>
      <c r="AO9" s="66">
        <f t="shared" si="9"/>
        <v>0.10331341669450669</v>
      </c>
      <c r="AP9" s="66">
        <f t="shared" si="9"/>
        <v>-0.64994959407636199</v>
      </c>
      <c r="AQ9" s="66">
        <f t="shared" si="9"/>
        <v>0.12129940370356349</v>
      </c>
      <c r="AR9" s="66">
        <f t="shared" si="9"/>
        <v>7.0012800471481049E-2</v>
      </c>
      <c r="AS9" s="66">
        <f t="shared" si="9"/>
        <v>8.6626156720442715E-2</v>
      </c>
      <c r="AT9" s="66">
        <f t="shared" si="9"/>
        <v>2.6507589002611764</v>
      </c>
      <c r="AU9" s="66">
        <f t="shared" si="9"/>
        <v>0.13013759755372925</v>
      </c>
      <c r="AV9" s="66">
        <f t="shared" si="9"/>
        <v>2.0309168045949733E-2</v>
      </c>
      <c r="AW9" s="66">
        <f t="shared" si="9"/>
        <v>0.18678088578246269</v>
      </c>
      <c r="AX9" s="66">
        <f t="shared" si="9"/>
        <v>0.190181065907576</v>
      </c>
      <c r="AY9" s="66">
        <f t="shared" si="9"/>
        <v>0.16409081198757561</v>
      </c>
      <c r="AZ9" s="66">
        <f t="shared" si="9"/>
        <v>0.26324789498795886</v>
      </c>
      <c r="BA9" s="66">
        <f t="shared" si="9"/>
        <v>0.10010055386760713</v>
      </c>
      <c r="BB9" s="66">
        <f t="shared" si="9"/>
        <v>0.12411502114745888</v>
      </c>
      <c r="BC9" s="66">
        <f t="shared" si="9"/>
        <v>0.10052520080260617</v>
      </c>
      <c r="BD9" s="66">
        <f t="shared" si="9"/>
        <v>4.6301606744895842E-2</v>
      </c>
      <c r="BE9" s="66">
        <f t="shared" si="9"/>
        <v>0.16957460983228653</v>
      </c>
      <c r="BF9" s="66">
        <f t="shared" si="9"/>
        <v>0.15559246016542067</v>
      </c>
      <c r="BG9" s="66">
        <f t="shared" si="9"/>
        <v>0.15894470742777481</v>
      </c>
      <c r="BH9" s="66">
        <f t="shared" si="9"/>
        <v>0.35802404908050073</v>
      </c>
      <c r="BI9" s="66">
        <f t="shared" si="9"/>
        <v>0.15290795626405101</v>
      </c>
      <c r="BJ9" s="66">
        <f t="shared" si="9"/>
        <v>0.21023855649686427</v>
      </c>
      <c r="BK9" s="66">
        <f t="shared" si="9"/>
        <v>0.28247919542429706</v>
      </c>
      <c r="BL9" s="66">
        <f t="shared" si="9"/>
        <v>-0.71108936506811193</v>
      </c>
      <c r="BM9" s="66">
        <f t="shared" si="9"/>
        <v>1.5548272992399961</v>
      </c>
      <c r="BN9" s="66">
        <f t="shared" si="9"/>
        <v>8.8348007063933975E-2</v>
      </c>
      <c r="BO9" s="66">
        <f t="shared" si="9"/>
        <v>-0.19145880557481137</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c r="A10" s="127" t="s">
        <v>358</v>
      </c>
      <c r="E10" s="27">
        <f>股权价值增加表!E8</f>
        <v>32609223.289999999</v>
      </c>
      <c r="F10" s="27">
        <f>股权价值增加表!F8</f>
        <v>23958370.800000001</v>
      </c>
      <c r="G10" s="27">
        <f>股权价值增加表!G8</f>
        <v>16453610.789999999</v>
      </c>
      <c r="H10" s="27">
        <f>股权价值增加表!H8</f>
        <v>8827932.0099999998</v>
      </c>
      <c r="I10" s="27">
        <f>股权价值增加表!I8</f>
        <v>26306781.690000001</v>
      </c>
      <c r="J10" s="27">
        <f>股权价值增加表!J8</f>
        <v>11254195.640000001</v>
      </c>
      <c r="K10" s="27">
        <f>股权价值增加表!K8</f>
        <v>8091865.9900000002</v>
      </c>
      <c r="L10" s="27">
        <f>股权价值增加表!L8</f>
        <v>3842736.13</v>
      </c>
      <c r="M10" s="27">
        <f>股权价值增加表!M8</f>
        <v>14127458.35</v>
      </c>
      <c r="N10" s="27">
        <f>股权价值增加表!N8</f>
        <v>10982454.4</v>
      </c>
      <c r="O10" s="27">
        <f>股权价值增加表!O8</f>
        <v>7736321.0700000003</v>
      </c>
      <c r="P10" s="27">
        <f>股权价值增加表!P8</f>
        <v>3855290.08</v>
      </c>
      <c r="Q10" s="27">
        <f>股权价值增加表!Q8</f>
        <v>13678444.02</v>
      </c>
      <c r="R10" s="27">
        <f>股权价值增加表!R8</f>
        <v>9834744</v>
      </c>
      <c r="S10" s="27">
        <f>股权价值增加表!S8</f>
        <v>6293788.2800000003</v>
      </c>
      <c r="T10" s="27">
        <f>股权价值增加表!T8</f>
        <v>2925789.53</v>
      </c>
      <c r="U10" s="27">
        <f>股权价值增加表!U8</f>
        <v>12011351.15</v>
      </c>
      <c r="V10" s="27">
        <f>股权价值增加表!V8</f>
        <v>9009604.8100000005</v>
      </c>
      <c r="W10" s="27">
        <f>股权价值增加表!W8</f>
        <v>6465348.3600000003</v>
      </c>
      <c r="X10" s="27">
        <f>股权价值增加表!X8</f>
        <v>2635022.39</v>
      </c>
      <c r="Y10" s="27">
        <f>股权价值增加表!Y8</f>
        <v>9590386.3900000006</v>
      </c>
      <c r="Z10" s="27">
        <f>股权价值增加表!Z8</f>
        <v>6347982.5099999998</v>
      </c>
      <c r="AA10" s="27">
        <f>股权价值增加表!AA8</f>
        <v>4029760.16</v>
      </c>
      <c r="AB10" s="27">
        <f>股权价值增加表!AB8</f>
        <v>1529153.15</v>
      </c>
      <c r="AC10" s="27">
        <f>股权价值增加表!AC8</f>
        <v>7181078.29</v>
      </c>
      <c r="AD10" s="27">
        <f>股权价值增加表!AD8</f>
        <v>6657156.9199999999</v>
      </c>
      <c r="AE10" s="27">
        <f>股权价值增加表!AE8</f>
        <v>5118884.42</v>
      </c>
      <c r="AF10" s="27">
        <f>股权价值增加表!AF8</f>
        <v>2569824.13</v>
      </c>
      <c r="AG10" s="27">
        <f>股权价值增加表!AG8</f>
        <v>14515701.470000001</v>
      </c>
      <c r="AH10" s="27">
        <f>股权价值增加表!AH8</f>
        <v>8177518.0199999996</v>
      </c>
      <c r="AI10" s="27">
        <f>股权价值增加表!AI8</f>
        <v>5182403.62</v>
      </c>
      <c r="AJ10" s="27">
        <f>股权价值增加表!AJ8</f>
        <v>1873141.16</v>
      </c>
      <c r="AK10" s="27">
        <f>股权价值增加表!AK8</f>
        <v>11808952.529999999</v>
      </c>
      <c r="AL10" s="27">
        <f>股权价值增加表!AL8</f>
        <v>7236297.5999999996</v>
      </c>
      <c r="AM10" s="27">
        <f>股权价值增加表!AM8</f>
        <v>4689256.97</v>
      </c>
      <c r="AN10" s="27">
        <f>股权价值增加表!AN8</f>
        <v>1804981.4</v>
      </c>
      <c r="AO10" s="27">
        <f>股权价值增加表!AO8</f>
        <v>8934334.1699999999</v>
      </c>
      <c r="AP10" s="27">
        <f>股权价值增加表!AP8</f>
        <v>7119661.3700000001</v>
      </c>
      <c r="AQ10" s="27">
        <f>股权价值增加表!AQ8</f>
        <v>4526248.92</v>
      </c>
      <c r="AR10" s="27">
        <f>股权价值增加表!AR8</f>
        <v>1977399.43</v>
      </c>
      <c r="AS10" s="27">
        <f>股权价值增加表!AS8</f>
        <v>9883236.0399999991</v>
      </c>
      <c r="AT10" s="27">
        <f>股权价值增加表!AT8</f>
        <v>7156603.3700000001</v>
      </c>
      <c r="AU10" s="27">
        <f>股权价值增加表!AU8</f>
        <v>4775319.4800000004</v>
      </c>
      <c r="AV10" s="27">
        <f>股权价值增加表!AV8</f>
        <v>1415613.3</v>
      </c>
      <c r="AW10" s="27">
        <f>股权价值增加表!AW8</f>
        <v>7000235.2800000003</v>
      </c>
      <c r="AX10" s="27">
        <f>股权价值增加表!AX8</f>
        <v>4508247.88</v>
      </c>
      <c r="AY10" s="27">
        <f>股权价值增加表!AY8</f>
        <v>2600189.25</v>
      </c>
      <c r="AZ10" s="27">
        <f>股权价值增加表!AZ8</f>
        <v>1423981.97</v>
      </c>
      <c r="BA10" s="27">
        <f>股权价值增加表!BA8</f>
        <v>5174727.4400000004</v>
      </c>
      <c r="BB10" s="27">
        <f>股权价值增加表!BB8</f>
        <v>3457734.19</v>
      </c>
      <c r="BC10" s="27">
        <f>股权价值增加表!BC8</f>
        <v>2110781.17</v>
      </c>
      <c r="BD10" s="27">
        <f>股权价值增加表!BD8</f>
        <v>1245538.25</v>
      </c>
      <c r="BE10" s="27">
        <f>股权价值增加表!BE8</f>
        <v>4323490.9000000004</v>
      </c>
      <c r="BF10" s="27">
        <f>股权价值增加表!BF8</f>
        <v>2917693.14</v>
      </c>
      <c r="BG10" s="27">
        <f>股权价值增加表!BG8</f>
        <v>2086460.14</v>
      </c>
      <c r="BH10" s="27">
        <f>股权价值增加表!BH8</f>
        <v>1097748.3899999999</v>
      </c>
      <c r="BI10" s="27">
        <f>股权价值增加表!BI8</f>
        <v>3741638.11</v>
      </c>
      <c r="BJ10" s="27">
        <f>股权价值增加表!BJ8</f>
        <v>2814428.05</v>
      </c>
      <c r="BK10" s="27">
        <f>股权价值增加表!BK8</f>
        <v>1940266.44</v>
      </c>
      <c r="BL10" s="27">
        <f>股权价值增加表!BL8</f>
        <v>619804.93999999994</v>
      </c>
      <c r="BM10" s="27">
        <f>股权价值增加表!BM8</f>
        <v>2854778.81</v>
      </c>
      <c r="BN10" s="27">
        <f>股权价值增加表!BN8</f>
        <v>2057152.93</v>
      </c>
      <c r="BO10" s="27">
        <f>股权价值增加表!BO8</f>
        <v>1275812.6000000001</v>
      </c>
      <c r="BP10" s="27">
        <f>股权价值增加表!BP8</f>
        <v>2525421.6800000002</v>
      </c>
      <c r="BQ10" s="27">
        <f>股权价值增加表!BQ8</f>
        <v>1251046.1200000001</v>
      </c>
      <c r="BR10" s="27">
        <f>股权价值增加表!BR8</f>
        <v>2129550.58</v>
      </c>
      <c r="BS10" s="27">
        <f>股权价值增加表!BS8</f>
        <v>1848556.21</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359</v>
      </c>
      <c r="E11" s="57">
        <f>E10/E2</f>
        <v>1.3992442084781337E-2</v>
      </c>
      <c r="F11" s="57">
        <f t="shared" ref="F11:BQ11" si="11">F10/F2</f>
        <v>1.4054133416165794E-2</v>
      </c>
      <c r="G11" s="57">
        <f t="shared" si="11"/>
        <v>1.4307023101031841E-2</v>
      </c>
      <c r="H11" s="57">
        <f t="shared" si="11"/>
        <v>1.5364388423819441E-2</v>
      </c>
      <c r="I11" s="57">
        <f t="shared" si="11"/>
        <v>1.2785966536288494E-2</v>
      </c>
      <c r="J11" s="57">
        <f t="shared" si="11"/>
        <v>7.7736708894642088E-3</v>
      </c>
      <c r="K11" s="57">
        <f t="shared" si="11"/>
        <v>8.3332532203886714E-3</v>
      </c>
      <c r="L11" s="57">
        <f t="shared" si="11"/>
        <v>8.5283922266785467E-3</v>
      </c>
      <c r="M11" s="57">
        <f t="shared" si="11"/>
        <v>8.1983516717118749E-3</v>
      </c>
      <c r="N11" s="57">
        <f t="shared" si="11"/>
        <v>8.3787850617597394E-3</v>
      </c>
      <c r="O11" s="57">
        <f t="shared" si="11"/>
        <v>8.66363176336888E-3</v>
      </c>
      <c r="P11" s="57">
        <f t="shared" si="11"/>
        <v>9.2704593243770599E-3</v>
      </c>
      <c r="Q11" s="57">
        <f t="shared" si="11"/>
        <v>8.0884295832631715E-3</v>
      </c>
      <c r="R11" s="57">
        <f t="shared" si="11"/>
        <v>7.9905852803484213E-3</v>
      </c>
      <c r="S11" s="57">
        <f t="shared" si="11"/>
        <v>7.7362559158028772E-3</v>
      </c>
      <c r="T11" s="57">
        <f t="shared" si="11"/>
        <v>7.5015568888617424E-3</v>
      </c>
      <c r="U11" s="57">
        <f t="shared" si="11"/>
        <v>7.7766277595094583E-3</v>
      </c>
      <c r="V11" s="57">
        <f t="shared" si="11"/>
        <v>8.0271137556134839E-3</v>
      </c>
      <c r="W11" s="57">
        <f t="shared" si="11"/>
        <v>8.5190536699966176E-3</v>
      </c>
      <c r="X11" s="57">
        <f t="shared" si="11"/>
        <v>7.3767611442896175E-3</v>
      </c>
      <c r="Y11" s="57">
        <f t="shared" si="11"/>
        <v>6.5325476598441061E-3</v>
      </c>
      <c r="Z11" s="57">
        <f t="shared" si="11"/>
        <v>5.9252238556818417E-3</v>
      </c>
      <c r="AA11" s="57">
        <f t="shared" si="11"/>
        <v>5.6533612407020338E-3</v>
      </c>
      <c r="AB11" s="57">
        <f t="shared" si="11"/>
        <v>4.6725003056823818E-3</v>
      </c>
      <c r="AC11" s="57">
        <f t="shared" si="11"/>
        <v>5.1397018241311678E-3</v>
      </c>
      <c r="AD11" s="57">
        <f t="shared" si="11"/>
        <v>6.1722294338537737E-3</v>
      </c>
      <c r="AE11" s="57">
        <f t="shared" si="11"/>
        <v>6.9106295145302055E-3</v>
      </c>
      <c r="AF11" s="57">
        <f t="shared" si="11"/>
        <v>6.8698426935360881E-3</v>
      </c>
      <c r="AG11" s="57">
        <f t="shared" si="11"/>
        <v>9.5913346633527494E-3</v>
      </c>
      <c r="AH11" s="57">
        <f t="shared" si="11"/>
        <v>7.7168524257919726E-3</v>
      </c>
      <c r="AI11" s="57">
        <f t="shared" si="11"/>
        <v>7.3570662221806521E-3</v>
      </c>
      <c r="AJ11" s="57">
        <f t="shared" si="11"/>
        <v>5.5709619532190845E-3</v>
      </c>
      <c r="AK11" s="57">
        <f t="shared" si="11"/>
        <v>9.5067999071651622E-3</v>
      </c>
      <c r="AL11" s="57">
        <f t="shared" si="11"/>
        <v>8.4247102335062926E-3</v>
      </c>
      <c r="AM11" s="57">
        <f t="shared" si="11"/>
        <v>8.3398135365205916E-3</v>
      </c>
      <c r="AN11" s="57">
        <f t="shared" si="11"/>
        <v>6.7834798055400594E-3</v>
      </c>
      <c r="AO11" s="57">
        <f t="shared" si="11"/>
        <v>7.7133690381074246E-3</v>
      </c>
      <c r="AP11" s="57">
        <f t="shared" si="11"/>
        <v>7.9530712649410161E-3</v>
      </c>
      <c r="AQ11" s="57">
        <f t="shared" si="11"/>
        <v>7.9942081708575582E-3</v>
      </c>
      <c r="AR11" s="57">
        <f t="shared" si="11"/>
        <v>7.8446319987708069E-3</v>
      </c>
      <c r="AS11" s="57">
        <f t="shared" si="11"/>
        <v>9.7647914831698705E-3</v>
      </c>
      <c r="AT11" s="57">
        <f t="shared" si="11"/>
        <v>9.5914847141483142E-3</v>
      </c>
      <c r="AU11" s="57">
        <f t="shared" si="11"/>
        <v>9.8554203296790793E-3</v>
      </c>
      <c r="AV11" s="57">
        <f t="shared" si="11"/>
        <v>6.3358481613884944E-3</v>
      </c>
      <c r="AW11" s="57">
        <f t="shared" si="11"/>
        <v>8.4675393351534411E-3</v>
      </c>
      <c r="AX11" s="57">
        <f t="shared" si="11"/>
        <v>7.4623541409955217E-3</v>
      </c>
      <c r="AY11" s="57">
        <f t="shared" si="11"/>
        <v>6.5417086686598552E-3</v>
      </c>
      <c r="AZ11" s="57">
        <f t="shared" si="11"/>
        <v>6.8995676115113291E-3</v>
      </c>
      <c r="BA11" s="57">
        <f t="shared" si="11"/>
        <v>7.6988950199721497E-3</v>
      </c>
      <c r="BB11" s="57">
        <f t="shared" si="11"/>
        <v>7.0886382893753947E-3</v>
      </c>
      <c r="BC11" s="57">
        <f t="shared" si="11"/>
        <v>6.4935184147930421E-3</v>
      </c>
      <c r="BD11" s="57">
        <f t="shared" si="11"/>
        <v>8.1562716738036931E-3</v>
      </c>
      <c r="BE11" s="57">
        <f t="shared" si="11"/>
        <v>7.7180710541275479E-3</v>
      </c>
      <c r="BF11" s="57">
        <f t="shared" si="11"/>
        <v>7.2781594489841912E-3</v>
      </c>
      <c r="BG11" s="57">
        <f t="shared" si="11"/>
        <v>7.8150260797496401E-3</v>
      </c>
      <c r="BH11" s="57">
        <f t="shared" si="11"/>
        <v>8.2526658477673591E-3</v>
      </c>
      <c r="BI11" s="57">
        <f t="shared" si="11"/>
        <v>7.9951320977594189E-3</v>
      </c>
      <c r="BJ11" s="57">
        <f t="shared" si="11"/>
        <v>8.0596539370575201E-3</v>
      </c>
      <c r="BK11" s="57">
        <f t="shared" si="11"/>
        <v>8.2068727585677074E-3</v>
      </c>
      <c r="BL11" s="57">
        <f t="shared" si="11"/>
        <v>6.7997988325280354E-3</v>
      </c>
      <c r="BM11" s="57">
        <f t="shared" si="11"/>
        <v>6.7597806620080603E-3</v>
      </c>
      <c r="BN11" s="57">
        <f t="shared" si="11"/>
        <v>7.011923427852184E-3</v>
      </c>
      <c r="BO11" s="57">
        <f t="shared" si="11"/>
        <v>6.7923667756549207E-3</v>
      </c>
      <c r="BP11" s="57">
        <f t="shared" si="11"/>
        <v>7.2132470967506499E-3</v>
      </c>
      <c r="BQ11" s="57">
        <f t="shared" si="11"/>
        <v>7.7744334091473886E-3</v>
      </c>
      <c r="BR11" s="57">
        <f t="shared" ref="BR11:CJ11" si="12">BR10/BR2</f>
        <v>7.2652455625026304E-3</v>
      </c>
      <c r="BS11" s="57">
        <f t="shared" si="12"/>
        <v>7.9986990838875702E-3</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27" t="s">
        <v>360</v>
      </c>
      <c r="E12" s="27">
        <f>股权价值增加表!E9</f>
        <v>195515731.11000001</v>
      </c>
      <c r="F12" s="27">
        <f>股权价值增加表!F9</f>
        <v>136476829.38999999</v>
      </c>
      <c r="G12" s="27">
        <f>股权价值增加表!G9</f>
        <v>91569975.510000005</v>
      </c>
      <c r="H12" s="27">
        <f>股权价值增加表!H9</f>
        <v>39320130.140000001</v>
      </c>
      <c r="I12" s="27">
        <f>股权价值增加表!I9</f>
        <v>193674447.63</v>
      </c>
      <c r="J12" s="27">
        <f>股权价值增加表!J9</f>
        <v>136905223.27000001</v>
      </c>
      <c r="K12" s="27">
        <f>股权价值增加表!K9</f>
        <v>95464307.890000001</v>
      </c>
      <c r="L12" s="27">
        <f>股权价值增加表!L9</f>
        <v>42386417.810000002</v>
      </c>
      <c r="M12" s="27">
        <f>股权价值增加表!M9</f>
        <v>176646381.94</v>
      </c>
      <c r="N12" s="27">
        <f>股权价值增加表!N9</f>
        <v>131087134.95999999</v>
      </c>
      <c r="O12" s="27">
        <f>股权价值增加表!O9</f>
        <v>96208814.079999998</v>
      </c>
      <c r="P12" s="27">
        <f>股权价值增加表!P9</f>
        <v>40851492.890000001</v>
      </c>
      <c r="Q12" s="27">
        <f>股权价值增加表!Q9</f>
        <v>156373144.61000001</v>
      </c>
      <c r="R12" s="27">
        <f>股权价值增加表!R9</f>
        <v>112695222.38</v>
      </c>
      <c r="S12" s="27">
        <f>股权价值增加表!S9</f>
        <v>72217973.909999996</v>
      </c>
      <c r="T12" s="27">
        <f>股权价值增加表!T9</f>
        <v>31381634.989999998</v>
      </c>
      <c r="U12" s="27">
        <f>股权价值增加表!U9</f>
        <v>136901120.13</v>
      </c>
      <c r="V12" s="27">
        <f>股权价值增加表!V9</f>
        <v>100782662.40000001</v>
      </c>
      <c r="W12" s="27">
        <f>股权价值增加表!W9</f>
        <v>68236768.319999993</v>
      </c>
      <c r="X12" s="27">
        <f>股权价值增加表!X9</f>
        <v>32360470.100000001</v>
      </c>
      <c r="Y12" s="27">
        <f>股权价值增加表!Y9</f>
        <v>121223727.97</v>
      </c>
      <c r="Z12" s="27">
        <f>股权价值增加表!Z9</f>
        <v>89826584.159999996</v>
      </c>
      <c r="AA12" s="27">
        <f>股权价值增加表!AA9</f>
        <v>59299407.460000001</v>
      </c>
      <c r="AB12" s="27">
        <f>股权价值增加表!AB9</f>
        <v>21389877.350000001</v>
      </c>
      <c r="AC12" s="27">
        <f>股权价值增加表!AC9</f>
        <v>118874325.77</v>
      </c>
      <c r="AD12" s="27">
        <f>股权价值增加表!AD9</f>
        <v>78213334.299999997</v>
      </c>
      <c r="AE12" s="27">
        <f>股权价值增加表!AE9</f>
        <v>60316363.409999996</v>
      </c>
      <c r="AF12" s="27">
        <f>股权价值增加表!AF9</f>
        <v>29241170.300000001</v>
      </c>
      <c r="AG12" s="27">
        <f>股权价值增加表!AG9</f>
        <v>144614384.90000001</v>
      </c>
      <c r="AH12" s="27">
        <f>股权价值增加表!AH9</f>
        <v>101157630.55</v>
      </c>
      <c r="AI12" s="27">
        <f>股权价值增加表!AI9</f>
        <v>65968283.810000002</v>
      </c>
      <c r="AJ12" s="27">
        <f>股权价值增加表!AJ9</f>
        <v>32530306.699999999</v>
      </c>
      <c r="AK12" s="27">
        <f>股权价值增加表!AK9</f>
        <v>114100864.88</v>
      </c>
      <c r="AL12" s="27">
        <f>股权价值增加表!AL9</f>
        <v>81063805.120000005</v>
      </c>
      <c r="AM12" s="27">
        <f>股权价值增加表!AM9</f>
        <v>48276995.700000003</v>
      </c>
      <c r="AN12" s="27">
        <f>股权价值增加表!AN9</f>
        <v>17157224.27</v>
      </c>
      <c r="AO12" s="27">
        <f>股权价值增加表!AO9</f>
        <v>107969902.64</v>
      </c>
      <c r="AP12" s="27">
        <f>股权价值增加表!AP9</f>
        <v>77724808.670000002</v>
      </c>
      <c r="AQ12" s="27">
        <f>股权价值增加表!AQ9</f>
        <v>48046909.369999997</v>
      </c>
      <c r="AR12" s="27">
        <f>股权价值增加表!AR9</f>
        <v>17952830.829999998</v>
      </c>
      <c r="AS12" s="27">
        <f>股权价值增加表!AS9</f>
        <v>84961328.189999998</v>
      </c>
      <c r="AT12" s="27">
        <f>股权价值增加表!AT9</f>
        <v>54355061.079999998</v>
      </c>
      <c r="AU12" s="27">
        <f>股权价值增加表!AU9</f>
        <v>33253698.199999999</v>
      </c>
      <c r="AV12" s="27">
        <f>股权价值增加表!AV9</f>
        <v>16410012.84</v>
      </c>
      <c r="AW12" s="27">
        <f>股权价值增加表!AW9</f>
        <v>61663457.020000003</v>
      </c>
      <c r="AX12" s="27">
        <f>股权价值增加表!AX9</f>
        <v>44019409.439999998</v>
      </c>
      <c r="AY12" s="27">
        <f>股权价值增加表!AY9</f>
        <v>28606536.489999998</v>
      </c>
      <c r="AZ12" s="27">
        <f>股权价值增加表!AZ9</f>
        <v>12788351.35</v>
      </c>
      <c r="BA12" s="27">
        <f>股权价值增加表!BA9</f>
        <v>52247632.82</v>
      </c>
      <c r="BB12" s="27">
        <f>股权价值增加表!BB9</f>
        <v>37205674.159999996</v>
      </c>
      <c r="BC12" s="27">
        <f>股权价值增加表!BC9</f>
        <v>22670069.52</v>
      </c>
      <c r="BD12" s="27">
        <f>股权价值增加表!BD9</f>
        <v>9745368.2100000009</v>
      </c>
      <c r="BE12" s="27">
        <f>股权价值增加表!BE9</f>
        <v>52620458.640000001</v>
      </c>
      <c r="BF12" s="27">
        <f>股权价值增加表!BF9</f>
        <v>38976523.07</v>
      </c>
      <c r="BG12" s="27">
        <f>股权价值增加表!BG9</f>
        <v>26526774.940000001</v>
      </c>
      <c r="BH12" s="27">
        <f>股权价值增加表!BH9</f>
        <v>12247541.789999999</v>
      </c>
      <c r="BI12" s="27">
        <f>股权价值增加表!BI9</f>
        <v>40337440.609999999</v>
      </c>
      <c r="BJ12" s="27">
        <f>股权价值增加表!BJ9</f>
        <v>30067251.440000001</v>
      </c>
      <c r="BK12" s="27">
        <f>股权价值增加表!BK9</f>
        <v>20385282.850000001</v>
      </c>
      <c r="BL12" s="27">
        <f>股权价值增加表!BL9</f>
        <v>9854951.4399999995</v>
      </c>
      <c r="BM12" s="27">
        <f>股权价值增加表!BM9</f>
        <v>41270031.350000001</v>
      </c>
      <c r="BN12" s="27">
        <f>股权价值增加表!BN9</f>
        <v>27704403.34</v>
      </c>
      <c r="BO12" s="27">
        <f>股权价值增加表!BO9</f>
        <v>15177775.140000001</v>
      </c>
      <c r="BP12" s="27">
        <f>股权价值增加表!BP9</f>
        <v>36693004.859999999</v>
      </c>
      <c r="BQ12" s="27">
        <f>股权价值增加表!BQ9</f>
        <v>16486819.619999999</v>
      </c>
      <c r="BR12" s="27">
        <f>股权价值增加表!BR9</f>
        <v>24627604.539999999</v>
      </c>
      <c r="BS12" s="27">
        <f>股权价值增加表!BS9</f>
        <v>18450196</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361</v>
      </c>
      <c r="E13" s="57">
        <f>E12/E2</f>
        <v>8.389474719746863E-2</v>
      </c>
      <c r="F13" s="57">
        <f t="shared" ref="F13:BQ13" si="13">F12/F2</f>
        <v>8.0058180269184112E-2</v>
      </c>
      <c r="G13" s="57">
        <f t="shared" si="13"/>
        <v>7.962348032315951E-2</v>
      </c>
      <c r="H13" s="57">
        <f t="shared" si="13"/>
        <v>6.8433892746540298E-2</v>
      </c>
      <c r="I13" s="57">
        <f t="shared" si="13"/>
        <v>9.4132191292432402E-2</v>
      </c>
      <c r="J13" s="57">
        <f t="shared" si="13"/>
        <v>9.4565278834054189E-2</v>
      </c>
      <c r="K13" s="57">
        <f t="shared" si="13"/>
        <v>9.8312089218931586E-2</v>
      </c>
      <c r="L13" s="57">
        <f t="shared" si="13"/>
        <v>9.4070470606982093E-2</v>
      </c>
      <c r="M13" s="57">
        <f t="shared" si="13"/>
        <v>0.10251024103565334</v>
      </c>
      <c r="N13" s="57">
        <f t="shared" si="13"/>
        <v>0.10000960515636019</v>
      </c>
      <c r="O13" s="57">
        <f t="shared" si="13"/>
        <v>0.10774084090327693</v>
      </c>
      <c r="P13" s="57">
        <f t="shared" si="13"/>
        <v>9.8231804953266624E-2</v>
      </c>
      <c r="Q13" s="57">
        <f t="shared" si="13"/>
        <v>9.2467620369836051E-2</v>
      </c>
      <c r="R13" s="57">
        <f t="shared" si="13"/>
        <v>9.1563215587026972E-2</v>
      </c>
      <c r="S13" s="57">
        <f t="shared" si="13"/>
        <v>8.8769545944836784E-2</v>
      </c>
      <c r="T13" s="57">
        <f t="shared" si="13"/>
        <v>8.0460715895370377E-2</v>
      </c>
      <c r="U13" s="57">
        <f t="shared" si="13"/>
        <v>8.8635244929201579E-2</v>
      </c>
      <c r="V13" s="57">
        <f t="shared" si="13"/>
        <v>8.9792384098852596E-2</v>
      </c>
      <c r="W13" s="57">
        <f t="shared" si="13"/>
        <v>8.9912044829894497E-2</v>
      </c>
      <c r="X13" s="57">
        <f t="shared" si="13"/>
        <v>9.0593332091051401E-2</v>
      </c>
      <c r="Y13" s="57">
        <f t="shared" si="13"/>
        <v>8.2572249778562049E-2</v>
      </c>
      <c r="Z13" s="57">
        <f t="shared" si="13"/>
        <v>8.3844373940980599E-2</v>
      </c>
      <c r="AA13" s="57">
        <f t="shared" si="13"/>
        <v>8.319129636016874E-2</v>
      </c>
      <c r="AB13" s="57">
        <f t="shared" si="13"/>
        <v>6.5359188160050333E-2</v>
      </c>
      <c r="AC13" s="57">
        <f t="shared" si="13"/>
        <v>8.5081733456833217E-2</v>
      </c>
      <c r="AD13" s="57">
        <f t="shared" si="13"/>
        <v>7.2516037985522641E-2</v>
      </c>
      <c r="AE13" s="57">
        <f t="shared" si="13"/>
        <v>8.1428687774567049E-2</v>
      </c>
      <c r="AF13" s="57">
        <f t="shared" si="13"/>
        <v>7.8169645070575111E-2</v>
      </c>
      <c r="AG13" s="57">
        <f t="shared" si="13"/>
        <v>9.5554800818785812E-2</v>
      </c>
      <c r="AH13" s="57">
        <f t="shared" si="13"/>
        <v>9.5459099544379325E-2</v>
      </c>
      <c r="AI13" s="57">
        <f t="shared" si="13"/>
        <v>9.365018013664049E-2</v>
      </c>
      <c r="AJ13" s="57">
        <f t="shared" si="13"/>
        <v>9.6749302627169798E-2</v>
      </c>
      <c r="AK13" s="57">
        <f t="shared" si="13"/>
        <v>9.1856927097720212E-2</v>
      </c>
      <c r="AL13" s="57">
        <f t="shared" si="13"/>
        <v>9.4376863185038684E-2</v>
      </c>
      <c r="AM13" s="57">
        <f t="shared" si="13"/>
        <v>8.5860328153738702E-2</v>
      </c>
      <c r="AN13" s="57">
        <f t="shared" si="13"/>
        <v>6.4480267970997804E-2</v>
      </c>
      <c r="AO13" s="57">
        <f t="shared" si="13"/>
        <v>9.3214747537347722E-2</v>
      </c>
      <c r="AP13" s="57">
        <f t="shared" si="13"/>
        <v>8.6823081925090959E-2</v>
      </c>
      <c r="AQ13" s="57">
        <f t="shared" si="13"/>
        <v>8.4859892210724139E-2</v>
      </c>
      <c r="AR13" s="57">
        <f t="shared" si="13"/>
        <v>7.1221498833716687E-2</v>
      </c>
      <c r="AS13" s="57">
        <f t="shared" si="13"/>
        <v>8.3943118483742335E-2</v>
      </c>
      <c r="AT13" s="57">
        <f t="shared" si="13"/>
        <v>7.2848208924203378E-2</v>
      </c>
      <c r="AU13" s="57">
        <f t="shared" si="13"/>
        <v>6.8629790038109151E-2</v>
      </c>
      <c r="AV13" s="57">
        <f t="shared" si="13"/>
        <v>7.3446152053442543E-2</v>
      </c>
      <c r="AW13" s="57">
        <f t="shared" si="13"/>
        <v>7.4588599807518696E-2</v>
      </c>
      <c r="AX13" s="57">
        <f t="shared" si="13"/>
        <v>7.2863877733085378E-2</v>
      </c>
      <c r="AY13" s="57">
        <f t="shared" si="13"/>
        <v>7.19700028515107E-2</v>
      </c>
      <c r="AZ13" s="57">
        <f t="shared" si="13"/>
        <v>6.1962929754712542E-2</v>
      </c>
      <c r="BA13" s="57">
        <f t="shared" si="13"/>
        <v>7.7733377223676819E-2</v>
      </c>
      <c r="BB13" s="57">
        <f t="shared" si="13"/>
        <v>7.6274679295865913E-2</v>
      </c>
      <c r="BC13" s="57">
        <f t="shared" si="13"/>
        <v>6.9741248398932074E-2</v>
      </c>
      <c r="BD13" s="57">
        <f t="shared" si="13"/>
        <v>6.3816483100386526E-2</v>
      </c>
      <c r="BE13" s="57">
        <f t="shared" si="13"/>
        <v>9.3935305538471195E-2</v>
      </c>
      <c r="BF13" s="57">
        <f t="shared" si="13"/>
        <v>9.7226588286961124E-2</v>
      </c>
      <c r="BG13" s="57">
        <f t="shared" si="13"/>
        <v>9.9358446391287977E-2</v>
      </c>
      <c r="BH13" s="57">
        <f t="shared" si="13"/>
        <v>9.2074714725326551E-2</v>
      </c>
      <c r="BI13" s="57">
        <f t="shared" si="13"/>
        <v>8.6193040770176269E-2</v>
      </c>
      <c r="BJ13" s="57">
        <f t="shared" si="13"/>
        <v>8.6103335079002793E-2</v>
      </c>
      <c r="BK13" s="57">
        <f t="shared" si="13"/>
        <v>8.6224973564642232E-2</v>
      </c>
      <c r="BL13" s="57">
        <f t="shared" si="13"/>
        <v>0.10811738173034324</v>
      </c>
      <c r="BM13" s="57">
        <f t="shared" si="13"/>
        <v>9.7722583221849124E-2</v>
      </c>
      <c r="BN13" s="57">
        <f t="shared" si="13"/>
        <v>9.4432043433159973E-2</v>
      </c>
      <c r="BO13" s="57">
        <f t="shared" si="13"/>
        <v>8.0805766920076835E-2</v>
      </c>
      <c r="BP13" s="57">
        <f t="shared" si="13"/>
        <v>0.10480456110500029</v>
      </c>
      <c r="BQ13" s="57">
        <f t="shared" si="13"/>
        <v>0.10245480099831543</v>
      </c>
      <c r="BR13" s="57">
        <f t="shared" ref="BR13:CJ13" si="14">BR12/BR2</f>
        <v>8.4020354472775477E-2</v>
      </c>
      <c r="BS13" s="57">
        <f t="shared" si="14"/>
        <v>7.9833961793753683E-2</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27" t="s">
        <v>362</v>
      </c>
      <c r="E14" s="26">
        <f>股权价值增加表!E10</f>
        <v>197402020.00999999</v>
      </c>
      <c r="F14" s="26">
        <f>股权价值增加表!F10</f>
        <v>150917124.31999999</v>
      </c>
      <c r="G14" s="26">
        <f>股权价值增加表!G10</f>
        <v>84464700.480000004</v>
      </c>
      <c r="H14" s="26">
        <f>股权价值增加表!H10</f>
        <v>34819249.840000004</v>
      </c>
      <c r="I14" s="26">
        <f>股权价值增加表!I10</f>
        <v>133257009.31999999</v>
      </c>
      <c r="J14" s="26">
        <f>股权价值增加表!J10</f>
        <v>105429596.77</v>
      </c>
      <c r="K14" s="26">
        <f>股权价值增加表!K10</f>
        <v>72211426.530000001</v>
      </c>
      <c r="L14" s="26">
        <f>股权价值增加表!L10</f>
        <v>34878450.439999998</v>
      </c>
      <c r="M14" s="26">
        <f>股权价值增加表!M10</f>
        <v>111178732.95999999</v>
      </c>
      <c r="N14" s="26">
        <f>股权价值增加表!N10</f>
        <v>85042533.200000003</v>
      </c>
      <c r="O14" s="26">
        <f>股权价值增加表!O10</f>
        <v>56280089.619999997</v>
      </c>
      <c r="P14" s="26">
        <f>股权价值增加表!P10</f>
        <v>30874311.73</v>
      </c>
      <c r="Q14" s="26">
        <f>股权价值增加表!Q10</f>
        <v>92841424.159999996</v>
      </c>
      <c r="R14" s="26">
        <f>股权价值增加表!R10</f>
        <v>66824485.920000002</v>
      </c>
      <c r="S14" s="26">
        <f>股权价值增加表!S10</f>
        <v>44810493.990000002</v>
      </c>
      <c r="T14" s="26">
        <f>股权价值增加表!T10</f>
        <v>22124442.120000001</v>
      </c>
      <c r="U14" s="26">
        <f>股权价值增加表!U10</f>
        <v>92042333.799999997</v>
      </c>
      <c r="V14" s="26">
        <f>股权价值增加表!V10</f>
        <v>62153636.380000003</v>
      </c>
      <c r="W14" s="26">
        <f>股权价值增加表!W10</f>
        <v>41678536.289999999</v>
      </c>
      <c r="X14" s="26">
        <f>股权价值增加表!X10</f>
        <v>20365627.23</v>
      </c>
      <c r="Y14" s="26">
        <f>股权价值增加表!Y10</f>
        <v>88696133.489999995</v>
      </c>
      <c r="Z14" s="26">
        <f>股权价值增加表!Z10</f>
        <v>64464993.710000001</v>
      </c>
      <c r="AA14" s="26">
        <f>股权价值增加表!AA10</f>
        <v>42860569.25</v>
      </c>
      <c r="AB14" s="26">
        <f>股权价值增加表!AB10</f>
        <v>23222635.899999999</v>
      </c>
      <c r="AC14" s="26">
        <f>股权价值增加表!AC10</f>
        <v>97127072.049999997</v>
      </c>
      <c r="AD14" s="26">
        <f>股权价值增加表!AD10</f>
        <v>59456124.810000002</v>
      </c>
      <c r="AE14" s="26">
        <f>股权价值增加表!AE10</f>
        <v>36348109.229999997</v>
      </c>
      <c r="AF14" s="26">
        <f>股权价值增加表!AF10</f>
        <v>16676547.470000001</v>
      </c>
      <c r="AG14" s="26">
        <f>股权价值增加表!AG10</f>
        <v>74906223.370000005</v>
      </c>
      <c r="AH14" s="26">
        <f>股权价值增加表!AH10</f>
        <v>57858620.539999999</v>
      </c>
      <c r="AI14" s="26">
        <f>股权价值增加表!AI10</f>
        <v>38908166.909999996</v>
      </c>
      <c r="AJ14" s="26">
        <f>股权价值增加表!AJ10</f>
        <v>16125793.960000001</v>
      </c>
      <c r="AK14" s="26">
        <f>股权价值增加表!AK10</f>
        <v>74153649.760000005</v>
      </c>
      <c r="AL14" s="26">
        <f>股权价值增加表!AL10</f>
        <v>54778332.560000002</v>
      </c>
      <c r="AM14" s="26">
        <f>股权价值增加表!AM10</f>
        <v>35579197.030000001</v>
      </c>
      <c r="AN14" s="26">
        <f>股权价值增加表!AN10</f>
        <v>16124039.439999999</v>
      </c>
      <c r="AO14" s="26">
        <f>股权价值增加表!AO10</f>
        <v>57170546.460000001</v>
      </c>
      <c r="AP14" s="26">
        <f>股权价值增加表!AP10</f>
        <v>41852232.539999999</v>
      </c>
      <c r="AQ14" s="26">
        <f>股权价值增加表!AQ10</f>
        <v>28724292.07</v>
      </c>
      <c r="AR14" s="26">
        <f>股权价值增加表!AR10</f>
        <v>12394912.02</v>
      </c>
      <c r="AS14" s="26">
        <f>股权价值增加表!AS10</f>
        <v>43014387.200000003</v>
      </c>
      <c r="AT14" s="26">
        <f>股权价值增加表!AT10</f>
        <v>43786161.289999999</v>
      </c>
      <c r="AU14" s="26">
        <f>股权价值增加表!AU10</f>
        <v>27311664.02</v>
      </c>
      <c r="AV14" s="26">
        <f>股权价值增加表!AV10</f>
        <v>12601679.59</v>
      </c>
      <c r="AW14" s="26">
        <f>股权价值增加表!AW10</f>
        <v>57559441.780000001</v>
      </c>
      <c r="AX14" s="26">
        <f>股权价值增加表!AX10</f>
        <v>41191125.170000002</v>
      </c>
      <c r="AY14" s="26">
        <f>股权价值增加表!AY10</f>
        <v>27179103.23</v>
      </c>
      <c r="AZ14" s="26">
        <f>股权价值增加表!AZ10</f>
        <v>16546640.869999999</v>
      </c>
      <c r="BA14" s="26">
        <f>股权价值增加表!BA10</f>
        <v>45625377.310000002</v>
      </c>
      <c r="BB14" s="26">
        <f>股权价值增加表!BB10</f>
        <v>33966246.490000002</v>
      </c>
      <c r="BC14" s="26">
        <f>股权价值增加表!BC10</f>
        <v>23585552.079999998</v>
      </c>
      <c r="BD14" s="26">
        <f>股权价值增加表!BD10</f>
        <v>9546078.5899999999</v>
      </c>
      <c r="BE14" s="26">
        <f>股权价值增加表!BE10</f>
        <v>40030575.009999998</v>
      </c>
      <c r="BF14" s="26">
        <f>股权价值增加表!BF10</f>
        <v>29773856.199999999</v>
      </c>
      <c r="BG14" s="26">
        <f>股权价值增加表!BG10</f>
        <v>21747811.68</v>
      </c>
      <c r="BH14" s="26">
        <f>股权价值增加表!BH10</f>
        <v>11779607.1</v>
      </c>
      <c r="BI14" s="26">
        <f>股权价值增加表!BI10</f>
        <v>35250194.729999997</v>
      </c>
      <c r="BJ14" s="26">
        <f>股权价值增加表!BJ10</f>
        <v>25602106.440000001</v>
      </c>
      <c r="BK14" s="26">
        <f>股权价值增加表!BK10</f>
        <v>16138807.6</v>
      </c>
      <c r="BL14" s="26">
        <f>股权价值增加表!BL10</f>
        <v>6833181.9100000001</v>
      </c>
      <c r="BM14" s="26">
        <f>股权价值增加表!BM10</f>
        <v>24435988.530000001</v>
      </c>
      <c r="BN14" s="26">
        <f>股权价值增加表!BN10</f>
        <v>16604155.26</v>
      </c>
      <c r="BO14" s="26">
        <f>股权价值增加表!BO10</f>
        <v>11504945.84</v>
      </c>
      <c r="BP14" s="26">
        <f>股权价值增加表!BP10</f>
        <v>22140703.48</v>
      </c>
      <c r="BQ14" s="26">
        <f>股权价值增加表!BQ10</f>
        <v>11376507.48</v>
      </c>
      <c r="BR14" s="26">
        <f>股权价值增加表!BR10</f>
        <v>23070120.949999999</v>
      </c>
      <c r="BS14" s="26">
        <f>股权价值增加表!BS10</f>
        <v>17893810.940000001</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363</v>
      </c>
      <c r="E15" s="57">
        <f>E14/E2</f>
        <v>8.4704143605156434E-2</v>
      </c>
      <c r="F15" s="57">
        <f t="shared" ref="F15:BQ15" si="15">F14/F2</f>
        <v>8.8528949555174236E-2</v>
      </c>
      <c r="G15" s="57">
        <f t="shared" si="15"/>
        <v>7.3445180903607313E-2</v>
      </c>
      <c r="H15" s="57">
        <f t="shared" si="15"/>
        <v>6.0600430379591584E-2</v>
      </c>
      <c r="I15" s="57">
        <f t="shared" si="15"/>
        <v>6.4767316731072319E-2</v>
      </c>
      <c r="J15" s="57">
        <f t="shared" si="15"/>
        <v>7.2823950597227988E-2</v>
      </c>
      <c r="K15" s="57">
        <f t="shared" si="15"/>
        <v>7.4365554672264467E-2</v>
      </c>
      <c r="L15" s="57">
        <f t="shared" si="15"/>
        <v>7.7407632360926362E-2</v>
      </c>
      <c r="M15" s="57">
        <f t="shared" si="15"/>
        <v>6.4518495021535435E-2</v>
      </c>
      <c r="N15" s="57">
        <f t="shared" si="15"/>
        <v>6.4881043966853777E-2</v>
      </c>
      <c r="O15" s="57">
        <f t="shared" si="15"/>
        <v>6.3026077597510985E-2</v>
      </c>
      <c r="P15" s="57">
        <f t="shared" si="15"/>
        <v>7.4240600608995552E-2</v>
      </c>
      <c r="Q15" s="57">
        <f t="shared" si="15"/>
        <v>5.4899615821071161E-2</v>
      </c>
      <c r="R15" s="57">
        <f t="shared" si="15"/>
        <v>5.429391487558826E-2</v>
      </c>
      <c r="S15" s="57">
        <f t="shared" si="15"/>
        <v>5.508057052408296E-2</v>
      </c>
      <c r="T15" s="57">
        <f t="shared" si="15"/>
        <v>5.6725803239000901E-2</v>
      </c>
      <c r="U15" s="57">
        <f t="shared" si="15"/>
        <v>5.9591877644765687E-2</v>
      </c>
      <c r="V15" s="57">
        <f t="shared" si="15"/>
        <v>5.5375826139847817E-2</v>
      </c>
      <c r="W15" s="57">
        <f t="shared" si="15"/>
        <v>5.4917642139458003E-2</v>
      </c>
      <c r="X15" s="57">
        <f t="shared" si="15"/>
        <v>5.7013696809365855E-2</v>
      </c>
      <c r="Y15" s="57">
        <f t="shared" si="15"/>
        <v>6.041588896475316E-2</v>
      </c>
      <c r="Z15" s="57">
        <f t="shared" si="15"/>
        <v>6.0171797572717615E-2</v>
      </c>
      <c r="AA15" s="57">
        <f t="shared" si="15"/>
        <v>6.0129206536295554E-2</v>
      </c>
      <c r="AB15" s="57">
        <f t="shared" si="15"/>
        <v>7.0959389085063621E-2</v>
      </c>
      <c r="AC15" s="57">
        <f t="shared" si="15"/>
        <v>6.9516605895116115E-2</v>
      </c>
      <c r="AD15" s="57">
        <f t="shared" si="15"/>
        <v>5.5125160482947667E-2</v>
      </c>
      <c r="AE15" s="57">
        <f t="shared" si="15"/>
        <v>4.9070909954674412E-2</v>
      </c>
      <c r="AF15" s="57">
        <f t="shared" si="15"/>
        <v>4.4580972080057187E-2</v>
      </c>
      <c r="AG15" s="57">
        <f t="shared" si="15"/>
        <v>4.9494725294149E-2</v>
      </c>
      <c r="AH15" s="57">
        <f t="shared" si="15"/>
        <v>5.4599260457157177E-2</v>
      </c>
      <c r="AI15" s="57">
        <f t="shared" si="15"/>
        <v>5.5234980045905401E-2</v>
      </c>
      <c r="AJ15" s="57">
        <f t="shared" si="15"/>
        <v>4.7960178621353947E-2</v>
      </c>
      <c r="AK15" s="57">
        <f t="shared" si="15"/>
        <v>5.9697412523541236E-2</v>
      </c>
      <c r="AL15" s="57">
        <f t="shared" si="15"/>
        <v>6.3774543890047164E-2</v>
      </c>
      <c r="AM15" s="57">
        <f t="shared" si="15"/>
        <v>6.327737441297171E-2</v>
      </c>
      <c r="AN15" s="57">
        <f t="shared" si="15"/>
        <v>6.0597353482407877E-2</v>
      </c>
      <c r="AO15" s="57">
        <f t="shared" si="15"/>
        <v>4.9357625824762053E-2</v>
      </c>
      <c r="AP15" s="57">
        <f t="shared" si="15"/>
        <v>4.6751351038975514E-2</v>
      </c>
      <c r="AQ15" s="57">
        <f t="shared" si="15"/>
        <v>5.073251039142871E-2</v>
      </c>
      <c r="AR15" s="57">
        <f t="shared" si="15"/>
        <v>4.9172424133874106E-2</v>
      </c>
      <c r="AS15" s="57">
        <f t="shared" si="15"/>
        <v>4.2498886000938936E-2</v>
      </c>
      <c r="AT15" s="57">
        <f t="shared" si="15"/>
        <v>5.8683466861496281E-2</v>
      </c>
      <c r="AU15" s="57">
        <f t="shared" si="15"/>
        <v>5.6366475572451669E-2</v>
      </c>
      <c r="AV15" s="57">
        <f t="shared" si="15"/>
        <v>5.6401227977095444E-2</v>
      </c>
      <c r="AW15" s="57">
        <f t="shared" si="15"/>
        <v>6.9624350880621313E-2</v>
      </c>
      <c r="AX15" s="57">
        <f t="shared" si="15"/>
        <v>6.8182311990487618E-2</v>
      </c>
      <c r="AY15" s="57">
        <f t="shared" si="15"/>
        <v>6.8378782508270147E-2</v>
      </c>
      <c r="AZ15" s="57">
        <f t="shared" si="15"/>
        <v>8.0172832122278659E-2</v>
      </c>
      <c r="BA15" s="57">
        <f t="shared" si="15"/>
        <v>6.7880867974045286E-2</v>
      </c>
      <c r="BB15" s="57">
        <f t="shared" si="15"/>
        <v>6.9633587252517129E-2</v>
      </c>
      <c r="BC15" s="57">
        <f t="shared" si="15"/>
        <v>7.2557600442560488E-2</v>
      </c>
      <c r="BD15" s="57">
        <f t="shared" si="15"/>
        <v>6.2511456713208832E-2</v>
      </c>
      <c r="BE15" s="57">
        <f t="shared" si="15"/>
        <v>7.1460500186264417E-2</v>
      </c>
      <c r="BF15" s="57">
        <f t="shared" si="15"/>
        <v>7.4270618065999411E-2</v>
      </c>
      <c r="BG15" s="57">
        <f t="shared" si="15"/>
        <v>8.1458405170723183E-2</v>
      </c>
      <c r="BH15" s="57">
        <f t="shared" si="15"/>
        <v>8.8556869770756774E-2</v>
      </c>
      <c r="BI15" s="57">
        <f t="shared" si="15"/>
        <v>7.5322614067049071E-2</v>
      </c>
      <c r="BJ15" s="57">
        <f t="shared" si="15"/>
        <v>7.3316536894987142E-2</v>
      </c>
      <c r="BK15" s="57">
        <f t="shared" si="15"/>
        <v>6.8263377502012293E-2</v>
      </c>
      <c r="BL15" s="57">
        <f t="shared" si="15"/>
        <v>7.4965943921114442E-2</v>
      </c>
      <c r="BM15" s="57">
        <f t="shared" si="15"/>
        <v>5.7861548552738756E-2</v>
      </c>
      <c r="BN15" s="57">
        <f t="shared" si="15"/>
        <v>5.6596212935558984E-2</v>
      </c>
      <c r="BO15" s="57">
        <f t="shared" si="15"/>
        <v>6.1251795035826805E-2</v>
      </c>
      <c r="BP15" s="57">
        <f t="shared" si="15"/>
        <v>6.3239484463888426E-2</v>
      </c>
      <c r="BQ15" s="57">
        <f t="shared" si="15"/>
        <v>7.0697553365920013E-2</v>
      </c>
      <c r="BR15" s="57">
        <f t="shared" ref="BR15:CK15" si="16">BR14/BR2</f>
        <v>7.8706791673568255E-2</v>
      </c>
      <c r="BS15" s="57">
        <f t="shared" si="16"/>
        <v>7.7426484733745471E-2</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27" t="s">
        <v>364</v>
      </c>
      <c r="E16" s="26">
        <f>股权价值增加表!E11</f>
        <v>18517785.390000001</v>
      </c>
      <c r="F16" s="26">
        <f>股权价值增加表!F11</f>
        <v>3604212.98</v>
      </c>
      <c r="G16" s="26">
        <f>股权价值增加表!G11</f>
        <v>6891784.7199999997</v>
      </c>
      <c r="H16" s="26">
        <f>股权价值增加表!H11</f>
        <v>5191578.03</v>
      </c>
      <c r="I16" s="26">
        <f>股权价值增加表!I11</f>
        <v>85229987.120000005</v>
      </c>
      <c r="J16" s="26">
        <f>股权价值增加表!J11</f>
        <v>32794862.260000002</v>
      </c>
      <c r="K16" s="26">
        <f>股权价值增加表!K11</f>
        <v>18169836.77</v>
      </c>
      <c r="L16" s="26">
        <f>股权价值增加表!L11</f>
        <v>8882292.4299999997</v>
      </c>
      <c r="M16" s="26">
        <f>股权价值增加表!M11</f>
        <v>45712199.479999997</v>
      </c>
      <c r="N16" s="26">
        <f>股权价值增加表!N11</f>
        <v>23726180.739999998</v>
      </c>
      <c r="O16" s="26">
        <f>股权价值增加表!O11</f>
        <v>13521115.029999999</v>
      </c>
      <c r="P16" s="26">
        <f>股权价值增加表!P11</f>
        <v>4985708.8600000003</v>
      </c>
      <c r="Q16" s="26">
        <f>股权价值增加表!Q11</f>
        <v>11062385.91</v>
      </c>
      <c r="R16" s="26">
        <f>股权价值增加表!R11</f>
        <v>5826194.3099999996</v>
      </c>
      <c r="S16" s="26">
        <f>股权价值增加表!S11</f>
        <v>5266885.46</v>
      </c>
      <c r="T16" s="26">
        <f>股权价值增加表!T11</f>
        <v>747962.85</v>
      </c>
      <c r="U16" s="26">
        <f>股权价值增加表!U11</f>
        <v>27162386.09</v>
      </c>
      <c r="V16" s="26">
        <f>股权价值增加表!V11</f>
        <v>3445637.18</v>
      </c>
      <c r="W16" s="26">
        <f>股权价值增加表!W11</f>
        <v>5218011.1500000004</v>
      </c>
      <c r="X16" s="26">
        <f>股权价值增加表!X11</f>
        <v>-256058.48</v>
      </c>
      <c r="Y16" s="26">
        <f>股权价值增加表!Y11</f>
        <v>28473257.32</v>
      </c>
      <c r="Z16" s="26">
        <f>股权价值增加表!Z11</f>
        <v>2630098.9700000002</v>
      </c>
      <c r="AA16" s="26">
        <f>股权价值增加表!AA11</f>
        <v>2805424.85</v>
      </c>
      <c r="AB16" s="26">
        <f>股权价值增加表!AB11</f>
        <v>1107385.72</v>
      </c>
      <c r="AC16" s="26">
        <f>股权价值增加表!AC11</f>
        <v>13115589.33</v>
      </c>
      <c r="AD16" s="26">
        <f>股权价值增加表!AD11</f>
        <v>276412.71999999997</v>
      </c>
      <c r="AE16" s="26">
        <f>股权价值增加表!AE11</f>
        <v>1618611.51</v>
      </c>
      <c r="AF16" s="26">
        <f>股权价值增加表!AF11</f>
        <v>752593.09</v>
      </c>
      <c r="AG16" s="26">
        <f>股权价值增加表!AG11</f>
        <v>15408006.949999999</v>
      </c>
      <c r="AH16" s="26">
        <f>股权价值增加表!AH11</f>
        <v>2606206.58</v>
      </c>
      <c r="AI16" s="26">
        <f>股权价值增加表!AI11</f>
        <v>1151972.49</v>
      </c>
      <c r="AJ16" s="26">
        <f>股权价值增加表!AJ11</f>
        <v>-308613.40999999997</v>
      </c>
      <c r="AK16" s="26">
        <f>股权价值增加表!AK11</f>
        <v>7855212.7699999996</v>
      </c>
      <c r="AL16" s="26">
        <f>股权价值增加表!AL11</f>
        <v>-1977593.88</v>
      </c>
      <c r="AM16" s="26">
        <f>股权价值增加表!AM11</f>
        <v>-203394.58</v>
      </c>
      <c r="AN16" s="26">
        <f>股权价值增加表!AN11</f>
        <v>-530478.31000000006</v>
      </c>
      <c r="AO16" s="26">
        <f>股权价值增加表!AO11</f>
        <v>7703413.7199999997</v>
      </c>
      <c r="AP16" s="26">
        <f>股权价值增加表!AP11</f>
        <v>2988707.37</v>
      </c>
      <c r="AQ16" s="26">
        <f>股权价值增加表!AQ11</f>
        <v>1593480.53</v>
      </c>
      <c r="AR16" s="26">
        <f>股权价值增加表!AR11</f>
        <v>1588340.89</v>
      </c>
      <c r="AS16" s="26">
        <f>股权价值增加表!AS11</f>
        <v>2077145.79</v>
      </c>
      <c r="AT16" s="26">
        <f>股权价值增加表!AT11</f>
        <v>4476366.8099999996</v>
      </c>
      <c r="AU16" s="26">
        <f>股权价值增加表!AU11</f>
        <v>4734150.83</v>
      </c>
      <c r="AV16" s="26">
        <f>股权价值增加表!AV11</f>
        <v>1198167.2</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667</v>
      </c>
      <c r="E17" s="57">
        <f>E16/E2</f>
        <v>7.9458819765095053E-3</v>
      </c>
      <c r="F17" s="57">
        <f t="shared" ref="F17:BQ17" si="17">F16/F2</f>
        <v>2.1142543666281557E-3</v>
      </c>
      <c r="G17" s="57">
        <f t="shared" si="17"/>
        <v>5.9926616992973282E-3</v>
      </c>
      <c r="H17" s="57">
        <f t="shared" si="17"/>
        <v>9.035572690765133E-3</v>
      </c>
      <c r="I17" s="57">
        <f t="shared" si="17"/>
        <v>4.1424594465649341E-2</v>
      </c>
      <c r="J17" s="57">
        <f t="shared" si="17"/>
        <v>2.265257102590678E-2</v>
      </c>
      <c r="K17" s="57">
        <f t="shared" si="17"/>
        <v>1.8711858422353702E-2</v>
      </c>
      <c r="L17" s="57">
        <f t="shared" si="17"/>
        <v>1.9712952217486163E-2</v>
      </c>
      <c r="M17" s="57">
        <f t="shared" si="17"/>
        <v>2.6527396346879673E-2</v>
      </c>
      <c r="N17" s="57">
        <f t="shared" si="17"/>
        <v>1.8101287883054956E-2</v>
      </c>
      <c r="O17" s="57">
        <f t="shared" si="17"/>
        <v>1.5141817485358368E-2</v>
      </c>
      <c r="P17" s="57">
        <f t="shared" si="17"/>
        <v>1.1988672766697836E-2</v>
      </c>
      <c r="Q17" s="57">
        <f t="shared" si="17"/>
        <v>6.5414844937836496E-3</v>
      </c>
      <c r="R17" s="57">
        <f t="shared" si="17"/>
        <v>4.7336974398048109E-3</v>
      </c>
      <c r="S17" s="57">
        <f t="shared" si="17"/>
        <v>6.473998168521353E-3</v>
      </c>
      <c r="T17" s="57">
        <f t="shared" si="17"/>
        <v>1.9177339355747037E-3</v>
      </c>
      <c r="U17" s="57">
        <f t="shared" si="17"/>
        <v>1.7586012018473672E-2</v>
      </c>
      <c r="V17" s="57">
        <f t="shared" si="17"/>
        <v>3.0698928740728252E-3</v>
      </c>
      <c r="W17" s="57">
        <f t="shared" si="17"/>
        <v>6.8755022254501953E-3</v>
      </c>
      <c r="X17" s="57">
        <f t="shared" si="17"/>
        <v>-7.1683726601270363E-4</v>
      </c>
      <c r="Y17" s="57">
        <f t="shared" si="17"/>
        <v>1.939472539582475E-2</v>
      </c>
      <c r="Z17" s="57">
        <f t="shared" si="17"/>
        <v>2.4549414141105189E-3</v>
      </c>
      <c r="AA17" s="57">
        <f t="shared" si="17"/>
        <v>3.9357379796747796E-3</v>
      </c>
      <c r="AB17" s="57">
        <f t="shared" si="17"/>
        <v>3.3837422466208209E-3</v>
      </c>
      <c r="AC17" s="57">
        <f t="shared" si="17"/>
        <v>9.3872000390008668E-3</v>
      </c>
      <c r="AD17" s="57">
        <f t="shared" si="17"/>
        <v>2.5627797974087433E-4</v>
      </c>
      <c r="AE17" s="57">
        <f t="shared" si="17"/>
        <v>2.185168399165438E-3</v>
      </c>
      <c r="AF17" s="57">
        <f t="shared" si="17"/>
        <v>2.0118871483015637E-3</v>
      </c>
      <c r="AG17" s="57">
        <f t="shared" si="17"/>
        <v>1.0180930729261895E-2</v>
      </c>
      <c r="AH17" s="57">
        <f t="shared" si="17"/>
        <v>2.459390675728282E-3</v>
      </c>
      <c r="AI17" s="57">
        <f t="shared" si="17"/>
        <v>1.6353681643693238E-3</v>
      </c>
      <c r="AJ17" s="57">
        <f t="shared" si="17"/>
        <v>-9.1785584668013071E-4</v>
      </c>
      <c r="AK17" s="57">
        <f t="shared" si="17"/>
        <v>6.3238408184708482E-3</v>
      </c>
      <c r="AL17" s="57">
        <f t="shared" si="17"/>
        <v>-2.3023728872836038E-3</v>
      </c>
      <c r="AM17" s="57">
        <f t="shared" si="17"/>
        <v>-3.6173595995932814E-4</v>
      </c>
      <c r="AN17" s="57">
        <f t="shared" si="17"/>
        <v>-1.9936432049449484E-3</v>
      </c>
      <c r="AO17" s="57">
        <f t="shared" si="17"/>
        <v>6.6506660423671995E-3</v>
      </c>
      <c r="AP17" s="57">
        <f t="shared" si="17"/>
        <v>3.3385580392659093E-3</v>
      </c>
      <c r="AQ17" s="57">
        <f t="shared" si="17"/>
        <v>2.8143867688629975E-3</v>
      </c>
      <c r="AR17" s="57">
        <f t="shared" si="17"/>
        <v>6.3011800153346363E-3</v>
      </c>
      <c r="AS17" s="57">
        <f t="shared" si="17"/>
        <v>2.0522524644159116E-3</v>
      </c>
      <c r="AT17" s="57">
        <f t="shared" si="17"/>
        <v>5.9993549472109201E-3</v>
      </c>
      <c r="AU17" s="57">
        <f t="shared" si="17"/>
        <v>9.7704554698713232E-3</v>
      </c>
      <c r="AV17" s="57">
        <f t="shared" si="17"/>
        <v>5.3626265387277721E-3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27" t="s">
        <v>365</v>
      </c>
      <c r="E18" s="26">
        <f>股权价值增加表!E12</f>
        <v>2380303.09</v>
      </c>
      <c r="F18" s="26">
        <f>股权价值增加表!F12</f>
        <v>1204</v>
      </c>
      <c r="G18" s="26">
        <f>股权价值增加表!G12</f>
        <v>868</v>
      </c>
      <c r="H18" s="26">
        <f>股权价值增加表!H12</f>
        <v>644</v>
      </c>
      <c r="I18" s="26">
        <f>股权价值增加表!I12</f>
        <v>1934270.67</v>
      </c>
      <c r="J18" s="26">
        <f>股权价值增加表!J12</f>
        <v>0</v>
      </c>
      <c r="K18" s="26">
        <f>股权价值增加表!K12</f>
        <v>0</v>
      </c>
      <c r="L18" s="26">
        <f>股权价值增加表!L12</f>
        <v>0</v>
      </c>
      <c r="M18" s="26">
        <f>股权价值增加表!M12</f>
        <v>1694127.54</v>
      </c>
      <c r="N18" s="26">
        <f>股权价值增加表!N12</f>
        <v>0</v>
      </c>
      <c r="O18" s="26">
        <f>股权价值增加表!O12</f>
        <v>0</v>
      </c>
      <c r="P18" s="26">
        <f>股权价值增加表!P12</f>
        <v>0</v>
      </c>
      <c r="Q18" s="26">
        <f>股权价值增加表!Q12</f>
        <v>1773957.95</v>
      </c>
      <c r="R18" s="26">
        <f>股权价值增加表!R12</f>
        <v>0</v>
      </c>
      <c r="S18" s="26">
        <f>股权价值增加表!S12</f>
        <v>0</v>
      </c>
      <c r="T18" s="26">
        <f>股权价值增加表!T12</f>
        <v>0</v>
      </c>
      <c r="U18" s="26">
        <f>股权价值增加表!U12</f>
        <v>1671581.8</v>
      </c>
      <c r="V18" s="26">
        <f>股权价值增加表!V12</f>
        <v>0</v>
      </c>
      <c r="W18" s="26">
        <f>股权价值增加表!W12</f>
        <v>0</v>
      </c>
      <c r="X18" s="26">
        <f>股权价值增加表!X12</f>
        <v>0</v>
      </c>
      <c r="Y18" s="26">
        <f>股权价值增加表!Y12</f>
        <v>1524320.62</v>
      </c>
      <c r="Z18" s="26">
        <f>股权价值增加表!Z12</f>
        <v>0</v>
      </c>
      <c r="AA18" s="26">
        <f>股权价值增加表!AA12</f>
        <v>0</v>
      </c>
      <c r="AB18" s="26">
        <f>股权价值增加表!AB12</f>
        <v>0</v>
      </c>
      <c r="AC18" s="26">
        <f>股权价值增加表!AC12</f>
        <v>1535401.62</v>
      </c>
      <c r="AD18" s="26">
        <f>股权价值增加表!AD12</f>
        <v>0</v>
      </c>
      <c r="AE18" s="26">
        <f>股权价值增加表!AE12</f>
        <v>0</v>
      </c>
      <c r="AF18" s="26">
        <f>股权价值增加表!AF12</f>
        <v>0</v>
      </c>
      <c r="AG18" s="26">
        <f>股权价值增加表!AG12</f>
        <v>1457507.45</v>
      </c>
      <c r="AH18" s="26">
        <f>股权价值增加表!AH12</f>
        <v>0</v>
      </c>
      <c r="AI18" s="26">
        <f>股权价值增加表!AI12</f>
        <v>0</v>
      </c>
      <c r="AJ18" s="26">
        <f>股权价值增加表!AJ12</f>
        <v>0</v>
      </c>
      <c r="AK18" s="26">
        <f>股权价值增加表!AK12</f>
        <v>1607991.67</v>
      </c>
      <c r="AL18" s="26">
        <f>股权价值增加表!AL12</f>
        <v>0</v>
      </c>
      <c r="AM18" s="26">
        <f>股权价值增加表!AM12</f>
        <v>0</v>
      </c>
      <c r="AN18" s="26">
        <f>股权价值增加表!AN12</f>
        <v>0</v>
      </c>
      <c r="AO18" s="26">
        <f>股权价值增加表!AO12</f>
        <v>3107542.74</v>
      </c>
      <c r="AP18" s="26">
        <f>股权价值增加表!AP12</f>
        <v>0</v>
      </c>
      <c r="AQ18" s="26">
        <f>股权价值增加表!AQ12</f>
        <v>0</v>
      </c>
      <c r="AR18" s="26">
        <f>股权价值增加表!AR12</f>
        <v>0</v>
      </c>
      <c r="AS18" s="26">
        <f>股权价值增加表!AS12</f>
        <v>1408087.24</v>
      </c>
      <c r="AT18" s="26">
        <f>股权价值增加表!AT12</f>
        <v>0</v>
      </c>
      <c r="AU18" s="26">
        <f>股权价值增加表!AU12</f>
        <v>0</v>
      </c>
      <c r="AV18" s="26">
        <f>股权价值增加表!AV12</f>
        <v>0</v>
      </c>
      <c r="AW18" s="26">
        <f>股权价值增加表!AW12</f>
        <v>1017160.32</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366</v>
      </c>
      <c r="E19" s="57">
        <f>E18/E2</f>
        <v>1.02137523592182E-3</v>
      </c>
      <c r="F19" s="57">
        <f t="shared" ref="F19:BQ19" si="19">F18/F2</f>
        <v>7.06274094107585E-7</v>
      </c>
      <c r="G19" s="57">
        <f t="shared" si="19"/>
        <v>7.5475810204792366E-7</v>
      </c>
      <c r="H19" s="57">
        <f t="shared" si="19"/>
        <v>1.1208362427045606E-6</v>
      </c>
      <c r="I19" s="57">
        <f t="shared" si="19"/>
        <v>9.4011956119077528E-4</v>
      </c>
      <c r="J19" s="57">
        <f t="shared" si="19"/>
        <v>0</v>
      </c>
      <c r="K19" s="57">
        <f t="shared" si="19"/>
        <v>0</v>
      </c>
      <c r="L19" s="57">
        <f t="shared" si="19"/>
        <v>0</v>
      </c>
      <c r="M19" s="57">
        <f t="shared" si="19"/>
        <v>9.8312470690470138E-4</v>
      </c>
      <c r="N19" s="57">
        <f t="shared" si="19"/>
        <v>0</v>
      </c>
      <c r="O19" s="57">
        <f t="shared" si="19"/>
        <v>0</v>
      </c>
      <c r="P19" s="57">
        <f t="shared" si="19"/>
        <v>0</v>
      </c>
      <c r="Q19" s="57">
        <f t="shared" si="19"/>
        <v>1.0489887549537883E-3</v>
      </c>
      <c r="R19" s="57">
        <f t="shared" si="19"/>
        <v>0</v>
      </c>
      <c r="S19" s="57">
        <f t="shared" si="19"/>
        <v>0</v>
      </c>
      <c r="T19" s="57">
        <f t="shared" si="19"/>
        <v>0</v>
      </c>
      <c r="U19" s="57">
        <f t="shared" si="19"/>
        <v>1.0822487217161066E-3</v>
      </c>
      <c r="V19" s="57">
        <f t="shared" si="19"/>
        <v>0</v>
      </c>
      <c r="W19" s="57">
        <f t="shared" si="19"/>
        <v>0</v>
      </c>
      <c r="X19" s="57">
        <f t="shared" si="19"/>
        <v>0</v>
      </c>
      <c r="Y19" s="57">
        <f t="shared" si="19"/>
        <v>1.0382998863753931E-3</v>
      </c>
      <c r="Z19" s="57">
        <f t="shared" si="19"/>
        <v>0</v>
      </c>
      <c r="AA19" s="57">
        <f t="shared" si="19"/>
        <v>0</v>
      </c>
      <c r="AB19" s="57">
        <f t="shared" si="19"/>
        <v>0</v>
      </c>
      <c r="AC19" s="57">
        <f t="shared" si="19"/>
        <v>1.0989305767738608E-3</v>
      </c>
      <c r="AD19" s="57">
        <f t="shared" si="19"/>
        <v>0</v>
      </c>
      <c r="AE19" s="57">
        <f t="shared" si="19"/>
        <v>0</v>
      </c>
      <c r="AF19" s="57">
        <f t="shared" si="19"/>
        <v>0</v>
      </c>
      <c r="AG19" s="57">
        <f t="shared" si="19"/>
        <v>9.6305657402582785E-4</v>
      </c>
      <c r="AH19" s="57">
        <f t="shared" si="19"/>
        <v>0</v>
      </c>
      <c r="AI19" s="57">
        <f t="shared" si="19"/>
        <v>0</v>
      </c>
      <c r="AJ19" s="57">
        <f t="shared" si="19"/>
        <v>0</v>
      </c>
      <c r="AK19" s="57">
        <f t="shared" si="19"/>
        <v>1.2945140578931901E-3</v>
      </c>
      <c r="AL19" s="57">
        <f t="shared" si="19"/>
        <v>0</v>
      </c>
      <c r="AM19" s="57">
        <f t="shared" si="19"/>
        <v>0</v>
      </c>
      <c r="AN19" s="57">
        <f t="shared" si="19"/>
        <v>0</v>
      </c>
      <c r="AO19" s="57">
        <f t="shared" si="19"/>
        <v>2.6828662885475564E-3</v>
      </c>
      <c r="AP19" s="57">
        <f t="shared" si="19"/>
        <v>0</v>
      </c>
      <c r="AQ19" s="57">
        <f t="shared" si="19"/>
        <v>0</v>
      </c>
      <c r="AR19" s="57">
        <f t="shared" si="19"/>
        <v>0</v>
      </c>
      <c r="AS19" s="57">
        <f t="shared" si="19"/>
        <v>1.3912121731246411E-3</v>
      </c>
      <c r="AT19" s="57">
        <f t="shared" si="19"/>
        <v>0</v>
      </c>
      <c r="AU19" s="57">
        <f t="shared" si="19"/>
        <v>0</v>
      </c>
      <c r="AV19" s="57">
        <f t="shared" si="19"/>
        <v>0</v>
      </c>
      <c r="AW19" s="57">
        <f t="shared" si="19"/>
        <v>1.2303650770659896E-3</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27" t="s">
        <v>367</v>
      </c>
      <c r="E20" s="26">
        <f>股权价值增加表!E13-股权价值增加表!E14</f>
        <v>-6299219.3900000006</v>
      </c>
      <c r="F20" s="26">
        <f>股权价值增加表!F13-股权价值增加表!F14</f>
        <v>-2769553.95</v>
      </c>
      <c r="G20" s="26">
        <f>股权价值增加表!G13-股权价值增加表!G14</f>
        <v>118242.94000000041</v>
      </c>
      <c r="H20" s="26">
        <f>股权价值增加表!H13-股权价值增加表!H14</f>
        <v>413607.6399999999</v>
      </c>
      <c r="I20" s="26">
        <f>股权价值增加表!I13-股权价值增加表!I14</f>
        <v>-15413751.559999999</v>
      </c>
      <c r="J20" s="26">
        <f>股权价值增加表!J13-股权价值增加表!J14</f>
        <v>-16326544.02</v>
      </c>
      <c r="K20" s="26">
        <f>股权价值增加表!K13-股权价值增加表!K14</f>
        <v>-12224667.51</v>
      </c>
      <c r="L20" s="26">
        <f>股权价值增加表!L13-股权价值增加表!L14</f>
        <v>-1899991.0899999999</v>
      </c>
      <c r="M20" s="26">
        <f>股权价值增加表!M13-股权价值增加表!M14</f>
        <v>-2533075.1100000003</v>
      </c>
      <c r="N20" s="26">
        <f>股权价值增加表!N13-股权价值增加表!N14</f>
        <v>-2679383.29</v>
      </c>
      <c r="O20" s="26">
        <f>股权价值增加表!O13-股权价值增加表!O14</f>
        <v>549233.64999999991</v>
      </c>
      <c r="P20" s="26">
        <f>股权价值增加表!P13-股权价值增加表!P14</f>
        <v>275611.92000000004</v>
      </c>
      <c r="Q20" s="26">
        <f>股权价值增加表!Q13-股权价值增加表!Q14</f>
        <v>-2224293.1400000006</v>
      </c>
      <c r="R20" s="26">
        <f>股权价值增加表!R13-股权价值增加表!R14</f>
        <v>-392490.42999999993</v>
      </c>
      <c r="S20" s="26">
        <f>股权价值增加表!S13-股权价值增加表!S14</f>
        <v>20026.54999999993</v>
      </c>
      <c r="T20" s="26">
        <f>股权价值增加表!T13-股权价值增加表!T14</f>
        <v>159672.89000000007</v>
      </c>
      <c r="U20" s="26">
        <f>股权价值增加表!U13-股权价值增加表!U14</f>
        <v>3288835.42</v>
      </c>
      <c r="V20" s="26">
        <f>股权价值增加表!V13-股权价值增加表!V14</f>
        <v>3030060.1999999997</v>
      </c>
      <c r="W20" s="26">
        <f>股权价值增加表!W13-股权价值增加表!W14</f>
        <v>2964504.55</v>
      </c>
      <c r="X20" s="26">
        <f>股权价值增加表!X13-股权价值增加表!X14</f>
        <v>131950.10999999999</v>
      </c>
      <c r="Y20" s="26">
        <f>股权价值增加表!Y13-股权价值增加表!Y14</f>
        <v>6717080.5299999993</v>
      </c>
      <c r="Z20" s="26">
        <f>股权价值增加表!Z13-股权价值增加表!Z14</f>
        <v>1813515.0199999998</v>
      </c>
      <c r="AA20" s="26">
        <f>股权价值增加表!AA13-股权价值增加表!AA14</f>
        <v>2362455.9900000002</v>
      </c>
      <c r="AB20" s="26">
        <f>股权价值增加表!AB13-股权价值增加表!AB14</f>
        <v>530895.28</v>
      </c>
      <c r="AC20" s="26">
        <f>股权价值增加表!AC13-股权价值增加表!AC14</f>
        <v>18627555.420000002</v>
      </c>
      <c r="AD20" s="26">
        <f>股权价值增加表!AD13-股权价值增加表!AD14</f>
        <v>-690310.47999999952</v>
      </c>
      <c r="AE20" s="26">
        <f>股权价值增加表!AE13-股权价值增加表!AE14</f>
        <v>2784349.67</v>
      </c>
      <c r="AF20" s="26">
        <f>股权价值增加表!AF13-股权价值增加表!AF14</f>
        <v>2827024.91</v>
      </c>
      <c r="AG20" s="26">
        <f>股权价值增加表!AG13-股权价值增加表!AG14</f>
        <v>4283249.370000001</v>
      </c>
      <c r="AH20" s="26">
        <f>股权价值增加表!AH13-股权价值增加表!AH14</f>
        <v>259375.64999999991</v>
      </c>
      <c r="AI20" s="26">
        <f>股权价值增加表!AI13-股权价值增加表!AI14</f>
        <v>-569579.29</v>
      </c>
      <c r="AJ20" s="26">
        <f>股权价值增加表!AJ13-股权价值增加表!AJ14</f>
        <v>-1229762.8999999999</v>
      </c>
      <c r="AK20" s="26">
        <f>股权价值增加表!AK13-股权价值增加表!AK14</f>
        <v>-5134914.330000001</v>
      </c>
      <c r="AL20" s="26">
        <f>股权价值增加表!AL13-股权价值增加表!AL14</f>
        <v>-1821598.96</v>
      </c>
      <c r="AM20" s="26">
        <f>股权价值增加表!AM13-股权价值增加表!AM14</f>
        <v>369466.65999999992</v>
      </c>
      <c r="AN20" s="26">
        <f>股权价值增加表!AN13-股权价值增加表!AN14</f>
        <v>339569.08</v>
      </c>
      <c r="AO20" s="26">
        <f>股权价值增加表!AO13-股权价值增加表!AO14</f>
        <v>17090385.670000002</v>
      </c>
      <c r="AP20" s="26">
        <f>股权价值增加表!AP13-股权价值增加表!AP14</f>
        <v>3693253.2600000002</v>
      </c>
      <c r="AQ20" s="26">
        <f>股权价值增加表!AQ13-股权价值增加表!AQ14</f>
        <v>2564395.2299999995</v>
      </c>
      <c r="AR20" s="26">
        <f>股权价值增加表!AR13-股权价值增加表!AR14</f>
        <v>334908.08000000007</v>
      </c>
      <c r="AS20" s="26">
        <f>股权价值增加表!AS13-股权价值增加表!AS14</f>
        <v>4835305.4000000004</v>
      </c>
      <c r="AT20" s="26">
        <f>股权价值增加表!AT13-股权价值增加表!AT14</f>
        <v>3750422.25</v>
      </c>
      <c r="AU20" s="26">
        <f>股权价值增加表!AU13-股权价值增加表!AU14</f>
        <v>300342.68999999994</v>
      </c>
      <c r="AV20" s="26">
        <f>股权价值增加表!AV13-股权价值增加表!AV14</f>
        <v>176435.93000000002</v>
      </c>
      <c r="AW20" s="26">
        <f>股权价值增加表!AW13-股权价值增加表!AW14</f>
        <v>2480447.63</v>
      </c>
      <c r="AX20" s="26">
        <f>股权价值增加表!AX13-股权价值增加表!AX14</f>
        <v>350942.15</v>
      </c>
      <c r="AY20" s="26">
        <f>股权价值增加表!AY13-股权价值增加表!AY14</f>
        <v>-70673.72000000003</v>
      </c>
      <c r="AZ20" s="26">
        <f>股权价值增加表!AZ13-股权价值增加表!AZ14</f>
        <v>-41163.440000000002</v>
      </c>
      <c r="BA20" s="26">
        <f>股权价值增加表!BA13-股权价值增加表!BA14</f>
        <v>-336745.51</v>
      </c>
      <c r="BB20" s="26">
        <f>股权价值增加表!BB13-股权价值增加表!BB14</f>
        <v>-39772.739999999991</v>
      </c>
      <c r="BC20" s="26">
        <f>股权价值增加表!BC13-股权价值增加表!BC14</f>
        <v>-64256.459999999992</v>
      </c>
      <c r="BD20" s="26">
        <f>股权价值增加表!BD13-股权价值增加表!BD14</f>
        <v>159843.30000000002</v>
      </c>
      <c r="BE20" s="26">
        <f>股权价值增加表!BE13-股权价值增加表!BE14</f>
        <v>-559060.55000000005</v>
      </c>
      <c r="BF20" s="26">
        <f>股权价值增加表!BF13-股权价值增加表!BF14</f>
        <v>36997.979999999981</v>
      </c>
      <c r="BG20" s="26">
        <f>股权价值增加表!BG13-股权价值增加表!BG14</f>
        <v>-234271.5</v>
      </c>
      <c r="BH20" s="26">
        <f>股权价值增加表!BH13-股权价值增加表!BH14</f>
        <v>-292321.21999999997</v>
      </c>
      <c r="BI20" s="26">
        <f>股权价值增加表!BI13-股权价值增加表!BI14</f>
        <v>2201997.8199999998</v>
      </c>
      <c r="BJ20" s="26">
        <f>股权价值增加表!BJ13-股权价值增加表!BJ14</f>
        <v>492690.56</v>
      </c>
      <c r="BK20" s="26">
        <f>股权价值增加表!BK13-股权价值增加表!BK14</f>
        <v>329760.37</v>
      </c>
      <c r="BL20" s="26">
        <f>股权价值增加表!BL13-股权价值增加表!BL14</f>
        <v>184540.81</v>
      </c>
      <c r="BM20" s="26">
        <f>股权价值增加表!BM13-股权价值增加表!BM14</f>
        <v>-584447.15999999992</v>
      </c>
      <c r="BN20" s="26">
        <f>股权价值增加表!BN13-股权价值增加表!BN14</f>
        <v>-294124.05</v>
      </c>
      <c r="BO20" s="26">
        <f>股权价值增加表!BO13-股权价值增加表!BO14</f>
        <v>-49969.429999999993</v>
      </c>
      <c r="BP20" s="26">
        <f>股权价值增加表!BP13-股权价值增加表!BP14</f>
        <v>-1407973.57</v>
      </c>
      <c r="BQ20" s="26">
        <f>股权价值增加表!BQ13-股权价值增加表!BQ14</f>
        <v>-207360.90000000002</v>
      </c>
      <c r="BR20" s="26">
        <f>股权价值增加表!BR13-股权价值增加表!BR14</f>
        <v>-589484.12000000011</v>
      </c>
      <c r="BS20" s="26">
        <f>股权价值增加表!BS13-股权价值增加表!BS14</f>
        <v>-959701.18</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368</v>
      </c>
      <c r="E21" s="57">
        <f>E20/E2</f>
        <v>-2.7029611134876752E-3</v>
      </c>
      <c r="F21" s="57">
        <f t="shared" ref="F21:BQ21" si="21">F20/F2</f>
        <v>-1.6246380457793472E-3</v>
      </c>
      <c r="G21" s="57">
        <f t="shared" si="21"/>
        <v>1.0281660941816455E-4</v>
      </c>
      <c r="H21" s="57">
        <f t="shared" si="21"/>
        <v>7.1985470989363424E-4</v>
      </c>
      <c r="I21" s="57">
        <f t="shared" si="21"/>
        <v>-7.4915933833039133E-3</v>
      </c>
      <c r="J21" s="57">
        <f t="shared" si="21"/>
        <v>-1.1277321279429077E-2</v>
      </c>
      <c r="K21" s="57">
        <f t="shared" si="21"/>
        <v>-1.2589339717412726E-2</v>
      </c>
      <c r="L21" s="57">
        <f t="shared" si="21"/>
        <v>-4.2167530359974257E-3</v>
      </c>
      <c r="M21" s="57">
        <f t="shared" si="21"/>
        <v>-1.4699771217262336E-3</v>
      </c>
      <c r="N21" s="57">
        <f t="shared" si="21"/>
        <v>-2.0441675300723909E-3</v>
      </c>
      <c r="O21" s="57">
        <f t="shared" si="21"/>
        <v>6.1506729782752226E-4</v>
      </c>
      <c r="P21" s="57">
        <f t="shared" si="21"/>
        <v>6.6273848158099292E-4</v>
      </c>
      <c r="Q21" s="57">
        <f t="shared" si="21"/>
        <v>-1.3152839905708324E-3</v>
      </c>
      <c r="R21" s="57">
        <f t="shared" si="21"/>
        <v>-3.1889271877698312E-4</v>
      </c>
      <c r="S21" s="57">
        <f t="shared" si="21"/>
        <v>2.4616416857069994E-5</v>
      </c>
      <c r="T21" s="57">
        <f t="shared" si="21"/>
        <v>4.093921506185593E-4</v>
      </c>
      <c r="U21" s="57">
        <f t="shared" si="21"/>
        <v>2.1293232130366905E-3</v>
      </c>
      <c r="V21" s="57">
        <f t="shared" si="21"/>
        <v>2.6996342708351198E-3</v>
      </c>
      <c r="W21" s="57">
        <f t="shared" si="21"/>
        <v>3.9061736445086415E-3</v>
      </c>
      <c r="X21" s="57">
        <f t="shared" si="21"/>
        <v>3.6939513232475446E-4</v>
      </c>
      <c r="Y21" s="57">
        <f t="shared" si="21"/>
        <v>4.5753786044522345E-3</v>
      </c>
      <c r="Z21" s="57">
        <f t="shared" si="21"/>
        <v>1.6927397708191435E-3</v>
      </c>
      <c r="AA21" s="57">
        <f t="shared" si="21"/>
        <v>3.3142957884447276E-3</v>
      </c>
      <c r="AB21" s="57">
        <f t="shared" si="21"/>
        <v>1.6222105405762229E-3</v>
      </c>
      <c r="AC21" s="57">
        <f t="shared" si="21"/>
        <v>1.333227082409074E-2</v>
      </c>
      <c r="AD21" s="57">
        <f t="shared" si="21"/>
        <v>-6.4002617248711685E-4</v>
      </c>
      <c r="AE21" s="57">
        <f t="shared" si="21"/>
        <v>3.7589457837913904E-3</v>
      </c>
      <c r="AF21" s="57">
        <f t="shared" si="21"/>
        <v>7.557410717599581E-3</v>
      </c>
      <c r="AG21" s="57">
        <f t="shared" si="21"/>
        <v>2.830182078294342E-3</v>
      </c>
      <c r="AH21" s="57">
        <f t="shared" si="21"/>
        <v>2.4476419483253782E-4</v>
      </c>
      <c r="AI21" s="57">
        <f t="shared" si="21"/>
        <v>-8.0858861304064901E-4</v>
      </c>
      <c r="AJ21" s="57">
        <f t="shared" si="21"/>
        <v>-3.6574725245909208E-3</v>
      </c>
      <c r="AK21" s="57">
        <f t="shared" si="21"/>
        <v>-4.1338639436249028E-3</v>
      </c>
      <c r="AL21" s="57">
        <f t="shared" si="21"/>
        <v>-2.1207590190398498E-3</v>
      </c>
      <c r="AM21" s="57">
        <f t="shared" si="21"/>
        <v>6.5709409232078198E-4</v>
      </c>
      <c r="AN21" s="57">
        <f t="shared" si="21"/>
        <v>1.2761682734048212E-3</v>
      </c>
      <c r="AO21" s="57">
        <f t="shared" si="21"/>
        <v>1.4754815430895487E-2</v>
      </c>
      <c r="AP21" s="57">
        <f t="shared" si="21"/>
        <v>4.1255763230570236E-3</v>
      </c>
      <c r="AQ21" s="57">
        <f t="shared" si="21"/>
        <v>4.5292050135356107E-3</v>
      </c>
      <c r="AR21" s="57">
        <f t="shared" si="21"/>
        <v>1.3286292092310828E-3</v>
      </c>
      <c r="AS21" s="57">
        <f t="shared" si="21"/>
        <v>4.777357213502845E-3</v>
      </c>
      <c r="AT21" s="57">
        <f t="shared" si="21"/>
        <v>5.0264232657170052E-3</v>
      </c>
      <c r="AU21" s="57">
        <f t="shared" si="21"/>
        <v>6.1985453859026427E-4</v>
      </c>
      <c r="AV21" s="57">
        <f t="shared" si="21"/>
        <v>7.8967276069910413E-4</v>
      </c>
      <c r="AW21" s="57">
        <f t="shared" si="21"/>
        <v>3.0003688498614471E-3</v>
      </c>
      <c r="AX21" s="57">
        <f t="shared" si="21"/>
        <v>5.8090297517144772E-4</v>
      </c>
      <c r="AY21" s="57">
        <f t="shared" si="21"/>
        <v>-1.7780509121420281E-4</v>
      </c>
      <c r="AZ21" s="57">
        <f t="shared" si="21"/>
        <v>-1.9944770607059718E-4</v>
      </c>
      <c r="BA21" s="57">
        <f t="shared" si="21"/>
        <v>-5.0100577469969741E-4</v>
      </c>
      <c r="BB21" s="57">
        <f t="shared" si="21"/>
        <v>-8.1537374519055283E-5</v>
      </c>
      <c r="BC21" s="57">
        <f t="shared" si="21"/>
        <v>-1.9767587100438862E-4</v>
      </c>
      <c r="BD21" s="57">
        <f t="shared" si="21"/>
        <v>1.0467164537398235E-3</v>
      </c>
      <c r="BE21" s="57">
        <f t="shared" si="21"/>
        <v>-9.9800581249277678E-4</v>
      </c>
      <c r="BF21" s="57">
        <f t="shared" si="21"/>
        <v>9.2291130290119542E-5</v>
      </c>
      <c r="BG21" s="57">
        <f t="shared" si="21"/>
        <v>-8.7748519472893827E-4</v>
      </c>
      <c r="BH21" s="57">
        <f t="shared" si="21"/>
        <v>-2.1976159298868923E-3</v>
      </c>
      <c r="BI21" s="57">
        <f t="shared" si="21"/>
        <v>4.7052288148407458E-3</v>
      </c>
      <c r="BJ21" s="57">
        <f t="shared" si="21"/>
        <v>1.4109138130765414E-3</v>
      </c>
      <c r="BK21" s="57">
        <f t="shared" si="21"/>
        <v>1.3948091569363061E-3</v>
      </c>
      <c r="BL21" s="57">
        <f t="shared" si="21"/>
        <v>2.0245730606661158E-3</v>
      </c>
      <c r="BM21" s="57">
        <f t="shared" si="21"/>
        <v>-1.3839021770424063E-3</v>
      </c>
      <c r="BN21" s="57">
        <f t="shared" si="21"/>
        <v>-1.0025386478630771E-3</v>
      </c>
      <c r="BO21" s="57">
        <f t="shared" si="21"/>
        <v>-2.6603491463433909E-4</v>
      </c>
      <c r="BP21" s="57">
        <f t="shared" si="21"/>
        <v>-4.0215308780053504E-3</v>
      </c>
      <c r="BQ21" s="57">
        <f t="shared" si="21"/>
        <v>-1.2886123724286606E-3</v>
      </c>
      <c r="BR21" s="57">
        <f t="shared" ref="BR21:CK21" si="22">BR20/BR2</f>
        <v>-2.0111036230920465E-3</v>
      </c>
      <c r="BS21" s="57">
        <f t="shared" si="22"/>
        <v>-4.1526251177787122E-3</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c r="A22" s="46" t="s">
        <v>369</v>
      </c>
      <c r="E22" s="66">
        <f>E11+E13+E15+E17+E19+E21</f>
        <v>0.18885562898635008</v>
      </c>
      <c r="F22" s="66">
        <f t="shared" ref="F22:BQ22" si="23">F11+F13+F15+F17+F19+F21</f>
        <v>0.18313158583546707</v>
      </c>
      <c r="G22" s="66">
        <f t="shared" si="23"/>
        <v>0.17347191739461618</v>
      </c>
      <c r="H22" s="66">
        <f t="shared" si="23"/>
        <v>0.15415525978685279</v>
      </c>
      <c r="I22" s="66">
        <f t="shared" si="23"/>
        <v>0.20655859520332942</v>
      </c>
      <c r="J22" s="66">
        <f t="shared" si="23"/>
        <v>0.1865381500672241</v>
      </c>
      <c r="K22" s="66">
        <f t="shared" si="23"/>
        <v>0.18713341581652571</v>
      </c>
      <c r="L22" s="66">
        <f t="shared" si="23"/>
        <v>0.19550269437607576</v>
      </c>
      <c r="M22" s="66">
        <f t="shared" si="23"/>
        <v>0.20126763166095882</v>
      </c>
      <c r="N22" s="66">
        <f t="shared" si="23"/>
        <v>0.18932655453795627</v>
      </c>
      <c r="O22" s="66">
        <f t="shared" si="23"/>
        <v>0.19518743504734265</v>
      </c>
      <c r="P22" s="66">
        <f t="shared" si="23"/>
        <v>0.19439427613491805</v>
      </c>
      <c r="Q22" s="66">
        <f t="shared" si="23"/>
        <v>0.161730855032337</v>
      </c>
      <c r="R22" s="66">
        <f t="shared" si="23"/>
        <v>0.1582625204639915</v>
      </c>
      <c r="S22" s="66">
        <f t="shared" si="23"/>
        <v>0.15808498697010104</v>
      </c>
      <c r="T22" s="66">
        <f t="shared" si="23"/>
        <v>0.14701520210942629</v>
      </c>
      <c r="U22" s="66">
        <f t="shared" si="23"/>
        <v>0.17680133428670322</v>
      </c>
      <c r="V22" s="66">
        <f t="shared" si="23"/>
        <v>0.15896485113922185</v>
      </c>
      <c r="W22" s="66">
        <f t="shared" si="23"/>
        <v>0.16413041650930796</v>
      </c>
      <c r="X22" s="66">
        <f t="shared" si="23"/>
        <v>0.15463634791101891</v>
      </c>
      <c r="Y22" s="66">
        <f t="shared" si="23"/>
        <v>0.17452909028981167</v>
      </c>
      <c r="Z22" s="66">
        <f t="shared" si="23"/>
        <v>0.15408907655430973</v>
      </c>
      <c r="AA22" s="66">
        <f t="shared" si="23"/>
        <v>0.15622389790528585</v>
      </c>
      <c r="AB22" s="66">
        <f t="shared" si="23"/>
        <v>0.14599703033799338</v>
      </c>
      <c r="AC22" s="66">
        <f t="shared" si="23"/>
        <v>0.18355644261594595</v>
      </c>
      <c r="AD22" s="66">
        <f t="shared" si="23"/>
        <v>0.13342967970957784</v>
      </c>
      <c r="AE22" s="66">
        <f t="shared" si="23"/>
        <v>0.14335434142672848</v>
      </c>
      <c r="AF22" s="66">
        <f t="shared" si="23"/>
        <v>0.13918975771006953</v>
      </c>
      <c r="AG22" s="66">
        <f t="shared" si="23"/>
        <v>0.16861503015786963</v>
      </c>
      <c r="AH22" s="66">
        <f t="shared" si="23"/>
        <v>0.16047936729788931</v>
      </c>
      <c r="AI22" s="66">
        <f t="shared" si="23"/>
        <v>0.15706900595605522</v>
      </c>
      <c r="AJ22" s="66">
        <f t="shared" si="23"/>
        <v>0.14570511483047177</v>
      </c>
      <c r="AK22" s="66">
        <f t="shared" si="23"/>
        <v>0.16454563046116572</v>
      </c>
      <c r="AL22" s="66">
        <f t="shared" si="23"/>
        <v>0.16215298540226869</v>
      </c>
      <c r="AM22" s="66">
        <f t="shared" si="23"/>
        <v>0.15777287423559247</v>
      </c>
      <c r="AN22" s="66">
        <f t="shared" si="23"/>
        <v>0.13114362632740562</v>
      </c>
      <c r="AO22" s="66">
        <f t="shared" si="23"/>
        <v>0.17437409016202743</v>
      </c>
      <c r="AP22" s="66">
        <f t="shared" si="23"/>
        <v>0.14899163859133044</v>
      </c>
      <c r="AQ22" s="66">
        <f t="shared" si="23"/>
        <v>0.15093020255540901</v>
      </c>
      <c r="AR22" s="66">
        <f t="shared" si="23"/>
        <v>0.13586836419092732</v>
      </c>
      <c r="AS22" s="66">
        <f t="shared" si="23"/>
        <v>0.14442761781889452</v>
      </c>
      <c r="AT22" s="66">
        <f t="shared" si="23"/>
        <v>0.15214893871277591</v>
      </c>
      <c r="AU22" s="66">
        <f t="shared" si="23"/>
        <v>0.14524199594870146</v>
      </c>
      <c r="AV22" s="66">
        <f t="shared" si="23"/>
        <v>0.14233552749135334</v>
      </c>
      <c r="AW22" s="66">
        <f t="shared" si="23"/>
        <v>0.15691122395022089</v>
      </c>
      <c r="AX22" s="66">
        <f t="shared" si="23"/>
        <v>0.14908944683973996</v>
      </c>
      <c r="AY22" s="66">
        <f t="shared" si="23"/>
        <v>0.1467126889372265</v>
      </c>
      <c r="AZ22" s="66">
        <f t="shared" si="23"/>
        <v>0.1488358817824319</v>
      </c>
      <c r="BA22" s="66">
        <f t="shared" si="23"/>
        <v>0.15281213444299457</v>
      </c>
      <c r="BB22" s="66">
        <f t="shared" si="23"/>
        <v>0.15291536746323939</v>
      </c>
      <c r="BC22" s="66">
        <f t="shared" si="23"/>
        <v>0.1485946913852812</v>
      </c>
      <c r="BD22" s="66">
        <f t="shared" si="23"/>
        <v>0.13553092794113886</v>
      </c>
      <c r="BE22" s="66">
        <f t="shared" si="23"/>
        <v>0.17211587096637038</v>
      </c>
      <c r="BF22" s="66">
        <f t="shared" si="23"/>
        <v>0.17886765693223483</v>
      </c>
      <c r="BG22" s="66">
        <f t="shared" si="23"/>
        <v>0.18775439244703188</v>
      </c>
      <c r="BH22" s="66">
        <f t="shared" si="23"/>
        <v>0.1866866344139638</v>
      </c>
      <c r="BI22" s="66">
        <f t="shared" si="23"/>
        <v>0.17421601574982551</v>
      </c>
      <c r="BJ22" s="66">
        <f t="shared" si="23"/>
        <v>0.16889043972412399</v>
      </c>
      <c r="BK22" s="66">
        <f t="shared" si="23"/>
        <v>0.16409003298215852</v>
      </c>
      <c r="BL22" s="66">
        <f t="shared" si="23"/>
        <v>0.19190769754465184</v>
      </c>
      <c r="BM22" s="66">
        <f t="shared" si="23"/>
        <v>0.16096001025955356</v>
      </c>
      <c r="BN22" s="66">
        <f t="shared" si="23"/>
        <v>0.15703764114870808</v>
      </c>
      <c r="BO22" s="66">
        <f t="shared" si="23"/>
        <v>0.14858389381692422</v>
      </c>
      <c r="BP22" s="66">
        <f t="shared" si="23"/>
        <v>0.17123576178763403</v>
      </c>
      <c r="BQ22" s="66">
        <f t="shared" si="23"/>
        <v>0.17963817540095417</v>
      </c>
      <c r="BR22" s="66">
        <f t="shared" ref="BR22:CJ22" si="24">BR11+BR13+BR15+BR17+BR19+BR21</f>
        <v>0.16798128808575433</v>
      </c>
      <c r="BS22" s="66">
        <f t="shared" si="24"/>
        <v>0.16110652049360799</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c r="A23" s="127" t="s">
        <v>370</v>
      </c>
      <c r="E23" s="27">
        <f>股权价值增加表!E17</f>
        <v>247917387.95496953</v>
      </c>
      <c r="F23" s="27">
        <f>股权价值增加表!F17</f>
        <v>195267641.39669186</v>
      </c>
      <c r="G23" s="27">
        <f>股权价值增加表!G17</f>
        <v>129048988.80758509</v>
      </c>
      <c r="H23" s="27">
        <f>股权价值增加表!H17</f>
        <v>63360434.194022253</v>
      </c>
      <c r="I23" s="27">
        <f>股权价值增加表!I17</f>
        <v>175599110.76843882</v>
      </c>
      <c r="J23" s="27">
        <f>股权价值增加表!J17</f>
        <v>124653419.18834776</v>
      </c>
      <c r="K23" s="27">
        <f>股权价值增加表!K17</f>
        <v>82974804.840890303</v>
      </c>
      <c r="L23" s="27">
        <f>股权价值增加表!L17</f>
        <v>37599168.940892331</v>
      </c>
      <c r="M23" s="27">
        <f>股权价值增加表!M17</f>
        <v>139549689.38157985</v>
      </c>
      <c r="N23" s="27">
        <f>股权价值增加表!N17</f>
        <v>111498077.40817471</v>
      </c>
      <c r="O23" s="27">
        <f>股权价值增加表!O17</f>
        <v>71388230.516332433</v>
      </c>
      <c r="P23" s="27">
        <f>股权价值增加表!P17</f>
        <v>32511926.862048194</v>
      </c>
      <c r="Q23" s="27">
        <f>股权价值增加表!Q17</f>
        <v>124475369.34830497</v>
      </c>
      <c r="R23" s="27">
        <f>股权价值增加表!R17</f>
        <v>98710700.348534495</v>
      </c>
      <c r="S23" s="27">
        <f>股权价值增加表!S17</f>
        <v>68353771.041198909</v>
      </c>
      <c r="T23" s="27">
        <f>股权价值增加表!T17</f>
        <v>30733447.793998659</v>
      </c>
      <c r="U23" s="27">
        <f>股权价值增加表!U17</f>
        <v>127015214.85972622</v>
      </c>
      <c r="V23" s="27">
        <f>股权价值增加表!V17</f>
        <v>108424423.72679889</v>
      </c>
      <c r="W23" s="27">
        <f>股权价值增加表!W17</f>
        <v>71875060.155556649</v>
      </c>
      <c r="X23" s="27">
        <f>股权价值增加表!X17</f>
        <v>33620874.495408438</v>
      </c>
      <c r="Y23" s="27">
        <f>股权价值增加表!Y17</f>
        <v>122594678.91784942</v>
      </c>
      <c r="Z23" s="27">
        <f>股权价值增加表!Z17</f>
        <v>98045995.705736354</v>
      </c>
      <c r="AA23" s="27">
        <f>股权价值增加表!AA17</f>
        <v>64286772.293111265</v>
      </c>
      <c r="AB23" s="27">
        <f>股权价值增加表!AB17</f>
        <v>28466967.411369838</v>
      </c>
      <c r="AC23" s="27">
        <f>股权价值增加表!AC17</f>
        <v>129915192.86496809</v>
      </c>
      <c r="AD23" s="27">
        <f>股权价值增加表!AD17</f>
        <v>112301370.71919394</v>
      </c>
      <c r="AE23" s="27">
        <f>股权价值增加表!AE17</f>
        <v>81734245.314214736</v>
      </c>
      <c r="AF23" s="27">
        <f>股权价值增加表!AF17</f>
        <v>40624045.516401142</v>
      </c>
      <c r="AG23" s="27">
        <f>股权价值增加表!AG17</f>
        <v>174968893.31274343</v>
      </c>
      <c r="AH23" s="27">
        <f>股权价值增加表!AH17</f>
        <v>146239377.26985049</v>
      </c>
      <c r="AI23" s="27">
        <f>股权价值增加表!AI17</f>
        <v>96360141.763004005</v>
      </c>
      <c r="AJ23" s="27">
        <f>股权价值增加表!AJ17</f>
        <v>45606808.093407445</v>
      </c>
      <c r="AK23" s="27">
        <f>股权价值增加表!AK17</f>
        <v>144821458.59473762</v>
      </c>
      <c r="AL23" s="27">
        <f>股权价值增加表!AL17</f>
        <v>109472035.61151272</v>
      </c>
      <c r="AM23" s="27">
        <f>股权价值增加表!AM17</f>
        <v>72541852.431419209</v>
      </c>
      <c r="AN23" s="27">
        <f>股权价值增加表!AN17</f>
        <v>37650087.805199593</v>
      </c>
      <c r="AO23" s="27">
        <f>股权价值增加表!AO17</f>
        <v>139016907.28994122</v>
      </c>
      <c r="AP23" s="27">
        <f>股权价值增加表!AP17</f>
        <v>104050678.5727836</v>
      </c>
      <c r="AQ23" s="27">
        <f>股权价值增加表!AQ17</f>
        <v>68827292.331538662</v>
      </c>
      <c r="AR23" s="27">
        <f>股权价值增加表!AR17</f>
        <v>29508098.603900019</v>
      </c>
      <c r="AS23" s="27">
        <f>股权价值增加表!AS17</f>
        <v>114388643.19084157</v>
      </c>
      <c r="AT23" s="27">
        <f>股权价值增加表!AT17</f>
        <v>605921615.35254657</v>
      </c>
      <c r="AU23" s="27">
        <f>股权价值增加表!AU17</f>
        <v>57020988.702899322</v>
      </c>
      <c r="AV23" s="27">
        <f>股权价值增加表!AV17</f>
        <v>25894547.196580261</v>
      </c>
      <c r="AW23" s="27">
        <f>股权价值增加表!AW17</f>
        <v>99676175.287281245</v>
      </c>
      <c r="AX23" s="27">
        <f>股权价值增加表!AX17</f>
        <v>80715195.822959185</v>
      </c>
      <c r="AY23" s="27">
        <f>股权价值增加表!AY17</f>
        <v>53046066.079280473</v>
      </c>
      <c r="AZ23" s="27">
        <f>股权价值增加表!AZ17</f>
        <v>24529245.103499286</v>
      </c>
      <c r="BA23" s="27">
        <f>股权价值增加表!BA17</f>
        <v>88081058.438888073</v>
      </c>
      <c r="BB23" s="27">
        <f>股权价值增加表!BB17</f>
        <v>66338374.103167281</v>
      </c>
      <c r="BC23" s="27">
        <f>股权价值增加表!BC17</f>
        <v>44034928.605702765</v>
      </c>
      <c r="BD23" s="27">
        <f>股权价值增加表!BD17</f>
        <v>21992182.998878606</v>
      </c>
      <c r="BE23" s="27">
        <f>股权价值增加表!BE17</f>
        <v>74620876.664500356</v>
      </c>
      <c r="BF23" s="27">
        <f>股权价值增加表!BF17</f>
        <v>54429716.402884968</v>
      </c>
      <c r="BG23" s="27">
        <f>股权价值增加表!BG17</f>
        <v>35166809.720974058</v>
      </c>
      <c r="BH23" s="27">
        <f>股权价值增加表!BH17</f>
        <v>16746489.653149374</v>
      </c>
      <c r="BI23" s="27">
        <f>股权价值增加表!BI17</f>
        <v>68179465.876244739</v>
      </c>
      <c r="BJ23" s="27">
        <f>股权价值增加表!BJ17</f>
        <v>49913580.671370462</v>
      </c>
      <c r="BK23" s="27">
        <f>股权价值增加表!BK17</f>
        <v>34618661.009833135</v>
      </c>
      <c r="BL23" s="27">
        <f>股权价值增加表!BL17</f>
        <v>13299877.681794897</v>
      </c>
      <c r="BM23" s="27">
        <f>股权价值增加表!BM17</f>
        <v>62053763.698074311</v>
      </c>
      <c r="BN23" s="27">
        <f>股权价值增加表!BN17</f>
        <v>43306392.491845459</v>
      </c>
      <c r="BO23" s="27">
        <f>股权价值增加表!BO17</f>
        <v>28765236.868435014</v>
      </c>
      <c r="BP23" s="27">
        <f>股权价值增加表!BP17</f>
        <v>45842058.917906389</v>
      </c>
      <c r="BQ23" s="27">
        <f>股权价值增加表!BQ17</f>
        <v>21021727.764259376</v>
      </c>
      <c r="BR23" s="27">
        <f>股权价值增加表!BR17</f>
        <v>34524148.131465234</v>
      </c>
      <c r="BS23" s="27">
        <f>股权价值增加表!BS17</f>
        <v>32737849.191867828</v>
      </c>
      <c r="BT23" s="27" t="e">
        <f>股权价值增加表!BT17</f>
        <v>#DIV/0!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371</v>
      </c>
      <c r="E24" s="57">
        <f>E23/E2</f>
        <v>0.10638001592126169</v>
      </c>
      <c r="F24" s="57">
        <f t="shared" ref="F24:BQ24" si="25">F23/F2</f>
        <v>0.11454524629233663</v>
      </c>
      <c r="G24" s="57">
        <f t="shared" si="25"/>
        <v>0.11221286850647082</v>
      </c>
      <c r="H24" s="57">
        <f t="shared" si="25"/>
        <v>0.1102743338480706</v>
      </c>
      <c r="I24" s="57">
        <f t="shared" si="25"/>
        <v>8.5346979366189249E-2</v>
      </c>
      <c r="J24" s="57">
        <f t="shared" si="25"/>
        <v>8.6102524517393059E-2</v>
      </c>
      <c r="K24" s="57">
        <f t="shared" si="25"/>
        <v>8.5450013693500457E-2</v>
      </c>
      <c r="L24" s="57">
        <f t="shared" si="25"/>
        <v>8.3445870150100465E-2</v>
      </c>
      <c r="M24" s="57">
        <f t="shared" si="25"/>
        <v>8.0982537756223369E-2</v>
      </c>
      <c r="N24" s="57">
        <f t="shared" si="25"/>
        <v>8.5064630489387255E-2</v>
      </c>
      <c r="O24" s="57">
        <f t="shared" si="25"/>
        <v>7.9945149100694862E-2</v>
      </c>
      <c r="P24" s="57">
        <f t="shared" si="25"/>
        <v>7.817842218807558E-2</v>
      </c>
      <c r="Q24" s="57">
        <f t="shared" si="25"/>
        <v>7.3605613208075973E-2</v>
      </c>
      <c r="R24" s="57">
        <f t="shared" si="25"/>
        <v>8.0200996509709202E-2</v>
      </c>
      <c r="S24" s="57">
        <f t="shared" si="25"/>
        <v>8.4019709920224769E-2</v>
      </c>
      <c r="T24" s="57">
        <f t="shared" si="25"/>
        <v>7.8798801025699E-2</v>
      </c>
      <c r="U24" s="57">
        <f t="shared" si="25"/>
        <v>8.2234715597187841E-2</v>
      </c>
      <c r="V24" s="57">
        <f t="shared" si="25"/>
        <v>9.6600816739025458E-2</v>
      </c>
      <c r="W24" s="57">
        <f t="shared" si="25"/>
        <v>9.470603297846468E-2</v>
      </c>
      <c r="X24" s="57">
        <f t="shared" si="25"/>
        <v>9.4121841831775382E-2</v>
      </c>
      <c r="Y24" s="57">
        <f t="shared" si="25"/>
        <v>8.3506081017673858E-2</v>
      </c>
      <c r="Z24" s="57">
        <f t="shared" si="25"/>
        <v>9.1516394664689846E-2</v>
      </c>
      <c r="AA24" s="57">
        <f t="shared" si="25"/>
        <v>9.0188083742361633E-2</v>
      </c>
      <c r="AB24" s="57">
        <f t="shared" si="25"/>
        <v>8.6984036838609641E-2</v>
      </c>
      <c r="AC24" s="57">
        <f t="shared" si="25"/>
        <v>9.2983995826959431E-2</v>
      </c>
      <c r="AD24" s="57">
        <f t="shared" si="25"/>
        <v>0.10412099852006089</v>
      </c>
      <c r="AE24" s="57">
        <f t="shared" si="25"/>
        <v>0.11034339548855539</v>
      </c>
      <c r="AF24" s="57">
        <f t="shared" si="25"/>
        <v>0.10859918350627593</v>
      </c>
      <c r="AG24" s="57">
        <f t="shared" si="25"/>
        <v>0.11561171982679147</v>
      </c>
      <c r="AH24" s="57">
        <f t="shared" si="25"/>
        <v>0.1380012481135631</v>
      </c>
      <c r="AI24" s="57">
        <f t="shared" si="25"/>
        <v>0.1367952008587737</v>
      </c>
      <c r="AJ24" s="57">
        <f t="shared" si="25"/>
        <v>0.1356404942252922</v>
      </c>
      <c r="AK24" s="57">
        <f t="shared" si="25"/>
        <v>0.11658854802119989</v>
      </c>
      <c r="AL24" s="57">
        <f t="shared" si="25"/>
        <v>0.12745055962030591</v>
      </c>
      <c r="AM24" s="57">
        <f t="shared" si="25"/>
        <v>0.1290152206932326</v>
      </c>
      <c r="AN24" s="57">
        <f t="shared" si="25"/>
        <v>0.14149653304093965</v>
      </c>
      <c r="AO24" s="57">
        <f t="shared" si="25"/>
        <v>0.12001887192268329</v>
      </c>
      <c r="AP24" s="57">
        <f t="shared" si="25"/>
        <v>0.11623059283995402</v>
      </c>
      <c r="AQ24" s="57">
        <f t="shared" si="25"/>
        <v>0.12156196277751073</v>
      </c>
      <c r="AR24" s="57">
        <f t="shared" si="25"/>
        <v>0.11706293175731231</v>
      </c>
      <c r="AS24" s="57">
        <f t="shared" si="25"/>
        <v>0.11301776506000429</v>
      </c>
      <c r="AT24" s="57">
        <f t="shared" si="25"/>
        <v>0.8120734950868187</v>
      </c>
      <c r="AU24" s="57">
        <f t="shared" si="25"/>
        <v>0.11768130145733308</v>
      </c>
      <c r="AV24" s="57">
        <f t="shared" si="25"/>
        <v>0.11589600016151348</v>
      </c>
      <c r="AW24" s="57">
        <f t="shared" si="25"/>
        <v>0.1205690810756154</v>
      </c>
      <c r="AX24" s="57">
        <f t="shared" si="25"/>
        <v>0.13360520357871802</v>
      </c>
      <c r="AY24" s="57">
        <f t="shared" si="25"/>
        <v>0.13345640526324482</v>
      </c>
      <c r="AZ24" s="57">
        <f t="shared" si="25"/>
        <v>0.11885065163495472</v>
      </c>
      <c r="BA24" s="57">
        <f t="shared" si="25"/>
        <v>0.13104590145699177</v>
      </c>
      <c r="BB24" s="57">
        <f t="shared" si="25"/>
        <v>0.13599910024391457</v>
      </c>
      <c r="BC24" s="57">
        <f t="shared" si="25"/>
        <v>0.13546720231317386</v>
      </c>
      <c r="BD24" s="57">
        <f t="shared" si="25"/>
        <v>0.1440134168813047</v>
      </c>
      <c r="BE24" s="57">
        <f t="shared" si="25"/>
        <v>0.13320930737194381</v>
      </c>
      <c r="BF24" s="57">
        <f t="shared" si="25"/>
        <v>0.13577444088009441</v>
      </c>
      <c r="BG24" s="57">
        <f t="shared" si="25"/>
        <v>0.13172048190242705</v>
      </c>
      <c r="BH24" s="57">
        <f t="shared" si="25"/>
        <v>0.12589695825519298</v>
      </c>
      <c r="BI24" s="57">
        <f t="shared" si="25"/>
        <v>0.1456858787541207</v>
      </c>
      <c r="BJ24" s="57">
        <f t="shared" si="25"/>
        <v>0.14293710118851649</v>
      </c>
      <c r="BK24" s="57">
        <f t="shared" si="25"/>
        <v>0.14642883066084963</v>
      </c>
      <c r="BL24" s="57">
        <f t="shared" si="25"/>
        <v>0.14591121641178695</v>
      </c>
      <c r="BM24" s="57">
        <f t="shared" si="25"/>
        <v>0.14693601843396775</v>
      </c>
      <c r="BN24" s="57">
        <f t="shared" si="25"/>
        <v>0.14761231586673193</v>
      </c>
      <c r="BO24" s="57">
        <f t="shared" si="25"/>
        <v>0.15314477941274601</v>
      </c>
      <c r="BP24" s="57">
        <f t="shared" si="25"/>
        <v>0.13093658814185063</v>
      </c>
      <c r="BQ24" s="57">
        <f t="shared" si="25"/>
        <v>0.13063628913093894</v>
      </c>
      <c r="BR24" s="57">
        <f t="shared" ref="BR24:CJ24" si="26">BR23/BR2</f>
        <v>0.11778373163191609</v>
      </c>
      <c r="BS24" s="57">
        <f t="shared" si="26"/>
        <v>0.14165660904595517</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c r="A25" s="281" t="s">
        <v>668</v>
      </c>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row>
    <row r="26" spans="1:89" s="63" customFormat="1" ht="14.25" thickBot="1">
      <c r="A26" s="149" t="s">
        <v>598</v>
      </c>
      <c r="B26" s="150"/>
      <c r="C26" s="150"/>
      <c r="D26" s="150"/>
      <c r="E26" s="151">
        <f>POWER(E2/Y2,1/6)-1</f>
        <v>8.0062538665159E-2</v>
      </c>
    </row>
    <row r="27" spans="1:89" s="26" customFormat="1">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37256</v>
      </c>
      <c r="BQ27" s="1">
        <v>37072</v>
      </c>
      <c r="BR27" s="1">
        <v>36891</v>
      </c>
      <c r="BS27" s="1">
        <v>36525</v>
      </c>
      <c r="BT27" s="1">
        <v>25569</v>
      </c>
      <c r="BU27" s="1"/>
      <c r="BV27" s="1"/>
      <c r="BW27" s="1"/>
      <c r="BX27" s="1"/>
      <c r="BY27" s="1"/>
      <c r="BZ27" s="1"/>
      <c r="CA27" s="1"/>
      <c r="CB27" s="1"/>
      <c r="CC27" s="1"/>
      <c r="CD27" s="1"/>
      <c r="CE27" s="1"/>
      <c r="CF27" s="1"/>
      <c r="CG27" s="1"/>
      <c r="CH27" s="1"/>
      <c r="CI27" s="1"/>
      <c r="CJ27" s="1"/>
      <c r="CK27" s="1"/>
    </row>
    <row r="28" spans="1:89" s="26" customFormat="1">
      <c r="A28" s="17" t="s">
        <v>373</v>
      </c>
      <c r="E28" s="26">
        <f>股权价值增加表!E15</f>
        <v>298165037.69000012</v>
      </c>
      <c r="F28" s="26">
        <f>股权价值增加表!F15</f>
        <v>233777558.64999989</v>
      </c>
      <c r="G28" s="26">
        <f>股权价值增加表!G15</f>
        <v>154385890.26000002</v>
      </c>
      <c r="H28" s="26">
        <f>股权价值增加表!H15</f>
        <v>75506518.679999933</v>
      </c>
      <c r="I28" s="26">
        <f>股权价值增加表!I15</f>
        <v>219153506.98000002</v>
      </c>
      <c r="J28" s="26">
        <f>股权价值增加表!J15</f>
        <v>174135746.55999988</v>
      </c>
      <c r="K28" s="26">
        <f>股权价值增加表!K15</f>
        <v>115612533.79000001</v>
      </c>
      <c r="L28" s="26">
        <f>股权价值增加表!L15</f>
        <v>50783813.919999987</v>
      </c>
      <c r="M28" s="26">
        <f>股权价值增加表!M15</f>
        <v>187579033.93999988</v>
      </c>
      <c r="N28" s="26">
        <f>股权价值增加表!N15</f>
        <v>148858345.13000003</v>
      </c>
      <c r="O28" s="26">
        <f>股权价值增加表!O15</f>
        <v>95247502.910000056</v>
      </c>
      <c r="P28" s="26">
        <f>股权价值增加表!P15</f>
        <v>43262817.460000016</v>
      </c>
      <c r="Q28" s="26">
        <f>股权价值增加表!Q15</f>
        <v>169693944.40000004</v>
      </c>
      <c r="R28" s="26">
        <f>股权价值增加表!R15</f>
        <v>132862066.88999994</v>
      </c>
      <c r="S28" s="26">
        <f>股权价值增加表!S15</f>
        <v>91471762.789999992</v>
      </c>
      <c r="T28" s="26">
        <f>股权价值增加表!T15</f>
        <v>41488978.469999991</v>
      </c>
      <c r="U28" s="26">
        <f>股权价值增加表!U15</f>
        <v>173109460.62999988</v>
      </c>
      <c r="V28" s="26">
        <f>股权价值增加表!V15</f>
        <v>141248930.54000002</v>
      </c>
      <c r="W28" s="26">
        <f>股权价值增加表!W15</f>
        <v>94777077.440000102</v>
      </c>
      <c r="X28" s="26">
        <f>股权价值增加表!X15</f>
        <v>43953235.650000028</v>
      </c>
      <c r="Y28" s="26">
        <f>股权价值增加表!Y15</f>
        <v>164708018.79999995</v>
      </c>
      <c r="Z28" s="26">
        <f>股权价值增加表!Z15</f>
        <v>132087051.58000009</v>
      </c>
      <c r="AA28" s="26">
        <f>股权价值增加表!AA15</f>
        <v>86746943.600000039</v>
      </c>
      <c r="AB28" s="26">
        <f>股权价值增加表!AB15</f>
        <v>37861068.900000006</v>
      </c>
      <c r="AC28" s="26">
        <f>股权价值增加表!AC15</f>
        <v>164265918.77999991</v>
      </c>
      <c r="AD28" s="26">
        <f>股权价值增加表!AD15</f>
        <v>142886691.66999999</v>
      </c>
      <c r="AE28" s="26">
        <f>股权价值增加表!AE15</f>
        <v>101746684.65000007</v>
      </c>
      <c r="AF28" s="26">
        <f>股权价值增加表!AF15</f>
        <v>54528911.100000001</v>
      </c>
      <c r="AG28" s="26">
        <f>股权价值增加表!AG15</f>
        <v>211491509.18000007</v>
      </c>
      <c r="AH28" s="26">
        <f>股权价值增加表!AH15</f>
        <v>174444458.89999995</v>
      </c>
      <c r="AI28" s="26">
        <f>股权价值增加表!AI15</f>
        <v>114105719.77000004</v>
      </c>
      <c r="AJ28" s="26">
        <f>股权价值增加表!AJ15</f>
        <v>53674389.279999971</v>
      </c>
      <c r="AK28" s="26">
        <f>股权价值增加表!AK15</f>
        <v>173509996.91000015</v>
      </c>
      <c r="AL28" s="26">
        <f>股权价值增加表!AL15</f>
        <v>133135689.68999994</v>
      </c>
      <c r="AM28" s="26">
        <f>股权价值增加表!AM15</f>
        <v>87898813.559999973</v>
      </c>
      <c r="AN28" s="26">
        <f>股权价值增加表!AN15</f>
        <v>44374871.230000019</v>
      </c>
      <c r="AO28" s="26">
        <f>股权价值增加表!AO15</f>
        <v>164134375.39000002</v>
      </c>
      <c r="AP28" s="26">
        <f>股权价值增加表!AP15</f>
        <v>135194926.36999992</v>
      </c>
      <c r="AQ28" s="26">
        <f>股权价值增加表!AQ15</f>
        <v>88222189.900000051</v>
      </c>
      <c r="AR28" s="26">
        <f>股权价值增加表!AR15</f>
        <v>39547084.32</v>
      </c>
      <c r="AS28" s="26">
        <f>股权价值增加表!AS15</f>
        <v>164339206.73999995</v>
      </c>
      <c r="AT28" s="26">
        <f>股权价值增加表!AT15</f>
        <v>640117581.46000004</v>
      </c>
      <c r="AU28" s="26">
        <f>股权价值增加表!AU15</f>
        <v>80541050.330000013</v>
      </c>
      <c r="AV28" s="26">
        <f>股权价值增加表!AV15</f>
        <v>36891883.199999988</v>
      </c>
      <c r="AW28" s="26">
        <f>股权价值增加表!AW15</f>
        <v>152104541.17000008</v>
      </c>
      <c r="AX28" s="26">
        <f>股权价值增加表!AX15</f>
        <v>115011953.59999993</v>
      </c>
      <c r="AY28" s="26">
        <f>股权价值增加表!AY15</f>
        <v>74549903.339999974</v>
      </c>
      <c r="AZ28" s="26">
        <f>股权价值增加表!AZ15</f>
        <v>36180462.309999995</v>
      </c>
      <c r="BA28" s="26">
        <f>股权价值增加表!BA15</f>
        <v>129905748.72000001</v>
      </c>
      <c r="BB28" s="26">
        <f>股权价值增加表!BB15</f>
        <v>97052169.910000011</v>
      </c>
      <c r="BC28" s="26">
        <f>股权价值增加表!BC15</f>
        <v>65827098.550000034</v>
      </c>
      <c r="BD28" s="26">
        <f>股权价值增加表!BD15</f>
        <v>32645388.669999987</v>
      </c>
      <c r="BE28" s="26">
        <f>股权价值增加表!BE15</f>
        <v>114529058.60999998</v>
      </c>
      <c r="BF28" s="26">
        <f>股权价值增加表!BF15</f>
        <v>81130515.14000003</v>
      </c>
      <c r="BG28" s="26">
        <f>股权价值增加表!BG15</f>
        <v>53225800.690000013</v>
      </c>
      <c r="BH28" s="26">
        <f>股权价值增加表!BH15</f>
        <v>25258925.049999997</v>
      </c>
      <c r="BI28" s="26">
        <f>股权价值增加表!BI15</f>
        <v>104188770.33000006</v>
      </c>
      <c r="BJ28" s="26">
        <f>股权价值增加表!BJ15</f>
        <v>74202212.24999997</v>
      </c>
      <c r="BK28" s="26">
        <f>股权价值增加表!BK15</f>
        <v>51447864.390000001</v>
      </c>
      <c r="BL28" s="26">
        <f>股权价值增加表!BL15</f>
        <v>20192689.510000005</v>
      </c>
      <c r="BM28" s="26">
        <f>股权价值增加表!BM15</f>
        <v>88123203.01000002</v>
      </c>
      <c r="BN28" s="26">
        <f>股权价值增加表!BN15</f>
        <v>62569296.900000021</v>
      </c>
      <c r="BO28" s="26">
        <f>股权价值增加表!BO15</f>
        <v>41842502.159999989</v>
      </c>
      <c r="BP28" s="26">
        <f>股权价值增加表!BP15</f>
        <v>66394244.170000032</v>
      </c>
      <c r="BQ28" s="26">
        <f>股权价值增加表!BQ15</f>
        <v>32235635.69000002</v>
      </c>
      <c r="BR28" s="26">
        <f>股权价值增加表!BR15</f>
        <v>49945561.210000016</v>
      </c>
      <c r="BS28" s="26">
        <f>股权价值增加表!BS15</f>
        <v>47239134.959999986</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44" t="s">
        <v>378</v>
      </c>
      <c r="E29" s="59">
        <f t="shared" ref="E29:AJ29" si="27">E28/E34</f>
        <v>0.98881533606165961</v>
      </c>
      <c r="F29" s="59">
        <f t="shared" si="27"/>
        <v>0.94664948464494558</v>
      </c>
      <c r="G29" s="59">
        <f t="shared" si="27"/>
        <v>0.96195741228259057</v>
      </c>
      <c r="H29" s="59">
        <f t="shared" si="27"/>
        <v>0.98480375411957877</v>
      </c>
      <c r="I29" s="59">
        <f t="shared" si="27"/>
        <v>0.91713115206882501</v>
      </c>
      <c r="J29" s="59">
        <f t="shared" si="27"/>
        <v>1.0039188097763359</v>
      </c>
      <c r="K29" s="59">
        <f t="shared" si="27"/>
        <v>0.99724348843357724</v>
      </c>
      <c r="L29" s="59">
        <f t="shared" si="27"/>
        <v>1.0002544179991144</v>
      </c>
      <c r="M29" s="59">
        <f t="shared" si="27"/>
        <v>0.9445523982387759</v>
      </c>
      <c r="N29" s="59">
        <f t="shared" si="27"/>
        <v>0.99018146944164676</v>
      </c>
      <c r="O29" s="59">
        <f t="shared" si="27"/>
        <v>0.9900282504364234</v>
      </c>
      <c r="P29" s="59">
        <f t="shared" si="27"/>
        <v>1</v>
      </c>
      <c r="Q29" s="59">
        <f t="shared" si="27"/>
        <v>0.98214059211449101</v>
      </c>
      <c r="R29" s="59">
        <f t="shared" si="27"/>
        <v>0.99997064078885922</v>
      </c>
      <c r="S29" s="59">
        <f t="shared" si="27"/>
        <v>0.99995735652691431</v>
      </c>
      <c r="T29" s="59">
        <f t="shared" si="27"/>
        <v>1</v>
      </c>
      <c r="U29" s="59">
        <f t="shared" si="27"/>
        <v>1.0210990541347076</v>
      </c>
      <c r="V29" s="59">
        <f t="shared" si="27"/>
        <v>0.99996317898854437</v>
      </c>
      <c r="W29" s="59">
        <f t="shared" si="27"/>
        <v>0.99994512560703308</v>
      </c>
      <c r="X29" s="59">
        <f t="shared" si="27"/>
        <v>1</v>
      </c>
      <c r="Y29" s="59">
        <f t="shared" si="27"/>
        <v>0.9977153020617936</v>
      </c>
      <c r="Z29" s="59">
        <f t="shared" si="27"/>
        <v>0.99967495685951124</v>
      </c>
      <c r="AA29" s="59">
        <f t="shared" si="27"/>
        <v>0.99970421829892797</v>
      </c>
      <c r="AB29" s="59">
        <f t="shared" si="27"/>
        <v>0.99960577912561077</v>
      </c>
      <c r="AC29" s="59">
        <f t="shared" si="27"/>
        <v>0.95720835216521383</v>
      </c>
      <c r="AD29" s="59">
        <f t="shared" si="27"/>
        <v>0.95649032780353294</v>
      </c>
      <c r="AE29" s="59">
        <f t="shared" si="27"/>
        <v>0.93995409603677993</v>
      </c>
      <c r="AF29" s="59">
        <f t="shared" si="27"/>
        <v>1.0011937214250406</v>
      </c>
      <c r="AG29" s="59">
        <f t="shared" si="27"/>
        <v>0.99136288150564988</v>
      </c>
      <c r="AH29" s="59">
        <f t="shared" si="27"/>
        <v>1.0011001035329239</v>
      </c>
      <c r="AI29" s="59">
        <f t="shared" si="27"/>
        <v>1.0011114443652727</v>
      </c>
      <c r="AJ29" s="59">
        <f t="shared" si="27"/>
        <v>1.0012127490860248</v>
      </c>
      <c r="AK29" s="59">
        <f t="shared" ref="AK29:BP29" si="28">AK28/AK34</f>
        <v>0.96750756105987523</v>
      </c>
      <c r="AL29" s="59">
        <f t="shared" si="28"/>
        <v>0.95499381713944931</v>
      </c>
      <c r="AM29" s="59">
        <f t="shared" si="28"/>
        <v>0.93273077408842597</v>
      </c>
      <c r="AN29" s="59">
        <f t="shared" si="28"/>
        <v>1.0014672744423203</v>
      </c>
      <c r="AO29" s="59">
        <f t="shared" si="28"/>
        <v>0.97295310048293149</v>
      </c>
      <c r="AP29" s="59">
        <f t="shared" si="28"/>
        <v>1.0014116056639348</v>
      </c>
      <c r="AQ29" s="59">
        <f t="shared" si="28"/>
        <v>1.001476061426136</v>
      </c>
      <c r="AR29" s="59">
        <f t="shared" si="28"/>
        <v>1.0016466897672456</v>
      </c>
      <c r="AS29" s="59">
        <f t="shared" si="28"/>
        <v>0.95326452639669357</v>
      </c>
      <c r="AT29" s="59">
        <f t="shared" si="28"/>
        <v>0.99714670276498962</v>
      </c>
      <c r="AU29" s="59">
        <f t="shared" si="28"/>
        <v>0.97776360939007334</v>
      </c>
      <c r="AV29" s="59">
        <f t="shared" si="28"/>
        <v>1</v>
      </c>
      <c r="AW29" s="59">
        <f t="shared" si="28"/>
        <v>1.0028804039771033</v>
      </c>
      <c r="AX29" s="59">
        <f t="shared" si="28"/>
        <v>1.001650650254521</v>
      </c>
      <c r="AY29" s="59">
        <f t="shared" si="28"/>
        <v>1.0016730439171762</v>
      </c>
      <c r="AZ29" s="59">
        <f t="shared" si="28"/>
        <v>1.0018001914509846</v>
      </c>
      <c r="BA29" s="59">
        <f t="shared" si="28"/>
        <v>1.0019618967268382</v>
      </c>
      <c r="BB29" s="59">
        <f t="shared" si="28"/>
        <v>1.0019548048063269</v>
      </c>
      <c r="BC29" s="59">
        <f t="shared" si="28"/>
        <v>1.0019792274109258</v>
      </c>
      <c r="BD29" s="59">
        <f t="shared" si="28"/>
        <v>1.0019955179182343</v>
      </c>
      <c r="BE29" s="59">
        <f t="shared" si="28"/>
        <v>1.0005679925135484</v>
      </c>
      <c r="BF29" s="59">
        <f t="shared" si="28"/>
        <v>1</v>
      </c>
      <c r="BG29" s="59">
        <f t="shared" si="28"/>
        <v>1</v>
      </c>
      <c r="BH29" s="59">
        <f t="shared" si="28"/>
        <v>1</v>
      </c>
      <c r="BI29" s="59">
        <f t="shared" si="28"/>
        <v>1</v>
      </c>
      <c r="BJ29" s="59">
        <f t="shared" si="28"/>
        <v>1</v>
      </c>
      <c r="BK29" s="59">
        <f t="shared" si="28"/>
        <v>1</v>
      </c>
      <c r="BL29" s="59">
        <f t="shared" si="28"/>
        <v>1</v>
      </c>
      <c r="BM29" s="59">
        <f t="shared" si="28"/>
        <v>0.99697193001671947</v>
      </c>
      <c r="BN29" s="59">
        <f t="shared" si="28"/>
        <v>1</v>
      </c>
      <c r="BO29" s="59">
        <f t="shared" si="28"/>
        <v>0.97522365111013343</v>
      </c>
      <c r="BP29" s="59">
        <f t="shared" si="28"/>
        <v>1.0011357417550342</v>
      </c>
      <c r="BQ29" s="59">
        <f t="shared" ref="BQ29:CK29" si="29">BQ28/BQ34</f>
        <v>0.99073341163848505</v>
      </c>
      <c r="BR29" s="59">
        <f t="shared" si="29"/>
        <v>1</v>
      </c>
      <c r="BS29" s="59">
        <f t="shared" si="29"/>
        <v>1</v>
      </c>
      <c r="BT29" s="59" t="e">
        <f t="shared" si="29"/>
        <v>#DIV/0!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44" t="s">
        <v>379</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t="e">
        <f t="shared" si="31"/>
        <v>#DIV/0!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375</v>
      </c>
      <c r="E32" s="26">
        <f>股权价值增加表!E27</f>
        <v>3372597.1099999994</v>
      </c>
      <c r="F32" s="26">
        <f>股权价值增加表!F27</f>
        <v>13175048.880000001</v>
      </c>
      <c r="G32" s="26">
        <f>股权价值增加表!G27</f>
        <v>6105508.0999999996</v>
      </c>
      <c r="H32" s="26">
        <f>股权价值增加表!H27</f>
        <v>1165121.0900000001</v>
      </c>
      <c r="I32" s="26">
        <f>股权价值增加表!I27</f>
        <v>19801964.640000001</v>
      </c>
      <c r="J32" s="26">
        <f>股权价值增加表!J27</f>
        <v>-679741.09</v>
      </c>
      <c r="K32" s="26">
        <f>股权价值增加表!K27</f>
        <v>319568.18</v>
      </c>
      <c r="L32" s="26">
        <f>股权价值增加表!L27</f>
        <v>-12917.03</v>
      </c>
      <c r="M32" s="26">
        <f>股权价值增加表!M27</f>
        <v>11011361.140000001</v>
      </c>
      <c r="N32" s="26">
        <f>股权价值增加表!N27</f>
        <v>1476062.98</v>
      </c>
      <c r="O32" s="26">
        <f>股权价值增加表!O27</f>
        <v>959350.65</v>
      </c>
      <c r="P32" s="26">
        <f>股权价值增加表!P27</f>
        <v>0</v>
      </c>
      <c r="Q32" s="26">
        <f>股权价值增加表!Q27</f>
        <v>3085742.91</v>
      </c>
      <c r="R32" s="26">
        <f>股权价值增加表!R27</f>
        <v>3900.84</v>
      </c>
      <c r="S32" s="26">
        <f>股权价值增加表!S27</f>
        <v>3900.84</v>
      </c>
      <c r="T32" s="26">
        <f>股权价值增加表!T27</f>
        <v>0</v>
      </c>
      <c r="U32" s="26">
        <f>股权价值增加表!U27</f>
        <v>-3576975.09</v>
      </c>
      <c r="V32" s="26">
        <f>股权价值增加表!V27</f>
        <v>5201.12</v>
      </c>
      <c r="W32" s="26">
        <f>股权价值增加表!W27</f>
        <v>5201.12</v>
      </c>
      <c r="X32" s="26">
        <f>股权价值增加表!X27</f>
        <v>0</v>
      </c>
      <c r="Y32" s="26">
        <f>股权价值增加表!Y27</f>
        <v>377169.78999999992</v>
      </c>
      <c r="Z32" s="26">
        <f>股权价值增加表!Z27</f>
        <v>42947.95</v>
      </c>
      <c r="AA32" s="26">
        <f>股权价值增加表!AA27</f>
        <v>25665.75</v>
      </c>
      <c r="AB32" s="26">
        <f>股权价值增加表!AB27</f>
        <v>14931.51</v>
      </c>
      <c r="AC32" s="26">
        <f>股权价值增加表!AC27</f>
        <v>7343447.5700000012</v>
      </c>
      <c r="AD32" s="26">
        <f>股权价值增加表!AD27</f>
        <v>6499755.3399999999</v>
      </c>
      <c r="AE32" s="26">
        <f>股权价值增加表!AE27</f>
        <v>6499755.3399999999</v>
      </c>
      <c r="AF32" s="26">
        <f>股权价值增加表!AF27</f>
        <v>-65014.720000000001</v>
      </c>
      <c r="AG32" s="26">
        <f>股权价值增加表!AG27</f>
        <v>1842591.9099999997</v>
      </c>
      <c r="AH32" s="26">
        <f>股权价值增加表!AH27</f>
        <v>-191696.08</v>
      </c>
      <c r="AI32" s="26">
        <f>股权价值增加表!AI27</f>
        <v>-126681.36</v>
      </c>
      <c r="AJ32" s="26">
        <f>股权价值增加表!AJ27</f>
        <v>-65014.720000000001</v>
      </c>
      <c r="AK32" s="26">
        <f>股权价值增加表!AK27</f>
        <v>5827099.6599999992</v>
      </c>
      <c r="AL32" s="26">
        <f>股权价值增加表!AL27</f>
        <v>6274312.0300000003</v>
      </c>
      <c r="AM32" s="26">
        <f>股权价值增加表!AM27</f>
        <v>6339326.75</v>
      </c>
      <c r="AN32" s="26">
        <f>股权价值增加表!AN27</f>
        <v>-65014.720000000001</v>
      </c>
      <c r="AO32" s="26">
        <f>股权价值增加表!AO27</f>
        <v>4562733.7600000007</v>
      </c>
      <c r="AP32" s="26">
        <f>股权价值增加表!AP27</f>
        <v>-190572.91</v>
      </c>
      <c r="AQ32" s="26">
        <f>股权价值增加表!AQ27</f>
        <v>-130029.44</v>
      </c>
      <c r="AR32" s="26">
        <f>股权价值增加表!AR27</f>
        <v>-65014.720000000001</v>
      </c>
      <c r="AS32" s="26">
        <f>股权价值增加表!AS27</f>
        <v>8057019.2699999996</v>
      </c>
      <c r="AT32" s="26">
        <f>股权价值增加表!AT27</f>
        <v>1831672.03</v>
      </c>
      <c r="AU32" s="26">
        <f>股权价值增加表!AU27</f>
        <v>1831672.03</v>
      </c>
      <c r="AV32" s="26">
        <f>股权价值增加表!AV27</f>
        <v>0</v>
      </c>
      <c r="AW32" s="26">
        <f>股权价值增加表!AW27</f>
        <v>-436864.17999999993</v>
      </c>
      <c r="AX32" s="26">
        <f>股权价值增加表!AX27</f>
        <v>-189531.66</v>
      </c>
      <c r="AY32" s="26">
        <f>股权价值增加表!AY27</f>
        <v>-124516.94</v>
      </c>
      <c r="AZ32" s="26">
        <f>股权价值增加表!AZ27</f>
        <v>-65014.720000000001</v>
      </c>
      <c r="BA32" s="26">
        <f>股权价值增加表!BA27</f>
        <v>-254362.63</v>
      </c>
      <c r="BB32" s="26">
        <f>股权价值增加表!BB27</f>
        <v>-189347.91</v>
      </c>
      <c r="BC32" s="26">
        <f>股权价值增加表!BC27</f>
        <v>-130029.44</v>
      </c>
      <c r="BD32" s="26">
        <f>股权价值增加表!BD27</f>
        <v>-65014.720000000001</v>
      </c>
      <c r="BE32" s="26">
        <f>股权价值增加表!BE27</f>
        <v>-65014.720000000001</v>
      </c>
      <c r="BF32" s="26">
        <f>股权价值增加表!BF27</f>
        <v>0</v>
      </c>
      <c r="BG32" s="26">
        <f>股权价值增加表!BG27</f>
        <v>0</v>
      </c>
      <c r="BH32" s="26">
        <f>股权价值增加表!BH27</f>
        <v>0</v>
      </c>
      <c r="BI32" s="26">
        <f>股权价值增加表!BI27</f>
        <v>0</v>
      </c>
      <c r="BJ32" s="26">
        <f>股权价值增加表!BJ27</f>
        <v>0</v>
      </c>
      <c r="BK32" s="26">
        <f>股权价值增加表!BK27</f>
        <v>0</v>
      </c>
      <c r="BL32" s="26">
        <f>股权价值增加表!BL27</f>
        <v>0</v>
      </c>
      <c r="BM32" s="26">
        <f>股权价值增加表!BM27</f>
        <v>267653.7</v>
      </c>
      <c r="BN32" s="26">
        <f>股权价值增加表!BN27</f>
        <v>0</v>
      </c>
      <c r="BO32" s="26">
        <f>股权价值增加表!BO27</f>
        <v>1063042.75</v>
      </c>
      <c r="BP32" s="26">
        <f>股权价值增加表!BP27</f>
        <v>-75321.17</v>
      </c>
      <c r="BQ32" s="26">
        <f>股权价值增加表!BQ27</f>
        <v>301508.32</v>
      </c>
      <c r="BR32" s="26">
        <f>股权价值增加表!BR27</f>
        <v>0</v>
      </c>
      <c r="BS32" s="26">
        <f>股权价值增加表!BS27</f>
        <v>0</v>
      </c>
      <c r="BT32" s="26">
        <f>股权价值增加表!BT27</f>
        <v>0</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44" t="s">
        <v>380</v>
      </c>
      <c r="E33" s="59">
        <f>E32/E34</f>
        <v>1.1184663938340335E-2</v>
      </c>
      <c r="F33" s="59">
        <f t="shared" ref="F33:BQ33" si="32">F32/F34</f>
        <v>5.335051535505448E-2</v>
      </c>
      <c r="G33" s="59">
        <f t="shared" si="32"/>
        <v>3.8042587717409426E-2</v>
      </c>
      <c r="H33" s="59">
        <f t="shared" si="32"/>
        <v>1.5196245880421204E-2</v>
      </c>
      <c r="I33" s="59">
        <f t="shared" si="32"/>
        <v>8.2868847931175077E-2</v>
      </c>
      <c r="J33" s="59">
        <f t="shared" si="32"/>
        <v>-3.9188097763358486E-3</v>
      </c>
      <c r="K33" s="59">
        <f t="shared" si="32"/>
        <v>2.7565115664226919E-3</v>
      </c>
      <c r="L33" s="59">
        <f t="shared" si="32"/>
        <v>-2.5441799911445301E-4</v>
      </c>
      <c r="M33" s="59">
        <f t="shared" si="32"/>
        <v>5.5447601761224152E-2</v>
      </c>
      <c r="N33" s="59">
        <f t="shared" si="32"/>
        <v>9.8185305583533573E-3</v>
      </c>
      <c r="O33" s="59">
        <f t="shared" si="32"/>
        <v>9.9717495635765121E-3</v>
      </c>
      <c r="P33" s="59">
        <f t="shared" si="32"/>
        <v>0</v>
      </c>
      <c r="Q33" s="59">
        <f t="shared" si="32"/>
        <v>1.7859407885509035E-2</v>
      </c>
      <c r="R33" s="59">
        <f t="shared" si="32"/>
        <v>2.9359211140711283E-5</v>
      </c>
      <c r="S33" s="59">
        <f t="shared" si="32"/>
        <v>4.2643473085673207E-5</v>
      </c>
      <c r="T33" s="59">
        <f t="shared" si="32"/>
        <v>0</v>
      </c>
      <c r="U33" s="59">
        <f t="shared" si="32"/>
        <v>-2.1099054134707654E-2</v>
      </c>
      <c r="V33" s="59">
        <f t="shared" si="32"/>
        <v>3.6821011455573867E-5</v>
      </c>
      <c r="W33" s="59">
        <f t="shared" si="32"/>
        <v>5.4874392966903941E-5</v>
      </c>
      <c r="X33" s="59">
        <f t="shared" si="32"/>
        <v>0</v>
      </c>
      <c r="Y33" s="59">
        <f t="shared" si="32"/>
        <v>2.2846979382064748E-3</v>
      </c>
      <c r="Z33" s="59">
        <f t="shared" si="32"/>
        <v>3.2504314048868721E-4</v>
      </c>
      <c r="AA33" s="59">
        <f t="shared" si="32"/>
        <v>2.9578170107200986E-4</v>
      </c>
      <c r="AB33" s="59">
        <f t="shared" si="32"/>
        <v>3.9422087438930828E-4</v>
      </c>
      <c r="AC33" s="59">
        <f t="shared" si="32"/>
        <v>4.279164783478618E-2</v>
      </c>
      <c r="AD33" s="59">
        <f t="shared" si="32"/>
        <v>4.3509672196467085E-2</v>
      </c>
      <c r="AE33" s="59">
        <f t="shared" si="32"/>
        <v>6.0045903963219988E-2</v>
      </c>
      <c r="AF33" s="59">
        <f t="shared" si="32"/>
        <v>-1.1937214250406518E-3</v>
      </c>
      <c r="AG33" s="59">
        <f t="shared" si="32"/>
        <v>8.6371184943501295E-3</v>
      </c>
      <c r="AH33" s="59">
        <f t="shared" si="32"/>
        <v>-1.1001035329237143E-3</v>
      </c>
      <c r="AI33" s="59">
        <f t="shared" si="32"/>
        <v>-1.1114443652727422E-3</v>
      </c>
      <c r="AJ33" s="59">
        <f t="shared" si="32"/>
        <v>-1.2127490860247788E-3</v>
      </c>
      <c r="AK33" s="59">
        <f t="shared" si="32"/>
        <v>3.2492438940124831E-2</v>
      </c>
      <c r="AL33" s="59">
        <f t="shared" si="32"/>
        <v>4.5006182860550664E-2</v>
      </c>
      <c r="AM33" s="59">
        <f t="shared" si="32"/>
        <v>6.726922591157404E-2</v>
      </c>
      <c r="AN33" s="59">
        <f t="shared" si="32"/>
        <v>-1.467274442320237E-3</v>
      </c>
      <c r="AO33" s="59">
        <f t="shared" si="32"/>
        <v>2.7046899517068582E-2</v>
      </c>
      <c r="AP33" s="59">
        <f t="shared" si="32"/>
        <v>-1.4116056639348622E-3</v>
      </c>
      <c r="AQ33" s="59">
        <f t="shared" si="32"/>
        <v>-1.4760614261361245E-3</v>
      </c>
      <c r="AR33" s="59">
        <f t="shared" si="32"/>
        <v>-1.646689767245636E-3</v>
      </c>
      <c r="AS33" s="59">
        <f t="shared" si="32"/>
        <v>4.6735473603306411E-2</v>
      </c>
      <c r="AT33" s="59">
        <f t="shared" si="32"/>
        <v>2.8532972350103886E-3</v>
      </c>
      <c r="AU33" s="59">
        <f t="shared" si="32"/>
        <v>2.223639060992666E-2</v>
      </c>
      <c r="AV33" s="59">
        <f t="shared" si="32"/>
        <v>0</v>
      </c>
      <c r="AW33" s="59">
        <f t="shared" si="32"/>
        <v>-2.8804039771032014E-3</v>
      </c>
      <c r="AX33" s="59">
        <f t="shared" si="32"/>
        <v>-1.6506502545211867E-3</v>
      </c>
      <c r="AY33" s="59">
        <f t="shared" si="32"/>
        <v>-1.6730439171760893E-3</v>
      </c>
      <c r="AZ33" s="59">
        <f t="shared" si="32"/>
        <v>-1.8001914509845898E-3</v>
      </c>
      <c r="BA33" s="59">
        <f t="shared" si="32"/>
        <v>-1.9618967268381477E-3</v>
      </c>
      <c r="BB33" s="59">
        <f t="shared" si="32"/>
        <v>-1.9548048063270339E-3</v>
      </c>
      <c r="BC33" s="59">
        <f t="shared" si="32"/>
        <v>-1.9792274109258195E-3</v>
      </c>
      <c r="BD33" s="59">
        <f t="shared" si="32"/>
        <v>-1.9955179182343311E-3</v>
      </c>
      <c r="BE33" s="59">
        <f t="shared" si="32"/>
        <v>-5.6799251354843958E-4</v>
      </c>
      <c r="BF33" s="59">
        <f t="shared" si="32"/>
        <v>0</v>
      </c>
      <c r="BG33" s="59">
        <f t="shared" si="32"/>
        <v>0</v>
      </c>
      <c r="BH33" s="59">
        <f t="shared" si="32"/>
        <v>0</v>
      </c>
      <c r="BI33" s="59">
        <f t="shared" si="32"/>
        <v>0</v>
      </c>
      <c r="BJ33" s="59">
        <f t="shared" si="32"/>
        <v>0</v>
      </c>
      <c r="BK33" s="59">
        <f t="shared" si="32"/>
        <v>0</v>
      </c>
      <c r="BL33" s="59">
        <f t="shared" si="32"/>
        <v>0</v>
      </c>
      <c r="BM33" s="59">
        <f t="shared" si="32"/>
        <v>3.0280699832805134E-3</v>
      </c>
      <c r="BN33" s="59">
        <f t="shared" si="32"/>
        <v>0</v>
      </c>
      <c r="BO33" s="59">
        <f t="shared" si="32"/>
        <v>2.4776348889866604E-2</v>
      </c>
      <c r="BP33" s="59">
        <f t="shared" si="32"/>
        <v>-1.13574175503423E-3</v>
      </c>
      <c r="BQ33" s="59">
        <f t="shared" si="32"/>
        <v>9.2665883615148867E-3</v>
      </c>
      <c r="BR33" s="59">
        <f t="shared" ref="BR33:CJ33" si="33">BR32/BR34</f>
        <v>0</v>
      </c>
      <c r="BS33" s="59">
        <f t="shared" si="33"/>
        <v>0</v>
      </c>
      <c r="BT33" s="59" t="e">
        <f t="shared" si="33"/>
        <v>#DIV/0!</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c r="A34" s="144" t="s">
        <v>376</v>
      </c>
      <c r="E34" s="58">
        <f>股权价值增加表!E31</f>
        <v>301537634.80000013</v>
      </c>
      <c r="F34" s="58">
        <f>股权价值增加表!F31</f>
        <v>246952607.52999988</v>
      </c>
      <c r="G34" s="58">
        <f>股权价值增加表!G31</f>
        <v>160491398.36000001</v>
      </c>
      <c r="H34" s="58">
        <f>股权价值增加表!H31</f>
        <v>76671639.769999936</v>
      </c>
      <c r="I34" s="58">
        <f>股权价值增加表!I31</f>
        <v>238955471.62</v>
      </c>
      <c r="J34" s="58">
        <f>股权价值增加表!J31</f>
        <v>173456005.46999988</v>
      </c>
      <c r="K34" s="58">
        <f>股权价值增加表!K31</f>
        <v>115932101.97000001</v>
      </c>
      <c r="L34" s="58">
        <f>股权价值增加表!L31</f>
        <v>50770896.889999986</v>
      </c>
      <c r="M34" s="58">
        <f>股权价值增加表!M31</f>
        <v>198590395.07999986</v>
      </c>
      <c r="N34" s="58">
        <f>股权价值增加表!N31</f>
        <v>150334408.11000001</v>
      </c>
      <c r="O34" s="58">
        <f>股权价值增加表!O31</f>
        <v>96206853.560000062</v>
      </c>
      <c r="P34" s="58">
        <f>股权价值增加表!P31</f>
        <v>43262817.460000016</v>
      </c>
      <c r="Q34" s="58">
        <f>股权价值增加表!Q31</f>
        <v>172779687.31000003</v>
      </c>
      <c r="R34" s="58">
        <f>股权价值增加表!R31</f>
        <v>132865967.72999994</v>
      </c>
      <c r="S34" s="58">
        <f>股权价值增加表!S31</f>
        <v>91475663.629999995</v>
      </c>
      <c r="T34" s="58">
        <f>股权价值增加表!T31</f>
        <v>41488978.469999991</v>
      </c>
      <c r="U34" s="58">
        <f>股权价值增加表!U31</f>
        <v>169532485.53999987</v>
      </c>
      <c r="V34" s="58">
        <f>股权价值增加表!V31</f>
        <v>141254131.66000003</v>
      </c>
      <c r="W34" s="58">
        <f>股权价值增加表!W31</f>
        <v>94782278.560000107</v>
      </c>
      <c r="X34" s="58">
        <f>股权价值增加表!X31</f>
        <v>43953235.650000028</v>
      </c>
      <c r="Y34" s="58">
        <f>股权价值增加表!Y31</f>
        <v>165085188.58999994</v>
      </c>
      <c r="Z34" s="58">
        <f>股权价值增加表!Z31</f>
        <v>132129999.53000009</v>
      </c>
      <c r="AA34" s="58">
        <f>股权价值增加表!AA31</f>
        <v>86772609.350000039</v>
      </c>
      <c r="AB34" s="58">
        <f>股权价值增加表!AB31</f>
        <v>37876000.410000004</v>
      </c>
      <c r="AC34" s="58">
        <f>股权价值增加表!AC31</f>
        <v>171609366.3499999</v>
      </c>
      <c r="AD34" s="58">
        <f>股权价值增加表!AD31</f>
        <v>149386447.00999999</v>
      </c>
      <c r="AE34" s="58">
        <f>股权价值增加表!AE31</f>
        <v>108246439.99000007</v>
      </c>
      <c r="AF34" s="58">
        <f>股权价值增加表!AF31</f>
        <v>54463896.380000003</v>
      </c>
      <c r="AG34" s="58">
        <f>股权价值增加表!AG31</f>
        <v>213334101.09000006</v>
      </c>
      <c r="AH34" s="58">
        <f>股权价值增加表!AH31</f>
        <v>174252762.81999993</v>
      </c>
      <c r="AI34" s="58">
        <f>股权价值增加表!AI31</f>
        <v>113979038.41000004</v>
      </c>
      <c r="AJ34" s="58">
        <f>股权价值增加表!AJ31</f>
        <v>53609374.559999973</v>
      </c>
      <c r="AK34" s="58">
        <f>股权价值增加表!AK31</f>
        <v>179337096.57000014</v>
      </c>
      <c r="AL34" s="58">
        <f>股权价值增加表!AL31</f>
        <v>139410001.71999994</v>
      </c>
      <c r="AM34" s="58">
        <f>股权价值增加表!AM31</f>
        <v>94238140.309999973</v>
      </c>
      <c r="AN34" s="58">
        <f>股权价值增加表!AN31</f>
        <v>44309856.51000002</v>
      </c>
      <c r="AO34" s="58">
        <f>股权价值增加表!AO31</f>
        <v>168697109.15000001</v>
      </c>
      <c r="AP34" s="58">
        <f>股权价值增加表!AP31</f>
        <v>135004353.45999992</v>
      </c>
      <c r="AQ34" s="58">
        <f>股权价值增加表!AQ31</f>
        <v>88092160.460000053</v>
      </c>
      <c r="AR34" s="58">
        <f>股权价值增加表!AR31</f>
        <v>39482069.600000001</v>
      </c>
      <c r="AS34" s="58">
        <f>股权价值增加表!AS31</f>
        <v>172396226.00999996</v>
      </c>
      <c r="AT34" s="58">
        <f>股权价值增加表!AT31</f>
        <v>641949253.49000001</v>
      </c>
      <c r="AU34" s="58">
        <f>股权价值增加表!AU31</f>
        <v>82372722.360000014</v>
      </c>
      <c r="AV34" s="58">
        <f>股权价值增加表!AV31</f>
        <v>36891883.199999988</v>
      </c>
      <c r="AW34" s="58">
        <f>股权价值增加表!AW31</f>
        <v>151667676.99000007</v>
      </c>
      <c r="AX34" s="58">
        <f>股权价值增加表!AX31</f>
        <v>114822421.93999994</v>
      </c>
      <c r="AY34" s="58">
        <f>股权价值增加表!AY31</f>
        <v>74425386.399999976</v>
      </c>
      <c r="AZ34" s="58">
        <f>股权价值增加表!AZ31</f>
        <v>36115447.589999996</v>
      </c>
      <c r="BA34" s="58">
        <f>股权价值增加表!BA31</f>
        <v>129651386.09000002</v>
      </c>
      <c r="BB34" s="58">
        <f>股权价值增加表!BB31</f>
        <v>96862822.000000015</v>
      </c>
      <c r="BC34" s="58">
        <f>股权价值增加表!BC31</f>
        <v>65697069.110000037</v>
      </c>
      <c r="BD34" s="58">
        <f>股权价值增加表!BD31</f>
        <v>32580373.949999988</v>
      </c>
      <c r="BE34" s="58">
        <f>股权价值增加表!BE31</f>
        <v>114464043.88999999</v>
      </c>
      <c r="BF34" s="58">
        <f>股权价值增加表!BF31</f>
        <v>81130515.14000003</v>
      </c>
      <c r="BG34" s="58">
        <f>股权价值增加表!BG31</f>
        <v>53225800.690000013</v>
      </c>
      <c r="BH34" s="58">
        <f>股权价值增加表!BH31</f>
        <v>25258925.049999997</v>
      </c>
      <c r="BI34" s="58">
        <f>股权价值增加表!BI31</f>
        <v>104188770.33000006</v>
      </c>
      <c r="BJ34" s="58">
        <f>股权价值增加表!BJ31</f>
        <v>74202212.24999997</v>
      </c>
      <c r="BK34" s="58">
        <f>股权价值增加表!BK31</f>
        <v>51447864.390000001</v>
      </c>
      <c r="BL34" s="58">
        <f>股权价值增加表!BL31</f>
        <v>20192689.510000005</v>
      </c>
      <c r="BM34" s="58">
        <f>股权价值增加表!BM31</f>
        <v>88390856.710000023</v>
      </c>
      <c r="BN34" s="58">
        <f>股权价值增加表!BN31</f>
        <v>62569296.900000021</v>
      </c>
      <c r="BO34" s="58">
        <f>股权价值增加表!BO31</f>
        <v>42905544.909999989</v>
      </c>
      <c r="BP34" s="58">
        <f>股权价值增加表!BP31</f>
        <v>66318923.00000003</v>
      </c>
      <c r="BQ34" s="58">
        <f>股权价值增加表!BQ31</f>
        <v>32537144.01000002</v>
      </c>
      <c r="BR34" s="58">
        <f>股权价值增加表!BR31</f>
        <v>49945561.210000016</v>
      </c>
      <c r="BS34" s="58">
        <f>股权价值增加表!BS31</f>
        <v>47239134.959999986</v>
      </c>
      <c r="BT34" s="58">
        <f>股权价值增加表!BT31</f>
        <v>0</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81" t="s">
        <v>675</v>
      </c>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row>
    <row r="38" spans="1:89">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37256</v>
      </c>
      <c r="BQ38" s="1">
        <v>37072</v>
      </c>
      <c r="BR38" s="1">
        <v>36891</v>
      </c>
      <c r="BS38" s="1">
        <v>36525</v>
      </c>
      <c r="BT38" s="1">
        <v>25569</v>
      </c>
      <c r="BU38" s="1"/>
      <c r="BV38" s="1"/>
      <c r="BW38" s="1"/>
      <c r="BX38" s="1"/>
      <c r="BY38" s="1"/>
      <c r="BZ38" s="1"/>
      <c r="CA38" s="1"/>
      <c r="CB38" s="1"/>
      <c r="CC38" s="1"/>
      <c r="CD38" s="1"/>
      <c r="CE38" s="1"/>
      <c r="CF38" s="1"/>
      <c r="CG38" s="1"/>
      <c r="CH38" s="1"/>
      <c r="CI38" s="1"/>
      <c r="CJ38" s="1"/>
      <c r="CK38" s="1"/>
    </row>
    <row r="39" spans="1:89">
      <c r="A39" s="17" t="s">
        <v>376</v>
      </c>
      <c r="E39" s="26">
        <f>股权价值增加表!E31</f>
        <v>301537634.80000013</v>
      </c>
      <c r="F39" s="26">
        <f>股权价值增加表!F31</f>
        <v>246952607.52999988</v>
      </c>
      <c r="G39" s="26">
        <f>股权价值增加表!G31</f>
        <v>160491398.36000001</v>
      </c>
      <c r="H39" s="26">
        <f>股权价值增加表!H31</f>
        <v>76671639.769999936</v>
      </c>
      <c r="I39" s="26">
        <f>股权价值增加表!I31</f>
        <v>238955471.62</v>
      </c>
      <c r="J39" s="26">
        <f>股权价值增加表!J31</f>
        <v>173456005.46999988</v>
      </c>
      <c r="K39" s="26">
        <f>股权价值增加表!K31</f>
        <v>115932101.97000001</v>
      </c>
      <c r="L39" s="26">
        <f>股权价值增加表!L31</f>
        <v>50770896.889999986</v>
      </c>
      <c r="M39" s="26">
        <f>股权价值增加表!M31</f>
        <v>198590395.07999986</v>
      </c>
      <c r="N39" s="26">
        <f>股权价值增加表!N31</f>
        <v>150334408.11000001</v>
      </c>
      <c r="O39" s="26">
        <f>股权价值增加表!O31</f>
        <v>96206853.560000062</v>
      </c>
      <c r="P39" s="26">
        <f>股权价值增加表!P31</f>
        <v>43262817.460000016</v>
      </c>
      <c r="Q39" s="26">
        <f>股权价值增加表!Q31</f>
        <v>172779687.31000003</v>
      </c>
      <c r="R39" s="26">
        <f>股权价值增加表!R31</f>
        <v>132865967.72999994</v>
      </c>
      <c r="S39" s="26">
        <f>股权价值增加表!S31</f>
        <v>91475663.629999995</v>
      </c>
      <c r="T39" s="26">
        <f>股权价值增加表!T31</f>
        <v>41488978.469999991</v>
      </c>
      <c r="U39" s="26">
        <f>股权价值增加表!U31</f>
        <v>169532485.53999987</v>
      </c>
      <c r="V39" s="26">
        <f>股权价值增加表!V31</f>
        <v>141254131.66000003</v>
      </c>
      <c r="W39" s="26">
        <f>股权价值增加表!W31</f>
        <v>94782278.560000107</v>
      </c>
      <c r="X39" s="26">
        <f>股权价值增加表!X31</f>
        <v>43953235.650000028</v>
      </c>
      <c r="Y39" s="26">
        <f>股权价值增加表!Y31</f>
        <v>165085188.58999994</v>
      </c>
      <c r="Z39" s="26">
        <f>股权价值增加表!Z31</f>
        <v>132129999.53000009</v>
      </c>
      <c r="AA39" s="26">
        <f>股权价值增加表!AA31</f>
        <v>86772609.350000039</v>
      </c>
      <c r="AB39" s="26">
        <f>股权价值增加表!AB31</f>
        <v>37876000.410000004</v>
      </c>
      <c r="AC39" s="26">
        <f>股权价值增加表!AC31</f>
        <v>171609366.3499999</v>
      </c>
      <c r="AD39" s="26">
        <f>股权价值增加表!AD31</f>
        <v>149386447.00999999</v>
      </c>
      <c r="AE39" s="26">
        <f>股权价值增加表!AE31</f>
        <v>108246439.99000007</v>
      </c>
      <c r="AF39" s="26">
        <f>股权价值增加表!AF31</f>
        <v>54463896.380000003</v>
      </c>
      <c r="AG39" s="26">
        <f>股权价值增加表!AG31</f>
        <v>213334101.09000006</v>
      </c>
      <c r="AH39" s="26">
        <f>股权价值增加表!AH31</f>
        <v>174252762.81999993</v>
      </c>
      <c r="AI39" s="26">
        <f>股权价值增加表!AI31</f>
        <v>113979038.41000004</v>
      </c>
      <c r="AJ39" s="26">
        <f>股权价值增加表!AJ31</f>
        <v>53609374.559999973</v>
      </c>
      <c r="AK39" s="26">
        <f>股权价值增加表!AK31</f>
        <v>179337096.57000014</v>
      </c>
      <c r="AL39" s="26">
        <f>股权价值增加表!AL31</f>
        <v>139410001.71999994</v>
      </c>
      <c r="AM39" s="26">
        <f>股权价值增加表!AM31</f>
        <v>94238140.309999973</v>
      </c>
      <c r="AN39" s="26">
        <f>股权价值增加表!AN31</f>
        <v>44309856.51000002</v>
      </c>
      <c r="AO39" s="26">
        <f>股权价值增加表!AO31</f>
        <v>168697109.15000001</v>
      </c>
      <c r="AP39" s="26">
        <f>股权价值增加表!AP31</f>
        <v>135004353.45999992</v>
      </c>
      <c r="AQ39" s="26">
        <f>股权价值增加表!AQ31</f>
        <v>88092160.460000053</v>
      </c>
      <c r="AR39" s="26">
        <f>股权价值增加表!AR31</f>
        <v>39482069.600000001</v>
      </c>
      <c r="AS39" s="26">
        <f>股权价值增加表!AS31</f>
        <v>172396226.00999996</v>
      </c>
      <c r="AT39" s="26">
        <f>股权价值增加表!AT31</f>
        <v>641949253.49000001</v>
      </c>
      <c r="AU39" s="26">
        <f>股权价值增加表!AU31</f>
        <v>82372722.360000014</v>
      </c>
      <c r="AV39" s="26">
        <f>股权价值增加表!AV31</f>
        <v>36891883.199999988</v>
      </c>
      <c r="AW39" s="26">
        <f>股权价值增加表!AW31</f>
        <v>151667676.99000007</v>
      </c>
      <c r="AX39" s="26">
        <f>股权价值增加表!AX31</f>
        <v>114822421.93999994</v>
      </c>
      <c r="AY39" s="26">
        <f>股权价值增加表!AY31</f>
        <v>74425386.399999976</v>
      </c>
      <c r="AZ39" s="26">
        <f>股权价值增加表!AZ31</f>
        <v>36115447.589999996</v>
      </c>
      <c r="BA39" s="26">
        <f>股权价值增加表!BA31</f>
        <v>129651386.09000002</v>
      </c>
      <c r="BB39" s="26">
        <f>股权价值增加表!BB31</f>
        <v>96862822.000000015</v>
      </c>
      <c r="BC39" s="26">
        <f>股权价值增加表!BC31</f>
        <v>65697069.110000037</v>
      </c>
      <c r="BD39" s="26">
        <f>股权价值增加表!BD31</f>
        <v>32580373.949999988</v>
      </c>
      <c r="BE39" s="26">
        <f>股权价值增加表!BE31</f>
        <v>114464043.88999999</v>
      </c>
      <c r="BF39" s="26">
        <f>股权价值增加表!BF31</f>
        <v>81130515.14000003</v>
      </c>
      <c r="BG39" s="26">
        <f>股权价值增加表!BG31</f>
        <v>53225800.690000013</v>
      </c>
      <c r="BH39" s="26">
        <f>股权价值增加表!BH31</f>
        <v>25258925.049999997</v>
      </c>
      <c r="BI39" s="26">
        <f>股权价值增加表!BI31</f>
        <v>104188770.33000006</v>
      </c>
      <c r="BJ39" s="26">
        <f>股权价值增加表!BJ31</f>
        <v>74202212.24999997</v>
      </c>
      <c r="BK39" s="26">
        <f>股权价值增加表!BK31</f>
        <v>51447864.390000001</v>
      </c>
      <c r="BL39" s="26">
        <f>股权价值增加表!BL31</f>
        <v>20192689.510000005</v>
      </c>
      <c r="BM39" s="26">
        <f>股权价值增加表!BM31</f>
        <v>88390856.710000023</v>
      </c>
      <c r="BN39" s="26">
        <f>股权价值增加表!BN31</f>
        <v>62569296.900000021</v>
      </c>
      <c r="BO39" s="26">
        <f>股权价值增加表!BO31</f>
        <v>42905544.909999989</v>
      </c>
      <c r="BP39" s="26">
        <f>股权价值增加表!BP31</f>
        <v>66318923.00000003</v>
      </c>
      <c r="BQ39" s="26">
        <f>股权价值增加表!BQ31</f>
        <v>32537144.01000002</v>
      </c>
      <c r="BR39" s="26">
        <f>股权价值增加表!BR31</f>
        <v>49945561.210000016</v>
      </c>
      <c r="BS39" s="26">
        <f>股权价值增加表!BS31</f>
        <v>47239134.959999986</v>
      </c>
      <c r="BT39" s="26">
        <f>股权价值增加表!BT31</f>
        <v>0</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382</v>
      </c>
      <c r="E40" s="26">
        <f>股权价值增加表!E38</f>
        <v>281758580.20000011</v>
      </c>
      <c r="F40" s="26">
        <f>股权价值增加表!F38</f>
        <v>236772922.07999989</v>
      </c>
      <c r="G40" s="26">
        <f>股权价值增加表!G38</f>
        <v>158052366.31</v>
      </c>
      <c r="H40" s="26">
        <f>股权价值增加表!H38</f>
        <v>77195907.059999943</v>
      </c>
      <c r="I40" s="26">
        <f>股权价值增加表!I38</f>
        <v>252645019.65000001</v>
      </c>
      <c r="J40" s="26">
        <f>股权价值增加表!J38</f>
        <v>180440752.13999987</v>
      </c>
      <c r="K40" s="26">
        <f>股权价值增加表!K38</f>
        <v>119286611.68000001</v>
      </c>
      <c r="L40" s="26">
        <f>股权价值增加表!L38</f>
        <v>51998807.499999985</v>
      </c>
      <c r="M40" s="26">
        <f>股权价值增加表!M38</f>
        <v>197791706.70999986</v>
      </c>
      <c r="N40" s="26">
        <f>股权价值增加表!N38</f>
        <v>150907659.37</v>
      </c>
      <c r="O40" s="26">
        <f>股权价值增加表!O38</f>
        <v>96865048.550000057</v>
      </c>
      <c r="P40" s="26">
        <f>股权价值增加表!P38</f>
        <v>42843362.700000018</v>
      </c>
      <c r="Q40" s="26">
        <f>股权价值增加表!Q38</f>
        <v>167909608.09000003</v>
      </c>
      <c r="R40" s="26">
        <f>股权价值增加表!R38</f>
        <v>130008788.46999994</v>
      </c>
      <c r="S40" s="26">
        <f>股权价值增加表!S38</f>
        <v>90219506.159999996</v>
      </c>
      <c r="T40" s="26">
        <f>股权价值增加表!T38</f>
        <v>40363502.069999993</v>
      </c>
      <c r="U40" s="26">
        <f>股权价值增加表!U38</f>
        <v>157821644.81999987</v>
      </c>
      <c r="V40" s="26">
        <f>股权价值增加表!V38</f>
        <v>133090923.71000002</v>
      </c>
      <c r="W40" s="26">
        <f>股权价值增加表!W38</f>
        <v>88718843.76000011</v>
      </c>
      <c r="X40" s="26">
        <f>股权价值增加表!X38</f>
        <v>41106451.14000003</v>
      </c>
      <c r="Y40" s="26">
        <f>股权价值增加表!Y38</f>
        <v>158325820.30999994</v>
      </c>
      <c r="Z40" s="26">
        <f>股权价值增加表!Z38</f>
        <v>129273023.7900001</v>
      </c>
      <c r="AA40" s="26">
        <f>股权价值增加表!AA38</f>
        <v>85140062.63000004</v>
      </c>
      <c r="AB40" s="26">
        <f>股权价值增加表!AB38</f>
        <v>36916126.000000007</v>
      </c>
      <c r="AC40" s="26">
        <f>股权价值增加表!AC38</f>
        <v>163279309.71999991</v>
      </c>
      <c r="AD40" s="26">
        <f>股权价值增加表!AD38</f>
        <v>144991769.51999998</v>
      </c>
      <c r="AE40" s="26">
        <f>股权价值增加表!AE38</f>
        <v>104076920.77000007</v>
      </c>
      <c r="AF40" s="26">
        <f>股权价值增加表!AF38</f>
        <v>53059582.020000003</v>
      </c>
      <c r="AG40" s="26">
        <f>股权价值增加表!AG38</f>
        <v>204576867.01000005</v>
      </c>
      <c r="AH40" s="26">
        <f>股权价值增加表!AH38</f>
        <v>169120715.40999994</v>
      </c>
      <c r="AI40" s="26">
        <f>股权价值增加表!AI38</f>
        <v>111131488.75000004</v>
      </c>
      <c r="AJ40" s="26">
        <f>股权价值增加表!AJ38</f>
        <v>51994957.349999972</v>
      </c>
      <c r="AK40" s="26">
        <f>股权价值增加表!AK38</f>
        <v>169415369.03000015</v>
      </c>
      <c r="AL40" s="26">
        <f>股权价值增加表!AL38</f>
        <v>134437389.70999995</v>
      </c>
      <c r="AM40" s="26">
        <f>股权价值增加表!AM38</f>
        <v>90633990.429999977</v>
      </c>
      <c r="AN40" s="26">
        <f>股权价值增加表!AN38</f>
        <v>42365444.220000021</v>
      </c>
      <c r="AO40" s="26">
        <f>股权价值增加表!AO38</f>
        <v>155136237.95000002</v>
      </c>
      <c r="AP40" s="26">
        <f>股权价值增加表!AP38</f>
        <v>128446922.87999992</v>
      </c>
      <c r="AQ40" s="26">
        <f>股权价值增加表!AQ38</f>
        <v>85070123.780000046</v>
      </c>
      <c r="AR40" s="26">
        <f>股权价值增加表!AR38</f>
        <v>39484067.450000003</v>
      </c>
      <c r="AS40" s="26">
        <f>股权价值增加表!AS38</f>
        <v>157891675.02999997</v>
      </c>
      <c r="AT40" s="26">
        <f>股权价值增加表!AT38</f>
        <v>633472795.01999998</v>
      </c>
      <c r="AU40" s="26">
        <f>股权价值增加表!AU38</f>
        <v>76269908.610000014</v>
      </c>
      <c r="AV40" s="26">
        <f>股权价值增加表!AV38</f>
        <v>33843167.069999985</v>
      </c>
      <c r="AW40" s="26">
        <f>股权价值增加表!AW38</f>
        <v>135058385.08000007</v>
      </c>
      <c r="AX40" s="26">
        <f>股权价值增加表!AX38</f>
        <v>103095779.45999993</v>
      </c>
      <c r="AY40" s="26">
        <f>股权价值增加表!AY38</f>
        <v>66740544.289999977</v>
      </c>
      <c r="AZ40" s="26">
        <f>股权价值增加表!AZ38</f>
        <v>32221644.939999998</v>
      </c>
      <c r="BA40" s="26">
        <f>股权价值增加表!BA38</f>
        <v>119332392.28000002</v>
      </c>
      <c r="BB40" s="26">
        <f>股权价值增加表!BB38</f>
        <v>89621235.970000014</v>
      </c>
      <c r="BC40" s="26">
        <f>股权价值增加表!BC38</f>
        <v>60803429.140000038</v>
      </c>
      <c r="BD40" s="26">
        <f>股权价值增加表!BD38</f>
        <v>30217299.359999988</v>
      </c>
      <c r="BE40" s="26">
        <f>股权价值增加表!BE38</f>
        <v>110459299.41999999</v>
      </c>
      <c r="BF40" s="26">
        <f>股权价值增加表!BF38</f>
        <v>78921951.440000027</v>
      </c>
      <c r="BG40" s="26">
        <f>股权价值增加表!BG38</f>
        <v>52452909.660000011</v>
      </c>
      <c r="BH40" s="26">
        <f>股权价值增加表!BH38</f>
        <v>24454570.629999995</v>
      </c>
      <c r="BI40" s="26">
        <f>股权价值增加表!BI38</f>
        <v>105571742.87000006</v>
      </c>
      <c r="BJ40" s="26">
        <f>股权价值增加表!BJ38</f>
        <v>76140570.179999977</v>
      </c>
      <c r="BK40" s="26">
        <f>股权价值增加表!BK38</f>
        <v>49018372.799999997</v>
      </c>
      <c r="BL40" s="26">
        <f>股权价值增加表!BL38</f>
        <v>18943248.870000005</v>
      </c>
      <c r="BM40" s="26">
        <f>股权价值增加表!BM38</f>
        <v>83192278.430000022</v>
      </c>
      <c r="BN40" s="26">
        <f>股权价值增加表!BN38</f>
        <v>58382038.800000019</v>
      </c>
      <c r="BO40" s="26">
        <f>股权价值增加表!BO38</f>
        <v>40004067.769999988</v>
      </c>
      <c r="BP40" s="26">
        <f>股权价值增加表!BP38</f>
        <v>59616332.090000033</v>
      </c>
      <c r="BQ40" s="26">
        <f>股权价值增加表!BQ38</f>
        <v>29514962.42000002</v>
      </c>
      <c r="BR40" s="26">
        <f>股权价值增加表!BR38</f>
        <v>44469190.790000014</v>
      </c>
      <c r="BS40" s="26">
        <f>股权价值增加表!BS38</f>
        <v>41327229.849999987</v>
      </c>
      <c r="BT40" s="26">
        <f>股权价值增加表!BT38</f>
        <v>0</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383</v>
      </c>
      <c r="E41" s="59">
        <f>1-E40/E39</f>
        <v>6.5593983361708075E-2</v>
      </c>
      <c r="F41" s="59">
        <f t="shared" ref="F41:BQ41" si="34">1-F40/F39</f>
        <v>4.1221210627481852E-2</v>
      </c>
      <c r="G41" s="59">
        <f t="shared" si="34"/>
        <v>1.5197275834864299E-2</v>
      </c>
      <c r="H41" s="59">
        <f t="shared" si="34"/>
        <v>-6.8378254537493355E-3</v>
      </c>
      <c r="I41" s="59">
        <f t="shared" si="34"/>
        <v>-5.7289117245115317E-2</v>
      </c>
      <c r="J41" s="59">
        <f t="shared" si="34"/>
        <v>-4.0268116696645873E-2</v>
      </c>
      <c r="K41" s="59">
        <f t="shared" si="34"/>
        <v>-2.8935123688760944E-2</v>
      </c>
      <c r="L41" s="59">
        <f t="shared" si="34"/>
        <v>-2.4185324373142025E-2</v>
      </c>
      <c r="M41" s="59">
        <f t="shared" si="34"/>
        <v>4.0217875072873221E-3</v>
      </c>
      <c r="N41" s="59">
        <f t="shared" si="34"/>
        <v>-3.8131740245421764E-3</v>
      </c>
      <c r="O41" s="59">
        <f t="shared" si="34"/>
        <v>-6.8414563582988031E-3</v>
      </c>
      <c r="P41" s="59">
        <f t="shared" si="34"/>
        <v>9.6955026192599991E-3</v>
      </c>
      <c r="Q41" s="59">
        <f t="shared" si="34"/>
        <v>2.8186642167387088E-2</v>
      </c>
      <c r="R41" s="59">
        <f t="shared" si="34"/>
        <v>2.15042219525029E-2</v>
      </c>
      <c r="S41" s="59">
        <f t="shared" si="34"/>
        <v>1.3732149296898144E-2</v>
      </c>
      <c r="T41" s="59">
        <f t="shared" si="34"/>
        <v>2.7127117646770005E-2</v>
      </c>
      <c r="U41" s="59">
        <f t="shared" si="34"/>
        <v>6.9077266712030294E-2</v>
      </c>
      <c r="V41" s="59">
        <f t="shared" si="34"/>
        <v>5.779093223020848E-2</v>
      </c>
      <c r="W41" s="59">
        <f t="shared" si="34"/>
        <v>6.3972241352708736E-2</v>
      </c>
      <c r="X41" s="59">
        <f t="shared" si="34"/>
        <v>6.476848559384718E-2</v>
      </c>
      <c r="Y41" s="59">
        <f t="shared" si="34"/>
        <v>4.0944728825959897E-2</v>
      </c>
      <c r="Z41" s="59">
        <f t="shared" si="34"/>
        <v>2.1622460835257318E-2</v>
      </c>
      <c r="AA41" s="59">
        <f t="shared" si="34"/>
        <v>1.8814078915329935E-2</v>
      </c>
      <c r="AB41" s="59">
        <f t="shared" si="34"/>
        <v>2.5342549361325184E-2</v>
      </c>
      <c r="AC41" s="59">
        <f t="shared" si="34"/>
        <v>4.8540804078320066E-2</v>
      </c>
      <c r="AD41" s="59">
        <f t="shared" si="34"/>
        <v>2.9418180684796846E-2</v>
      </c>
      <c r="AE41" s="59">
        <f t="shared" si="34"/>
        <v>3.8518765332007043E-2</v>
      </c>
      <c r="AF41" s="59">
        <f t="shared" si="34"/>
        <v>2.5784316828931231E-2</v>
      </c>
      <c r="AG41" s="59">
        <f t="shared" si="34"/>
        <v>4.1049387019028716E-2</v>
      </c>
      <c r="AH41" s="59">
        <f t="shared" si="34"/>
        <v>2.9451741980707102E-2</v>
      </c>
      <c r="AI41" s="59">
        <f t="shared" si="34"/>
        <v>2.4983099521834196E-2</v>
      </c>
      <c r="AJ41" s="59">
        <f t="shared" si="34"/>
        <v>3.0114457093565528E-2</v>
      </c>
      <c r="AK41" s="59">
        <f t="shared" si="34"/>
        <v>5.5324457291675122E-2</v>
      </c>
      <c r="AL41" s="59">
        <f t="shared" si="34"/>
        <v>3.5668976032202537E-2</v>
      </c>
      <c r="AM41" s="59">
        <f t="shared" si="34"/>
        <v>3.8245129500051767E-2</v>
      </c>
      <c r="AN41" s="59">
        <f t="shared" si="34"/>
        <v>4.3882161738916459E-2</v>
      </c>
      <c r="AO41" s="59">
        <f t="shared" si="34"/>
        <v>8.0385913358729244E-2</v>
      </c>
      <c r="AP41" s="59">
        <f t="shared" si="34"/>
        <v>4.8571993509401001E-2</v>
      </c>
      <c r="AQ41" s="59">
        <f t="shared" si="34"/>
        <v>3.4305398621392924E-2</v>
      </c>
      <c r="AR41" s="59">
        <f t="shared" si="34"/>
        <v>-5.0601450740650478E-5</v>
      </c>
      <c r="AS41" s="59">
        <f t="shared" si="34"/>
        <v>8.4134968123714238E-2</v>
      </c>
      <c r="AT41" s="59">
        <f t="shared" si="34"/>
        <v>1.3204250061694456E-2</v>
      </c>
      <c r="AU41" s="59">
        <f t="shared" si="34"/>
        <v>7.4087799639890428E-2</v>
      </c>
      <c r="AV41" s="59">
        <f t="shared" si="34"/>
        <v>8.2639211272359292E-2</v>
      </c>
      <c r="AW41" s="59">
        <f t="shared" si="34"/>
        <v>0.10951108528612263</v>
      </c>
      <c r="AX41" s="59">
        <f t="shared" si="34"/>
        <v>0.10212850662676076</v>
      </c>
      <c r="AY41" s="59">
        <f t="shared" si="34"/>
        <v>0.10325565619099031</v>
      </c>
      <c r="AZ41" s="59">
        <f t="shared" si="34"/>
        <v>0.10781543383330938</v>
      </c>
      <c r="BA41" s="59">
        <f t="shared" si="34"/>
        <v>7.9590308450978475E-2</v>
      </c>
      <c r="BB41" s="59">
        <f t="shared" si="34"/>
        <v>7.4761253910194725E-2</v>
      </c>
      <c r="BC41" s="59">
        <f t="shared" si="34"/>
        <v>7.4487949558393884E-2</v>
      </c>
      <c r="BD41" s="59">
        <f t="shared" si="34"/>
        <v>7.2530615935425757E-2</v>
      </c>
      <c r="BE41" s="59">
        <f t="shared" si="34"/>
        <v>3.4986921079326549E-2</v>
      </c>
      <c r="BF41" s="59">
        <f t="shared" si="34"/>
        <v>2.7222355191371284E-2</v>
      </c>
      <c r="BG41" s="59">
        <f t="shared" si="34"/>
        <v>1.4520984559753369E-2</v>
      </c>
      <c r="BH41" s="59">
        <f t="shared" si="34"/>
        <v>3.1844364651614554E-2</v>
      </c>
      <c r="BI41" s="59">
        <f t="shared" si="34"/>
        <v>-1.3273719764804515E-2</v>
      </c>
      <c r="BJ41" s="59">
        <f t="shared" si="34"/>
        <v>-2.61226433986812E-2</v>
      </c>
      <c r="BK41" s="59">
        <f t="shared" si="34"/>
        <v>4.7222399195878562E-2</v>
      </c>
      <c r="BL41" s="59">
        <f t="shared" si="34"/>
        <v>6.1875890251332888E-2</v>
      </c>
      <c r="BM41" s="59">
        <f t="shared" si="34"/>
        <v>5.881352974161036E-2</v>
      </c>
      <c r="BN41" s="59">
        <f t="shared" si="34"/>
        <v>6.6921929883472897E-2</v>
      </c>
      <c r="BO41" s="59">
        <f t="shared" si="34"/>
        <v>6.7624759132793422E-2</v>
      </c>
      <c r="BP41" s="59">
        <f t="shared" si="34"/>
        <v>0.10106603977872186</v>
      </c>
      <c r="BQ41" s="59">
        <f t="shared" si="34"/>
        <v>9.2884046278651766E-2</v>
      </c>
      <c r="BR41" s="59">
        <f t="shared" ref="BR41:CK41" si="35">1-BR40/BR39</f>
        <v>0.10964678917059667</v>
      </c>
      <c r="BS41" s="59">
        <f t="shared" si="35"/>
        <v>0.12514846249843359</v>
      </c>
      <c r="BT41" s="59" t="e">
        <f t="shared" si="35"/>
        <v>#DIV/0!</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428</v>
      </c>
      <c r="E42" s="148">
        <f>E39/(E39-E40)</f>
        <v>15.245300692986598</v>
      </c>
      <c r="F42" s="29">
        <f t="shared" ref="F42:BQ42" si="36">F39/(F39-F40)</f>
        <v>24.259355433227082</v>
      </c>
      <c r="G42" s="29">
        <f t="shared" si="36"/>
        <v>65.801266678721674</v>
      </c>
      <c r="H42" s="29">
        <f t="shared" si="36"/>
        <v>-146.24532415516325</v>
      </c>
      <c r="I42" s="29">
        <f t="shared" si="36"/>
        <v>-17.455322198829379</v>
      </c>
      <c r="J42" s="29">
        <f t="shared" si="36"/>
        <v>-24.833542813371672</v>
      </c>
      <c r="K42" s="29">
        <f t="shared" si="36"/>
        <v>-34.560073451091675</v>
      </c>
      <c r="L42" s="29">
        <f t="shared" si="36"/>
        <v>-41.347388381960485</v>
      </c>
      <c r="M42" s="29">
        <f t="shared" si="36"/>
        <v>248.64565773005896</v>
      </c>
      <c r="N42" s="29">
        <f t="shared" si="36"/>
        <v>-262.24871814499375</v>
      </c>
      <c r="O42" s="29">
        <f t="shared" si="36"/>
        <v>-146.16770869070402</v>
      </c>
      <c r="P42" s="29">
        <f t="shared" si="36"/>
        <v>103.14060438842137</v>
      </c>
      <c r="Q42" s="29">
        <f t="shared" si="36"/>
        <v>35.477798102430064</v>
      </c>
      <c r="R42" s="29">
        <f t="shared" si="36"/>
        <v>46.502496217195592</v>
      </c>
      <c r="S42" s="29">
        <f t="shared" si="36"/>
        <v>72.821812403822335</v>
      </c>
      <c r="T42" s="29">
        <f t="shared" si="36"/>
        <v>36.863481517693351</v>
      </c>
      <c r="U42" s="29">
        <f t="shared" si="36"/>
        <v>14.476542683265176</v>
      </c>
      <c r="V42" s="29">
        <f t="shared" si="36"/>
        <v>17.303752706679482</v>
      </c>
      <c r="W42" s="29">
        <f t="shared" si="36"/>
        <v>15.63177995416066</v>
      </c>
      <c r="X42" s="29">
        <f t="shared" si="36"/>
        <v>15.43960756270943</v>
      </c>
      <c r="Y42" s="29">
        <f t="shared" si="36"/>
        <v>24.423168223939399</v>
      </c>
      <c r="Z42" s="29">
        <f t="shared" si="36"/>
        <v>46.248204939255217</v>
      </c>
      <c r="AA42" s="29">
        <f t="shared" si="36"/>
        <v>53.151685208739451</v>
      </c>
      <c r="AB42" s="29">
        <f t="shared" si="36"/>
        <v>39.459329278296046</v>
      </c>
      <c r="AC42" s="29">
        <f t="shared" si="36"/>
        <v>20.601224454100741</v>
      </c>
      <c r="AD42" s="29">
        <f t="shared" si="36"/>
        <v>33.992584745962702</v>
      </c>
      <c r="AE42" s="29">
        <f t="shared" si="36"/>
        <v>25.961372109947991</v>
      </c>
      <c r="AF42" s="29">
        <f t="shared" si="36"/>
        <v>38.783265293961691</v>
      </c>
      <c r="AG42" s="29">
        <f t="shared" si="36"/>
        <v>24.360899702020955</v>
      </c>
      <c r="AH42" s="29">
        <f t="shared" si="36"/>
        <v>33.953849000003693</v>
      </c>
      <c r="AI42" s="29">
        <f t="shared" si="36"/>
        <v>40.027059057505667</v>
      </c>
      <c r="AJ42" s="29">
        <f t="shared" si="36"/>
        <v>33.206642141779412</v>
      </c>
      <c r="AK42" s="29">
        <f t="shared" si="36"/>
        <v>18.075188604705456</v>
      </c>
      <c r="AL42" s="29">
        <f t="shared" si="36"/>
        <v>28.035567914738678</v>
      </c>
      <c r="AM42" s="29">
        <f t="shared" si="36"/>
        <v>26.147120249616282</v>
      </c>
      <c r="AN42" s="29">
        <f t="shared" si="36"/>
        <v>22.788303045543927</v>
      </c>
      <c r="AO42" s="29">
        <f t="shared" si="36"/>
        <v>12.439990518455787</v>
      </c>
      <c r="AP42" s="29">
        <f t="shared" si="36"/>
        <v>20.587995833575405</v>
      </c>
      <c r="AQ42" s="29">
        <f t="shared" si="36"/>
        <v>29.149930920097187</v>
      </c>
      <c r="AR42" s="29">
        <f t="shared" si="36"/>
        <v>-19762.279250179221</v>
      </c>
      <c r="AS42" s="29">
        <f t="shared" si="36"/>
        <v>11.885664454398718</v>
      </c>
      <c r="AT42" s="29">
        <f t="shared" si="36"/>
        <v>75.733191610858896</v>
      </c>
      <c r="AU42" s="29">
        <f t="shared" si="36"/>
        <v>13.497498979056999</v>
      </c>
      <c r="AV42" s="29">
        <f t="shared" si="36"/>
        <v>12.100793129598443</v>
      </c>
      <c r="AW42" s="29">
        <f t="shared" si="36"/>
        <v>9.1314956598893389</v>
      </c>
      <c r="AX42" s="29">
        <f t="shared" si="36"/>
        <v>9.7915854547311056</v>
      </c>
      <c r="AY42" s="29">
        <f t="shared" si="36"/>
        <v>9.6846994817438059</v>
      </c>
      <c r="AZ42" s="29">
        <f t="shared" si="36"/>
        <v>9.2751099211461092</v>
      </c>
      <c r="BA42" s="29">
        <f t="shared" si="36"/>
        <v>12.564343818518095</v>
      </c>
      <c r="BB42" s="29">
        <f t="shared" si="36"/>
        <v>13.375912624488976</v>
      </c>
      <c r="BC42" s="29">
        <f t="shared" si="36"/>
        <v>13.424990296129213</v>
      </c>
      <c r="BD42" s="29">
        <f t="shared" si="36"/>
        <v>13.7872812343177</v>
      </c>
      <c r="BE42" s="29">
        <f t="shared" si="36"/>
        <v>28.582109232552362</v>
      </c>
      <c r="BF42" s="29">
        <f t="shared" si="36"/>
        <v>36.734514444840293</v>
      </c>
      <c r="BG42" s="29">
        <f t="shared" si="36"/>
        <v>68.865853819004641</v>
      </c>
      <c r="BH42" s="29">
        <f t="shared" si="36"/>
        <v>31.402730465507904</v>
      </c>
      <c r="BI42" s="29">
        <f t="shared" si="36"/>
        <v>-75.33683230615668</v>
      </c>
      <c r="BJ42" s="29">
        <f t="shared" si="36"/>
        <v>-38.280965089868459</v>
      </c>
      <c r="BK42" s="29">
        <f t="shared" si="36"/>
        <v>21.176391225951896</v>
      </c>
      <c r="BL42" s="29">
        <f t="shared" si="36"/>
        <v>16.161383633239268</v>
      </c>
      <c r="BM42" s="29">
        <f t="shared" si="36"/>
        <v>17.002890396025737</v>
      </c>
      <c r="BN42" s="29">
        <f t="shared" si="36"/>
        <v>14.942784850066921</v>
      </c>
      <c r="BO42" s="29">
        <f t="shared" si="36"/>
        <v>14.787483354082184</v>
      </c>
      <c r="BP42" s="29">
        <f t="shared" si="36"/>
        <v>9.8945204758140406</v>
      </c>
      <c r="BQ42" s="29">
        <f t="shared" si="36"/>
        <v>10.766111512842622</v>
      </c>
      <c r="BR42" s="29">
        <f t="shared" ref="BR42:CK42" si="37">BR39/(BR39-BR40)</f>
        <v>9.1201941029401734</v>
      </c>
      <c r="BS42" s="29">
        <f t="shared" si="37"/>
        <v>7.9905096717629815</v>
      </c>
      <c r="BT42" s="29" t="e">
        <f t="shared" si="37"/>
        <v>#DIV/0!</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15" customHeight="1">
      <c r="A43" s="281" t="s">
        <v>697</v>
      </c>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37256</v>
      </c>
      <c r="BQ46" s="1">
        <v>37072</v>
      </c>
      <c r="BR46" s="1">
        <v>36891</v>
      </c>
      <c r="BS46" s="1">
        <v>36525</v>
      </c>
      <c r="BT46" s="1">
        <v>25569</v>
      </c>
      <c r="BU46" s="1"/>
      <c r="BV46" s="1"/>
      <c r="BW46" s="1"/>
      <c r="BX46" s="1"/>
      <c r="BY46" s="1"/>
      <c r="BZ46" s="1"/>
      <c r="CA46" s="1"/>
      <c r="CB46" s="1"/>
      <c r="CC46" s="1"/>
      <c r="CD46" s="1"/>
      <c r="CE46" s="1"/>
      <c r="CF46" s="1"/>
      <c r="CG46" s="1"/>
      <c r="CH46" s="1"/>
      <c r="CI46" s="1"/>
      <c r="CJ46" s="1"/>
      <c r="CK46" s="1"/>
    </row>
    <row r="47" spans="1:89" s="26" customFormat="1">
      <c r="A47" s="17" t="s">
        <v>424</v>
      </c>
      <c r="E47" s="26">
        <f>股权价值增加表!E42</f>
        <v>234275794.97000012</v>
      </c>
      <c r="F47" s="26">
        <f>股权价值增加表!F42</f>
        <v>197769581.93999988</v>
      </c>
      <c r="G47" s="26">
        <f>股权价值增加表!G42</f>
        <v>132113744.44</v>
      </c>
      <c r="H47" s="26">
        <f>股权价值增加表!H42</f>
        <v>64778065.189999945</v>
      </c>
      <c r="I47" s="26">
        <f>股权价值增加表!I42</f>
        <v>202434546.46000001</v>
      </c>
      <c r="J47" s="26">
        <f>股权价值增加表!J42</f>
        <v>129166797.50999987</v>
      </c>
      <c r="K47" s="26">
        <f>股权价值增加表!K42</f>
        <v>85611680.670000017</v>
      </c>
      <c r="L47" s="26">
        <f>股权价值增加表!L42</f>
        <v>38498722.269999981</v>
      </c>
      <c r="M47" s="26">
        <f>股权价值增加表!M42</f>
        <v>147147421.82999986</v>
      </c>
      <c r="N47" s="26">
        <f>股权价值增加表!N42</f>
        <v>113033057.51000001</v>
      </c>
      <c r="O47" s="26">
        <f>股权价值增加表!O42</f>
        <v>72600584.830000058</v>
      </c>
      <c r="P47" s="26">
        <f>股权价值增加表!P42</f>
        <v>32196707.390000015</v>
      </c>
      <c r="Q47" s="26">
        <f>股权价值增加表!Q42</f>
        <v>123166507.55000004</v>
      </c>
      <c r="R47" s="26">
        <f>股权价值增加表!R42</f>
        <v>96590839.369999945</v>
      </c>
      <c r="S47" s="26">
        <f>股权价值增加表!S42</f>
        <v>67418001.789999992</v>
      </c>
      <c r="T47" s="26">
        <f>股权价值增加表!T42</f>
        <v>29899737.93999999</v>
      </c>
      <c r="U47" s="26">
        <f>股权价值增加表!U42</f>
        <v>115798120.17999987</v>
      </c>
      <c r="V47" s="26">
        <f>股权价值增加表!V42</f>
        <v>102162236.92000002</v>
      </c>
      <c r="W47" s="26">
        <f>股权价值增加表!W42</f>
        <v>67280743.450000107</v>
      </c>
      <c r="X47" s="26">
        <f>股权价值增加表!X42</f>
        <v>31443301.370000031</v>
      </c>
      <c r="Y47" s="26">
        <f>股权价值增加表!Y42</f>
        <v>117844311.68999994</v>
      </c>
      <c r="Z47" s="26">
        <f>股权价值增加表!Z42</f>
        <v>95957190.230000094</v>
      </c>
      <c r="AA47" s="26">
        <f>股权价值增加表!AA42</f>
        <v>63095938.510000035</v>
      </c>
      <c r="AB47" s="26">
        <f>股权价值增加表!AB42</f>
        <v>27756484.070000008</v>
      </c>
      <c r="AC47" s="26">
        <f>股权价值增加表!AC42</f>
        <v>129134900.10999991</v>
      </c>
      <c r="AD47" s="26">
        <f>股权价值增加表!AD42</f>
        <v>113955850.39999998</v>
      </c>
      <c r="AE47" s="26">
        <f>股权价值增加表!AE42</f>
        <v>83606149.950000077</v>
      </c>
      <c r="AF47" s="26">
        <f>股权价值增加表!AF42</f>
        <v>39529395.170000002</v>
      </c>
      <c r="AG47" s="26">
        <f>股权价值增加表!AG42</f>
        <v>169248345.51000005</v>
      </c>
      <c r="AH47" s="26">
        <f>股权价值增加表!AH42</f>
        <v>141776404.13999993</v>
      </c>
      <c r="AI47" s="26">
        <f>股权价值增加表!AI42</f>
        <v>93848459.410000041</v>
      </c>
      <c r="AJ47" s="26">
        <f>股权价值增加表!AJ42</f>
        <v>44179804.809999973</v>
      </c>
      <c r="AK47" s="26">
        <f>股权价值增加表!AK42</f>
        <v>141403845.82000014</v>
      </c>
      <c r="AL47" s="26">
        <f>股权价值增加表!AL42</f>
        <v>110542370.32999995</v>
      </c>
      <c r="AM47" s="26">
        <f>股权价值增加表!AM42</f>
        <v>74799161.589999974</v>
      </c>
      <c r="AN47" s="26">
        <f>股权价值增加表!AN42</f>
        <v>35945179.12000002</v>
      </c>
      <c r="AO47" s="26">
        <f>股权价值增加表!AO42</f>
        <v>131395753.98000002</v>
      </c>
      <c r="AP47" s="26">
        <f>股权价值增加表!AP42</f>
        <v>98857182.329999924</v>
      </c>
      <c r="AQ47" s="26">
        <f>股权价值增加表!AQ42</f>
        <v>66368181.120000049</v>
      </c>
      <c r="AR47" s="26">
        <f>股权价值增加表!AR42</f>
        <v>29461078.500000004</v>
      </c>
      <c r="AS47" s="26">
        <f>股权价值增加表!AS42</f>
        <v>109900825.46999997</v>
      </c>
      <c r="AT47" s="26">
        <f>股权价值增加表!AT42</f>
        <v>599631802.59000003</v>
      </c>
      <c r="AU47" s="26">
        <f>股权价值增加表!AU42</f>
        <v>53997130.400000013</v>
      </c>
      <c r="AV47" s="26">
        <f>股权价值增加表!AV42</f>
        <v>23754642.239999987</v>
      </c>
      <c r="AW47" s="26">
        <f>股权价值增加表!AW42</f>
        <v>88505597.280000076</v>
      </c>
      <c r="AX47" s="26">
        <f>股权价值增加表!AX42</f>
        <v>72352444.829999939</v>
      </c>
      <c r="AY47" s="26">
        <f>股权价值增加表!AY42</f>
        <v>47489308.019999981</v>
      </c>
      <c r="AZ47" s="26">
        <f>股权价值增加表!AZ42</f>
        <v>21845288.199999996</v>
      </c>
      <c r="BA47" s="26">
        <f>股权价值增加表!BA42</f>
        <v>80911919.000000015</v>
      </c>
      <c r="BB47" s="26">
        <f>股权价值增加表!BB42</f>
        <v>61259084.520000011</v>
      </c>
      <c r="BC47" s="26">
        <f>股权价值增加表!BC42</f>
        <v>40674353.270000041</v>
      </c>
      <c r="BD47" s="26">
        <f>股权价值增加表!BD42</f>
        <v>20356454.749999989</v>
      </c>
      <c r="BE47" s="26">
        <f>股权价值增加表!BE42</f>
        <v>71969243.949999988</v>
      </c>
      <c r="BF47" s="26">
        <f>股权价值增加表!BF42</f>
        <v>52948011.330000028</v>
      </c>
      <c r="BG47" s="26">
        <f>股权价值增加表!BG42</f>
        <v>34656153.020000011</v>
      </c>
      <c r="BH47" s="26">
        <f>股权价值增加表!BH42</f>
        <v>16213208.329999994</v>
      </c>
      <c r="BI47" s="26">
        <f>股权价值增加表!BI42</f>
        <v>69084461.00000006</v>
      </c>
      <c r="BJ47" s="26">
        <f>股权价值增加表!BJ42</f>
        <v>51217455.339999974</v>
      </c>
      <c r="BK47" s="26">
        <f>股权价值增加表!BK42</f>
        <v>32983884.779999997</v>
      </c>
      <c r="BL47" s="26">
        <f>股权价值增加表!BL42</f>
        <v>12476935.910000004</v>
      </c>
      <c r="BM47" s="26">
        <f>股权价值增加表!BM42</f>
        <v>58581551.860000022</v>
      </c>
      <c r="BN47" s="26">
        <f>股权价值增加表!BN42</f>
        <v>40408245.130000018</v>
      </c>
      <c r="BO47" s="26">
        <f>股权价值增加表!BO42</f>
        <v>27501378.399999991</v>
      </c>
      <c r="BP47" s="26">
        <f>股权价值增加表!BP42</f>
        <v>41162233.900000036</v>
      </c>
      <c r="BQ47" s="26">
        <f>股权价值增加表!BQ42</f>
        <v>19247503.320000023</v>
      </c>
      <c r="BR47" s="26">
        <f>股权价值增加表!BR42</f>
        <v>30738686.140000015</v>
      </c>
      <c r="BS47" s="26">
        <f>股权价值增加表!BS42</f>
        <v>28640757.699999988</v>
      </c>
      <c r="BT47" s="26">
        <f>股权价值增加表!BT42</f>
        <v>0</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427</v>
      </c>
      <c r="E48" s="63">
        <f>股权价值增加表!E43</f>
        <v>0.10052648184322435</v>
      </c>
      <c r="F48" s="63">
        <f>股权价值增加表!F43</f>
        <v>0.11601290060357909</v>
      </c>
      <c r="G48" s="63">
        <f>股权价值增加表!G43</f>
        <v>0.11487778687555165</v>
      </c>
      <c r="H48" s="63">
        <f>股权价值增加表!H43</f>
        <v>0.11274161987147614</v>
      </c>
      <c r="I48" s="63">
        <f>股权价值增加表!I43</f>
        <v>9.8389889243281986E-2</v>
      </c>
      <c r="J48" s="63">
        <f>股权价值增加表!J43</f>
        <v>8.922007452225203E-2</v>
      </c>
      <c r="K48" s="63">
        <f>股权价值增加表!K43</f>
        <v>8.8165549766619916E-2</v>
      </c>
      <c r="L48" s="63">
        <f>股权价值增加表!L43</f>
        <v>8.5442297528902686E-2</v>
      </c>
      <c r="M48" s="63">
        <f>股权价值增加表!M43</f>
        <v>8.5391602782398005E-2</v>
      </c>
      <c r="N48" s="63">
        <f>股权价值增加表!N43</f>
        <v>8.623570462990654E-2</v>
      </c>
      <c r="O48" s="63">
        <f>股权价值增加表!O43</f>
        <v>8.1302821726392666E-2</v>
      </c>
      <c r="P48" s="63">
        <f>股权价值增加表!P43</f>
        <v>7.7420443090981478E-2</v>
      </c>
      <c r="Q48" s="63">
        <f>股权价值增加表!Q43</f>
        <v>7.2831648239960203E-2</v>
      </c>
      <c r="R48" s="63">
        <f>股权价值增加表!R43</f>
        <v>7.8478640550930498E-2</v>
      </c>
      <c r="S48" s="63">
        <f>股权价值增加表!S43</f>
        <v>8.286947256184099E-2</v>
      </c>
      <c r="T48" s="63">
        <f>股权价值增加表!T43</f>
        <v>7.666121667985043E-2</v>
      </c>
      <c r="U48" s="63">
        <f>股权价值增加表!U43</f>
        <v>7.4972321152295948E-2</v>
      </c>
      <c r="V48" s="63">
        <f>股权价值增加表!V43</f>
        <v>9.1021516989797449E-2</v>
      </c>
      <c r="W48" s="63">
        <f>股权价值增加表!W43</f>
        <v>8.8652340522580017E-2</v>
      </c>
      <c r="X48" s="63">
        <f>股权价值增加表!X43</f>
        <v>8.8025712675027679E-2</v>
      </c>
      <c r="Y48" s="63">
        <f>股权价值增加表!Y43</f>
        <v>8.0270340656884473E-2</v>
      </c>
      <c r="Z48" s="63">
        <f>股权价值增加表!Z43</f>
        <v>8.9566698046084747E-2</v>
      </c>
      <c r="AA48" s="63">
        <f>股权价值增加表!AA43</f>
        <v>8.8517459862463135E-2</v>
      </c>
      <c r="AB48" s="63">
        <f>股权价值增加表!AB43</f>
        <v>8.4813074675838193E-2</v>
      </c>
      <c r="AC48" s="63">
        <f>股权价值增加表!AC43</f>
        <v>9.2425518125685641E-2</v>
      </c>
      <c r="AD48" s="63">
        <f>股权价值增加表!AD43</f>
        <v>0.10565496088662384</v>
      </c>
      <c r="AE48" s="63">
        <f>股权价值增加表!AE43</f>
        <v>0.11287051631470682</v>
      </c>
      <c r="AF48" s="63">
        <f>股权价值增加表!AF43</f>
        <v>0.10567288376598956</v>
      </c>
      <c r="AG48" s="63">
        <f>股权价值增加表!AG43</f>
        <v>0.11183183440084664</v>
      </c>
      <c r="AH48" s="63">
        <f>股权价值增加表!AH43</f>
        <v>0.1337896884521719</v>
      </c>
      <c r="AI48" s="63">
        <f>股权价值增加表!AI43</f>
        <v>0.1332295555028582</v>
      </c>
      <c r="AJ48" s="63">
        <f>股权价值增加表!AJ43</f>
        <v>0.13139640351352663</v>
      </c>
      <c r="AK48" s="63">
        <f>股权价值增加表!AK43</f>
        <v>0.11383719808334045</v>
      </c>
      <c r="AL48" s="63">
        <f>股权价值增加表!AL43</f>
        <v>0.12869667474084992</v>
      </c>
      <c r="AM48" s="63">
        <f>股权价值增加表!AM43</f>
        <v>0.13302983059780427</v>
      </c>
      <c r="AN48" s="63">
        <f>股权价值增加表!AN43</f>
        <v>0.13508914644053416</v>
      </c>
      <c r="AO48" s="63">
        <f>股权价值增加表!AO43</f>
        <v>0.11343922459172048</v>
      </c>
      <c r="AP48" s="63">
        <f>股权价值增加表!AP43</f>
        <v>0.1104291588128941</v>
      </c>
      <c r="AQ48" s="63">
        <f>股权价值增加表!AQ43</f>
        <v>0.11721870917219876</v>
      </c>
      <c r="AR48" s="63">
        <f>股权价值增加表!AR43</f>
        <v>0.11687639614592114</v>
      </c>
      <c r="AS48" s="63">
        <f>股权价值增加表!AS43</f>
        <v>0.10858373109773409</v>
      </c>
      <c r="AT48" s="63">
        <f>股权价值增加表!AT43</f>
        <v>0.80364370795907114</v>
      </c>
      <c r="AU48" s="63">
        <f>股权价值增加表!AU43</f>
        <v>0.11144058924587226</v>
      </c>
      <c r="AV48" s="63">
        <f>股权价值增加表!AV43</f>
        <v>0.10631844611854478</v>
      </c>
      <c r="AW48" s="63">
        <f>股权价值增加表!AW43</f>
        <v>0.10705706256628134</v>
      </c>
      <c r="AX48" s="63">
        <f>股权价值增加表!AX43</f>
        <v>0.11976261746465904</v>
      </c>
      <c r="AY48" s="63">
        <f>股权价值增加表!AY43</f>
        <v>0.11947638732184278</v>
      </c>
      <c r="AZ48" s="63">
        <f>股权价值增加表!AZ43</f>
        <v>0.10584617369056337</v>
      </c>
      <c r="BA48" s="63">
        <f>股权价值增加表!BA43</f>
        <v>0.1203797451108826</v>
      </c>
      <c r="BB48" s="63">
        <f>股权价值增加表!BB43</f>
        <v>0.12558614058779216</v>
      </c>
      <c r="BC48" s="63">
        <f>股权价值增加表!BC43</f>
        <v>0.12512886969166154</v>
      </c>
      <c r="BD48" s="63">
        <f>股权价值增加表!BD43</f>
        <v>0.13330202846559833</v>
      </c>
      <c r="BE48" s="63">
        <f>股权价值增加表!BE43</f>
        <v>0.12847575058338598</v>
      </c>
      <c r="BF48" s="63">
        <f>股权价值增加表!BF43</f>
        <v>0.13207834082454664</v>
      </c>
      <c r="BG48" s="63">
        <f>股权价值增加表!BG43</f>
        <v>0.12980777081851866</v>
      </c>
      <c r="BH48" s="63">
        <f>股权价值增加表!BH43</f>
        <v>0.12188784960798552</v>
      </c>
      <c r="BI48" s="63">
        <f>股权价值增加表!BI43</f>
        <v>0.14761967228239217</v>
      </c>
      <c r="BJ48" s="63">
        <f>股权价值增加表!BJ43</f>
        <v>0.1466709961113053</v>
      </c>
      <c r="BK48" s="63">
        <f>股权价值增加表!BK43</f>
        <v>0.13951410996559729</v>
      </c>
      <c r="BL48" s="63">
        <f>股权价值增加表!BL43</f>
        <v>0.13688282999865273</v>
      </c>
      <c r="BM48" s="63">
        <f>股权价值增加表!BM43</f>
        <v>0.13871422893658455</v>
      </c>
      <c r="BN48" s="63">
        <f>股权价值增加表!BN43</f>
        <v>0.13773381481436145</v>
      </c>
      <c r="BO48" s="63">
        <f>股权价值增加表!BO43</f>
        <v>0.1464160558759757</v>
      </c>
      <c r="BP48" s="63">
        <f>股权价值增加表!BP43</f>
        <v>0.11756981676618315</v>
      </c>
      <c r="BQ48" s="63">
        <f>股权价值增加表!BQ43</f>
        <v>0.11961064461291279</v>
      </c>
      <c r="BR48" s="63">
        <f>股权价值增加表!BR43</f>
        <v>0.10486912364194526</v>
      </c>
      <c r="BS48" s="63">
        <f>股权价值增加表!BS43</f>
        <v>0.12392850222111221</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425</v>
      </c>
      <c r="E49" s="59">
        <f>(E47-I47)/I47</f>
        <v>0.15729157432272448</v>
      </c>
      <c r="F49" s="59">
        <f t="shared" ref="F49:BQ49" si="38">(F47-J47)/J47</f>
        <v>0.5311177930589237</v>
      </c>
      <c r="G49" s="59">
        <f t="shared" si="38"/>
        <v>0.54317428890629404</v>
      </c>
      <c r="H49" s="59">
        <f t="shared" si="38"/>
        <v>0.68260298967059663</v>
      </c>
      <c r="I49" s="59">
        <f t="shared" si="38"/>
        <v>0.37572608437457794</v>
      </c>
      <c r="J49" s="59">
        <f t="shared" si="38"/>
        <v>0.14273470394775897</v>
      </c>
      <c r="K49" s="59">
        <f t="shared" si="38"/>
        <v>0.17921475247708343</v>
      </c>
      <c r="L49" s="59">
        <f t="shared" si="38"/>
        <v>0.19573476267816473</v>
      </c>
      <c r="M49" s="59">
        <f t="shared" si="38"/>
        <v>0.19470320915176273</v>
      </c>
      <c r="N49" s="59">
        <f t="shared" si="38"/>
        <v>0.17022544008564475</v>
      </c>
      <c r="O49" s="59">
        <f t="shared" si="38"/>
        <v>7.6872391681724259E-2</v>
      </c>
      <c r="P49" s="59">
        <f t="shared" si="38"/>
        <v>7.6822394049384971E-2</v>
      </c>
      <c r="Q49" s="59">
        <f t="shared" si="38"/>
        <v>6.3631321117705017E-2</v>
      </c>
      <c r="R49" s="59">
        <f t="shared" si="38"/>
        <v>-5.4534803837183544E-2</v>
      </c>
      <c r="S49" s="59">
        <f t="shared" si="38"/>
        <v>2.040083580555086E-3</v>
      </c>
      <c r="T49" s="59">
        <f t="shared" si="38"/>
        <v>-4.9090374189293955E-2</v>
      </c>
      <c r="U49" s="59">
        <f t="shared" si="38"/>
        <v>-1.7363515308085092E-2</v>
      </c>
      <c r="V49" s="59">
        <f t="shared" si="38"/>
        <v>6.4664739298087276E-2</v>
      </c>
      <c r="W49" s="59">
        <f t="shared" si="38"/>
        <v>6.6324474107581827E-2</v>
      </c>
      <c r="X49" s="59">
        <f t="shared" si="38"/>
        <v>0.13282724464316573</v>
      </c>
      <c r="Y49" s="59">
        <f t="shared" si="38"/>
        <v>-8.7432509804726707E-2</v>
      </c>
      <c r="Z49" s="59">
        <f t="shared" si="38"/>
        <v>-0.15794415211524662</v>
      </c>
      <c r="AA49" s="59">
        <f t="shared" si="38"/>
        <v>-0.2453194107403103</v>
      </c>
      <c r="AB49" s="59">
        <f t="shared" si="38"/>
        <v>-0.29782674511890322</v>
      </c>
      <c r="AC49" s="59">
        <f t="shared" si="38"/>
        <v>-0.23700937979113088</v>
      </c>
      <c r="AD49" s="59">
        <f t="shared" si="38"/>
        <v>-0.19622837741411464</v>
      </c>
      <c r="AE49" s="59">
        <f t="shared" si="38"/>
        <v>-0.10913668188471715</v>
      </c>
      <c r="AF49" s="59">
        <f t="shared" si="38"/>
        <v>-0.10526098202560107</v>
      </c>
      <c r="AG49" s="59">
        <f t="shared" si="38"/>
        <v>0.1969147269547713</v>
      </c>
      <c r="AH49" s="59">
        <f t="shared" si="38"/>
        <v>0.28255259695226026</v>
      </c>
      <c r="AI49" s="59">
        <f t="shared" si="38"/>
        <v>0.25467261149818554</v>
      </c>
      <c r="AJ49" s="59">
        <f t="shared" si="38"/>
        <v>0.22908845891431875</v>
      </c>
      <c r="AK49" s="59">
        <f t="shared" si="38"/>
        <v>7.6167543751249928E-2</v>
      </c>
      <c r="AL49" s="59">
        <f t="shared" si="38"/>
        <v>0.11820272158873739</v>
      </c>
      <c r="AM49" s="59">
        <f t="shared" si="38"/>
        <v>0.12703347187948244</v>
      </c>
      <c r="AN49" s="59">
        <f t="shared" si="38"/>
        <v>0.22009040232522428</v>
      </c>
      <c r="AO49" s="59">
        <f t="shared" si="38"/>
        <v>0.19558477762178045</v>
      </c>
      <c r="AP49" s="59">
        <f t="shared" si="38"/>
        <v>-0.8351368591475562</v>
      </c>
      <c r="AQ49" s="59">
        <f t="shared" si="38"/>
        <v>0.22910570669881436</v>
      </c>
      <c r="AR49" s="59">
        <f t="shared" si="38"/>
        <v>0.24022404557165075</v>
      </c>
      <c r="AS49" s="59">
        <f t="shared" si="38"/>
        <v>0.24173870181693749</v>
      </c>
      <c r="AT49" s="59">
        <f t="shared" si="38"/>
        <v>7.2876508734279986</v>
      </c>
      <c r="AU49" s="59">
        <f t="shared" si="38"/>
        <v>0.13703763333968316</v>
      </c>
      <c r="AV49" s="59">
        <f t="shared" si="38"/>
        <v>8.7403472205049321E-2</v>
      </c>
      <c r="AW49" s="59">
        <f t="shared" si="38"/>
        <v>9.3851170184210547E-2</v>
      </c>
      <c r="AX49" s="59">
        <f t="shared" si="38"/>
        <v>0.18108922777613728</v>
      </c>
      <c r="AY49" s="59">
        <f t="shared" si="38"/>
        <v>0.1675491852264166</v>
      </c>
      <c r="AZ49" s="59">
        <f t="shared" si="38"/>
        <v>7.3138150443411931E-2</v>
      </c>
      <c r="BA49" s="59">
        <f t="shared" si="38"/>
        <v>0.12425689863037707</v>
      </c>
      <c r="BB49" s="59">
        <f t="shared" si="38"/>
        <v>0.15696667318062196</v>
      </c>
      <c r="BC49" s="59">
        <f t="shared" si="38"/>
        <v>0.17365459595376717</v>
      </c>
      <c r="BD49" s="59">
        <f t="shared" si="38"/>
        <v>0.25554759648240427</v>
      </c>
      <c r="BE49" s="59">
        <f t="shared" si="38"/>
        <v>4.1757334547343809E-2</v>
      </c>
      <c r="BF49" s="59">
        <f t="shared" si="38"/>
        <v>3.3788402381805152E-2</v>
      </c>
      <c r="BG49" s="59">
        <f t="shared" si="38"/>
        <v>5.0699553771604386E-2</v>
      </c>
      <c r="BH49" s="59">
        <f t="shared" si="38"/>
        <v>0.29945432492006679</v>
      </c>
      <c r="BI49" s="59">
        <f t="shared" si="38"/>
        <v>0.17928697356977177</v>
      </c>
      <c r="BJ49" s="59">
        <f t="shared" si="38"/>
        <v>0.26750011477174862</v>
      </c>
      <c r="BK49" s="59">
        <f t="shared" si="38"/>
        <v>0.19935387602244722</v>
      </c>
      <c r="BL49" s="59">
        <f t="shared" si="38"/>
        <v>-0.69688389749906177</v>
      </c>
      <c r="BM49" s="59">
        <f t="shared" si="38"/>
        <v>2.0435922460201947</v>
      </c>
      <c r="BN49" s="59">
        <f t="shared" si="38"/>
        <v>0.31457294387794538</v>
      </c>
      <c r="BO49" s="59">
        <f t="shared" si="38"/>
        <v>-3.9781744321659394E-2</v>
      </c>
      <c r="BP49" s="59" t="e">
        <f t="shared" si="38"/>
        <v>#DIV/0!</v>
      </c>
      <c r="BQ49" s="59">
        <f t="shared" si="38"/>
        <v>-1.0866391411129692</v>
      </c>
      <c r="BR49" s="59">
        <f t="shared" ref="BR49:CJ49" si="39">(BR47-BV47)/BV47</f>
        <v>-1.1067644144833173</v>
      </c>
      <c r="BS49" s="59">
        <f t="shared" si="39"/>
        <v>-1.0993289708314937</v>
      </c>
      <c r="BT49" s="59">
        <f t="shared" si="39"/>
        <v>-1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426</v>
      </c>
      <c r="E50" s="26">
        <f>股权价值增加表!E47</f>
        <v>-25749506.939599872</v>
      </c>
      <c r="F50" s="26">
        <f>股权价值增加表!F47</f>
        <v>-57120468.532000124</v>
      </c>
      <c r="G50" s="26">
        <f>股权价值增加表!G47</f>
        <v>-117313794.14400002</v>
      </c>
      <c r="H50" s="26">
        <f>股权价值增加表!H47</f>
        <v>-184004005.29000008</v>
      </c>
      <c r="I50" s="26">
        <f>股权价值增加表!I47</f>
        <v>-41053537.496800005</v>
      </c>
      <c r="J50" s="26">
        <f>股权价值增加表!J47</f>
        <v>-56262871.446000129</v>
      </c>
      <c r="K50" s="26">
        <f>股权价值增加表!K47</f>
        <v>-96237921.843600005</v>
      </c>
      <c r="L50" s="26">
        <f>股权价值增加表!L47</f>
        <v>-140116936.23720002</v>
      </c>
      <c r="M50" s="26">
        <f>股权价值增加表!M47</f>
        <v>-31849438.914800137</v>
      </c>
      <c r="N50" s="26">
        <f>股权价值增加表!N47</f>
        <v>-63176882.80839999</v>
      </c>
      <c r="O50" s="26">
        <f>股权价值增加表!O47</f>
        <v>-100162401.98759992</v>
      </c>
      <c r="P50" s="26">
        <f>股权价值增加表!P47</f>
        <v>-140374890.47319999</v>
      </c>
      <c r="Q50" s="26">
        <f>股权价值增加表!Q47</f>
        <v>-46882981.925999969</v>
      </c>
      <c r="R50" s="26">
        <f>股权价值增加表!R47</f>
        <v>-71193550.934800059</v>
      </c>
      <c r="S50" s="26">
        <f>股权价值增加表!S47</f>
        <v>-97098873.263600022</v>
      </c>
      <c r="T50" s="26">
        <f>股权价值增加表!T47</f>
        <v>-134770646.07360002</v>
      </c>
      <c r="U50" s="26">
        <f>股权价值增加表!U47</f>
        <v>-46600495.982400134</v>
      </c>
      <c r="V50" s="26">
        <f>股权价值增加表!V47</f>
        <v>-58527411.129599988</v>
      </c>
      <c r="W50" s="26">
        <f>股权价值增加表!W47</f>
        <v>-90622575.585999906</v>
      </c>
      <c r="X50" s="26">
        <f>股权价值增加表!X47</f>
        <v>-126501983.81159997</v>
      </c>
      <c r="Y50" s="26">
        <f>股权价值增加表!Y47</f>
        <v>-37383442.231600076</v>
      </c>
      <c r="Z50" s="26">
        <f>股权价值增加表!Z47</f>
        <v>-57520978.959599897</v>
      </c>
      <c r="AA50" s="26">
        <f>股权价值增加表!AA47</f>
        <v>-87795858.288399979</v>
      </c>
      <c r="AB50" s="26">
        <f>股权价值增加表!AB47</f>
        <v>-122330578.40440001</v>
      </c>
      <c r="AC50" s="26">
        <f>股权价值增加表!AC47</f>
        <v>-18844829.74680011</v>
      </c>
      <c r="AD50" s="26">
        <f>股权价值增加表!AD47</f>
        <v>-32551304.054400027</v>
      </c>
      <c r="AE50" s="26">
        <f>股权价值增加表!AE47</f>
        <v>-60373473.705199927</v>
      </c>
      <c r="AF50" s="26">
        <f>股权价值增加表!AF47</f>
        <v>-103502881.918</v>
      </c>
      <c r="AG50" s="26">
        <f>股权价值增加表!AG47</f>
        <v>29620378.868400037</v>
      </c>
      <c r="AH50" s="26">
        <f>股权价值增加表!AH47</f>
        <v>4655749.5959999263</v>
      </c>
      <c r="AI50" s="26">
        <f>股权价值增加表!AI47</f>
        <v>-39390451.521199971</v>
      </c>
      <c r="AJ50" s="26">
        <f>股权价值增加表!AJ47</f>
        <v>-87038322.968400031</v>
      </c>
      <c r="AK50" s="26">
        <f>股权价值增加表!AK47</f>
        <v>13946258.843200132</v>
      </c>
      <c r="AL50" s="26">
        <f>股权价值增加表!AL47</f>
        <v>-13924273.921200052</v>
      </c>
      <c r="AM50" s="26">
        <f>股权价值增加表!AM47</f>
        <v>-46792796.691600025</v>
      </c>
      <c r="AN50" s="26">
        <f>股权价值增加表!AN47</f>
        <v>-83135152.534399986</v>
      </c>
      <c r="AO50" s="26">
        <f>股权价值增加表!AO47</f>
        <v>15009986.452000022</v>
      </c>
      <c r="AP50" s="26">
        <f>股权价值增加表!AP47</f>
        <v>-13589591.678000078</v>
      </c>
      <c r="AQ50" s="26">
        <f>股权价值增加表!AQ47</f>
        <v>-43479472.791199967</v>
      </c>
      <c r="AR50" s="26">
        <f>股权价值增加表!AR47</f>
        <v>-77434007.2016</v>
      </c>
      <c r="AS50" s="26">
        <f>股权价值增加表!AS47</f>
        <v>5362626.0483999699</v>
      </c>
      <c r="AT50" s="26">
        <f>股权价值增加表!AT47</f>
        <v>496985261.09960002</v>
      </c>
      <c r="AU50" s="26">
        <f>股权价值增加表!AU47</f>
        <v>-46280460.2152</v>
      </c>
      <c r="AV50" s="26">
        <f>股权价值增加表!AV47</f>
        <v>-76267598.340000004</v>
      </c>
      <c r="AW50" s="26">
        <f>股权价值增加表!AW47</f>
        <v>14526594.704000071</v>
      </c>
      <c r="AX50" s="26">
        <f>股权价值增加表!AX47</f>
        <v>-559472.0204000622</v>
      </c>
      <c r="AY50" s="26">
        <f>股权价值增加表!AY47</f>
        <v>-23376578.399200022</v>
      </c>
      <c r="AZ50" s="26">
        <f>股权价值增加表!AZ47</f>
        <v>-48813417.909600012</v>
      </c>
      <c r="BA50" s="26">
        <f>股权价值增加表!BA47</f>
        <v>11986045.692800015</v>
      </c>
      <c r="BB50" s="26">
        <f>股权价值增加表!BB47</f>
        <v>-6015493.0415999889</v>
      </c>
      <c r="BC50" s="26">
        <f>股权价值增加表!BC47</f>
        <v>-24886479.540399961</v>
      </c>
      <c r="BD50" s="26">
        <f>股权价值增加表!BD47</f>
        <v>-45004137.530000016</v>
      </c>
      <c r="BE50" s="26">
        <f>股权价值增加表!BE47</f>
        <v>8194442.5739999861</v>
      </c>
      <c r="BF50" s="26">
        <f>股权价值增加表!BF47</f>
        <v>-8713257.5875999779</v>
      </c>
      <c r="BG50" s="26">
        <f>股权价值增加表!BG47</f>
        <v>-25440539.639999993</v>
      </c>
      <c r="BH50" s="26">
        <f>股权价值增加表!BH47</f>
        <v>-43200724.395600006</v>
      </c>
      <c r="BI50" s="26">
        <f>股权价值增加表!BI47</f>
        <v>16358586.535200059</v>
      </c>
      <c r="BJ50" s="26">
        <f>股权价值增加表!BJ47</f>
        <v>-4944645.7584000304</v>
      </c>
      <c r="BK50" s="26">
        <f>股权价值增加表!BK47</f>
        <v>-21711433.068000007</v>
      </c>
      <c r="BL50" s="26">
        <f>股权价值增加表!BL47</f>
        <v>-40525393.653199993</v>
      </c>
      <c r="BM50" s="26">
        <f>股权价值增加表!BM47</f>
        <v>5897082.188800022</v>
      </c>
      <c r="BN50" s="26">
        <f>股权价值增加表!BN47</f>
        <v>-10657927.101999983</v>
      </c>
      <c r="BO50" s="26">
        <f>股权价值增加表!BO47</f>
        <v>-22986191.182400011</v>
      </c>
      <c r="BP50" s="26">
        <f>股权价值增加表!BP47</f>
        <v>23215256.374400035</v>
      </c>
      <c r="BQ50" s="26">
        <f>股权价值增加表!BQ47</f>
        <v>4181450.8712000214</v>
      </c>
      <c r="BR50" s="26">
        <f>股权价值增加表!BR47</f>
        <v>18036069.635200016</v>
      </c>
      <c r="BS50" s="26">
        <f>股权价值增加表!BS47</f>
        <v>28640757.699999988</v>
      </c>
      <c r="BT50" s="26">
        <f>股权价值增加表!BT47</f>
        <v>0</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150000000000006" customHeight="1">
      <c r="A51" s="281" t="s">
        <v>682</v>
      </c>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row>
    <row r="53" spans="1:88">
      <c r="A53" s="20" t="s">
        <v>669</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c r="A54" s="17" t="s">
        <v>670</v>
      </c>
      <c r="E54" s="191">
        <f>E39</f>
        <v>301537634.80000013</v>
      </c>
      <c r="F54" s="191">
        <f t="shared" ref="F54:AC54" si="41">F39</f>
        <v>246952607.52999988</v>
      </c>
      <c r="G54" s="191">
        <f t="shared" si="41"/>
        <v>160491398.36000001</v>
      </c>
      <c r="H54" s="191">
        <f t="shared" si="41"/>
        <v>76671639.769999936</v>
      </c>
      <c r="I54" s="191">
        <f t="shared" si="41"/>
        <v>238955471.62</v>
      </c>
      <c r="J54" s="191">
        <f t="shared" si="41"/>
        <v>173456005.46999988</v>
      </c>
      <c r="K54" s="191">
        <f t="shared" si="41"/>
        <v>115932101.97000001</v>
      </c>
      <c r="L54" s="191">
        <f t="shared" si="41"/>
        <v>50770896.889999986</v>
      </c>
      <c r="M54" s="191">
        <f t="shared" si="41"/>
        <v>198590395.07999986</v>
      </c>
      <c r="N54" s="191">
        <f t="shared" si="41"/>
        <v>150334408.11000001</v>
      </c>
      <c r="O54" s="191">
        <f t="shared" si="41"/>
        <v>96206853.560000062</v>
      </c>
      <c r="P54" s="191">
        <f t="shared" si="41"/>
        <v>43262817.460000016</v>
      </c>
      <c r="Q54" s="191">
        <f t="shared" si="41"/>
        <v>172779687.31000003</v>
      </c>
      <c r="R54" s="191">
        <f t="shared" si="41"/>
        <v>132865967.72999994</v>
      </c>
      <c r="S54" s="191">
        <f t="shared" si="41"/>
        <v>91475663.629999995</v>
      </c>
      <c r="T54" s="191">
        <f t="shared" si="41"/>
        <v>41488978.469999991</v>
      </c>
      <c r="U54" s="191">
        <f t="shared" si="41"/>
        <v>169532485.53999987</v>
      </c>
      <c r="V54" s="191">
        <f t="shared" si="41"/>
        <v>141254131.66000003</v>
      </c>
      <c r="W54" s="191">
        <f t="shared" si="41"/>
        <v>94782278.560000107</v>
      </c>
      <c r="X54" s="191">
        <f t="shared" si="41"/>
        <v>43953235.650000028</v>
      </c>
      <c r="Y54" s="191">
        <f t="shared" si="41"/>
        <v>165085188.58999994</v>
      </c>
      <c r="Z54" s="191">
        <f t="shared" si="41"/>
        <v>132129999.53000009</v>
      </c>
      <c r="AA54" s="191">
        <f t="shared" si="41"/>
        <v>86772609.350000039</v>
      </c>
      <c r="AB54" s="191">
        <f t="shared" si="41"/>
        <v>37876000.410000004</v>
      </c>
      <c r="AC54" s="191">
        <f t="shared" si="41"/>
        <v>171609366.3499999</v>
      </c>
    </row>
    <row r="55" spans="1:88" s="63" customFormat="1">
      <c r="A55" s="63" t="s">
        <v>671</v>
      </c>
      <c r="E55" s="63">
        <f>E54/E2</f>
        <v>0.12938817505091663</v>
      </c>
      <c r="F55" s="63">
        <f t="shared" ref="F55:AC55" si="42">F54/F2</f>
        <v>0.14486397771657528</v>
      </c>
      <c r="G55" s="63">
        <f t="shared" si="42"/>
        <v>0.13955320647604938</v>
      </c>
      <c r="H55" s="63">
        <f t="shared" si="42"/>
        <v>0.13344154136926134</v>
      </c>
      <c r="I55" s="63">
        <f t="shared" si="42"/>
        <v>0.11614026754773114</v>
      </c>
      <c r="J55" s="63">
        <f t="shared" si="42"/>
        <v>0.11981219657603913</v>
      </c>
      <c r="K55" s="63">
        <f t="shared" si="42"/>
        <v>0.11939045496821561</v>
      </c>
      <c r="L55" s="63">
        <f t="shared" si="42"/>
        <v>0.11267859871975489</v>
      </c>
      <c r="M55" s="63">
        <f t="shared" si="42"/>
        <v>0.11524464324398724</v>
      </c>
      <c r="N55" s="63">
        <f t="shared" si="42"/>
        <v>0.11469382408185189</v>
      </c>
      <c r="O55" s="63">
        <f t="shared" si="42"/>
        <v>0.10773864538641685</v>
      </c>
      <c r="P55" s="63">
        <f t="shared" si="42"/>
        <v>0.10403009402625284</v>
      </c>
      <c r="Q55" s="63">
        <f t="shared" si="42"/>
        <v>0.10216924762654143</v>
      </c>
      <c r="R55" s="63">
        <f t="shared" si="42"/>
        <v>0.10795165039400983</v>
      </c>
      <c r="S55" s="63">
        <f t="shared" si="42"/>
        <v>0.11244088813066676</v>
      </c>
      <c r="T55" s="63">
        <f t="shared" si="42"/>
        <v>0.10637536605494141</v>
      </c>
      <c r="U55" s="63">
        <f t="shared" si="42"/>
        <v>0.10976209226794595</v>
      </c>
      <c r="V55" s="63">
        <f t="shared" si="42"/>
        <v>0.12585046816112505</v>
      </c>
      <c r="W55" s="63">
        <f t="shared" si="42"/>
        <v>0.12488968467852374</v>
      </c>
      <c r="X55" s="63">
        <f t="shared" si="42"/>
        <v>0.12304734947953341</v>
      </c>
      <c r="Y55" s="63">
        <f t="shared" si="42"/>
        <v>0.11244873965902087</v>
      </c>
      <c r="Z55" s="63">
        <f t="shared" si="42"/>
        <v>0.123330495008939</v>
      </c>
      <c r="AA55" s="63">
        <f t="shared" si="42"/>
        <v>0.12173352432316198</v>
      </c>
      <c r="AB55" s="63">
        <f t="shared" si="42"/>
        <v>0.11573440076538512</v>
      </c>
      <c r="AC55" s="63">
        <f t="shared" si="42"/>
        <v>0.12282570077189457</v>
      </c>
    </row>
    <row r="56" spans="1:88">
      <c r="A56" s="17" t="s">
        <v>672</v>
      </c>
      <c r="E56" s="191">
        <f>E23</f>
        <v>247917387.95496953</v>
      </c>
      <c r="F56" s="191">
        <f t="shared" ref="F56:AC56" si="43">F23</f>
        <v>195267641.39669186</v>
      </c>
      <c r="G56" s="191">
        <f t="shared" si="43"/>
        <v>129048988.80758509</v>
      </c>
      <c r="H56" s="191">
        <f t="shared" si="43"/>
        <v>63360434.194022253</v>
      </c>
      <c r="I56" s="191">
        <f t="shared" si="43"/>
        <v>175599110.76843882</v>
      </c>
      <c r="J56" s="191">
        <f t="shared" si="43"/>
        <v>124653419.18834776</v>
      </c>
      <c r="K56" s="191">
        <f t="shared" si="43"/>
        <v>82974804.840890303</v>
      </c>
      <c r="L56" s="191">
        <f t="shared" si="43"/>
        <v>37599168.940892331</v>
      </c>
      <c r="M56" s="191">
        <f t="shared" si="43"/>
        <v>139549689.38157985</v>
      </c>
      <c r="N56" s="191">
        <f t="shared" si="43"/>
        <v>111498077.40817471</v>
      </c>
      <c r="O56" s="191">
        <f t="shared" si="43"/>
        <v>71388230.516332433</v>
      </c>
      <c r="P56" s="191">
        <f t="shared" si="43"/>
        <v>32511926.862048194</v>
      </c>
      <c r="Q56" s="191">
        <f t="shared" si="43"/>
        <v>124475369.34830497</v>
      </c>
      <c r="R56" s="191">
        <f t="shared" si="43"/>
        <v>98710700.348534495</v>
      </c>
      <c r="S56" s="191">
        <f t="shared" si="43"/>
        <v>68353771.041198909</v>
      </c>
      <c r="T56" s="191">
        <f t="shared" si="43"/>
        <v>30733447.793998659</v>
      </c>
      <c r="U56" s="191">
        <f t="shared" si="43"/>
        <v>127015214.85972622</v>
      </c>
      <c r="V56" s="191">
        <f t="shared" si="43"/>
        <v>108424423.72679889</v>
      </c>
      <c r="W56" s="191">
        <f t="shared" si="43"/>
        <v>71875060.155556649</v>
      </c>
      <c r="X56" s="191">
        <f t="shared" si="43"/>
        <v>33620874.495408438</v>
      </c>
      <c r="Y56" s="191">
        <f t="shared" si="43"/>
        <v>122594678.91784942</v>
      </c>
      <c r="Z56" s="191">
        <f t="shared" si="43"/>
        <v>98045995.705736354</v>
      </c>
      <c r="AA56" s="191">
        <f t="shared" si="43"/>
        <v>64286772.293111265</v>
      </c>
      <c r="AB56" s="191">
        <f t="shared" si="43"/>
        <v>28466967.411369838</v>
      </c>
      <c r="AC56" s="191">
        <f t="shared" si="43"/>
        <v>129915192.86496809</v>
      </c>
    </row>
    <row r="57" spans="1:88" s="63" customFormat="1">
      <c r="A57" s="63" t="s">
        <v>673</v>
      </c>
      <c r="E57" s="63">
        <f>E56/E2</f>
        <v>0.10638001592126169</v>
      </c>
      <c r="F57" s="63">
        <f t="shared" ref="F57:AC57" si="44">F56/F2</f>
        <v>0.11454524629233663</v>
      </c>
      <c r="G57" s="63">
        <f t="shared" si="44"/>
        <v>0.11221286850647082</v>
      </c>
      <c r="H57" s="63">
        <f t="shared" si="44"/>
        <v>0.1102743338480706</v>
      </c>
      <c r="I57" s="63">
        <f t="shared" si="44"/>
        <v>8.5346979366189249E-2</v>
      </c>
      <c r="J57" s="63">
        <f t="shared" si="44"/>
        <v>8.6102524517393059E-2</v>
      </c>
      <c r="K57" s="63">
        <f t="shared" si="44"/>
        <v>8.5450013693500457E-2</v>
      </c>
      <c r="L57" s="63">
        <f t="shared" si="44"/>
        <v>8.3445870150100465E-2</v>
      </c>
      <c r="M57" s="63">
        <f t="shared" si="44"/>
        <v>8.0982537756223369E-2</v>
      </c>
      <c r="N57" s="63">
        <f t="shared" si="44"/>
        <v>8.5064630489387255E-2</v>
      </c>
      <c r="O57" s="63">
        <f t="shared" si="44"/>
        <v>7.9945149100694862E-2</v>
      </c>
      <c r="P57" s="63">
        <f t="shared" si="44"/>
        <v>7.817842218807558E-2</v>
      </c>
      <c r="Q57" s="63">
        <f t="shared" si="44"/>
        <v>7.3605613208075973E-2</v>
      </c>
      <c r="R57" s="63">
        <f t="shared" si="44"/>
        <v>8.0200996509709202E-2</v>
      </c>
      <c r="S57" s="63">
        <f t="shared" si="44"/>
        <v>8.4019709920224769E-2</v>
      </c>
      <c r="T57" s="63">
        <f t="shared" si="44"/>
        <v>7.8798801025699E-2</v>
      </c>
      <c r="U57" s="63">
        <f t="shared" si="44"/>
        <v>8.2234715597187841E-2</v>
      </c>
      <c r="V57" s="63">
        <f t="shared" si="44"/>
        <v>9.6600816739025458E-2</v>
      </c>
      <c r="W57" s="63">
        <f t="shared" si="44"/>
        <v>9.470603297846468E-2</v>
      </c>
      <c r="X57" s="63">
        <f t="shared" si="44"/>
        <v>9.4121841831775382E-2</v>
      </c>
      <c r="Y57" s="63">
        <f t="shared" si="44"/>
        <v>8.3506081017673858E-2</v>
      </c>
      <c r="Z57" s="63">
        <f t="shared" si="44"/>
        <v>9.1516394664689846E-2</v>
      </c>
      <c r="AA57" s="63">
        <f t="shared" si="44"/>
        <v>9.0188083742361633E-2</v>
      </c>
      <c r="AB57" s="63">
        <f t="shared" si="44"/>
        <v>8.6984036838609641E-2</v>
      </c>
      <c r="AC57" s="63">
        <f t="shared" si="44"/>
        <v>9.2983995826959431E-2</v>
      </c>
    </row>
    <row r="58" spans="1:88" ht="93" customHeight="1">
      <c r="A58" s="277" t="s">
        <v>674</v>
      </c>
      <c r="B58" s="283"/>
      <c r="C58" s="283"/>
      <c r="D58" s="283"/>
      <c r="E58" s="283"/>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row>
    <row r="60" spans="1:88" s="223" customFormat="1">
      <c r="A60" s="225" t="s">
        <v>676</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c r="A61" s="89" t="s">
        <v>677</v>
      </c>
      <c r="B61" s="89"/>
      <c r="C61" s="89"/>
      <c r="D61" s="89"/>
      <c r="E61" s="89">
        <f>股权价值增加表!E38</f>
        <v>281758580.20000011</v>
      </c>
      <c r="F61" s="89">
        <f>股权价值增加表!F38</f>
        <v>236772922.07999989</v>
      </c>
      <c r="G61" s="89">
        <f>股权价值增加表!G38</f>
        <v>158052366.31</v>
      </c>
      <c r="H61" s="89">
        <f>股权价值增加表!H38</f>
        <v>77195907.059999943</v>
      </c>
      <c r="I61" s="89">
        <f>股权价值增加表!I38</f>
        <v>252645019.65000001</v>
      </c>
      <c r="J61" s="89">
        <f>股权价值增加表!J38</f>
        <v>180440752.13999987</v>
      </c>
      <c r="K61" s="89">
        <f>股权价值增加表!K38</f>
        <v>119286611.68000001</v>
      </c>
      <c r="L61" s="89">
        <f>股权价值增加表!L38</f>
        <v>51998807.499999985</v>
      </c>
      <c r="M61" s="89">
        <f>股权价值增加表!M38</f>
        <v>197791706.70999986</v>
      </c>
      <c r="N61" s="89">
        <f>股权价值增加表!N38</f>
        <v>150907659.37</v>
      </c>
      <c r="O61" s="89">
        <f>股权价值增加表!O38</f>
        <v>96865048.550000057</v>
      </c>
      <c r="P61" s="89">
        <f>股权价值增加表!P38</f>
        <v>42843362.700000018</v>
      </c>
      <c r="Q61" s="89">
        <f>股权价值增加表!Q38</f>
        <v>167909608.09000003</v>
      </c>
      <c r="R61" s="89">
        <f>股权价值增加表!R38</f>
        <v>130008788.46999994</v>
      </c>
      <c r="S61" s="89">
        <f>股权价值增加表!S38</f>
        <v>90219506.159999996</v>
      </c>
      <c r="T61" s="89">
        <f>股权价值增加表!T38</f>
        <v>40363502.069999993</v>
      </c>
      <c r="U61" s="89">
        <f>股权价值增加表!U38</f>
        <v>157821644.81999987</v>
      </c>
      <c r="V61" s="89">
        <f>股权价值增加表!V38</f>
        <v>133090923.71000002</v>
      </c>
      <c r="W61" s="89">
        <f>股权价值增加表!W38</f>
        <v>88718843.76000011</v>
      </c>
      <c r="X61" s="89">
        <f>股权价值增加表!X38</f>
        <v>41106451.14000003</v>
      </c>
      <c r="Y61" s="89">
        <f>股权价值增加表!Y38</f>
        <v>158325820.30999994</v>
      </c>
      <c r="Z61" s="89">
        <f>股权价值增加表!Z38</f>
        <v>129273023.7900001</v>
      </c>
      <c r="AA61" s="89">
        <f>股权价值增加表!AA38</f>
        <v>85140062.63000004</v>
      </c>
      <c r="AB61" s="89">
        <f>股权价值增加表!AB38</f>
        <v>36916126.000000007</v>
      </c>
      <c r="AC61" s="89">
        <f>股权价值增加表!AC38</f>
        <v>163279309.71999991</v>
      </c>
    </row>
    <row r="62" spans="1:88" s="191" customFormat="1">
      <c r="A62" s="89" t="s">
        <v>678</v>
      </c>
      <c r="B62" s="89"/>
      <c r="C62" s="89"/>
      <c r="D62" s="89"/>
      <c r="E62" s="89">
        <f>股权价值增加表!E40</f>
        <v>47482785.229999997</v>
      </c>
      <c r="F62" s="89">
        <f>股权价值增加表!F40</f>
        <v>39003340.140000001</v>
      </c>
      <c r="G62" s="89">
        <f>股权价值增加表!G40</f>
        <v>25938621.870000001</v>
      </c>
      <c r="H62" s="89">
        <f>股权价值增加表!H40</f>
        <v>12417841.869999999</v>
      </c>
      <c r="I62" s="89">
        <f>股权价值增加表!I40</f>
        <v>50210473.189999998</v>
      </c>
      <c r="J62" s="89">
        <f>股权价值增加表!J40</f>
        <v>51273954.630000003</v>
      </c>
      <c r="K62" s="89">
        <f>股权价值增加表!K40</f>
        <v>33674931.009999998</v>
      </c>
      <c r="L62" s="89">
        <f>股权价值增加表!L40</f>
        <v>13500085.23</v>
      </c>
      <c r="M62" s="89">
        <f>股权价值增加表!M40</f>
        <v>50644284.880000003</v>
      </c>
      <c r="N62" s="89">
        <f>股权价值增加表!N40</f>
        <v>37874601.859999999</v>
      </c>
      <c r="O62" s="89">
        <f>股权价值增加表!O40</f>
        <v>24264463.719999999</v>
      </c>
      <c r="P62" s="89">
        <f>股权价值增加表!P40</f>
        <v>10646655.310000001</v>
      </c>
      <c r="Q62" s="89">
        <f>股权价值增加表!Q40</f>
        <v>44743100.539999999</v>
      </c>
      <c r="R62" s="89">
        <f>股权价值增加表!R40</f>
        <v>33417949.100000001</v>
      </c>
      <c r="S62" s="89">
        <f>股权价值增加表!S40</f>
        <v>22801504.370000001</v>
      </c>
      <c r="T62" s="89">
        <f>股权价值增加表!T40</f>
        <v>10463764.130000001</v>
      </c>
      <c r="U62" s="89">
        <f>股权价值增加表!U40</f>
        <v>42023524.640000001</v>
      </c>
      <c r="V62" s="89">
        <f>股权价值增加表!V40</f>
        <v>30928686.789999999</v>
      </c>
      <c r="W62" s="89">
        <f>股权价值增加表!W40</f>
        <v>21438100.309999999</v>
      </c>
      <c r="X62" s="89">
        <f>股权价值增加表!X40</f>
        <v>9663149.7699999996</v>
      </c>
      <c r="Y62" s="89">
        <f>股权价值增加表!Y40</f>
        <v>40481508.619999997</v>
      </c>
      <c r="Z62" s="89">
        <f>股权价值增加表!Z40</f>
        <v>33315833.559999999</v>
      </c>
      <c r="AA62" s="89">
        <f>股权价值增加表!AA40</f>
        <v>22044124.120000001</v>
      </c>
      <c r="AB62" s="89">
        <f>股权价值增加表!AB40</f>
        <v>9159641.9299999997</v>
      </c>
      <c r="AC62" s="89">
        <f>股权价值增加表!AC40</f>
        <v>34144409.609999999</v>
      </c>
    </row>
    <row r="63" spans="1:88">
      <c r="A63" s="182" t="s">
        <v>679</v>
      </c>
      <c r="B63" s="64"/>
      <c r="C63" s="64"/>
      <c r="D63" s="64"/>
      <c r="E63" s="64">
        <f>股权价值增加表!E42</f>
        <v>234275794.97000012</v>
      </c>
      <c r="F63" s="64">
        <f>股权价值增加表!F42</f>
        <v>197769581.93999988</v>
      </c>
      <c r="G63" s="64">
        <f>股权价值增加表!G42</f>
        <v>132113744.44</v>
      </c>
      <c r="H63" s="64">
        <f>股权价值增加表!H42</f>
        <v>64778065.189999945</v>
      </c>
      <c r="I63" s="64">
        <f>股权价值增加表!I42</f>
        <v>202434546.46000001</v>
      </c>
      <c r="J63" s="64">
        <f>股权价值增加表!J42</f>
        <v>129166797.50999987</v>
      </c>
      <c r="K63" s="64">
        <f>股权价值增加表!K42</f>
        <v>85611680.670000017</v>
      </c>
      <c r="L63" s="64">
        <f>股权价值增加表!L42</f>
        <v>38498722.269999981</v>
      </c>
      <c r="M63" s="64">
        <f>股权价值增加表!M42</f>
        <v>147147421.82999986</v>
      </c>
      <c r="N63" s="64">
        <f>股权价值增加表!N42</f>
        <v>113033057.51000001</v>
      </c>
      <c r="O63" s="64">
        <f>股权价值增加表!O42</f>
        <v>72600584.830000058</v>
      </c>
      <c r="P63" s="64">
        <f>股权价值增加表!P42</f>
        <v>32196707.390000015</v>
      </c>
      <c r="Q63" s="64">
        <f>股权价值增加表!Q42</f>
        <v>123166507.55000004</v>
      </c>
      <c r="R63" s="64">
        <f>股权价值增加表!R42</f>
        <v>96590839.369999945</v>
      </c>
      <c r="S63" s="64">
        <f>股权价值增加表!S42</f>
        <v>67418001.789999992</v>
      </c>
      <c r="T63" s="64">
        <f>股权价值增加表!T42</f>
        <v>29899737.93999999</v>
      </c>
      <c r="U63" s="64">
        <f>股权价值增加表!U42</f>
        <v>115798120.17999987</v>
      </c>
      <c r="V63" s="64">
        <f>股权价值增加表!V42</f>
        <v>102162236.92000002</v>
      </c>
      <c r="W63" s="64">
        <f>股权价值增加表!W42</f>
        <v>67280743.450000107</v>
      </c>
      <c r="X63" s="64">
        <f>股权价值增加表!X42</f>
        <v>31443301.370000031</v>
      </c>
      <c r="Y63" s="64">
        <f>股权价值增加表!Y42</f>
        <v>117844311.68999994</v>
      </c>
      <c r="Z63" s="64">
        <f>股权价值增加表!Z42</f>
        <v>95957190.230000094</v>
      </c>
      <c r="AA63" s="64">
        <f>股权价值增加表!AA42</f>
        <v>63095938.510000035</v>
      </c>
      <c r="AB63" s="64">
        <f>股权价值增加表!AB42</f>
        <v>27756484.070000008</v>
      </c>
      <c r="AC63" s="64">
        <f>股权价值增加表!AC42</f>
        <v>129134900.10999991</v>
      </c>
    </row>
    <row r="64" spans="1:88" s="63" customFormat="1">
      <c r="A64" s="212" t="s">
        <v>680</v>
      </c>
      <c r="B64" s="212"/>
      <c r="C64" s="212"/>
      <c r="D64" s="212"/>
      <c r="E64" s="212">
        <f>1-E63/E61</f>
        <v>0.16852294328107198</v>
      </c>
      <c r="F64" s="212">
        <f t="shared" ref="F64:AC64" si="46">1-F63/F61</f>
        <v>0.1647288879039206</v>
      </c>
      <c r="G64" s="212">
        <f t="shared" si="46"/>
        <v>0.16411410012757821</v>
      </c>
      <c r="H64" s="212">
        <f t="shared" si="46"/>
        <v>0.1608614024102123</v>
      </c>
      <c r="I64" s="212">
        <f t="shared" si="46"/>
        <v>0.1987392162313697</v>
      </c>
      <c r="J64" s="212">
        <f t="shared" si="46"/>
        <v>0.2841595040028303</v>
      </c>
      <c r="K64" s="212">
        <f t="shared" si="46"/>
        <v>0.28230268708056561</v>
      </c>
      <c r="L64" s="212">
        <f t="shared" si="46"/>
        <v>0.25962297750770547</v>
      </c>
      <c r="M64" s="212">
        <f t="shared" si="46"/>
        <v>0.25604857616327725</v>
      </c>
      <c r="N64" s="212">
        <f t="shared" si="46"/>
        <v>0.25097865819479648</v>
      </c>
      <c r="O64" s="212">
        <f t="shared" si="46"/>
        <v>0.25049761583999108</v>
      </c>
      <c r="P64" s="212">
        <f t="shared" si="46"/>
        <v>0.24850185977582007</v>
      </c>
      <c r="Q64" s="212">
        <f t="shared" si="46"/>
        <v>0.2664713535393255</v>
      </c>
      <c r="R64" s="212">
        <f t="shared" si="46"/>
        <v>0.25704376983492405</v>
      </c>
      <c r="S64" s="212">
        <f t="shared" si="46"/>
        <v>0.25273364198605364</v>
      </c>
      <c r="T64" s="212">
        <f t="shared" si="46"/>
        <v>0.25923826212733792</v>
      </c>
      <c r="U64" s="212">
        <f t="shared" si="46"/>
        <v>0.2662722511093395</v>
      </c>
      <c r="V64" s="212">
        <f t="shared" si="46"/>
        <v>0.23238764844244686</v>
      </c>
      <c r="W64" s="212">
        <f t="shared" si="46"/>
        <v>0.24164088936949846</v>
      </c>
      <c r="X64" s="212">
        <f t="shared" si="46"/>
        <v>0.23507623504372388</v>
      </c>
      <c r="Y64" s="212">
        <f t="shared" si="46"/>
        <v>0.25568481843793844</v>
      </c>
      <c r="Z64" s="212">
        <f t="shared" si="46"/>
        <v>0.2577168274033762</v>
      </c>
      <c r="AA64" s="212">
        <f t="shared" si="46"/>
        <v>0.25891599605462956</v>
      </c>
      <c r="AB64" s="212">
        <f t="shared" si="46"/>
        <v>0.24812034529300275</v>
      </c>
      <c r="AC64" s="212">
        <f t="shared" si="46"/>
        <v>0.20911657250727389</v>
      </c>
    </row>
    <row r="65" spans="1:29" ht="42.6" customHeight="1">
      <c r="A65" s="279" t="s">
        <v>681</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9" customHeight="1">
      <c r="A68" s="277" t="s">
        <v>733</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c r="A69" s="284" t="s">
        <v>701</v>
      </c>
      <c r="B69" s="284"/>
      <c r="C69" s="284"/>
      <c r="D69" s="284"/>
      <c r="E69" s="284"/>
      <c r="F69" s="255"/>
      <c r="G69" s="255"/>
      <c r="H69" s="255"/>
      <c r="I69" s="255" t="s">
        <v>705</v>
      </c>
      <c r="J69" s="255"/>
      <c r="K69" s="255"/>
      <c r="L69" s="255"/>
      <c r="M69" s="255" t="s">
        <v>706</v>
      </c>
    </row>
    <row r="70" spans="1:29" ht="54">
      <c r="A70" s="285" t="s">
        <v>702</v>
      </c>
      <c r="B70" s="65"/>
      <c r="C70" s="65"/>
      <c r="D70" s="65"/>
      <c r="E70" s="65" t="s">
        <v>703</v>
      </c>
      <c r="F70" s="65"/>
      <c r="G70" s="65"/>
      <c r="H70" s="65"/>
      <c r="I70" s="256" t="s">
        <v>707</v>
      </c>
      <c r="J70" s="257"/>
      <c r="K70" s="257"/>
      <c r="L70" s="257"/>
      <c r="M70" s="256" t="s">
        <v>708</v>
      </c>
    </row>
    <row r="71" spans="1:29" ht="54.6" customHeight="1">
      <c r="A71" s="285"/>
      <c r="B71" s="65"/>
      <c r="C71" s="65"/>
      <c r="D71" s="65"/>
      <c r="E71" s="65" t="s">
        <v>704</v>
      </c>
      <c r="F71" s="65"/>
      <c r="G71" s="65"/>
      <c r="H71" s="65"/>
      <c r="I71" s="256" t="s">
        <v>709</v>
      </c>
      <c r="J71" s="257"/>
      <c r="K71" s="257"/>
      <c r="L71" s="257"/>
      <c r="M71" s="256" t="s">
        <v>710</v>
      </c>
    </row>
    <row r="72" spans="1:29" ht="54">
      <c r="A72" s="285" t="s">
        <v>718</v>
      </c>
      <c r="B72" s="65"/>
      <c r="C72" s="65"/>
      <c r="D72" s="65"/>
      <c r="E72" s="65" t="s">
        <v>711</v>
      </c>
      <c r="F72" s="65"/>
      <c r="G72" s="65"/>
      <c r="H72" s="65"/>
      <c r="I72" s="256" t="s">
        <v>719</v>
      </c>
      <c r="J72" s="257"/>
      <c r="K72" s="257"/>
      <c r="L72" s="257"/>
      <c r="M72" s="256" t="s">
        <v>720</v>
      </c>
    </row>
    <row r="73" spans="1:29" ht="40.5">
      <c r="A73" s="285"/>
      <c r="B73" s="65"/>
      <c r="C73" s="65"/>
      <c r="D73" s="65"/>
      <c r="E73" s="65" t="s">
        <v>712</v>
      </c>
      <c r="F73" s="65"/>
      <c r="G73" s="65"/>
      <c r="H73" s="65"/>
      <c r="I73" s="256" t="s">
        <v>721</v>
      </c>
      <c r="J73" s="257"/>
      <c r="K73" s="257"/>
      <c r="L73" s="257"/>
      <c r="M73" s="256" t="s">
        <v>722</v>
      </c>
    </row>
    <row r="74" spans="1:29" ht="54">
      <c r="A74" s="285"/>
      <c r="B74" s="65"/>
      <c r="C74" s="65"/>
      <c r="D74" s="65"/>
      <c r="E74" s="65" t="s">
        <v>713</v>
      </c>
      <c r="F74" s="65"/>
      <c r="G74" s="65"/>
      <c r="H74" s="65"/>
      <c r="I74" s="256" t="s">
        <v>723</v>
      </c>
      <c r="J74" s="257"/>
      <c r="K74" s="257"/>
      <c r="L74" s="257"/>
      <c r="M74" s="256" t="s">
        <v>724</v>
      </c>
    </row>
    <row r="75" spans="1:29" ht="67.5">
      <c r="A75" s="285"/>
      <c r="B75" s="65"/>
      <c r="C75" s="65"/>
      <c r="D75" s="65"/>
      <c r="E75" s="65" t="s">
        <v>714</v>
      </c>
      <c r="F75" s="65"/>
      <c r="G75" s="65"/>
      <c r="H75" s="65"/>
      <c r="I75" s="256" t="s">
        <v>725</v>
      </c>
      <c r="J75" s="257"/>
      <c r="K75" s="257"/>
      <c r="L75" s="257"/>
      <c r="M75" s="256" t="s">
        <v>726</v>
      </c>
    </row>
    <row r="76" spans="1:29">
      <c r="A76" s="285"/>
      <c r="B76" s="65"/>
      <c r="C76" s="65"/>
      <c r="D76" s="65"/>
      <c r="E76" s="65" t="s">
        <v>715</v>
      </c>
      <c r="F76" s="65"/>
      <c r="G76" s="65"/>
      <c r="H76" s="65"/>
      <c r="I76" s="256" t="s">
        <v>727</v>
      </c>
      <c r="J76" s="257"/>
      <c r="K76" s="257"/>
      <c r="L76" s="257"/>
      <c r="M76" s="256" t="s">
        <v>728</v>
      </c>
    </row>
    <row r="77" spans="1:29" ht="40.5">
      <c r="A77" s="285"/>
      <c r="B77" s="65"/>
      <c r="C77" s="65"/>
      <c r="D77" s="65"/>
      <c r="E77" s="65" t="s">
        <v>716</v>
      </c>
      <c r="F77" s="65"/>
      <c r="G77" s="65"/>
      <c r="H77" s="65"/>
      <c r="I77" s="256" t="s">
        <v>729</v>
      </c>
      <c r="J77" s="257"/>
      <c r="K77" s="257"/>
      <c r="L77" s="257"/>
      <c r="M77" s="256" t="s">
        <v>730</v>
      </c>
    </row>
    <row r="78" spans="1:29" ht="54">
      <c r="A78" s="285"/>
      <c r="B78" s="65"/>
      <c r="C78" s="65"/>
      <c r="D78" s="65"/>
      <c r="E78" s="65" t="s">
        <v>717</v>
      </c>
      <c r="F78" s="65"/>
      <c r="G78" s="65"/>
      <c r="H78" s="65"/>
      <c r="I78" s="256" t="s">
        <v>731</v>
      </c>
      <c r="J78" s="257"/>
      <c r="K78" s="257"/>
      <c r="L78" s="257"/>
      <c r="M78" s="256" t="s">
        <v>732</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2"/>
  <sheetViews>
    <sheetView topLeftCell="A13" workbookViewId="0">
      <selection activeCell="A77" sqref="A77:AG77"/>
    </sheetView>
  </sheetViews>
  <sheetFormatPr defaultRowHeight="13.5"/>
  <cols>
    <col min="1" max="1" width="48.875" style="17" bestFit="1" customWidth="1"/>
    <col min="2" max="4" width="11.62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1" width="19.375" hidden="1" customWidth="1"/>
    <col min="52" max="52" width="18.375" hidden="1" customWidth="1"/>
    <col min="53" max="53" width="19.375" bestFit="1" customWidth="1"/>
    <col min="54" max="56" width="18.375" hidden="1" customWidth="1"/>
    <col min="57" max="57" width="18.375" bestFit="1" customWidth="1"/>
    <col min="58" max="60" width="18.375" hidden="1" customWidth="1"/>
    <col min="61" max="61" width="18.375" bestFit="1" customWidth="1"/>
    <col min="62" max="62" width="17.25" hidden="1" customWidth="1"/>
    <col min="63" max="64" width="18.375" hidden="1" customWidth="1"/>
    <col min="65" max="65" width="17.25" bestFit="1" customWidth="1"/>
    <col min="66" max="67" width="18.375" hidden="1" customWidth="1"/>
    <col min="68" max="68" width="18.375" bestFit="1" customWidth="1"/>
    <col min="69" max="69" width="18.375" hidden="1" customWidth="1"/>
    <col min="70" max="70" width="18.375" bestFit="1" customWidth="1"/>
    <col min="71" max="71" width="17.25" bestFit="1" customWidth="1"/>
    <col min="72" max="72" width="19.375" hidden="1" customWidth="1"/>
    <col min="73" max="78" width="19.375" bestFit="1" customWidth="1"/>
    <col min="79" max="81" width="18.375" bestFit="1" customWidth="1"/>
    <col min="82" max="82" width="9.625" bestFit="1" customWidth="1"/>
    <col min="83" max="84" width="19.375" bestFit="1" customWidth="1"/>
    <col min="85" max="87" width="17.25" bestFit="1" customWidth="1"/>
    <col min="88" max="89" width="16.125" bestFit="1" customWidth="1"/>
  </cols>
  <sheetData>
    <row r="1" spans="1:89" s="26" customFormat="1" ht="14.45">
      <c r="A1" s="17">
        <v>600529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37256</v>
      </c>
      <c r="BQ1" s="1">
        <v>37072</v>
      </c>
      <c r="BR1" s="1">
        <v>36891</v>
      </c>
      <c r="BS1" s="1">
        <v>36525</v>
      </c>
      <c r="BT1" s="1">
        <v>25569</v>
      </c>
      <c r="BU1" s="1"/>
      <c r="BV1" s="1"/>
      <c r="BW1" s="1"/>
      <c r="BX1" s="1"/>
      <c r="BY1" s="1"/>
      <c r="BZ1" s="1"/>
      <c r="CA1" s="1"/>
      <c r="CB1" s="1"/>
      <c r="CC1" s="1"/>
      <c r="CD1" s="1"/>
      <c r="CE1" s="1"/>
      <c r="CF1" s="1"/>
      <c r="CG1" s="1"/>
      <c r="CH1" s="1"/>
      <c r="CI1" s="1"/>
      <c r="CJ1" s="1"/>
      <c r="CK1" s="1"/>
    </row>
    <row r="2" spans="1:89" s="26" customFormat="1">
      <c r="A2" s="17" t="s">
        <v>424</v>
      </c>
      <c r="E2" s="26">
        <f>股权价值增加表!E42</f>
        <v>234275794.97000012</v>
      </c>
      <c r="F2" s="26">
        <f>股权价值增加表!F42</f>
        <v>197769581.93999988</v>
      </c>
      <c r="G2" s="26">
        <f>股权价值增加表!G42</f>
        <v>132113744.44</v>
      </c>
      <c r="H2" s="26">
        <f>股权价值增加表!H42</f>
        <v>64778065.189999945</v>
      </c>
      <c r="I2" s="26">
        <f>股权价值增加表!I42</f>
        <v>202434546.46000001</v>
      </c>
      <c r="J2" s="26">
        <f>股权价值增加表!J42</f>
        <v>129166797.50999987</v>
      </c>
      <c r="K2" s="26">
        <f>股权价值增加表!K42</f>
        <v>85611680.670000017</v>
      </c>
      <c r="L2" s="26">
        <f>股权价值增加表!L42</f>
        <v>38498722.269999981</v>
      </c>
      <c r="M2" s="26">
        <f>股权价值增加表!M42</f>
        <v>147147421.82999986</v>
      </c>
      <c r="N2" s="26">
        <f>股权价值增加表!N42</f>
        <v>113033057.51000001</v>
      </c>
      <c r="O2" s="26">
        <f>股权价值增加表!O42</f>
        <v>72600584.830000058</v>
      </c>
      <c r="P2" s="26">
        <f>股权价值增加表!P42</f>
        <v>32196707.390000015</v>
      </c>
      <c r="Q2" s="26">
        <f>股权价值增加表!Q42</f>
        <v>123166507.55000004</v>
      </c>
      <c r="R2" s="26">
        <f>股权价值增加表!R42</f>
        <v>96590839.369999945</v>
      </c>
      <c r="S2" s="26">
        <f>股权价值增加表!S42</f>
        <v>67418001.789999992</v>
      </c>
      <c r="T2" s="26">
        <f>股权价值增加表!T42</f>
        <v>29899737.93999999</v>
      </c>
      <c r="U2" s="26">
        <f>股权价值增加表!U42</f>
        <v>115798120.17999987</v>
      </c>
      <c r="V2" s="26">
        <f>股权价值增加表!V42</f>
        <v>102162236.92000002</v>
      </c>
      <c r="W2" s="26">
        <f>股权价值增加表!W42</f>
        <v>67280743.450000107</v>
      </c>
      <c r="X2" s="26">
        <f>股权价值增加表!X42</f>
        <v>31443301.370000031</v>
      </c>
      <c r="Y2" s="26">
        <f>股权价值增加表!Y42</f>
        <v>117844311.68999994</v>
      </c>
      <c r="Z2" s="26">
        <f>股权价值增加表!Z42</f>
        <v>95957190.230000094</v>
      </c>
      <c r="AA2" s="26">
        <f>股权价值增加表!AA42</f>
        <v>63095938.510000035</v>
      </c>
      <c r="AB2" s="26">
        <f>股权价值增加表!AB42</f>
        <v>27756484.070000008</v>
      </c>
      <c r="AC2" s="26">
        <f>股权价值增加表!AC42</f>
        <v>129134900.10999991</v>
      </c>
      <c r="AD2" s="26">
        <f>股权价值增加表!AD42</f>
        <v>113955850.39999998</v>
      </c>
      <c r="AE2" s="26">
        <f>股权价值增加表!AE42</f>
        <v>83606149.950000077</v>
      </c>
      <c r="AF2" s="26">
        <f>股权价值增加表!AF42</f>
        <v>39529395.170000002</v>
      </c>
      <c r="AG2" s="26">
        <f>股权价值增加表!AG42</f>
        <v>169248345.51000005</v>
      </c>
      <c r="AH2" s="26">
        <f>股权价值增加表!AH42</f>
        <v>141776404.13999993</v>
      </c>
      <c r="AI2" s="26">
        <f>股权价值增加表!AI42</f>
        <v>93848459.410000041</v>
      </c>
      <c r="AJ2" s="26">
        <f>股权价值增加表!AJ42</f>
        <v>44179804.809999973</v>
      </c>
      <c r="AK2" s="26">
        <f>股权价值增加表!AK42</f>
        <v>141403845.82000014</v>
      </c>
      <c r="AL2" s="26">
        <f>股权价值增加表!AL42</f>
        <v>110542370.32999995</v>
      </c>
      <c r="AM2" s="26">
        <f>股权价值增加表!AM42</f>
        <v>74799161.589999974</v>
      </c>
      <c r="AN2" s="26">
        <f>股权价值增加表!AN42</f>
        <v>35945179.12000002</v>
      </c>
      <c r="AO2" s="26">
        <f>股权价值增加表!AO42</f>
        <v>131395753.98000002</v>
      </c>
      <c r="AP2" s="26">
        <f>股权价值增加表!AP42</f>
        <v>98857182.329999924</v>
      </c>
      <c r="AQ2" s="26">
        <f>股权价值增加表!AQ42</f>
        <v>66368181.120000049</v>
      </c>
      <c r="AR2" s="26">
        <f>股权价值增加表!AR42</f>
        <v>29461078.500000004</v>
      </c>
      <c r="AS2" s="26">
        <f>股权价值增加表!AS42</f>
        <v>109900825.46999997</v>
      </c>
      <c r="AT2" s="26">
        <f>股权价值增加表!AT42</f>
        <v>599631802.59000003</v>
      </c>
      <c r="AU2" s="26">
        <f>股权价值增加表!AU42</f>
        <v>53997130.400000013</v>
      </c>
      <c r="AV2" s="26">
        <f>股权价值增加表!AV42</f>
        <v>23754642.239999987</v>
      </c>
      <c r="AW2" s="26">
        <f>股权价值增加表!AW42</f>
        <v>88505597.280000076</v>
      </c>
      <c r="AX2" s="26">
        <f>股权价值增加表!AX42</f>
        <v>72352444.829999939</v>
      </c>
      <c r="AY2" s="26">
        <f>股权价值增加表!AY42</f>
        <v>47489308.019999981</v>
      </c>
      <c r="AZ2" s="26">
        <f>股权价值增加表!AZ42</f>
        <v>21845288.199999996</v>
      </c>
      <c r="BA2" s="26">
        <f>股权价值增加表!BA42</f>
        <v>80911919.000000015</v>
      </c>
      <c r="BB2" s="26">
        <f>股权价值增加表!BB42</f>
        <v>61259084.520000011</v>
      </c>
      <c r="BC2" s="26">
        <f>股权价值增加表!BC42</f>
        <v>40674353.270000041</v>
      </c>
      <c r="BD2" s="26">
        <f>股权价值增加表!BD42</f>
        <v>20356454.749999989</v>
      </c>
      <c r="BE2" s="26">
        <f>股权价值增加表!BE42</f>
        <v>71969243.949999988</v>
      </c>
      <c r="BF2" s="26">
        <f>股权价值增加表!BF42</f>
        <v>52948011.330000028</v>
      </c>
      <c r="BG2" s="26">
        <f>股权价值增加表!BG42</f>
        <v>34656153.020000011</v>
      </c>
      <c r="BH2" s="26">
        <f>股权价值增加表!BH42</f>
        <v>16213208.329999994</v>
      </c>
      <c r="BI2" s="26">
        <f>股权价值增加表!BI42</f>
        <v>69084461.00000006</v>
      </c>
      <c r="BJ2" s="26">
        <f>股权价值增加表!BJ42</f>
        <v>51217455.339999974</v>
      </c>
      <c r="BK2" s="26">
        <f>股权价值增加表!BK42</f>
        <v>32983884.779999997</v>
      </c>
      <c r="BL2" s="26">
        <f>股权价值增加表!BL42</f>
        <v>12476935.910000004</v>
      </c>
      <c r="BM2" s="26">
        <f>股权价值增加表!BM42</f>
        <v>58581551.860000022</v>
      </c>
      <c r="BN2" s="26">
        <f>股权价值增加表!BN42</f>
        <v>40408245.130000018</v>
      </c>
      <c r="BO2" s="26">
        <f>股权价值增加表!BO42</f>
        <v>27501378.399999991</v>
      </c>
      <c r="BP2" s="26">
        <f>股权价值增加表!BP42</f>
        <v>41162233.900000036</v>
      </c>
      <c r="BQ2" s="26">
        <f>股权价值增加表!BQ42</f>
        <v>19247503.320000023</v>
      </c>
      <c r="BR2" s="26">
        <f>股权价值增加表!BR42</f>
        <v>30738686.140000015</v>
      </c>
      <c r="BS2" s="26">
        <f>股权价值增加表!BS42</f>
        <v>28640757.699999988</v>
      </c>
      <c r="BT2" s="26">
        <f>股权价值增加表!BT42</f>
        <v>0</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429</v>
      </c>
      <c r="E3" s="26">
        <f>资产资本表!E107</f>
        <v>3250316273.8699999</v>
      </c>
      <c r="F3" s="26">
        <f>资产资本表!F107</f>
        <v>3186125630.9000001</v>
      </c>
      <c r="G3" s="26">
        <f>资产资本表!G107</f>
        <v>3117844232.3000002</v>
      </c>
      <c r="H3" s="26">
        <f>资产资本表!H107</f>
        <v>3109775881</v>
      </c>
      <c r="I3" s="26">
        <f>资产资本表!I107</f>
        <v>3043601049.46</v>
      </c>
      <c r="J3" s="26">
        <f>资产资本表!J107</f>
        <v>2317870861.9499998</v>
      </c>
      <c r="K3" s="26">
        <f>资产资本表!K107</f>
        <v>2273120031.4200001</v>
      </c>
      <c r="L3" s="26">
        <f>资产资本表!L107</f>
        <v>2232695731.3399997</v>
      </c>
      <c r="M3" s="26">
        <f>资产资本表!M107</f>
        <v>2237460759.3099999</v>
      </c>
      <c r="N3" s="26">
        <f>资产资本表!N107</f>
        <v>2202624253.98</v>
      </c>
      <c r="O3" s="26">
        <f>资产资本表!O107</f>
        <v>2159537335.2199998</v>
      </c>
      <c r="P3" s="26">
        <f>资产资本表!P107</f>
        <v>2157144973.29</v>
      </c>
      <c r="Q3" s="26">
        <f>资产资本表!Q107</f>
        <v>2125618618.45</v>
      </c>
      <c r="R3" s="26">
        <f>资产资本表!R107</f>
        <v>2097304878.8099999</v>
      </c>
      <c r="S3" s="26">
        <f>资产资本表!S107</f>
        <v>2056460938.1700001</v>
      </c>
      <c r="T3" s="26">
        <f>资产资本表!T107</f>
        <v>2058379800.1700001</v>
      </c>
      <c r="U3" s="26">
        <f>资产资本表!U107</f>
        <v>2029982702.03</v>
      </c>
      <c r="V3" s="26">
        <f>资产资本表!V107</f>
        <v>2008620600.6199999</v>
      </c>
      <c r="W3" s="26">
        <f>资产资本表!W107</f>
        <v>1973791487.95</v>
      </c>
      <c r="X3" s="26">
        <f>资产资本表!X107</f>
        <v>1974316064.77</v>
      </c>
      <c r="Y3" s="26">
        <f>资产资本表!Y107</f>
        <v>1940346924.02</v>
      </c>
      <c r="Z3" s="26">
        <f>资产资本表!Z107</f>
        <v>1918477114.8699999</v>
      </c>
      <c r="AA3" s="26">
        <f>资产资本表!AA107</f>
        <v>1886147459.98</v>
      </c>
      <c r="AB3" s="26">
        <f>资产资本表!AB107</f>
        <v>1876088280.9300001</v>
      </c>
      <c r="AC3" s="26">
        <f>资产资本表!AC107</f>
        <v>1849746623.21</v>
      </c>
      <c r="AD3" s="26">
        <f>资产资本表!AD107</f>
        <v>1831339430.6800001</v>
      </c>
      <c r="AE3" s="26">
        <f>资产资本表!AE107</f>
        <v>1799745295.6900001</v>
      </c>
      <c r="AF3" s="26">
        <f>资产资本表!AF107</f>
        <v>1787903463.5999999</v>
      </c>
      <c r="AG3" s="26">
        <f>资产资本表!AG107</f>
        <v>1745349583.02</v>
      </c>
      <c r="AH3" s="26">
        <f>资产资本表!AH107</f>
        <v>1714008181.8</v>
      </c>
      <c r="AI3" s="26">
        <f>资产资本表!AI107</f>
        <v>1665486386.6400001</v>
      </c>
      <c r="AJ3" s="26">
        <f>资产资本表!AJ107</f>
        <v>1640226597.23</v>
      </c>
      <c r="AK3" s="26">
        <f>资产资本表!AK107</f>
        <v>1593219837.21</v>
      </c>
      <c r="AL3" s="26">
        <f>资产资本表!AL107</f>
        <v>1555833053.1399999</v>
      </c>
      <c r="AM3" s="26">
        <f>资产资本表!AM107</f>
        <v>1519899478.52</v>
      </c>
      <c r="AN3" s="26">
        <f>资产资本表!AN107</f>
        <v>1488504145.6800001</v>
      </c>
      <c r="AO3" s="26">
        <f>资产资本表!AO107</f>
        <v>1454822094.0999999</v>
      </c>
      <c r="AP3" s="26">
        <f>资产资本表!AP107</f>
        <v>1405584675.1000001</v>
      </c>
      <c r="AQ3" s="26">
        <f>资产资本表!AQ107</f>
        <v>1373095673.8899999</v>
      </c>
      <c r="AR3" s="26">
        <f>资产资本表!AR107</f>
        <v>1336188571.27</v>
      </c>
      <c r="AS3" s="26">
        <f>资产资本表!AS107</f>
        <v>1306727492.77</v>
      </c>
      <c r="AT3" s="26">
        <f>资产资本表!AT107</f>
        <v>1283081768.6300001</v>
      </c>
      <c r="AU3" s="26">
        <f>资产资本表!AU107</f>
        <v>1253469882.6900001</v>
      </c>
      <c r="AV3" s="26">
        <f>资产资本表!AV107</f>
        <v>1250278007.25</v>
      </c>
      <c r="AW3" s="26">
        <f>资产资本表!AW107</f>
        <v>924737532.19999993</v>
      </c>
      <c r="AX3" s="26">
        <f>资产资本表!AX107</f>
        <v>911398960.63000011</v>
      </c>
      <c r="AY3" s="26">
        <f>资产资本表!AY107</f>
        <v>885823580.24000001</v>
      </c>
      <c r="AZ3" s="26">
        <f>资产资本表!AZ107</f>
        <v>883233826.37</v>
      </c>
      <c r="BA3" s="26">
        <f>资产资本表!BA107</f>
        <v>861573416.34000003</v>
      </c>
      <c r="BB3" s="26">
        <f>资产资本表!BB107</f>
        <v>840932219.51999998</v>
      </c>
      <c r="BC3" s="26">
        <f>资产资本表!BC107</f>
        <v>819510410.13</v>
      </c>
      <c r="BD3" s="26">
        <f>资产资本表!BD107</f>
        <v>817007403.5</v>
      </c>
      <c r="BE3" s="26">
        <f>资产资本表!BE107</f>
        <v>797185017.19999993</v>
      </c>
      <c r="BF3" s="26">
        <f>资产资本表!BF107</f>
        <v>770765861.47000003</v>
      </c>
      <c r="BG3" s="26">
        <f>资产资本表!BG107</f>
        <v>751208658.25</v>
      </c>
      <c r="BH3" s="26">
        <f>资产资本表!BH107</f>
        <v>742674159.07000005</v>
      </c>
      <c r="BI3" s="26">
        <f>资产资本表!BI107</f>
        <v>659073430.80999994</v>
      </c>
      <c r="BJ3" s="26">
        <f>资产资本表!BJ107</f>
        <v>702026263.73000002</v>
      </c>
      <c r="BK3" s="26">
        <f>资产资本表!BK107</f>
        <v>683691473.10000002</v>
      </c>
      <c r="BL3" s="26">
        <f>资产资本表!BL107</f>
        <v>662529119.54000008</v>
      </c>
      <c r="BM3" s="26">
        <f>资产资本表!BM107</f>
        <v>658555870.88999999</v>
      </c>
      <c r="BN3" s="26">
        <f>资产资本表!BN107</f>
        <v>638327152.89999998</v>
      </c>
      <c r="BO3" s="26">
        <f>资产资本表!BO107</f>
        <v>631094619.77999997</v>
      </c>
      <c r="BP3" s="26">
        <f>资产资本表!BP107</f>
        <v>224337219.06999999</v>
      </c>
      <c r="BQ3" s="26">
        <f>资产资本表!BQ107</f>
        <v>188325655.61000001</v>
      </c>
      <c r="BR3" s="26">
        <f>资产资本表!BR107</f>
        <v>158782706.31</v>
      </c>
      <c r="BS3" s="26">
        <f>资产资本表!BS107</f>
        <v>0</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44" t="s">
        <v>430</v>
      </c>
      <c r="E4" s="59">
        <f>E2/E3</f>
        <v>7.2077845732550466E-2</v>
      </c>
      <c r="F4" s="59">
        <f t="shared" ref="F4:BQ4" si="0">F2/F3</f>
        <v>6.2072122964007215E-2</v>
      </c>
      <c r="G4" s="59">
        <f t="shared" si="0"/>
        <v>4.2373426828492038E-2</v>
      </c>
      <c r="H4" s="59">
        <f t="shared" si="0"/>
        <v>2.0830460994240359E-2</v>
      </c>
      <c r="I4" s="59">
        <f t="shared" si="0"/>
        <v>6.651152472690737E-2</v>
      </c>
      <c r="J4" s="59">
        <f t="shared" si="0"/>
        <v>5.5726485728947485E-2</v>
      </c>
      <c r="K4" s="59">
        <f t="shared" si="0"/>
        <v>3.766263087150707E-2</v>
      </c>
      <c r="L4" s="59">
        <f t="shared" si="0"/>
        <v>1.7243156660175167E-2</v>
      </c>
      <c r="M4" s="59">
        <f t="shared" si="0"/>
        <v>6.5765364249506644E-2</v>
      </c>
      <c r="N4" s="59">
        <f t="shared" si="0"/>
        <v>5.1317448859357906E-2</v>
      </c>
      <c r="O4" s="59">
        <f t="shared" si="0"/>
        <v>3.3618582853814832E-2</v>
      </c>
      <c r="P4" s="59">
        <f t="shared" si="0"/>
        <v>1.492561130042862E-2</v>
      </c>
      <c r="Q4" s="59">
        <f t="shared" si="0"/>
        <v>5.7943841139203513E-2</v>
      </c>
      <c r="R4" s="59">
        <f t="shared" si="0"/>
        <v>4.6054744041221653E-2</v>
      </c>
      <c r="S4" s="59">
        <f t="shared" si="0"/>
        <v>3.2783507111004896E-2</v>
      </c>
      <c r="T4" s="59">
        <f t="shared" si="0"/>
        <v>1.4525860551843054E-2</v>
      </c>
      <c r="U4" s="59">
        <f t="shared" si="0"/>
        <v>5.7043895036248717E-2</v>
      </c>
      <c r="V4" s="59">
        <f t="shared" si="0"/>
        <v>5.0861888446462042E-2</v>
      </c>
      <c r="W4" s="59">
        <f t="shared" si="0"/>
        <v>3.4087057250347441E-2</v>
      </c>
      <c r="X4" s="59">
        <f t="shared" si="0"/>
        <v>1.5926174096984342E-2</v>
      </c>
      <c r="Y4" s="59">
        <f t="shared" si="0"/>
        <v>6.0733629760316647E-2</v>
      </c>
      <c r="Z4" s="59">
        <f t="shared" si="0"/>
        <v>5.0017375493427434E-2</v>
      </c>
      <c r="AA4" s="59">
        <f t="shared" si="0"/>
        <v>3.3452282946461187E-2</v>
      </c>
      <c r="AB4" s="59">
        <f t="shared" si="0"/>
        <v>1.479487098349166E-2</v>
      </c>
      <c r="AC4" s="59">
        <f t="shared" si="0"/>
        <v>6.9812210218231252E-2</v>
      </c>
      <c r="AD4" s="59">
        <f t="shared" si="0"/>
        <v>6.2225411898484975E-2</v>
      </c>
      <c r="AE4" s="59">
        <f t="shared" si="0"/>
        <v>4.6454434497047267E-2</v>
      </c>
      <c r="AF4" s="59">
        <f t="shared" si="0"/>
        <v>2.2109356559109918E-2</v>
      </c>
      <c r="AG4" s="59">
        <f t="shared" si="0"/>
        <v>9.6971029274918977E-2</v>
      </c>
      <c r="AH4" s="59">
        <f t="shared" si="0"/>
        <v>8.2716293682513584E-2</v>
      </c>
      <c r="AI4" s="59">
        <f t="shared" si="0"/>
        <v>5.634898019150586E-2</v>
      </c>
      <c r="AJ4" s="59">
        <f t="shared" si="0"/>
        <v>2.6935183763396126E-2</v>
      </c>
      <c r="AK4" s="59">
        <f t="shared" si="0"/>
        <v>8.8753505647797118E-2</v>
      </c>
      <c r="AL4" s="59">
        <f t="shared" si="0"/>
        <v>7.1050277603308454E-2</v>
      </c>
      <c r="AM4" s="59">
        <f t="shared" si="0"/>
        <v>4.9213229326741763E-2</v>
      </c>
      <c r="AN4" s="59">
        <f t="shared" si="0"/>
        <v>2.4148524694621538E-2</v>
      </c>
      <c r="AO4" s="59">
        <f t="shared" si="0"/>
        <v>9.0317403421952908E-2</v>
      </c>
      <c r="AP4" s="59">
        <f t="shared" si="0"/>
        <v>7.0331716104521949E-2</v>
      </c>
      <c r="AQ4" s="59">
        <f t="shared" si="0"/>
        <v>4.8334709941935824E-2</v>
      </c>
      <c r="AR4" s="59">
        <f t="shared" si="0"/>
        <v>2.2048593389777531E-2</v>
      </c>
      <c r="AS4" s="59">
        <f t="shared" si="0"/>
        <v>8.4103859510166329E-2</v>
      </c>
      <c r="AT4" s="59">
        <f t="shared" si="0"/>
        <v>0.46733716996871671</v>
      </c>
      <c r="AU4" s="59">
        <f t="shared" si="0"/>
        <v>4.3078123491982E-2</v>
      </c>
      <c r="AV4" s="59">
        <f t="shared" si="0"/>
        <v>1.8999488195628252E-2</v>
      </c>
      <c r="AW4" s="59">
        <f t="shared" si="0"/>
        <v>9.5708884086753279E-2</v>
      </c>
      <c r="AX4" s="59">
        <f t="shared" si="0"/>
        <v>7.9386139281952511E-2</v>
      </c>
      <c r="AY4" s="59">
        <f t="shared" si="0"/>
        <v>5.361034530954064E-2</v>
      </c>
      <c r="AZ4" s="59">
        <f t="shared" si="0"/>
        <v>2.4733301134742404E-2</v>
      </c>
      <c r="BA4" s="59">
        <f t="shared" si="0"/>
        <v>9.3911810027423132E-2</v>
      </c>
      <c r="BB4" s="59">
        <f t="shared" si="0"/>
        <v>7.2846637455473401E-2</v>
      </c>
      <c r="BC4" s="59">
        <f t="shared" si="0"/>
        <v>4.9632503464535384E-2</v>
      </c>
      <c r="BD4" s="59">
        <f t="shared" si="0"/>
        <v>2.491587550222241E-2</v>
      </c>
      <c r="BE4" s="59">
        <f t="shared" si="0"/>
        <v>9.0279223012471835E-2</v>
      </c>
      <c r="BF4" s="59">
        <f t="shared" si="0"/>
        <v>6.8695324970695901E-2</v>
      </c>
      <c r="BG4" s="59">
        <f t="shared" si="0"/>
        <v>4.6133857270407745E-2</v>
      </c>
      <c r="BH4" s="59">
        <f t="shared" si="0"/>
        <v>2.1830850221452008E-2</v>
      </c>
      <c r="BI4" s="59">
        <f t="shared" si="0"/>
        <v>0.10482058260958174</v>
      </c>
      <c r="BJ4" s="59">
        <f t="shared" si="0"/>
        <v>7.2956608585940677E-2</v>
      </c>
      <c r="BK4" s="59">
        <f t="shared" si="0"/>
        <v>4.8243814758203975E-2</v>
      </c>
      <c r="BL4" s="59">
        <f t="shared" si="0"/>
        <v>1.8832283052951471E-2</v>
      </c>
      <c r="BM4" s="59">
        <f t="shared" si="0"/>
        <v>8.8954566270634652E-2</v>
      </c>
      <c r="BN4" s="59">
        <f t="shared" si="0"/>
        <v>6.3303346797046495E-2</v>
      </c>
      <c r="BO4" s="59">
        <f t="shared" si="0"/>
        <v>4.3577266447917096E-2</v>
      </c>
      <c r="BP4" s="59">
        <f t="shared" si="0"/>
        <v>0.18348374857564842</v>
      </c>
      <c r="BQ4" s="59">
        <f t="shared" si="0"/>
        <v>0.10220329916099859</v>
      </c>
      <c r="BR4" s="59">
        <f t="shared" ref="BR4:CJ4" si="1">BR2/BR3</f>
        <v>0.19358963488118933</v>
      </c>
      <c r="BS4" s="59" t="e">
        <f t="shared" si="1"/>
        <v>#DIV/0!</v>
      </c>
      <c r="BT4" s="59">
        <f t="shared" si="1"/>
        <v>0</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426</v>
      </c>
      <c r="E5" s="26">
        <f>股权价值增加表!E47</f>
        <v>-25749506.939599872</v>
      </c>
      <c r="F5" s="26">
        <f>股权价值增加表!F47</f>
        <v>-57120468.532000124</v>
      </c>
      <c r="G5" s="26">
        <f>股权价值增加表!G47</f>
        <v>-117313794.14400002</v>
      </c>
      <c r="H5" s="26">
        <f>股权价值增加表!H47</f>
        <v>-184004005.29000008</v>
      </c>
      <c r="I5" s="26">
        <f>股权价值增加表!I47</f>
        <v>-41053537.496800005</v>
      </c>
      <c r="J5" s="26">
        <f>股权价值增加表!J47</f>
        <v>-56262871.446000129</v>
      </c>
      <c r="K5" s="26">
        <f>股权价值增加表!K47</f>
        <v>-96237921.843600005</v>
      </c>
      <c r="L5" s="26">
        <f>股权价值增加表!L47</f>
        <v>-140116936.23720002</v>
      </c>
      <c r="M5" s="26">
        <f>股权价值增加表!M47</f>
        <v>-31849438.914800137</v>
      </c>
      <c r="N5" s="26">
        <f>股权价值增加表!N47</f>
        <v>-63176882.80839999</v>
      </c>
      <c r="O5" s="26">
        <f>股权价值增加表!O47</f>
        <v>-100162401.98759992</v>
      </c>
      <c r="P5" s="26">
        <f>股权价值增加表!P47</f>
        <v>-140374890.47319999</v>
      </c>
      <c r="Q5" s="26">
        <f>股权价值增加表!Q47</f>
        <v>-46882981.925999969</v>
      </c>
      <c r="R5" s="26">
        <f>股权价值增加表!R47</f>
        <v>-71193550.934800059</v>
      </c>
      <c r="S5" s="26">
        <f>股权价值增加表!S47</f>
        <v>-97098873.263600022</v>
      </c>
      <c r="T5" s="26">
        <f>股权价值增加表!T47</f>
        <v>-134770646.07360002</v>
      </c>
      <c r="U5" s="26">
        <f>股权价值增加表!U47</f>
        <v>-46600495.982400134</v>
      </c>
      <c r="V5" s="26">
        <f>股权价值增加表!V47</f>
        <v>-58527411.129599988</v>
      </c>
      <c r="W5" s="26">
        <f>股权价值增加表!W47</f>
        <v>-90622575.585999906</v>
      </c>
      <c r="X5" s="26">
        <f>股权价值增加表!X47</f>
        <v>-126501983.81159997</v>
      </c>
      <c r="Y5" s="26">
        <f>股权价值增加表!Y47</f>
        <v>-37383442.231600076</v>
      </c>
      <c r="Z5" s="26">
        <f>股权价值增加表!Z47</f>
        <v>-57520978.959599897</v>
      </c>
      <c r="AA5" s="26">
        <f>股权价值增加表!AA47</f>
        <v>-87795858.288399979</v>
      </c>
      <c r="AB5" s="26">
        <f>股权价值增加表!AB47</f>
        <v>-122330578.40440001</v>
      </c>
      <c r="AC5" s="26">
        <f>股权价值增加表!AC47</f>
        <v>-18844829.74680011</v>
      </c>
      <c r="AD5" s="26">
        <f>股权价值增加表!AD47</f>
        <v>-32551304.054400027</v>
      </c>
      <c r="AE5" s="26">
        <f>股权价值增加表!AE47</f>
        <v>-60373473.705199927</v>
      </c>
      <c r="AF5" s="26">
        <f>股权价值增加表!AF47</f>
        <v>-103502881.918</v>
      </c>
      <c r="AG5" s="26">
        <f>股权价值增加表!AG47</f>
        <v>29620378.868400037</v>
      </c>
      <c r="AH5" s="26">
        <f>股权价值增加表!AH47</f>
        <v>4655749.5959999263</v>
      </c>
      <c r="AI5" s="26">
        <f>股权价值增加表!AI47</f>
        <v>-39390451.521199971</v>
      </c>
      <c r="AJ5" s="26">
        <f>股权价值增加表!AJ47</f>
        <v>-87038322.968400031</v>
      </c>
      <c r="AK5" s="26">
        <f>股权价值增加表!AK47</f>
        <v>13946258.843200132</v>
      </c>
      <c r="AL5" s="26">
        <f>股权价值增加表!AL47</f>
        <v>-13924273.921200052</v>
      </c>
      <c r="AM5" s="26">
        <f>股权价值增加表!AM47</f>
        <v>-46792796.691600025</v>
      </c>
      <c r="AN5" s="26">
        <f>股权价值增加表!AN47</f>
        <v>-83135152.534399986</v>
      </c>
      <c r="AO5" s="26">
        <f>股权价值增加表!AO47</f>
        <v>15009986.452000022</v>
      </c>
      <c r="AP5" s="26">
        <f>股权价值增加表!AP47</f>
        <v>-13589591.678000078</v>
      </c>
      <c r="AQ5" s="26">
        <f>股权价值增加表!AQ47</f>
        <v>-43479472.791199967</v>
      </c>
      <c r="AR5" s="26">
        <f>股权价值增加表!AR47</f>
        <v>-77434007.2016</v>
      </c>
      <c r="AS5" s="26">
        <f>股权价值增加表!AS47</f>
        <v>5362626.0483999699</v>
      </c>
      <c r="AT5" s="26">
        <f>股权价值增加表!AT47</f>
        <v>496985261.09960002</v>
      </c>
      <c r="AU5" s="26">
        <f>股权价值增加表!AU47</f>
        <v>-46280460.2152</v>
      </c>
      <c r="AV5" s="26">
        <f>股权价值增加表!AV47</f>
        <v>-76267598.340000004</v>
      </c>
      <c r="AW5" s="26">
        <f>股权价值增加表!AW47</f>
        <v>14526594.704000071</v>
      </c>
      <c r="AX5" s="26">
        <f>股权价值增加表!AX47</f>
        <v>-559472.0204000622</v>
      </c>
      <c r="AY5" s="26">
        <f>股权价值增加表!AY47</f>
        <v>-23376578.399200022</v>
      </c>
      <c r="AZ5" s="26">
        <f>股权价值增加表!AZ47</f>
        <v>-48813417.909600012</v>
      </c>
      <c r="BA5" s="26">
        <f>股权价值增加表!BA47</f>
        <v>11986045.692800015</v>
      </c>
      <c r="BB5" s="26">
        <f>股权价值增加表!BB47</f>
        <v>-6015493.0415999889</v>
      </c>
      <c r="BC5" s="26">
        <f>股权价值增加表!BC47</f>
        <v>-24886479.540399961</v>
      </c>
      <c r="BD5" s="26">
        <f>股权价值增加表!BD47</f>
        <v>-45004137.530000016</v>
      </c>
      <c r="BE5" s="26">
        <f>股权价值增加表!BE47</f>
        <v>8194442.5739999861</v>
      </c>
      <c r="BF5" s="26">
        <f>股权价值增加表!BF47</f>
        <v>-8713257.5875999779</v>
      </c>
      <c r="BG5" s="26">
        <f>股权价值增加表!BG47</f>
        <v>-25440539.639999993</v>
      </c>
      <c r="BH5" s="26">
        <f>股权价值增加表!BH47</f>
        <v>-43200724.395600006</v>
      </c>
      <c r="BI5" s="26">
        <f>股权价值增加表!BI47</f>
        <v>16358586.535200059</v>
      </c>
      <c r="BJ5" s="26">
        <f>股权价值增加表!BJ47</f>
        <v>-4944645.7584000304</v>
      </c>
      <c r="BK5" s="26">
        <f>股权价值增加表!BK47</f>
        <v>-21711433.068000007</v>
      </c>
      <c r="BL5" s="26">
        <f>股权价值增加表!BL47</f>
        <v>-40525393.653199993</v>
      </c>
      <c r="BM5" s="26">
        <f>股权价值增加表!BM47</f>
        <v>5897082.188800022</v>
      </c>
      <c r="BN5" s="26">
        <f>股权价值增加表!BN47</f>
        <v>-10657927.101999983</v>
      </c>
      <c r="BO5" s="26">
        <f>股权价值增加表!BO47</f>
        <v>-22986191.182400011</v>
      </c>
      <c r="BP5" s="26">
        <f>股权价值增加表!BP47</f>
        <v>23215256.374400035</v>
      </c>
      <c r="BQ5" s="26">
        <f>股权价值增加表!BQ47</f>
        <v>4181450.8712000214</v>
      </c>
      <c r="BR5" s="26">
        <f>股权价值增加表!BR47</f>
        <v>18036069.635200016</v>
      </c>
      <c r="BS5" s="26">
        <f>股权价值增加表!BS47</f>
        <v>28640757.699999988</v>
      </c>
      <c r="BT5" s="26">
        <f>股权价值增加表!BT47</f>
        <v>0</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c r="A6" s="156" t="s">
        <v>437</v>
      </c>
      <c r="E6" s="156">
        <f>股权价值增加表!E31/股权价值增加表!E4</f>
        <v>0.12938817505091663</v>
      </c>
      <c r="F6" s="156">
        <f>股权价值增加表!F31/股权价值增加表!F4</f>
        <v>0.14486397771657528</v>
      </c>
      <c r="G6" s="156">
        <f>股权价值增加表!G31/股权价值增加表!G4</f>
        <v>0.13955320647604938</v>
      </c>
      <c r="H6" s="156">
        <f>股权价值增加表!H31/股权价值增加表!H4</f>
        <v>0.13344154136926134</v>
      </c>
      <c r="I6" s="156">
        <f>股权价值增加表!I31/股权价值增加表!I4</f>
        <v>0.11614026754773114</v>
      </c>
      <c r="J6" s="156">
        <f>股权价值增加表!J31/股权价值增加表!J4</f>
        <v>0.11981219657603913</v>
      </c>
      <c r="K6" s="156">
        <f>股权价值增加表!K31/股权价值增加表!K4</f>
        <v>0.11939045496821561</v>
      </c>
      <c r="L6" s="156">
        <f>股权价值增加表!L31/股权价值增加表!L4</f>
        <v>0.11267859871975489</v>
      </c>
      <c r="M6" s="156">
        <f>股权价值增加表!M31/股权价值增加表!M4</f>
        <v>0.11524464324398724</v>
      </c>
      <c r="N6" s="156">
        <f>股权价值增加表!N31/股权价值增加表!N4</f>
        <v>0.11469382408185189</v>
      </c>
      <c r="O6" s="156">
        <f>股权价值增加表!O31/股权价值增加表!O4</f>
        <v>0.10773864538641685</v>
      </c>
      <c r="P6" s="156">
        <f>股权价值增加表!P31/股权价值增加表!P4</f>
        <v>0.10403009402625284</v>
      </c>
      <c r="Q6" s="156">
        <f>股权价值增加表!Q31/股权价值增加表!Q4</f>
        <v>0.10216924762654143</v>
      </c>
      <c r="R6" s="156">
        <f>股权价值增加表!R31/股权价值增加表!R4</f>
        <v>0.10795165039400983</v>
      </c>
      <c r="S6" s="156">
        <f>股权价值增加表!S31/股权价值增加表!S4</f>
        <v>0.11244088813066676</v>
      </c>
      <c r="T6" s="156">
        <f>股权价值增加表!T31/股权价值增加表!T4</f>
        <v>0.10637536605494141</v>
      </c>
      <c r="U6" s="156">
        <f>股权价值增加表!U31/股权价值增加表!U4</f>
        <v>0.10976209226794595</v>
      </c>
      <c r="V6" s="156">
        <f>股权价值增加表!V31/股权价值增加表!V4</f>
        <v>0.12585046816112505</v>
      </c>
      <c r="W6" s="156">
        <f>股权价值增加表!W31/股权价值增加表!W4</f>
        <v>0.12488968467852374</v>
      </c>
      <c r="X6" s="156">
        <f>股权价值增加表!X31/股权价值增加表!X4</f>
        <v>0.12304734947953341</v>
      </c>
      <c r="Y6" s="156">
        <f>股权价值增加表!Y31/股权价值增加表!Y4</f>
        <v>0.11244873965902087</v>
      </c>
      <c r="Z6" s="156">
        <f>股权价值增加表!Z31/股权价值增加表!Z4</f>
        <v>0.123330495008939</v>
      </c>
      <c r="AA6" s="156">
        <f>股权价值增加表!AA31/股权价值增加表!AA4</f>
        <v>0.12173352432316198</v>
      </c>
      <c r="AB6" s="156">
        <f>股权价值增加表!AB31/股权价值增加表!AB4</f>
        <v>0.11573440076538512</v>
      </c>
      <c r="AC6" s="156">
        <f>股权价值增加表!AC31/股权价值增加表!AC4</f>
        <v>0.12282570077189457</v>
      </c>
      <c r="AD6" s="156">
        <f>股权价值增加表!AD31/股权价值增加表!AD4</f>
        <v>0.13850468545872266</v>
      </c>
      <c r="AE6" s="156">
        <f>股权价值增加表!AE31/股权价值增加表!AE4</f>
        <v>0.14613556034103953</v>
      </c>
      <c r="AF6" s="156">
        <f>股权价值增加表!AF31/股权价值增加表!AF4</f>
        <v>0.14559688977924323</v>
      </c>
      <c r="AG6" s="156">
        <f>股权价值增加表!AG31/股权价值增加表!AG4</f>
        <v>0.14096175530259902</v>
      </c>
      <c r="AH6" s="156">
        <f>股权价值增加表!AH31/股权价值增加表!AH4</f>
        <v>0.16443655057435994</v>
      </c>
      <c r="AI6" s="156">
        <f>股权价值增加表!AI31/股权价值增加表!AI4</f>
        <v>0.16180741505480087</v>
      </c>
      <c r="AJ6" s="156">
        <f>股权价值增加表!AJ31/股权价值增加表!AJ4</f>
        <v>0.1594411528545083</v>
      </c>
      <c r="AK6" s="156">
        <f>股权价值增加表!AK31/股权价值增加表!AK4</f>
        <v>0.14437537018560165</v>
      </c>
      <c r="AL6" s="156">
        <f>股权价值增加表!AL31/股权价值增加表!AL4</f>
        <v>0.16230521919712276</v>
      </c>
      <c r="AM6" s="156">
        <f>股权价值增加表!AM31/股权价值增加表!AM4</f>
        <v>0.1676019299522126</v>
      </c>
      <c r="AN6" s="156">
        <f>股权价值增加表!AN31/股权价值增加表!AN4</f>
        <v>0.16652527102050074</v>
      </c>
      <c r="AO6" s="156">
        <f>股权价值增加表!AO31/股权价值增加表!AO4</f>
        <v>0.14564298063812389</v>
      </c>
      <c r="AP6" s="156">
        <f>股权价值增加表!AP31/股权价值增加表!AP4</f>
        <v>0.15080762810839493</v>
      </c>
      <c r="AQ6" s="156">
        <f>股权价值增加表!AQ31/股权价值增加表!AQ4</f>
        <v>0.15558734868205779</v>
      </c>
      <c r="AR6" s="156">
        <f>股权价值增加表!AR31/股权价值增加表!AR4</f>
        <v>0.1566311296862547</v>
      </c>
      <c r="AS6" s="156">
        <f>股权价值增加表!AS31/股权价值增加表!AS4</f>
        <v>0.17033016237392989</v>
      </c>
      <c r="AT6" s="156">
        <f>股权价值增加表!AT31/股权价值增加表!AT4</f>
        <v>0.86035876710996995</v>
      </c>
      <c r="AU6" s="156">
        <f>股权价值增加表!AU31/股权价值增加表!AU4</f>
        <v>0.17000282514244566</v>
      </c>
      <c r="AV6" s="156">
        <f>股权价值增加表!AV31/股权价值增加表!AV4</f>
        <v>0.16511668147147177</v>
      </c>
      <c r="AW6" s="156">
        <f>股权价值增加表!AW31/股权价值增加表!AW4</f>
        <v>0.18345840809855921</v>
      </c>
      <c r="AX6" s="156">
        <f>股权价值增加表!AX31/股权价值增加表!AX4</f>
        <v>0.19006177092531426</v>
      </c>
      <c r="AY6" s="156">
        <f>股权价值增加表!AY31/股权价值增加表!AY4</f>
        <v>0.18724375365417695</v>
      </c>
      <c r="AZ6" s="156">
        <f>股权价值增加表!AZ31/股权价值增加表!AZ4</f>
        <v>0.17498885359285754</v>
      </c>
      <c r="BA6" s="156">
        <f>股权价值增加表!BA31/股权价值增加表!BA4</f>
        <v>0.19289371706518083</v>
      </c>
      <c r="BB6" s="156">
        <f>股权价值增加表!BB31/股权价值增加表!BB4</f>
        <v>0.19857671848574152</v>
      </c>
      <c r="BC6" s="156">
        <f>股权价值增加表!BC31/股权价值增加表!BC4</f>
        <v>0.20210770028032626</v>
      </c>
      <c r="BD6" s="156">
        <f>股权价值增加表!BD31/股权价值增加表!BD4</f>
        <v>0.21334903297455265</v>
      </c>
      <c r="BE6" s="156">
        <f>股权价值增加表!BE31/股权价值增加表!BE4</f>
        <v>0.20433525692994844</v>
      </c>
      <c r="BF6" s="156">
        <f>股权价值增加表!BF31/股权价值增加表!BF4</f>
        <v>0.20237934458287349</v>
      </c>
      <c r="BG6" s="156">
        <f>股权价值增加表!BG31/股权价值增加表!BG4</f>
        <v>0.1993620738462353</v>
      </c>
      <c r="BH6" s="156">
        <f>股权价值增加表!BH31/股权价值增加表!BH4</f>
        <v>0.18989184590054414</v>
      </c>
      <c r="BI6" s="156">
        <f>股权价值增加表!BI31/股权价值增加表!BI4</f>
        <v>0.22263055843513088</v>
      </c>
      <c r="BJ6" s="156">
        <f>股权价值增加表!BJ31/股权价值增加表!BJ4</f>
        <v>0.21249225116950141</v>
      </c>
      <c r="BK6" s="156">
        <f>股权价值增加表!BK31/股权价值增加表!BK4</f>
        <v>0.21761242066773911</v>
      </c>
      <c r="BL6" s="156">
        <f>股权价值增加表!BL31/股权价值增加表!BL4</f>
        <v>0.2215313523569192</v>
      </c>
      <c r="BM6" s="156">
        <f>股权价值增加表!BM31/股权价值增加表!BM4</f>
        <v>0.20929915893784554</v>
      </c>
      <c r="BN6" s="156">
        <f>股权价值增加表!BN31/股权价值增加表!BN4</f>
        <v>0.21327102735009068</v>
      </c>
      <c r="BO6" s="156">
        <f>股权价值增加表!BO31/股权价值增加表!BO4</f>
        <v>0.22842711989053407</v>
      </c>
      <c r="BP6" s="156">
        <f>股权价值增加表!BP31/股权价值增加表!BP4</f>
        <v>0.18942372379941716</v>
      </c>
      <c r="BQ6" s="156">
        <f>股权价值增加表!BQ31/股权价值增加表!BQ4</f>
        <v>0.2021970696248864</v>
      </c>
      <c r="BR6" s="156">
        <f>股权价值增加表!BR31/股权价值增加表!BR4</f>
        <v>0.17039593722524127</v>
      </c>
      <c r="BS6" s="156">
        <f>股权价值增加表!BS31/股权价值增加表!BS4</f>
        <v>0.20440364403535943</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c r="A7" s="241" t="s">
        <v>431</v>
      </c>
      <c r="E7" s="61">
        <f>股权价值增加表!E4/资产资本表!E70</f>
        <v>0.71491223064598308</v>
      </c>
      <c r="F7" s="61">
        <f>股权价值增加表!F4/资产资本表!F70</f>
        <v>0.53345305485526462</v>
      </c>
      <c r="G7" s="61">
        <f>股权价值增加表!G4/资产资本表!G70</f>
        <v>0.36181134442380447</v>
      </c>
      <c r="H7" s="61">
        <f>股权价值增加表!H4/资产资本表!H70</f>
        <v>0.18448618472482758</v>
      </c>
      <c r="I7" s="61">
        <f>股权价值增加表!I4/资产资本表!I70</f>
        <v>0.67474408054610124</v>
      </c>
      <c r="J7" s="61">
        <f>股权价值增加表!J4/资产资本表!J70</f>
        <v>0.62259114750991129</v>
      </c>
      <c r="K7" s="61">
        <f>股权价值增加表!K4/资产资本表!K70</f>
        <v>0.41372497875826325</v>
      </c>
      <c r="L7" s="61">
        <f>股权价值增加表!L4/资产资本表!L70</f>
        <v>0.18989600149783545</v>
      </c>
      <c r="M7" s="61">
        <f>股权价值增加表!M4/资产资本表!M70</f>
        <v>0.76919937057717691</v>
      </c>
      <c r="N7" s="61">
        <f>股权价值增加表!N4/资产资本表!N70</f>
        <v>0.58052823964276734</v>
      </c>
      <c r="O7" s="61">
        <f>股权价值增加表!O4/资产资本表!O70</f>
        <v>0.38468654499494132</v>
      </c>
      <c r="P7" s="61">
        <f>股权价值增加表!P4/资产资本表!P70</f>
        <v>0.18014633562080259</v>
      </c>
      <c r="Q7" s="61">
        <f>股权价值增加表!Q4/资产资本表!Q70</f>
        <v>0.75370978661419263</v>
      </c>
      <c r="R7" s="61">
        <f>股权价值增加表!R4/资产资本表!R70</f>
        <v>0.54738244367325173</v>
      </c>
      <c r="S7" s="61">
        <f>股权价值增加表!S4/资产资本表!S70</f>
        <v>0.37439007211836667</v>
      </c>
      <c r="T7" s="61">
        <f>股权价值增加表!T4/资产资本表!T70</f>
        <v>0.18432879241517897</v>
      </c>
      <c r="U7" s="61">
        <f>股权价值增加表!U4/资产资本表!U70</f>
        <v>0.72846724549952047</v>
      </c>
      <c r="V7" s="61">
        <f>股权价值增加表!V4/资产资本表!V70</f>
        <v>0.53392889761836626</v>
      </c>
      <c r="W7" s="61">
        <f>股权价值增加表!W4/资产资本表!W70</f>
        <v>0.36185700175198549</v>
      </c>
      <c r="X7" s="61">
        <f>股权价值增加表!X4/资产资本表!X70</f>
        <v>0.17081766319993513</v>
      </c>
      <c r="Y7" s="61">
        <f>股权价值增加表!Y4/资产资本表!Y70</f>
        <v>0.71290928132816178</v>
      </c>
      <c r="Z7" s="61">
        <f>股权价值增加表!Z4/资产资本表!Z70</f>
        <v>0.52633149094274068</v>
      </c>
      <c r="AA7" s="61">
        <f>股权价值增加表!AA4/资产资本表!AA70</f>
        <v>0.3567000152527135</v>
      </c>
      <c r="AB7" s="61">
        <f>股权价值增加表!AB4/资产资本表!AB70</f>
        <v>0.16890806525532795</v>
      </c>
      <c r="AC7" s="61">
        <f>股权价值增加表!AC4/资产资本表!AC70</f>
        <v>0.73049673079818356</v>
      </c>
      <c r="AD7" s="61">
        <f>股权价值增加表!AD4/资产资本表!AD70</f>
        <v>0.56826934737170387</v>
      </c>
      <c r="AE7" s="61">
        <f>股权价值增加表!AE4/资产资本表!AE70</f>
        <v>0.40275842019611113</v>
      </c>
      <c r="AF7" s="61">
        <f>股权价值增加表!AF4/资产资本表!AF70</f>
        <v>0.19661631313088979</v>
      </c>
      <c r="AG7" s="61">
        <f>股权价值增加表!AG4/资产资本表!AG70</f>
        <v>0.80931441879371901</v>
      </c>
      <c r="AH7" s="61">
        <f>股权价值增加表!AH4/资产资本表!AH70</f>
        <v>0.57365911835950245</v>
      </c>
      <c r="AI7" s="61">
        <f>股权价值增加表!AI4/资产资本表!AI70</f>
        <v>0.38700205011367683</v>
      </c>
      <c r="AJ7" s="61">
        <f>股权价值增加表!AJ4/资产资本表!AJ70</f>
        <v>0.1954585426777031</v>
      </c>
      <c r="AK7" s="61">
        <f>股权价值增加表!AK4/资产资本表!AK70</f>
        <v>0.71916642926384777</v>
      </c>
      <c r="AL7" s="61">
        <f>股权价值增加表!AL4/资产资本表!AL70</f>
        <v>0.50754574851184986</v>
      </c>
      <c r="AM7" s="61">
        <f>股权价值增加表!AM4/资产资本表!AM70</f>
        <v>0.34343240804799197</v>
      </c>
      <c r="AN7" s="61">
        <f>股权价值增加表!AN4/资产资本表!AN70</f>
        <v>0.16230307501359498</v>
      </c>
      <c r="AO7" s="61">
        <f>股权价值增加表!AO4/资产资本表!AO70</f>
        <v>0.72768462318509619</v>
      </c>
      <c r="AP7" s="61">
        <f>股权价值增加表!AP4/资产资本表!AP70</f>
        <v>0.57914484355000939</v>
      </c>
      <c r="AQ7" s="61">
        <f>股权价值增加表!AQ4/资产资本表!AQ70</f>
        <v>0.37308954901074298</v>
      </c>
      <c r="AR7" s="61">
        <f>股权价值增加表!AR4/资产资本表!AR70</f>
        <v>0.1702716302799516</v>
      </c>
      <c r="AS7" s="61">
        <f>股权价值增加表!AS4/资产资本表!AS70</f>
        <v>0.69833013116698028</v>
      </c>
      <c r="AT7" s="61">
        <f>股权价值增加表!AT4/资产资本表!AT70</f>
        <v>0.51588489102243973</v>
      </c>
      <c r="AU7" s="61">
        <f>股权价值增加表!AU4/资产资本表!AU70</f>
        <v>0.3412654149308364</v>
      </c>
      <c r="AV7" s="61">
        <f>股权价值增加表!AV4/资产资本表!AV70</f>
        <v>0.15731368753122685</v>
      </c>
      <c r="AW7" s="61">
        <f>股权价值增加表!AW4/资产资本表!AW70</f>
        <v>0.6831682715918439</v>
      </c>
      <c r="AX7" s="61">
        <f>股权价值增加表!AX4/资产资本表!AX70</f>
        <v>0.50516306320895865</v>
      </c>
      <c r="AY7" s="61">
        <f>股权价值增加表!AY4/资产资本表!AY70</f>
        <v>0.34185114903963004</v>
      </c>
      <c r="AZ7" s="61">
        <f>股权价值增加表!AZ4/资产资本表!AZ70</f>
        <v>0.17951744280076012</v>
      </c>
      <c r="BA7" s="61">
        <f>股权价值增加表!BA4/资产资本表!BA70</f>
        <v>0.59288986027939572</v>
      </c>
      <c r="BB7" s="61">
        <f>股权价值增加表!BB4/资产资本表!BB70</f>
        <v>0.48192478462761967</v>
      </c>
      <c r="BC7" s="61">
        <f>股权价值增加表!BC4/资产资本表!BC70</f>
        <v>0.33282339458836108</v>
      </c>
      <c r="BD7" s="61">
        <f>股权价值增加表!BD4/资产资本表!BD70</f>
        <v>0.15607630487936236</v>
      </c>
      <c r="BE7" s="61">
        <f>股权价值增加表!BE4/资产资本表!BE70</f>
        <v>0.58375388289091668</v>
      </c>
      <c r="BF7" s="61">
        <f>股权价值增加表!BF4/资产资本表!BF70</f>
        <v>0.44486069347539497</v>
      </c>
      <c r="BG7" s="61">
        <f>股权价值增加表!BG4/资产资本表!BG70</f>
        <v>0.29614001784866228</v>
      </c>
      <c r="BH7" s="61">
        <f>股权价值增加表!BH4/资产资本表!BH70</f>
        <v>0.15633339064265964</v>
      </c>
      <c r="BI7" s="61">
        <f>股权价值增加表!BI4/资产资本表!BI70</f>
        <v>0.58989069042497</v>
      </c>
      <c r="BJ7" s="61">
        <f>股权价值增加表!BJ4/资产资本表!BJ70</f>
        <v>0.4476194492028433</v>
      </c>
      <c r="BK7" s="61">
        <f>股权价值增加表!BK4/资产资本表!BK70</f>
        <v>0.31036105271504144</v>
      </c>
      <c r="BL7" s="61">
        <f>股权价值增加表!BL4/资产资本表!BL70</f>
        <v>0.1213047906862348</v>
      </c>
      <c r="BM7" s="61">
        <f>股权价值增加表!BM4/资产资本表!BM70</f>
        <v>0.57097837200566692</v>
      </c>
      <c r="BN7" s="61">
        <f>股权价值增加表!BN4/资产资本表!BN70</f>
        <v>0.40783392400884766</v>
      </c>
      <c r="BO7" s="61">
        <f>股权价值增加表!BO4/资产资本表!BO70</f>
        <v>0.25387947190179277</v>
      </c>
      <c r="BP7" s="61">
        <f>股权价值增加表!BP4/资产资本表!BP70</f>
        <v>1.097311219100868</v>
      </c>
      <c r="BQ7" s="61">
        <f>股权价值增加表!BQ4/资产资本表!BQ70</f>
        <v>0.60828827252081397</v>
      </c>
      <c r="BR7" s="61">
        <f>股权价值增加表!BR4/资产资本表!BR70</f>
        <v>1.1835827634670404</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438</v>
      </c>
      <c r="E8" s="63">
        <f>股权价值增加表!E31/资产资本表!E70</f>
        <v>9.2501188844863746E-2</v>
      </c>
      <c r="F8" s="63">
        <f>股权价值增加表!F31/资产资本表!F70</f>
        <v>7.7278131451392076E-2</v>
      </c>
      <c r="G8" s="63">
        <f>股权价值增加表!G31/资产资本表!G70</f>
        <v>5.0491933253752203E-2</v>
      </c>
      <c r="H8" s="63">
        <f>股权价值增加表!H31/资产资本表!H70</f>
        <v>2.4618120851015265E-2</v>
      </c>
      <c r="I8" s="63">
        <f>股权价值增加表!I31/资产资本表!I70</f>
        <v>7.836495804087204E-2</v>
      </c>
      <c r="J8" s="63">
        <f>股权价值增加表!J31/资产资本表!J70</f>
        <v>7.4594012951959263E-2</v>
      </c>
      <c r="K8" s="63">
        <f>股权价值增加表!K31/资产资本表!K70</f>
        <v>4.9394813445664383E-2</v>
      </c>
      <c r="L8" s="63">
        <f>股权价值增加表!L31/资产资本表!L70</f>
        <v>2.1397215351260573E-2</v>
      </c>
      <c r="M8" s="63">
        <f>股权价值增加表!M31/资产资本表!M70</f>
        <v>8.8646107045666292E-2</v>
      </c>
      <c r="N8" s="63">
        <f>股权价值增加表!N31/资产资本表!N70</f>
        <v>6.6583003792134721E-2</v>
      </c>
      <c r="O8" s="63">
        <f>股权价值增加表!O31/资产资本表!O70</f>
        <v>4.1445607256135872E-2</v>
      </c>
      <c r="P8" s="63">
        <f>股权价值增加表!P31/资产资本表!P70</f>
        <v>1.8740640233116994E-2</v>
      </c>
      <c r="Q8" s="63">
        <f>股权价值增加表!Q31/资产资本表!Q70</f>
        <v>7.7005961827133151E-2</v>
      </c>
      <c r="R8" s="63">
        <f>股权价值增加表!R31/资产资本表!R70</f>
        <v>5.9090838191233654E-2</v>
      </c>
      <c r="S8" s="63">
        <f>股权价值增加表!S31/资产资本表!S70</f>
        <v>4.2096752216293526E-2</v>
      </c>
      <c r="T8" s="63">
        <f>股权价值增加表!T31/资产资本表!T70</f>
        <v>1.9608042767629969E-2</v>
      </c>
      <c r="U8" s="63">
        <f>股权价值增加表!U31/资产资本表!U70</f>
        <v>7.9958089014694797E-2</v>
      </c>
      <c r="V8" s="63">
        <f>股权价值增加表!V31/资产资本表!V70</f>
        <v>6.7195201730024801E-2</v>
      </c>
      <c r="W8" s="63">
        <f>股权价值增加表!W31/资产资本表!W70</f>
        <v>4.5192206847521482E-2</v>
      </c>
      <c r="X8" s="63">
        <f>股权价值增加表!X31/资产资本表!X70</f>
        <v>2.1018660701039651E-2</v>
      </c>
      <c r="Y8" s="63">
        <f>股权价值增加表!Y31/资产资本表!Y70</f>
        <v>8.0165750176570127E-2</v>
      </c>
      <c r="Z8" s="63">
        <f>股权价值增加表!Z31/资产资本表!Z70</f>
        <v>6.4912723316761095E-2</v>
      </c>
      <c r="AA8" s="63">
        <f>股权价值增加表!AA31/资产资本表!AA70</f>
        <v>4.3422349982838442E-2</v>
      </c>
      <c r="AB8" s="63">
        <f>股权价值增加表!AB31/资产资本表!AB70</f>
        <v>1.9548473716765945E-2</v>
      </c>
      <c r="AC8" s="63">
        <f>股权价值增加表!AC31/资产资本表!AC70</f>
        <v>8.9723772871864907E-2</v>
      </c>
      <c r="AD8" s="63">
        <f>股权价值增加表!AD31/资产资本表!AD70</f>
        <v>7.8707967213551458E-2</v>
      </c>
      <c r="AE8" s="63">
        <f>股权价值增加表!AE31/资产资本表!AE70</f>
        <v>5.8857327417430556E-2</v>
      </c>
      <c r="AF8" s="63">
        <f>股权价值增加表!AF31/资产资本表!AF70</f>
        <v>2.8626723671719336E-2</v>
      </c>
      <c r="AG8" s="63">
        <f>股权价值增加表!AG31/资产资本表!AG70</f>
        <v>0.11408238106486539</v>
      </c>
      <c r="AH8" s="63">
        <f>股权价值增加表!AH31/资产资本表!AH70</f>
        <v>9.4330526628565059E-2</v>
      </c>
      <c r="AI8" s="63">
        <f>股权价值增加表!AI31/资产资本表!AI70</f>
        <v>6.2619801349802551E-2</v>
      </c>
      <c r="AJ8" s="63">
        <f>股权价值增加表!AJ31/资产资本表!AJ70</f>
        <v>3.116413537979509E-2</v>
      </c>
      <c r="AK8" s="63">
        <f>股权价值增加表!AK31/资产资本表!AK70</f>
        <v>0.10382991945002532</v>
      </c>
      <c r="AL8" s="63">
        <f>股权价值增加表!AL31/资产资本表!AL70</f>
        <v>8.2377323964783519E-2</v>
      </c>
      <c r="AM8" s="63">
        <f>股权价值增加表!AM31/资产资本表!AM70</f>
        <v>5.7559934396979241E-2</v>
      </c>
      <c r="AN8" s="63">
        <f>股权价值增加表!AN31/资产资本表!AN70</f>
        <v>2.7027563554099566E-2</v>
      </c>
      <c r="AO8" s="63">
        <f>股权价值增加表!AO31/资产资本表!AO70</f>
        <v>0.10598215748520746</v>
      </c>
      <c r="AP8" s="63">
        <f>股权价值增加表!AP31/资产资本表!AP70</f>
        <v>8.7339460186984394E-2</v>
      </c>
      <c r="AQ8" s="63">
        <f>股权价值增加表!AQ31/资产资本表!AQ70</f>
        <v>5.8048013751566159E-2</v>
      </c>
      <c r="AR8" s="63">
        <f>股权价值增加表!AR31/资产资本表!AR70</f>
        <v>2.6669837804269108E-2</v>
      </c>
      <c r="AS8" s="63">
        <f>股权价值增加表!AS31/资产资本表!AS70</f>
        <v>0.11894668463227953</v>
      </c>
      <c r="AT8" s="63">
        <f>股权价值增加表!AT31/资产资本表!AT70</f>
        <v>0.44384608881072746</v>
      </c>
      <c r="AU8" s="63">
        <f>股权价值增加表!AU31/资产资本表!AU70</f>
        <v>5.8016084661651139E-2</v>
      </c>
      <c r="AV8" s="63">
        <f>股权价值增加表!AV31/资产资本表!AV70</f>
        <v>2.5975114035196221E-2</v>
      </c>
      <c r="AW8" s="63">
        <f>股权价值增加表!AW31/资产资本表!AW70</f>
        <v>0.12533296356968382</v>
      </c>
      <c r="AX8" s="63">
        <f>股权价值增加表!AX31/资产资本表!AX70</f>
        <v>9.6012186399551142E-2</v>
      </c>
      <c r="AY8" s="63">
        <f>股权价值增加表!AY31/资产资本表!AY70</f>
        <v>6.4009492337173818E-2</v>
      </c>
      <c r="AZ8" s="63">
        <f>股权价值增加表!AZ31/资产资本表!AZ70</f>
        <v>3.1413551515626394E-2</v>
      </c>
      <c r="BA8" s="63">
        <f>股权价值增加表!BA31/资产资本表!BA70</f>
        <v>0.11436472895954836</v>
      </c>
      <c r="BB8" s="63">
        <f>股权价值增加表!BB31/资产资本表!BB70</f>
        <v>9.5699042288300437E-2</v>
      </c>
      <c r="BC8" s="63">
        <f>股权价值增加表!BC31/资产资本表!BC70</f>
        <v>6.7266170879745249E-2</v>
      </c>
      <c r="BD8" s="63">
        <f>股权价值增加表!BD31/资产资本表!BD70</f>
        <v>3.329872871625341E-2</v>
      </c>
      <c r="BE8" s="63">
        <f>股权价值增加表!BE31/资产资本表!BE70</f>
        <v>0.11928149964437047</v>
      </c>
      <c r="BF8" s="63">
        <f>股权价值增加表!BF31/资产资本表!BF70</f>
        <v>9.0030615576233028E-2</v>
      </c>
      <c r="BG8" s="63">
        <f>股权价值增加表!BG31/资产资本表!BG70</f>
        <v>5.903908810717045E-2</v>
      </c>
      <c r="BH8" s="63">
        <f>股权价值增加表!BH31/资产资本表!BH70</f>
        <v>2.9686436125025494E-2</v>
      </c>
      <c r="BI8" s="63">
        <f>股权价值增加表!BI31/资产资本表!BI70</f>
        <v>0.13132769382499601</v>
      </c>
      <c r="BJ8" s="63">
        <f>股权价值增加表!BJ31/资产资本表!BJ70</f>
        <v>9.5115664428364458E-2</v>
      </c>
      <c r="BK8" s="63">
        <f>股权价值增加表!BK31/资产资本表!BK70</f>
        <v>6.7538419962307958E-2</v>
      </c>
      <c r="BL8" s="63">
        <f>股权价值增加表!BL31/资产资本表!BL70</f>
        <v>2.6872814328094612E-2</v>
      </c>
      <c r="BM8" s="63">
        <f>股权价值增加表!BM31/资产资本表!BM70</f>
        <v>0.11950529303248637</v>
      </c>
      <c r="BN8" s="63">
        <f>股权价值增加表!BN31/资产资本表!BN70</f>
        <v>8.6979159961585756E-2</v>
      </c>
      <c r="BO8" s="63">
        <f>股权价值增加表!BO31/资产资本表!BO70</f>
        <v>5.7992956565856291E-2</v>
      </c>
      <c r="BP8" s="63">
        <f>股权价值增加表!BP31/资产资本表!BP70</f>
        <v>0.20785677728896457</v>
      </c>
      <c r="BQ8" s="63">
        <f>股权价值增加表!BQ31/资产资本表!BQ70</f>
        <v>0.12299410619089289</v>
      </c>
      <c r="BR8" s="63">
        <f>股权价值增加表!BR31/资产资本表!BR70</f>
        <v>0.20167769426460738</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c r="A9" s="156" t="s">
        <v>432</v>
      </c>
      <c r="E9" s="156">
        <f>股权价值增加表!E38/股权价值增加表!E31</f>
        <v>0.93440601663829193</v>
      </c>
      <c r="F9" s="156">
        <f>股权价值增加表!F38/股权价值增加表!F31</f>
        <v>0.95877878937251815</v>
      </c>
      <c r="G9" s="156">
        <f>股权价值增加表!G38/股权价值增加表!G31</f>
        <v>0.9848027241651357</v>
      </c>
      <c r="H9" s="156">
        <f>股权价值增加表!H38/股权价值增加表!H31</f>
        <v>1.0068378254537493</v>
      </c>
      <c r="I9" s="156">
        <f>股权价值增加表!I38/股权价值增加表!I31</f>
        <v>1.0572891172451153</v>
      </c>
      <c r="J9" s="156">
        <f>股权价值增加表!J38/股权价值增加表!J31</f>
        <v>1.0402681166966459</v>
      </c>
      <c r="K9" s="156">
        <f>股权价值增加表!K38/股权价值增加表!K31</f>
        <v>1.0289351236887609</v>
      </c>
      <c r="L9" s="156">
        <f>股权价值增加表!L38/股权价值增加表!L31</f>
        <v>1.024185324373142</v>
      </c>
      <c r="M9" s="156">
        <f>股权价值增加表!M38/股权价值增加表!M31</f>
        <v>0.99597821249271268</v>
      </c>
      <c r="N9" s="156">
        <f>股权价值增加表!N38/股权价值增加表!N31</f>
        <v>1.0038131740245422</v>
      </c>
      <c r="O9" s="156">
        <f>股权价值增加表!O38/股权价值增加表!O31</f>
        <v>1.0068414563582988</v>
      </c>
      <c r="P9" s="156">
        <f>股权价值增加表!P38/股权价值增加表!P31</f>
        <v>0.99030449738074</v>
      </c>
      <c r="Q9" s="156">
        <f>股权价值增加表!Q38/股权价值增加表!Q31</f>
        <v>0.97181335783261291</v>
      </c>
      <c r="R9" s="156">
        <f>股权价值增加表!R38/股权价值增加表!R31</f>
        <v>0.9784957780474971</v>
      </c>
      <c r="S9" s="156">
        <f>股权价值增加表!S38/股权价值增加表!S31</f>
        <v>0.98626785070310186</v>
      </c>
      <c r="T9" s="156">
        <f>股权价值增加表!T38/股权价值增加表!T31</f>
        <v>0.97287288235323</v>
      </c>
      <c r="U9" s="156">
        <f>股权价值增加表!U38/股权价值增加表!U31</f>
        <v>0.93092273328796971</v>
      </c>
      <c r="V9" s="156">
        <f>股权价值增加表!V38/股权价值增加表!V31</f>
        <v>0.94220906776979152</v>
      </c>
      <c r="W9" s="156">
        <f>股权价值增加表!W38/股权价值增加表!W31</f>
        <v>0.93602775864729126</v>
      </c>
      <c r="X9" s="156">
        <f>股权价值增加表!X38/股权价值增加表!X31</f>
        <v>0.93523151440615282</v>
      </c>
      <c r="Y9" s="156">
        <f>股权价值增加表!Y38/股权价值增加表!Y31</f>
        <v>0.9590552711740401</v>
      </c>
      <c r="Z9" s="156">
        <f>股权价值增加表!Z38/股权价值增加表!Z31</f>
        <v>0.97837753916474268</v>
      </c>
      <c r="AA9" s="156">
        <f>股权价值增加表!AA38/股权价值增加表!AA31</f>
        <v>0.98118592108467007</v>
      </c>
      <c r="AB9" s="156">
        <f>股权价值增加表!AB38/股权价值增加表!AB31</f>
        <v>0.97465745063867482</v>
      </c>
      <c r="AC9" s="156">
        <f>股权价值增加表!AC38/股权价值增加表!AC31</f>
        <v>0.95145919592167993</v>
      </c>
      <c r="AD9" s="156">
        <f>股权价值增加表!AD38/股权价值增加表!AD31</f>
        <v>0.97058181931520315</v>
      </c>
      <c r="AE9" s="156">
        <f>股权价值增加表!AE38/股权价值增加表!AE31</f>
        <v>0.96148123466799296</v>
      </c>
      <c r="AF9" s="156">
        <f>股权价值增加表!AF38/股权价值增加表!AF31</f>
        <v>0.97421568317106877</v>
      </c>
      <c r="AG9" s="156">
        <f>股权价值增加表!AG38/股权价值增加表!AG31</f>
        <v>0.95895061298097128</v>
      </c>
      <c r="AH9" s="156">
        <f>股权价值增加表!AH38/股权价值增加表!AH31</f>
        <v>0.9705482580192929</v>
      </c>
      <c r="AI9" s="156">
        <f>股权价值增加表!AI38/股权价值增加表!AI31</f>
        <v>0.9750169004781658</v>
      </c>
      <c r="AJ9" s="156">
        <f>股权价值增加表!AJ38/股权价值增加表!AJ31</f>
        <v>0.96988554290643447</v>
      </c>
      <c r="AK9" s="156">
        <f>股权价值增加表!AK38/股权价值增加表!AK31</f>
        <v>0.94467554270832488</v>
      </c>
      <c r="AL9" s="156">
        <f>股权价值增加表!AL38/股权价值增加表!AL31</f>
        <v>0.96433102396779746</v>
      </c>
      <c r="AM9" s="156">
        <f>股权价值增加表!AM38/股权价值增加表!AM31</f>
        <v>0.96175487049994823</v>
      </c>
      <c r="AN9" s="156">
        <f>股权价值增加表!AN38/股权价值增加表!AN31</f>
        <v>0.95611783826108354</v>
      </c>
      <c r="AO9" s="156">
        <f>股权价值增加表!AO38/股权价值增加表!AO31</f>
        <v>0.91961408664127076</v>
      </c>
      <c r="AP9" s="156">
        <f>股权价值增加表!AP38/股权价值增加表!AP31</f>
        <v>0.951428006490599</v>
      </c>
      <c r="AQ9" s="156">
        <f>股权价值增加表!AQ38/股权价值增加表!AQ31</f>
        <v>0.96569460137860708</v>
      </c>
      <c r="AR9" s="156">
        <f>股权价值增加表!AR38/股权价值增加表!AR31</f>
        <v>1.0000506014507407</v>
      </c>
      <c r="AS9" s="156">
        <f>股权价值增加表!AS38/股权价值增加表!AS31</f>
        <v>0.91586503187628576</v>
      </c>
      <c r="AT9" s="156">
        <f>股权价值增加表!AT38/股权价值增加表!AT31</f>
        <v>0.98679574993830554</v>
      </c>
      <c r="AU9" s="156">
        <f>股权价值增加表!AU38/股权价值增加表!AU31</f>
        <v>0.92591220036010957</v>
      </c>
      <c r="AV9" s="156">
        <f>股权价值增加表!AV38/股权价值增加表!AV31</f>
        <v>0.91736078872764071</v>
      </c>
      <c r="AW9" s="156">
        <f>股权价值增加表!AW38/股权价值增加表!AW31</f>
        <v>0.89048891471387737</v>
      </c>
      <c r="AX9" s="156">
        <f>股权价值增加表!AX38/股权价值增加表!AX31</f>
        <v>0.89787149337323924</v>
      </c>
      <c r="AY9" s="156">
        <f>股权价值增加表!AY38/股权价值增加表!AY31</f>
        <v>0.89674434380900969</v>
      </c>
      <c r="AZ9" s="156">
        <f>股权价值增加表!AZ38/股权价值增加表!AZ31</f>
        <v>0.89218456616669062</v>
      </c>
      <c r="BA9" s="156">
        <f>股权价值增加表!BA38/股权价值增加表!BA31</f>
        <v>0.92040969154902152</v>
      </c>
      <c r="BB9" s="156">
        <f>股权价值增加表!BB38/股权价值增加表!BB31</f>
        <v>0.92523874608980528</v>
      </c>
      <c r="BC9" s="156">
        <f>股权价值增加表!BC38/股权价值增加表!BC31</f>
        <v>0.92551205044160612</v>
      </c>
      <c r="BD9" s="156">
        <f>股权价值增加表!BD38/股权价值增加表!BD31</f>
        <v>0.92746938406457424</v>
      </c>
      <c r="BE9" s="156">
        <f>股权价值增加表!BE38/股权价值增加表!BE31</f>
        <v>0.96501307892067345</v>
      </c>
      <c r="BF9" s="156">
        <f>股权价值增加表!BF38/股权价值增加表!BF31</f>
        <v>0.97277764480862872</v>
      </c>
      <c r="BG9" s="156">
        <f>股权价值增加表!BG38/股权价值增加表!BG31</f>
        <v>0.98547901544024663</v>
      </c>
      <c r="BH9" s="156">
        <f>股权价值增加表!BH38/股权价值增加表!BH31</f>
        <v>0.96815563534838545</v>
      </c>
      <c r="BI9" s="156">
        <f>股权价值增加表!BI38/股权价值增加表!BI31</f>
        <v>1.0132737197648045</v>
      </c>
      <c r="BJ9" s="156">
        <f>股权价值增加表!BJ38/股权价值增加表!BJ31</f>
        <v>1.0261226433986812</v>
      </c>
      <c r="BK9" s="156">
        <f>股权价值增加表!BK38/股权价值增加表!BK31</f>
        <v>0.95277760080412144</v>
      </c>
      <c r="BL9" s="156">
        <f>股权价值增加表!BL38/股权价值增加表!BL31</f>
        <v>0.93812410974866711</v>
      </c>
      <c r="BM9" s="156">
        <f>股权价值增加表!BM38/股权价值增加表!BM31</f>
        <v>0.94118647025838964</v>
      </c>
      <c r="BN9" s="156">
        <f>股权价值增加表!BN38/股权价值增加表!BN31</f>
        <v>0.9330780701165271</v>
      </c>
      <c r="BO9" s="156">
        <f>股权价值增加表!BO38/股权价值增加表!BO31</f>
        <v>0.93237524086720658</v>
      </c>
      <c r="BP9" s="156">
        <f>股权价值增加表!BP38/股权价值增加表!BP31</f>
        <v>0.89893396022127814</v>
      </c>
      <c r="BQ9" s="156">
        <f>股权价值增加表!BQ38/股权价值增加表!BQ31</f>
        <v>0.90711595372134823</v>
      </c>
      <c r="BR9" s="156">
        <f>股权价值增加表!BR38/股权价值增加表!BR31</f>
        <v>0.89035321082940333</v>
      </c>
      <c r="BS9" s="156">
        <f>股权价值增加表!BS38/股权价值增加表!BS31</f>
        <v>0.87485153750156641</v>
      </c>
      <c r="BT9" s="156" t="e">
        <f>股权价值增加表!BT38/股权价值增加表!BT31</f>
        <v>#DIV/0!</v>
      </c>
      <c r="BU9" s="156">
        <f>股权价值增加表!BU38/股权价值增加表!BU31</f>
        <v>7.0450850452289444</v>
      </c>
      <c r="BV9" s="156" t="e">
        <f>股权价值增加表!BV38/股权价值增加表!BV31</f>
        <v>#DIV/0!</v>
      </c>
      <c r="BW9" s="156" t="e">
        <f>股权价值增加表!BW38/股权价值增加表!BW31</f>
        <v>#DIV/0!</v>
      </c>
      <c r="BX9" s="156" t="e">
        <f>股权价值增加表!BX38/股权价值增加表!BX31</f>
        <v>#DIV/0!</v>
      </c>
      <c r="BY9" s="156" t="e">
        <f>股权价值增加表!BY38/股权价值增加表!BY31</f>
        <v>#DIV/0!</v>
      </c>
      <c r="BZ9" s="156" t="e">
        <f>股权价值增加表!BZ38/股权价值增加表!BZ31</f>
        <v>#DIV/0!</v>
      </c>
      <c r="CA9" s="156" t="e">
        <f>股权价值增加表!CA38/股权价值增加表!CA31</f>
        <v>#DIV/0!</v>
      </c>
      <c r="CB9" s="156" t="e">
        <f>股权价值增加表!CB38/股权价值增加表!CB31</f>
        <v>#DIV/0!</v>
      </c>
      <c r="CC9" s="156" t="e">
        <f>股权价值增加表!CC38/股权价值增加表!CC31</f>
        <v>#DIV/0!</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c r="A10" s="241" t="s">
        <v>433</v>
      </c>
      <c r="E10" s="61">
        <f>资产资本表!E70/资产资本表!E107</f>
        <v>1.002925300493505</v>
      </c>
      <c r="F10" s="61">
        <f>资产资本表!F70/资产资本表!F107</f>
        <v>1.00298423631127</v>
      </c>
      <c r="G10" s="61">
        <f>资产资本表!G70/资产资本表!G107</f>
        <v>1.0194721063903871</v>
      </c>
      <c r="H10" s="61">
        <f>资产资本表!H70/资产资本表!H107</f>
        <v>1.0014995565945739</v>
      </c>
      <c r="I10" s="61">
        <f>资产资本表!I70/资产资本表!I107</f>
        <v>1.0018607185494974</v>
      </c>
      <c r="J10" s="61">
        <f>资产资本表!J70/资产资本表!J107</f>
        <v>1.0032198881536143</v>
      </c>
      <c r="K10" s="61">
        <f>资产资本表!K70/资产资本表!K107</f>
        <v>1.0325236108292164</v>
      </c>
      <c r="L10" s="61">
        <f>资产资本表!L70/资产资本表!L107</f>
        <v>1.0627424682833631</v>
      </c>
      <c r="M10" s="61">
        <f>资产资本表!M70/资产资本表!M107</f>
        <v>1.0012514185950967</v>
      </c>
      <c r="N10" s="61">
        <f>资产资本表!N70/资产资本表!N107</f>
        <v>1.0250725199180983</v>
      </c>
      <c r="O10" s="61">
        <f>资产资本表!O70/资产资本表!O107</f>
        <v>1.0748968428478329</v>
      </c>
      <c r="P10" s="61">
        <f>资产资本表!P70/资产资本表!P107</f>
        <v>1.0701657370895914</v>
      </c>
      <c r="Q10" s="61">
        <f>资产资本表!Q70/资产资本表!Q107</f>
        <v>1.0555601558270684</v>
      </c>
      <c r="R10" s="61">
        <f>资产资本表!R70/资产资本表!R107</f>
        <v>1.0720919561660436</v>
      </c>
      <c r="S10" s="61">
        <f>资产资本表!S70/资产资本表!S107</f>
        <v>1.0566630307229141</v>
      </c>
      <c r="T10" s="61">
        <f>资产资本表!T70/资产资本表!T107</f>
        <v>1.0279523532708823</v>
      </c>
      <c r="U10" s="61">
        <f>资产资本表!U70/资产资本表!U107</f>
        <v>1.0444753287994599</v>
      </c>
      <c r="V10" s="61">
        <f>资产资本表!V70/资产资本表!V107</f>
        <v>1.0465620562544922</v>
      </c>
      <c r="W10" s="61">
        <f>资产资本表!W70/资产资本表!W107</f>
        <v>1.0625816792422651</v>
      </c>
      <c r="X10" s="61">
        <f>资产资本表!X70/资产资本表!X107</f>
        <v>1.0591784416461256</v>
      </c>
      <c r="Y10" s="61">
        <f>资产资本表!Y70/资产资本表!Y107</f>
        <v>1.0613041507100993</v>
      </c>
      <c r="Z10" s="61">
        <f>资产资本表!Z70/资产资本表!Z107</f>
        <v>1.0609990152047919</v>
      </c>
      <c r="AA10" s="61">
        <f>资产资本表!AA70/资产资本表!AA107</f>
        <v>1.0594822638634995</v>
      </c>
      <c r="AB10" s="61">
        <f>资产资本表!AB70/资产资本表!AB107</f>
        <v>1.032756619411074</v>
      </c>
      <c r="AC10" s="61">
        <f>资产资本表!AC70/资产资本表!AC107</f>
        <v>1.0340016153784644</v>
      </c>
      <c r="AD10" s="61">
        <f>资产资本表!AD70/资产资本表!AD107</f>
        <v>1.0363910546092781</v>
      </c>
      <c r="AE10" s="61">
        <f>资产资本表!AE70/资产资本表!AE107</f>
        <v>1.0218850305620049</v>
      </c>
      <c r="AF10" s="61">
        <f>资产资本表!AF70/资产资本表!AF107</f>
        <v>1.0641258571529064</v>
      </c>
      <c r="AG10" s="61">
        <f>资产资本表!AG70/资产资本表!AG107</f>
        <v>1.0714188397056335</v>
      </c>
      <c r="AH10" s="61">
        <f>资产资本表!AH70/资产资本表!AH107</f>
        <v>1.0777412931191879</v>
      </c>
      <c r="AI10" s="61">
        <f>资产资本表!AI70/资产资本表!AI107</f>
        <v>1.0928793397177352</v>
      </c>
      <c r="AJ10" s="61">
        <f>资产资本表!AJ70/资产资本表!AJ107</f>
        <v>1.0487737487827009</v>
      </c>
      <c r="AK10" s="61">
        <f>资产资本表!AK70/资产资本表!AK107</f>
        <v>1.0841064094674198</v>
      </c>
      <c r="AL10" s="61">
        <f>资产资本表!AL70/资产资本表!AL107</f>
        <v>1.0877353909306084</v>
      </c>
      <c r="AM10" s="61">
        <f>资产资本表!AM70/资产资本表!AM107</f>
        <v>1.0771881097125175</v>
      </c>
      <c r="AN10" s="61">
        <f>资产资本表!AN70/资产资本表!AN107</f>
        <v>1.1013957538768231</v>
      </c>
      <c r="AO10" s="61">
        <f>资产资本表!AO70/资产资本表!AO107</f>
        <v>1.0941200993271334</v>
      </c>
      <c r="AP10" s="61">
        <f>资产资本表!AP70/资产资本表!AP107</f>
        <v>1.0997152726355872</v>
      </c>
      <c r="AQ10" s="61">
        <f>资产资本表!AQ70/资产资本表!AQ107</f>
        <v>1.1052209241040654</v>
      </c>
      <c r="AR10" s="61">
        <f>资产资本表!AR70/资产资本表!AR107</f>
        <v>1.1079286232054288</v>
      </c>
      <c r="AS10" s="61">
        <f>资产资本表!AS70/资产资本表!AS107</f>
        <v>1.1091502571340668</v>
      </c>
      <c r="AT10" s="61">
        <f>资产资本表!AT70/资产资本表!AT107</f>
        <v>1.1272337072440131</v>
      </c>
      <c r="AU10" s="61">
        <f>资产资本表!AU70/资产资本表!AU107</f>
        <v>1.1327161682281457</v>
      </c>
      <c r="AV10" s="61">
        <f>资产资本表!AV70/资产资本表!AV107</f>
        <v>1.1359697595368543</v>
      </c>
      <c r="AW10" s="61">
        <f>资产资本表!AW70/资产资本表!AW107</f>
        <v>1.3086070069320801</v>
      </c>
      <c r="AX10" s="61">
        <f>资产资本表!AX70/资产资本表!AX107</f>
        <v>1.3121751674297824</v>
      </c>
      <c r="AY10" s="61">
        <f>资产资本表!AY70/资产资本表!AY107</f>
        <v>1.3125911702700195</v>
      </c>
      <c r="AZ10" s="61">
        <f>资产资本表!AZ70/资产资本表!AZ107</f>
        <v>1.3016681218438555</v>
      </c>
      <c r="BA10" s="61">
        <f>资产资本表!BA70/资产资本表!BA107</f>
        <v>1.3158087456271106</v>
      </c>
      <c r="BB10" s="61">
        <f>资产资本表!BB70/资产资本表!BB107</f>
        <v>1.2036176112002661</v>
      </c>
      <c r="BC10" s="61">
        <f>资产资本表!BC70/资产资本表!BC107</f>
        <v>1.1917764908624759</v>
      </c>
      <c r="BD10" s="61">
        <f>资产资本表!BD70/资产资本表!BD107</f>
        <v>1.19757416764951</v>
      </c>
      <c r="BE10" s="61">
        <f>资产资本表!BE70/资产资本表!BE107</f>
        <v>1.2037515704578901</v>
      </c>
      <c r="BF10" s="61">
        <f>资产资本表!BF70/资产资本表!BF107</f>
        <v>1.1691535244066782</v>
      </c>
      <c r="BG10" s="61">
        <f>资产资本表!BG70/资产资本表!BG107</f>
        <v>1.2001125506329984</v>
      </c>
      <c r="BH10" s="61">
        <f>资产资本表!BH70/资产资本表!BH107</f>
        <v>1.1456672213632293</v>
      </c>
      <c r="BI10" s="61">
        <f>资产资本表!BI70/资产资本表!BI107</f>
        <v>1.2037347278814974</v>
      </c>
      <c r="BJ10" s="61">
        <f>资产资本表!BJ70/资产资本表!BJ107</f>
        <v>1.1112491645469795</v>
      </c>
      <c r="BK10" s="61">
        <f>资产资本表!BK70/资产资本表!BK107</f>
        <v>1.1141823953515679</v>
      </c>
      <c r="BL10" s="61">
        <f>资产资本表!BL70/资产资本表!BL107</f>
        <v>1.1341644877461621</v>
      </c>
      <c r="BM10" s="61">
        <f>资产资本表!BM70/资产资本表!BM107</f>
        <v>1.1231236601238097</v>
      </c>
      <c r="BN10" s="61">
        <f>资产资本表!BN70/资产资本表!BN107</f>
        <v>1.1269450677632298</v>
      </c>
      <c r="BO10" s="61">
        <f>资产资本表!BO70/资产资本表!BO107</f>
        <v>1.1723133049651238</v>
      </c>
      <c r="BP10" s="61">
        <f>资产资本表!BP70/资产资本表!BP107</f>
        <v>1.4222369035449418</v>
      </c>
      <c r="BQ10" s="61">
        <f>资产资本表!BQ70/资产资本表!BQ107</f>
        <v>1.4047066574818441</v>
      </c>
      <c r="BR10" s="61">
        <f>资产资本表!BR70/资产资本表!BR107</f>
        <v>1.5596811740095853</v>
      </c>
      <c r="BS10" s="61" t="e">
        <f>资产资本表!BS70/资产资本表!BS107</f>
        <v>#DIV/0!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439</v>
      </c>
      <c r="E11" s="28">
        <f>E9*E10</f>
        <v>0.93713943501989805</v>
      </c>
      <c r="F11" s="28">
        <f t="shared" ref="F11:BQ11" si="2">F9*F10</f>
        <v>0.96164001185023906</v>
      </c>
      <c r="G11" s="28">
        <f t="shared" si="2"/>
        <v>1.0039789075836223</v>
      </c>
      <c r="H11" s="28">
        <f t="shared" si="2"/>
        <v>1.0083476357545749</v>
      </c>
      <c r="I11" s="28">
        <f t="shared" si="2"/>
        <v>1.0592564347177551</v>
      </c>
      <c r="J11" s="28">
        <f t="shared" si="2"/>
        <v>1.0436176636821801</v>
      </c>
      <c r="K11" s="28">
        <f t="shared" si="2"/>
        <v>1.0623998092201259</v>
      </c>
      <c r="L11" s="28">
        <f t="shared" si="2"/>
        <v>1.0884452396039097</v>
      </c>
      <c r="M11" s="28">
        <f t="shared" si="2"/>
        <v>0.99722459814813724</v>
      </c>
      <c r="N11" s="28">
        <f t="shared" si="2"/>
        <v>1.028981299824322</v>
      </c>
      <c r="O11" s="28">
        <f t="shared" si="2"/>
        <v>1.0822507026878496</v>
      </c>
      <c r="P11" s="28">
        <f t="shared" si="2"/>
        <v>1.0597899423825969</v>
      </c>
      <c r="Q11" s="28">
        <f t="shared" si="2"/>
        <v>1.0258074594286195</v>
      </c>
      <c r="R11" s="28">
        <f t="shared" si="2"/>
        <v>1.049037452787156</v>
      </c>
      <c r="S11" s="28">
        <f t="shared" si="2"/>
        <v>1.0421527762285141</v>
      </c>
      <c r="T11" s="28">
        <f t="shared" si="2"/>
        <v>1.0000669688484289</v>
      </c>
      <c r="U11" s="28">
        <f t="shared" si="2"/>
        <v>0.97232582793784406</v>
      </c>
      <c r="V11" s="28">
        <f t="shared" si="2"/>
        <v>0.98608025938678112</v>
      </c>
      <c r="W11" s="28">
        <f t="shared" si="2"/>
        <v>0.99460594760081233</v>
      </c>
      <c r="X11" s="28">
        <f t="shared" si="2"/>
        <v>0.99057705800705498</v>
      </c>
      <c r="Y11" s="28">
        <f t="shared" si="2"/>
        <v>1.0178493400574087</v>
      </c>
      <c r="Z11" s="28">
        <f t="shared" si="2"/>
        <v>1.0380576055522797</v>
      </c>
      <c r="AA11" s="28">
        <f t="shared" si="2"/>
        <v>1.0395490809417793</v>
      </c>
      <c r="AB11" s="28">
        <f t="shared" si="2"/>
        <v>1.0065839338054134</v>
      </c>
      <c r="AC11" s="28">
        <f t="shared" si="2"/>
        <v>0.98381034554971181</v>
      </c>
      <c r="AD11" s="28">
        <f t="shared" si="2"/>
        <v>1.0059023153046751</v>
      </c>
      <c r="AE11" s="28">
        <f t="shared" si="2"/>
        <v>0.98252328087349616</v>
      </c>
      <c r="AF11" s="28">
        <f t="shared" si="2"/>
        <v>1.0366880989062179</v>
      </c>
      <c r="AG11" s="28">
        <f t="shared" si="2"/>
        <v>1.0274377530950782</v>
      </c>
      <c r="AH11" s="28">
        <f t="shared" si="2"/>
        <v>1.0459999346322879</v>
      </c>
      <c r="AI11" s="28">
        <f t="shared" si="2"/>
        <v>1.0655758264082107</v>
      </c>
      <c r="AJ11" s="28">
        <f t="shared" si="2"/>
        <v>1.0171904967241263</v>
      </c>
      <c r="AK11" s="28">
        <f t="shared" si="2"/>
        <v>1.0241288107172082</v>
      </c>
      <c r="AL11" s="28">
        <f t="shared" si="2"/>
        <v>1.048936983342126</v>
      </c>
      <c r="AM11" s="28">
        <f t="shared" si="2"/>
        <v>1.0359909109606464</v>
      </c>
      <c r="AN11" s="28">
        <f t="shared" si="2"/>
        <v>1.0530641272666446</v>
      </c>
      <c r="AO11" s="28">
        <f t="shared" si="2"/>
        <v>1.0061682558185783</v>
      </c>
      <c r="AP11" s="28">
        <f t="shared" si="2"/>
        <v>1.0462999095509424</v>
      </c>
      <c r="AQ11" s="28">
        <f t="shared" si="2"/>
        <v>1.0673058797379711</v>
      </c>
      <c r="AR11" s="28">
        <f t="shared" si="2"/>
        <v>1.10798468600108</v>
      </c>
      <c r="AS11" s="28">
        <f t="shared" si="2"/>
        <v>1.0158319356056826</v>
      </c>
      <c r="AT11" s="28">
        <f t="shared" si="2"/>
        <v>1.1123494314955922</v>
      </c>
      <c r="AU11" s="28">
        <f t="shared" si="2"/>
        <v>1.0487957197075943</v>
      </c>
      <c r="AV11" s="28">
        <f t="shared" si="2"/>
        <v>1.0420941145794771</v>
      </c>
      <c r="AW11" s="28">
        <f t="shared" si="2"/>
        <v>1.1653000333899235</v>
      </c>
      <c r="AX11" s="28">
        <f t="shared" si="2"/>
        <v>1.178164677147459</v>
      </c>
      <c r="AY11" s="28">
        <f t="shared" si="2"/>
        <v>1.1770587076732888</v>
      </c>
      <c r="AZ11" s="28">
        <f t="shared" si="2"/>
        <v>1.1613282085802712</v>
      </c>
      <c r="BA11" s="28">
        <f t="shared" si="2"/>
        <v>1.2110831217001539</v>
      </c>
      <c r="BB11" s="28">
        <f t="shared" si="2"/>
        <v>1.113633649358541</v>
      </c>
      <c r="BC11" s="28">
        <f t="shared" si="2"/>
        <v>1.1030035037262322</v>
      </c>
      <c r="BD11" s="28">
        <f t="shared" si="2"/>
        <v>1.1107133756415362</v>
      </c>
      <c r="BE11" s="28">
        <f t="shared" si="2"/>
        <v>1.1616360092631646</v>
      </c>
      <c r="BF11" s="28">
        <f t="shared" si="2"/>
        <v>1.1373264118920361</v>
      </c>
      <c r="BG11" s="28">
        <f t="shared" si="2"/>
        <v>1.1826857348152904</v>
      </c>
      <c r="BH11" s="28">
        <f t="shared" si="2"/>
        <v>1.1091841765967365</v>
      </c>
      <c r="BI11" s="28">
        <f t="shared" si="2"/>
        <v>1.2197127653305595</v>
      </c>
      <c r="BJ11" s="28">
        <f t="shared" si="2"/>
        <v>1.1402779301995227</v>
      </c>
      <c r="BK11" s="28">
        <f t="shared" si="2"/>
        <v>1.0615680295012559</v>
      </c>
      <c r="BL11" s="28">
        <f t="shared" si="2"/>
        <v>1.0639870503754214</v>
      </c>
      <c r="BM11" s="28">
        <f t="shared" si="2"/>
        <v>1.0570687933356118</v>
      </c>
      <c r="BN11" s="28">
        <f t="shared" si="2"/>
        <v>1.0515277289558533</v>
      </c>
      <c r="BO11" s="28">
        <f t="shared" si="2"/>
        <v>1.0930359000886882</v>
      </c>
      <c r="BP11" s="28">
        <f t="shared" si="2"/>
        <v>1.2784970520765024</v>
      </c>
      <c r="BQ11" s="28">
        <f t="shared" si="2"/>
        <v>1.2742318193003703</v>
      </c>
      <c r="BR11" s="28">
        <f t="shared" ref="BR11:CJ11" si="3">BR9*BR10</f>
        <v>1.3886671411496077</v>
      </c>
      <c r="BS11" s="28" t="e">
        <f t="shared" si="3"/>
        <v>#DIV/0!</v>
      </c>
      <c r="BT11" s="28" t="e">
        <f t="shared" si="3"/>
        <v>#DIV/0!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c r="A12" s="156" t="s">
        <v>434</v>
      </c>
      <c r="E12" s="156">
        <f>E2/股权价值增加表!E38</f>
        <v>0.83147705671892802</v>
      </c>
      <c r="F12" s="156">
        <f>F2/股权价值增加表!F38</f>
        <v>0.8352711120960794</v>
      </c>
      <c r="G12" s="156">
        <f>G2/股权价值增加表!G38</f>
        <v>0.83588589987242179</v>
      </c>
      <c r="H12" s="156">
        <f>H2/股权价值增加表!H38</f>
        <v>0.8391385975897877</v>
      </c>
      <c r="I12" s="156">
        <f>I2/股权价值增加表!I38</f>
        <v>0.8012607837686303</v>
      </c>
      <c r="J12" s="156">
        <f>J2/股权价值增加表!J38</f>
        <v>0.7158404959971697</v>
      </c>
      <c r="K12" s="156">
        <f>K2/股权价值增加表!K38</f>
        <v>0.71769731291943439</v>
      </c>
      <c r="L12" s="156">
        <f>L2/股权价值增加表!L38</f>
        <v>0.74037702249229453</v>
      </c>
      <c r="M12" s="156">
        <f>M2/股权价值增加表!M38</f>
        <v>0.74395142383672275</v>
      </c>
      <c r="N12" s="156">
        <f>N2/股权价值增加表!N38</f>
        <v>0.74902134180520352</v>
      </c>
      <c r="O12" s="156">
        <f>O2/股权价值增加表!O38</f>
        <v>0.74950238416000892</v>
      </c>
      <c r="P12" s="156">
        <f>P2/股权价值增加表!P38</f>
        <v>0.75149814022417993</v>
      </c>
      <c r="Q12" s="156">
        <f>Q2/股权价值增加表!Q38</f>
        <v>0.7335286464606745</v>
      </c>
      <c r="R12" s="156">
        <f>R2/股权价值增加表!R38</f>
        <v>0.74295623016507595</v>
      </c>
      <c r="S12" s="156">
        <f>S2/股权价值增加表!S38</f>
        <v>0.74726635801394636</v>
      </c>
      <c r="T12" s="156">
        <f>T2/股权价值增加表!T38</f>
        <v>0.74076173787266208</v>
      </c>
      <c r="U12" s="156">
        <f>U2/股权价值增加表!U38</f>
        <v>0.7337277488906605</v>
      </c>
      <c r="V12" s="156">
        <f>V2/股权价值增加表!V38</f>
        <v>0.76761235155755314</v>
      </c>
      <c r="W12" s="156">
        <f>W2/股权价值增加表!W38</f>
        <v>0.75835911063050154</v>
      </c>
      <c r="X12" s="156">
        <f>X2/股权价值增加表!X38</f>
        <v>0.76492376495627612</v>
      </c>
      <c r="Y12" s="156">
        <f>Y2/股权价值增加表!Y38</f>
        <v>0.74431518156206156</v>
      </c>
      <c r="Z12" s="156">
        <f>Z2/股权价值增加表!Z38</f>
        <v>0.7422831725966238</v>
      </c>
      <c r="AA12" s="156">
        <f>AA2/股权价值增加表!AA38</f>
        <v>0.74108400394537044</v>
      </c>
      <c r="AB12" s="156">
        <f>AB2/股权价值增加表!AB38</f>
        <v>0.75187965470699725</v>
      </c>
      <c r="AC12" s="156">
        <f>AC2/股权价值增加表!AC38</f>
        <v>0.79088342749272611</v>
      </c>
      <c r="AD12" s="156">
        <f>AD2/股权价值增加表!AD38</f>
        <v>0.78594702842274822</v>
      </c>
      <c r="AE12" s="156">
        <f>AE2/股权价值增加表!AE38</f>
        <v>0.80331114075484211</v>
      </c>
      <c r="AF12" s="156">
        <f>AF2/股权价值增加表!AF38</f>
        <v>0.74500012373071456</v>
      </c>
      <c r="AG12" s="156">
        <f>AG2/股权价值增加表!AG38</f>
        <v>0.82730930424174942</v>
      </c>
      <c r="AH12" s="156">
        <f>AH2/股权价值增加表!AH38</f>
        <v>0.83831483207891411</v>
      </c>
      <c r="AI12" s="156">
        <f>AI2/股权价值增加表!AI38</f>
        <v>0.84448125788290584</v>
      </c>
      <c r="AJ12" s="156">
        <f>AJ2/股权价值增加表!AJ38</f>
        <v>0.84969402922300885</v>
      </c>
      <c r="AK12" s="156">
        <f>AK2/股权价值增加表!AK38</f>
        <v>0.83465772101798086</v>
      </c>
      <c r="AL12" s="156">
        <f>AL2/股权价值增加表!AL38</f>
        <v>0.8222591242544588</v>
      </c>
      <c r="AM12" s="156">
        <f>AM2/股权价值增加表!AM38</f>
        <v>0.82528818642019486</v>
      </c>
      <c r="AN12" s="156">
        <f>AN2/股权价值增加表!AN38</f>
        <v>0.84845514503140507</v>
      </c>
      <c r="AO12" s="156">
        <f>AO2/股权价值增加表!AO38</f>
        <v>0.8469700936176402</v>
      </c>
      <c r="AP12" s="156">
        <f>AP2/股权价值增加表!AP38</f>
        <v>0.76963449270292073</v>
      </c>
      <c r="AQ12" s="156">
        <f>AQ2/股权价值增加表!AQ38</f>
        <v>0.78015851124931812</v>
      </c>
      <c r="AR12" s="156">
        <f>AR2/股权价值增加表!AR38</f>
        <v>0.74615105288500361</v>
      </c>
      <c r="AS12" s="156">
        <f>AS2/股权价值增加表!AS38</f>
        <v>0.69605205878725673</v>
      </c>
      <c r="AT12" s="156">
        <f>AT2/股权价值增加表!AT38</f>
        <v>0.94657861758857142</v>
      </c>
      <c r="AU12" s="156">
        <f>AU2/股权价值增加表!AU38</f>
        <v>0.70797423760017797</v>
      </c>
      <c r="AV12" s="156">
        <f>AV2/股权价值增加表!AV38</f>
        <v>0.7019036424950047</v>
      </c>
      <c r="AW12" s="156">
        <f>AW2/股权价值增加表!AW38</f>
        <v>0.65531360550161277</v>
      </c>
      <c r="AX12" s="156">
        <f>AX2/股权价值增加表!AX38</f>
        <v>0.70179832005704867</v>
      </c>
      <c r="AY12" s="156">
        <f>AY2/股权价值增加表!AY38</f>
        <v>0.71155110473253225</v>
      </c>
      <c r="AZ12" s="156">
        <f>AZ2/股权价值增加表!AZ38</f>
        <v>0.6779693662653834</v>
      </c>
      <c r="BA12" s="156">
        <f>BA2/股权价值增加表!BA38</f>
        <v>0.67803818773824054</v>
      </c>
      <c r="BB12" s="156">
        <f>BB2/股权价值增加表!BB38</f>
        <v>0.6835331365046784</v>
      </c>
      <c r="BC12" s="156">
        <f>BC2/股权价值增加表!BC38</f>
        <v>0.66894834461305208</v>
      </c>
      <c r="BD12" s="156">
        <f>BD2/股权价值增加表!BD38</f>
        <v>0.67366889765624627</v>
      </c>
      <c r="BE12" s="156">
        <f>BE2/股权价值增加表!BE38</f>
        <v>0.65154535949346326</v>
      </c>
      <c r="BF12" s="156">
        <f>BF2/股权价值增加表!BF38</f>
        <v>0.67089080241830379</v>
      </c>
      <c r="BG12" s="156">
        <f>BG2/股权价值增加表!BG38</f>
        <v>0.66070982991489591</v>
      </c>
      <c r="BH12" s="156">
        <f>BH2/股权价值增加表!BH38</f>
        <v>0.66299296664445251</v>
      </c>
      <c r="BI12" s="156">
        <f>BI2/股权价值增加表!BI38</f>
        <v>0.65438401528588896</v>
      </c>
      <c r="BJ12" s="156">
        <f>BJ2/股权价值增加表!BJ38</f>
        <v>0.6726697110215939</v>
      </c>
      <c r="BK12" s="156">
        <f>BK2/股权价值增加表!BK38</f>
        <v>0.67288820284952422</v>
      </c>
      <c r="BL12" s="156">
        <f>BL2/股权价值增加表!BL38</f>
        <v>0.65864815458131076</v>
      </c>
      <c r="BM12" s="156">
        <f>BM2/股权价值增加表!BM38</f>
        <v>0.70417054281416203</v>
      </c>
      <c r="BN12" s="156">
        <f>BN2/股权价值增加表!BN38</f>
        <v>0.69213487504996152</v>
      </c>
      <c r="BO12" s="156">
        <f>BO2/股权价值增加表!BO38</f>
        <v>0.68746454880830732</v>
      </c>
      <c r="BP12" s="156">
        <f>BP2/股权价值增加表!BP38</f>
        <v>0.6904523048794633</v>
      </c>
      <c r="BQ12" s="156">
        <f>BQ2/股权价值增加表!BQ38</f>
        <v>0.65212698041443107</v>
      </c>
      <c r="BR12" s="156">
        <f>BR2/股权价值增加表!BR38</f>
        <v>0.69123556318259705</v>
      </c>
      <c r="BS12" s="156">
        <f>BS2/股权价值增加表!BS38</f>
        <v>0.69302389257527253</v>
      </c>
      <c r="BT12" s="156" t="e">
        <f>BT2/股权价值增加表!BT38</f>
        <v>#DIV/0!</v>
      </c>
      <c r="BU12" s="156">
        <f>BU2/股权价值增加表!BU38</f>
        <v>-13.285141378045161</v>
      </c>
      <c r="BV12" s="156">
        <f>BV2/股权价值增加表!BV38</f>
        <v>-38.705149385866775</v>
      </c>
      <c r="BW12" s="156">
        <f>BW2/股权价值增加表!BW38</f>
        <v>-19.112527092609866</v>
      </c>
      <c r="BX12" s="156">
        <f>BX2/股权价值增加表!BX38</f>
        <v>-5.948062846312304</v>
      </c>
      <c r="BY12" s="156">
        <f>BY2/股权价值增加表!BY38</f>
        <v>-5.0894858138564683</v>
      </c>
      <c r="BZ12" s="156">
        <f>BZ2/股权价值增加表!BZ38</f>
        <v>-10.640426755835241</v>
      </c>
      <c r="CA12" s="156">
        <f>CA2/股权价值增加表!CA38</f>
        <v>15.20372750495731</v>
      </c>
      <c r="CB12" s="156">
        <f>CB2/股权价值增加表!CB38</f>
        <v>8.8774211764848925</v>
      </c>
      <c r="CC12" s="156">
        <f>CC2/股权价值增加表!CC38</f>
        <v>9.6111449985966146</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c r="A13" s="17" t="s">
        <v>435</v>
      </c>
      <c r="E13" s="63">
        <f>1-E2/股权价值增加表!E38</f>
        <v>0.16852294328107198</v>
      </c>
      <c r="F13" s="63">
        <f>1-F2/股权价值增加表!F38</f>
        <v>0.1647288879039206</v>
      </c>
      <c r="G13" s="63">
        <f>1-G2/股权价值增加表!G38</f>
        <v>0.16411410012757821</v>
      </c>
      <c r="H13" s="63">
        <f>1-H2/股权价值增加表!H38</f>
        <v>0.1608614024102123</v>
      </c>
      <c r="I13" s="63">
        <f>1-I2/股权价值增加表!I38</f>
        <v>0.1987392162313697</v>
      </c>
      <c r="J13" s="63">
        <f>1-J2/股权价值增加表!J38</f>
        <v>0.2841595040028303</v>
      </c>
      <c r="K13" s="63">
        <f>1-K2/股权价值增加表!K38</f>
        <v>0.28230268708056561</v>
      </c>
      <c r="L13" s="63">
        <f>1-L2/股权价值增加表!L38</f>
        <v>0.25962297750770547</v>
      </c>
      <c r="M13" s="63">
        <f>1-M2/股权价值增加表!M38</f>
        <v>0.25604857616327725</v>
      </c>
      <c r="N13" s="63">
        <f>1-N2/股权价值增加表!N38</f>
        <v>0.25097865819479648</v>
      </c>
      <c r="O13" s="63">
        <f>1-O2/股权价值增加表!O38</f>
        <v>0.25049761583999108</v>
      </c>
      <c r="P13" s="63">
        <f>1-P2/股权价值增加表!P38</f>
        <v>0.24850185977582007</v>
      </c>
      <c r="Q13" s="63">
        <f>1-Q2/股权价值增加表!Q38</f>
        <v>0.2664713535393255</v>
      </c>
      <c r="R13" s="63">
        <f>1-R2/股权价值增加表!R38</f>
        <v>0.25704376983492405</v>
      </c>
      <c r="S13" s="63">
        <f>1-S2/股权价值增加表!S38</f>
        <v>0.25273364198605364</v>
      </c>
      <c r="T13" s="63">
        <f>1-T2/股权价值增加表!T38</f>
        <v>0.25923826212733792</v>
      </c>
      <c r="U13" s="63">
        <f>1-U2/股权价值增加表!U38</f>
        <v>0.2662722511093395</v>
      </c>
      <c r="V13" s="63">
        <f>1-V2/股权价值增加表!V38</f>
        <v>0.23238764844244686</v>
      </c>
      <c r="W13" s="63">
        <f>1-W2/股权价值增加表!W38</f>
        <v>0.24164088936949846</v>
      </c>
      <c r="X13" s="63">
        <f>1-X2/股权价值增加表!X38</f>
        <v>0.23507623504372388</v>
      </c>
      <c r="Y13" s="63">
        <f>1-Y2/股权价值增加表!Y38</f>
        <v>0.25568481843793844</v>
      </c>
      <c r="Z13" s="63">
        <f>1-Z2/股权价值增加表!Z38</f>
        <v>0.2577168274033762</v>
      </c>
      <c r="AA13" s="63">
        <f>1-AA2/股权价值增加表!AA38</f>
        <v>0.25891599605462956</v>
      </c>
      <c r="AB13" s="63">
        <f>1-AB2/股权价值增加表!AB38</f>
        <v>0.24812034529300275</v>
      </c>
      <c r="AC13" s="63">
        <f>1-AC2/股权价值增加表!AC38</f>
        <v>0.20911657250727389</v>
      </c>
      <c r="AD13" s="63">
        <f>1-AD2/股权价值增加表!AD38</f>
        <v>0.21405297157725178</v>
      </c>
      <c r="AE13" s="63">
        <f>1-AE2/股权价值增加表!AE38</f>
        <v>0.19668885924515789</v>
      </c>
      <c r="AF13" s="63">
        <f>1-AF2/股权价值增加表!AF38</f>
        <v>0.25499987626928544</v>
      </c>
      <c r="AG13" s="63">
        <f>1-AG2/股权价值增加表!AG38</f>
        <v>0.17269069575825058</v>
      </c>
      <c r="AH13" s="63">
        <f>1-AH2/股权价值增加表!AH38</f>
        <v>0.16168516792108589</v>
      </c>
      <c r="AI13" s="63">
        <f>1-AI2/股权价值增加表!AI38</f>
        <v>0.15551874211709416</v>
      </c>
      <c r="AJ13" s="63">
        <f>1-AJ2/股权价值增加表!AJ38</f>
        <v>0.15030597077699115</v>
      </c>
      <c r="AK13" s="63">
        <f>1-AK2/股权价值增加表!AK38</f>
        <v>0.16534227898201914</v>
      </c>
      <c r="AL13" s="63">
        <f>1-AL2/股权价值增加表!AL38</f>
        <v>0.1777408757455412</v>
      </c>
      <c r="AM13" s="63">
        <f>1-AM2/股权价值增加表!AM38</f>
        <v>0.17471181357980514</v>
      </c>
      <c r="AN13" s="63">
        <f>1-AN2/股权价值增加表!AN38</f>
        <v>0.15154485496859493</v>
      </c>
      <c r="AO13" s="63">
        <f>1-AO2/股权价值增加表!AO38</f>
        <v>0.1530299063823598</v>
      </c>
      <c r="AP13" s="63">
        <f>1-AP2/股权价值增加表!AP38</f>
        <v>0.23036550729707927</v>
      </c>
      <c r="AQ13" s="63">
        <f>1-AQ2/股权价值增加表!AQ38</f>
        <v>0.21984148875068188</v>
      </c>
      <c r="AR13" s="63">
        <f>1-AR2/股权价值增加表!AR38</f>
        <v>0.25384894711499639</v>
      </c>
      <c r="AS13" s="63">
        <f>1-AS2/股权价值增加表!AS38</f>
        <v>0.30394794121274327</v>
      </c>
      <c r="AT13" s="63">
        <f>1-AT2/股权价值增加表!AT38</f>
        <v>5.3421382411428575E-2</v>
      </c>
      <c r="AU13" s="63">
        <f>1-AU2/股权价值增加表!AU38</f>
        <v>0.29202576239982203</v>
      </c>
      <c r="AV13" s="63">
        <f>1-AV2/股权价值增加表!AV38</f>
        <v>0.2980963575049953</v>
      </c>
      <c r="AW13" s="63">
        <f>1-AW2/股权价值增加表!AW38</f>
        <v>0.34468639449838723</v>
      </c>
      <c r="AX13" s="63">
        <f>1-AX2/股权价值增加表!AX38</f>
        <v>0.29820167994295133</v>
      </c>
      <c r="AY13" s="63">
        <f>1-AY2/股权价值增加表!AY38</f>
        <v>0.28844889526746775</v>
      </c>
      <c r="AZ13" s="63">
        <f>1-AZ2/股权价值增加表!AZ38</f>
        <v>0.3220306337346166</v>
      </c>
      <c r="BA13" s="63">
        <f>1-BA2/股权价值增加表!BA38</f>
        <v>0.32196181226175946</v>
      </c>
      <c r="BB13" s="63">
        <f>1-BB2/股权价值增加表!BB38</f>
        <v>0.3164668634953216</v>
      </c>
      <c r="BC13" s="63">
        <f>1-BC2/股权价值增加表!BC38</f>
        <v>0.33105165538694792</v>
      </c>
      <c r="BD13" s="63">
        <f>1-BD2/股权价值增加表!BD38</f>
        <v>0.32633110234375373</v>
      </c>
      <c r="BE13" s="63">
        <f>1-BE2/股权价值增加表!BE38</f>
        <v>0.34845464050653674</v>
      </c>
      <c r="BF13" s="63">
        <f>1-BF2/股权价值增加表!BF38</f>
        <v>0.32910919758169621</v>
      </c>
      <c r="BG13" s="63">
        <f>1-BG2/股权价值增加表!BG38</f>
        <v>0.33929017008510409</v>
      </c>
      <c r="BH13" s="63">
        <f>1-BH2/股权价值增加表!BH38</f>
        <v>0.33700703335554749</v>
      </c>
      <c r="BI13" s="63">
        <f>1-BI2/股权价值增加表!BI38</f>
        <v>0.34561598471411104</v>
      </c>
      <c r="BJ13" s="63">
        <f>1-BJ2/股权价值增加表!BJ38</f>
        <v>0.3273302889784061</v>
      </c>
      <c r="BK13" s="63">
        <f>1-BK2/股权价值增加表!BK38</f>
        <v>0.32711179715047578</v>
      </c>
      <c r="BL13" s="63">
        <f>1-BL2/股权价值增加表!BL38</f>
        <v>0.34135184541868924</v>
      </c>
      <c r="BM13" s="63">
        <f>1-BM2/股权价值增加表!BM38</f>
        <v>0.29582945718583797</v>
      </c>
      <c r="BN13" s="63">
        <f>1-BN2/股权价值增加表!BN38</f>
        <v>0.30786512495003848</v>
      </c>
      <c r="BO13" s="63">
        <f>1-BO2/股权价值增加表!BO38</f>
        <v>0.31253545119169268</v>
      </c>
      <c r="BP13" s="63">
        <f>1-BP2/股权价值增加表!BP38</f>
        <v>0.3095476951205367</v>
      </c>
      <c r="BQ13" s="63">
        <f>1-BQ2/股权价值增加表!BQ38</f>
        <v>0.34787301958556893</v>
      </c>
      <c r="BR13" s="63">
        <f>1-BR2/股权价值增加表!BR38</f>
        <v>0.30876443681740295</v>
      </c>
      <c r="BS13" s="63">
        <f>1-BS2/股权价值增加表!BS38</f>
        <v>0.30697610742472747</v>
      </c>
      <c r="BT13" s="63" t="e">
        <f>1-BT2/股权价值增加表!BT38</f>
        <v>#DIV/0!</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44" t="s">
        <v>436</v>
      </c>
      <c r="E14" s="59">
        <f>E6*E7*E9*E10*E12</f>
        <v>7.2077845732550466E-2</v>
      </c>
      <c r="F14" s="59">
        <f t="shared" ref="F14:BQ14" si="4">F6*F7*F9*F10*F12</f>
        <v>6.2072122964007208E-2</v>
      </c>
      <c r="G14" s="59">
        <f t="shared" si="4"/>
        <v>4.2373426828492038E-2</v>
      </c>
      <c r="H14" s="59">
        <f t="shared" si="4"/>
        <v>2.0830460994240359E-2</v>
      </c>
      <c r="I14" s="59">
        <f t="shared" si="4"/>
        <v>6.6511524726907384E-2</v>
      </c>
      <c r="J14" s="59">
        <f t="shared" si="4"/>
        <v>5.5726485728947499E-2</v>
      </c>
      <c r="K14" s="59">
        <f t="shared" si="4"/>
        <v>3.7662630871507077E-2</v>
      </c>
      <c r="L14" s="59">
        <f t="shared" si="4"/>
        <v>1.7243156660175167E-2</v>
      </c>
      <c r="M14" s="59">
        <f t="shared" si="4"/>
        <v>6.5765364249506644E-2</v>
      </c>
      <c r="N14" s="59">
        <f t="shared" si="4"/>
        <v>5.1317448859357899E-2</v>
      </c>
      <c r="O14" s="59">
        <f t="shared" si="4"/>
        <v>3.3618582853814832E-2</v>
      </c>
      <c r="P14" s="59">
        <f t="shared" si="4"/>
        <v>1.4925611300428618E-2</v>
      </c>
      <c r="Q14" s="59">
        <f t="shared" si="4"/>
        <v>5.7943841139203506E-2</v>
      </c>
      <c r="R14" s="59">
        <f t="shared" si="4"/>
        <v>4.605474404122166E-2</v>
      </c>
      <c r="S14" s="59">
        <f t="shared" si="4"/>
        <v>3.2783507111004896E-2</v>
      </c>
      <c r="T14" s="59">
        <f t="shared" si="4"/>
        <v>1.4525860551843052E-2</v>
      </c>
      <c r="U14" s="59">
        <f t="shared" si="4"/>
        <v>5.7043895036248717E-2</v>
      </c>
      <c r="V14" s="59">
        <f t="shared" si="4"/>
        <v>5.0861888446462042E-2</v>
      </c>
      <c r="W14" s="59">
        <f t="shared" si="4"/>
        <v>3.4087057250347441E-2</v>
      </c>
      <c r="X14" s="59">
        <f t="shared" si="4"/>
        <v>1.5926174096984339E-2</v>
      </c>
      <c r="Y14" s="59">
        <f t="shared" si="4"/>
        <v>6.073362976031664E-2</v>
      </c>
      <c r="Z14" s="59">
        <f t="shared" si="4"/>
        <v>5.0017375493427441E-2</v>
      </c>
      <c r="AA14" s="59">
        <f t="shared" si="4"/>
        <v>3.3452282946461194E-2</v>
      </c>
      <c r="AB14" s="59">
        <f t="shared" si="4"/>
        <v>1.4794870983491661E-2</v>
      </c>
      <c r="AC14" s="59">
        <f t="shared" si="4"/>
        <v>6.9812210218231266E-2</v>
      </c>
      <c r="AD14" s="59">
        <f t="shared" si="4"/>
        <v>6.2225411898484961E-2</v>
      </c>
      <c r="AE14" s="59">
        <f t="shared" si="4"/>
        <v>4.6454434497047274E-2</v>
      </c>
      <c r="AF14" s="59">
        <f t="shared" si="4"/>
        <v>2.2109356559109915E-2</v>
      </c>
      <c r="AG14" s="59">
        <f t="shared" si="4"/>
        <v>9.6971029274918963E-2</v>
      </c>
      <c r="AH14" s="59">
        <f t="shared" si="4"/>
        <v>8.2716293682513584E-2</v>
      </c>
      <c r="AI14" s="59">
        <f t="shared" si="4"/>
        <v>5.6348980191505867E-2</v>
      </c>
      <c r="AJ14" s="59">
        <f t="shared" si="4"/>
        <v>2.6935183763396129E-2</v>
      </c>
      <c r="AK14" s="59">
        <f t="shared" si="4"/>
        <v>8.8753505647797146E-2</v>
      </c>
      <c r="AL14" s="59">
        <f t="shared" si="4"/>
        <v>7.1050277603308468E-2</v>
      </c>
      <c r="AM14" s="59">
        <f t="shared" si="4"/>
        <v>4.9213229326741763E-2</v>
      </c>
      <c r="AN14" s="59">
        <f t="shared" si="4"/>
        <v>2.4148524694621542E-2</v>
      </c>
      <c r="AO14" s="59">
        <f t="shared" si="4"/>
        <v>9.0317403421952894E-2</v>
      </c>
      <c r="AP14" s="59">
        <f t="shared" si="4"/>
        <v>7.0331716104521935E-2</v>
      </c>
      <c r="AQ14" s="59">
        <f t="shared" si="4"/>
        <v>4.8334709941935831E-2</v>
      </c>
      <c r="AR14" s="59">
        <f t="shared" si="4"/>
        <v>2.2048593389777531E-2</v>
      </c>
      <c r="AS14" s="59">
        <f t="shared" si="4"/>
        <v>8.4103859510166329E-2</v>
      </c>
      <c r="AT14" s="59">
        <f t="shared" si="4"/>
        <v>0.46733716996871677</v>
      </c>
      <c r="AU14" s="59">
        <f t="shared" si="4"/>
        <v>4.3078123491982E-2</v>
      </c>
      <c r="AV14" s="59">
        <f t="shared" si="4"/>
        <v>1.8999488195628252E-2</v>
      </c>
      <c r="AW14" s="59">
        <f t="shared" si="4"/>
        <v>9.5708884086753265E-2</v>
      </c>
      <c r="AX14" s="59">
        <f t="shared" si="4"/>
        <v>7.9386139281952497E-2</v>
      </c>
      <c r="AY14" s="59">
        <f t="shared" si="4"/>
        <v>5.3610345309540626E-2</v>
      </c>
      <c r="AZ14" s="59">
        <f t="shared" si="4"/>
        <v>2.4733301134742404E-2</v>
      </c>
      <c r="BA14" s="59">
        <f t="shared" si="4"/>
        <v>9.3911810027423104E-2</v>
      </c>
      <c r="BB14" s="59">
        <f t="shared" si="4"/>
        <v>7.2846637455473401E-2</v>
      </c>
      <c r="BC14" s="59">
        <f t="shared" si="4"/>
        <v>4.9632503464535377E-2</v>
      </c>
      <c r="BD14" s="59">
        <f t="shared" si="4"/>
        <v>2.4915875502222407E-2</v>
      </c>
      <c r="BE14" s="59">
        <f t="shared" si="4"/>
        <v>9.0279223012471849E-2</v>
      </c>
      <c r="BF14" s="59">
        <f t="shared" si="4"/>
        <v>6.8695324970695873E-2</v>
      </c>
      <c r="BG14" s="59">
        <f t="shared" si="4"/>
        <v>4.6133857270407745E-2</v>
      </c>
      <c r="BH14" s="59">
        <f t="shared" si="4"/>
        <v>2.1830850221452012E-2</v>
      </c>
      <c r="BI14" s="59">
        <f t="shared" si="4"/>
        <v>0.10482058260958174</v>
      </c>
      <c r="BJ14" s="59">
        <f t="shared" si="4"/>
        <v>7.2956608585940677E-2</v>
      </c>
      <c r="BK14" s="59">
        <f t="shared" si="4"/>
        <v>4.8243814758203975E-2</v>
      </c>
      <c r="BL14" s="59">
        <f t="shared" si="4"/>
        <v>1.8832283052951471E-2</v>
      </c>
      <c r="BM14" s="59">
        <f t="shared" si="4"/>
        <v>8.8954566270634639E-2</v>
      </c>
      <c r="BN14" s="59">
        <f t="shared" si="4"/>
        <v>6.3303346797046495E-2</v>
      </c>
      <c r="BO14" s="59">
        <f t="shared" si="4"/>
        <v>4.3577266447917103E-2</v>
      </c>
      <c r="BP14" s="59">
        <f t="shared" si="4"/>
        <v>0.18348374857564839</v>
      </c>
      <c r="BQ14" s="59">
        <f t="shared" si="4"/>
        <v>0.10220329916099859</v>
      </c>
      <c r="BR14" s="59">
        <f t="shared" ref="BR14:CJ14" si="5">BR6*BR7*BR9*BR10*BR12</f>
        <v>0.19358963488118935</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c r="A15" s="277" t="s">
        <v>696</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row r="18" spans="1:89" s="248" customFormat="1">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37256</v>
      </c>
      <c r="BQ18" s="1">
        <v>37072</v>
      </c>
      <c r="BR18" s="1">
        <v>36891</v>
      </c>
      <c r="BS18" s="1">
        <v>36525</v>
      </c>
      <c r="BT18" s="1">
        <v>25569</v>
      </c>
      <c r="BU18" s="1"/>
      <c r="BV18" s="1"/>
      <c r="BW18" s="1"/>
      <c r="BX18" s="1"/>
      <c r="BY18" s="1"/>
      <c r="BZ18" s="1"/>
      <c r="CA18" s="1"/>
      <c r="CB18" s="1"/>
      <c r="CC18" s="1"/>
      <c r="CD18" s="1"/>
      <c r="CE18" s="1"/>
      <c r="CF18" s="1"/>
      <c r="CG18" s="1"/>
      <c r="CH18" s="1"/>
      <c r="CI18" s="1"/>
      <c r="CJ18" s="1"/>
      <c r="CK18" s="1"/>
    </row>
    <row r="19" spans="1:89" s="115" customFormat="1">
      <c r="A19" s="157" t="s">
        <v>446</v>
      </c>
      <c r="B19" s="76">
        <v>43373</v>
      </c>
      <c r="C19" s="76">
        <v>43281</v>
      </c>
      <c r="D19" s="76">
        <v>43190</v>
      </c>
      <c r="E19" s="76">
        <f>股权价值增加表!E4</f>
        <v>2330488351.6700001</v>
      </c>
      <c r="F19" s="76">
        <f>股权价值增加表!F4</f>
        <v>1704720603.5799999</v>
      </c>
      <c r="G19" s="76">
        <f>股权价值增加表!G4</f>
        <v>1150037339.97</v>
      </c>
      <c r="H19" s="76">
        <f>股权价值增加表!H4</f>
        <v>574570999.27999997</v>
      </c>
      <c r="I19" s="76">
        <f>股权价值增加表!I4</f>
        <v>2057473059.6500001</v>
      </c>
      <c r="J19" s="76">
        <f>股权价值增加表!J4</f>
        <v>1447732454.8499999</v>
      </c>
      <c r="K19" s="76">
        <f>股权价值增加表!K4</f>
        <v>971033253.88</v>
      </c>
      <c r="L19" s="76">
        <f>股权价值增加表!L4</f>
        <v>450581543.13999999</v>
      </c>
      <c r="M19" s="76">
        <f>股权价值增加表!M4</f>
        <v>1723207165.99</v>
      </c>
      <c r="N19" s="76">
        <f>股权价值增加表!N4</f>
        <v>1310745450.45</v>
      </c>
      <c r="O19" s="76">
        <f>股权价值增加表!O4</f>
        <v>892965130.71000004</v>
      </c>
      <c r="P19" s="76">
        <f>股权价值增加表!P4</f>
        <v>415868291.43000001</v>
      </c>
      <c r="Q19" s="76">
        <f>股权价值增加表!Q4</f>
        <v>1691112456.28</v>
      </c>
      <c r="R19" s="76">
        <f>股权价值增加表!R4</f>
        <v>1230791444.55</v>
      </c>
      <c r="S19" s="76">
        <f>股权价值增加表!S4</f>
        <v>813544477.90999997</v>
      </c>
      <c r="T19" s="76">
        <f>股权价值增加表!T4</f>
        <v>390024307.39999998</v>
      </c>
      <c r="U19" s="76">
        <f>股权价值增加表!U4</f>
        <v>1544544952.0599999</v>
      </c>
      <c r="V19" s="76">
        <f>股权价值增加表!V4</f>
        <v>1122396553.02</v>
      </c>
      <c r="W19" s="76">
        <f>股权价值增加表!W4</f>
        <v>758927999.57000005</v>
      </c>
      <c r="X19" s="76">
        <f>股权价值增加表!X4</f>
        <v>357205871.04000002</v>
      </c>
      <c r="Y19" s="76">
        <f>股权价值增加表!Y4</f>
        <v>1468092831.3699999</v>
      </c>
      <c r="Z19" s="76">
        <f>股权价值增加表!Z4</f>
        <v>1071348975.9400001</v>
      </c>
      <c r="AA19" s="76">
        <f>股权价值增加表!AA4</f>
        <v>712807830.32000005</v>
      </c>
      <c r="AB19" s="76">
        <f>股权价值增加表!AB4</f>
        <v>327266570.35000002</v>
      </c>
      <c r="AC19" s="76">
        <f>股权价值增加表!AC4</f>
        <v>1397177995.0899999</v>
      </c>
      <c r="AD19" s="76">
        <f>股权价值增加表!AD4</f>
        <v>1078566017.5699999</v>
      </c>
      <c r="AE19" s="76">
        <f>股权价值增加表!AE4</f>
        <v>740726211.59000003</v>
      </c>
      <c r="AF19" s="76">
        <f>股权价值增加表!AF4</f>
        <v>374073213.12</v>
      </c>
      <c r="AG19" s="76">
        <f>股权价值增加表!AG4</f>
        <v>1513418307.2</v>
      </c>
      <c r="AH19" s="76">
        <f>股权价值增加表!AH4</f>
        <v>1059696048.1799999</v>
      </c>
      <c r="AI19" s="76">
        <f>股权价值增加表!AI4</f>
        <v>704411712.97000003</v>
      </c>
      <c r="AJ19" s="76">
        <f>股权价值增加表!AJ4</f>
        <v>336232983.76999998</v>
      </c>
      <c r="AK19" s="76">
        <f>股权价值增加表!AK4</f>
        <v>1242158522.8800001</v>
      </c>
      <c r="AL19" s="76">
        <f>股权价值增加表!AL4</f>
        <v>858937268.99000001</v>
      </c>
      <c r="AM19" s="76">
        <f>股权价值增加表!AM4</f>
        <v>562273598.74000001</v>
      </c>
      <c r="AN19" s="76">
        <f>股权价值增加表!AN4</f>
        <v>266084878.52000001</v>
      </c>
      <c r="AO19" s="76">
        <f>股权价值增加表!AO4</f>
        <v>1158292067.4300001</v>
      </c>
      <c r="AP19" s="76">
        <f>股权价值增加表!AP4</f>
        <v>895209049.78999996</v>
      </c>
      <c r="AQ19" s="76">
        <f>股权价值增加表!AQ4</f>
        <v>566191025.21000004</v>
      </c>
      <c r="AR19" s="76">
        <f>股权价值增加表!AR4</f>
        <v>252070387.78999999</v>
      </c>
      <c r="AS19" s="76">
        <f>股权价值增加表!AS4</f>
        <v>1012129757.92</v>
      </c>
      <c r="AT19" s="76">
        <f>股权价值增加表!AT4</f>
        <v>746141351.75999999</v>
      </c>
      <c r="AU19" s="76">
        <f>股权价值增加表!AU4</f>
        <v>484537373.37</v>
      </c>
      <c r="AV19" s="76">
        <f>股权价值增加表!AV4</f>
        <v>223429170.63999999</v>
      </c>
      <c r="AW19" s="76">
        <f>股权价值增加表!AW4</f>
        <v>826714232.19000006</v>
      </c>
      <c r="AX19" s="76">
        <f>股权价值增加表!AX4</f>
        <v>604132127.04999995</v>
      </c>
      <c r="AY19" s="76">
        <f>股权价值增加表!AY4</f>
        <v>397478607.14999998</v>
      </c>
      <c r="AZ19" s="76">
        <f>股权价值增加表!AZ4</f>
        <v>206387131.80000001</v>
      </c>
      <c r="BA19" s="76">
        <f>股权价值增加表!BA4</f>
        <v>672138979.24000001</v>
      </c>
      <c r="BB19" s="76">
        <f>股权价值增加表!BB4</f>
        <v>487785389.63999999</v>
      </c>
      <c r="BC19" s="76">
        <f>股权价值增加表!BC4</f>
        <v>325059703.41000003</v>
      </c>
      <c r="BD19" s="76">
        <f>股权价值增加表!BD4</f>
        <v>152709264.69999999</v>
      </c>
      <c r="BE19" s="76">
        <f>股权价值增加表!BE4</f>
        <v>560177649.26999998</v>
      </c>
      <c r="BF19" s="76">
        <f>股权价值增加表!BF4</f>
        <v>400883377.24000001</v>
      </c>
      <c r="BG19" s="76">
        <f>股权价值增加表!BG4</f>
        <v>266980572.90000001</v>
      </c>
      <c r="BH19" s="76">
        <f>股权价值增加表!BH4</f>
        <v>133017428.58</v>
      </c>
      <c r="BI19" s="76">
        <f>股权价值增加表!BI4</f>
        <v>467989529.66000003</v>
      </c>
      <c r="BJ19" s="76">
        <f>股权价值增加表!BJ4</f>
        <v>349199614.76999998</v>
      </c>
      <c r="BK19" s="76">
        <f>股权价值增加表!BK4</f>
        <v>236419705.41999999</v>
      </c>
      <c r="BL19" s="76">
        <f>股权价值增加表!BL4</f>
        <v>91150481.840000004</v>
      </c>
      <c r="BM19" s="76">
        <f>股权价值增加表!BM4</f>
        <v>422318260.42000002</v>
      </c>
      <c r="BN19" s="76">
        <f>股权价值增加表!BN4</f>
        <v>293379263.36000001</v>
      </c>
      <c r="BO19" s="76">
        <f>股权价值增加表!BO4</f>
        <v>187830345.75999999</v>
      </c>
      <c r="BP19" s="76">
        <f>股权价值增加表!BP4</f>
        <v>350108854.74000001</v>
      </c>
      <c r="BQ19" s="76">
        <f>股权价值增加表!BQ4</f>
        <v>160917980.02000001</v>
      </c>
      <c r="BR19" s="76">
        <f>股权价值增加表!BR4</f>
        <v>293114742.19</v>
      </c>
      <c r="BS19" s="76">
        <f>股权价值增加表!BS4</f>
        <v>231107107.62</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57" t="s">
        <v>447</v>
      </c>
      <c r="E20" s="76">
        <f>股权价值增加表!E15</f>
        <v>298165037.69000012</v>
      </c>
      <c r="F20" s="76">
        <f>股权价值增加表!F15</f>
        <v>233777558.64999989</v>
      </c>
      <c r="G20" s="76">
        <f>股权价值增加表!G15</f>
        <v>154385890.26000002</v>
      </c>
      <c r="H20" s="76">
        <f>股权价值增加表!H15</f>
        <v>75506518.679999933</v>
      </c>
      <c r="I20" s="76">
        <f>股权价值增加表!I15</f>
        <v>219153506.98000002</v>
      </c>
      <c r="J20" s="76">
        <f>股权价值增加表!J15</f>
        <v>174135746.55999988</v>
      </c>
      <c r="K20" s="76">
        <f>股权价值增加表!K15</f>
        <v>115612533.79000001</v>
      </c>
      <c r="L20" s="76">
        <f>股权价值增加表!L15</f>
        <v>50783813.919999987</v>
      </c>
      <c r="M20" s="76">
        <f>股权价值增加表!M15</f>
        <v>187579033.93999988</v>
      </c>
      <c r="N20" s="76">
        <f>股权价值增加表!N15</f>
        <v>148858345.13000003</v>
      </c>
      <c r="O20" s="76">
        <f>股权价值增加表!O15</f>
        <v>95247502.910000056</v>
      </c>
      <c r="P20" s="76">
        <f>股权价值增加表!P15</f>
        <v>43262817.460000016</v>
      </c>
      <c r="Q20" s="76">
        <f>股权价值增加表!Q15</f>
        <v>169693944.40000004</v>
      </c>
      <c r="R20" s="76">
        <f>股权价值增加表!R15</f>
        <v>132862066.88999994</v>
      </c>
      <c r="S20" s="76">
        <f>股权价值增加表!S15</f>
        <v>91471762.789999992</v>
      </c>
      <c r="T20" s="76">
        <f>股权价值增加表!T15</f>
        <v>41488978.469999991</v>
      </c>
      <c r="U20" s="76">
        <f>股权价值增加表!U15</f>
        <v>173109460.62999988</v>
      </c>
      <c r="V20" s="76">
        <f>股权价值增加表!V15</f>
        <v>141248930.54000002</v>
      </c>
      <c r="W20" s="76">
        <f>股权价值增加表!W15</f>
        <v>94777077.440000102</v>
      </c>
      <c r="X20" s="76">
        <f>股权价值增加表!X15</f>
        <v>43953235.650000028</v>
      </c>
      <c r="Y20" s="76">
        <f>股权价值增加表!Y15</f>
        <v>164708018.79999995</v>
      </c>
      <c r="Z20" s="76">
        <f>股权价值增加表!Z15</f>
        <v>132087051.58000009</v>
      </c>
      <c r="AA20" s="76">
        <f>股权价值增加表!AA15</f>
        <v>86746943.600000039</v>
      </c>
      <c r="AB20" s="76">
        <f>股权价值增加表!AB15</f>
        <v>37861068.900000006</v>
      </c>
      <c r="AC20" s="76">
        <f>股权价值增加表!AC15</f>
        <v>164265918.77999991</v>
      </c>
      <c r="AD20" s="76">
        <f>股权价值增加表!AD15</f>
        <v>142886691.66999999</v>
      </c>
      <c r="AE20" s="76">
        <f>股权价值增加表!AE15</f>
        <v>101746684.65000007</v>
      </c>
      <c r="AF20" s="76">
        <f>股权价值增加表!AF15</f>
        <v>54528911.100000001</v>
      </c>
      <c r="AG20" s="76">
        <f>股权价值增加表!AG15</f>
        <v>211491509.18000007</v>
      </c>
      <c r="AH20" s="76">
        <f>股权价值增加表!AH15</f>
        <v>174444458.89999995</v>
      </c>
      <c r="AI20" s="76">
        <f>股权价值增加表!AI15</f>
        <v>114105719.77000004</v>
      </c>
      <c r="AJ20" s="76">
        <f>股权价值增加表!AJ15</f>
        <v>53674389.279999971</v>
      </c>
      <c r="AK20" s="76">
        <f>股权价值增加表!AK15</f>
        <v>173509996.91000015</v>
      </c>
      <c r="AL20" s="76">
        <f>股权价值增加表!AL15</f>
        <v>133135689.68999994</v>
      </c>
      <c r="AM20" s="76">
        <f>股权价值增加表!AM15</f>
        <v>87898813.559999973</v>
      </c>
      <c r="AN20" s="76">
        <f>股权价值增加表!AN15</f>
        <v>44374871.230000019</v>
      </c>
      <c r="AO20" s="76">
        <f>股权价值增加表!AO15</f>
        <v>164134375.39000002</v>
      </c>
      <c r="AP20" s="76">
        <f>股权价值增加表!AP15</f>
        <v>135194926.36999992</v>
      </c>
      <c r="AQ20" s="76">
        <f>股权价值增加表!AQ15</f>
        <v>88222189.900000051</v>
      </c>
      <c r="AR20" s="76">
        <f>股权价值增加表!AR15</f>
        <v>39547084.32</v>
      </c>
      <c r="AS20" s="76">
        <f>股权价值增加表!AS15</f>
        <v>164339206.73999995</v>
      </c>
      <c r="AT20" s="76">
        <f>股权价值增加表!AT15</f>
        <v>640117581.46000004</v>
      </c>
      <c r="AU20" s="76">
        <f>股权价值增加表!AU15</f>
        <v>80541050.330000013</v>
      </c>
      <c r="AV20" s="76">
        <f>股权价值增加表!AV15</f>
        <v>36891883.199999988</v>
      </c>
      <c r="AW20" s="76">
        <f>股权价值增加表!AW15</f>
        <v>152104541.17000008</v>
      </c>
      <c r="AX20" s="76">
        <f>股权价值增加表!AX15</f>
        <v>115011953.59999993</v>
      </c>
      <c r="AY20" s="76">
        <f>股权价值增加表!AY15</f>
        <v>74549903.339999974</v>
      </c>
      <c r="AZ20" s="76">
        <f>股权价值增加表!AZ15</f>
        <v>36180462.309999995</v>
      </c>
      <c r="BA20" s="76">
        <f>股权价值增加表!BA15</f>
        <v>129905748.72000001</v>
      </c>
      <c r="BB20" s="76">
        <f>股权价值增加表!BB15</f>
        <v>97052169.910000011</v>
      </c>
      <c r="BC20" s="76">
        <f>股权价值增加表!BC15</f>
        <v>65827098.550000034</v>
      </c>
      <c r="BD20" s="76">
        <f>股权价值增加表!BD15</f>
        <v>32645388.669999987</v>
      </c>
      <c r="BE20" s="76">
        <f>股权价值增加表!BE15</f>
        <v>114529058.60999998</v>
      </c>
      <c r="BF20" s="76">
        <f>股权价值增加表!BF15</f>
        <v>81130515.14000003</v>
      </c>
      <c r="BG20" s="76">
        <f>股权价值增加表!BG15</f>
        <v>53225800.690000013</v>
      </c>
      <c r="BH20" s="76">
        <f>股权价值增加表!BH15</f>
        <v>25258925.049999997</v>
      </c>
      <c r="BI20" s="76">
        <f>股权价值增加表!BI15</f>
        <v>104188770.33000006</v>
      </c>
      <c r="BJ20" s="76">
        <f>股权价值增加表!BJ15</f>
        <v>74202212.24999997</v>
      </c>
      <c r="BK20" s="76">
        <f>股权价值增加表!BK15</f>
        <v>51447864.390000001</v>
      </c>
      <c r="BL20" s="76">
        <f>股权价值增加表!BL15</f>
        <v>20192689.510000005</v>
      </c>
      <c r="BM20" s="76">
        <f>股权价值增加表!BM15</f>
        <v>88123203.01000002</v>
      </c>
      <c r="BN20" s="76">
        <f>股权价值增加表!BN15</f>
        <v>62569296.900000021</v>
      </c>
      <c r="BO20" s="76">
        <f>股权价值增加表!BO15</f>
        <v>41842502.159999989</v>
      </c>
      <c r="BP20" s="76">
        <f>股权价值增加表!BP15</f>
        <v>66394244.170000032</v>
      </c>
      <c r="BQ20" s="76">
        <f>股权价值增加表!BQ15</f>
        <v>32235635.69000002</v>
      </c>
      <c r="BR20" s="76">
        <f>股权价值增加表!BR15</f>
        <v>49945561.210000016</v>
      </c>
      <c r="BS20" s="76">
        <f>股权价值增加表!BS15</f>
        <v>47239134.959999986</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c r="A21" s="232" t="s">
        <v>448</v>
      </c>
      <c r="E21" s="242">
        <f>E20/E19</f>
        <v>0.12794101179537698</v>
      </c>
      <c r="F21" s="242">
        <f t="shared" ref="F21:BQ21" si="6">F20/F19</f>
        <v>0.13713540984901287</v>
      </c>
      <c r="G21" s="242">
        <f t="shared" si="6"/>
        <v>0.13424424137743854</v>
      </c>
      <c r="H21" s="242">
        <f t="shared" si="6"/>
        <v>0.13141373089595162</v>
      </c>
      <c r="I21" s="242">
        <f t="shared" si="6"/>
        <v>0.10651585737763224</v>
      </c>
      <c r="J21" s="242">
        <f t="shared" si="6"/>
        <v>0.12028171778330558</v>
      </c>
      <c r="K21" s="242">
        <f t="shared" si="6"/>
        <v>0.11906135379817524</v>
      </c>
      <c r="L21" s="242">
        <f t="shared" si="6"/>
        <v>0.1127072661833842</v>
      </c>
      <c r="M21" s="242">
        <f t="shared" si="6"/>
        <v>0.1088546041602803</v>
      </c>
      <c r="N21" s="242">
        <f t="shared" si="6"/>
        <v>0.11356769926524983</v>
      </c>
      <c r="O21" s="242">
        <f t="shared" si="6"/>
        <v>0.10666430259630451</v>
      </c>
      <c r="P21" s="242">
        <f t="shared" si="6"/>
        <v>0.10403009402625284</v>
      </c>
      <c r="Q21" s="242">
        <f t="shared" si="6"/>
        <v>0.10034456535982345</v>
      </c>
      <c r="R21" s="242">
        <f t="shared" si="6"/>
        <v>0.10794848101871293</v>
      </c>
      <c r="S21" s="242">
        <f t="shared" si="6"/>
        <v>0.11243609326068002</v>
      </c>
      <c r="T21" s="242">
        <f t="shared" si="6"/>
        <v>0.10637536605494141</v>
      </c>
      <c r="U21" s="242">
        <f t="shared" si="6"/>
        <v>0.11207796859464612</v>
      </c>
      <c r="V21" s="242">
        <f t="shared" si="6"/>
        <v>0.12584583421959522</v>
      </c>
      <c r="W21" s="242">
        <f t="shared" si="6"/>
        <v>0.12488283143288917</v>
      </c>
      <c r="X21" s="242">
        <f t="shared" si="6"/>
        <v>0.12304734947953341</v>
      </c>
      <c r="Y21" s="242">
        <f t="shared" si="6"/>
        <v>0.112191828255368</v>
      </c>
      <c r="Z21" s="242">
        <f t="shared" si="6"/>
        <v>0.12329040727752327</v>
      </c>
      <c r="AA21" s="242">
        <f t="shared" si="6"/>
        <v>0.12169751777426017</v>
      </c>
      <c r="AB21" s="242">
        <f t="shared" si="6"/>
        <v>0.11568877584871846</v>
      </c>
      <c r="AC21" s="242">
        <f t="shared" si="6"/>
        <v>0.11756978663940283</v>
      </c>
      <c r="AD21" s="242">
        <f t="shared" si="6"/>
        <v>0.13247839199673886</v>
      </c>
      <c r="AE21" s="242">
        <f t="shared" si="6"/>
        <v>0.13736071851919013</v>
      </c>
      <c r="AF21" s="242">
        <f t="shared" si="6"/>
        <v>0.14577069190599198</v>
      </c>
      <c r="AG21" s="242">
        <f t="shared" si="6"/>
        <v>0.1397442519188789</v>
      </c>
      <c r="AH21" s="242">
        <f t="shared" si="6"/>
        <v>0.16461744780458859</v>
      </c>
      <c r="AI21" s="242">
        <f t="shared" si="6"/>
        <v>0.16198725499452285</v>
      </c>
      <c r="AJ21" s="242">
        <f t="shared" si="6"/>
        <v>0.15963451496690734</v>
      </c>
      <c r="AK21" s="242">
        <f t="shared" si="6"/>
        <v>0.13968426228538805</v>
      </c>
      <c r="AL21" s="242">
        <f t="shared" si="6"/>
        <v>0.15500048082271528</v>
      </c>
      <c r="AM21" s="242">
        <f t="shared" si="6"/>
        <v>0.15632747786304141</v>
      </c>
      <c r="AN21" s="242">
        <f t="shared" si="6"/>
        <v>0.16676960929466958</v>
      </c>
      <c r="AO21" s="242">
        <f t="shared" si="6"/>
        <v>0.14170378957543822</v>
      </c>
      <c r="AP21" s="242">
        <f t="shared" si="6"/>
        <v>0.15102050901039732</v>
      </c>
      <c r="AQ21" s="242">
        <f t="shared" si="6"/>
        <v>0.15581700516584218</v>
      </c>
      <c r="AR21" s="242">
        <f t="shared" si="6"/>
        <v>0.15688905256474117</v>
      </c>
      <c r="AS21" s="242">
        <f t="shared" si="6"/>
        <v>0.16236970156645619</v>
      </c>
      <c r="AT21" s="242">
        <f t="shared" si="6"/>
        <v>0.85790390781865822</v>
      </c>
      <c r="AU21" s="242">
        <f t="shared" si="6"/>
        <v>0.16622257591778716</v>
      </c>
      <c r="AV21" s="242">
        <f t="shared" si="6"/>
        <v>0.16511668147147177</v>
      </c>
      <c r="AW21" s="242">
        <f t="shared" si="6"/>
        <v>0.18398684242687935</v>
      </c>
      <c r="AX21" s="242">
        <f t="shared" si="6"/>
        <v>0.19037549643586688</v>
      </c>
      <c r="AY21" s="242">
        <f t="shared" si="6"/>
        <v>0.1875570206772573</v>
      </c>
      <c r="AZ21" s="242">
        <f t="shared" si="6"/>
        <v>0.175303867031113</v>
      </c>
      <c r="BA21" s="242">
        <f t="shared" si="6"/>
        <v>0.19327215461731864</v>
      </c>
      <c r="BB21" s="242">
        <f t="shared" si="6"/>
        <v>0.19896489720946209</v>
      </c>
      <c r="BC21" s="242">
        <f t="shared" si="6"/>
        <v>0.20250771738068027</v>
      </c>
      <c r="BD21" s="242">
        <f t="shared" si="6"/>
        <v>0.21377477479269133</v>
      </c>
      <c r="BE21" s="242">
        <f t="shared" si="6"/>
        <v>0.20445131782613865</v>
      </c>
      <c r="BF21" s="242">
        <f t="shared" si="6"/>
        <v>0.20237934458287349</v>
      </c>
      <c r="BG21" s="242">
        <f t="shared" si="6"/>
        <v>0.1993620738462353</v>
      </c>
      <c r="BH21" s="242">
        <f t="shared" si="6"/>
        <v>0.18989184590054414</v>
      </c>
      <c r="BI21" s="242">
        <f t="shared" si="6"/>
        <v>0.22263055843513088</v>
      </c>
      <c r="BJ21" s="242">
        <f t="shared" si="6"/>
        <v>0.21249225116950141</v>
      </c>
      <c r="BK21" s="242">
        <f t="shared" si="6"/>
        <v>0.21761242066773911</v>
      </c>
      <c r="BL21" s="242">
        <f t="shared" si="6"/>
        <v>0.2215313523569192</v>
      </c>
      <c r="BM21" s="242">
        <f t="shared" si="6"/>
        <v>0.20866538643713997</v>
      </c>
      <c r="BN21" s="242">
        <f t="shared" si="6"/>
        <v>0.21327102735009068</v>
      </c>
      <c r="BO21" s="242">
        <f t="shared" si="6"/>
        <v>0.22276752987221882</v>
      </c>
      <c r="BP21" s="242">
        <f t="shared" si="6"/>
        <v>0.18963886023193025</v>
      </c>
      <c r="BQ21" s="242">
        <f t="shared" si="6"/>
        <v>0.20032339261276802</v>
      </c>
      <c r="BR21" s="242">
        <f t="shared" ref="BR21:CK21" si="7">BR20/BR19</f>
        <v>0.17039593722524127</v>
      </c>
      <c r="BS21" s="242">
        <f t="shared" si="7"/>
        <v>0.20440364403535943</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c r="A22" s="26" t="s">
        <v>683</v>
      </c>
      <c r="E22" s="26">
        <f>资产资本表!E69</f>
        <v>2545831730.4199996</v>
      </c>
      <c r="F22" s="191">
        <f>资产资本表!F69</f>
        <v>2594012066.1099997</v>
      </c>
      <c r="G22" s="191">
        <f>资产资本表!G69</f>
        <v>2642550635.3600006</v>
      </c>
      <c r="H22" s="191">
        <f>资产资本表!H69</f>
        <v>2564143343.5800004</v>
      </c>
      <c r="I22" s="191">
        <f>资产资本表!I69</f>
        <v>1948769600.9300003</v>
      </c>
      <c r="J22" s="191">
        <f>资产资本表!J69</f>
        <v>1963648141.5900002</v>
      </c>
      <c r="K22" s="191">
        <f>资产资本表!K69</f>
        <v>1927168594.4800005</v>
      </c>
      <c r="L22" s="191">
        <f>资产资本表!L69</f>
        <v>1979441688.6900001</v>
      </c>
      <c r="M22" s="191">
        <f>资产资本表!M69</f>
        <v>1902766103.2799995</v>
      </c>
      <c r="N22" s="191">
        <f>资产资本表!N69</f>
        <v>1925703731.8399999</v>
      </c>
      <c r="O22" s="191">
        <f>资产资本表!O69</f>
        <v>2007029151.23</v>
      </c>
      <c r="P22" s="191">
        <f>资产资本表!P69</f>
        <v>2024567666.6799998</v>
      </c>
      <c r="Q22" s="191">
        <f>资产资本表!Q69</f>
        <v>1990365569.6999998</v>
      </c>
      <c r="R22" s="191">
        <f>资产资本表!R69</f>
        <v>1992482590.9499998</v>
      </c>
      <c r="S22" s="191">
        <f>资产资本表!S69</f>
        <v>1953079705.4099998</v>
      </c>
      <c r="T22" s="191">
        <f>资产资本表!T69</f>
        <v>1929807482.45</v>
      </c>
      <c r="U22" s="191">
        <f>资产资本表!U69</f>
        <v>1945575833.7400002</v>
      </c>
      <c r="V22" s="191">
        <f>资产资本表!V69</f>
        <v>1952317412.5300002</v>
      </c>
      <c r="W22" s="191">
        <f>资产资本表!W69</f>
        <v>1902109441.98</v>
      </c>
      <c r="X22" s="191">
        <f>资产资本表!X69</f>
        <v>1926098267.46</v>
      </c>
      <c r="Y22" s="191">
        <f>资产资本表!Y69</f>
        <v>1899394908.9499998</v>
      </c>
      <c r="Z22" s="191">
        <f>资产资本表!Z69</f>
        <v>1901397724.5300002</v>
      </c>
      <c r="AA22" s="191">
        <f>资产资本表!AA69</f>
        <v>1862265794.5999999</v>
      </c>
      <c r="AB22" s="191">
        <f>资产资本表!AB69</f>
        <v>1823057784.6000001</v>
      </c>
      <c r="AC22" s="191">
        <f>资产资本表!AC69</f>
        <v>1686879561.4799995</v>
      </c>
      <c r="AD22" s="191">
        <f>资产资本表!AD69</f>
        <v>1734168296.5400004</v>
      </c>
      <c r="AE22" s="191">
        <f>资产资本表!AE69</f>
        <v>1688722110.7400002</v>
      </c>
      <c r="AF22" s="191">
        <f>资产资本表!AF69</f>
        <v>1692389769.97</v>
      </c>
      <c r="AG22" s="191">
        <f>资产资本表!AG69</f>
        <v>1616514055.8099997</v>
      </c>
      <c r="AH22" s="191">
        <f>资产资本表!AH69</f>
        <v>1512551763.0999999</v>
      </c>
      <c r="AI22" s="191">
        <f>资产资本表!AI69</f>
        <v>1449869974.4300001</v>
      </c>
      <c r="AJ22" s="191">
        <f>资产资本表!AJ69</f>
        <v>1433159493.7900002</v>
      </c>
      <c r="AK22" s="191">
        <f>资产资本表!AK69</f>
        <v>1477784649.46</v>
      </c>
      <c r="AL22" s="191">
        <f>资产资本表!AL69</f>
        <v>1518577042.8199997</v>
      </c>
      <c r="AM22" s="191">
        <f>资产资本表!AM69</f>
        <v>1472667235.72</v>
      </c>
      <c r="AN22" s="191">
        <f>资产资本表!AN69</f>
        <v>1452235672.5</v>
      </c>
      <c r="AO22" s="191">
        <f>资产资本表!AO69</f>
        <v>1453128507.8100002</v>
      </c>
      <c r="AP22" s="191">
        <f>资产资本表!AP69</f>
        <v>1410068533.3599999</v>
      </c>
      <c r="AQ22" s="191">
        <f>资产资本表!AQ69</f>
        <v>1361165738.99</v>
      </c>
      <c r="AR22" s="191">
        <f>资产资本表!AR69</f>
        <v>1320319867.7300003</v>
      </c>
      <c r="AS22" s="191">
        <f>资产资本表!AS69</f>
        <v>1241814791.7099998</v>
      </c>
      <c r="AT22" s="191">
        <f>资产资本表!AT69</f>
        <v>1182087006.5799999</v>
      </c>
      <c r="AU22" s="191">
        <f>资产资本表!AU69</f>
        <v>1128881655.6800001</v>
      </c>
      <c r="AV22" s="191">
        <f>资产资本表!AV69</f>
        <v>1087017412.1999998</v>
      </c>
      <c r="AW22" s="191">
        <f>资产资本表!AW69</f>
        <v>1067255292.0899999</v>
      </c>
      <c r="AX22" s="191">
        <f>资产资本表!AX69</f>
        <v>1083051324.46</v>
      </c>
      <c r="AY22" s="191">
        <f>资产资本表!AY69</f>
        <v>1070154979.0700001</v>
      </c>
      <c r="AZ22" s="191">
        <f>资产资本表!AZ69</f>
        <v>793942079.12999988</v>
      </c>
      <c r="BA22" s="191">
        <f>资产资本表!BA69</f>
        <v>1000996153.6399999</v>
      </c>
      <c r="BB22" s="191">
        <f>资产资本表!BB69</f>
        <v>932841012.6500001</v>
      </c>
      <c r="BC22" s="191">
        <f>资产资本表!BC69</f>
        <v>917394818.61999989</v>
      </c>
      <c r="BD22" s="191">
        <f>资产资本表!BD69</f>
        <v>914754780.06999993</v>
      </c>
      <c r="BE22" s="191">
        <f>资产资本表!BE69</f>
        <v>866986208.50999999</v>
      </c>
      <c r="BF22" s="191">
        <f>资产资本表!BF69</f>
        <v>795899463.42000008</v>
      </c>
      <c r="BG22" s="191">
        <f>资产资本表!BG69</f>
        <v>743652418.63999987</v>
      </c>
      <c r="BH22" s="191">
        <f>资产资本表!BH69</f>
        <v>685258021.92999995</v>
      </c>
      <c r="BI22" s="191">
        <f>资产资本表!BI69</f>
        <v>608935610.45000005</v>
      </c>
      <c r="BJ22" s="191">
        <f>资产资本表!BJ69</f>
        <v>527160592.02000004</v>
      </c>
      <c r="BK22" s="191">
        <f>资产资本表!BK69</f>
        <v>460394899.98000002</v>
      </c>
      <c r="BL22" s="191">
        <f>资产资本表!BL69</f>
        <v>381746213.64999998</v>
      </c>
      <c r="BM22" s="191">
        <f>资产资本表!BM69</f>
        <v>319824700.90999997</v>
      </c>
      <c r="BN22" s="191">
        <f>资产资本表!BN69</f>
        <v>294453488.97000003</v>
      </c>
      <c r="BO22" s="191">
        <f>资产资本表!BO69</f>
        <v>295500667.94999993</v>
      </c>
      <c r="BP22" s="191">
        <f>资产资本表!BP69</f>
        <v>269624294.55000007</v>
      </c>
      <c r="BQ22" s="191">
        <f>资产资本表!BQ69</f>
        <v>235076695.46000001</v>
      </c>
      <c r="BR22" s="191">
        <f>资产资本表!BR69</f>
        <v>219421326.07999998</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c r="A23" s="243" t="s">
        <v>684</v>
      </c>
      <c r="E23" s="244">
        <f>E19/E22</f>
        <v>0.91541334952468634</v>
      </c>
      <c r="F23" s="244">
        <f t="shared" ref="F23:BQ23" si="8">F19/F22</f>
        <v>0.65717527911749929</v>
      </c>
      <c r="G23" s="244">
        <f t="shared" si="8"/>
        <v>0.43519973641425713</v>
      </c>
      <c r="H23" s="244">
        <f t="shared" si="8"/>
        <v>0.22407912596563209</v>
      </c>
      <c r="I23" s="244">
        <f t="shared" si="8"/>
        <v>1.0557805595223386</v>
      </c>
      <c r="J23" s="244">
        <f t="shared" si="8"/>
        <v>0.73726673541306931</v>
      </c>
      <c r="K23" s="244">
        <f t="shared" si="8"/>
        <v>0.50386523351477175</v>
      </c>
      <c r="L23" s="244">
        <f t="shared" si="8"/>
        <v>0.22763062216710009</v>
      </c>
      <c r="M23" s="244">
        <f t="shared" si="8"/>
        <v>0.90563268024352828</v>
      </c>
      <c r="N23" s="244">
        <f t="shared" si="8"/>
        <v>0.68065789600853588</v>
      </c>
      <c r="O23" s="244">
        <f t="shared" si="8"/>
        <v>0.44491886436365402</v>
      </c>
      <c r="P23" s="244">
        <f t="shared" si="8"/>
        <v>0.2054109123020641</v>
      </c>
      <c r="Q23" s="244">
        <f t="shared" si="8"/>
        <v>0.84964917099872006</v>
      </c>
      <c r="R23" s="244">
        <f t="shared" si="8"/>
        <v>0.61771753998772372</v>
      </c>
      <c r="S23" s="244">
        <f t="shared" si="8"/>
        <v>0.41654443270107955</v>
      </c>
      <c r="T23" s="244">
        <f t="shared" si="8"/>
        <v>0.20210529337612579</v>
      </c>
      <c r="U23" s="244">
        <f t="shared" si="8"/>
        <v>0.79387548163101174</v>
      </c>
      <c r="V23" s="244">
        <f t="shared" si="8"/>
        <v>0.5749047495127807</v>
      </c>
      <c r="W23" s="244">
        <f t="shared" si="8"/>
        <v>0.39899281440924572</v>
      </c>
      <c r="X23" s="244">
        <f t="shared" si="8"/>
        <v>0.18545568368692708</v>
      </c>
      <c r="Y23" s="244">
        <f t="shared" si="8"/>
        <v>0.77292659070123182</v>
      </c>
      <c r="Z23" s="244">
        <f t="shared" si="8"/>
        <v>0.56345338069909756</v>
      </c>
      <c r="AA23" s="244">
        <f t="shared" si="8"/>
        <v>0.38276374531869956</v>
      </c>
      <c r="AB23" s="244">
        <f t="shared" si="8"/>
        <v>0.17951519316312076</v>
      </c>
      <c r="AC23" s="244">
        <f t="shared" si="8"/>
        <v>0.82826185519977058</v>
      </c>
      <c r="AD23" s="244">
        <f t="shared" si="8"/>
        <v>0.62195002625866636</v>
      </c>
      <c r="AE23" s="244">
        <f t="shared" si="8"/>
        <v>0.43863120336916345</v>
      </c>
      <c r="AF23" s="244">
        <f t="shared" si="8"/>
        <v>0.22103254212333781</v>
      </c>
      <c r="AG23" s="244">
        <f t="shared" si="8"/>
        <v>0.93622341343741633</v>
      </c>
      <c r="AH23" s="244">
        <f t="shared" si="8"/>
        <v>0.70060150933818977</v>
      </c>
      <c r="AI23" s="244">
        <f t="shared" si="8"/>
        <v>0.48584474842092756</v>
      </c>
      <c r="AJ23" s="244">
        <f t="shared" si="8"/>
        <v>0.23460960571864165</v>
      </c>
      <c r="AK23" s="244">
        <f t="shared" si="8"/>
        <v>0.84055449035412533</v>
      </c>
      <c r="AL23" s="244">
        <f t="shared" si="8"/>
        <v>0.56561981695373997</v>
      </c>
      <c r="AM23" s="244">
        <f t="shared" si="8"/>
        <v>0.38180627985866711</v>
      </c>
      <c r="AN23" s="244">
        <f t="shared" si="8"/>
        <v>0.18322430963422021</v>
      </c>
      <c r="AO23" s="244">
        <f t="shared" si="8"/>
        <v>0.79710229426002654</v>
      </c>
      <c r="AP23" s="244">
        <f t="shared" si="8"/>
        <v>0.63486917735611015</v>
      </c>
      <c r="AQ23" s="244">
        <f t="shared" si="8"/>
        <v>0.41596038527249446</v>
      </c>
      <c r="AR23" s="244">
        <f t="shared" si="8"/>
        <v>0.19091615141971591</v>
      </c>
      <c r="AS23" s="244">
        <f t="shared" si="8"/>
        <v>0.81504082949944601</v>
      </c>
      <c r="AT23" s="244">
        <f t="shared" si="8"/>
        <v>0.63120679578293248</v>
      </c>
      <c r="AU23" s="244">
        <f t="shared" si="8"/>
        <v>0.42921892736234701</v>
      </c>
      <c r="AV23" s="244">
        <f t="shared" si="8"/>
        <v>0.20554332261136896</v>
      </c>
      <c r="AW23" s="244">
        <f t="shared" si="8"/>
        <v>0.77461713080012029</v>
      </c>
      <c r="AX23" s="244">
        <f t="shared" si="8"/>
        <v>0.55780563063455457</v>
      </c>
      <c r="AY23" s="244">
        <f t="shared" si="8"/>
        <v>0.37142153699590502</v>
      </c>
      <c r="AZ23" s="244">
        <f t="shared" si="8"/>
        <v>0.25995237842306912</v>
      </c>
      <c r="BA23" s="244">
        <f t="shared" si="8"/>
        <v>0.67147009186383877</v>
      </c>
      <c r="BB23" s="244">
        <f t="shared" si="8"/>
        <v>0.52290302744548822</v>
      </c>
      <c r="BC23" s="244">
        <f t="shared" si="8"/>
        <v>0.3543291250532396</v>
      </c>
      <c r="BD23" s="244">
        <f t="shared" si="8"/>
        <v>0.16694011119385918</v>
      </c>
      <c r="BE23" s="244">
        <f t="shared" si="8"/>
        <v>0.64612060004128513</v>
      </c>
      <c r="BF23" s="244">
        <f t="shared" si="8"/>
        <v>0.50368594987788284</v>
      </c>
      <c r="BG23" s="244">
        <f t="shared" si="8"/>
        <v>0.35901257927494834</v>
      </c>
      <c r="BH23" s="244">
        <f t="shared" si="8"/>
        <v>0.19411290976990259</v>
      </c>
      <c r="BI23" s="244">
        <f t="shared" si="8"/>
        <v>0.76853697111613883</v>
      </c>
      <c r="BJ23" s="244">
        <f t="shared" si="8"/>
        <v>0.6624160076759904</v>
      </c>
      <c r="BK23" s="244">
        <f t="shared" si="8"/>
        <v>0.51351503987179326</v>
      </c>
      <c r="BL23" s="244">
        <f t="shared" si="8"/>
        <v>0.23877245819540824</v>
      </c>
      <c r="BM23" s="244">
        <f t="shared" si="8"/>
        <v>1.3204679288947172</v>
      </c>
      <c r="BN23" s="244">
        <f t="shared" si="8"/>
        <v>0.99635179867028356</v>
      </c>
      <c r="BO23" s="244">
        <f t="shared" si="8"/>
        <v>0.63563425105956695</v>
      </c>
      <c r="BP23" s="244">
        <f t="shared" si="8"/>
        <v>1.2985063357303457</v>
      </c>
      <c r="BQ23" s="244">
        <f t="shared" si="8"/>
        <v>0.68453395478064882</v>
      </c>
      <c r="BR23" s="244">
        <f t="shared" ref="BR23:CK23" si="9">BR19/BR22</f>
        <v>1.335853480728358</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4.25" thickBot="1">
      <c r="A24" s="158" t="s">
        <v>691</v>
      </c>
      <c r="E24" s="159">
        <f>E21*E23</f>
        <v>0.11711891014918345</v>
      </c>
      <c r="F24" s="159">
        <f t="shared" ref="F24:BQ24" si="10">F21*F23</f>
        <v>9.0122001244417702E-2</v>
      </c>
      <c r="G24" s="159">
        <f t="shared" si="10"/>
        <v>5.8423058462593165E-2</v>
      </c>
      <c r="H24" s="159">
        <f t="shared" si="10"/>
        <v>2.9447073959047623E-2</v>
      </c>
      <c r="I24" s="159">
        <f t="shared" si="10"/>
        <v>0.11245737150015818</v>
      </c>
      <c r="J24" s="159">
        <f t="shared" si="10"/>
        <v>8.8679709399973827E-2</v>
      </c>
      <c r="K24" s="159">
        <f t="shared" si="10"/>
        <v>5.9990876834102425E-2</v>
      </c>
      <c r="L24" s="159">
        <f t="shared" si="10"/>
        <v>2.5655625124076705E-2</v>
      </c>
      <c r="M24" s="159">
        <f t="shared" si="10"/>
        <v>9.8582286922522966E-2</v>
      </c>
      <c r="N24" s="159">
        <f t="shared" si="10"/>
        <v>7.7300751236415097E-2</v>
      </c>
      <c r="O24" s="159">
        <f t="shared" si="10"/>
        <v>4.7456960379288954E-2</v>
      </c>
      <c r="P24" s="159">
        <f t="shared" si="10"/>
        <v>2.1368916520802105E-2</v>
      </c>
      <c r="Q24" s="159">
        <f t="shared" si="10"/>
        <v>8.5257676772200877E-2</v>
      </c>
      <c r="R24" s="159">
        <f t="shared" si="10"/>
        <v>6.6681670140290847E-2</v>
      </c>
      <c r="S24" s="159">
        <f t="shared" si="10"/>
        <v>4.6834628682395629E-2</v>
      </c>
      <c r="T24" s="159">
        <f t="shared" si="10"/>
        <v>2.1499024564526705E-2</v>
      </c>
      <c r="U24" s="159">
        <f t="shared" si="10"/>
        <v>8.8975951298300104E-2</v>
      </c>
      <c r="V24" s="159">
        <f t="shared" si="10"/>
        <v>7.2349367799243322E-2</v>
      </c>
      <c r="W24" s="159">
        <f t="shared" si="10"/>
        <v>4.9827352384803868E-2</v>
      </c>
      <c r="X24" s="159">
        <f t="shared" si="10"/>
        <v>2.2819830323591122E-2</v>
      </c>
      <c r="Y24" s="159">
        <f t="shared" si="10"/>
        <v>8.6716047317959719E-2</v>
      </c>
      <c r="Z24" s="159">
        <f t="shared" si="10"/>
        <v>6.9468396788289102E-2</v>
      </c>
      <c r="AA24" s="159">
        <f t="shared" si="10"/>
        <v>4.6581397699264837E-2</v>
      </c>
      <c r="AB24" s="159">
        <f t="shared" si="10"/>
        <v>2.0767892943287673E-2</v>
      </c>
      <c r="AC24" s="159">
        <f t="shared" si="10"/>
        <v>9.7378569597392994E-2</v>
      </c>
      <c r="AD24" s="159">
        <f t="shared" si="10"/>
        <v>8.2394939381077628E-2</v>
      </c>
      <c r="AE24" s="159">
        <f t="shared" si="10"/>
        <v>6.0250697259725303E-2</v>
      </c>
      <c r="AF24" s="159">
        <f t="shared" si="10"/>
        <v>3.2220066599059273E-2</v>
      </c>
      <c r="AG24" s="159">
        <f t="shared" si="10"/>
        <v>0.13083184053975103</v>
      </c>
      <c r="AH24" s="159">
        <f t="shared" si="10"/>
        <v>0.11533123239529544</v>
      </c>
      <c r="AI24" s="159">
        <f t="shared" si="10"/>
        <v>7.8700657150210601E-2</v>
      </c>
      <c r="AJ24" s="159">
        <f t="shared" si="10"/>
        <v>3.7451790615472727E-2</v>
      </c>
      <c r="AK24" s="159">
        <f t="shared" si="10"/>
        <v>0.11741223389578632</v>
      </c>
      <c r="AL24" s="159">
        <f t="shared" si="10"/>
        <v>8.7671343590685902E-2</v>
      </c>
      <c r="AM24" s="159">
        <f t="shared" si="10"/>
        <v>5.9686812762575973E-2</v>
      </c>
      <c r="AN24" s="159">
        <f t="shared" si="10"/>
        <v>3.0556246530984467E-2</v>
      </c>
      <c r="AO24" s="159">
        <f t="shared" si="10"/>
        <v>0.11295241577592184</v>
      </c>
      <c r="AP24" s="159">
        <f t="shared" si="10"/>
        <v>9.5878266319331967E-2</v>
      </c>
      <c r="AQ24" s="159">
        <f t="shared" si="10"/>
        <v>6.481370150078998E-2</v>
      </c>
      <c r="AR24" s="159">
        <f t="shared" si="10"/>
        <v>2.9952654115545894E-2</v>
      </c>
      <c r="AS24" s="159">
        <f t="shared" si="10"/>
        <v>0.13233793625030196</v>
      </c>
      <c r="AT24" s="159">
        <f t="shared" si="10"/>
        <v>0.5415147767438715</v>
      </c>
      <c r="AU24" s="159">
        <f t="shared" si="10"/>
        <v>7.1345875738838896E-2</v>
      </c>
      <c r="AV24" s="159">
        <f t="shared" si="10"/>
        <v>3.3938631328209366E-2</v>
      </c>
      <c r="AW24" s="159">
        <f t="shared" si="10"/>
        <v>0.14251935998568313</v>
      </c>
      <c r="AX24" s="159">
        <f t="shared" si="10"/>
        <v>0.10619252384677512</v>
      </c>
      <c r="AY24" s="159">
        <f t="shared" si="10"/>
        <v>6.9662716894319646E-2</v>
      </c>
      <c r="AZ24" s="159">
        <f t="shared" si="10"/>
        <v>4.5570657181499274E-2</v>
      </c>
      <c r="BA24" s="159">
        <f t="shared" si="10"/>
        <v>0.12977647141561299</v>
      </c>
      <c r="BB24" s="159">
        <f t="shared" si="10"/>
        <v>0.1040393471062081</v>
      </c>
      <c r="BC24" s="159">
        <f t="shared" si="10"/>
        <v>7.1754382316025156E-2</v>
      </c>
      <c r="BD24" s="159">
        <f t="shared" si="10"/>
        <v>3.5687584674334097E-2</v>
      </c>
      <c r="BE24" s="159">
        <f t="shared" si="10"/>
        <v>0.1321002081530562</v>
      </c>
      <c r="BF24" s="159">
        <f t="shared" si="10"/>
        <v>0.10193563241188799</v>
      </c>
      <c r="BG24" s="159">
        <f t="shared" si="10"/>
        <v>7.1573492341139661E-2</v>
      </c>
      <c r="BH24" s="159">
        <f t="shared" si="10"/>
        <v>3.6860458749332574E-2</v>
      </c>
      <c r="BI24" s="159">
        <f t="shared" si="10"/>
        <v>0.17109981505763003</v>
      </c>
      <c r="BJ24" s="159">
        <f t="shared" si="10"/>
        <v>0.14075826868178493</v>
      </c>
      <c r="BK24" s="159">
        <f t="shared" si="10"/>
        <v>0.1117472508757915</v>
      </c>
      <c r="BL24" s="159">
        <f t="shared" si="10"/>
        <v>5.2895585569614746E-2</v>
      </c>
      <c r="BM24" s="159">
        <f t="shared" si="10"/>
        <v>0.27553595066066605</v>
      </c>
      <c r="BN24" s="159">
        <f t="shared" si="10"/>
        <v>0.21249297170452208</v>
      </c>
      <c r="BO24" s="159">
        <f t="shared" si="10"/>
        <v>0.14159867201071752</v>
      </c>
      <c r="BP24" s="159">
        <f t="shared" si="10"/>
        <v>0.24624726151184292</v>
      </c>
      <c r="BQ24" s="159">
        <f t="shared" si="10"/>
        <v>0.13712816418029469</v>
      </c>
      <c r="BR24" s="159">
        <f t="shared" ref="BR24:CK24" si="11">BR21*BR23</f>
        <v>0.22762400584430934</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37256</v>
      </c>
      <c r="BQ25" s="1">
        <v>37072</v>
      </c>
      <c r="BR25" s="1">
        <v>36891</v>
      </c>
      <c r="BS25" s="1">
        <v>36525</v>
      </c>
      <c r="BT25" s="1">
        <v>25569</v>
      </c>
      <c r="BU25" s="1"/>
      <c r="BV25" s="1"/>
      <c r="BW25" s="1"/>
      <c r="BX25" s="1"/>
      <c r="BY25" s="1"/>
      <c r="BZ25" s="1"/>
      <c r="CA25" s="1"/>
      <c r="CB25" s="1"/>
      <c r="CC25" s="1"/>
      <c r="CD25" s="1"/>
      <c r="CE25" s="1"/>
      <c r="CF25" s="1"/>
      <c r="CG25" s="1"/>
      <c r="CH25" s="1"/>
      <c r="CI25" s="1"/>
      <c r="CJ25" s="1"/>
      <c r="CK25" s="1"/>
    </row>
    <row r="26" spans="1:89" s="76" customFormat="1">
      <c r="A26" s="145" t="s">
        <v>442</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45" t="s">
        <v>443</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50000</v>
      </c>
      <c r="S27" s="76">
        <f>资产资本表!S19</f>
        <v>50000</v>
      </c>
      <c r="T27" s="76">
        <f>资产资本表!T19</f>
        <v>50000</v>
      </c>
      <c r="U27" s="76">
        <f>资产资本表!U19</f>
        <v>50000</v>
      </c>
      <c r="V27" s="76">
        <f>资产资本表!V19</f>
        <v>5914625.8899999997</v>
      </c>
      <c r="W27" s="76">
        <f>资产资本表!W19</f>
        <v>5914625.8899999997</v>
      </c>
      <c r="X27" s="76">
        <f>资产资本表!X19</f>
        <v>5914625.8899999997</v>
      </c>
      <c r="Y27" s="76">
        <f>资产资本表!Y19</f>
        <v>5914625.8899999997</v>
      </c>
      <c r="Z27" s="76">
        <f>资产资本表!Z19</f>
        <v>11779251.779999999</v>
      </c>
      <c r="AA27" s="76">
        <f>资产资本表!AA19</f>
        <v>11779251.779999999</v>
      </c>
      <c r="AB27" s="76">
        <f>资产资本表!AB19</f>
        <v>11779251.779999999</v>
      </c>
      <c r="AC27" s="76">
        <f>资产资本表!AC19</f>
        <v>11779251.779999999</v>
      </c>
      <c r="AD27" s="76">
        <f>资产资本表!AD19</f>
        <v>50000</v>
      </c>
      <c r="AE27" s="76">
        <f>资产资本表!AE19</f>
        <v>50000</v>
      </c>
      <c r="AF27" s="76">
        <f>资产资本表!AF19</f>
        <v>50000</v>
      </c>
      <c r="AG27" s="76">
        <f>资产资本表!AG19</f>
        <v>50000</v>
      </c>
      <c r="AH27" s="76">
        <f>资产资本表!AH19</f>
        <v>50000</v>
      </c>
      <c r="AI27" s="76">
        <f>资产资本表!AI19</f>
        <v>50000</v>
      </c>
      <c r="AJ27" s="76">
        <f>资产资本表!AJ19</f>
        <v>50000</v>
      </c>
      <c r="AK27" s="76">
        <f>资产资本表!AK19</f>
        <v>50000</v>
      </c>
      <c r="AL27" s="76">
        <f>资产资本表!AL19</f>
        <v>50000</v>
      </c>
      <c r="AM27" s="76">
        <f>资产资本表!AM19</f>
        <v>50000</v>
      </c>
      <c r="AN27" s="76">
        <f>资产资本表!AN19</f>
        <v>50000</v>
      </c>
      <c r="AO27" s="76">
        <f>资产资本表!AO19</f>
        <v>50000</v>
      </c>
      <c r="AP27" s="76">
        <f>资产资本表!AP19</f>
        <v>50000</v>
      </c>
      <c r="AQ27" s="76">
        <f>资产资本表!AQ19</f>
        <v>50000</v>
      </c>
      <c r="AR27" s="76">
        <f>资产资本表!AR19</f>
        <v>50000</v>
      </c>
      <c r="AS27" s="76">
        <f>资产资本表!AS19</f>
        <v>50000</v>
      </c>
      <c r="AT27" s="76">
        <f>资产资本表!AT19</f>
        <v>50000</v>
      </c>
      <c r="AU27" s="76">
        <f>资产资本表!AU19</f>
        <v>50000</v>
      </c>
      <c r="AV27" s="76">
        <f>资产资本表!AV19</f>
        <v>29341260.710000001</v>
      </c>
      <c r="AW27" s="76">
        <f>资产资本表!AW19</f>
        <v>31356717.039999999</v>
      </c>
      <c r="AX27" s="76">
        <f>资产资本表!AX19</f>
        <v>2130471.0499999998</v>
      </c>
      <c r="AY27" s="76">
        <f>资产资本表!AY19</f>
        <v>2195485.77</v>
      </c>
      <c r="AZ27" s="76">
        <f>资产资本表!AZ19</f>
        <v>2260500.4900000002</v>
      </c>
      <c r="BA27" s="76">
        <f>资产资本表!BA19</f>
        <v>2325515.21</v>
      </c>
      <c r="BB27" s="76">
        <f>资产资本表!BB19</f>
        <v>2390529.91</v>
      </c>
      <c r="BC27" s="76">
        <f>资产资本表!BC19</f>
        <v>2455544.65</v>
      </c>
      <c r="BD27" s="76">
        <f>资产资本表!BD19</f>
        <v>2520559.35</v>
      </c>
      <c r="BE27" s="76">
        <f>资产资本表!BE19</f>
        <v>2585574.09</v>
      </c>
      <c r="BF27" s="76">
        <f>资产资本表!BF19</f>
        <v>1750982.62</v>
      </c>
      <c r="BG27" s="76">
        <f>资产资本表!BG19</f>
        <v>50000</v>
      </c>
      <c r="BH27" s="76">
        <f>资产资本表!BH19</f>
        <v>50000</v>
      </c>
      <c r="BI27" s="76">
        <f>资产资本表!BI19</f>
        <v>50000</v>
      </c>
      <c r="BJ27" s="76">
        <f>资产资本表!BJ19</f>
        <v>50000</v>
      </c>
      <c r="BK27" s="76">
        <f>资产资本表!BK19</f>
        <v>50000</v>
      </c>
      <c r="BL27" s="76">
        <f>资产资本表!BL19</f>
        <v>50000</v>
      </c>
      <c r="BM27" s="76">
        <f>资产资本表!BM19</f>
        <v>50000</v>
      </c>
      <c r="BN27" s="76">
        <f>资产资本表!BN19</f>
        <v>50000</v>
      </c>
      <c r="BO27" s="76">
        <f>资产资本表!BO19</f>
        <v>50000</v>
      </c>
      <c r="BP27" s="76">
        <f>资产资本表!BP19</f>
        <v>50000</v>
      </c>
      <c r="BQ27" s="76">
        <f>资产资本表!BQ19</f>
        <v>50000</v>
      </c>
      <c r="BR27" s="76">
        <f>资产资本表!BR19</f>
        <v>50000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09" customFormat="1">
      <c r="A28" s="143" t="s">
        <v>444</v>
      </c>
      <c r="E28" s="109" t="e">
        <f>E26/E27</f>
        <v>#DIV/0!</v>
      </c>
      <c r="F28" s="109" t="e">
        <f t="shared" ref="F28:BQ28" si="12">F26/F27</f>
        <v>#DIV/0!</v>
      </c>
      <c r="G28" s="109" t="e">
        <f t="shared" si="12"/>
        <v>#DIV/0!</v>
      </c>
      <c r="H28" s="109" t="e">
        <f t="shared" si="12"/>
        <v>#DIV/0!</v>
      </c>
      <c r="I28" s="109" t="e">
        <f t="shared" si="12"/>
        <v>#DIV/0!</v>
      </c>
      <c r="J28" s="109" t="e">
        <f t="shared" si="12"/>
        <v>#DIV/0!</v>
      </c>
      <c r="K28" s="109" t="e">
        <f t="shared" si="12"/>
        <v>#DIV/0!</v>
      </c>
      <c r="L28" s="109" t="e">
        <f t="shared" si="12"/>
        <v>#DIV/0!</v>
      </c>
      <c r="M28" s="109" t="e">
        <f t="shared" si="12"/>
        <v>#DIV/0!</v>
      </c>
      <c r="N28" s="109" t="e">
        <f t="shared" si="12"/>
        <v>#DIV/0!</v>
      </c>
      <c r="O28" s="109" t="e">
        <f t="shared" si="12"/>
        <v>#DIV/0!</v>
      </c>
      <c r="P28" s="109" t="e">
        <f t="shared" si="12"/>
        <v>#DIV/0!</v>
      </c>
      <c r="Q28" s="109" t="e">
        <f t="shared" si="12"/>
        <v>#DIV/0!</v>
      </c>
      <c r="R28" s="109">
        <f t="shared" si="12"/>
        <v>0</v>
      </c>
      <c r="S28" s="109">
        <f t="shared" si="12"/>
        <v>0</v>
      </c>
      <c r="T28" s="109">
        <f t="shared" si="12"/>
        <v>0</v>
      </c>
      <c r="U28" s="109">
        <f t="shared" si="12"/>
        <v>0</v>
      </c>
      <c r="V28" s="109">
        <f t="shared" si="12"/>
        <v>0</v>
      </c>
      <c r="W28" s="109">
        <f t="shared" si="12"/>
        <v>0</v>
      </c>
      <c r="X28" s="109">
        <f t="shared" si="12"/>
        <v>0</v>
      </c>
      <c r="Y28" s="109">
        <f t="shared" si="12"/>
        <v>0</v>
      </c>
      <c r="Z28" s="109">
        <f t="shared" si="12"/>
        <v>0</v>
      </c>
      <c r="AA28" s="109">
        <f t="shared" si="12"/>
        <v>0</v>
      </c>
      <c r="AB28" s="109">
        <f t="shared" si="12"/>
        <v>0</v>
      </c>
      <c r="AC28" s="109">
        <f t="shared" si="12"/>
        <v>0</v>
      </c>
      <c r="AD28" s="109">
        <f t="shared" si="12"/>
        <v>0</v>
      </c>
      <c r="AE28" s="109">
        <f t="shared" si="12"/>
        <v>0</v>
      </c>
      <c r="AF28" s="109">
        <f t="shared" si="12"/>
        <v>0</v>
      </c>
      <c r="AG28" s="109">
        <f t="shared" si="12"/>
        <v>0</v>
      </c>
      <c r="AH28" s="109">
        <f t="shared" si="12"/>
        <v>0</v>
      </c>
      <c r="AI28" s="109">
        <f t="shared" si="12"/>
        <v>0</v>
      </c>
      <c r="AJ28" s="109">
        <f t="shared" si="12"/>
        <v>0</v>
      </c>
      <c r="AK28" s="109">
        <f t="shared" si="12"/>
        <v>0</v>
      </c>
      <c r="AL28" s="109">
        <f t="shared" si="12"/>
        <v>0</v>
      </c>
      <c r="AM28" s="109">
        <f t="shared" si="12"/>
        <v>0</v>
      </c>
      <c r="AN28" s="109">
        <f t="shared" si="12"/>
        <v>0</v>
      </c>
      <c r="AO28" s="109">
        <f t="shared" si="12"/>
        <v>0</v>
      </c>
      <c r="AP28" s="109">
        <f t="shared" si="12"/>
        <v>0</v>
      </c>
      <c r="AQ28" s="109">
        <f t="shared" si="12"/>
        <v>0</v>
      </c>
      <c r="AR28" s="109">
        <f t="shared" si="12"/>
        <v>0</v>
      </c>
      <c r="AS28" s="109">
        <f t="shared" si="12"/>
        <v>0</v>
      </c>
      <c r="AT28" s="109">
        <f t="shared" si="12"/>
        <v>0</v>
      </c>
      <c r="AU28" s="109">
        <f t="shared" si="12"/>
        <v>0</v>
      </c>
      <c r="AV28" s="109">
        <f t="shared" si="12"/>
        <v>0</v>
      </c>
      <c r="AW28" s="109">
        <f t="shared" si="12"/>
        <v>0</v>
      </c>
      <c r="AX28" s="109">
        <f t="shared" si="12"/>
        <v>0</v>
      </c>
      <c r="AY28" s="109">
        <f t="shared" si="12"/>
        <v>0</v>
      </c>
      <c r="AZ28" s="109">
        <f t="shared" si="12"/>
        <v>0</v>
      </c>
      <c r="BA28" s="109">
        <f t="shared" si="12"/>
        <v>0</v>
      </c>
      <c r="BB28" s="109">
        <f t="shared" si="12"/>
        <v>0</v>
      </c>
      <c r="BC28" s="109">
        <f t="shared" si="12"/>
        <v>0</v>
      </c>
      <c r="BD28" s="109">
        <f t="shared" si="12"/>
        <v>0</v>
      </c>
      <c r="BE28" s="109">
        <f t="shared" si="12"/>
        <v>0</v>
      </c>
      <c r="BF28" s="109">
        <f t="shared" si="12"/>
        <v>0</v>
      </c>
      <c r="BG28" s="109">
        <f t="shared" si="12"/>
        <v>0</v>
      </c>
      <c r="BH28" s="109">
        <f t="shared" si="12"/>
        <v>0</v>
      </c>
      <c r="BI28" s="109">
        <f t="shared" si="12"/>
        <v>0</v>
      </c>
      <c r="BJ28" s="109">
        <f t="shared" si="12"/>
        <v>0</v>
      </c>
      <c r="BK28" s="109">
        <f t="shared" si="12"/>
        <v>0</v>
      </c>
      <c r="BL28" s="109">
        <f t="shared" si="12"/>
        <v>0</v>
      </c>
      <c r="BM28" s="109">
        <f t="shared" si="12"/>
        <v>0</v>
      </c>
      <c r="BN28" s="109">
        <f t="shared" si="12"/>
        <v>0</v>
      </c>
      <c r="BO28" s="109">
        <f t="shared" si="12"/>
        <v>0</v>
      </c>
      <c r="BP28" s="109">
        <f t="shared" si="12"/>
        <v>0</v>
      </c>
      <c r="BQ28" s="109">
        <f t="shared" si="12"/>
        <v>0</v>
      </c>
      <c r="BR28" s="109">
        <f t="shared" ref="BR28:CJ28" si="13">BR26/BR27</f>
        <v>0</v>
      </c>
      <c r="BS28" s="109" t="e">
        <f t="shared" si="13"/>
        <v>#DIV/0!</v>
      </c>
      <c r="BT28" s="109" t="e">
        <f t="shared" si="13"/>
        <v>#DIV/0!</v>
      </c>
      <c r="BU28" s="109" t="e">
        <f t="shared" si="13"/>
        <v>#DIV/0!</v>
      </c>
      <c r="BV28" s="109" t="e">
        <f t="shared" si="13"/>
        <v>#DIV/0!</v>
      </c>
      <c r="BW28" s="109" t="e">
        <f t="shared" si="13"/>
        <v>#DIV/0!</v>
      </c>
      <c r="BX28" s="109" t="e">
        <f t="shared" si="13"/>
        <v>#DIV/0!</v>
      </c>
      <c r="BY28" s="109" t="e">
        <f t="shared" si="13"/>
        <v>#DIV/0!</v>
      </c>
      <c r="BZ28" s="109" t="e">
        <f t="shared" si="13"/>
        <v>#DIV/0!</v>
      </c>
      <c r="CA28" s="109" t="e">
        <f t="shared" si="13"/>
        <v>#DIV/0!</v>
      </c>
      <c r="CB28" s="109" t="e">
        <f t="shared" si="13"/>
        <v>#DIV/0!</v>
      </c>
      <c r="CC28" s="109" t="e">
        <f t="shared" si="13"/>
        <v>#DIV/0!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c r="A29" s="288" t="s">
        <v>693</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ht="14.45">
      <c r="A30" s="17"/>
    </row>
    <row r="31" spans="1:89" s="115" customFormat="1">
      <c r="A31" s="117"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37256</v>
      </c>
      <c r="BQ31" s="1">
        <v>37072</v>
      </c>
      <c r="BR31" s="1">
        <v>36891</v>
      </c>
      <c r="BS31" s="1">
        <v>36525</v>
      </c>
      <c r="BT31" s="1">
        <v>25569</v>
      </c>
      <c r="BU31" s="1"/>
      <c r="BV31" s="1"/>
      <c r="BW31" s="1"/>
      <c r="BX31" s="1"/>
      <c r="BY31" s="1"/>
      <c r="BZ31" s="1"/>
      <c r="CA31" s="1"/>
      <c r="CB31" s="1"/>
      <c r="CC31" s="1"/>
      <c r="CD31" s="1"/>
      <c r="CE31" s="1"/>
      <c r="CF31" s="1"/>
      <c r="CG31" s="1"/>
      <c r="CH31" s="1"/>
      <c r="CI31" s="1"/>
      <c r="CJ31" s="1"/>
      <c r="CK31" s="1"/>
    </row>
    <row r="32" spans="1:89" s="76" customFormat="1">
      <c r="A32" s="145" t="s">
        <v>449</v>
      </c>
      <c r="E32" s="76">
        <f>股权价值增加表!E29</f>
        <v>2804237.1185215618</v>
      </c>
      <c r="F32" s="76">
        <f>股权价值增加表!F29</f>
        <v>11004737.729917808</v>
      </c>
      <c r="G32" s="76">
        <f>股权价值增加表!G29</f>
        <v>5103508.1323468601</v>
      </c>
      <c r="H32" s="76">
        <f>股权价值增加表!H29</f>
        <v>977698.07748488488</v>
      </c>
      <c r="I32" s="76">
        <f>股权价值增加表!I29</f>
        <v>15866537.707605103</v>
      </c>
      <c r="J32" s="76">
        <f>股权价值增加表!J29</f>
        <v>-486586.19901525672</v>
      </c>
      <c r="K32" s="76">
        <f>股权价值增加表!K29</f>
        <v>229353.22408055409</v>
      </c>
      <c r="L32" s="76">
        <f>股权价值增加表!L29</f>
        <v>-9563.4722108436436</v>
      </c>
      <c r="M32" s="76">
        <f>股权价值增加表!M29</f>
        <v>8191917.7984833587</v>
      </c>
      <c r="N32" s="76">
        <f>股权价值增加表!N29</f>
        <v>1105602.6738685872</v>
      </c>
      <c r="O32" s="76">
        <f>股权价值增加表!O29</f>
        <v>719035.59942045424</v>
      </c>
      <c r="P32" s="76">
        <f>股权价值增加表!P29</f>
        <v>0</v>
      </c>
      <c r="Q32" s="76">
        <f>股权价值增加表!Q29</f>
        <v>2263480.8200979228</v>
      </c>
      <c r="R32" s="76">
        <f>股权价值增加表!R29</f>
        <v>2898.1533808771346</v>
      </c>
      <c r="S32" s="76">
        <f>股权价值增加表!S29</f>
        <v>2914.9664999951228</v>
      </c>
      <c r="T32" s="76">
        <f>股权价值增加表!T29</f>
        <v>0</v>
      </c>
      <c r="U32" s="76">
        <f>股权价值增加表!U29</f>
        <v>-2624525.8806236675</v>
      </c>
      <c r="V32" s="76">
        <f>股权价值增加表!V29</f>
        <v>3992.4439539330206</v>
      </c>
      <c r="W32" s="76">
        <f>股权价值增加表!W29</f>
        <v>3944.3167374825143</v>
      </c>
      <c r="X32" s="76">
        <f>股权价值增加表!X29</f>
        <v>0</v>
      </c>
      <c r="Y32" s="76">
        <f>股权价值增加表!Y29</f>
        <v>280733.20072357461</v>
      </c>
      <c r="Z32" s="76">
        <f>股权价值增加表!Z29</f>
        <v>31879.540582521167</v>
      </c>
      <c r="AA32" s="76">
        <f>股权价值增加表!AA29</f>
        <v>19020.476774260893</v>
      </c>
      <c r="AB32" s="76">
        <f>股权价值增加表!AB29</f>
        <v>11226.698583054076</v>
      </c>
      <c r="AC32" s="76">
        <f>股权价值增加表!AC29</f>
        <v>5807810.9837747309</v>
      </c>
      <c r="AD32" s="76">
        <f>股权价值增加表!AD29</f>
        <v>5108463.3949478893</v>
      </c>
      <c r="AE32" s="76">
        <f>股权价值增加表!AE29</f>
        <v>5221325.876802776</v>
      </c>
      <c r="AF32" s="76">
        <f>股权价值增加表!AF29</f>
        <v>-48435.974444317762</v>
      </c>
      <c r="AG32" s="76">
        <f>股权价值增加表!AG29</f>
        <v>1524393.4310635759</v>
      </c>
      <c r="AH32" s="76">
        <f>股权价值增加表!AH29</f>
        <v>-160701.66711538611</v>
      </c>
      <c r="AI32" s="76">
        <f>股权价值增加表!AI29</f>
        <v>-106980.03424311723</v>
      </c>
      <c r="AJ32" s="76">
        <f>股权价值增加表!AJ29</f>
        <v>-55242.61939560574</v>
      </c>
      <c r="AK32" s="76">
        <f>股权价值增加表!AK29</f>
        <v>4863633.7223602505</v>
      </c>
      <c r="AL32" s="76">
        <f>股权价值增加表!AL29</f>
        <v>5159110.3150870157</v>
      </c>
      <c r="AM32" s="76">
        <f>股权价值增加表!AM29</f>
        <v>5231771.476632528</v>
      </c>
      <c r="AN32" s="76">
        <f>股权价值增加表!AN29</f>
        <v>-55162.073686776195</v>
      </c>
      <c r="AO32" s="76">
        <f>股权价值增加表!AO29</f>
        <v>3864499.0398595678</v>
      </c>
      <c r="AP32" s="76">
        <f>股权价值增加表!AP29</f>
        <v>-146671.48491076939</v>
      </c>
      <c r="AQ32" s="76">
        <f>股权价值增加表!AQ29</f>
        <v>-101443.57432898253</v>
      </c>
      <c r="AR32" s="76">
        <f>股权价值增加表!AR29</f>
        <v>-48510.801781023707</v>
      </c>
      <c r="AS32" s="76">
        <f>股权价值增加表!AS29</f>
        <v>5608104.8505720999</v>
      </c>
      <c r="AT32" s="76">
        <f>股权价值增加表!AT29</f>
        <v>1733821.5780330522</v>
      </c>
      <c r="AU32" s="76">
        <f>股权价值增加表!AU29</f>
        <v>1296776.6089728205</v>
      </c>
      <c r="AV32" s="76">
        <f>股权价值增加表!AV29</f>
        <v>0</v>
      </c>
      <c r="AW32" s="76">
        <f>股权价值增加表!AW29</f>
        <v>-286283.04091030551</v>
      </c>
      <c r="AX32" s="76">
        <f>股权价值增加表!AX29</f>
        <v>-133013.00058562373</v>
      </c>
      <c r="AY32" s="76">
        <f>股权价值增加表!AY29</f>
        <v>-88600.166214914439</v>
      </c>
      <c r="AZ32" s="76">
        <f>股权价值增加表!AZ29</f>
        <v>-44077.988516321348</v>
      </c>
      <c r="BA32" s="76">
        <f>股权价值增加表!BA29</f>
        <v>-172467.5766735326</v>
      </c>
      <c r="BB32" s="76">
        <f>股权价值增加表!BB29</f>
        <v>-129425.57081290556</v>
      </c>
      <c r="BC32" s="76">
        <f>股权价值增加表!BC29</f>
        <v>-86982.978638962173</v>
      </c>
      <c r="BD32" s="76">
        <f>股权价值增加表!BD29</f>
        <v>-43798.394753829511</v>
      </c>
      <c r="BE32" s="76">
        <f>股权价值增加表!BE29</f>
        <v>-42360.039114766856</v>
      </c>
      <c r="BF32" s="76">
        <f>股权价值增加表!BF29</f>
        <v>0</v>
      </c>
      <c r="BG32" s="76">
        <f>股权价值增加表!BG29</f>
        <v>0</v>
      </c>
      <c r="BH32" s="76">
        <f>股权价值增加表!BH29</f>
        <v>0</v>
      </c>
      <c r="BI32" s="76">
        <f>股权价值增加表!BI29</f>
        <v>0</v>
      </c>
      <c r="BJ32" s="76">
        <f>股权价值增加表!BJ29</f>
        <v>0</v>
      </c>
      <c r="BK32" s="76">
        <f>股权价值增加表!BK29</f>
        <v>0</v>
      </c>
      <c r="BL32" s="76">
        <f>股权价值增加表!BL29</f>
        <v>0</v>
      </c>
      <c r="BM32" s="76">
        <f>股权价值增加表!BM29</f>
        <v>188473.85121521889</v>
      </c>
      <c r="BN32" s="76">
        <f>股权价值增加表!BN29</f>
        <v>0</v>
      </c>
      <c r="BO32" s="76">
        <f>股权价值增加表!BO29</f>
        <v>730804.20449269214</v>
      </c>
      <c r="BP32" s="76">
        <f>股权价值增加表!BP29</f>
        <v>-52005.675432717879</v>
      </c>
      <c r="BQ32" s="76">
        <f>股权价值增加表!BQ29</f>
        <v>196621.710291428</v>
      </c>
      <c r="BR32" s="76">
        <f>股权价值增加表!BR29</f>
        <v>0</v>
      </c>
      <c r="BS32" s="76">
        <f>股权价值增加表!BS29</f>
        <v>0</v>
      </c>
      <c r="BT32" s="76" t="e">
        <f>股权价值增加表!BT29</f>
        <v>#DIV/0!</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46" t="s">
        <v>450</v>
      </c>
    </row>
    <row r="34" spans="1:89" s="76" customFormat="1">
      <c r="A34" s="145" t="s">
        <v>451</v>
      </c>
      <c r="E34" s="76">
        <f>资产资本表!E4</f>
        <v>713942695.25</v>
      </c>
      <c r="F34" s="76">
        <f>资产资本表!F4</f>
        <v>601571716.59000003</v>
      </c>
      <c r="G34" s="76">
        <f>资产资本表!G4</f>
        <v>535954591.54000002</v>
      </c>
      <c r="H34" s="76">
        <f>资产资本表!H4</f>
        <v>528354241.22000003</v>
      </c>
      <c r="I34" s="76">
        <f>资产资本表!I4</f>
        <v>1078240138.8699999</v>
      </c>
      <c r="J34" s="76">
        <f>资产资本表!J4</f>
        <v>339118397.24000001</v>
      </c>
      <c r="K34" s="76">
        <f>资产资本表!K4</f>
        <v>397000886.69999999</v>
      </c>
      <c r="L34" s="76">
        <f>资产资本表!L4</f>
        <v>368744523.05000001</v>
      </c>
      <c r="M34" s="76">
        <f>资产资本表!M4</f>
        <v>312618031.19999999</v>
      </c>
      <c r="N34" s="76">
        <f>资产资本表!N4</f>
        <v>306930411.37</v>
      </c>
      <c r="O34" s="76">
        <f>资产资本表!O4</f>
        <v>288677365.18000001</v>
      </c>
      <c r="P34" s="76">
        <f>资产资本表!P4</f>
        <v>258022907.75</v>
      </c>
      <c r="Q34" s="76">
        <f>资产资本表!Q4</f>
        <v>227120819.91</v>
      </c>
      <c r="R34" s="76">
        <f>资产资本表!R4</f>
        <v>229431380.47999999</v>
      </c>
      <c r="S34" s="76">
        <f>资产资本表!S4</f>
        <v>194521812.88999999</v>
      </c>
      <c r="T34" s="76">
        <f>资产资本表!T4</f>
        <v>160411134.41</v>
      </c>
      <c r="U34" s="76">
        <f>资产资本表!U4</f>
        <v>148680260.31</v>
      </c>
      <c r="V34" s="76">
        <f>资产资本表!V4</f>
        <v>117640298.03</v>
      </c>
      <c r="W34" s="76">
        <f>资产资本表!W4</f>
        <v>162703822.84</v>
      </c>
      <c r="X34" s="76">
        <f>资产资本表!X4</f>
        <v>132240322.95999999</v>
      </c>
      <c r="Y34" s="76">
        <f>资产资本表!Y4</f>
        <v>126775899.48999999</v>
      </c>
      <c r="Z34" s="76">
        <f>资产资本表!Z4</f>
        <v>94799529.849999994</v>
      </c>
      <c r="AA34" s="76">
        <f>资产资本表!AA4</f>
        <v>96455897.629999995</v>
      </c>
      <c r="AB34" s="76">
        <f>资产资本表!AB4</f>
        <v>74553704.019999996</v>
      </c>
      <c r="AC34" s="76">
        <f>资产资本表!AC4</f>
        <v>185517319.38999999</v>
      </c>
      <c r="AD34" s="76">
        <f>资产资本表!AD4</f>
        <v>134987630.12</v>
      </c>
      <c r="AE34" s="76">
        <f>资产资本表!AE4</f>
        <v>121269775.04000001</v>
      </c>
      <c r="AF34" s="76">
        <f>资产资本表!AF4</f>
        <v>180710631.56999999</v>
      </c>
      <c r="AG34" s="76">
        <f>资产资本表!AG4</f>
        <v>223719451.68000001</v>
      </c>
      <c r="AH34" s="76">
        <f>资产资本表!AH4</f>
        <v>304625700.07999998</v>
      </c>
      <c r="AI34" s="76">
        <f>资产资本表!AI4</f>
        <v>339912743.56</v>
      </c>
      <c r="AJ34" s="76">
        <f>资产资本表!AJ4</f>
        <v>256361145.43000001</v>
      </c>
      <c r="AK34" s="76">
        <f>资产资本表!AK4</f>
        <v>218418668.06999999</v>
      </c>
      <c r="AL34" s="76">
        <f>资产资本表!AL4</f>
        <v>142234005.25999999</v>
      </c>
      <c r="AM34" s="76">
        <f>资产资本表!AM4</f>
        <v>132712242.61</v>
      </c>
      <c r="AN34" s="76">
        <f>资产资本表!AN4</f>
        <v>143090344.43000001</v>
      </c>
      <c r="AO34" s="76">
        <f>资产资本表!AO4</f>
        <v>94409400.719999999</v>
      </c>
      <c r="AP34" s="76">
        <f>资产资本表!AP4</f>
        <v>89373038.579999998</v>
      </c>
      <c r="AQ34" s="76">
        <f>资产资本表!AQ4</f>
        <v>109796457.90000001</v>
      </c>
      <c r="AR34" s="76">
        <f>资产资本表!AR4</f>
        <v>113159313.25</v>
      </c>
      <c r="AS34" s="76">
        <f>资产资本表!AS4</f>
        <v>160309449.33000001</v>
      </c>
      <c r="AT34" s="76">
        <f>资产资本表!AT4</f>
        <v>205222650.12</v>
      </c>
      <c r="AU34" s="76">
        <f>资产资本表!AU4</f>
        <v>231610074.34</v>
      </c>
      <c r="AV34" s="76">
        <f>资产资本表!AV4</f>
        <v>244324951.41</v>
      </c>
      <c r="AW34" s="76">
        <f>资产资本表!AW4</f>
        <v>86294866.900000006</v>
      </c>
      <c r="AX34" s="76">
        <f>资产资本表!AX4</f>
        <v>87372178.870000005</v>
      </c>
      <c r="AY34" s="76">
        <f>资产资本表!AY4</f>
        <v>74882838.620000005</v>
      </c>
      <c r="AZ34" s="76">
        <f>资产资本表!AZ4</f>
        <v>92206563.329999998</v>
      </c>
      <c r="BA34" s="76">
        <f>资产资本表!BA4</f>
        <v>116013260.98999999</v>
      </c>
      <c r="BB34" s="76">
        <f>资产资本表!BB4</f>
        <v>76929286.680000007</v>
      </c>
      <c r="BC34" s="76">
        <f>资产资本表!BC4</f>
        <v>56822877.539999999</v>
      </c>
      <c r="BD34" s="76">
        <f>资产资本表!BD4</f>
        <v>61151621.789999999</v>
      </c>
      <c r="BE34" s="76">
        <f>资产资本表!BE4</f>
        <v>90040933.799999997</v>
      </c>
      <c r="BF34" s="76">
        <f>资产资本表!BF4</f>
        <v>103493177.39</v>
      </c>
      <c r="BG34" s="76">
        <f>资产资本表!BG4</f>
        <v>157832520.27000001</v>
      </c>
      <c r="BH34" s="76">
        <f>资产资本表!BH4</f>
        <v>165549418.27000001</v>
      </c>
      <c r="BI34" s="76">
        <f>资产资本表!BI4</f>
        <v>184363966.44</v>
      </c>
      <c r="BJ34" s="76">
        <f>资产资本表!BJ4</f>
        <v>252915507.03999999</v>
      </c>
      <c r="BK34" s="76">
        <f>资产资本表!BK4</f>
        <v>301312103.19999999</v>
      </c>
      <c r="BL34" s="76">
        <f>资产资本表!BL4</f>
        <v>369620785.82999998</v>
      </c>
      <c r="BM34" s="76">
        <f>资产资本表!BM4</f>
        <v>419764979.19999999</v>
      </c>
      <c r="BN34" s="76">
        <f>资产资本表!BN4</f>
        <v>424856147.61000001</v>
      </c>
      <c r="BO34" s="76">
        <f>资产资本表!BO4</f>
        <v>444289951.50999999</v>
      </c>
      <c r="BP34" s="76">
        <f>资产资本表!BP4</f>
        <v>49386377.25</v>
      </c>
      <c r="BQ34" s="76">
        <f>资产资本表!BQ4</f>
        <v>29301999.25</v>
      </c>
      <c r="BR34" s="76">
        <f>资产资本表!BR4</f>
        <v>28088071.710000001</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45"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45"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246917266.59</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45"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45" t="s">
        <v>455</v>
      </c>
      <c r="E38" s="76">
        <f>资产资本表!E8</f>
        <v>50000</v>
      </c>
      <c r="F38" s="76">
        <f>资产资本表!F8</f>
        <v>50000</v>
      </c>
      <c r="G38" s="76">
        <f>资产资本表!G8</f>
        <v>50000</v>
      </c>
      <c r="H38" s="76">
        <f>资产资本表!H8</f>
        <v>50000</v>
      </c>
      <c r="I38" s="76">
        <f>资产资本表!I8</f>
        <v>50000</v>
      </c>
      <c r="J38" s="76">
        <f>资产资本表!J8</f>
        <v>50000</v>
      </c>
      <c r="K38" s="76">
        <f>资产资本表!K8</f>
        <v>50000</v>
      </c>
      <c r="L38" s="76">
        <f>资产资本表!L8</f>
        <v>50000</v>
      </c>
      <c r="M38" s="76">
        <f>资产资本表!M8</f>
        <v>50000</v>
      </c>
      <c r="N38" s="76">
        <f>资产资本表!N8</f>
        <v>50000</v>
      </c>
      <c r="O38" s="76">
        <f>资产资本表!O8</f>
        <v>50000</v>
      </c>
      <c r="P38" s="76">
        <f>资产资本表!P8</f>
        <v>50000</v>
      </c>
      <c r="Q38" s="76">
        <f>资产资本表!Q8</f>
        <v>50000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45"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11953419.17</v>
      </c>
      <c r="AO39" s="76">
        <f>资产资本表!AO9</f>
        <v>11953419.17</v>
      </c>
      <c r="AP39" s="76">
        <f>资产资本表!AP9</f>
        <v>13731180.140000001</v>
      </c>
      <c r="AQ39" s="76">
        <f>资产资本表!AQ9</f>
        <v>13731180.140000001</v>
      </c>
      <c r="AR39" s="76">
        <f>资产资本表!AR9</f>
        <v>13731180.140000001</v>
      </c>
      <c r="AS39" s="76">
        <f>资产资本表!AS9</f>
        <v>13731180.140000001</v>
      </c>
      <c r="AT39" s="76">
        <f>资产资本表!AT9</f>
        <v>25211138.18</v>
      </c>
      <c r="AU39" s="76">
        <f>资产资本表!AU9</f>
        <v>25211138.18</v>
      </c>
      <c r="AV39" s="76">
        <f>资产资本表!AV9</f>
        <v>25211138.18</v>
      </c>
      <c r="AW39" s="76">
        <f>资产资本表!AW9</f>
        <v>25211138.18</v>
      </c>
      <c r="AX39" s="76">
        <f>资产资本表!AX9</f>
        <v>23361109.379999999</v>
      </c>
      <c r="AY39" s="76">
        <f>资产资本表!AY9</f>
        <v>15490906.380000001</v>
      </c>
      <c r="AZ39" s="76">
        <f>资产资本表!AZ9</f>
        <v>14350906.380000001</v>
      </c>
      <c r="BA39" s="76">
        <f>资产资本表!BA9</f>
        <v>14330906.380000001</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113607.5</v>
      </c>
      <c r="BR39" s="76">
        <f>资产资本表!BR9</f>
        <v>91000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45" t="s">
        <v>457</v>
      </c>
      <c r="E40" s="76">
        <f>资产资本表!E10</f>
        <v>0</v>
      </c>
      <c r="F40" s="76">
        <f>资产资本表!F10</f>
        <v>0</v>
      </c>
      <c r="G40" s="76">
        <f>资产资本表!G10</f>
        <v>0</v>
      </c>
      <c r="H40" s="76">
        <f>资产资本表!H10</f>
        <v>21891581.129999999</v>
      </c>
      <c r="I40" s="76">
        <f>资产资本表!I10</f>
        <v>22204594.59</v>
      </c>
      <c r="J40" s="76">
        <f>资产资本表!J10</f>
        <v>22517608.050000001</v>
      </c>
      <c r="K40" s="76">
        <f>资产资本表!K10</f>
        <v>22830621.510000002</v>
      </c>
      <c r="L40" s="76">
        <f>资产资本表!L10</f>
        <v>24544360.710000001</v>
      </c>
      <c r="M40" s="76">
        <f>资产资本表!M10</f>
        <v>24826624.829999998</v>
      </c>
      <c r="N40" s="76">
        <f>资产资本表!N10</f>
        <v>25165451.25</v>
      </c>
      <c r="O40" s="76">
        <f>资产资本表!O10</f>
        <v>25523347.23</v>
      </c>
      <c r="P40" s="76">
        <f>资产资本表!P10</f>
        <v>25862065.920000002</v>
      </c>
      <c r="Q40" s="76">
        <f>资产资本表!Q10</f>
        <v>26181930.510000002</v>
      </c>
      <c r="R40" s="76">
        <f>资产资本表!R10</f>
        <v>26539718.77</v>
      </c>
      <c r="S40" s="76">
        <f>资产资本表!S10</f>
        <v>25334729.190000001</v>
      </c>
      <c r="T40" s="76">
        <f>资产资本表!T10</f>
        <v>25647742.649999999</v>
      </c>
      <c r="U40" s="76">
        <f>资产资本表!U10</f>
        <v>25960756.109999999</v>
      </c>
      <c r="V40" s="76">
        <f>资产资本表!V10</f>
        <v>26273769.57</v>
      </c>
      <c r="W40" s="76">
        <f>资产资本表!W10</f>
        <v>26586783.030000001</v>
      </c>
      <c r="X40" s="76">
        <f>资产资本表!X10</f>
        <v>26899796.489999998</v>
      </c>
      <c r="Y40" s="76">
        <f>资产资本表!Y10</f>
        <v>27212809.949999999</v>
      </c>
      <c r="Z40" s="76">
        <f>资产资本表!Z10</f>
        <v>27525823.41</v>
      </c>
      <c r="AA40" s="76">
        <f>资产资本表!AA10</f>
        <v>27838836.870000001</v>
      </c>
      <c r="AB40" s="76">
        <f>资产资本表!AB10</f>
        <v>28151850.329999998</v>
      </c>
      <c r="AC40" s="76">
        <f>资产资本表!AC10</f>
        <v>28464863.789999999</v>
      </c>
      <c r="AD40" s="76">
        <f>资产资本表!AD10</f>
        <v>28777877.25</v>
      </c>
      <c r="AE40" s="76">
        <f>资产资本表!AE10</f>
        <v>29090890.710000001</v>
      </c>
      <c r="AF40" s="76">
        <f>资产资本表!AF10</f>
        <v>29403904.170000002</v>
      </c>
      <c r="AG40" s="76">
        <f>资产资本表!AG10</f>
        <v>29716917.629999999</v>
      </c>
      <c r="AH40" s="76">
        <f>资产资本表!AH10</f>
        <v>30029931.09</v>
      </c>
      <c r="AI40" s="76">
        <f>资产资本表!AI10</f>
        <v>30342944.550000001</v>
      </c>
      <c r="AJ40" s="76">
        <f>资产资本表!AJ10</f>
        <v>30655958.010000002</v>
      </c>
      <c r="AK40" s="76">
        <f>资产资本表!AK10</f>
        <v>30966519.68</v>
      </c>
      <c r="AL40" s="76">
        <f>资产资本表!AL10</f>
        <v>31473626.199999999</v>
      </c>
      <c r="AM40" s="76">
        <f>资产资本表!AM10</f>
        <v>31788167.890000001</v>
      </c>
      <c r="AN40" s="76">
        <f>资产资本表!AN10</f>
        <v>32102709.579999998</v>
      </c>
      <c r="AO40" s="76">
        <f>资产资本表!AO10</f>
        <v>32208766.399999999</v>
      </c>
      <c r="AP40" s="76">
        <f>资产资本表!AP10</f>
        <v>32520182.109999999</v>
      </c>
      <c r="AQ40" s="76">
        <f>资产资本表!AQ10</f>
        <v>32830692.550000001</v>
      </c>
      <c r="AR40" s="76">
        <f>资产资本表!AR10</f>
        <v>33141202.989999998</v>
      </c>
      <c r="AS40" s="76">
        <f>资产资本表!AS10</f>
        <v>33451713.43</v>
      </c>
      <c r="AT40" s="76">
        <f>资产资本表!AT10</f>
        <v>33762223.869999997</v>
      </c>
      <c r="AU40" s="76">
        <f>资产资本表!AU10</f>
        <v>34072734.310000002</v>
      </c>
      <c r="AV40" s="76">
        <f>资产资本表!AV10</f>
        <v>34383244.75</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45"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45"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46" t="s">
        <v>460</v>
      </c>
      <c r="E43" s="76">
        <f>SUM(E34:E42)</f>
        <v>713992695.25</v>
      </c>
      <c r="F43" s="76">
        <f t="shared" ref="F43:BQ43" si="14">SUM(F34:F42)</f>
        <v>601621716.59000003</v>
      </c>
      <c r="G43" s="76">
        <f t="shared" si="14"/>
        <v>536004591.54000002</v>
      </c>
      <c r="H43" s="76">
        <f t="shared" si="14"/>
        <v>550295822.35000002</v>
      </c>
      <c r="I43" s="76">
        <f t="shared" si="14"/>
        <v>1100494733.4599998</v>
      </c>
      <c r="J43" s="76">
        <f t="shared" si="14"/>
        <v>361686005.29000002</v>
      </c>
      <c r="K43" s="76">
        <f t="shared" si="14"/>
        <v>419881508.20999998</v>
      </c>
      <c r="L43" s="76">
        <f t="shared" si="14"/>
        <v>393338883.75999999</v>
      </c>
      <c r="M43" s="76">
        <f t="shared" si="14"/>
        <v>337494656.02999997</v>
      </c>
      <c r="N43" s="76">
        <f t="shared" si="14"/>
        <v>332145862.62</v>
      </c>
      <c r="O43" s="76">
        <f t="shared" si="14"/>
        <v>314250712.41000003</v>
      </c>
      <c r="P43" s="76">
        <f t="shared" si="14"/>
        <v>283934973.67000002</v>
      </c>
      <c r="Q43" s="76">
        <f t="shared" si="14"/>
        <v>253352750.41999999</v>
      </c>
      <c r="R43" s="76">
        <f t="shared" si="14"/>
        <v>255971099.25</v>
      </c>
      <c r="S43" s="76">
        <f t="shared" si="14"/>
        <v>219856542.07999998</v>
      </c>
      <c r="T43" s="76">
        <f t="shared" si="14"/>
        <v>186058877.06</v>
      </c>
      <c r="U43" s="76">
        <f t="shared" si="14"/>
        <v>174641016.42000002</v>
      </c>
      <c r="V43" s="76">
        <f t="shared" si="14"/>
        <v>143914067.59999999</v>
      </c>
      <c r="W43" s="76">
        <f t="shared" si="14"/>
        <v>189290605.87</v>
      </c>
      <c r="X43" s="76">
        <f t="shared" si="14"/>
        <v>159140119.44999999</v>
      </c>
      <c r="Y43" s="76">
        <f t="shared" si="14"/>
        <v>153988709.44</v>
      </c>
      <c r="Z43" s="76">
        <f t="shared" si="14"/>
        <v>122325353.25999999</v>
      </c>
      <c r="AA43" s="76">
        <f t="shared" si="14"/>
        <v>124294734.5</v>
      </c>
      <c r="AB43" s="76">
        <f t="shared" si="14"/>
        <v>102705554.34999999</v>
      </c>
      <c r="AC43" s="76">
        <f t="shared" si="14"/>
        <v>213982183.17999998</v>
      </c>
      <c r="AD43" s="76">
        <f t="shared" si="14"/>
        <v>163765507.37</v>
      </c>
      <c r="AE43" s="76">
        <f t="shared" si="14"/>
        <v>150360665.75</v>
      </c>
      <c r="AF43" s="76">
        <f t="shared" si="14"/>
        <v>210114535.74000001</v>
      </c>
      <c r="AG43" s="76">
        <f t="shared" si="14"/>
        <v>253436369.31</v>
      </c>
      <c r="AH43" s="76">
        <f t="shared" si="14"/>
        <v>334655631.16999996</v>
      </c>
      <c r="AI43" s="76">
        <f t="shared" si="14"/>
        <v>370255688.11000001</v>
      </c>
      <c r="AJ43" s="76">
        <f t="shared" si="14"/>
        <v>287017103.44</v>
      </c>
      <c r="AK43" s="76">
        <f t="shared" si="14"/>
        <v>249385187.75</v>
      </c>
      <c r="AL43" s="76">
        <f t="shared" si="14"/>
        <v>173707631.45999998</v>
      </c>
      <c r="AM43" s="76">
        <f t="shared" si="14"/>
        <v>164500410.5</v>
      </c>
      <c r="AN43" s="76">
        <f t="shared" si="14"/>
        <v>187146473.18000001</v>
      </c>
      <c r="AO43" s="76">
        <f t="shared" si="14"/>
        <v>138571586.28999999</v>
      </c>
      <c r="AP43" s="76">
        <f t="shared" si="14"/>
        <v>135624400.82999998</v>
      </c>
      <c r="AQ43" s="76">
        <f t="shared" si="14"/>
        <v>156358330.59</v>
      </c>
      <c r="AR43" s="76">
        <f t="shared" si="14"/>
        <v>160031696.38</v>
      </c>
      <c r="AS43" s="76">
        <f t="shared" si="14"/>
        <v>207492342.90000004</v>
      </c>
      <c r="AT43" s="76">
        <f t="shared" si="14"/>
        <v>264196012.17000002</v>
      </c>
      <c r="AU43" s="76">
        <f t="shared" si="14"/>
        <v>290893946.83000004</v>
      </c>
      <c r="AV43" s="76">
        <f t="shared" si="14"/>
        <v>303919334.33999997</v>
      </c>
      <c r="AW43" s="76">
        <f t="shared" si="14"/>
        <v>111506005.08000001</v>
      </c>
      <c r="AX43" s="76">
        <f t="shared" si="14"/>
        <v>110733288.25</v>
      </c>
      <c r="AY43" s="76">
        <f t="shared" si="14"/>
        <v>90373745</v>
      </c>
      <c r="AZ43" s="76">
        <f t="shared" si="14"/>
        <v>353474736.30000001</v>
      </c>
      <c r="BA43" s="76">
        <f t="shared" si="14"/>
        <v>130344167.36999999</v>
      </c>
      <c r="BB43" s="76">
        <f t="shared" si="14"/>
        <v>76929286.680000007</v>
      </c>
      <c r="BC43" s="76">
        <f t="shared" si="14"/>
        <v>56822877.539999999</v>
      </c>
      <c r="BD43" s="76">
        <f t="shared" si="14"/>
        <v>61151621.789999999</v>
      </c>
      <c r="BE43" s="76">
        <f t="shared" si="14"/>
        <v>90040933.799999997</v>
      </c>
      <c r="BF43" s="76">
        <f t="shared" si="14"/>
        <v>103493177.39</v>
      </c>
      <c r="BG43" s="76">
        <f t="shared" si="14"/>
        <v>157832520.27000001</v>
      </c>
      <c r="BH43" s="76">
        <f t="shared" si="14"/>
        <v>165549418.27000001</v>
      </c>
      <c r="BI43" s="76">
        <f t="shared" si="14"/>
        <v>184363966.44</v>
      </c>
      <c r="BJ43" s="76">
        <f t="shared" si="14"/>
        <v>252915507.03999999</v>
      </c>
      <c r="BK43" s="76">
        <f t="shared" si="14"/>
        <v>301312103.19999999</v>
      </c>
      <c r="BL43" s="76">
        <f t="shared" si="14"/>
        <v>369620785.82999998</v>
      </c>
      <c r="BM43" s="76">
        <f t="shared" si="14"/>
        <v>419764979.19999999</v>
      </c>
      <c r="BN43" s="76">
        <f t="shared" si="14"/>
        <v>424856147.61000001</v>
      </c>
      <c r="BO43" s="76">
        <f t="shared" si="14"/>
        <v>444289951.50999999</v>
      </c>
      <c r="BP43" s="76">
        <f t="shared" si="14"/>
        <v>49386377.25</v>
      </c>
      <c r="BQ43" s="76">
        <f t="shared" si="14"/>
        <v>29415606.75</v>
      </c>
      <c r="BR43" s="76">
        <f t="shared" ref="BR43:CJ43" si="15">SUM(BR34:BR42)</f>
        <v>28179071.710000001</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09" customFormat="1">
      <c r="A44" s="143" t="s">
        <v>461</v>
      </c>
      <c r="E44" s="109">
        <f>E32/E43</f>
        <v>3.9275431487988486E-3</v>
      </c>
      <c r="F44" s="109">
        <f t="shared" ref="F44:BQ44" si="16">F32/F43</f>
        <v>1.8291789386016197E-2</v>
      </c>
      <c r="G44" s="109">
        <f t="shared" si="16"/>
        <v>9.5213888330395111E-3</v>
      </c>
      <c r="H44" s="109">
        <f t="shared" si="16"/>
        <v>1.7766772666194216E-3</v>
      </c>
      <c r="I44" s="109">
        <f t="shared" si="16"/>
        <v>1.4417640743922572E-2</v>
      </c>
      <c r="J44" s="109">
        <f t="shared" si="16"/>
        <v>-1.3453276928011401E-3</v>
      </c>
      <c r="K44" s="109">
        <f t="shared" si="16"/>
        <v>5.4623321007469833E-4</v>
      </c>
      <c r="L44" s="109">
        <f t="shared" si="16"/>
        <v>-2.4313569305492057E-5</v>
      </c>
      <c r="M44" s="109">
        <f t="shared" si="16"/>
        <v>2.4272733366643817E-2</v>
      </c>
      <c r="N44" s="109">
        <f t="shared" si="16"/>
        <v>3.3286661021380247E-3</v>
      </c>
      <c r="O44" s="109">
        <f t="shared" si="16"/>
        <v>2.2880953678868199E-3</v>
      </c>
      <c r="P44" s="109">
        <f t="shared" si="16"/>
        <v>0</v>
      </c>
      <c r="Q44" s="109">
        <f t="shared" si="16"/>
        <v>8.9341079437487755E-3</v>
      </c>
      <c r="R44" s="109">
        <f t="shared" si="16"/>
        <v>1.1322189846309904E-5</v>
      </c>
      <c r="S44" s="109">
        <f t="shared" si="16"/>
        <v>1.3258493344875967E-5</v>
      </c>
      <c r="T44" s="109">
        <f t="shared" si="16"/>
        <v>0</v>
      </c>
      <c r="U44" s="109">
        <f t="shared" si="16"/>
        <v>-1.5028118447912932E-2</v>
      </c>
      <c r="V44" s="109">
        <f t="shared" si="16"/>
        <v>2.7741860267821521E-5</v>
      </c>
      <c r="W44" s="109">
        <f t="shared" si="16"/>
        <v>2.0837361259181404E-5</v>
      </c>
      <c r="X44" s="109">
        <f t="shared" si="16"/>
        <v>0</v>
      </c>
      <c r="Y44" s="109">
        <f t="shared" si="16"/>
        <v>1.8230765212884597E-3</v>
      </c>
      <c r="Z44" s="109">
        <f t="shared" si="16"/>
        <v>2.6061269992625212E-4</v>
      </c>
      <c r="AA44" s="109">
        <f t="shared" si="16"/>
        <v>1.5302721270353485E-4</v>
      </c>
      <c r="AB44" s="109">
        <f t="shared" si="16"/>
        <v>1.0930955637312206E-4</v>
      </c>
      <c r="AC44" s="109">
        <f t="shared" si="16"/>
        <v>2.7141563365064139E-2</v>
      </c>
      <c r="AD44" s="109">
        <f t="shared" si="16"/>
        <v>3.1193768925993643E-2</v>
      </c>
      <c r="AE44" s="109">
        <f t="shared" si="16"/>
        <v>3.4725344229880654E-2</v>
      </c>
      <c r="AF44" s="109">
        <f t="shared" si="16"/>
        <v>-2.3052176887111429E-4</v>
      </c>
      <c r="AG44" s="109">
        <f t="shared" si="16"/>
        <v>6.014896106718441E-3</v>
      </c>
      <c r="AH44" s="109">
        <f t="shared" si="16"/>
        <v>-4.8020009869115905E-4</v>
      </c>
      <c r="AI44" s="109">
        <f t="shared" si="16"/>
        <v>-2.889355590705586E-4</v>
      </c>
      <c r="AJ44" s="109">
        <f t="shared" si="16"/>
        <v>-1.9247152428724176E-4</v>
      </c>
      <c r="AK44" s="109">
        <f t="shared" si="16"/>
        <v>1.9502496384171279E-2</v>
      </c>
      <c r="AL44" s="109">
        <f t="shared" si="16"/>
        <v>2.9699963506065161E-2</v>
      </c>
      <c r="AM44" s="109">
        <f t="shared" si="16"/>
        <v>3.180400255981445E-2</v>
      </c>
      <c r="AN44" s="109">
        <f t="shared" si="16"/>
        <v>-2.9475347704640187E-4</v>
      </c>
      <c r="AO44" s="109">
        <f t="shared" si="16"/>
        <v>2.7888105659496582E-2</v>
      </c>
      <c r="AP44" s="109">
        <f t="shared" si="16"/>
        <v>-1.0814535143614497E-3</v>
      </c>
      <c r="AQ44" s="109">
        <f t="shared" si="16"/>
        <v>-6.4878906001488367E-4</v>
      </c>
      <c r="AR44" s="109">
        <f t="shared" si="16"/>
        <v>-3.0313245987115809E-4</v>
      </c>
      <c r="AS44" s="109">
        <f t="shared" si="16"/>
        <v>2.7028008707169014E-2</v>
      </c>
      <c r="AT44" s="109">
        <f t="shared" si="16"/>
        <v>6.5626334167277452E-3</v>
      </c>
      <c r="AU44" s="109">
        <f t="shared" si="16"/>
        <v>4.457901661771819E-3</v>
      </c>
      <c r="AV44" s="109">
        <f t="shared" si="16"/>
        <v>0</v>
      </c>
      <c r="AW44" s="109">
        <f t="shared" si="16"/>
        <v>-2.567422630780393E-3</v>
      </c>
      <c r="AX44" s="109">
        <f t="shared" si="16"/>
        <v>-1.2012015780234334E-3</v>
      </c>
      <c r="AY44" s="109">
        <f t="shared" si="16"/>
        <v>-9.8037506595432589E-4</v>
      </c>
      <c r="AZ44" s="109">
        <f t="shared" si="16"/>
        <v>-1.2469911987970651E-4</v>
      </c>
      <c r="BA44" s="109">
        <f t="shared" si="16"/>
        <v>-1.3231706500833251E-3</v>
      </c>
      <c r="BB44" s="109">
        <f t="shared" si="16"/>
        <v>-1.6823966060061425E-3</v>
      </c>
      <c r="BC44" s="109">
        <f t="shared" si="16"/>
        <v>-1.5307739136887464E-3</v>
      </c>
      <c r="BD44" s="109">
        <f t="shared" si="16"/>
        <v>-7.1622621725776986E-4</v>
      </c>
      <c r="BE44" s="109">
        <f t="shared" si="16"/>
        <v>-4.7045312978269952E-4</v>
      </c>
      <c r="BF44" s="109">
        <f t="shared" si="16"/>
        <v>0</v>
      </c>
      <c r="BG44" s="109">
        <f t="shared" si="16"/>
        <v>0</v>
      </c>
      <c r="BH44" s="109">
        <f t="shared" si="16"/>
        <v>0</v>
      </c>
      <c r="BI44" s="109">
        <f t="shared" si="16"/>
        <v>0</v>
      </c>
      <c r="BJ44" s="109">
        <f t="shared" si="16"/>
        <v>0</v>
      </c>
      <c r="BK44" s="109">
        <f t="shared" si="16"/>
        <v>0</v>
      </c>
      <c r="BL44" s="109">
        <f t="shared" si="16"/>
        <v>0</v>
      </c>
      <c r="BM44" s="109">
        <f t="shared" si="16"/>
        <v>4.4899851239238133E-4</v>
      </c>
      <c r="BN44" s="109">
        <f t="shared" si="16"/>
        <v>0</v>
      </c>
      <c r="BO44" s="109">
        <f t="shared" si="16"/>
        <v>1.6448812357986525E-3</v>
      </c>
      <c r="BP44" s="109">
        <f t="shared" si="16"/>
        <v>-1.0530368560839898E-3</v>
      </c>
      <c r="BQ44" s="109">
        <f t="shared" si="16"/>
        <v>6.6842649877153389E-3</v>
      </c>
      <c r="BR44" s="109">
        <f t="shared" ref="BR44:CK44" si="17">BR32/BR43</f>
        <v>0</v>
      </c>
      <c r="BS44" s="109" t="e">
        <f t="shared" si="17"/>
        <v>#DIV/0!</v>
      </c>
      <c r="BT44" s="109" t="e">
        <f t="shared" si="17"/>
        <v>#DIV/0!</v>
      </c>
      <c r="BU44" s="109" t="e">
        <f t="shared" si="17"/>
        <v>#DIV/0!</v>
      </c>
      <c r="BV44" s="109" t="e">
        <f t="shared" si="17"/>
        <v>#DIV/0!</v>
      </c>
      <c r="BW44" s="109" t="e">
        <f t="shared" si="17"/>
        <v>#DIV/0!</v>
      </c>
      <c r="BX44" s="109" t="e">
        <f t="shared" si="17"/>
        <v>#DIV/0!</v>
      </c>
      <c r="BY44" s="109" t="e">
        <f t="shared" si="17"/>
        <v>#DIV/0!</v>
      </c>
      <c r="BZ44" s="109" t="e">
        <f t="shared" si="17"/>
        <v>#DIV/0!</v>
      </c>
      <c r="CA44" s="109" t="e">
        <f t="shared" si="17"/>
        <v>#DIV/0!</v>
      </c>
      <c r="CB44" s="109" t="e">
        <f t="shared" si="17"/>
        <v>#DIV/0!</v>
      </c>
      <c r="CC44" s="109" t="e">
        <f t="shared" si="17"/>
        <v>#DIV/0!</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c r="A45" s="277" t="s">
        <v>694</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c r="A46" s="57" t="s">
        <v>695</v>
      </c>
      <c r="E46" s="57">
        <f>E43/资产资本表!E70</f>
        <v>0.21902796041024553</v>
      </c>
      <c r="F46" s="57">
        <f>F43/资产资本表!F70</f>
        <v>0.1882636614517475</v>
      </c>
      <c r="G46" s="57">
        <f>G43/资产资本表!G70</f>
        <v>0.16863151755357658</v>
      </c>
      <c r="H46" s="57">
        <f>H43/资产资本表!H70</f>
        <v>0.17669178719876411</v>
      </c>
      <c r="I46" s="57">
        <f>I43/资产资本表!I70</f>
        <v>0.36090499634566831</v>
      </c>
      <c r="J46" s="57">
        <f>J43/资产资本表!J70</f>
        <v>0.15554151895773324</v>
      </c>
      <c r="K46" s="57">
        <f>K43/资产资本表!K70</f>
        <v>0.17889754791717719</v>
      </c>
      <c r="L46" s="57">
        <f>L43/资产资本表!L70</f>
        <v>0.16577128468051319</v>
      </c>
      <c r="M46" s="57">
        <f>M43/资产资本表!M70</f>
        <v>0.1506497199611479</v>
      </c>
      <c r="N46" s="57">
        <f>N43/资产资本表!N70</f>
        <v>0.1471071693327021</v>
      </c>
      <c r="O46" s="57">
        <f>O43/资产资本表!O70</f>
        <v>0.13537820981104079</v>
      </c>
      <c r="P46" s="57">
        <f>P43/资产资本表!P70</f>
        <v>0.12299529951022783</v>
      </c>
      <c r="Q46" s="57">
        <f>Q43/资产资本表!Q70</f>
        <v>0.11291646912543372</v>
      </c>
      <c r="R46" s="57">
        <f>R43/资产资本表!R70</f>
        <v>0.11384064005126533</v>
      </c>
      <c r="S46" s="57">
        <f>S43/资产资本表!S70</f>
        <v>0.10117714381945796</v>
      </c>
      <c r="T46" s="57">
        <f>T43/资产资本表!T70</f>
        <v>8.7933001804989669E-2</v>
      </c>
      <c r="U46" s="57">
        <f>U43/资产资本表!U70</f>
        <v>8.2367470116707808E-2</v>
      </c>
      <c r="V46" s="57">
        <f>V43/资产资本表!V70</f>
        <v>6.8460544767971879E-2</v>
      </c>
      <c r="W46" s="57">
        <f>W43/资产资本表!W70</f>
        <v>9.0253793691554549E-2</v>
      </c>
      <c r="X46" s="57">
        <f>X43/资产资本表!X70</f>
        <v>7.6101614026280878E-2</v>
      </c>
      <c r="Y46" s="57">
        <f>Y43/资产资本表!Y70</f>
        <v>7.4777274184410158E-2</v>
      </c>
      <c r="Z46" s="57">
        <f>Z43/资产资本表!Z70</f>
        <v>6.0095904329346174E-2</v>
      </c>
      <c r="AA46" s="57">
        <f>AA43/资产资本表!AA70</f>
        <v>6.2198999233886484E-2</v>
      </c>
      <c r="AB46" s="57">
        <f>AB43/资产资本表!AB70</f>
        <v>5.3008153132419161E-2</v>
      </c>
      <c r="AC46" s="57">
        <f>AC43/资产资本表!AC70</f>
        <v>0.11187786081041096</v>
      </c>
      <c r="AD46" s="57">
        <f>AD43/资产资本表!AD70</f>
        <v>8.6283932999127705E-2</v>
      </c>
      <c r="AE46" s="57">
        <f>AE43/资产资本表!AE70</f>
        <v>8.1756286262792049E-2</v>
      </c>
      <c r="AF46" s="57">
        <f>AF43/资产资本表!AF70</f>
        <v>0.11043812789437774</v>
      </c>
      <c r="AG46" s="57">
        <f>AG43/资产资本表!AG70</f>
        <v>0.13552743940886364</v>
      </c>
      <c r="AH46" s="57">
        <f>AH43/资产资本表!AH70</f>
        <v>0.18116350878229903</v>
      </c>
      <c r="AI46" s="57">
        <f>AI43/资产资本表!AI70</f>
        <v>0.2034175578379723</v>
      </c>
      <c r="AJ46" s="57">
        <f>AJ43/资产资本表!AJ70</f>
        <v>0.16684842793511628</v>
      </c>
      <c r="AK46" s="57">
        <f>AK43/资产资本表!AK70</f>
        <v>0.14438531933076629</v>
      </c>
      <c r="AL46" s="57">
        <f>AL43/资产资本表!AL70</f>
        <v>0.1026437820485499</v>
      </c>
      <c r="AM46" s="57">
        <f>AM43/资产资本表!AM70</f>
        <v>0.10047559093917521</v>
      </c>
      <c r="AN46" s="57">
        <f>AN43/资产资本表!AN70</f>
        <v>0.11415322901477926</v>
      </c>
      <c r="AO46" s="57">
        <f>AO43/资产资本表!AO70</f>
        <v>8.7056119427057724E-2</v>
      </c>
      <c r="AP46" s="57">
        <f>AP43/资产资本表!AP70</f>
        <v>8.7740592455672381E-2</v>
      </c>
      <c r="AQ46" s="57">
        <f>AQ43/资产资本表!AQ70</f>
        <v>0.10303176215528864</v>
      </c>
      <c r="AR46" s="57">
        <f>AR43/资产资本表!AR70</f>
        <v>0.10810019406876888</v>
      </c>
      <c r="AS46" s="57">
        <f>AS43/资产资本表!AS70</f>
        <v>0.14316163900889278</v>
      </c>
      <c r="AT46" s="57">
        <f>AT43/资产资本表!AT70</f>
        <v>0.18266610023072877</v>
      </c>
      <c r="AU46" s="57">
        <f>AU43/资产资本表!AU70</f>
        <v>0.20488005450511038</v>
      </c>
      <c r="AV46" s="57">
        <f>AV43/资产资本表!AV70</f>
        <v>0.21398580615105137</v>
      </c>
      <c r="AW46" s="57">
        <f>AW43/资产资本表!AW70</f>
        <v>9.2144736108894593E-2</v>
      </c>
      <c r="AX46" s="57">
        <f>AX43/资产资本表!AX70</f>
        <v>9.2592935530046633E-2</v>
      </c>
      <c r="AY46" s="57">
        <f>AY43/资产资本表!AY70</f>
        <v>7.7725865029021915E-2</v>
      </c>
      <c r="AZ46" s="57">
        <f>AZ43/资产资本表!AZ70</f>
        <v>0.30745560637346392</v>
      </c>
      <c r="BA46" s="57">
        <f>BA43/资产资本表!BA70</f>
        <v>0.11497582727253089</v>
      </c>
      <c r="BB46" s="57">
        <f>BB43/资产资本表!BB70</f>
        <v>7.6005002819328427E-2</v>
      </c>
      <c r="BC46" s="57">
        <f>BC43/资产资本表!BC70</f>
        <v>5.8180029067730142E-2</v>
      </c>
      <c r="BD46" s="57">
        <f>BD43/资产资本表!BD70</f>
        <v>6.2499935319009485E-2</v>
      </c>
      <c r="BE46" s="57">
        <f>BE43/资产资本表!BE70</f>
        <v>9.3830492511384977E-2</v>
      </c>
      <c r="BF46" s="57">
        <f>BF43/资产资本表!BF70</f>
        <v>0.11484648473245203</v>
      </c>
      <c r="BG46" s="57">
        <f>BG43/资产资本表!BG70</f>
        <v>0.17507088572831941</v>
      </c>
      <c r="BH46" s="57">
        <f>BH43/资产资本表!BH70</f>
        <v>0.19456775065760309</v>
      </c>
      <c r="BI46" s="57">
        <f>BI43/资产资本表!BI70</f>
        <v>0.23238679619988317</v>
      </c>
      <c r="BJ46" s="57">
        <f>BJ43/资产资本表!BJ70</f>
        <v>0.3241982383934422</v>
      </c>
      <c r="BK46" s="57">
        <f>BK43/资产资本表!BK70</f>
        <v>0.39554884555331243</v>
      </c>
      <c r="BL46" s="57">
        <f>BL43/资产资本表!BL70</f>
        <v>0.49189835482267119</v>
      </c>
      <c r="BM46" s="57">
        <f>BM43/资产资本表!BM70</f>
        <v>0.56752631110539142</v>
      </c>
      <c r="BN46" s="57">
        <f>BN43/资产资本表!BN70</f>
        <v>0.59060326157561904</v>
      </c>
      <c r="BO46" s="57">
        <f>BO43/资产资本表!BO70</f>
        <v>0.60052116607801487</v>
      </c>
      <c r="BP46" s="57">
        <f>BP43/资产资本表!BP70</f>
        <v>0.15478679014678859</v>
      </c>
      <c r="BQ46" s="57">
        <f>BQ43/资产资本表!BQ70</f>
        <v>0.11119434020291087</v>
      </c>
      <c r="BR46" s="57">
        <f>BR43/资产资本表!BR70</f>
        <v>0.11378569128685591</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c r="A48" s="117"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37256</v>
      </c>
      <c r="BQ48" s="1">
        <v>37072</v>
      </c>
      <c r="BR48" s="1">
        <v>36891</v>
      </c>
      <c r="BS48" s="1">
        <v>36525</v>
      </c>
      <c r="BT48" s="1">
        <v>25569</v>
      </c>
      <c r="BU48" s="1"/>
      <c r="BV48" s="1"/>
      <c r="BW48" s="1"/>
      <c r="BX48" s="1"/>
      <c r="BY48" s="1"/>
      <c r="BZ48" s="1"/>
      <c r="CA48" s="1"/>
      <c r="CB48" s="1"/>
      <c r="CC48" s="1"/>
      <c r="CD48" s="1"/>
      <c r="CE48" s="1"/>
      <c r="CF48" s="1"/>
      <c r="CG48" s="1"/>
      <c r="CH48" s="1"/>
      <c r="CI48" s="1"/>
      <c r="CJ48" s="1"/>
      <c r="CK48" s="1"/>
    </row>
    <row r="49" spans="1:89" s="76" customFormat="1">
      <c r="A49" s="145" t="s">
        <v>463</v>
      </c>
      <c r="E49" s="76">
        <f>利润表!E4</f>
        <v>2330488351.6700001</v>
      </c>
      <c r="F49" s="76">
        <f>利润表!F4</f>
        <v>1704720603.5799999</v>
      </c>
      <c r="G49" s="76">
        <f>利润表!G4</f>
        <v>1150037339.97</v>
      </c>
      <c r="H49" s="76">
        <f>利润表!H4</f>
        <v>574570999.27999997</v>
      </c>
      <c r="I49" s="76">
        <f>利润表!I4</f>
        <v>2057473059.6500001</v>
      </c>
      <c r="J49" s="76">
        <f>利润表!J4</f>
        <v>1447732454.8499999</v>
      </c>
      <c r="K49" s="76">
        <f>利润表!K4</f>
        <v>971033253.88</v>
      </c>
      <c r="L49" s="76">
        <f>利润表!L4</f>
        <v>450581543.13999999</v>
      </c>
      <c r="M49" s="76">
        <f>利润表!M4</f>
        <v>1723207165.99</v>
      </c>
      <c r="N49" s="76">
        <f>利润表!N4</f>
        <v>1310745450.45</v>
      </c>
      <c r="O49" s="76">
        <f>利润表!O4</f>
        <v>892965130.71000004</v>
      </c>
      <c r="P49" s="76">
        <f>利润表!P4</f>
        <v>415868291.43000001</v>
      </c>
      <c r="Q49" s="76">
        <f>利润表!Q4</f>
        <v>1691112456.28</v>
      </c>
      <c r="R49" s="76">
        <f>利润表!R4</f>
        <v>1230791444.55</v>
      </c>
      <c r="S49" s="76">
        <f>利润表!S4</f>
        <v>813544477.90999997</v>
      </c>
      <c r="T49" s="76">
        <f>利润表!T4</f>
        <v>390024307.39999998</v>
      </c>
      <c r="U49" s="76">
        <f>利润表!U4</f>
        <v>1544544952.0599999</v>
      </c>
      <c r="V49" s="76">
        <f>利润表!V4</f>
        <v>1122396553.02</v>
      </c>
      <c r="W49" s="76">
        <f>利润表!W4</f>
        <v>758927999.57000005</v>
      </c>
      <c r="X49" s="76">
        <f>利润表!X4</f>
        <v>357205871.04000002</v>
      </c>
      <c r="Y49" s="76">
        <f>利润表!Y4</f>
        <v>1468092831.3699999</v>
      </c>
      <c r="Z49" s="76">
        <f>利润表!Z4</f>
        <v>1071348975.9400001</v>
      </c>
      <c r="AA49" s="76">
        <f>利润表!AA4</f>
        <v>712807830.32000005</v>
      </c>
      <c r="AB49" s="76">
        <f>利润表!AB4</f>
        <v>327266570.35000002</v>
      </c>
      <c r="AC49" s="76">
        <f>利润表!AC4</f>
        <v>1397177995.0899999</v>
      </c>
      <c r="AD49" s="76">
        <f>利润表!AD4</f>
        <v>1078566017.5699999</v>
      </c>
      <c r="AE49" s="76">
        <f>利润表!AE4</f>
        <v>740726211.59000003</v>
      </c>
      <c r="AF49" s="76">
        <f>利润表!AF4</f>
        <v>374073213.12</v>
      </c>
      <c r="AG49" s="76">
        <f>利润表!AG4</f>
        <v>1513418307.2</v>
      </c>
      <c r="AH49" s="76">
        <f>利润表!AH4</f>
        <v>1059696048.1799999</v>
      </c>
      <c r="AI49" s="76">
        <f>利润表!AI4</f>
        <v>704411712.97000003</v>
      </c>
      <c r="AJ49" s="76">
        <f>利润表!AJ4</f>
        <v>336232983.76999998</v>
      </c>
      <c r="AK49" s="76">
        <f>利润表!AK4</f>
        <v>1242158522.8800001</v>
      </c>
      <c r="AL49" s="76">
        <f>利润表!AL4</f>
        <v>858937268.99000001</v>
      </c>
      <c r="AM49" s="76">
        <f>利润表!AM4</f>
        <v>562273598.74000001</v>
      </c>
      <c r="AN49" s="76">
        <f>利润表!AN4</f>
        <v>266084878.52000001</v>
      </c>
      <c r="AO49" s="76">
        <f>利润表!AO4</f>
        <v>1158292067.4300001</v>
      </c>
      <c r="AP49" s="76">
        <f>利润表!AP4</f>
        <v>895209049.78999996</v>
      </c>
      <c r="AQ49" s="76">
        <f>利润表!AQ4</f>
        <v>566191025.21000004</v>
      </c>
      <c r="AR49" s="76">
        <f>利润表!AR4</f>
        <v>252070387.78999999</v>
      </c>
      <c r="AS49" s="76">
        <f>利润表!AS4</f>
        <v>1012129757.92</v>
      </c>
      <c r="AT49" s="76">
        <f>利润表!AT4</f>
        <v>746141351.75999999</v>
      </c>
      <c r="AU49" s="76">
        <f>利润表!AU4</f>
        <v>484537373.37</v>
      </c>
      <c r="AV49" s="76">
        <f>利润表!AV4</f>
        <v>223429170.63999999</v>
      </c>
      <c r="AW49" s="76">
        <f>利润表!AW4</f>
        <v>826714232.19000006</v>
      </c>
      <c r="AX49" s="76">
        <f>利润表!AX4</f>
        <v>604132127.04999995</v>
      </c>
      <c r="AY49" s="76">
        <f>利润表!AY4</f>
        <v>397478607.14999998</v>
      </c>
      <c r="AZ49" s="76">
        <f>利润表!AZ4</f>
        <v>206387131.80000001</v>
      </c>
      <c r="BA49" s="76">
        <f>利润表!BA4</f>
        <v>672138979.24000001</v>
      </c>
      <c r="BB49" s="76">
        <f>利润表!BB4</f>
        <v>487785389.63999999</v>
      </c>
      <c r="BC49" s="76">
        <f>利润表!BC4</f>
        <v>325059703.41000003</v>
      </c>
      <c r="BD49" s="76">
        <f>利润表!BD4</f>
        <v>152709264.69999999</v>
      </c>
      <c r="BE49" s="76">
        <f>利润表!BE4</f>
        <v>560177649.26999998</v>
      </c>
      <c r="BF49" s="76">
        <f>利润表!BF4</f>
        <v>400883377.24000001</v>
      </c>
      <c r="BG49" s="76">
        <f>利润表!BG4</f>
        <v>266980572.90000001</v>
      </c>
      <c r="BH49" s="76">
        <f>利润表!BH4</f>
        <v>133017428.58</v>
      </c>
      <c r="BI49" s="76">
        <f>利润表!BI4</f>
        <v>467989529.66000003</v>
      </c>
      <c r="BJ49" s="76">
        <f>利润表!BJ4</f>
        <v>349199614.76999998</v>
      </c>
      <c r="BK49" s="76">
        <f>利润表!BK4</f>
        <v>236419705.41999999</v>
      </c>
      <c r="BL49" s="76">
        <f>利润表!BL4</f>
        <v>91150481.840000004</v>
      </c>
      <c r="BM49" s="76">
        <f>利润表!BM4</f>
        <v>422318260.42000002</v>
      </c>
      <c r="BN49" s="76">
        <f>利润表!BN4</f>
        <v>293379263.36000001</v>
      </c>
      <c r="BO49" s="76">
        <f>利润表!BO4</f>
        <v>187830345.75999999</v>
      </c>
      <c r="BP49" s="76">
        <f>利润表!BP4</f>
        <v>350108854.74000001</v>
      </c>
      <c r="BQ49" s="76">
        <f>利润表!BQ4</f>
        <v>160917980.02000001</v>
      </c>
      <c r="BR49" s="76">
        <f>利润表!BR4</f>
        <v>293114742.19</v>
      </c>
      <c r="BS49" s="76">
        <f>利润表!BS4</f>
        <v>231107107.62</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45" t="s">
        <v>464</v>
      </c>
      <c r="E50" s="76">
        <f>资产资本表!E50</f>
        <v>1115764343.2399998</v>
      </c>
      <c r="F50" s="76">
        <f>资产资本表!F50</f>
        <v>1163318004.6999998</v>
      </c>
      <c r="G50" s="76">
        <f>资产资本表!G50</f>
        <v>1228419894.6200001</v>
      </c>
      <c r="H50" s="76">
        <f>资产资本表!H50</f>
        <v>1159312455.4900002</v>
      </c>
      <c r="I50" s="76">
        <f>资产资本表!I50</f>
        <v>570177786.54000008</v>
      </c>
      <c r="J50" s="76">
        <f>资产资本表!J50</f>
        <v>557166779.77999997</v>
      </c>
      <c r="K50" s="76">
        <f>资产资本表!K50</f>
        <v>526165578.19000018</v>
      </c>
      <c r="L50" s="76">
        <f>资产资本表!L50</f>
        <v>598020328.12000012</v>
      </c>
      <c r="M50" s="76">
        <f>资产资本表!M50</f>
        <v>585753718.03999996</v>
      </c>
      <c r="N50" s="76">
        <f>资产资本表!N50</f>
        <v>627833937.38000011</v>
      </c>
      <c r="O50" s="76">
        <f>资产资本表!O50</f>
        <v>740368833.99000001</v>
      </c>
      <c r="P50" s="76">
        <f>资产资本表!P50</f>
        <v>758892334.56999993</v>
      </c>
      <c r="Q50" s="76">
        <f>资产资本表!Q50</f>
        <v>724820866.96000004</v>
      </c>
      <c r="R50" s="76">
        <f>资产资本表!R50</f>
        <v>753335509.13999975</v>
      </c>
      <c r="S50" s="76">
        <f>资产资本表!S50</f>
        <v>716159309.23000002</v>
      </c>
      <c r="T50" s="76">
        <f>资产资本表!T50</f>
        <v>686007964.29999995</v>
      </c>
      <c r="U50" s="76">
        <f>资产资本表!U50</f>
        <v>690587685.00000024</v>
      </c>
      <c r="V50" s="76">
        <f>资产资本表!V50</f>
        <v>713487862.9200002</v>
      </c>
      <c r="W50" s="76">
        <f>资产资本表!W50</f>
        <v>665026765.24000013</v>
      </c>
      <c r="X50" s="76">
        <f>资产资本表!X50</f>
        <v>686445169.95000005</v>
      </c>
      <c r="Y50" s="76">
        <f>资产资本表!Y50</f>
        <v>648638643.10000002</v>
      </c>
      <c r="Z50" s="76">
        <f>资产资本表!Z50</f>
        <v>669836554.56000018</v>
      </c>
      <c r="AA50" s="76">
        <f>资产资本表!AA50</f>
        <v>646822074.36999989</v>
      </c>
      <c r="AB50" s="76">
        <f>资产资本表!AB50</f>
        <v>606371944.75999999</v>
      </c>
      <c r="AC50" s="76">
        <f>资产资本表!AC50</f>
        <v>473152954.70999992</v>
      </c>
      <c r="AD50" s="76">
        <f>资产资本表!AD50</f>
        <v>635503267.06000006</v>
      </c>
      <c r="AE50" s="76">
        <f>资产资本表!AE50</f>
        <v>615546859.06000006</v>
      </c>
      <c r="AF50" s="76">
        <f>资产资本表!AF50</f>
        <v>666639368.30000007</v>
      </c>
      <c r="AG50" s="76">
        <f>资产资本表!AG50</f>
        <v>593604989.80999982</v>
      </c>
      <c r="AH50" s="76">
        <f>资产资本表!AH50</f>
        <v>530427373.64999998</v>
      </c>
      <c r="AI50" s="76">
        <f>资产资本表!AI50</f>
        <v>503178277.03000009</v>
      </c>
      <c r="AJ50" s="76">
        <f>资产资本表!AJ50</f>
        <v>498306670.43000019</v>
      </c>
      <c r="AK50" s="76">
        <f>资产资本表!AK50</f>
        <v>563049698.60000002</v>
      </c>
      <c r="AL50" s="76">
        <f>资产资本表!AL50</f>
        <v>603126272.21999979</v>
      </c>
      <c r="AM50" s="76">
        <f>资产资本表!AM50</f>
        <v>574501889.81999993</v>
      </c>
      <c r="AN50" s="76">
        <f>资产资本表!AN50</f>
        <v>581259300.74000001</v>
      </c>
      <c r="AO50" s="76">
        <f>资产资本表!AO50</f>
        <v>570729164.80000019</v>
      </c>
      <c r="AP50" s="76">
        <f>资产资本表!AP50</f>
        <v>532369366.72999984</v>
      </c>
      <c r="AQ50" s="76">
        <f>资产资本表!AQ50</f>
        <v>487699464.88999999</v>
      </c>
      <c r="AR50" s="76">
        <f>资产资本表!AR50</f>
        <v>462853283.17000014</v>
      </c>
      <c r="AS50" s="76">
        <f>资产资本表!AS50</f>
        <v>442922978.75999987</v>
      </c>
      <c r="AT50" s="76">
        <f>资产资本表!AT50</f>
        <v>394009099.01000005</v>
      </c>
      <c r="AU50" s="76">
        <f>资产资本表!AU50</f>
        <v>357461531.61000013</v>
      </c>
      <c r="AV50" s="76">
        <f>资产资本表!AV50</f>
        <v>336044605.38999999</v>
      </c>
      <c r="AW50" s="76">
        <f>资产资本表!AW50</f>
        <v>349263652.88999999</v>
      </c>
      <c r="AX50" s="76">
        <f>资产资本表!AX50</f>
        <v>384584008.00999999</v>
      </c>
      <c r="AY50" s="76">
        <f>资产资本表!AY50</f>
        <v>362675681.93000007</v>
      </c>
      <c r="AZ50" s="76">
        <f>资产资本表!AZ50</f>
        <v>100518258.18000001</v>
      </c>
      <c r="BA50" s="76">
        <f>资产资本表!BA50</f>
        <v>308900954.2899999</v>
      </c>
      <c r="BB50" s="76">
        <f>资产资本表!BB50</f>
        <v>246768675.59999996</v>
      </c>
      <c r="BC50" s="76">
        <f>资产资本表!BC50</f>
        <v>241960155.74999994</v>
      </c>
      <c r="BD50" s="76">
        <f>资产资本表!BD50</f>
        <v>225317888.03999999</v>
      </c>
      <c r="BE50" s="76">
        <f>资产资本表!BE50</f>
        <v>203982257.12</v>
      </c>
      <c r="BF50" s="76">
        <f>资产资本表!BF50</f>
        <v>112069468.44000006</v>
      </c>
      <c r="BG50" s="76">
        <f>资产资本表!BG50</f>
        <v>119068923.55999997</v>
      </c>
      <c r="BH50" s="76">
        <f>资产资本表!BH50</f>
        <v>114983621.06999996</v>
      </c>
      <c r="BI50" s="76">
        <f>资产资本表!BI50</f>
        <v>57528427.349999994</v>
      </c>
      <c r="BJ50" s="76">
        <f>资产资本表!BJ50</f>
        <v>45862565.370000005</v>
      </c>
      <c r="BK50" s="76">
        <f>资产资本表!BK50</f>
        <v>46225320.449999988</v>
      </c>
      <c r="BL50" s="76">
        <f>资产资本表!BL50</f>
        <v>54997231.399999976</v>
      </c>
      <c r="BM50" s="76">
        <f>资产资本表!BM50</f>
        <v>18038566.690000027</v>
      </c>
      <c r="BN50" s="76">
        <f>资产资本表!BN50</f>
        <v>51924457.039999992</v>
      </c>
      <c r="BO50" s="76">
        <f>资产资本表!BO50</f>
        <v>76149534.769999951</v>
      </c>
      <c r="BP50" s="76">
        <f>资产资本表!BP50</f>
        <v>73892430.870000035</v>
      </c>
      <c r="BQ50" s="76">
        <f>资产资本表!BQ50</f>
        <v>85488214.629999995</v>
      </c>
      <c r="BR50" s="76">
        <f>资产资本表!BR50</f>
        <v>84341629.099999994</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41" t="s">
        <v>465</v>
      </c>
      <c r="E51" s="44">
        <f>E49/E50</f>
        <v>2.0886922635497003</v>
      </c>
      <c r="F51" s="44">
        <f t="shared" ref="F51:BQ51" si="18">F49/F50</f>
        <v>1.4653951857468404</v>
      </c>
      <c r="G51" s="44">
        <f t="shared" si="18"/>
        <v>0.9361923760814318</v>
      </c>
      <c r="H51" s="44">
        <f t="shared" si="18"/>
        <v>0.49561358248078963</v>
      </c>
      <c r="I51" s="44">
        <f t="shared" si="18"/>
        <v>3.6084763528500963</v>
      </c>
      <c r="J51" s="44">
        <f t="shared" si="18"/>
        <v>2.598382580206315</v>
      </c>
      <c r="K51" s="44">
        <f t="shared" si="18"/>
        <v>1.8454898878416492</v>
      </c>
      <c r="L51" s="44">
        <f t="shared" si="18"/>
        <v>0.75345522878209792</v>
      </c>
      <c r="M51" s="44">
        <f t="shared" si="18"/>
        <v>2.9418629586442089</v>
      </c>
      <c r="N51" s="44">
        <f t="shared" si="18"/>
        <v>2.0877263435612337</v>
      </c>
      <c r="O51" s="44">
        <f t="shared" si="18"/>
        <v>1.2061084823055384</v>
      </c>
      <c r="P51" s="44">
        <f t="shared" si="18"/>
        <v>0.54799379633428158</v>
      </c>
      <c r="Q51" s="44">
        <f t="shared" si="18"/>
        <v>2.3331453789027377</v>
      </c>
      <c r="R51" s="44">
        <f t="shared" si="18"/>
        <v>1.6337892341687956</v>
      </c>
      <c r="S51" s="44">
        <f t="shared" si="18"/>
        <v>1.1359825494479803</v>
      </c>
      <c r="T51" s="44">
        <f t="shared" si="18"/>
        <v>0.56854195242176142</v>
      </c>
      <c r="U51" s="44">
        <f t="shared" si="18"/>
        <v>2.2365660228360422</v>
      </c>
      <c r="V51" s="44">
        <f t="shared" si="18"/>
        <v>1.5731123279750152</v>
      </c>
      <c r="W51" s="44">
        <f t="shared" si="18"/>
        <v>1.1411991806015689</v>
      </c>
      <c r="X51" s="44">
        <f t="shared" si="18"/>
        <v>0.52037057973037892</v>
      </c>
      <c r="Y51" s="44">
        <f t="shared" si="18"/>
        <v>2.2633446942871478</v>
      </c>
      <c r="Z51" s="44">
        <f t="shared" si="18"/>
        <v>1.5994184979106492</v>
      </c>
      <c r="AA51" s="44">
        <f t="shared" si="18"/>
        <v>1.1020153123473249</v>
      </c>
      <c r="AB51" s="44">
        <f t="shared" si="18"/>
        <v>0.53971258594348559</v>
      </c>
      <c r="AC51" s="44">
        <f t="shared" si="18"/>
        <v>2.952909796254668</v>
      </c>
      <c r="AD51" s="44">
        <f t="shared" si="18"/>
        <v>1.6971840641507965</v>
      </c>
      <c r="AE51" s="44">
        <f t="shared" si="18"/>
        <v>1.2033628320696186</v>
      </c>
      <c r="AF51" s="44">
        <f t="shared" si="18"/>
        <v>0.56113279669324923</v>
      </c>
      <c r="AG51" s="44">
        <f t="shared" si="18"/>
        <v>2.5495377114070634</v>
      </c>
      <c r="AH51" s="44">
        <f t="shared" si="18"/>
        <v>1.9978155367208394</v>
      </c>
      <c r="AI51" s="44">
        <f t="shared" si="18"/>
        <v>1.3999247287219478</v>
      </c>
      <c r="AJ51" s="44">
        <f t="shared" si="18"/>
        <v>0.67475111958637213</v>
      </c>
      <c r="AK51" s="44">
        <f t="shared" si="18"/>
        <v>2.2061258996649431</v>
      </c>
      <c r="AL51" s="44">
        <f t="shared" si="18"/>
        <v>1.4241416906420039</v>
      </c>
      <c r="AM51" s="44">
        <f t="shared" si="18"/>
        <v>0.97871496805026836</v>
      </c>
      <c r="AN51" s="44">
        <f t="shared" si="18"/>
        <v>0.45777311121086217</v>
      </c>
      <c r="AO51" s="44">
        <f t="shared" si="18"/>
        <v>2.0294951421238454</v>
      </c>
      <c r="AP51" s="44">
        <f t="shared" si="18"/>
        <v>1.6815562760282194</v>
      </c>
      <c r="AQ51" s="44">
        <f t="shared" si="18"/>
        <v>1.1609424778386905</v>
      </c>
      <c r="AR51" s="44">
        <f t="shared" si="18"/>
        <v>0.54460105816602311</v>
      </c>
      <c r="AS51" s="44">
        <f t="shared" si="18"/>
        <v>2.2851145830219566</v>
      </c>
      <c r="AT51" s="44">
        <f t="shared" si="18"/>
        <v>1.893716042687285</v>
      </c>
      <c r="AU51" s="44">
        <f t="shared" si="18"/>
        <v>1.3554951526886057</v>
      </c>
      <c r="AV51" s="44">
        <f t="shared" si="18"/>
        <v>0.66487950425717146</v>
      </c>
      <c r="AW51" s="44">
        <f t="shared" si="18"/>
        <v>2.3670205168768947</v>
      </c>
      <c r="AX51" s="44">
        <f t="shared" si="18"/>
        <v>1.5708716807441749</v>
      </c>
      <c r="AY51" s="44">
        <f t="shared" si="18"/>
        <v>1.0959615627791588</v>
      </c>
      <c r="AZ51" s="44">
        <f t="shared" si="18"/>
        <v>2.0532302840984227</v>
      </c>
      <c r="BA51" s="44">
        <f t="shared" si="18"/>
        <v>2.1759045088898881</v>
      </c>
      <c r="BB51" s="44">
        <f t="shared" si="18"/>
        <v>1.9766908764006839</v>
      </c>
      <c r="BC51" s="44">
        <f t="shared" si="18"/>
        <v>1.3434431069959341</v>
      </c>
      <c r="BD51" s="44">
        <f t="shared" si="18"/>
        <v>0.67775029327849012</v>
      </c>
      <c r="BE51" s="44">
        <f t="shared" si="18"/>
        <v>2.7462077201178094</v>
      </c>
      <c r="BF51" s="44">
        <f t="shared" si="18"/>
        <v>3.5770971596481305</v>
      </c>
      <c r="BG51" s="44">
        <f t="shared" si="18"/>
        <v>2.2422355465863091</v>
      </c>
      <c r="BH51" s="44">
        <f t="shared" si="18"/>
        <v>1.1568380552132844</v>
      </c>
      <c r="BI51" s="44">
        <f t="shared" si="18"/>
        <v>8.134926526198532</v>
      </c>
      <c r="BJ51" s="44">
        <f t="shared" si="18"/>
        <v>7.614044525263763</v>
      </c>
      <c r="BK51" s="44">
        <f t="shared" si="18"/>
        <v>5.1145065760166091</v>
      </c>
      <c r="BL51" s="44">
        <f t="shared" si="18"/>
        <v>1.6573649167365185</v>
      </c>
      <c r="BM51" s="44">
        <f t="shared" si="18"/>
        <v>23.411963249503575</v>
      </c>
      <c r="BN51" s="44">
        <f t="shared" si="18"/>
        <v>5.6501171140604391</v>
      </c>
      <c r="BO51" s="44">
        <f t="shared" si="18"/>
        <v>2.4665987300817767</v>
      </c>
      <c r="BP51" s="44">
        <f t="shared" si="18"/>
        <v>4.7380881995336077</v>
      </c>
      <c r="BQ51" s="44">
        <f t="shared" si="18"/>
        <v>1.8823411006589181</v>
      </c>
      <c r="BR51" s="44">
        <f t="shared" ref="BR51:CJ51" si="19">BR49/BR50</f>
        <v>3.4753270160630563</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45" t="s">
        <v>466</v>
      </c>
      <c r="E52" s="76">
        <f>资产资本表!E68</f>
        <v>1430067387.1799998</v>
      </c>
      <c r="F52" s="76">
        <f>资产资本表!F68</f>
        <v>1430694061.4100001</v>
      </c>
      <c r="G52" s="76">
        <f>资产资本表!G68</f>
        <v>1414130740.7400002</v>
      </c>
      <c r="H52" s="76">
        <f>资产资本表!H68</f>
        <v>1404830888.0900002</v>
      </c>
      <c r="I52" s="76">
        <f>资产资本表!I68</f>
        <v>1378591814.3900001</v>
      </c>
      <c r="J52" s="76">
        <f>资产资本表!J68</f>
        <v>1406481361.8100002</v>
      </c>
      <c r="K52" s="76">
        <f>资产资本表!K68</f>
        <v>1401003016.2900002</v>
      </c>
      <c r="L52" s="76">
        <f>资产资本表!L68</f>
        <v>1381421360.5699999</v>
      </c>
      <c r="M52" s="76">
        <f>资产资本表!M68</f>
        <v>1317012385.2399995</v>
      </c>
      <c r="N52" s="76">
        <f>资产资本表!N68</f>
        <v>1297869794.4599998</v>
      </c>
      <c r="O52" s="76">
        <f>资产资本表!O68</f>
        <v>1266660317.24</v>
      </c>
      <c r="P52" s="76">
        <f>资产资本表!P68</f>
        <v>1265675332.1099999</v>
      </c>
      <c r="Q52" s="76">
        <f>资产资本表!Q68</f>
        <v>1265544702.7399998</v>
      </c>
      <c r="R52" s="76">
        <f>资产资本表!R68</f>
        <v>1239147081.8099999</v>
      </c>
      <c r="S52" s="76">
        <f>资产资本表!S68</f>
        <v>1236920396.1799998</v>
      </c>
      <c r="T52" s="76">
        <f>资产资本表!T68</f>
        <v>1243799518.1500001</v>
      </c>
      <c r="U52" s="76">
        <f>资产资本表!U68</f>
        <v>1254988148.74</v>
      </c>
      <c r="V52" s="76">
        <f>资产资本表!V68</f>
        <v>1238829549.6100001</v>
      </c>
      <c r="W52" s="76">
        <f>资产资本表!W68</f>
        <v>1237082676.74</v>
      </c>
      <c r="X52" s="76">
        <f>资产资本表!X68</f>
        <v>1239653097.51</v>
      </c>
      <c r="Y52" s="76">
        <f>资产资本表!Y68</f>
        <v>1250756265.8499999</v>
      </c>
      <c r="Z52" s="76">
        <f>资产资本表!Z68</f>
        <v>1231561169.97</v>
      </c>
      <c r="AA52" s="76">
        <f>资产资本表!AA68</f>
        <v>1215443720.23</v>
      </c>
      <c r="AB52" s="76">
        <f>资产资本表!AB68</f>
        <v>1216685839.8400002</v>
      </c>
      <c r="AC52" s="76">
        <f>资产资本表!AC68</f>
        <v>1213726606.7699997</v>
      </c>
      <c r="AD52" s="76">
        <f>资产资本表!AD68</f>
        <v>1098665029.4800003</v>
      </c>
      <c r="AE52" s="76">
        <f>资产资本表!AE68</f>
        <v>1073175251.6800001</v>
      </c>
      <c r="AF52" s="76">
        <f>资产资本表!AF68</f>
        <v>1025750401.67</v>
      </c>
      <c r="AG52" s="76">
        <f>资产资本表!AG68</f>
        <v>1022909065.9999999</v>
      </c>
      <c r="AH52" s="76">
        <f>资产资本表!AH68</f>
        <v>982124389.45000005</v>
      </c>
      <c r="AI52" s="76">
        <f>资产资本表!AI68</f>
        <v>946691697.39999998</v>
      </c>
      <c r="AJ52" s="76">
        <f>资产资本表!AJ68</f>
        <v>934852823.36000001</v>
      </c>
      <c r="AK52" s="76">
        <f>资产资本表!AK68</f>
        <v>914734950.86000013</v>
      </c>
      <c r="AL52" s="76">
        <f>资产资本表!AL68</f>
        <v>915450770.59999979</v>
      </c>
      <c r="AM52" s="76">
        <f>资产资本表!AM68</f>
        <v>898165345.9000001</v>
      </c>
      <c r="AN52" s="76">
        <f>资产资本表!AN68</f>
        <v>870976371.75999999</v>
      </c>
      <c r="AO52" s="76">
        <f>资产资本表!AO68</f>
        <v>882399343.00999999</v>
      </c>
      <c r="AP52" s="76">
        <f>资产资本表!AP68</f>
        <v>877699166.63</v>
      </c>
      <c r="AQ52" s="76">
        <f>资产资本表!AQ68</f>
        <v>873466274.10000002</v>
      </c>
      <c r="AR52" s="76">
        <f>资产资本表!AR68</f>
        <v>857466584.56000006</v>
      </c>
      <c r="AS52" s="76">
        <f>资产资本表!AS68</f>
        <v>798891812.94999993</v>
      </c>
      <c r="AT52" s="76">
        <f>资产资本表!AT68</f>
        <v>788077907.56999993</v>
      </c>
      <c r="AU52" s="76">
        <f>资产资本表!AU68</f>
        <v>771420124.06999993</v>
      </c>
      <c r="AV52" s="76">
        <f>资产资本表!AV68</f>
        <v>750972806.80999994</v>
      </c>
      <c r="AW52" s="76">
        <f>资产资本表!AW68</f>
        <v>717991639.19999993</v>
      </c>
      <c r="AX52" s="76">
        <f>资产资本表!AX68</f>
        <v>698467316.45000005</v>
      </c>
      <c r="AY52" s="76">
        <f>资产资本表!AY68</f>
        <v>707479297.13999999</v>
      </c>
      <c r="AZ52" s="76">
        <f>资产资本表!AZ68</f>
        <v>693423820.94999993</v>
      </c>
      <c r="BA52" s="76">
        <f>资产资本表!BA68</f>
        <v>692095199.35000002</v>
      </c>
      <c r="BB52" s="76">
        <f>资产资本表!BB68</f>
        <v>686072337.05000007</v>
      </c>
      <c r="BC52" s="76">
        <f>资产资本表!BC68</f>
        <v>675434662.87</v>
      </c>
      <c r="BD52" s="76">
        <f>资产资本表!BD68</f>
        <v>689436892.02999997</v>
      </c>
      <c r="BE52" s="76">
        <f>资产资本表!BE68</f>
        <v>663003951.38999999</v>
      </c>
      <c r="BF52" s="76">
        <f>资产资本表!BF68</f>
        <v>683829994.98000002</v>
      </c>
      <c r="BG52" s="76">
        <f>资产资本表!BG68</f>
        <v>624583495.07999992</v>
      </c>
      <c r="BH52" s="76">
        <f>资产资本表!BH68</f>
        <v>570274400.86000001</v>
      </c>
      <c r="BI52" s="76">
        <f>资产资本表!BI68</f>
        <v>551407183.10000002</v>
      </c>
      <c r="BJ52" s="76">
        <f>资产资本表!BJ68</f>
        <v>481298026.65000004</v>
      </c>
      <c r="BK52" s="76">
        <f>资产资本表!BK68</f>
        <v>414169579.53000003</v>
      </c>
      <c r="BL52" s="76">
        <f>资产资本表!BL68</f>
        <v>326748982.25</v>
      </c>
      <c r="BM52" s="76">
        <f>资产资本表!BM68</f>
        <v>301786134.21999997</v>
      </c>
      <c r="BN52" s="76">
        <f>资产资本表!BN68</f>
        <v>242529031.93000001</v>
      </c>
      <c r="BO52" s="76">
        <f>资产资本表!BO68</f>
        <v>219351133.17999998</v>
      </c>
      <c r="BP52" s="76">
        <f>资产资本表!BP68</f>
        <v>195731863.68000001</v>
      </c>
      <c r="BQ52" s="76">
        <f>资产资本表!BQ68</f>
        <v>149588480.83000001</v>
      </c>
      <c r="BR52" s="76">
        <f>资产资本表!BR68</f>
        <v>135079696.97999999</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41" t="s">
        <v>467</v>
      </c>
      <c r="E53" s="44">
        <f>E49/E52</f>
        <v>1.6296353392587828</v>
      </c>
      <c r="F53" s="44">
        <f t="shared" ref="F53:BQ53" si="20">F49/F52</f>
        <v>1.1915339900830628</v>
      </c>
      <c r="G53" s="44">
        <f t="shared" si="20"/>
        <v>0.81324682848503604</v>
      </c>
      <c r="H53" s="44">
        <f t="shared" si="20"/>
        <v>0.40899655905287174</v>
      </c>
      <c r="I53" s="44">
        <f t="shared" si="20"/>
        <v>1.4924454346629004</v>
      </c>
      <c r="J53" s="44">
        <f t="shared" si="20"/>
        <v>1.0293292852362534</v>
      </c>
      <c r="K53" s="44">
        <f t="shared" si="20"/>
        <v>0.69309861762567493</v>
      </c>
      <c r="L53" s="44">
        <f t="shared" si="20"/>
        <v>0.32617241632493776</v>
      </c>
      <c r="M53" s="44">
        <f t="shared" si="20"/>
        <v>1.3084213825946516</v>
      </c>
      <c r="N53" s="44">
        <f t="shared" si="20"/>
        <v>1.0099206068628459</v>
      </c>
      <c r="O53" s="44">
        <f t="shared" si="20"/>
        <v>0.70497600545009087</v>
      </c>
      <c r="P53" s="44">
        <f t="shared" si="20"/>
        <v>0.32857422506347533</v>
      </c>
      <c r="Q53" s="44">
        <f t="shared" si="20"/>
        <v>1.3362723992432775</v>
      </c>
      <c r="R53" s="44">
        <f t="shared" si="20"/>
        <v>0.99325694473024539</v>
      </c>
      <c r="S53" s="44">
        <f t="shared" si="20"/>
        <v>0.65771773221824281</v>
      </c>
      <c r="T53" s="44">
        <f t="shared" si="20"/>
        <v>0.31357489829238194</v>
      </c>
      <c r="U53" s="44">
        <f t="shared" si="20"/>
        <v>1.2307247312340863</v>
      </c>
      <c r="V53" s="44">
        <f t="shared" si="20"/>
        <v>0.90601370735251285</v>
      </c>
      <c r="W53" s="44">
        <f t="shared" si="20"/>
        <v>0.61348203627743902</v>
      </c>
      <c r="X53" s="44">
        <f t="shared" si="20"/>
        <v>0.28814986366548284</v>
      </c>
      <c r="Y53" s="44">
        <f t="shared" si="20"/>
        <v>1.1737641229183053</v>
      </c>
      <c r="Z53" s="44">
        <f t="shared" si="20"/>
        <v>0.86991129800405886</v>
      </c>
      <c r="AA53" s="44">
        <f t="shared" si="20"/>
        <v>0.5864589354948615</v>
      </c>
      <c r="AB53" s="44">
        <f t="shared" si="20"/>
        <v>0.26898198337956913</v>
      </c>
      <c r="AC53" s="44">
        <f t="shared" si="20"/>
        <v>1.1511472083554348</v>
      </c>
      <c r="AD53" s="44">
        <f t="shared" si="20"/>
        <v>0.98170596918014841</v>
      </c>
      <c r="AE53" s="44">
        <f t="shared" si="20"/>
        <v>0.69021924464846884</v>
      </c>
      <c r="AF53" s="44">
        <f t="shared" si="20"/>
        <v>0.36468249245721013</v>
      </c>
      <c r="AG53" s="44">
        <f t="shared" si="20"/>
        <v>1.4795237988437187</v>
      </c>
      <c r="AH53" s="44">
        <f t="shared" si="20"/>
        <v>1.0789835376896004</v>
      </c>
      <c r="AI53" s="44">
        <f t="shared" si="20"/>
        <v>0.74407720581536818</v>
      </c>
      <c r="AJ53" s="44">
        <f t="shared" si="20"/>
        <v>0.35966408333830413</v>
      </c>
      <c r="AK53" s="44">
        <f t="shared" si="20"/>
        <v>1.3579436553858233</v>
      </c>
      <c r="AL53" s="44">
        <f t="shared" si="20"/>
        <v>0.93826702273355456</v>
      </c>
      <c r="AM53" s="44">
        <f t="shared" si="20"/>
        <v>0.62602459703739499</v>
      </c>
      <c r="AN53" s="44">
        <f t="shared" si="20"/>
        <v>0.30550183351394111</v>
      </c>
      <c r="AO53" s="44">
        <f t="shared" si="20"/>
        <v>1.3126619785083786</v>
      </c>
      <c r="AP53" s="44">
        <f t="shared" si="20"/>
        <v>1.019949754797228</v>
      </c>
      <c r="AQ53" s="44">
        <f t="shared" si="20"/>
        <v>0.6482116619710252</v>
      </c>
      <c r="AR53" s="44">
        <f t="shared" si="20"/>
        <v>0.29397109150247208</v>
      </c>
      <c r="AS53" s="44">
        <f t="shared" si="20"/>
        <v>1.2669171739069329</v>
      </c>
      <c r="AT53" s="44">
        <f t="shared" si="20"/>
        <v>0.94678628165163359</v>
      </c>
      <c r="AU53" s="44">
        <f t="shared" si="20"/>
        <v>0.6281108805064467</v>
      </c>
      <c r="AV53" s="44">
        <f t="shared" si="20"/>
        <v>0.29751965532425562</v>
      </c>
      <c r="AW53" s="44">
        <f t="shared" si="20"/>
        <v>1.1514259875103015</v>
      </c>
      <c r="AX53" s="44">
        <f t="shared" si="20"/>
        <v>0.8649397227640313</v>
      </c>
      <c r="AY53" s="44">
        <f t="shared" si="20"/>
        <v>0.56182365866650186</v>
      </c>
      <c r="AZ53" s="44">
        <f t="shared" si="20"/>
        <v>0.29763490316390756</v>
      </c>
      <c r="BA53" s="44">
        <f t="shared" si="20"/>
        <v>0.97116549843324673</v>
      </c>
      <c r="BB53" s="44">
        <f t="shared" si="20"/>
        <v>0.71098244791124821</v>
      </c>
      <c r="BC53" s="44">
        <f t="shared" si="20"/>
        <v>0.48126002599390405</v>
      </c>
      <c r="BD53" s="44">
        <f t="shared" si="20"/>
        <v>0.22149853955502433</v>
      </c>
      <c r="BE53" s="44">
        <f t="shared" si="20"/>
        <v>0.8449084626050527</v>
      </c>
      <c r="BF53" s="44">
        <f t="shared" si="20"/>
        <v>0.58623251419634592</v>
      </c>
      <c r="BG53" s="44">
        <f t="shared" si="20"/>
        <v>0.42745377520070993</v>
      </c>
      <c r="BH53" s="44">
        <f t="shared" si="20"/>
        <v>0.23325162128863508</v>
      </c>
      <c r="BI53" s="44">
        <f t="shared" si="20"/>
        <v>0.84871859490290347</v>
      </c>
      <c r="BJ53" s="44">
        <f t="shared" si="20"/>
        <v>0.72553718368751585</v>
      </c>
      <c r="BK53" s="44">
        <f t="shared" si="20"/>
        <v>0.57082827205293363</v>
      </c>
      <c r="BL53" s="44">
        <f t="shared" si="20"/>
        <v>0.2789617926652318</v>
      </c>
      <c r="BM53" s="44">
        <f t="shared" si="20"/>
        <v>1.3993958387502754</v>
      </c>
      <c r="BN53" s="44">
        <f t="shared" si="20"/>
        <v>1.20966657486464</v>
      </c>
      <c r="BO53" s="44">
        <f t="shared" si="20"/>
        <v>0.85629986513844925</v>
      </c>
      <c r="BP53" s="44">
        <f t="shared" si="20"/>
        <v>1.7887167074257737</v>
      </c>
      <c r="BQ53" s="44">
        <f t="shared" si="20"/>
        <v>1.0757377782509565</v>
      </c>
      <c r="BR53" s="44">
        <f t="shared" ref="BR53:CK53" si="21">BR49/BR52</f>
        <v>2.1699392931966588</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45" t="s">
        <v>468</v>
      </c>
      <c r="E54" s="76">
        <f>资产资本表!E17</f>
        <v>713992695.25</v>
      </c>
      <c r="F54" s="76">
        <f>资产资本表!F17</f>
        <v>601621716.59000003</v>
      </c>
      <c r="G54" s="76">
        <f>资产资本表!G17</f>
        <v>536004591.54000002</v>
      </c>
      <c r="H54" s="76">
        <f>资产资本表!H17</f>
        <v>550295822.35000002</v>
      </c>
      <c r="I54" s="76">
        <f>资产资本表!I17</f>
        <v>1100494733.4599998</v>
      </c>
      <c r="J54" s="76">
        <f>资产资本表!J17</f>
        <v>361686005.29000002</v>
      </c>
      <c r="K54" s="76">
        <f>资产资本表!K17</f>
        <v>419881508.20999998</v>
      </c>
      <c r="L54" s="76">
        <f>资产资本表!L17</f>
        <v>393338883.75999999</v>
      </c>
      <c r="M54" s="76">
        <f>资产资本表!M17</f>
        <v>337494656.02999997</v>
      </c>
      <c r="N54" s="76">
        <f>资产资本表!N17</f>
        <v>332145862.62</v>
      </c>
      <c r="O54" s="76">
        <f>资产资本表!O17</f>
        <v>314250712.41000003</v>
      </c>
      <c r="P54" s="76">
        <f>资产资本表!P17</f>
        <v>283934973.67000002</v>
      </c>
      <c r="Q54" s="76">
        <f>资产资本表!Q17</f>
        <v>253352750.41999999</v>
      </c>
      <c r="R54" s="76">
        <f>资产资本表!R17</f>
        <v>255971099.25</v>
      </c>
      <c r="S54" s="76">
        <f>资产资本表!S17</f>
        <v>219856542.07999998</v>
      </c>
      <c r="T54" s="76">
        <f>资产资本表!T17</f>
        <v>186058877.06</v>
      </c>
      <c r="U54" s="76">
        <f>资产资本表!U17</f>
        <v>174641016.42000002</v>
      </c>
      <c r="V54" s="76">
        <f>资产资本表!V17</f>
        <v>143914067.59999999</v>
      </c>
      <c r="W54" s="76">
        <f>资产资本表!W17</f>
        <v>189290605.87</v>
      </c>
      <c r="X54" s="76">
        <f>资产资本表!X17</f>
        <v>159140119.44999999</v>
      </c>
      <c r="Y54" s="76">
        <f>资产资本表!Y17</f>
        <v>153988709.44</v>
      </c>
      <c r="Z54" s="76">
        <f>资产资本表!Z17</f>
        <v>122325353.25999999</v>
      </c>
      <c r="AA54" s="76">
        <f>资产资本表!AA17</f>
        <v>124294734.5</v>
      </c>
      <c r="AB54" s="76">
        <f>资产资本表!AB17</f>
        <v>102705554.34999999</v>
      </c>
      <c r="AC54" s="76">
        <f>资产资本表!AC17</f>
        <v>213982183.17999998</v>
      </c>
      <c r="AD54" s="76">
        <f>资产资本表!AD17</f>
        <v>163765507.37</v>
      </c>
      <c r="AE54" s="76">
        <f>资产资本表!AE17</f>
        <v>150360665.75</v>
      </c>
      <c r="AF54" s="76">
        <f>资产资本表!AF17</f>
        <v>210114535.74000001</v>
      </c>
      <c r="AG54" s="76">
        <f>资产资本表!AG17</f>
        <v>253436369.31</v>
      </c>
      <c r="AH54" s="76">
        <f>资产资本表!AH17</f>
        <v>334655631.16999996</v>
      </c>
      <c r="AI54" s="76">
        <f>资产资本表!AI17</f>
        <v>370255688.11000001</v>
      </c>
      <c r="AJ54" s="76">
        <f>资产资本表!AJ17</f>
        <v>287017103.44</v>
      </c>
      <c r="AK54" s="76">
        <f>资产资本表!AK17</f>
        <v>249385187.75</v>
      </c>
      <c r="AL54" s="76">
        <f>资产资本表!AL17</f>
        <v>173707631.45999998</v>
      </c>
      <c r="AM54" s="76">
        <f>资产资本表!AM17</f>
        <v>164500410.5</v>
      </c>
      <c r="AN54" s="76">
        <f>资产资本表!AN17</f>
        <v>187146473.18000001</v>
      </c>
      <c r="AO54" s="76">
        <f>资产资本表!AO17</f>
        <v>138571586.28999999</v>
      </c>
      <c r="AP54" s="76">
        <f>资产资本表!AP17</f>
        <v>135624400.82999998</v>
      </c>
      <c r="AQ54" s="76">
        <f>资产资本表!AQ17</f>
        <v>156358330.59</v>
      </c>
      <c r="AR54" s="76">
        <f>资产资本表!AR17</f>
        <v>160031696.38</v>
      </c>
      <c r="AS54" s="76">
        <f>资产资本表!AS17</f>
        <v>207492342.90000004</v>
      </c>
      <c r="AT54" s="76">
        <f>资产资本表!AT17</f>
        <v>264196012.17000002</v>
      </c>
      <c r="AU54" s="76">
        <f>资产资本表!AU17</f>
        <v>290893946.83000004</v>
      </c>
      <c r="AV54" s="76">
        <f>资产资本表!AV17</f>
        <v>303919334.33999997</v>
      </c>
      <c r="AW54" s="76">
        <f>资产资本表!AW17</f>
        <v>111506005.08000001</v>
      </c>
      <c r="AX54" s="76">
        <f>资产资本表!AX17</f>
        <v>110733288.25</v>
      </c>
      <c r="AY54" s="76">
        <f>资产资本表!AY17</f>
        <v>90373745</v>
      </c>
      <c r="AZ54" s="76">
        <f>资产资本表!AZ17</f>
        <v>353474736.30000001</v>
      </c>
      <c r="BA54" s="76">
        <f>资产资本表!BA17</f>
        <v>130344167.36999999</v>
      </c>
      <c r="BB54" s="76">
        <f>资产资本表!BB17</f>
        <v>76929286.680000007</v>
      </c>
      <c r="BC54" s="76">
        <f>资产资本表!BC17</f>
        <v>56822877.539999999</v>
      </c>
      <c r="BD54" s="76">
        <f>资产资本表!BD17</f>
        <v>61151621.789999999</v>
      </c>
      <c r="BE54" s="76">
        <f>资产资本表!BE17</f>
        <v>90040933.799999997</v>
      </c>
      <c r="BF54" s="76">
        <f>资产资本表!BF17</f>
        <v>103493177.39</v>
      </c>
      <c r="BG54" s="76">
        <f>资产资本表!BG17</f>
        <v>157832520.27000001</v>
      </c>
      <c r="BH54" s="76">
        <f>资产资本表!BH17</f>
        <v>165549418.27000001</v>
      </c>
      <c r="BI54" s="76">
        <f>资产资本表!BI17</f>
        <v>184363966.44</v>
      </c>
      <c r="BJ54" s="76">
        <f>资产资本表!BJ17</f>
        <v>252915507.03999999</v>
      </c>
      <c r="BK54" s="76">
        <f>资产资本表!BK17</f>
        <v>301312103.19999999</v>
      </c>
      <c r="BL54" s="76">
        <f>资产资本表!BL17</f>
        <v>369620785.82999998</v>
      </c>
      <c r="BM54" s="76">
        <f>资产资本表!BM17</f>
        <v>419764979.19999999</v>
      </c>
      <c r="BN54" s="76">
        <f>资产资本表!BN17</f>
        <v>424856147.61000001</v>
      </c>
      <c r="BO54" s="76">
        <f>资产资本表!BO17</f>
        <v>444289951.50999999</v>
      </c>
      <c r="BP54" s="76">
        <f>资产资本表!BP17</f>
        <v>49386377.25</v>
      </c>
      <c r="BQ54" s="76">
        <f>资产资本表!BQ17</f>
        <v>29415606.75</v>
      </c>
      <c r="BR54" s="76">
        <f>资产资本表!BR17</f>
        <v>28179071.710000001</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41" t="s">
        <v>469</v>
      </c>
      <c r="E55" s="44">
        <f>E49/E54</f>
        <v>3.2640226814281266</v>
      </c>
      <c r="F55" s="44">
        <f t="shared" ref="F55:BQ55" si="22">F49/F54</f>
        <v>2.8335423349449207</v>
      </c>
      <c r="G55" s="44">
        <f t="shared" si="22"/>
        <v>2.1455736725422754</v>
      </c>
      <c r="H55" s="44">
        <f t="shared" si="22"/>
        <v>1.0441129587833948</v>
      </c>
      <c r="I55" s="44">
        <f t="shared" si="22"/>
        <v>1.8695891921092815</v>
      </c>
      <c r="J55" s="44">
        <f t="shared" si="22"/>
        <v>4.0027328502500596</v>
      </c>
      <c r="K55" s="44">
        <f t="shared" si="22"/>
        <v>2.3126363864405919</v>
      </c>
      <c r="L55" s="44">
        <f t="shared" si="22"/>
        <v>1.1455301312517254</v>
      </c>
      <c r="M55" s="44">
        <f t="shared" si="22"/>
        <v>5.1058798567667507</v>
      </c>
      <c r="N55" s="44">
        <f t="shared" si="22"/>
        <v>3.9462946794239975</v>
      </c>
      <c r="O55" s="44">
        <f t="shared" si="22"/>
        <v>2.8415691530555915</v>
      </c>
      <c r="P55" s="44">
        <f t="shared" si="22"/>
        <v>1.4646603271682124</v>
      </c>
      <c r="Q55" s="44">
        <f t="shared" si="22"/>
        <v>6.6749322968727531</v>
      </c>
      <c r="R55" s="44">
        <f t="shared" si="22"/>
        <v>4.808321908825806</v>
      </c>
      <c r="S55" s="44">
        <f t="shared" si="22"/>
        <v>3.7003423696801918</v>
      </c>
      <c r="T55" s="44">
        <f t="shared" si="22"/>
        <v>2.0962413272774159</v>
      </c>
      <c r="U55" s="44">
        <f t="shared" si="22"/>
        <v>8.8441133916987305</v>
      </c>
      <c r="V55" s="44">
        <f t="shared" si="22"/>
        <v>7.7990746265308122</v>
      </c>
      <c r="W55" s="44">
        <f t="shared" si="22"/>
        <v>4.009327330756248</v>
      </c>
      <c r="X55" s="44">
        <f t="shared" si="22"/>
        <v>2.244599741878603</v>
      </c>
      <c r="Y55" s="44">
        <f t="shared" si="22"/>
        <v>9.5337693049634016</v>
      </c>
      <c r="Z55" s="44">
        <f t="shared" si="22"/>
        <v>8.7581923729488036</v>
      </c>
      <c r="AA55" s="44">
        <f t="shared" si="22"/>
        <v>5.734819203624431</v>
      </c>
      <c r="AB55" s="44">
        <f t="shared" si="22"/>
        <v>3.1864544466090021</v>
      </c>
      <c r="AC55" s="44">
        <f t="shared" si="22"/>
        <v>6.5294127498208843</v>
      </c>
      <c r="AD55" s="44">
        <f t="shared" si="22"/>
        <v>6.5860389949708118</v>
      </c>
      <c r="AE55" s="44">
        <f t="shared" si="22"/>
        <v>4.9263296879888951</v>
      </c>
      <c r="AF55" s="44">
        <f t="shared" si="22"/>
        <v>1.7803300081194087</v>
      </c>
      <c r="AG55" s="44">
        <f t="shared" si="22"/>
        <v>5.9715908625127394</v>
      </c>
      <c r="AH55" s="44">
        <f t="shared" si="22"/>
        <v>3.166526869651539</v>
      </c>
      <c r="AI55" s="44">
        <f t="shared" si="22"/>
        <v>1.9025007193426964</v>
      </c>
      <c r="AJ55" s="44">
        <f t="shared" si="22"/>
        <v>1.1714736848087814</v>
      </c>
      <c r="AK55" s="44">
        <f t="shared" si="22"/>
        <v>4.9808833238533037</v>
      </c>
      <c r="AL55" s="44">
        <f t="shared" si="22"/>
        <v>4.9447296113054726</v>
      </c>
      <c r="AM55" s="44">
        <f t="shared" si="22"/>
        <v>3.4180680584988572</v>
      </c>
      <c r="AN55" s="44">
        <f t="shared" si="22"/>
        <v>1.4218001226455173</v>
      </c>
      <c r="AO55" s="44">
        <f t="shared" si="22"/>
        <v>8.3587992202524717</v>
      </c>
      <c r="AP55" s="44">
        <f t="shared" si="22"/>
        <v>6.6006488825864782</v>
      </c>
      <c r="AQ55" s="44">
        <f t="shared" si="22"/>
        <v>3.6211119872765587</v>
      </c>
      <c r="AR55" s="44">
        <f t="shared" si="22"/>
        <v>1.5751278871121344</v>
      </c>
      <c r="AS55" s="44">
        <f t="shared" si="22"/>
        <v>4.8779137763545863</v>
      </c>
      <c r="AT55" s="44">
        <f t="shared" si="22"/>
        <v>2.8241961172369496</v>
      </c>
      <c r="AU55" s="44">
        <f t="shared" si="22"/>
        <v>1.665683932753562</v>
      </c>
      <c r="AV55" s="44">
        <f t="shared" si="22"/>
        <v>0.73515944987575488</v>
      </c>
      <c r="AW55" s="44">
        <f t="shared" si="22"/>
        <v>7.4140781171101384</v>
      </c>
      <c r="AX55" s="44">
        <f t="shared" si="22"/>
        <v>5.455740876095585</v>
      </c>
      <c r="AY55" s="44">
        <f t="shared" si="22"/>
        <v>4.398164612410385</v>
      </c>
      <c r="AZ55" s="44">
        <f t="shared" si="22"/>
        <v>0.58388085655104849</v>
      </c>
      <c r="BA55" s="44">
        <f t="shared" si="22"/>
        <v>5.1566479176014095</v>
      </c>
      <c r="BB55" s="44">
        <f t="shared" si="22"/>
        <v>6.3406982007908557</v>
      </c>
      <c r="BC55" s="44">
        <f t="shared" si="22"/>
        <v>5.7205780045401067</v>
      </c>
      <c r="BD55" s="44">
        <f t="shared" si="22"/>
        <v>2.4972234624359908</v>
      </c>
      <c r="BE55" s="44">
        <f t="shared" si="22"/>
        <v>6.2213665010879753</v>
      </c>
      <c r="BF55" s="44">
        <f t="shared" si="22"/>
        <v>3.8735246839443858</v>
      </c>
      <c r="BG55" s="44">
        <f t="shared" si="22"/>
        <v>1.6915434946060752</v>
      </c>
      <c r="BH55" s="44">
        <f t="shared" si="22"/>
        <v>0.80349076408747921</v>
      </c>
      <c r="BI55" s="44">
        <f t="shared" si="22"/>
        <v>2.53840020203896</v>
      </c>
      <c r="BJ55" s="44">
        <f t="shared" si="22"/>
        <v>1.3806967348774393</v>
      </c>
      <c r="BK55" s="44">
        <f t="shared" si="22"/>
        <v>0.78463394901556016</v>
      </c>
      <c r="BL55" s="44">
        <f t="shared" si="22"/>
        <v>0.24660540027617095</v>
      </c>
      <c r="BM55" s="44">
        <f t="shared" si="22"/>
        <v>1.0060826446857625</v>
      </c>
      <c r="BN55" s="44">
        <f t="shared" si="22"/>
        <v>0.69053787972796332</v>
      </c>
      <c r="BO55" s="44">
        <f t="shared" si="22"/>
        <v>0.42276523500390789</v>
      </c>
      <c r="BP55" s="44">
        <f t="shared" si="22"/>
        <v>7.0891787216483877</v>
      </c>
      <c r="BQ55" s="44">
        <f t="shared" si="22"/>
        <v>5.4704967124297044</v>
      </c>
      <c r="BR55" s="44">
        <f t="shared" ref="BR55:CK55" si="23">BR49/BR54</f>
        <v>10.401859408519174</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45" t="s">
        <v>443</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50000</v>
      </c>
      <c r="S56" s="76">
        <f>资产资本表!S19</f>
        <v>50000</v>
      </c>
      <c r="T56" s="76">
        <f>资产资本表!T19</f>
        <v>50000</v>
      </c>
      <c r="U56" s="76">
        <f>资产资本表!U19</f>
        <v>50000</v>
      </c>
      <c r="V56" s="76">
        <f>资产资本表!V19</f>
        <v>5914625.8899999997</v>
      </c>
      <c r="W56" s="76">
        <f>资产资本表!W19</f>
        <v>5914625.8899999997</v>
      </c>
      <c r="X56" s="76">
        <f>资产资本表!X19</f>
        <v>5914625.8899999997</v>
      </c>
      <c r="Y56" s="76">
        <f>资产资本表!Y19</f>
        <v>5914625.8899999997</v>
      </c>
      <c r="Z56" s="76">
        <f>资产资本表!Z19</f>
        <v>11779251.779999999</v>
      </c>
      <c r="AA56" s="76">
        <f>资产资本表!AA19</f>
        <v>11779251.779999999</v>
      </c>
      <c r="AB56" s="76">
        <f>资产资本表!AB19</f>
        <v>11779251.779999999</v>
      </c>
      <c r="AC56" s="76">
        <f>资产资本表!AC19</f>
        <v>11779251.779999999</v>
      </c>
      <c r="AD56" s="76">
        <f>资产资本表!AD19</f>
        <v>50000</v>
      </c>
      <c r="AE56" s="76">
        <f>资产资本表!AE19</f>
        <v>50000</v>
      </c>
      <c r="AF56" s="76">
        <f>资产资本表!AF19</f>
        <v>50000</v>
      </c>
      <c r="AG56" s="76">
        <f>资产资本表!AG19</f>
        <v>50000</v>
      </c>
      <c r="AH56" s="76">
        <f>资产资本表!AH19</f>
        <v>50000</v>
      </c>
      <c r="AI56" s="76">
        <f>资产资本表!AI19</f>
        <v>50000</v>
      </c>
      <c r="AJ56" s="76">
        <f>资产资本表!AJ19</f>
        <v>50000</v>
      </c>
      <c r="AK56" s="76">
        <f>资产资本表!AK19</f>
        <v>50000</v>
      </c>
      <c r="AL56" s="76">
        <f>资产资本表!AL19</f>
        <v>50000</v>
      </c>
      <c r="AM56" s="76">
        <f>资产资本表!AM19</f>
        <v>50000</v>
      </c>
      <c r="AN56" s="76">
        <f>资产资本表!AN19</f>
        <v>50000</v>
      </c>
      <c r="AO56" s="76">
        <f>资产资本表!AO19</f>
        <v>50000</v>
      </c>
      <c r="AP56" s="76">
        <f>资产资本表!AP19</f>
        <v>50000</v>
      </c>
      <c r="AQ56" s="76">
        <f>资产资本表!AQ19</f>
        <v>50000</v>
      </c>
      <c r="AR56" s="76">
        <f>资产资本表!AR19</f>
        <v>50000</v>
      </c>
      <c r="AS56" s="76">
        <f>资产资本表!AS19</f>
        <v>50000</v>
      </c>
      <c r="AT56" s="76">
        <f>资产资本表!AT19</f>
        <v>50000</v>
      </c>
      <c r="AU56" s="76">
        <f>资产资本表!AU19</f>
        <v>50000</v>
      </c>
      <c r="AV56" s="76">
        <f>资产资本表!AV19</f>
        <v>29341260.710000001</v>
      </c>
      <c r="AW56" s="76">
        <f>资产资本表!AW19</f>
        <v>31356717.039999999</v>
      </c>
      <c r="AX56" s="76">
        <f>资产资本表!AX19</f>
        <v>2130471.0499999998</v>
      </c>
      <c r="AY56" s="76">
        <f>资产资本表!AY19</f>
        <v>2195485.77</v>
      </c>
      <c r="AZ56" s="76">
        <f>资产资本表!AZ19</f>
        <v>2260500.4900000002</v>
      </c>
      <c r="BA56" s="76">
        <f>资产资本表!BA19</f>
        <v>2325515.21</v>
      </c>
      <c r="BB56" s="76">
        <f>资产资本表!BB19</f>
        <v>2390529.91</v>
      </c>
      <c r="BC56" s="76">
        <f>资产资本表!BC19</f>
        <v>2455544.65</v>
      </c>
      <c r="BD56" s="76">
        <f>资产资本表!BD19</f>
        <v>2520559.35</v>
      </c>
      <c r="BE56" s="76">
        <f>资产资本表!BE19</f>
        <v>2585574.09</v>
      </c>
      <c r="BF56" s="76">
        <f>资产资本表!BF19</f>
        <v>1750982.62</v>
      </c>
      <c r="BG56" s="76">
        <f>资产资本表!BG19</f>
        <v>50000</v>
      </c>
      <c r="BH56" s="76">
        <f>资产资本表!BH19</f>
        <v>50000</v>
      </c>
      <c r="BI56" s="76">
        <f>资产资本表!BI19</f>
        <v>50000</v>
      </c>
      <c r="BJ56" s="76">
        <f>资产资本表!BJ19</f>
        <v>50000</v>
      </c>
      <c r="BK56" s="76">
        <f>资产资本表!BK19</f>
        <v>50000</v>
      </c>
      <c r="BL56" s="76">
        <f>资产资本表!BL19</f>
        <v>50000</v>
      </c>
      <c r="BM56" s="76">
        <f>资产资本表!BM19</f>
        <v>50000</v>
      </c>
      <c r="BN56" s="76">
        <f>资产资本表!BN19</f>
        <v>50000</v>
      </c>
      <c r="BO56" s="76">
        <f>资产资本表!BO19</f>
        <v>50000</v>
      </c>
      <c r="BP56" s="76">
        <f>资产资本表!BP19</f>
        <v>50000</v>
      </c>
      <c r="BQ56" s="76">
        <f>资产资本表!BQ19</f>
        <v>50000</v>
      </c>
      <c r="BR56" s="76">
        <f>资产资本表!BR19</f>
        <v>50000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6" customFormat="1">
      <c r="A57" s="143" t="s">
        <v>470</v>
      </c>
      <c r="E57" s="116" t="e">
        <f>E49/E56</f>
        <v>#DIV/0!</v>
      </c>
      <c r="F57" s="116" t="e">
        <f t="shared" ref="F57:BQ57" si="24">F49/F56</f>
        <v>#DIV/0!</v>
      </c>
      <c r="G57" s="116" t="e">
        <f t="shared" si="24"/>
        <v>#DIV/0!</v>
      </c>
      <c r="H57" s="116" t="e">
        <f t="shared" si="24"/>
        <v>#DIV/0!</v>
      </c>
      <c r="I57" s="116" t="e">
        <f t="shared" si="24"/>
        <v>#DIV/0!</v>
      </c>
      <c r="J57" s="116" t="e">
        <f t="shared" si="24"/>
        <v>#DIV/0!</v>
      </c>
      <c r="K57" s="116" t="e">
        <f t="shared" si="24"/>
        <v>#DIV/0!</v>
      </c>
      <c r="L57" s="116" t="e">
        <f t="shared" si="24"/>
        <v>#DIV/0!</v>
      </c>
      <c r="M57" s="116" t="e">
        <f t="shared" si="24"/>
        <v>#DIV/0!</v>
      </c>
      <c r="N57" s="116" t="e">
        <f t="shared" si="24"/>
        <v>#DIV/0!</v>
      </c>
      <c r="O57" s="116" t="e">
        <f t="shared" si="24"/>
        <v>#DIV/0!</v>
      </c>
      <c r="P57" s="116" t="e">
        <f t="shared" si="24"/>
        <v>#DIV/0!</v>
      </c>
      <c r="Q57" s="116" t="e">
        <f t="shared" si="24"/>
        <v>#DIV/0!</v>
      </c>
      <c r="R57" s="116">
        <f t="shared" si="24"/>
        <v>24615.828890999997</v>
      </c>
      <c r="S57" s="116">
        <f t="shared" si="24"/>
        <v>16270.889558199999</v>
      </c>
      <c r="T57" s="116">
        <f t="shared" si="24"/>
        <v>7800.486148</v>
      </c>
      <c r="U57" s="116">
        <f t="shared" si="24"/>
        <v>30890.899041199998</v>
      </c>
      <c r="V57" s="116">
        <f t="shared" si="24"/>
        <v>189.76628004784934</v>
      </c>
      <c r="W57" s="116">
        <f t="shared" si="24"/>
        <v>128.31377904275195</v>
      </c>
      <c r="X57" s="116">
        <f t="shared" si="24"/>
        <v>60.39365425359135</v>
      </c>
      <c r="Y57" s="116">
        <f t="shared" si="24"/>
        <v>248.21397983127551</v>
      </c>
      <c r="Z57" s="116">
        <f t="shared" si="24"/>
        <v>90.952209524805667</v>
      </c>
      <c r="AA57" s="116">
        <f t="shared" si="24"/>
        <v>60.51384617911615</v>
      </c>
      <c r="AB57" s="116">
        <f t="shared" si="24"/>
        <v>27.783307162655795</v>
      </c>
      <c r="AC57" s="116">
        <f t="shared" si="24"/>
        <v>118.61347572706354</v>
      </c>
      <c r="AD57" s="116">
        <f t="shared" si="24"/>
        <v>21571.320351399998</v>
      </c>
      <c r="AE57" s="116">
        <f t="shared" si="24"/>
        <v>14814.5242318</v>
      </c>
      <c r="AF57" s="116">
        <f t="shared" si="24"/>
        <v>7481.4642623999998</v>
      </c>
      <c r="AG57" s="116">
        <f t="shared" si="24"/>
        <v>30268.366144</v>
      </c>
      <c r="AH57" s="116">
        <f t="shared" si="24"/>
        <v>21193.920963599998</v>
      </c>
      <c r="AI57" s="116">
        <f t="shared" si="24"/>
        <v>14088.2342594</v>
      </c>
      <c r="AJ57" s="116">
        <f t="shared" si="24"/>
        <v>6724.6596753999993</v>
      </c>
      <c r="AK57" s="116">
        <f t="shared" si="24"/>
        <v>24843.170457600001</v>
      </c>
      <c r="AL57" s="116">
        <f t="shared" si="24"/>
        <v>17178.745379799999</v>
      </c>
      <c r="AM57" s="116">
        <f t="shared" si="24"/>
        <v>11245.471974800001</v>
      </c>
      <c r="AN57" s="116">
        <f t="shared" si="24"/>
        <v>5321.6975704000006</v>
      </c>
      <c r="AO57" s="116">
        <f t="shared" si="24"/>
        <v>23165.841348600003</v>
      </c>
      <c r="AP57" s="116">
        <f t="shared" si="24"/>
        <v>17904.180995799998</v>
      </c>
      <c r="AQ57" s="116">
        <f t="shared" si="24"/>
        <v>11323.820504200001</v>
      </c>
      <c r="AR57" s="116">
        <f t="shared" si="24"/>
        <v>5041.4077557999999</v>
      </c>
      <c r="AS57" s="116">
        <f t="shared" si="24"/>
        <v>20242.595158399999</v>
      </c>
      <c r="AT57" s="116">
        <f t="shared" si="24"/>
        <v>14922.8270352</v>
      </c>
      <c r="AU57" s="116">
        <f t="shared" si="24"/>
        <v>9690.7474674000005</v>
      </c>
      <c r="AV57" s="116">
        <f t="shared" si="24"/>
        <v>7.6148456212671025</v>
      </c>
      <c r="AW57" s="116">
        <f t="shared" si="24"/>
        <v>26.364821009017213</v>
      </c>
      <c r="AX57" s="116">
        <f t="shared" si="24"/>
        <v>283.56739560014205</v>
      </c>
      <c r="AY57" s="116">
        <f t="shared" si="24"/>
        <v>181.04358159880033</v>
      </c>
      <c r="AZ57" s="116">
        <f t="shared" si="24"/>
        <v>91.301520487615548</v>
      </c>
      <c r="BA57" s="116">
        <f t="shared" si="24"/>
        <v>289.02798672299377</v>
      </c>
      <c r="BB57" s="116">
        <f t="shared" si="24"/>
        <v>204.04906359862275</v>
      </c>
      <c r="BC57" s="116">
        <f t="shared" si="24"/>
        <v>132.37784269571316</v>
      </c>
      <c r="BD57" s="116">
        <f t="shared" si="24"/>
        <v>60.585466753639416</v>
      </c>
      <c r="BE57" s="116">
        <f t="shared" si="24"/>
        <v>216.65503666537748</v>
      </c>
      <c r="BF57" s="116">
        <f t="shared" si="24"/>
        <v>228.94766210757706</v>
      </c>
      <c r="BG57" s="116">
        <f t="shared" si="24"/>
        <v>5339.6114580000003</v>
      </c>
      <c r="BH57" s="116">
        <f t="shared" si="24"/>
        <v>2660.3485716</v>
      </c>
      <c r="BI57" s="116">
        <f t="shared" si="24"/>
        <v>9359.7905932000012</v>
      </c>
      <c r="BJ57" s="116">
        <f t="shared" si="24"/>
        <v>6983.9922953999994</v>
      </c>
      <c r="BK57" s="116">
        <f t="shared" si="24"/>
        <v>4728.3941083999998</v>
      </c>
      <c r="BL57" s="116">
        <f t="shared" si="24"/>
        <v>1823.0096368000002</v>
      </c>
      <c r="BM57" s="116">
        <f t="shared" si="24"/>
        <v>8446.3652084000005</v>
      </c>
      <c r="BN57" s="116">
        <f t="shared" si="24"/>
        <v>5867.5852672000001</v>
      </c>
      <c r="BO57" s="116">
        <f t="shared" si="24"/>
        <v>3756.6069152</v>
      </c>
      <c r="BP57" s="116">
        <f t="shared" si="24"/>
        <v>7002.1770948000003</v>
      </c>
      <c r="BQ57" s="116">
        <f t="shared" si="24"/>
        <v>3218.3596004000001</v>
      </c>
      <c r="BR57" s="116">
        <f t="shared" ref="BR57:CK57" si="25">BR49/BR56</f>
        <v>5862.2948438000003</v>
      </c>
      <c r="BS57" s="116" t="e">
        <f t="shared" si="25"/>
        <v>#DIV/0!</v>
      </c>
      <c r="BT57" s="116" t="e">
        <f t="shared" si="25"/>
        <v>#DIV/0!</v>
      </c>
      <c r="BU57" s="116" t="e">
        <f t="shared" si="25"/>
        <v>#DIV/0!</v>
      </c>
      <c r="BV57" s="116" t="e">
        <f t="shared" si="25"/>
        <v>#DIV/0!</v>
      </c>
      <c r="BW57" s="116" t="e">
        <f t="shared" si="25"/>
        <v>#DIV/0!</v>
      </c>
      <c r="BX57" s="116" t="e">
        <f t="shared" si="25"/>
        <v>#DIV/0!</v>
      </c>
      <c r="BY57" s="116" t="e">
        <f t="shared" si="25"/>
        <v>#DIV/0!</v>
      </c>
      <c r="BZ57" s="116" t="e">
        <f t="shared" si="25"/>
        <v>#DIV/0!</v>
      </c>
      <c r="CA57" s="116" t="e">
        <f t="shared" si="25"/>
        <v>#DIV/0!</v>
      </c>
      <c r="CB57" s="116" t="e">
        <f t="shared" si="25"/>
        <v>#DIV/0!</v>
      </c>
      <c r="CC57" s="116" t="e">
        <f t="shared" si="25"/>
        <v>#DIV/0!</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5" customHeight="1">
      <c r="A58" s="277" t="s">
        <v>692</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18" customFormat="1">
      <c r="A61" s="117"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37256</v>
      </c>
      <c r="BQ61" s="1">
        <v>37072</v>
      </c>
      <c r="BR61" s="1">
        <v>36891</v>
      </c>
      <c r="BS61" s="1">
        <v>36525</v>
      </c>
      <c r="BT61" s="1">
        <v>25569</v>
      </c>
      <c r="BU61" s="1"/>
      <c r="BV61" s="1"/>
      <c r="BW61" s="1"/>
      <c r="BX61" s="1"/>
      <c r="BY61" s="1"/>
      <c r="BZ61" s="1"/>
      <c r="CA61" s="1"/>
      <c r="CB61" s="1"/>
      <c r="CC61" s="1"/>
      <c r="CD61" s="1"/>
      <c r="CE61" s="1"/>
      <c r="CF61" s="1"/>
      <c r="CG61" s="1"/>
      <c r="CH61" s="1"/>
      <c r="CI61" s="1"/>
      <c r="CJ61" s="1"/>
      <c r="CK61" s="1"/>
    </row>
    <row r="62" spans="1:89" s="76" customFormat="1">
      <c r="A62" s="145"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45" t="s">
        <v>463</v>
      </c>
      <c r="E63" s="76">
        <f>E49</f>
        <v>2330488351.6700001</v>
      </c>
      <c r="F63" s="76">
        <f t="shared" ref="F63:BQ63" si="26">F49</f>
        <v>1704720603.5799999</v>
      </c>
      <c r="G63" s="76">
        <f t="shared" si="26"/>
        <v>1150037339.97</v>
      </c>
      <c r="H63" s="76">
        <f t="shared" si="26"/>
        <v>574570999.27999997</v>
      </c>
      <c r="I63" s="76">
        <f t="shared" si="26"/>
        <v>2057473059.6500001</v>
      </c>
      <c r="J63" s="76">
        <f t="shared" si="26"/>
        <v>1447732454.8499999</v>
      </c>
      <c r="K63" s="76">
        <f t="shared" si="26"/>
        <v>971033253.88</v>
      </c>
      <c r="L63" s="76">
        <f t="shared" si="26"/>
        <v>450581543.13999999</v>
      </c>
      <c r="M63" s="76">
        <f t="shared" si="26"/>
        <v>1723207165.99</v>
      </c>
      <c r="N63" s="76">
        <f t="shared" si="26"/>
        <v>1310745450.45</v>
      </c>
      <c r="O63" s="76">
        <f t="shared" si="26"/>
        <v>892965130.71000004</v>
      </c>
      <c r="P63" s="76">
        <f t="shared" si="26"/>
        <v>415868291.43000001</v>
      </c>
      <c r="Q63" s="76">
        <f t="shared" si="26"/>
        <v>1691112456.28</v>
      </c>
      <c r="R63" s="76">
        <f t="shared" si="26"/>
        <v>1230791444.55</v>
      </c>
      <c r="S63" s="76">
        <f t="shared" si="26"/>
        <v>813544477.90999997</v>
      </c>
      <c r="T63" s="76">
        <f t="shared" si="26"/>
        <v>390024307.39999998</v>
      </c>
      <c r="U63" s="76">
        <f t="shared" si="26"/>
        <v>1544544952.0599999</v>
      </c>
      <c r="V63" s="76">
        <f t="shared" si="26"/>
        <v>1122396553.02</v>
      </c>
      <c r="W63" s="76">
        <f t="shared" si="26"/>
        <v>758927999.57000005</v>
      </c>
      <c r="X63" s="76">
        <f t="shared" si="26"/>
        <v>357205871.04000002</v>
      </c>
      <c r="Y63" s="76">
        <f t="shared" si="26"/>
        <v>1468092831.3699999</v>
      </c>
      <c r="Z63" s="76">
        <f t="shared" si="26"/>
        <v>1071348975.9400001</v>
      </c>
      <c r="AA63" s="76">
        <f t="shared" si="26"/>
        <v>712807830.32000005</v>
      </c>
      <c r="AB63" s="76">
        <f t="shared" si="26"/>
        <v>327266570.35000002</v>
      </c>
      <c r="AC63" s="76">
        <f t="shared" si="26"/>
        <v>1397177995.0899999</v>
      </c>
      <c r="AD63" s="76">
        <f t="shared" si="26"/>
        <v>1078566017.5699999</v>
      </c>
      <c r="AE63" s="76">
        <f t="shared" si="26"/>
        <v>740726211.59000003</v>
      </c>
      <c r="AF63" s="76">
        <f t="shared" si="26"/>
        <v>374073213.12</v>
      </c>
      <c r="AG63" s="76">
        <f t="shared" si="26"/>
        <v>1513418307.2</v>
      </c>
      <c r="AH63" s="76">
        <f t="shared" si="26"/>
        <v>1059696048.1799999</v>
      </c>
      <c r="AI63" s="76">
        <f t="shared" si="26"/>
        <v>704411712.97000003</v>
      </c>
      <c r="AJ63" s="76">
        <f t="shared" si="26"/>
        <v>336232983.76999998</v>
      </c>
      <c r="AK63" s="76">
        <f t="shared" si="26"/>
        <v>1242158522.8800001</v>
      </c>
      <c r="AL63" s="76">
        <f t="shared" si="26"/>
        <v>858937268.99000001</v>
      </c>
      <c r="AM63" s="76">
        <f t="shared" si="26"/>
        <v>562273598.74000001</v>
      </c>
      <c r="AN63" s="76">
        <f t="shared" si="26"/>
        <v>266084878.52000001</v>
      </c>
      <c r="AO63" s="76">
        <f t="shared" si="26"/>
        <v>1158292067.4300001</v>
      </c>
      <c r="AP63" s="76">
        <f t="shared" si="26"/>
        <v>895209049.78999996</v>
      </c>
      <c r="AQ63" s="76">
        <f t="shared" si="26"/>
        <v>566191025.21000004</v>
      </c>
      <c r="AR63" s="76">
        <f t="shared" si="26"/>
        <v>252070387.78999999</v>
      </c>
      <c r="AS63" s="76">
        <f t="shared" si="26"/>
        <v>1012129757.92</v>
      </c>
      <c r="AT63" s="76">
        <f t="shared" si="26"/>
        <v>746141351.75999999</v>
      </c>
      <c r="AU63" s="76">
        <f t="shared" si="26"/>
        <v>484537373.37</v>
      </c>
      <c r="AV63" s="76">
        <f t="shared" si="26"/>
        <v>223429170.63999999</v>
      </c>
      <c r="AW63" s="76">
        <f t="shared" si="26"/>
        <v>826714232.19000006</v>
      </c>
      <c r="AX63" s="76">
        <f t="shared" si="26"/>
        <v>604132127.04999995</v>
      </c>
      <c r="AY63" s="76">
        <f t="shared" si="26"/>
        <v>397478607.14999998</v>
      </c>
      <c r="AZ63" s="76">
        <f t="shared" si="26"/>
        <v>206387131.80000001</v>
      </c>
      <c r="BA63" s="76">
        <f t="shared" si="26"/>
        <v>672138979.24000001</v>
      </c>
      <c r="BB63" s="76">
        <f t="shared" si="26"/>
        <v>487785389.63999999</v>
      </c>
      <c r="BC63" s="76">
        <f t="shared" si="26"/>
        <v>325059703.41000003</v>
      </c>
      <c r="BD63" s="76">
        <f t="shared" si="26"/>
        <v>152709264.69999999</v>
      </c>
      <c r="BE63" s="76">
        <f t="shared" si="26"/>
        <v>560177649.26999998</v>
      </c>
      <c r="BF63" s="76">
        <f t="shared" si="26"/>
        <v>400883377.24000001</v>
      </c>
      <c r="BG63" s="76">
        <f t="shared" si="26"/>
        <v>266980572.90000001</v>
      </c>
      <c r="BH63" s="76">
        <f t="shared" si="26"/>
        <v>133017428.58</v>
      </c>
      <c r="BI63" s="76">
        <f t="shared" si="26"/>
        <v>467989529.66000003</v>
      </c>
      <c r="BJ63" s="76">
        <f t="shared" si="26"/>
        <v>349199614.76999998</v>
      </c>
      <c r="BK63" s="76">
        <f t="shared" si="26"/>
        <v>236419705.41999999</v>
      </c>
      <c r="BL63" s="76">
        <f t="shared" si="26"/>
        <v>91150481.840000004</v>
      </c>
      <c r="BM63" s="76">
        <f t="shared" si="26"/>
        <v>422318260.42000002</v>
      </c>
      <c r="BN63" s="76">
        <f t="shared" si="26"/>
        <v>293379263.36000001</v>
      </c>
      <c r="BO63" s="76">
        <f t="shared" si="26"/>
        <v>187830345.75999999</v>
      </c>
      <c r="BP63" s="76">
        <f t="shared" si="26"/>
        <v>350108854.74000001</v>
      </c>
      <c r="BQ63" s="76">
        <f t="shared" si="26"/>
        <v>160917980.02000001</v>
      </c>
      <c r="BR63" s="76">
        <f t="shared" ref="BR63:CJ63" si="27">BR49</f>
        <v>293114742.19</v>
      </c>
      <c r="BS63" s="76">
        <f t="shared" si="27"/>
        <v>231107107.62</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c r="A64" s="145" t="s">
        <v>473</v>
      </c>
      <c r="E64" s="76">
        <f>资产资本表!E22+资产资本表!E23-资产资本表!E37</f>
        <v>624681026.75999999</v>
      </c>
      <c r="F64" s="76">
        <f>资产资本表!F22+资产资本表!F23-资产资本表!F37</f>
        <v>664620711.17000008</v>
      </c>
      <c r="G64" s="76">
        <f>资产资本表!G22+资产资本表!G23-资产资本表!G37</f>
        <v>669295202.36000001</v>
      </c>
      <c r="H64" s="76">
        <f>资产资本表!H22+资产资本表!H23-资产资本表!H37</f>
        <v>621411337.37</v>
      </c>
      <c r="I64" s="76">
        <f>资产资本表!I22+资产资本表!I23-资产资本表!I37</f>
        <v>571670280.93000007</v>
      </c>
      <c r="J64" s="76">
        <f>资产资本表!J22+资产资本表!J23-资产资本表!J37</f>
        <v>518066629.69999999</v>
      </c>
      <c r="K64" s="76">
        <f>资产资本表!K22+资产资本表!K23-资产资本表!K37</f>
        <v>568630316</v>
      </c>
      <c r="L64" s="76">
        <f>资产资本表!L22+资产资本表!L23-资产资本表!L37</f>
        <v>590718594.36999989</v>
      </c>
      <c r="M64" s="76">
        <f>资产资本表!M22+资产资本表!M23-资产资本表!M37</f>
        <v>571973294.06999993</v>
      </c>
      <c r="N64" s="76">
        <f>资产资本表!N22+资产资本表!N23-资产资本表!N37</f>
        <v>583490979.93000007</v>
      </c>
      <c r="O64" s="76">
        <f>资产资本表!O22+资产资本表!O23-资产资本表!O37</f>
        <v>666594036.78999996</v>
      </c>
      <c r="P64" s="76">
        <f>资产资本表!P22+资产资本表!P23-资产资本表!P37</f>
        <v>659452834.73999989</v>
      </c>
      <c r="Q64" s="76">
        <f>资产资本表!Q22+资产资本表!Q23-资产资本表!Q37</f>
        <v>662197292.61000001</v>
      </c>
      <c r="R64" s="76">
        <f>资产资本表!R22+资产资本表!R23-资产资本表!R37</f>
        <v>746621673.45999992</v>
      </c>
      <c r="S64" s="76">
        <f>资产资本表!S22+资产资本表!S23-资产资本表!S37</f>
        <v>719347637.51999998</v>
      </c>
      <c r="T64" s="76">
        <f>资产资本表!T22+资产资本表!T23-资产资本表!T37</f>
        <v>698814786.88999999</v>
      </c>
      <c r="U64" s="76">
        <f>资产资本表!U22+资产资本表!U23-资产资本表!U37</f>
        <v>682187431.85000002</v>
      </c>
      <c r="V64" s="76">
        <f>资产资本表!V22+资产资本表!V23-资产资本表!V37</f>
        <v>663598786.50999999</v>
      </c>
      <c r="W64" s="76">
        <f>资产资本表!W22+资产资本表!W23-资产资本表!W37</f>
        <v>653008647.97000003</v>
      </c>
      <c r="X64" s="76">
        <f>资产资本表!X22+资产资本表!X23-资产资本表!X37</f>
        <v>635447553.8900001</v>
      </c>
      <c r="Y64" s="76">
        <f>资产资本表!Y22+资产资本表!Y23-资产资本表!Y37</f>
        <v>655539468.64999998</v>
      </c>
      <c r="Z64" s="76">
        <f>资产资本表!Z22+资产资本表!Z23-资产资本表!Z37</f>
        <v>628427160.12</v>
      </c>
      <c r="AA64" s="76">
        <f>资产资本表!AA22+资产资本表!AA23-资产资本表!AA37</f>
        <v>579649111.55999994</v>
      </c>
      <c r="AB64" s="76">
        <f>资产资本表!AB22+资产资本表!AB23-资产资本表!AB37</f>
        <v>523048634.75999999</v>
      </c>
      <c r="AC64" s="76">
        <f>资产资本表!AC22+资产资本表!AC23-资产资本表!AC37</f>
        <v>515163694.26999998</v>
      </c>
      <c r="AD64" s="76">
        <f>资产资本表!AD22+资产资本表!AD23-资产资本表!AD37</f>
        <v>607711154.83000004</v>
      </c>
      <c r="AE64" s="76">
        <f>资产资本表!AE22+资产资本表!AE23-资产资本表!AE37</f>
        <v>606006803.63000011</v>
      </c>
      <c r="AF64" s="76">
        <f>资产资本表!AF22+资产资本表!AF23-资产资本表!AF37</f>
        <v>543438398.84000003</v>
      </c>
      <c r="AG64" s="76">
        <f>资产资本表!AG22+资产资本表!AG23-资产资本表!AG37</f>
        <v>534236147.32999998</v>
      </c>
      <c r="AH64" s="76">
        <f>资产资本表!AH22+资产资本表!AH23-资产资本表!AH37</f>
        <v>505429952.69999993</v>
      </c>
      <c r="AI64" s="76">
        <f>资产资本表!AI22+资产资本表!AI23-资产资本表!AI37</f>
        <v>528990195.45000005</v>
      </c>
      <c r="AJ64" s="76">
        <f>资产资本表!AJ22+资产资本表!AJ23-资产资本表!AJ37</f>
        <v>497427833.09000003</v>
      </c>
      <c r="AK64" s="76">
        <f>资产资本表!AK22+资产资本表!AK23-资产资本表!AK37</f>
        <v>549031456.59000003</v>
      </c>
      <c r="AL64" s="76">
        <f>资产资本表!AL22+资产资本表!AL23-资产资本表!AL37</f>
        <v>525674256.36999995</v>
      </c>
      <c r="AM64" s="76">
        <f>资产资本表!AM22+资产资本表!AM23-资产资本表!AM37</f>
        <v>509561004.13</v>
      </c>
      <c r="AN64" s="76">
        <f>资产资本表!AN22+资产资本表!AN23-资产资本表!AN37</f>
        <v>469668678.87</v>
      </c>
      <c r="AO64" s="76">
        <f>资产资本表!AO22+资产资本表!AO23-资产资本表!AO37</f>
        <v>471429435.13000005</v>
      </c>
      <c r="AP64" s="76">
        <f>资产资本表!AP22+资产资本表!AP23-资产资本表!AP37</f>
        <v>498509213.83000004</v>
      </c>
      <c r="AQ64" s="76">
        <f>资产资本表!AQ22+资产资本表!AQ23-资产资本表!AQ37</f>
        <v>457218771.81999999</v>
      </c>
      <c r="AR64" s="76">
        <f>资产资本表!AR22+资产资本表!AR23-资产资本表!AR37</f>
        <v>421086329.75</v>
      </c>
      <c r="AS64" s="76">
        <f>资产资本表!AS22+资产资本表!AS23-资产资本表!AS37</f>
        <v>446930515.5</v>
      </c>
      <c r="AT64" s="76">
        <f>资产资本表!AT22+资产资本表!AT23-资产资本表!AT37</f>
        <v>450093537.63000005</v>
      </c>
      <c r="AU64" s="76">
        <f>资产资本表!AU22+资产资本表!AU23-资产资本表!AU37</f>
        <v>449107251.00999999</v>
      </c>
      <c r="AV64" s="76">
        <f>资产资本表!AV22+资产资本表!AV23-资产资本表!AV37</f>
        <v>426022358.58000004</v>
      </c>
      <c r="AW64" s="76">
        <f>资产资本表!AW22+资产资本表!AW23-资产资本表!AW37</f>
        <v>393867203.88999999</v>
      </c>
      <c r="AX64" s="76">
        <f>资产资本表!AX22+资产资本表!AX23-资产资本表!AX37</f>
        <v>396714533.51999998</v>
      </c>
      <c r="AY64" s="76">
        <f>资产资本表!AY22+资产资本表!AY23-资产资本表!AY37</f>
        <v>393888219.07000005</v>
      </c>
      <c r="AZ64" s="76">
        <f>资产资本表!AZ22+资产资本表!AZ23-资产资本表!AZ37</f>
        <v>143643836.28999999</v>
      </c>
      <c r="BA64" s="76">
        <f>资产资本表!BA22+资产资本表!BA23-资产资本表!BA37</f>
        <v>322304840.94999999</v>
      </c>
      <c r="BB64" s="76">
        <f>资产资本表!BB22+资产资本表!BB23-资产资本表!BB37</f>
        <v>277685334.41000003</v>
      </c>
      <c r="BC64" s="76">
        <f>资产资本表!BC22+资产资本表!BC23-资产资本表!BC37</f>
        <v>291905147.92999995</v>
      </c>
      <c r="BD64" s="76">
        <f>资产资本表!BD22+资产资本表!BD23-资产资本表!BD37</f>
        <v>274778804.09999996</v>
      </c>
      <c r="BE64" s="76">
        <f>资产资本表!BE22+资产资本表!BE23-资产资本表!BE37</f>
        <v>276240728.26999998</v>
      </c>
      <c r="BF64" s="76">
        <f>资产资本表!BF22+资产资本表!BF23-资产资本表!BF37</f>
        <v>244410344.70999998</v>
      </c>
      <c r="BG64" s="76">
        <f>资产资本表!BG22+资产资本表!BG23-资产资本表!BG37</f>
        <v>225388639.5</v>
      </c>
      <c r="BH64" s="76">
        <f>资产资本表!BH22+资产资本表!BH23-资产资本表!BH37</f>
        <v>198502395.25</v>
      </c>
      <c r="BI64" s="76">
        <f>资产资本表!BI22+资产资本表!BI23-资产资本表!BI37</f>
        <v>153293493.58000001</v>
      </c>
      <c r="BJ64" s="76">
        <f>资产资本表!BJ22+资产资本表!BJ23-资产资本表!BJ37</f>
        <v>144082836.91</v>
      </c>
      <c r="BK64" s="76">
        <f>资产资本表!BK22+资产资本表!BK23-资产资本表!BK37</f>
        <v>134909119.37</v>
      </c>
      <c r="BL64" s="76">
        <f>资产资本表!BL22+资产资本表!BL23-资产资本表!BL37</f>
        <v>90373485.120000005</v>
      </c>
      <c r="BM64" s="76">
        <f>资产资本表!BM22+资产资本表!BM23-资产资本表!BM37</f>
        <v>102061850.23</v>
      </c>
      <c r="BN64" s="76">
        <f>资产资本表!BN22+资产资本表!BN23-资产资本表!BN37</f>
        <v>92771082.139999986</v>
      </c>
      <c r="BO64" s="76">
        <f>资产资本表!BO22+资产资本表!BO23-资产资本表!BO37</f>
        <v>103566937.63</v>
      </c>
      <c r="BP64" s="76">
        <f>资产资本表!BP22+资产资本表!BP23-资产资本表!BP37</f>
        <v>84405588.510000005</v>
      </c>
      <c r="BQ64" s="76">
        <f>资产资本表!BQ22+资产资本表!BQ23-资产资本表!BQ37</f>
        <v>89047604.840000004</v>
      </c>
      <c r="BR64" s="76">
        <f>资产资本表!BR22+资产资本表!BR23-资产资本表!BR37</f>
        <v>72961905.590000004</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c r="A65" s="152" t="s">
        <v>690</v>
      </c>
      <c r="E65" s="153">
        <f>E63/(E64+I64)*2</f>
        <v>3.8959933201726042</v>
      </c>
      <c r="F65" s="153">
        <f t="shared" ref="F65:BQ65" si="28">F63/(F64+J64)*2</f>
        <v>2.8827916638153672</v>
      </c>
      <c r="G65" s="153">
        <f t="shared" si="28"/>
        <v>1.8580073242105324</v>
      </c>
      <c r="H65" s="153">
        <f t="shared" si="28"/>
        <v>0.94803532894400078</v>
      </c>
      <c r="I65" s="153">
        <f t="shared" si="28"/>
        <v>3.5981018992739937</v>
      </c>
      <c r="J65" s="153">
        <f t="shared" si="28"/>
        <v>2.6285188213374981</v>
      </c>
      <c r="K65" s="153">
        <f t="shared" si="28"/>
        <v>1.572237871908416</v>
      </c>
      <c r="L65" s="153">
        <f t="shared" si="28"/>
        <v>0.72083161180666266</v>
      </c>
      <c r="M65" s="153">
        <f t="shared" si="28"/>
        <v>2.7924943027941391</v>
      </c>
      <c r="N65" s="153">
        <f t="shared" si="28"/>
        <v>1.9708788531698582</v>
      </c>
      <c r="O65" s="153">
        <f t="shared" si="28"/>
        <v>1.2886041992417445</v>
      </c>
      <c r="P65" s="153">
        <f t="shared" si="28"/>
        <v>0.6123510342253965</v>
      </c>
      <c r="Q65" s="153">
        <f t="shared" si="28"/>
        <v>2.5158162325286315</v>
      </c>
      <c r="R65" s="153">
        <f t="shared" si="28"/>
        <v>1.7455305457363497</v>
      </c>
      <c r="S65" s="153">
        <f t="shared" si="28"/>
        <v>1.1856170099727765</v>
      </c>
      <c r="T65" s="153">
        <f t="shared" si="28"/>
        <v>0.58462911749723001</v>
      </c>
      <c r="U65" s="153">
        <f t="shared" si="28"/>
        <v>2.3092081821524229</v>
      </c>
      <c r="V65" s="153">
        <f t="shared" si="28"/>
        <v>1.7374210726147634</v>
      </c>
      <c r="W65" s="153">
        <f t="shared" si="28"/>
        <v>1.2313685509258818</v>
      </c>
      <c r="X65" s="153">
        <f t="shared" si="28"/>
        <v>0.61667163783465417</v>
      </c>
      <c r="Y65" s="153">
        <f t="shared" si="28"/>
        <v>2.5080530707856674</v>
      </c>
      <c r="Z65" s="153">
        <f t="shared" si="28"/>
        <v>1.7333804202700966</v>
      </c>
      <c r="AA65" s="153">
        <f t="shared" si="28"/>
        <v>1.2023856520055793</v>
      </c>
      <c r="AB65" s="153">
        <f t="shared" si="28"/>
        <v>0.61372817491327447</v>
      </c>
      <c r="AC65" s="153">
        <f t="shared" si="28"/>
        <v>2.6628134285969574</v>
      </c>
      <c r="AD65" s="153">
        <f t="shared" si="28"/>
        <v>1.9378783341552801</v>
      </c>
      <c r="AE65" s="153">
        <f t="shared" si="28"/>
        <v>1.3052478767616371</v>
      </c>
      <c r="AF65" s="153">
        <f t="shared" si="28"/>
        <v>0.71877288674527207</v>
      </c>
      <c r="AG65" s="153">
        <f t="shared" si="28"/>
        <v>2.7941725603598258</v>
      </c>
      <c r="AH65" s="153">
        <f t="shared" si="28"/>
        <v>2.055458679847284</v>
      </c>
      <c r="AI65" s="153">
        <f t="shared" si="28"/>
        <v>1.3565276574806726</v>
      </c>
      <c r="AJ65" s="153">
        <f t="shared" si="28"/>
        <v>0.69534525171342332</v>
      </c>
      <c r="AK65" s="153">
        <f t="shared" si="28"/>
        <v>2.4345049045168716</v>
      </c>
      <c r="AL65" s="153">
        <f t="shared" si="28"/>
        <v>1.6773113294286401</v>
      </c>
      <c r="AM65" s="153">
        <f t="shared" si="28"/>
        <v>1.1631885828134652</v>
      </c>
      <c r="AN65" s="153">
        <f t="shared" si="28"/>
        <v>0.59743672714730245</v>
      </c>
      <c r="AO65" s="153">
        <f t="shared" si="28"/>
        <v>2.522523040416571</v>
      </c>
      <c r="AP65" s="153">
        <f t="shared" si="28"/>
        <v>1.8874266354639568</v>
      </c>
      <c r="AQ65" s="153">
        <f t="shared" si="28"/>
        <v>1.2494202107141765</v>
      </c>
      <c r="AR65" s="153">
        <f t="shared" si="28"/>
        <v>0.59513115911237902</v>
      </c>
      <c r="AS65" s="153">
        <f t="shared" si="28"/>
        <v>2.4075463921436455</v>
      </c>
      <c r="AT65" s="153">
        <f t="shared" si="28"/>
        <v>1.7622443081977464</v>
      </c>
      <c r="AU65" s="153">
        <f t="shared" si="28"/>
        <v>1.1495610369626721</v>
      </c>
      <c r="AV65" s="153">
        <f t="shared" si="28"/>
        <v>0.78442137747347773</v>
      </c>
      <c r="AW65" s="153">
        <f t="shared" si="28"/>
        <v>2.308702882628423</v>
      </c>
      <c r="AX65" s="153">
        <f t="shared" si="28"/>
        <v>1.791614013520852</v>
      </c>
      <c r="AY65" s="153">
        <f t="shared" si="28"/>
        <v>1.1591789197051245</v>
      </c>
      <c r="AZ65" s="153">
        <f t="shared" si="28"/>
        <v>0.98650078594041835</v>
      </c>
      <c r="BA65" s="153">
        <f t="shared" si="28"/>
        <v>2.2459074590290724</v>
      </c>
      <c r="BB65" s="153">
        <f t="shared" si="28"/>
        <v>1.868567042968712</v>
      </c>
      <c r="BC65" s="153">
        <f t="shared" si="28"/>
        <v>1.2567701809254264</v>
      </c>
      <c r="BD65" s="153">
        <f t="shared" si="28"/>
        <v>0.6453214913659342</v>
      </c>
      <c r="BE65" s="153">
        <f t="shared" si="28"/>
        <v>2.6083027650617447</v>
      </c>
      <c r="BF65" s="153">
        <f t="shared" si="28"/>
        <v>2.063785910312935</v>
      </c>
      <c r="BG65" s="153">
        <f t="shared" si="28"/>
        <v>1.4819996312901296</v>
      </c>
      <c r="BH65" s="153">
        <f t="shared" si="28"/>
        <v>0.92093135923724534</v>
      </c>
      <c r="BI65" s="153">
        <f t="shared" si="28"/>
        <v>3.6653983635307266</v>
      </c>
      <c r="BJ65" s="153">
        <f t="shared" si="28"/>
        <v>2.9486496670235276</v>
      </c>
      <c r="BK65" s="153">
        <f t="shared" si="28"/>
        <v>1.9827542302915548</v>
      </c>
      <c r="BL65" s="153">
        <f t="shared" si="28"/>
        <v>1.0430365597767359</v>
      </c>
      <c r="BM65" s="153">
        <f t="shared" si="28"/>
        <v>4.4196479997843365</v>
      </c>
      <c r="BN65" s="153">
        <f t="shared" si="28"/>
        <v>3.5403846558049379</v>
      </c>
      <c r="BO65" s="153">
        <f t="shared" si="28"/>
        <v>3.6272260251826083</v>
      </c>
      <c r="BP65" s="153">
        <f t="shared" si="28"/>
        <v>8.2958690513370605</v>
      </c>
      <c r="BQ65" s="153">
        <f t="shared" si="28"/>
        <v>3.6142011974187538</v>
      </c>
      <c r="BR65" s="153">
        <f t="shared" ref="BR65:CK65" si="29">BR63/(BR64+BV64)*2</f>
        <v>8.0347337372771044</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c r="A66" s="146" t="s">
        <v>474</v>
      </c>
      <c r="E66" s="83">
        <f>E62/E65</f>
        <v>93.685992250066121</v>
      </c>
      <c r="F66" s="83">
        <f t="shared" ref="F66:BQ66" si="30">F62/F65</f>
        <v>126.61338125174244</v>
      </c>
      <c r="G66" s="83">
        <f t="shared" si="30"/>
        <v>196.44701893470122</v>
      </c>
      <c r="H66" s="83">
        <f t="shared" si="30"/>
        <v>385.00674906974916</v>
      </c>
      <c r="I66" s="83">
        <f t="shared" si="30"/>
        <v>101.44237440124967</v>
      </c>
      <c r="J66" s="83">
        <f t="shared" si="30"/>
        <v>138.86147477318539</v>
      </c>
      <c r="K66" s="83">
        <f t="shared" si="30"/>
        <v>232.15316621075613</v>
      </c>
      <c r="L66" s="83">
        <f t="shared" si="30"/>
        <v>506.35959081369788</v>
      </c>
      <c r="M66" s="83">
        <f t="shared" si="30"/>
        <v>130.70751823371134</v>
      </c>
      <c r="N66" s="83">
        <f t="shared" si="30"/>
        <v>185.19656822790154</v>
      </c>
      <c r="O66" s="83">
        <f t="shared" si="30"/>
        <v>283.25221989403536</v>
      </c>
      <c r="P66" s="83">
        <f t="shared" si="30"/>
        <v>596.06333556978927</v>
      </c>
      <c r="Q66" s="83">
        <f t="shared" si="30"/>
        <v>145.08213886240043</v>
      </c>
      <c r="R66" s="83">
        <f t="shared" si="30"/>
        <v>209.10547849853023</v>
      </c>
      <c r="S66" s="83">
        <f t="shared" si="30"/>
        <v>307.85658178806068</v>
      </c>
      <c r="T66" s="83">
        <f t="shared" si="30"/>
        <v>624.32743952704232</v>
      </c>
      <c r="U66" s="83">
        <f t="shared" si="30"/>
        <v>158.06283851799881</v>
      </c>
      <c r="V66" s="83">
        <f t="shared" si="30"/>
        <v>210.08148557257144</v>
      </c>
      <c r="W66" s="83">
        <f t="shared" si="30"/>
        <v>296.41815988036387</v>
      </c>
      <c r="X66" s="83">
        <f t="shared" si="30"/>
        <v>591.88712048058562</v>
      </c>
      <c r="Y66" s="83">
        <f t="shared" si="30"/>
        <v>145.53121074334399</v>
      </c>
      <c r="Z66" s="83">
        <f t="shared" si="30"/>
        <v>210.57120279639793</v>
      </c>
      <c r="AA66" s="83">
        <f t="shared" si="30"/>
        <v>303.56316992903231</v>
      </c>
      <c r="AB66" s="83">
        <f t="shared" si="30"/>
        <v>594.72583290082434</v>
      </c>
      <c r="AC66" s="83">
        <f t="shared" si="30"/>
        <v>137.07306568313325</v>
      </c>
      <c r="AD66" s="83">
        <f t="shared" si="30"/>
        <v>188.35031775052238</v>
      </c>
      <c r="AE66" s="83">
        <f t="shared" si="30"/>
        <v>279.64037061341713</v>
      </c>
      <c r="AF66" s="83">
        <f t="shared" si="30"/>
        <v>507.8099170556963</v>
      </c>
      <c r="AG66" s="83">
        <f t="shared" si="30"/>
        <v>130.62901167170446</v>
      </c>
      <c r="AH66" s="83">
        <f t="shared" si="30"/>
        <v>177.57593649467995</v>
      </c>
      <c r="AI66" s="83">
        <f t="shared" si="30"/>
        <v>269.06933890155528</v>
      </c>
      <c r="AJ66" s="83">
        <f t="shared" si="30"/>
        <v>524.91909465203275</v>
      </c>
      <c r="AK66" s="83">
        <f t="shared" si="30"/>
        <v>149.92781461347451</v>
      </c>
      <c r="AL66" s="83">
        <f t="shared" si="30"/>
        <v>217.61016788954362</v>
      </c>
      <c r="AM66" s="83">
        <f t="shared" si="30"/>
        <v>313.79262605652076</v>
      </c>
      <c r="AN66" s="83">
        <f t="shared" si="30"/>
        <v>610.94335753818928</v>
      </c>
      <c r="AO66" s="83">
        <f t="shared" si="30"/>
        <v>144.69639886410064</v>
      </c>
      <c r="AP66" s="83">
        <f t="shared" si="30"/>
        <v>193.38500005340748</v>
      </c>
      <c r="AQ66" s="83">
        <f t="shared" si="30"/>
        <v>292.13550162708162</v>
      </c>
      <c r="AR66" s="83">
        <f t="shared" si="30"/>
        <v>613.31018282488685</v>
      </c>
      <c r="AS66" s="83">
        <f t="shared" si="30"/>
        <v>151.6066320429278</v>
      </c>
      <c r="AT66" s="83">
        <f t="shared" si="30"/>
        <v>207.12224650240853</v>
      </c>
      <c r="AU66" s="83">
        <f t="shared" si="30"/>
        <v>317.51250108858039</v>
      </c>
      <c r="AV66" s="83">
        <f t="shared" si="30"/>
        <v>465.31113312543692</v>
      </c>
      <c r="AW66" s="83">
        <f t="shared" si="30"/>
        <v>158.09743330179111</v>
      </c>
      <c r="AX66" s="83">
        <f t="shared" si="30"/>
        <v>203.72691731893059</v>
      </c>
      <c r="AY66" s="83">
        <f t="shared" si="30"/>
        <v>314.87805186523735</v>
      </c>
      <c r="AZ66" s="83">
        <f t="shared" si="30"/>
        <v>369.99463680310225</v>
      </c>
      <c r="BA66" s="83">
        <f t="shared" si="30"/>
        <v>162.5178270514285</v>
      </c>
      <c r="BB66" s="83">
        <f t="shared" si="30"/>
        <v>195.33684989975052</v>
      </c>
      <c r="BC66" s="83">
        <f t="shared" si="30"/>
        <v>290.42700530277637</v>
      </c>
      <c r="BD66" s="83">
        <f t="shared" si="30"/>
        <v>565.60955257729688</v>
      </c>
      <c r="BE66" s="83">
        <f t="shared" si="30"/>
        <v>139.9377422319144</v>
      </c>
      <c r="BF66" s="83">
        <f t="shared" si="30"/>
        <v>176.8594301259933</v>
      </c>
      <c r="BG66" s="83">
        <f t="shared" si="30"/>
        <v>246.28886019509699</v>
      </c>
      <c r="BH66" s="83">
        <f t="shared" si="30"/>
        <v>396.33789895297798</v>
      </c>
      <c r="BI66" s="83">
        <f t="shared" si="30"/>
        <v>99.579899317794911</v>
      </c>
      <c r="BJ66" s="83">
        <f t="shared" si="30"/>
        <v>123.785475121717</v>
      </c>
      <c r="BK66" s="83">
        <f t="shared" si="30"/>
        <v>184.08736414413218</v>
      </c>
      <c r="BL66" s="83">
        <f t="shared" si="30"/>
        <v>349.93979509033602</v>
      </c>
      <c r="BM66" s="83">
        <f t="shared" si="30"/>
        <v>82.585762490092137</v>
      </c>
      <c r="BN66" s="83">
        <f t="shared" si="30"/>
        <v>103.09614222328449</v>
      </c>
      <c r="BO66" s="83">
        <f t="shared" si="30"/>
        <v>100.62786202622279</v>
      </c>
      <c r="BP66" s="83">
        <f t="shared" si="30"/>
        <v>43.997801525226855</v>
      </c>
      <c r="BQ66" s="83">
        <f t="shared" si="30"/>
        <v>100.99050386588365</v>
      </c>
      <c r="BR66" s="83">
        <f t="shared" ref="BR66:CJ66" si="31">BR62/BR65</f>
        <v>45.427765491043523</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45" t="s">
        <v>475</v>
      </c>
      <c r="E67" s="76">
        <f>股权价值增加表!E5</f>
        <v>1579599031.7</v>
      </c>
      <c r="F67" s="76">
        <f>股权价值增加表!F5</f>
        <v>1153215749.49</v>
      </c>
      <c r="G67" s="76">
        <f>股权价值增加表!G5</f>
        <v>796388753.14999998</v>
      </c>
      <c r="H67" s="76">
        <f>股权价值增加表!H5</f>
        <v>411318554.22000003</v>
      </c>
      <c r="I67" s="76">
        <f>股权价值增加表!I5</f>
        <v>1382503304.6800001</v>
      </c>
      <c r="J67" s="76">
        <f>股权价值增加表!J5</f>
        <v>970886286.33000004</v>
      </c>
      <c r="K67" s="76">
        <f>股权价值增加表!K5</f>
        <v>649258615.39999998</v>
      </c>
      <c r="L67" s="76">
        <f>股权价值增加表!L5</f>
        <v>307907841.31999999</v>
      </c>
      <c r="M67" s="76">
        <f>股权价值增加表!M5</f>
        <v>1183736156.6700001</v>
      </c>
      <c r="N67" s="76">
        <f>股权价值增加表!N5</f>
        <v>908369418.73000002</v>
      </c>
      <c r="O67" s="76">
        <f>股权价值增加表!O5</f>
        <v>624520521.64999998</v>
      </c>
      <c r="P67" s="76">
        <f>股权价值增加表!P5</f>
        <v>292314282.32999998</v>
      </c>
      <c r="Q67" s="76">
        <f>股权价值增加表!Q5</f>
        <v>1243464862.0899999</v>
      </c>
      <c r="R67" s="76">
        <f>股权价值增加表!R5</f>
        <v>902356240.62</v>
      </c>
      <c r="S67" s="76">
        <f>股权价值增加表!S5</f>
        <v>593503600.02999997</v>
      </c>
      <c r="T67" s="76">
        <f>股权价值增加表!T5</f>
        <v>291515172.32999998</v>
      </c>
      <c r="U67" s="76">
        <f>股权价值增加表!U5</f>
        <v>1104935553.8800001</v>
      </c>
      <c r="V67" s="76">
        <f>股权价值增加表!V5</f>
        <v>808786141.90999997</v>
      </c>
      <c r="W67" s="76">
        <f>股权价值增加表!W5</f>
        <v>545516762.55999994</v>
      </c>
      <c r="X67" s="76">
        <f>股权价值增加表!X5</f>
        <v>258279524.25999999</v>
      </c>
      <c r="Y67" s="76">
        <f>股权价值增加表!Y5</f>
        <v>1060594067.3099999</v>
      </c>
      <c r="Z67" s="76">
        <f>股权价值增加表!Z5</f>
        <v>777805780.02999997</v>
      </c>
      <c r="AA67" s="76">
        <f>股权价值增加表!AA5</f>
        <v>519428180.99000001</v>
      </c>
      <c r="AB67" s="76">
        <f>股权价值增加表!AB5</f>
        <v>242687344.61000001</v>
      </c>
      <c r="AC67" s="76">
        <f>股权价值增加表!AC5</f>
        <v>1013706164.67</v>
      </c>
      <c r="AD67" s="76">
        <f>股权价值增加表!AD5</f>
        <v>790385986.66999996</v>
      </c>
      <c r="AE67" s="76">
        <f>股权价值增加表!AE5</f>
        <v>538361908.03999996</v>
      </c>
      <c r="AF67" s="76">
        <f>股权价值增加表!AF5</f>
        <v>273131191.94</v>
      </c>
      <c r="AG67" s="76">
        <f>股权价值增加表!AG5</f>
        <v>1055308223.25</v>
      </c>
      <c r="AH67" s="76">
        <f>股权价值增加表!AH5</f>
        <v>715710989.24000001</v>
      </c>
      <c r="AI67" s="76">
        <f>股权价值增加表!AI5</f>
        <v>478525587.07999998</v>
      </c>
      <c r="AJ67" s="76">
        <f>股权价值增加表!AJ5</f>
        <v>231108203.18000001</v>
      </c>
      <c r="AK67" s="76">
        <f>股权价值增加表!AK5</f>
        <v>853986940.02999997</v>
      </c>
      <c r="AL67" s="76">
        <f>股权价值增加表!AL5</f>
        <v>582879138.94000006</v>
      </c>
      <c r="AM67" s="76">
        <f>股权价值增加表!AM5</f>
        <v>386402196.72000003</v>
      </c>
      <c r="AN67" s="76">
        <f>股权价值增加表!AN5</f>
        <v>187493809.56999999</v>
      </c>
      <c r="AO67" s="76">
        <f>股权价值增加表!AO5</f>
        <v>826362337.98000002</v>
      </c>
      <c r="AP67" s="76">
        <f>股权价值增加表!AP5</f>
        <v>634021966.73000002</v>
      </c>
      <c r="AQ67" s="76">
        <f>股权价值增加表!AQ5</f>
        <v>397642299.64999998</v>
      </c>
      <c r="AR67" s="76">
        <f>股权价值增加表!AR5</f>
        <v>178944728.38</v>
      </c>
      <c r="AS67" s="76">
        <f>股权价值增加表!AS5</f>
        <v>711281672.12</v>
      </c>
      <c r="AT67" s="76">
        <f>股权价值增加表!AT5</f>
        <v>0</v>
      </c>
      <c r="AU67" s="76">
        <f>股权价值增加表!AU5</f>
        <v>334221833.19999999</v>
      </c>
      <c r="AV67" s="76">
        <f>股权价值增加表!AV5</f>
        <v>155088250.44</v>
      </c>
      <c r="AW67" s="76">
        <f>股权价值增加表!AW5</f>
        <v>549849844.25</v>
      </c>
      <c r="AX67" s="76">
        <f>股权价值增加表!AX5</f>
        <v>399752333.11000001</v>
      </c>
      <c r="AY67" s="76">
        <f>股权价值增加表!AY5</f>
        <v>264472201.12</v>
      </c>
      <c r="AZ67" s="76">
        <f>股权价值增加表!AZ5</f>
        <v>139406531.86000001</v>
      </c>
      <c r="BA67" s="76">
        <f>股权价值增加表!BA5</f>
        <v>438848747.44</v>
      </c>
      <c r="BB67" s="76">
        <f>股权价值增加表!BB5</f>
        <v>316063792.14999998</v>
      </c>
      <c r="BC67" s="76">
        <f>股权价值增加表!BC5</f>
        <v>210801945.63</v>
      </c>
      <c r="BD67" s="76">
        <f>股权价值增加表!BD5</f>
        <v>99686734.280000001</v>
      </c>
      <c r="BE67" s="76">
        <f>股权价值增加表!BE5</f>
        <v>348115005.56</v>
      </c>
      <c r="BF67" s="76">
        <f>股权价值增加表!BF5</f>
        <v>248121787.66999999</v>
      </c>
      <c r="BG67" s="76">
        <f>股权价值增加表!BG5</f>
        <v>163159453.94999999</v>
      </c>
      <c r="BH67" s="76">
        <f>股权价值增加表!BH5</f>
        <v>82341285.030000001</v>
      </c>
      <c r="BI67" s="76">
        <f>股权价值增加表!BI5</f>
        <v>286673483.69999999</v>
      </c>
      <c r="BJ67" s="76">
        <f>股权价值增加表!BJ5</f>
        <v>217006307.15000001</v>
      </c>
      <c r="BK67" s="76">
        <f>股权价值增加表!BK5</f>
        <v>146837244.50999999</v>
      </c>
      <c r="BL67" s="76">
        <f>股权价值增加表!BL5</f>
        <v>53834394.850000001</v>
      </c>
      <c r="BM67" s="76">
        <f>股权价值增加表!BM5</f>
        <v>265049811.56</v>
      </c>
      <c r="BN67" s="76">
        <f>股权价值增加表!BN5</f>
        <v>184150130.88</v>
      </c>
      <c r="BO67" s="76">
        <f>股权价值增加表!BO5</f>
        <v>117979340.59</v>
      </c>
      <c r="BP67" s="76">
        <f>股权价值增加表!BP5</f>
        <v>220947506.97999999</v>
      </c>
      <c r="BQ67" s="76">
        <f>股权价值增加表!BQ5</f>
        <v>99360610.209999993</v>
      </c>
      <c r="BR67" s="76">
        <f>股权价值增加表!BR5</f>
        <v>192752420.78999999</v>
      </c>
      <c r="BS67" s="76">
        <f>股权价值增加表!BS5</f>
        <v>144715708.33000001</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45" t="s">
        <v>476</v>
      </c>
      <c r="E68" s="76">
        <f>资产资本表!E26</f>
        <v>545291064.50999999</v>
      </c>
      <c r="F68" s="76">
        <f>资产资本表!F26</f>
        <v>550534766.14999998</v>
      </c>
      <c r="G68" s="76">
        <f>资产资本表!G26</f>
        <v>515278965.76999998</v>
      </c>
      <c r="H68" s="76">
        <f>资产资本表!H26</f>
        <v>497163786.93000001</v>
      </c>
      <c r="I68" s="76">
        <f>资产资本表!I26</f>
        <v>512073033.35000002</v>
      </c>
      <c r="J68" s="76">
        <f>资产资本表!J26</f>
        <v>566861245.27999997</v>
      </c>
      <c r="K68" s="76">
        <f>资产资本表!K26</f>
        <v>550696325.96000004</v>
      </c>
      <c r="L68" s="76">
        <f>资产资本表!L26</f>
        <v>561817538.32000005</v>
      </c>
      <c r="M68" s="76">
        <f>资产资本表!M26</f>
        <v>530747355.20999998</v>
      </c>
      <c r="N68" s="76">
        <f>资产资本表!N26</f>
        <v>480304413.70999998</v>
      </c>
      <c r="O68" s="76">
        <f>资产资本表!O26</f>
        <v>448626613.17000002</v>
      </c>
      <c r="P68" s="76">
        <f>资产资本表!P26</f>
        <v>470613052.47000003</v>
      </c>
      <c r="Q68" s="76">
        <f>资产资本表!Q26</f>
        <v>474613402.13999999</v>
      </c>
      <c r="R68" s="76">
        <f>资产资本表!R26</f>
        <v>479223258.83999997</v>
      </c>
      <c r="S68" s="76">
        <f>资产资本表!S26</f>
        <v>474156870.66000003</v>
      </c>
      <c r="T68" s="76">
        <f>资产资本表!T26</f>
        <v>480524282.19</v>
      </c>
      <c r="U68" s="76">
        <f>资产资本表!U26</f>
        <v>486847147.36000001</v>
      </c>
      <c r="V68" s="76">
        <f>资产资本表!V26</f>
        <v>491494705.63</v>
      </c>
      <c r="W68" s="76">
        <f>资产资本表!W26</f>
        <v>461585494.5</v>
      </c>
      <c r="X68" s="76">
        <f>资产资本表!X26</f>
        <v>471964742.36000001</v>
      </c>
      <c r="Y68" s="76">
        <f>资产资本表!Y26</f>
        <v>450400555.81999999</v>
      </c>
      <c r="Z68" s="76">
        <f>资产资本表!Z26</f>
        <v>467892313.20999998</v>
      </c>
      <c r="AA68" s="76">
        <f>资产资本表!AA26</f>
        <v>437615528.61000001</v>
      </c>
      <c r="AB68" s="76">
        <f>资产资本表!AB26</f>
        <v>428630165.13999999</v>
      </c>
      <c r="AC68" s="76">
        <f>资产资本表!AC26</f>
        <v>396488094.70999998</v>
      </c>
      <c r="AD68" s="76">
        <f>资产资本表!AD26</f>
        <v>359222925.75999999</v>
      </c>
      <c r="AE68" s="76">
        <f>资产资本表!AE26</f>
        <v>310715386.38999999</v>
      </c>
      <c r="AF68" s="76">
        <f>资产资本表!AF26</f>
        <v>324363556.52999997</v>
      </c>
      <c r="AG68" s="76">
        <f>资产资本表!AG26</f>
        <v>334691103.43000001</v>
      </c>
      <c r="AH68" s="76">
        <f>资产资本表!AH26</f>
        <v>296673879.00999999</v>
      </c>
      <c r="AI68" s="76">
        <f>资产资本表!AI26</f>
        <v>279109872.02999997</v>
      </c>
      <c r="AJ68" s="76">
        <f>资产资本表!AJ26</f>
        <v>270969144.06999999</v>
      </c>
      <c r="AK68" s="76">
        <f>资产资本表!AK26</f>
        <v>288921075.75</v>
      </c>
      <c r="AL68" s="76">
        <f>资产资本表!AL26</f>
        <v>284413805.39999998</v>
      </c>
      <c r="AM68" s="76">
        <f>资产资本表!AM26</f>
        <v>284792781.08999997</v>
      </c>
      <c r="AN68" s="76">
        <f>资产资本表!AN26</f>
        <v>303234897.13</v>
      </c>
      <c r="AO68" s="76">
        <f>资产资本表!AO26</f>
        <v>297654530.12</v>
      </c>
      <c r="AP68" s="76">
        <f>资产资本表!AP26</f>
        <v>272505406.82999998</v>
      </c>
      <c r="AQ68" s="76">
        <f>资产资本表!AQ26</f>
        <v>249173476.86000001</v>
      </c>
      <c r="AR68" s="76">
        <f>资产资本表!AR26</f>
        <v>221629112.31999999</v>
      </c>
      <c r="AS68" s="76">
        <f>资产资本表!AS26</f>
        <v>214624775.91999999</v>
      </c>
      <c r="AT68" s="76">
        <f>资产资本表!AT26</f>
        <v>198603051.72999999</v>
      </c>
      <c r="AU68" s="76">
        <f>资产资本表!AU26</f>
        <v>195983729.46000001</v>
      </c>
      <c r="AV68" s="76">
        <f>资产资本表!AV26</f>
        <v>202806268.65000001</v>
      </c>
      <c r="AW68" s="76">
        <f>资产资本表!AW26</f>
        <v>212274968.80000001</v>
      </c>
      <c r="AX68" s="76">
        <f>资产资本表!AX26</f>
        <v>212189161.06999999</v>
      </c>
      <c r="AY68" s="76">
        <f>资产资本表!AY26</f>
        <v>194033471.12</v>
      </c>
      <c r="AZ68" s="76">
        <f>资产资本表!AZ26</f>
        <v>175646280.34999999</v>
      </c>
      <c r="BA68" s="76">
        <f>资产资本表!BA26</f>
        <v>172990972.13999999</v>
      </c>
      <c r="BB68" s="76">
        <f>资产资本表!BB26</f>
        <v>177740717.18000001</v>
      </c>
      <c r="BC68" s="76">
        <f>资产资本表!BC26</f>
        <v>156430444.75999999</v>
      </c>
      <c r="BD68" s="76">
        <f>资产资本表!BD26</f>
        <v>132274858.62</v>
      </c>
      <c r="BE68" s="76">
        <f>资产资本表!BE26</f>
        <v>125866850.59</v>
      </c>
      <c r="BF68" s="76">
        <f>资产资本表!BF26</f>
        <v>110101067.83</v>
      </c>
      <c r="BG68" s="76">
        <f>资产资本表!BG26</f>
        <v>90459845.810000002</v>
      </c>
      <c r="BH68" s="76">
        <f>资产资本表!BH26</f>
        <v>79210920.370000005</v>
      </c>
      <c r="BI68" s="76">
        <f>资产资本表!BI26</f>
        <v>78545858.030000001</v>
      </c>
      <c r="BJ68" s="76">
        <f>资产资本表!BJ26</f>
        <v>58494993.869999997</v>
      </c>
      <c r="BK68" s="76">
        <f>资产资本表!BK26</f>
        <v>57477330.259999998</v>
      </c>
      <c r="BL68" s="76">
        <f>资产资本表!BL26</f>
        <v>74980107.290000007</v>
      </c>
      <c r="BM68" s="76">
        <f>资产资本表!BM26</f>
        <v>71573188.620000005</v>
      </c>
      <c r="BN68" s="76">
        <f>资产资本表!BN26</f>
        <v>90310247.879999995</v>
      </c>
      <c r="BO68" s="76">
        <f>资产资本表!BO26</f>
        <v>84013222.239999995</v>
      </c>
      <c r="BP68" s="76">
        <f>资产资本表!BP26</f>
        <v>83588211.629999995</v>
      </c>
      <c r="BQ68" s="76">
        <f>资产资本表!BQ26</f>
        <v>81256659.780000001</v>
      </c>
      <c r="BR68" s="76">
        <f>资产资本表!BR26</f>
        <v>67536923.650000006</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c r="A69" s="152" t="s">
        <v>477</v>
      </c>
      <c r="E69" s="153">
        <f>E67/(E68+I68)*2</f>
        <v>2.9878053073618664</v>
      </c>
      <c r="F69" s="153">
        <f t="shared" ref="F69:BQ69" si="32">F67/(F68+J68)*2</f>
        <v>2.0641128797554225</v>
      </c>
      <c r="G69" s="153">
        <f t="shared" si="32"/>
        <v>1.4941973971226279</v>
      </c>
      <c r="H69" s="153">
        <f t="shared" si="32"/>
        <v>0.77681927794694139</v>
      </c>
      <c r="I69" s="153">
        <f t="shared" si="32"/>
        <v>2.6514696487456644</v>
      </c>
      <c r="J69" s="153">
        <f t="shared" si="32"/>
        <v>1.8543126925427023</v>
      </c>
      <c r="K69" s="153">
        <f t="shared" si="32"/>
        <v>1.2993970016644221</v>
      </c>
      <c r="L69" s="153">
        <f t="shared" si="32"/>
        <v>0.5964717513540424</v>
      </c>
      <c r="M69" s="153">
        <f t="shared" si="32"/>
        <v>2.3548485417118816</v>
      </c>
      <c r="N69" s="153">
        <f t="shared" si="32"/>
        <v>1.8933678406917771</v>
      </c>
      <c r="O69" s="153">
        <f t="shared" si="32"/>
        <v>1.3535580828948872</v>
      </c>
      <c r="P69" s="153">
        <f t="shared" si="32"/>
        <v>0.61466261848399129</v>
      </c>
      <c r="Q69" s="153">
        <f t="shared" si="32"/>
        <v>2.5866165028542336</v>
      </c>
      <c r="R69" s="153">
        <f t="shared" si="32"/>
        <v>1.8591522432835068</v>
      </c>
      <c r="S69" s="153">
        <f t="shared" si="32"/>
        <v>1.268519246595228</v>
      </c>
      <c r="T69" s="153">
        <f t="shared" si="32"/>
        <v>0.6121124019622699</v>
      </c>
      <c r="U69" s="153">
        <f t="shared" si="32"/>
        <v>2.3578303795913285</v>
      </c>
      <c r="V69" s="153">
        <f t="shared" si="32"/>
        <v>1.6860477076037732</v>
      </c>
      <c r="W69" s="153">
        <f t="shared" si="32"/>
        <v>1.2133366144830697</v>
      </c>
      <c r="X69" s="153">
        <f t="shared" si="32"/>
        <v>0.57357536026262723</v>
      </c>
      <c r="Y69" s="153">
        <f t="shared" si="32"/>
        <v>2.5046836243377659</v>
      </c>
      <c r="Z69" s="153">
        <f t="shared" si="32"/>
        <v>1.8807676207213768</v>
      </c>
      <c r="AA69" s="153">
        <f t="shared" si="32"/>
        <v>1.3882312505825047</v>
      </c>
      <c r="AB69" s="153">
        <f t="shared" si="32"/>
        <v>0.64459327515178921</v>
      </c>
      <c r="AC69" s="153">
        <f t="shared" si="32"/>
        <v>2.7727981519405973</v>
      </c>
      <c r="AD69" s="153">
        <f t="shared" si="32"/>
        <v>2.4100925051682807</v>
      </c>
      <c r="AE69" s="153">
        <f t="shared" si="32"/>
        <v>1.8254962816687168</v>
      </c>
      <c r="AF69" s="153">
        <f t="shared" si="32"/>
        <v>0.91757496829832308</v>
      </c>
      <c r="AG69" s="153">
        <f t="shared" si="32"/>
        <v>3.3845016453580028</v>
      </c>
      <c r="AH69" s="153">
        <f t="shared" si="32"/>
        <v>2.4633493651364788</v>
      </c>
      <c r="AI69" s="153">
        <f t="shared" si="32"/>
        <v>1.6971921817795332</v>
      </c>
      <c r="AJ69" s="153">
        <f t="shared" si="32"/>
        <v>0.80496891905190582</v>
      </c>
      <c r="AK69" s="153">
        <f t="shared" si="32"/>
        <v>2.9117710708865214</v>
      </c>
      <c r="AL69" s="153">
        <f t="shared" si="32"/>
        <v>2.0932269030764878</v>
      </c>
      <c r="AM69" s="153">
        <f t="shared" si="32"/>
        <v>1.4472906891288337</v>
      </c>
      <c r="AN69" s="153">
        <f t="shared" si="32"/>
        <v>0.71444719467990569</v>
      </c>
      <c r="AO69" s="153">
        <f t="shared" si="32"/>
        <v>3.2262179175962098</v>
      </c>
      <c r="AP69" s="153">
        <f t="shared" si="32"/>
        <v>2.6916178438738498</v>
      </c>
      <c r="AQ69" s="153">
        <f t="shared" si="32"/>
        <v>1.7865252724411964</v>
      </c>
      <c r="AR69" s="153">
        <f t="shared" si="32"/>
        <v>0.84321306094247683</v>
      </c>
      <c r="AS69" s="153">
        <f t="shared" si="32"/>
        <v>3.3323124734427925</v>
      </c>
      <c r="AT69" s="153">
        <f t="shared" si="32"/>
        <v>0</v>
      </c>
      <c r="AU69" s="153">
        <f t="shared" si="32"/>
        <v>1.7138825298113725</v>
      </c>
      <c r="AV69" s="153">
        <f t="shared" si="32"/>
        <v>0.81959152263498158</v>
      </c>
      <c r="AW69" s="153">
        <f t="shared" si="32"/>
        <v>2.8543911403558599</v>
      </c>
      <c r="AX69" s="153">
        <f t="shared" si="32"/>
        <v>2.0503806217881175</v>
      </c>
      <c r="AY69" s="153">
        <f t="shared" si="32"/>
        <v>1.5092692236570007</v>
      </c>
      <c r="AZ69" s="153">
        <f t="shared" si="32"/>
        <v>0.90546905825508806</v>
      </c>
      <c r="BA69" s="153">
        <f t="shared" si="32"/>
        <v>2.9368396211363241</v>
      </c>
      <c r="BB69" s="153">
        <f t="shared" si="32"/>
        <v>2.1960938863620481</v>
      </c>
      <c r="BC69" s="153">
        <f t="shared" si="32"/>
        <v>1.7076568312453098</v>
      </c>
      <c r="BD69" s="153">
        <f t="shared" si="32"/>
        <v>0.94272754183356822</v>
      </c>
      <c r="BE69" s="153">
        <f t="shared" si="32"/>
        <v>3.4060015926616414</v>
      </c>
      <c r="BF69" s="153">
        <f t="shared" si="32"/>
        <v>2.9433877063096308</v>
      </c>
      <c r="BG69" s="153">
        <f t="shared" si="32"/>
        <v>2.2057938144337323</v>
      </c>
      <c r="BH69" s="153">
        <f t="shared" si="32"/>
        <v>1.0680424961116053</v>
      </c>
      <c r="BI69" s="153">
        <f t="shared" si="32"/>
        <v>3.8192819645114628</v>
      </c>
      <c r="BJ69" s="153">
        <f t="shared" si="32"/>
        <v>2.9166486959455513</v>
      </c>
      <c r="BK69" s="153">
        <f t="shared" si="32"/>
        <v>2.0755766645267708</v>
      </c>
      <c r="BL69" s="153">
        <f t="shared" si="32"/>
        <v>0.67900568306031195</v>
      </c>
      <c r="BM69" s="153">
        <f t="shared" si="32"/>
        <v>3.4685608123654985</v>
      </c>
      <c r="BN69" s="153">
        <f t="shared" si="32"/>
        <v>2.3332712153793764</v>
      </c>
      <c r="BO69" s="153">
        <f t="shared" si="32"/>
        <v>2.808589825372231</v>
      </c>
      <c r="BP69" s="153">
        <f t="shared" si="32"/>
        <v>5.2865709810377481</v>
      </c>
      <c r="BQ69" s="153">
        <f t="shared" si="32"/>
        <v>2.4455991786769453</v>
      </c>
      <c r="BR69" s="153">
        <f t="shared" ref="BR69:CJ69" si="33">BR67/(BR68+BV68)*2</f>
        <v>5.7080604319175254</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c r="A70" s="146" t="s">
        <v>478</v>
      </c>
      <c r="E70" s="83">
        <f>E62/E69</f>
        <v>122.16324775267334</v>
      </c>
      <c r="F70" s="83">
        <f t="shared" ref="F70:BQ70" si="34">F62/F69</f>
        <v>176.83141439592634</v>
      </c>
      <c r="G70" s="83">
        <f t="shared" si="34"/>
        <v>244.27829997755288</v>
      </c>
      <c r="H70" s="83">
        <f t="shared" si="34"/>
        <v>469.8647553709788</v>
      </c>
      <c r="I70" s="83">
        <f t="shared" si="34"/>
        <v>137.65950523803704</v>
      </c>
      <c r="J70" s="83">
        <f t="shared" si="34"/>
        <v>196.83843046961971</v>
      </c>
      <c r="K70" s="83">
        <f t="shared" si="34"/>
        <v>280.89952457367889</v>
      </c>
      <c r="L70" s="83">
        <f t="shared" si="34"/>
        <v>611.93174558798216</v>
      </c>
      <c r="M70" s="83">
        <f t="shared" si="34"/>
        <v>154.9993528393378</v>
      </c>
      <c r="N70" s="83">
        <f t="shared" si="34"/>
        <v>192.77817662026015</v>
      </c>
      <c r="O70" s="83">
        <f t="shared" si="34"/>
        <v>269.65965082145993</v>
      </c>
      <c r="P70" s="83">
        <f t="shared" si="34"/>
        <v>593.82169831677561</v>
      </c>
      <c r="Q70" s="83">
        <f t="shared" si="34"/>
        <v>141.11098401994894</v>
      </c>
      <c r="R70" s="83">
        <f t="shared" si="34"/>
        <v>196.32604124736019</v>
      </c>
      <c r="S70" s="83">
        <f t="shared" si="34"/>
        <v>287.73706112830303</v>
      </c>
      <c r="T70" s="83">
        <f t="shared" si="34"/>
        <v>596.29571109800565</v>
      </c>
      <c r="U70" s="83">
        <f t="shared" si="34"/>
        <v>154.80333240225013</v>
      </c>
      <c r="V70" s="83">
        <f t="shared" si="34"/>
        <v>216.48260506147921</v>
      </c>
      <c r="W70" s="83">
        <f t="shared" si="34"/>
        <v>300.82336232431646</v>
      </c>
      <c r="X70" s="83">
        <f t="shared" si="34"/>
        <v>636.35927427718434</v>
      </c>
      <c r="Y70" s="83">
        <f t="shared" si="34"/>
        <v>145.72698781328336</v>
      </c>
      <c r="Z70" s="83">
        <f t="shared" si="34"/>
        <v>194.06969578729914</v>
      </c>
      <c r="AA70" s="83">
        <f t="shared" si="34"/>
        <v>262.92449463793963</v>
      </c>
      <c r="AB70" s="83">
        <f t="shared" si="34"/>
        <v>566.24853852850015</v>
      </c>
      <c r="AC70" s="83">
        <f t="shared" si="34"/>
        <v>131.63597925241965</v>
      </c>
      <c r="AD70" s="83">
        <f t="shared" si="34"/>
        <v>151.44646905348327</v>
      </c>
      <c r="AE70" s="83">
        <f t="shared" si="34"/>
        <v>199.94562775353745</v>
      </c>
      <c r="AF70" s="83">
        <f t="shared" si="34"/>
        <v>397.7876605296961</v>
      </c>
      <c r="AG70" s="83">
        <f t="shared" si="34"/>
        <v>107.84453318278455</v>
      </c>
      <c r="AH70" s="83">
        <f t="shared" si="34"/>
        <v>148.17224270572666</v>
      </c>
      <c r="AI70" s="83">
        <f t="shared" si="34"/>
        <v>215.06108967417683</v>
      </c>
      <c r="AJ70" s="83">
        <f t="shared" si="34"/>
        <v>453.43365608438376</v>
      </c>
      <c r="AK70" s="83">
        <f t="shared" si="34"/>
        <v>125.35326133619139</v>
      </c>
      <c r="AL70" s="83">
        <f t="shared" si="34"/>
        <v>174.37192282573233</v>
      </c>
      <c r="AM70" s="83">
        <f t="shared" si="34"/>
        <v>252.1953625084841</v>
      </c>
      <c r="AN70" s="83">
        <f t="shared" si="34"/>
        <v>510.88450303668867</v>
      </c>
      <c r="AO70" s="83">
        <f t="shared" si="34"/>
        <v>113.13556905416797</v>
      </c>
      <c r="AP70" s="83">
        <f t="shared" si="34"/>
        <v>135.6061748627294</v>
      </c>
      <c r="AQ70" s="83">
        <f t="shared" si="34"/>
        <v>204.30721335458409</v>
      </c>
      <c r="AR70" s="83">
        <f t="shared" si="34"/>
        <v>432.86805779790922</v>
      </c>
      <c r="AS70" s="83">
        <f t="shared" si="34"/>
        <v>109.53354552098733</v>
      </c>
      <c r="AT70" s="83" t="e">
        <f t="shared" si="34"/>
        <v>#DIV/0!</v>
      </c>
      <c r="AU70" s="83">
        <f t="shared" si="34"/>
        <v>212.96675451856748</v>
      </c>
      <c r="AV70" s="83">
        <f t="shared" si="34"/>
        <v>445.34379617120402</v>
      </c>
      <c r="AW70" s="83">
        <f t="shared" si="34"/>
        <v>127.87315474728354</v>
      </c>
      <c r="AX70" s="83">
        <f t="shared" si="34"/>
        <v>178.01572845615706</v>
      </c>
      <c r="AY70" s="83">
        <f t="shared" si="34"/>
        <v>241.83889413420556</v>
      </c>
      <c r="AZ70" s="83">
        <f t="shared" si="34"/>
        <v>403.10598873846055</v>
      </c>
      <c r="BA70" s="83">
        <f t="shared" si="34"/>
        <v>124.28325924681373</v>
      </c>
      <c r="BB70" s="83">
        <f t="shared" si="34"/>
        <v>166.20418747426271</v>
      </c>
      <c r="BC70" s="83">
        <f t="shared" si="34"/>
        <v>213.74317914555675</v>
      </c>
      <c r="BD70" s="83">
        <f t="shared" si="34"/>
        <v>387.17443142701575</v>
      </c>
      <c r="BE70" s="83">
        <f t="shared" si="34"/>
        <v>107.16377842758683</v>
      </c>
      <c r="BF70" s="83">
        <f t="shared" si="34"/>
        <v>124.00676921275544</v>
      </c>
      <c r="BG70" s="83">
        <f t="shared" si="34"/>
        <v>165.47330834441667</v>
      </c>
      <c r="BH70" s="83">
        <f t="shared" si="34"/>
        <v>341.74670139891066</v>
      </c>
      <c r="BI70" s="83">
        <f t="shared" si="34"/>
        <v>95.567701832846581</v>
      </c>
      <c r="BJ70" s="83">
        <f t="shared" si="34"/>
        <v>125.1436282015686</v>
      </c>
      <c r="BK70" s="83">
        <f t="shared" si="34"/>
        <v>175.85474255812159</v>
      </c>
      <c r="BL70" s="83">
        <f t="shared" si="34"/>
        <v>537.55072911161369</v>
      </c>
      <c r="BM70" s="83">
        <f t="shared" si="34"/>
        <v>105.23096458299554</v>
      </c>
      <c r="BN70" s="83">
        <f t="shared" si="34"/>
        <v>156.43273597778179</v>
      </c>
      <c r="BO70" s="83">
        <f t="shared" si="34"/>
        <v>129.95845698174367</v>
      </c>
      <c r="BP70" s="83">
        <f t="shared" si="34"/>
        <v>69.042863759742971</v>
      </c>
      <c r="BQ70" s="83">
        <f t="shared" si="34"/>
        <v>149.24767851674812</v>
      </c>
      <c r="BR70" s="83">
        <f t="shared" ref="BR70:CJ70" si="35">BR62/BR69</f>
        <v>63.944662876910797</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45" t="s">
        <v>479</v>
      </c>
      <c r="E71" s="76">
        <f>资产资本表!E35+资产资本表!E36-资产资本表!E24</f>
        <v>675869486.90999997</v>
      </c>
      <c r="F71" s="76">
        <f>资产资本表!F35+资产资本表!F36-资产资本表!F24</f>
        <v>632721684.96000004</v>
      </c>
      <c r="G71" s="76">
        <f>资产资本表!G35+资产资本表!G36-资产资本表!G24</f>
        <v>606513067.30999994</v>
      </c>
      <c r="H71" s="76">
        <f>资产资本表!H35+资产资本表!H36-资产资本表!H24</f>
        <v>622668281.13</v>
      </c>
      <c r="I71" s="76">
        <f>资产资本表!I35+资产资本表!I36-资产资本表!I24</f>
        <v>615099239.98000002</v>
      </c>
      <c r="J71" s="76">
        <f>资产资本表!J35+资产资本表!J36-资产资本表!J24</f>
        <v>571864451.51999998</v>
      </c>
      <c r="K71" s="76">
        <f>资产资本表!K35+资产资本表!K36-资产资本表!K24</f>
        <v>568761649.88</v>
      </c>
      <c r="L71" s="76">
        <f>资产资本表!L35+资产资本表!L36-资产资本表!L24</f>
        <v>513573092.74000001</v>
      </c>
      <c r="M71" s="76">
        <f>资产资本表!M35+资产资本表!M36-资产资本表!M24</f>
        <v>523442679.26000005</v>
      </c>
      <c r="N71" s="76">
        <f>资产资本表!N35+资产资本表!N36-资产资本表!N24</f>
        <v>467563869.85000002</v>
      </c>
      <c r="O71" s="76">
        <f>资产资本表!O35+资产资本表!O36-资产资本表!O24</f>
        <v>430426434.86999995</v>
      </c>
      <c r="P71" s="76">
        <f>资产资本表!P35+资产资本表!P36-资产资本表!P24</f>
        <v>439370754.65000004</v>
      </c>
      <c r="Q71" s="76">
        <f>资产资本表!Q35+资产资本表!Q36-资产资本表!Q24</f>
        <v>448023333.36000001</v>
      </c>
      <c r="R71" s="76">
        <f>资产资本表!R35+资产资本表!R36-资产资本表!R24</f>
        <v>453128359.63</v>
      </c>
      <c r="S71" s="76">
        <f>资产资本表!S35+资产资本表!S36-资产资本表!S24</f>
        <v>461775915.56999993</v>
      </c>
      <c r="T71" s="76">
        <f>资产资本表!T35+资产资本表!T36-资产资本表!T24</f>
        <v>469421715.25999999</v>
      </c>
      <c r="U71" s="76">
        <f>资产资本表!U35+资产资本表!U36-资产资本表!U24</f>
        <v>484134507.85000002</v>
      </c>
      <c r="V71" s="76">
        <f>资产资本表!V35+资产资本表!V36-资产资本表!V24</f>
        <v>421772317.15000004</v>
      </c>
      <c r="W71" s="76">
        <f>资产资本表!W35+资产资本表!W36-资产资本表!W24</f>
        <v>423000851.82999998</v>
      </c>
      <c r="X71" s="76">
        <f>资产资本表!X35+资产资本表!X36-资产资本表!X24</f>
        <v>401915678.22000003</v>
      </c>
      <c r="Y71" s="76">
        <f>资产资本表!Y35+资产资本表!Y36-资产资本表!Y24</f>
        <v>433823661.75</v>
      </c>
      <c r="Z71" s="76">
        <f>资产资本表!Z35+资产资本表!Z36-资产资本表!Z24</f>
        <v>413498378.16999996</v>
      </c>
      <c r="AA71" s="76">
        <f>资产资本表!AA35+资产资本表!AA36-资产资本表!AA24</f>
        <v>376039397.21000004</v>
      </c>
      <c r="AB71" s="76">
        <f>资产资本表!AB35+资产资本表!AB36-资产资本表!AB24</f>
        <v>352859523.81</v>
      </c>
      <c r="AC71" s="76">
        <f>资产资本表!AC35+资产资本表!AC36-资产资本表!AC24</f>
        <v>452574266.56</v>
      </c>
      <c r="AD71" s="76">
        <f>资产资本表!AD35+资产资本表!AD36-资产资本表!AD24</f>
        <v>351806652.3599999</v>
      </c>
      <c r="AE71" s="76">
        <f>资产资本表!AE35+资产资本表!AE36-资产资本表!AE24</f>
        <v>320999819.74000001</v>
      </c>
      <c r="AF71" s="76">
        <f>资产资本表!AF35+资产资本表!AF36-资产资本表!AF24</f>
        <v>170472653.75999999</v>
      </c>
      <c r="AG71" s="76">
        <f>资产资本表!AG35+资产资本表!AG36-资产资本表!AG24</f>
        <v>249941078.46000004</v>
      </c>
      <c r="AH71" s="76">
        <f>资产资本表!AH35+资产资本表!AH36-资产资本表!AH24</f>
        <v>265401253.84000003</v>
      </c>
      <c r="AI71" s="76">
        <f>资产资本表!AI35+资产资本表!AI36-资产资本表!AI24</f>
        <v>291772435.68999994</v>
      </c>
      <c r="AJ71" s="76">
        <f>资产资本表!AJ35+资产资本表!AJ36-资产资本表!AJ24</f>
        <v>261385357.68000004</v>
      </c>
      <c r="AK71" s="76">
        <f>资产资本表!AK35+资产资本表!AK36-资产资本表!AK24</f>
        <v>264407665.83999997</v>
      </c>
      <c r="AL71" s="76">
        <f>资产资本表!AL35+资产资本表!AL36-资产资本表!AL24</f>
        <v>196697690.19</v>
      </c>
      <c r="AM71" s="76">
        <f>资产资本表!AM35+资产资本表!AM36-资产资本表!AM24</f>
        <v>209988572.45999998</v>
      </c>
      <c r="AN71" s="76">
        <f>资产资本表!AN35+资产资本表!AN36-资产资本表!AN24</f>
        <v>193648194.80999997</v>
      </c>
      <c r="AO71" s="76">
        <f>资产资本表!AO35+资产资本表!AO36-资产资本表!AO24</f>
        <v>196118330.69</v>
      </c>
      <c r="AP71" s="76">
        <f>资产资本表!AP35+资产资本表!AP36-资产资本表!AP24</f>
        <v>220020284.78</v>
      </c>
      <c r="AQ71" s="76">
        <f>资产资本表!AQ35+资产资本表!AQ36-资产资本表!AQ24</f>
        <v>183665891.20999998</v>
      </c>
      <c r="AR71" s="76">
        <f>资产资本表!AR35+资产资本表!AR36-资产资本表!AR24</f>
        <v>142295989.96999997</v>
      </c>
      <c r="AS71" s="76">
        <f>资产资本表!AS35+资产资本表!AS36-资产资本表!AS24</f>
        <v>176786593.16000003</v>
      </c>
      <c r="AT71" s="76">
        <f>资产资本表!AT35+资产资本表!AT36-资产资本表!AT24</f>
        <v>202051794.83999997</v>
      </c>
      <c r="AU71" s="76">
        <f>资产资本表!AU35+资产资本表!AU36-资产资本表!AU24</f>
        <v>228766942.62</v>
      </c>
      <c r="AV71" s="76">
        <f>资产资本表!AV35+资产资本表!AV36-资产资本表!AV24</f>
        <v>243415412.54999998</v>
      </c>
      <c r="AW71" s="76">
        <f>资产资本表!AW35+资产资本表!AW36-资产资本表!AW24</f>
        <v>207147499.91</v>
      </c>
      <c r="AX71" s="76">
        <f>资产资本表!AX35+资产资本表!AX36-资产资本表!AX24</f>
        <v>169354051.38999999</v>
      </c>
      <c r="AY71" s="76">
        <f>资产资本表!AY35+资产资本表!AY36-资产资本表!AY24</f>
        <v>176419933.00999999</v>
      </c>
      <c r="AZ71" s="76">
        <f>资产资本表!AZ35+资产资本表!AZ36-资产资本表!AZ24</f>
        <v>155128969.68000001</v>
      </c>
      <c r="BA71" s="76">
        <f>资产资本表!BA35+资产资本表!BA36-资产资本表!BA24</f>
        <v>137737509.40000004</v>
      </c>
      <c r="BB71" s="76">
        <f>资产资本表!BB35+资产资本表!BB36-资产资本表!BB24</f>
        <v>171287011.53</v>
      </c>
      <c r="BC71" s="76">
        <f>资产资本表!BC35+资产资本表!BC36-资产资本表!BC24</f>
        <v>161504742.69</v>
      </c>
      <c r="BD71" s="76">
        <f>资产资本表!BD35+资产资本表!BD36-资产资本表!BD24</f>
        <v>136737551.23000002</v>
      </c>
      <c r="BE71" s="76">
        <f>资产资本表!BE35+资产资本表!BE36-资产资本表!BE24</f>
        <v>146351751.80999997</v>
      </c>
      <c r="BF71" s="76">
        <f>资产资本表!BF35+资产资本表!BF36-资产资本表!BF24</f>
        <v>190219974.86999997</v>
      </c>
      <c r="BG71" s="76">
        <f>资产资本表!BG35+资产资本表!BG36-资产资本表!BG24</f>
        <v>149050026.38999999</v>
      </c>
      <c r="BH71" s="76">
        <f>资产资本表!BH35+资产资本表!BH36-资产资本表!BH24</f>
        <v>122020911.60000001</v>
      </c>
      <c r="BI71" s="76">
        <f>资产资本表!BI35+资产资本表!BI36-资产资本表!BI24</f>
        <v>129319842.40999998</v>
      </c>
      <c r="BJ71" s="76">
        <f>资产资本表!BJ35+资产资本表!BJ36-资产资本表!BJ24</f>
        <v>105852736.53999999</v>
      </c>
      <c r="BK71" s="76">
        <f>资产资本表!BK35+资产资本表!BK36-资产资本表!BK24</f>
        <v>85072538</v>
      </c>
      <c r="BL71" s="76">
        <f>资产资本表!BL35+资产资本表!BL36-资产资本表!BL24</f>
        <v>56559177.650000006</v>
      </c>
      <c r="BM71" s="76">
        <f>资产资本表!BM35+资产资本表!BM36-资产资本表!BM24</f>
        <v>103680712.24999999</v>
      </c>
      <c r="BN71" s="76">
        <f>资产资本表!BN35+资产资本表!BN36-资产资本表!BN24</f>
        <v>80557412.61999999</v>
      </c>
      <c r="BO71" s="76">
        <f>资产资本表!BO35+资产资本表!BO36-资产资本表!BO24</f>
        <v>44841873.380000003</v>
      </c>
      <c r="BP71" s="76">
        <f>资产资本表!BP35+资产资本表!BP36-资产资本表!BP24</f>
        <v>25353475.66</v>
      </c>
      <c r="BQ71" s="76">
        <f>资产资本表!BQ35+资产资本表!BQ36-资产资本表!BQ24</f>
        <v>37888619.539999999</v>
      </c>
      <c r="BR71" s="76">
        <f>资产资本表!BR35+资产资本表!BR36-资产资本表!BR24</f>
        <v>21371920.780000001</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c r="A72" s="152" t="s">
        <v>480</v>
      </c>
      <c r="E72" s="153">
        <f>E67/(E71+I71)*2</f>
        <v>2.4471530545985001</v>
      </c>
      <c r="F72" s="153">
        <f t="shared" ref="F72:BQ72" si="36">F67/(F71+J71)*2</f>
        <v>1.9147086531476898</v>
      </c>
      <c r="G72" s="153">
        <f t="shared" si="36"/>
        <v>1.3552384672310658</v>
      </c>
      <c r="H72" s="153">
        <f t="shared" si="36"/>
        <v>0.72399855115126266</v>
      </c>
      <c r="I72" s="153">
        <f t="shared" si="36"/>
        <v>2.4285505545599047</v>
      </c>
      <c r="J72" s="153">
        <f t="shared" si="36"/>
        <v>1.86811589865156</v>
      </c>
      <c r="K72" s="153">
        <f t="shared" si="36"/>
        <v>1.2995723734284652</v>
      </c>
      <c r="L72" s="153">
        <f t="shared" si="36"/>
        <v>0.64622452238570605</v>
      </c>
      <c r="M72" s="153">
        <f t="shared" si="36"/>
        <v>2.4370099237491942</v>
      </c>
      <c r="N72" s="153">
        <f t="shared" si="36"/>
        <v>1.9732314222811247</v>
      </c>
      <c r="O72" s="153">
        <f t="shared" si="36"/>
        <v>1.3999526482798672</v>
      </c>
      <c r="P72" s="153">
        <f t="shared" si="36"/>
        <v>0.6433026064992563</v>
      </c>
      <c r="Q72" s="153">
        <f t="shared" si="36"/>
        <v>2.6679276987594798</v>
      </c>
      <c r="R72" s="153">
        <f t="shared" si="36"/>
        <v>2.0627626988266781</v>
      </c>
      <c r="S72" s="153">
        <f t="shared" si="36"/>
        <v>1.3415894763468221</v>
      </c>
      <c r="T72" s="153">
        <f t="shared" si="36"/>
        <v>0.6691212256270308</v>
      </c>
      <c r="U72" s="153">
        <f t="shared" si="36"/>
        <v>2.4073766985732594</v>
      </c>
      <c r="V72" s="153">
        <f t="shared" si="36"/>
        <v>1.936584502345426</v>
      </c>
      <c r="W72" s="153">
        <f t="shared" si="36"/>
        <v>1.3654299973384478</v>
      </c>
      <c r="X72" s="153">
        <f t="shared" si="36"/>
        <v>0.6843879437621857</v>
      </c>
      <c r="Y72" s="153">
        <f t="shared" si="36"/>
        <v>2.3930427484913488</v>
      </c>
      <c r="Z72" s="153">
        <f t="shared" si="36"/>
        <v>2.0326686719708165</v>
      </c>
      <c r="AA72" s="153">
        <f t="shared" si="36"/>
        <v>1.4903843811337794</v>
      </c>
      <c r="AB72" s="153">
        <f t="shared" si="36"/>
        <v>0.92746960730324512</v>
      </c>
      <c r="AC72" s="153">
        <f t="shared" si="36"/>
        <v>2.8859331596269704</v>
      </c>
      <c r="AD72" s="153">
        <f t="shared" si="36"/>
        <v>2.5611661118737628</v>
      </c>
      <c r="AE72" s="153">
        <f t="shared" si="36"/>
        <v>1.7571353900878424</v>
      </c>
      <c r="AF72" s="153">
        <f t="shared" si="36"/>
        <v>1.2649120067462143</v>
      </c>
      <c r="AG72" s="153">
        <f t="shared" si="36"/>
        <v>4.103473508761903</v>
      </c>
      <c r="AH72" s="153">
        <f t="shared" si="36"/>
        <v>3.0976525633156831</v>
      </c>
      <c r="AI72" s="153">
        <f t="shared" si="36"/>
        <v>1.9073845089889736</v>
      </c>
      <c r="AJ72" s="153">
        <f t="shared" si="36"/>
        <v>1.0157853279844851</v>
      </c>
      <c r="AK72" s="153">
        <f t="shared" si="36"/>
        <v>3.7087458535008841</v>
      </c>
      <c r="AL72" s="153">
        <f t="shared" si="36"/>
        <v>2.7974753859943871</v>
      </c>
      <c r="AM72" s="153">
        <f t="shared" si="36"/>
        <v>1.9631541485271737</v>
      </c>
      <c r="AN72" s="153">
        <f t="shared" si="36"/>
        <v>1.1162200035865137</v>
      </c>
      <c r="AO72" s="153">
        <f t="shared" si="36"/>
        <v>4.4320269598392432</v>
      </c>
      <c r="AP72" s="153">
        <f t="shared" si="36"/>
        <v>3.004330290223522</v>
      </c>
      <c r="AQ72" s="153">
        <f t="shared" si="36"/>
        <v>1.9282766406221843</v>
      </c>
      <c r="AR72" s="153">
        <f t="shared" si="36"/>
        <v>0.92786849033181651</v>
      </c>
      <c r="AS72" s="153">
        <f t="shared" si="36"/>
        <v>3.7052279803154491</v>
      </c>
      <c r="AT72" s="153">
        <f t="shared" si="36"/>
        <v>0</v>
      </c>
      <c r="AU72" s="153">
        <f t="shared" si="36"/>
        <v>1.6497169740769078</v>
      </c>
      <c r="AV72" s="153">
        <f t="shared" si="36"/>
        <v>0.77827342376387354</v>
      </c>
      <c r="AW72" s="153">
        <f t="shared" si="36"/>
        <v>3.1885981089758948</v>
      </c>
      <c r="AX72" s="153">
        <f t="shared" si="36"/>
        <v>2.3470589815760552</v>
      </c>
      <c r="AY72" s="153">
        <f t="shared" si="36"/>
        <v>1.5652730927219471</v>
      </c>
      <c r="AZ72" s="153">
        <f t="shared" si="36"/>
        <v>0.95527593521414822</v>
      </c>
      <c r="BA72" s="153">
        <f t="shared" si="36"/>
        <v>3.0895131028244047</v>
      </c>
      <c r="BB72" s="153">
        <f t="shared" si="36"/>
        <v>1.7485902294584257</v>
      </c>
      <c r="BC72" s="153">
        <f t="shared" si="36"/>
        <v>1.3575830521262848</v>
      </c>
      <c r="BD72" s="153">
        <f t="shared" si="36"/>
        <v>0.77050028192115605</v>
      </c>
      <c r="BE72" s="153">
        <f t="shared" si="36"/>
        <v>2.5255776283006259</v>
      </c>
      <c r="BF72" s="153">
        <f t="shared" si="36"/>
        <v>1.6760868402113711</v>
      </c>
      <c r="BG72" s="153">
        <f t="shared" si="36"/>
        <v>1.393795206157147</v>
      </c>
      <c r="BH72" s="153">
        <f t="shared" si="36"/>
        <v>0.92217766690359071</v>
      </c>
      <c r="BI72" s="153">
        <f t="shared" si="36"/>
        <v>2.4607107405243807</v>
      </c>
      <c r="BJ72" s="153">
        <f t="shared" si="36"/>
        <v>2.3282670833951071</v>
      </c>
      <c r="BK72" s="153">
        <f t="shared" si="36"/>
        <v>2.2605228003612421</v>
      </c>
      <c r="BL72" s="153">
        <f t="shared" si="36"/>
        <v>1.3144341606482384</v>
      </c>
      <c r="BM72" s="153">
        <f t="shared" si="36"/>
        <v>3.7444523924597952</v>
      </c>
      <c r="BN72" s="153">
        <f t="shared" si="36"/>
        <v>3.6132902028769673</v>
      </c>
      <c r="BO72" s="153">
        <f t="shared" si="36"/>
        <v>5.2620165794687859</v>
      </c>
      <c r="BP72" s="153">
        <f t="shared" si="36"/>
        <v>17.429366288314252</v>
      </c>
      <c r="BQ72" s="153">
        <f t="shared" si="36"/>
        <v>5.2448788800606696</v>
      </c>
      <c r="BR72" s="153">
        <f t="shared" ref="BR72:CJ72" si="37">BR67/(BR71+BV71)*2</f>
        <v>18.03791271492819</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c r="A73" s="146" t="s">
        <v>481</v>
      </c>
      <c r="E73" s="83">
        <f>E62/E72</f>
        <v>149.15291028246898</v>
      </c>
      <c r="F73" s="83">
        <f t="shared" ref="F73:BQ73" si="38">F62/F72</f>
        <v>190.6295244448587</v>
      </c>
      <c r="G73" s="83">
        <f t="shared" si="38"/>
        <v>269.32529501302014</v>
      </c>
      <c r="H73" s="83">
        <f t="shared" si="38"/>
        <v>504.14465528915366</v>
      </c>
      <c r="I73" s="83">
        <f t="shared" si="38"/>
        <v>150.29540946333904</v>
      </c>
      <c r="J73" s="83">
        <f t="shared" si="38"/>
        <v>195.38402315587788</v>
      </c>
      <c r="K73" s="83">
        <f t="shared" si="38"/>
        <v>280.86161837764809</v>
      </c>
      <c r="L73" s="83">
        <f t="shared" si="38"/>
        <v>564.81917252614846</v>
      </c>
      <c r="M73" s="83">
        <f t="shared" si="38"/>
        <v>149.77370278347874</v>
      </c>
      <c r="N73" s="83">
        <f t="shared" si="38"/>
        <v>184.97576912597876</v>
      </c>
      <c r="O73" s="83">
        <f t="shared" si="38"/>
        <v>260.72310406246839</v>
      </c>
      <c r="P73" s="83">
        <f t="shared" si="38"/>
        <v>567.38461233084081</v>
      </c>
      <c r="Q73" s="83">
        <f t="shared" si="38"/>
        <v>136.81030418092513</v>
      </c>
      <c r="R73" s="83">
        <f t="shared" si="38"/>
        <v>176.94715936429139</v>
      </c>
      <c r="S73" s="83">
        <f t="shared" si="38"/>
        <v>272.06534221921828</v>
      </c>
      <c r="T73" s="83">
        <f t="shared" si="38"/>
        <v>545.49158810193171</v>
      </c>
      <c r="U73" s="83">
        <f t="shared" si="38"/>
        <v>151.61731864245365</v>
      </c>
      <c r="V73" s="83">
        <f t="shared" si="38"/>
        <v>188.47615456900701</v>
      </c>
      <c r="W73" s="83">
        <f t="shared" si="38"/>
        <v>267.31505878109675</v>
      </c>
      <c r="X73" s="83">
        <f t="shared" si="38"/>
        <v>533.32324645220797</v>
      </c>
      <c r="Y73" s="83">
        <f t="shared" si="38"/>
        <v>152.52548255985303</v>
      </c>
      <c r="Z73" s="83">
        <f t="shared" si="38"/>
        <v>179.56689402120151</v>
      </c>
      <c r="AA73" s="83">
        <f t="shared" si="38"/>
        <v>244.90326429906204</v>
      </c>
      <c r="AB73" s="83">
        <f t="shared" si="38"/>
        <v>393.54389311073106</v>
      </c>
      <c r="AC73" s="83">
        <f t="shared" si="38"/>
        <v>126.47555567336117</v>
      </c>
      <c r="AD73" s="83">
        <f t="shared" si="38"/>
        <v>142.51320845915927</v>
      </c>
      <c r="AE73" s="83">
        <f t="shared" si="38"/>
        <v>207.72445996990191</v>
      </c>
      <c r="AF73" s="83">
        <f t="shared" si="38"/>
        <v>288.55762144190936</v>
      </c>
      <c r="AG73" s="83">
        <f t="shared" si="38"/>
        <v>88.949032867066691</v>
      </c>
      <c r="AH73" s="83">
        <f t="shared" si="38"/>
        <v>117.831161674668</v>
      </c>
      <c r="AI73" s="83">
        <f t="shared" si="38"/>
        <v>191.36152059527396</v>
      </c>
      <c r="AJ73" s="83">
        <f t="shared" si="38"/>
        <v>359.32789138058405</v>
      </c>
      <c r="AK73" s="83">
        <f t="shared" si="38"/>
        <v>98.416018357110374</v>
      </c>
      <c r="AL73" s="83">
        <f t="shared" si="38"/>
        <v>130.47478516786219</v>
      </c>
      <c r="AM73" s="83">
        <f t="shared" si="38"/>
        <v>185.9252877690912</v>
      </c>
      <c r="AN73" s="83">
        <f t="shared" si="38"/>
        <v>326.99646917921439</v>
      </c>
      <c r="AO73" s="83">
        <f t="shared" si="38"/>
        <v>82.355094702140335</v>
      </c>
      <c r="AP73" s="83">
        <f t="shared" si="38"/>
        <v>121.49130246689488</v>
      </c>
      <c r="AQ73" s="83">
        <f t="shared" si="38"/>
        <v>189.28819252938098</v>
      </c>
      <c r="AR73" s="83">
        <f t="shared" si="38"/>
        <v>393.37471182955227</v>
      </c>
      <c r="AS73" s="83">
        <f t="shared" si="38"/>
        <v>98.509457971038344</v>
      </c>
      <c r="AT73" s="83" t="e">
        <f t="shared" si="38"/>
        <v>#DIV/0!</v>
      </c>
      <c r="AU73" s="83">
        <f t="shared" si="38"/>
        <v>221.25007242786856</v>
      </c>
      <c r="AV73" s="83">
        <f t="shared" si="38"/>
        <v>468.9868481372431</v>
      </c>
      <c r="AW73" s="83">
        <f t="shared" si="38"/>
        <v>114.47036833288146</v>
      </c>
      <c r="AX73" s="83">
        <f t="shared" si="38"/>
        <v>155.51377398914011</v>
      </c>
      <c r="AY73" s="83">
        <f t="shared" si="38"/>
        <v>233.18614604514772</v>
      </c>
      <c r="AZ73" s="83">
        <f t="shared" si="38"/>
        <v>382.08855320758857</v>
      </c>
      <c r="BA73" s="83">
        <f t="shared" si="38"/>
        <v>118.14159314175438</v>
      </c>
      <c r="BB73" s="83">
        <f t="shared" si="38"/>
        <v>208.73958566784856</v>
      </c>
      <c r="BC73" s="83">
        <f t="shared" si="38"/>
        <v>268.86016249858653</v>
      </c>
      <c r="BD73" s="83">
        <f t="shared" si="38"/>
        <v>473.7181913677091</v>
      </c>
      <c r="BE73" s="83">
        <f t="shared" si="38"/>
        <v>144.52139419907513</v>
      </c>
      <c r="BF73" s="83">
        <f t="shared" si="38"/>
        <v>217.76914611057379</v>
      </c>
      <c r="BG73" s="83">
        <f t="shared" si="38"/>
        <v>261.87491418222538</v>
      </c>
      <c r="BH73" s="83">
        <f t="shared" si="38"/>
        <v>395.80225492292152</v>
      </c>
      <c r="BI73" s="83">
        <f t="shared" si="38"/>
        <v>148.3311280716473</v>
      </c>
      <c r="BJ73" s="83">
        <f t="shared" si="38"/>
        <v>156.76895602017987</v>
      </c>
      <c r="BK73" s="83">
        <f t="shared" si="38"/>
        <v>161.4670729893418</v>
      </c>
      <c r="BL73" s="83">
        <f t="shared" si="38"/>
        <v>277.68602713428663</v>
      </c>
      <c r="BM73" s="83">
        <f t="shared" si="38"/>
        <v>97.477537899800936</v>
      </c>
      <c r="BN73" s="83">
        <f t="shared" si="38"/>
        <v>101.01596592196785</v>
      </c>
      <c r="BO73" s="83">
        <f t="shared" si="38"/>
        <v>69.365041802442917</v>
      </c>
      <c r="BP73" s="83">
        <f t="shared" si="38"/>
        <v>20.94166787031833</v>
      </c>
      <c r="BQ73" s="83">
        <f t="shared" si="38"/>
        <v>69.591692839202011</v>
      </c>
      <c r="BR73" s="83">
        <f t="shared" ref="BR73:CJ73" si="39">BR62/BR72</f>
        <v>20.235157236231981</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c r="A74" s="253" t="s">
        <v>482</v>
      </c>
      <c r="E74" s="254">
        <f>E66+E70</f>
        <v>215.84924000273946</v>
      </c>
      <c r="F74" s="254">
        <f t="shared" ref="F74:BQ74" si="40">F66+F70</f>
        <v>303.4447956476688</v>
      </c>
      <c r="G74" s="254">
        <f t="shared" si="40"/>
        <v>440.72531891225412</v>
      </c>
      <c r="H74" s="254">
        <f t="shared" si="40"/>
        <v>854.8715044407279</v>
      </c>
      <c r="I74" s="254">
        <f t="shared" si="40"/>
        <v>239.10187963928672</v>
      </c>
      <c r="J74" s="254">
        <f t="shared" si="40"/>
        <v>335.69990524280513</v>
      </c>
      <c r="K74" s="254">
        <f t="shared" si="40"/>
        <v>513.05269078443507</v>
      </c>
      <c r="L74" s="254">
        <f t="shared" si="40"/>
        <v>1118.2913364016799</v>
      </c>
      <c r="M74" s="254">
        <f t="shared" si="40"/>
        <v>285.70687107304911</v>
      </c>
      <c r="N74" s="254">
        <f t="shared" si="40"/>
        <v>377.97474484816166</v>
      </c>
      <c r="O74" s="254">
        <f t="shared" si="40"/>
        <v>552.9118707154953</v>
      </c>
      <c r="P74" s="254">
        <f t="shared" si="40"/>
        <v>1189.885033886565</v>
      </c>
      <c r="Q74" s="254">
        <f t="shared" si="40"/>
        <v>286.19312288234937</v>
      </c>
      <c r="R74" s="254">
        <f t="shared" si="40"/>
        <v>405.43151974589045</v>
      </c>
      <c r="S74" s="254">
        <f t="shared" si="40"/>
        <v>595.59364291636371</v>
      </c>
      <c r="T74" s="254">
        <f t="shared" si="40"/>
        <v>1220.6231506250479</v>
      </c>
      <c r="U74" s="254">
        <f t="shared" si="40"/>
        <v>312.86617092024892</v>
      </c>
      <c r="V74" s="254">
        <f t="shared" si="40"/>
        <v>426.56409063405067</v>
      </c>
      <c r="W74" s="254">
        <f t="shared" si="40"/>
        <v>597.24152220468034</v>
      </c>
      <c r="X74" s="254">
        <f t="shared" si="40"/>
        <v>1228.2463947577698</v>
      </c>
      <c r="Y74" s="254">
        <f t="shared" si="40"/>
        <v>291.25819855662735</v>
      </c>
      <c r="Z74" s="254">
        <f t="shared" si="40"/>
        <v>404.64089858369709</v>
      </c>
      <c r="AA74" s="254">
        <f t="shared" si="40"/>
        <v>566.48766456697194</v>
      </c>
      <c r="AB74" s="254">
        <f t="shared" si="40"/>
        <v>1160.9743714293245</v>
      </c>
      <c r="AC74" s="254">
        <f t="shared" si="40"/>
        <v>268.70904493555292</v>
      </c>
      <c r="AD74" s="254">
        <f t="shared" si="40"/>
        <v>339.79678680400565</v>
      </c>
      <c r="AE74" s="254">
        <f t="shared" si="40"/>
        <v>479.58599836695458</v>
      </c>
      <c r="AF74" s="254">
        <f t="shared" si="40"/>
        <v>905.5975775853924</v>
      </c>
      <c r="AG74" s="254">
        <f t="shared" si="40"/>
        <v>238.47354485448901</v>
      </c>
      <c r="AH74" s="254">
        <f t="shared" si="40"/>
        <v>325.74817920040664</v>
      </c>
      <c r="AI74" s="254">
        <f t="shared" si="40"/>
        <v>484.13042857573214</v>
      </c>
      <c r="AJ74" s="254">
        <f t="shared" si="40"/>
        <v>978.35275073641651</v>
      </c>
      <c r="AK74" s="254">
        <f t="shared" si="40"/>
        <v>275.28107594966593</v>
      </c>
      <c r="AL74" s="254">
        <f t="shared" si="40"/>
        <v>391.98209071527594</v>
      </c>
      <c r="AM74" s="254">
        <f t="shared" si="40"/>
        <v>565.9879885650048</v>
      </c>
      <c r="AN74" s="254">
        <f t="shared" si="40"/>
        <v>1121.8278605748778</v>
      </c>
      <c r="AO74" s="254">
        <f t="shared" si="40"/>
        <v>257.83196791826862</v>
      </c>
      <c r="AP74" s="254">
        <f t="shared" si="40"/>
        <v>328.99117491613686</v>
      </c>
      <c r="AQ74" s="254">
        <f t="shared" si="40"/>
        <v>496.44271498166574</v>
      </c>
      <c r="AR74" s="254">
        <f t="shared" si="40"/>
        <v>1046.178240622796</v>
      </c>
      <c r="AS74" s="254">
        <f t="shared" si="40"/>
        <v>261.14017756391513</v>
      </c>
      <c r="AT74" s="254" t="e">
        <f t="shared" si="40"/>
        <v>#DIV/0!</v>
      </c>
      <c r="AU74" s="254">
        <f t="shared" si="40"/>
        <v>530.47925560714793</v>
      </c>
      <c r="AV74" s="254">
        <f t="shared" si="40"/>
        <v>910.65492929664094</v>
      </c>
      <c r="AW74" s="254">
        <f t="shared" si="40"/>
        <v>285.97058804907465</v>
      </c>
      <c r="AX74" s="254">
        <f t="shared" si="40"/>
        <v>381.74264577508768</v>
      </c>
      <c r="AY74" s="254">
        <f t="shared" si="40"/>
        <v>556.71694599944294</v>
      </c>
      <c r="AZ74" s="254">
        <f t="shared" si="40"/>
        <v>773.10062554156275</v>
      </c>
      <c r="BA74" s="254">
        <f t="shared" si="40"/>
        <v>286.80108629824224</v>
      </c>
      <c r="BB74" s="254">
        <f t="shared" si="40"/>
        <v>361.54103737401323</v>
      </c>
      <c r="BC74" s="254">
        <f t="shared" si="40"/>
        <v>504.17018444833309</v>
      </c>
      <c r="BD74" s="254">
        <f t="shared" si="40"/>
        <v>952.78398400431263</v>
      </c>
      <c r="BE74" s="254">
        <f t="shared" si="40"/>
        <v>247.10152065950123</v>
      </c>
      <c r="BF74" s="254">
        <f t="shared" si="40"/>
        <v>300.86619933874874</v>
      </c>
      <c r="BG74" s="254">
        <f t="shared" si="40"/>
        <v>411.76216853951365</v>
      </c>
      <c r="BH74" s="254">
        <f t="shared" si="40"/>
        <v>738.08460035188864</v>
      </c>
      <c r="BI74" s="254">
        <f t="shared" si="40"/>
        <v>195.14760115064149</v>
      </c>
      <c r="BJ74" s="254">
        <f t="shared" si="40"/>
        <v>248.9291033232856</v>
      </c>
      <c r="BK74" s="254">
        <f t="shared" si="40"/>
        <v>359.9421067022538</v>
      </c>
      <c r="BL74" s="254">
        <f t="shared" si="40"/>
        <v>887.49052420194971</v>
      </c>
      <c r="BM74" s="254">
        <f t="shared" si="40"/>
        <v>187.81672707308769</v>
      </c>
      <c r="BN74" s="254">
        <f t="shared" si="40"/>
        <v>259.52887820106628</v>
      </c>
      <c r="BO74" s="254">
        <f t="shared" si="40"/>
        <v>230.58631900796644</v>
      </c>
      <c r="BP74" s="254">
        <f t="shared" si="40"/>
        <v>113.04066528496983</v>
      </c>
      <c r="BQ74" s="254">
        <f t="shared" si="40"/>
        <v>250.23818238263178</v>
      </c>
      <c r="BR74" s="254">
        <f t="shared" ref="BR74:CK74" si="41">BR66+BR70</f>
        <v>109.37242836795431</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c r="A75" s="253" t="s">
        <v>483</v>
      </c>
      <c r="E75" s="254">
        <f>E74-E73</f>
        <v>66.696329720270484</v>
      </c>
      <c r="F75" s="254">
        <f t="shared" ref="F75:BQ75" si="42">F74-F73</f>
        <v>112.8152712028101</v>
      </c>
      <c r="G75" s="254">
        <f t="shared" si="42"/>
        <v>171.40002389923399</v>
      </c>
      <c r="H75" s="254">
        <f t="shared" si="42"/>
        <v>350.72684915157424</v>
      </c>
      <c r="I75" s="254">
        <f t="shared" si="42"/>
        <v>88.80647017594768</v>
      </c>
      <c r="J75" s="254">
        <f t="shared" si="42"/>
        <v>140.31588208692725</v>
      </c>
      <c r="K75" s="254">
        <f t="shared" si="42"/>
        <v>232.19107240678699</v>
      </c>
      <c r="L75" s="254">
        <f t="shared" si="42"/>
        <v>553.47216387553146</v>
      </c>
      <c r="M75" s="254">
        <f t="shared" si="42"/>
        <v>135.93316828957038</v>
      </c>
      <c r="N75" s="254">
        <f t="shared" si="42"/>
        <v>192.99897572218291</v>
      </c>
      <c r="O75" s="254">
        <f t="shared" si="42"/>
        <v>292.1887666530269</v>
      </c>
      <c r="P75" s="254">
        <f t="shared" si="42"/>
        <v>622.50042155572419</v>
      </c>
      <c r="Q75" s="254">
        <f t="shared" si="42"/>
        <v>149.38281870142424</v>
      </c>
      <c r="R75" s="254">
        <f t="shared" si="42"/>
        <v>228.48436038159906</v>
      </c>
      <c r="S75" s="254">
        <f t="shared" si="42"/>
        <v>323.52830069714543</v>
      </c>
      <c r="T75" s="254">
        <f t="shared" si="42"/>
        <v>675.13156252311614</v>
      </c>
      <c r="U75" s="254">
        <f t="shared" si="42"/>
        <v>161.24885227779527</v>
      </c>
      <c r="V75" s="254">
        <f t="shared" si="42"/>
        <v>238.08793606504366</v>
      </c>
      <c r="W75" s="254">
        <f t="shared" si="42"/>
        <v>329.92646342358358</v>
      </c>
      <c r="X75" s="254">
        <f t="shared" si="42"/>
        <v>694.92314830556188</v>
      </c>
      <c r="Y75" s="254">
        <f t="shared" si="42"/>
        <v>138.73271599677432</v>
      </c>
      <c r="Z75" s="254">
        <f t="shared" si="42"/>
        <v>225.07400456249559</v>
      </c>
      <c r="AA75" s="254">
        <f t="shared" si="42"/>
        <v>321.58440026790993</v>
      </c>
      <c r="AB75" s="254">
        <f t="shared" si="42"/>
        <v>767.43047831859349</v>
      </c>
      <c r="AC75" s="254">
        <f t="shared" si="42"/>
        <v>142.23348926219177</v>
      </c>
      <c r="AD75" s="254">
        <f t="shared" si="42"/>
        <v>197.28357834484638</v>
      </c>
      <c r="AE75" s="254">
        <f t="shared" si="42"/>
        <v>271.86153839705264</v>
      </c>
      <c r="AF75" s="254">
        <f t="shared" si="42"/>
        <v>617.0399561434831</v>
      </c>
      <c r="AG75" s="254">
        <f t="shared" si="42"/>
        <v>149.52451198742233</v>
      </c>
      <c r="AH75" s="254">
        <f t="shared" si="42"/>
        <v>207.91701752573863</v>
      </c>
      <c r="AI75" s="254">
        <f t="shared" si="42"/>
        <v>292.76890798045815</v>
      </c>
      <c r="AJ75" s="254">
        <f t="shared" si="42"/>
        <v>619.0248593558324</v>
      </c>
      <c r="AK75" s="254">
        <f t="shared" si="42"/>
        <v>176.86505759255556</v>
      </c>
      <c r="AL75" s="254">
        <f t="shared" si="42"/>
        <v>261.50730554741375</v>
      </c>
      <c r="AM75" s="254">
        <f t="shared" si="42"/>
        <v>380.0627007959136</v>
      </c>
      <c r="AN75" s="254">
        <f t="shared" si="42"/>
        <v>794.83139139566345</v>
      </c>
      <c r="AO75" s="254">
        <f t="shared" si="42"/>
        <v>175.4768732161283</v>
      </c>
      <c r="AP75" s="254">
        <f t="shared" si="42"/>
        <v>207.49987244924199</v>
      </c>
      <c r="AQ75" s="254">
        <f t="shared" si="42"/>
        <v>307.15452245228477</v>
      </c>
      <c r="AR75" s="254">
        <f t="shared" si="42"/>
        <v>652.80352879324369</v>
      </c>
      <c r="AS75" s="254">
        <f t="shared" si="42"/>
        <v>162.6307195928768</v>
      </c>
      <c r="AT75" s="254" t="e">
        <f t="shared" si="42"/>
        <v>#DIV/0!</v>
      </c>
      <c r="AU75" s="254">
        <f t="shared" si="42"/>
        <v>309.2291831792794</v>
      </c>
      <c r="AV75" s="254">
        <f t="shared" si="42"/>
        <v>441.66808115939784</v>
      </c>
      <c r="AW75" s="254">
        <f t="shared" si="42"/>
        <v>171.50021971619319</v>
      </c>
      <c r="AX75" s="254">
        <f t="shared" si="42"/>
        <v>226.22887178594758</v>
      </c>
      <c r="AY75" s="254">
        <f t="shared" si="42"/>
        <v>323.53079995429522</v>
      </c>
      <c r="AZ75" s="254">
        <f t="shared" si="42"/>
        <v>391.01207233397417</v>
      </c>
      <c r="BA75" s="254">
        <f t="shared" si="42"/>
        <v>168.65949315648786</v>
      </c>
      <c r="BB75" s="254">
        <f t="shared" si="42"/>
        <v>152.80145170616467</v>
      </c>
      <c r="BC75" s="254">
        <f t="shared" si="42"/>
        <v>235.31002194974656</v>
      </c>
      <c r="BD75" s="254">
        <f t="shared" si="42"/>
        <v>479.06579263660353</v>
      </c>
      <c r="BE75" s="254">
        <f t="shared" si="42"/>
        <v>102.5801264604261</v>
      </c>
      <c r="BF75" s="254">
        <f t="shared" si="42"/>
        <v>83.097053228174957</v>
      </c>
      <c r="BG75" s="254">
        <f t="shared" si="42"/>
        <v>149.88725435728827</v>
      </c>
      <c r="BH75" s="254">
        <f t="shared" si="42"/>
        <v>342.28234542896712</v>
      </c>
      <c r="BI75" s="254">
        <f t="shared" si="42"/>
        <v>46.816473078994193</v>
      </c>
      <c r="BJ75" s="254">
        <f t="shared" si="42"/>
        <v>92.160147303105731</v>
      </c>
      <c r="BK75" s="254">
        <f t="shared" si="42"/>
        <v>198.47503371291199</v>
      </c>
      <c r="BL75" s="254">
        <f t="shared" si="42"/>
        <v>609.80449706766308</v>
      </c>
      <c r="BM75" s="254">
        <f t="shared" si="42"/>
        <v>90.339189173286755</v>
      </c>
      <c r="BN75" s="254">
        <f t="shared" si="42"/>
        <v>158.51291227909843</v>
      </c>
      <c r="BO75" s="254">
        <f t="shared" si="42"/>
        <v>161.22127720552351</v>
      </c>
      <c r="BP75" s="254">
        <f t="shared" si="42"/>
        <v>92.098997414651507</v>
      </c>
      <c r="BQ75" s="254">
        <f t="shared" si="42"/>
        <v>180.64648954342977</v>
      </c>
      <c r="BR75" s="254">
        <f t="shared" ref="BR75:CJ75" si="43">BR74-BR73</f>
        <v>89.137271131722329</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19" customFormat="1">
      <c r="A76" s="147" t="s">
        <v>484</v>
      </c>
      <c r="E76" s="119">
        <f>E71-E64-E68</f>
        <v>-494102604.36000001</v>
      </c>
      <c r="F76" s="119">
        <f t="shared" ref="F76:BQ76" si="44">F71-F64-F68</f>
        <v>-582433792.36000001</v>
      </c>
      <c r="G76" s="119">
        <f t="shared" si="44"/>
        <v>-578061100.82000005</v>
      </c>
      <c r="H76" s="119">
        <f t="shared" si="44"/>
        <v>-495906843.17000002</v>
      </c>
      <c r="I76" s="119">
        <f t="shared" si="44"/>
        <v>-468644074.30000007</v>
      </c>
      <c r="J76" s="119">
        <f t="shared" si="44"/>
        <v>-513063423.45999998</v>
      </c>
      <c r="K76" s="119">
        <f t="shared" si="44"/>
        <v>-550564992.08000004</v>
      </c>
      <c r="L76" s="119">
        <f t="shared" si="44"/>
        <v>-638963039.94999993</v>
      </c>
      <c r="M76" s="119">
        <f t="shared" si="44"/>
        <v>-579277970.01999986</v>
      </c>
      <c r="N76" s="119">
        <f t="shared" si="44"/>
        <v>-596231523.78999996</v>
      </c>
      <c r="O76" s="119">
        <f t="shared" si="44"/>
        <v>-684794215.09000003</v>
      </c>
      <c r="P76" s="119">
        <f t="shared" si="44"/>
        <v>-690695132.55999994</v>
      </c>
      <c r="Q76" s="119">
        <f t="shared" si="44"/>
        <v>-688787361.38999999</v>
      </c>
      <c r="R76" s="119">
        <f t="shared" si="44"/>
        <v>-772716572.66999984</v>
      </c>
      <c r="S76" s="119">
        <f t="shared" si="44"/>
        <v>-731728592.61000013</v>
      </c>
      <c r="T76" s="119">
        <f t="shared" si="44"/>
        <v>-709917353.81999993</v>
      </c>
      <c r="U76" s="119">
        <f t="shared" si="44"/>
        <v>-684900071.36000001</v>
      </c>
      <c r="V76" s="119">
        <f t="shared" si="44"/>
        <v>-733321174.99000001</v>
      </c>
      <c r="W76" s="119">
        <f t="shared" si="44"/>
        <v>-691593290.6400001</v>
      </c>
      <c r="X76" s="119">
        <f t="shared" si="44"/>
        <v>-705496618.03000009</v>
      </c>
      <c r="Y76" s="119">
        <f t="shared" si="44"/>
        <v>-672116362.72000003</v>
      </c>
      <c r="Z76" s="119">
        <f t="shared" si="44"/>
        <v>-682821095.16000009</v>
      </c>
      <c r="AA76" s="119">
        <f t="shared" si="44"/>
        <v>-641225242.95999992</v>
      </c>
      <c r="AB76" s="119">
        <f t="shared" si="44"/>
        <v>-598819276.08999991</v>
      </c>
      <c r="AC76" s="119">
        <f t="shared" si="44"/>
        <v>-459077522.41999996</v>
      </c>
      <c r="AD76" s="119">
        <f t="shared" si="44"/>
        <v>-615127428.23000014</v>
      </c>
      <c r="AE76" s="119">
        <f t="shared" si="44"/>
        <v>-595722370.28000009</v>
      </c>
      <c r="AF76" s="119">
        <f t="shared" si="44"/>
        <v>-697329301.61000001</v>
      </c>
      <c r="AG76" s="119">
        <f t="shared" si="44"/>
        <v>-618986172.29999995</v>
      </c>
      <c r="AH76" s="119">
        <f t="shared" si="44"/>
        <v>-536702577.86999989</v>
      </c>
      <c r="AI76" s="119">
        <f t="shared" si="44"/>
        <v>-516327631.79000008</v>
      </c>
      <c r="AJ76" s="119">
        <f t="shared" si="44"/>
        <v>-507011619.48000002</v>
      </c>
      <c r="AK76" s="119">
        <f t="shared" si="44"/>
        <v>-573544866.5</v>
      </c>
      <c r="AL76" s="119">
        <f t="shared" si="44"/>
        <v>-613390371.57999992</v>
      </c>
      <c r="AM76" s="119">
        <f t="shared" si="44"/>
        <v>-584365212.75999999</v>
      </c>
      <c r="AN76" s="119">
        <f t="shared" si="44"/>
        <v>-579255381.19000006</v>
      </c>
      <c r="AO76" s="119">
        <f t="shared" si="44"/>
        <v>-572965634.56000006</v>
      </c>
      <c r="AP76" s="119">
        <f t="shared" si="44"/>
        <v>-550994335.88000011</v>
      </c>
      <c r="AQ76" s="119">
        <f t="shared" si="44"/>
        <v>-522726357.47000003</v>
      </c>
      <c r="AR76" s="119">
        <f t="shared" si="44"/>
        <v>-500419452.10000002</v>
      </c>
      <c r="AS76" s="119">
        <f t="shared" si="44"/>
        <v>-484768698.25999999</v>
      </c>
      <c r="AT76" s="119">
        <f t="shared" si="44"/>
        <v>-446644794.5200001</v>
      </c>
      <c r="AU76" s="119">
        <f t="shared" si="44"/>
        <v>-416324037.85000002</v>
      </c>
      <c r="AV76" s="119">
        <f t="shared" si="44"/>
        <v>-385413214.68000007</v>
      </c>
      <c r="AW76" s="119">
        <f t="shared" si="44"/>
        <v>-398994672.77999997</v>
      </c>
      <c r="AX76" s="119">
        <f t="shared" si="44"/>
        <v>-439549643.19999999</v>
      </c>
      <c r="AY76" s="119">
        <f t="shared" si="44"/>
        <v>-411501757.18000007</v>
      </c>
      <c r="AZ76" s="119">
        <f t="shared" si="44"/>
        <v>-164161146.95999998</v>
      </c>
      <c r="BA76" s="119">
        <f t="shared" si="44"/>
        <v>-357558303.68999994</v>
      </c>
      <c r="BB76" s="119">
        <f t="shared" si="44"/>
        <v>-284139040.06000006</v>
      </c>
      <c r="BC76" s="119">
        <f t="shared" si="44"/>
        <v>-286830849.99999994</v>
      </c>
      <c r="BD76" s="119">
        <f t="shared" si="44"/>
        <v>-270316111.48999995</v>
      </c>
      <c r="BE76" s="119">
        <f t="shared" si="44"/>
        <v>-255755827.05000001</v>
      </c>
      <c r="BF76" s="119">
        <f t="shared" si="44"/>
        <v>-164291437.67000002</v>
      </c>
      <c r="BG76" s="119">
        <f t="shared" si="44"/>
        <v>-166798458.92000002</v>
      </c>
      <c r="BH76" s="119">
        <f t="shared" si="44"/>
        <v>-155692404.01999998</v>
      </c>
      <c r="BI76" s="119">
        <f t="shared" si="44"/>
        <v>-102519509.20000003</v>
      </c>
      <c r="BJ76" s="119">
        <f t="shared" si="44"/>
        <v>-96725094.24000001</v>
      </c>
      <c r="BK76" s="119">
        <f t="shared" si="44"/>
        <v>-107313911.63</v>
      </c>
      <c r="BL76" s="119">
        <f t="shared" si="44"/>
        <v>-108794414.76000001</v>
      </c>
      <c r="BM76" s="119">
        <f t="shared" si="44"/>
        <v>-69954326.600000024</v>
      </c>
      <c r="BN76" s="119">
        <f t="shared" si="44"/>
        <v>-102523917.39999999</v>
      </c>
      <c r="BO76" s="119">
        <f t="shared" si="44"/>
        <v>-142738286.48999998</v>
      </c>
      <c r="BP76" s="119">
        <f t="shared" si="44"/>
        <v>-142640324.48000002</v>
      </c>
      <c r="BQ76" s="119">
        <f t="shared" si="44"/>
        <v>-132415645.08000001</v>
      </c>
      <c r="BR76" s="119">
        <f t="shared" ref="BR76:CJ76" si="45">BR71-BR64-BR68</f>
        <v>-119126908.46000001</v>
      </c>
      <c r="BS76" s="119">
        <f t="shared" si="45"/>
        <v>0</v>
      </c>
      <c r="BT76" s="119">
        <f t="shared" si="45"/>
        <v>0</v>
      </c>
      <c r="BU76" s="119">
        <f t="shared" si="45"/>
        <v>0</v>
      </c>
      <c r="BV76" s="119">
        <f t="shared" si="45"/>
        <v>0</v>
      </c>
      <c r="BW76" s="119">
        <f t="shared" si="45"/>
        <v>0</v>
      </c>
      <c r="BX76" s="119">
        <f t="shared" si="45"/>
        <v>0</v>
      </c>
      <c r="BY76" s="119">
        <f t="shared" si="45"/>
        <v>0</v>
      </c>
      <c r="BZ76" s="119">
        <f t="shared" si="45"/>
        <v>0</v>
      </c>
      <c r="CA76" s="119">
        <f t="shared" si="45"/>
        <v>0</v>
      </c>
      <c r="CB76" s="119">
        <f t="shared" si="45"/>
        <v>0</v>
      </c>
      <c r="CC76" s="119">
        <f t="shared" si="45"/>
        <v>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14999999999998" customHeight="1">
      <c r="A77" s="277" t="s">
        <v>689</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c r="A80" s="247" t="s">
        <v>577</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37256</v>
      </c>
      <c r="BQ80" s="1">
        <v>37072</v>
      </c>
      <c r="BR80" s="1">
        <v>36891</v>
      </c>
      <c r="BS80" s="1">
        <v>36525</v>
      </c>
      <c r="BT80" s="1">
        <v>25569</v>
      </c>
      <c r="BU80" s="1"/>
      <c r="BV80" s="1"/>
      <c r="BW80" s="1"/>
      <c r="BX80" s="1"/>
      <c r="BY80" s="1"/>
      <c r="BZ80" s="1"/>
      <c r="CA80" s="1"/>
      <c r="CB80" s="1"/>
      <c r="CC80" s="1"/>
      <c r="CD80" s="1"/>
      <c r="CE80" s="1"/>
      <c r="CF80" s="1"/>
      <c r="CG80" s="1"/>
      <c r="CH80" s="1"/>
      <c r="CI80" s="1"/>
      <c r="CJ80" s="1"/>
      <c r="CK80" s="1"/>
    </row>
    <row r="81" spans="1:89" s="76" customFormat="1">
      <c r="A81" s="70" t="s">
        <v>578</v>
      </c>
      <c r="E81" s="76">
        <f>股权价值增加表!E4</f>
        <v>2330488351.6700001</v>
      </c>
      <c r="F81" s="76">
        <f>股权价值增加表!F4</f>
        <v>1704720603.5799999</v>
      </c>
      <c r="G81" s="76">
        <f>股权价值增加表!G4</f>
        <v>1150037339.97</v>
      </c>
      <c r="H81" s="76">
        <f>股权价值增加表!H4</f>
        <v>574570999.27999997</v>
      </c>
      <c r="I81" s="76">
        <f>股权价值增加表!I4</f>
        <v>2057473059.6500001</v>
      </c>
      <c r="J81" s="76">
        <f>股权价值增加表!J4</f>
        <v>1447732454.8499999</v>
      </c>
      <c r="K81" s="76">
        <f>股权价值增加表!K4</f>
        <v>971033253.88</v>
      </c>
      <c r="L81" s="76">
        <f>股权价值增加表!L4</f>
        <v>450581543.13999999</v>
      </c>
      <c r="M81" s="76">
        <f>股权价值增加表!M4</f>
        <v>1723207165.99</v>
      </c>
      <c r="N81" s="76">
        <f>股权价值增加表!N4</f>
        <v>1310745450.45</v>
      </c>
      <c r="O81" s="76">
        <f>股权价值增加表!O4</f>
        <v>892965130.71000004</v>
      </c>
      <c r="P81" s="76">
        <f>股权价值增加表!P4</f>
        <v>415868291.43000001</v>
      </c>
      <c r="Q81" s="76">
        <f>股权价值增加表!Q4</f>
        <v>1691112456.28</v>
      </c>
      <c r="R81" s="76">
        <f>股权价值增加表!R4</f>
        <v>1230791444.55</v>
      </c>
      <c r="S81" s="76">
        <f>股权价值增加表!S4</f>
        <v>813544477.90999997</v>
      </c>
      <c r="T81" s="76">
        <f>股权价值增加表!T4</f>
        <v>390024307.39999998</v>
      </c>
      <c r="U81" s="76">
        <f>股权价值增加表!U4</f>
        <v>1544544952.0599999</v>
      </c>
      <c r="V81" s="76">
        <f>股权价值增加表!V4</f>
        <v>1122396553.02</v>
      </c>
      <c r="W81" s="76">
        <f>股权价值增加表!W4</f>
        <v>758927999.57000005</v>
      </c>
      <c r="X81" s="76">
        <f>股权价值增加表!X4</f>
        <v>357205871.04000002</v>
      </c>
      <c r="Y81" s="76">
        <f>股权价值增加表!Y4</f>
        <v>1468092831.3699999</v>
      </c>
      <c r="Z81" s="76">
        <f>股权价值增加表!Z4</f>
        <v>1071348975.9400001</v>
      </c>
      <c r="AA81" s="76">
        <f>股权价值增加表!AA4</f>
        <v>712807830.32000005</v>
      </c>
      <c r="AB81" s="76">
        <f>股权价值增加表!AB4</f>
        <v>327266570.35000002</v>
      </c>
      <c r="AC81" s="76">
        <f>股权价值增加表!AC4</f>
        <v>1397177995.0899999</v>
      </c>
      <c r="AD81" s="76">
        <f>股权价值增加表!AD4</f>
        <v>1078566017.5699999</v>
      </c>
      <c r="AE81" s="76">
        <f>股权价值增加表!AE4</f>
        <v>740726211.59000003</v>
      </c>
      <c r="AF81" s="76">
        <f>股权价值增加表!AF4</f>
        <v>374073213.12</v>
      </c>
      <c r="AG81" s="76">
        <f>股权价值增加表!AG4</f>
        <v>1513418307.2</v>
      </c>
      <c r="AH81" s="76">
        <f>股权价值增加表!AH4</f>
        <v>1059696048.1799999</v>
      </c>
      <c r="AI81" s="76">
        <f>股权价值增加表!AI4</f>
        <v>704411712.97000003</v>
      </c>
      <c r="AJ81" s="76">
        <f>股权价值增加表!AJ4</f>
        <v>336232983.76999998</v>
      </c>
      <c r="AK81" s="76">
        <f>股权价值增加表!AK4</f>
        <v>1242158522.8800001</v>
      </c>
      <c r="AL81" s="76">
        <f>股权价值增加表!AL4</f>
        <v>858937268.99000001</v>
      </c>
      <c r="AM81" s="76">
        <f>股权价值增加表!AM4</f>
        <v>562273598.74000001</v>
      </c>
      <c r="AN81" s="76">
        <f>股权价值增加表!AN4</f>
        <v>266084878.52000001</v>
      </c>
      <c r="AO81" s="76">
        <f>股权价值增加表!AO4</f>
        <v>1158292067.4300001</v>
      </c>
      <c r="AP81" s="76">
        <f>股权价值增加表!AP4</f>
        <v>895209049.78999996</v>
      </c>
      <c r="AQ81" s="76">
        <f>股权价值增加表!AQ4</f>
        <v>566191025.21000004</v>
      </c>
      <c r="AR81" s="76">
        <f>股权价值增加表!AR4</f>
        <v>252070387.78999999</v>
      </c>
      <c r="AS81" s="76">
        <f>股权价值增加表!AS4</f>
        <v>1012129757.92</v>
      </c>
      <c r="AT81" s="76">
        <f>股权价值增加表!AT4</f>
        <v>746141351.75999999</v>
      </c>
      <c r="AU81" s="76">
        <f>股权价值增加表!AU4</f>
        <v>484537373.37</v>
      </c>
      <c r="AV81" s="76">
        <f>股权价值增加表!AV4</f>
        <v>223429170.63999999</v>
      </c>
      <c r="AW81" s="76">
        <f>股权价值增加表!AW4</f>
        <v>826714232.19000006</v>
      </c>
      <c r="AX81" s="76">
        <f>股权价值增加表!AX4</f>
        <v>604132127.04999995</v>
      </c>
      <c r="AY81" s="76">
        <f>股权价值增加表!AY4</f>
        <v>397478607.14999998</v>
      </c>
      <c r="AZ81" s="76">
        <f>股权价值增加表!AZ4</f>
        <v>206387131.80000001</v>
      </c>
      <c r="BA81" s="76">
        <f>股权价值增加表!BA4</f>
        <v>672138979.24000001</v>
      </c>
      <c r="BB81" s="76">
        <f>股权价值增加表!BB4</f>
        <v>487785389.63999999</v>
      </c>
      <c r="BC81" s="76">
        <f>股权价值增加表!BC4</f>
        <v>325059703.41000003</v>
      </c>
      <c r="BD81" s="76">
        <f>股权价值增加表!BD4</f>
        <v>152709264.69999999</v>
      </c>
      <c r="BE81" s="76">
        <f>股权价值增加表!BE4</f>
        <v>560177649.26999998</v>
      </c>
      <c r="BF81" s="76">
        <f>股权价值增加表!BF4</f>
        <v>400883377.24000001</v>
      </c>
      <c r="BG81" s="76">
        <f>股权价值增加表!BG4</f>
        <v>266980572.90000001</v>
      </c>
      <c r="BH81" s="76">
        <f>股权价值增加表!BH4</f>
        <v>133017428.58</v>
      </c>
      <c r="BI81" s="76">
        <f>股权价值增加表!BI4</f>
        <v>467989529.66000003</v>
      </c>
      <c r="BJ81" s="76">
        <f>股权价值增加表!BJ4</f>
        <v>349199614.76999998</v>
      </c>
      <c r="BK81" s="76">
        <f>股权价值增加表!BK4</f>
        <v>236419705.41999999</v>
      </c>
      <c r="BL81" s="76">
        <f>股权价值增加表!BL4</f>
        <v>91150481.840000004</v>
      </c>
      <c r="BM81" s="76">
        <f>股权价值增加表!BM4</f>
        <v>422318260.42000002</v>
      </c>
      <c r="BN81" s="76">
        <f>股权价值增加表!BN4</f>
        <v>293379263.36000001</v>
      </c>
      <c r="BO81" s="76">
        <f>股权价值增加表!BO4</f>
        <v>187830345.75999999</v>
      </c>
      <c r="BP81" s="76">
        <f>股权价值增加表!BP4</f>
        <v>350108854.74000001</v>
      </c>
      <c r="BQ81" s="76">
        <f>股权价值增加表!BQ4</f>
        <v>160917980.02000001</v>
      </c>
      <c r="BR81" s="76">
        <f>股权价值增加表!BR4</f>
        <v>293114742.19</v>
      </c>
      <c r="BS81" s="76">
        <f>股权价值增加表!BS4</f>
        <v>231107107.62</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579</v>
      </c>
      <c r="E82" s="76">
        <f>投资和筹资活动现金流表!E34</f>
        <v>1430067387.1800001</v>
      </c>
      <c r="F82" s="76">
        <f>投资和筹资活动现金流表!F34</f>
        <v>1430694061.4100001</v>
      </c>
      <c r="G82" s="76">
        <f>投资和筹资活动现金流表!G34</f>
        <v>1414130740.74</v>
      </c>
      <c r="H82" s="76">
        <f>投资和筹资活动现金流表!H34</f>
        <v>1426722469.22</v>
      </c>
      <c r="I82" s="76">
        <f>投资和筹资活动现金流表!I34</f>
        <v>1400796408.98</v>
      </c>
      <c r="J82" s="76">
        <f>投资和筹资活动现金流表!J34</f>
        <v>1428998969.8599999</v>
      </c>
      <c r="K82" s="76">
        <f>投资和筹资活动现金流表!K34</f>
        <v>1423833637.8</v>
      </c>
      <c r="L82" s="76">
        <f>投资和筹资活动现金流表!L34</f>
        <v>1405965721.28</v>
      </c>
      <c r="M82" s="76">
        <f>投资和筹资活动现金流表!M34</f>
        <v>1341839010.0699999</v>
      </c>
      <c r="N82" s="76">
        <f>投资和筹资活动现金流表!N34</f>
        <v>1323035245.71</v>
      </c>
      <c r="O82" s="76">
        <f>投资和筹资活动现金流表!O34</f>
        <v>1292183664.47</v>
      </c>
      <c r="P82" s="76">
        <f>投资和筹资活动现金流表!P34</f>
        <v>1291537398.03</v>
      </c>
      <c r="Q82" s="76">
        <f>投资和筹资活动现金流表!Q34</f>
        <v>1291726633.25</v>
      </c>
      <c r="R82" s="76">
        <f>投资和筹资活动现金流表!R34</f>
        <v>1265736800.5799999</v>
      </c>
      <c r="S82" s="76">
        <f>投资和筹资活动现金流表!S34</f>
        <v>1262305125.3699999</v>
      </c>
      <c r="T82" s="76">
        <f>投资和筹资活动现金流表!T34</f>
        <v>1269497260.8</v>
      </c>
      <c r="U82" s="76">
        <f>投资和筹资活动现金流表!U34</f>
        <v>1280998904.8499999</v>
      </c>
      <c r="V82" s="76">
        <f>投资和筹资活动现金流表!V34</f>
        <v>1271017945.0699999</v>
      </c>
      <c r="W82" s="76">
        <f>投资和筹资活动现金流表!W34</f>
        <v>1269584085.6600001</v>
      </c>
      <c r="X82" s="76">
        <f>投资和筹资活动现金流表!X34</f>
        <v>1272467519.8900001</v>
      </c>
      <c r="Y82" s="76">
        <f>投资和筹资活动现金流表!AZ34</f>
        <v>710035227.82000005</v>
      </c>
      <c r="Z82" s="76">
        <f>投资和筹资活动现金流表!BA34</f>
        <v>708751620.94000006</v>
      </c>
      <c r="AA82" s="76">
        <f>投资和筹资活动现金流表!BB34</f>
        <v>688462866.96000004</v>
      </c>
      <c r="AB82" s="76">
        <f>投资和筹资活动现金流表!BC34</f>
        <v>677890207.51999998</v>
      </c>
      <c r="AC82" s="76">
        <f>投资和筹资活动现金流表!BD34</f>
        <v>691957451.38</v>
      </c>
      <c r="AD82" s="76">
        <f>投资和筹资活动现金流表!BE34</f>
        <v>665589525.48000002</v>
      </c>
      <c r="AE82" s="76">
        <f>投资和筹资活动现金流表!BF34</f>
        <v>685580977.60000002</v>
      </c>
      <c r="AF82" s="76">
        <f>投资和筹资活动现金流表!BG34</f>
        <v>624633495.08000004</v>
      </c>
      <c r="AG82" s="76">
        <f>投资和筹资活动现金流表!BH34</f>
        <v>570324400.86000001</v>
      </c>
      <c r="AH82" s="76">
        <f>投资和筹资活动现金流表!BI34</f>
        <v>551457183.10000002</v>
      </c>
      <c r="AI82" s="76">
        <f>投资和筹资活动现金流表!BJ34</f>
        <v>481348026.64999998</v>
      </c>
      <c r="AJ82" s="76">
        <f>投资和筹资活动现金流表!BK34</f>
        <v>414219579.52999997</v>
      </c>
      <c r="AK82" s="76">
        <f>投资和筹资活动现金流表!BL34</f>
        <v>326798982.25</v>
      </c>
      <c r="AL82" s="76">
        <f>投资和筹资活动现金流表!BM34</f>
        <v>301836134.22000003</v>
      </c>
      <c r="AM82" s="76">
        <f>投资和筹资活动现金流表!BN34</f>
        <v>242579031.93000001</v>
      </c>
      <c r="AN82" s="76">
        <f>投资和筹资活动现金流表!BO34</f>
        <v>219401133.18000001</v>
      </c>
      <c r="AO82" s="76">
        <f>投资和筹资活动现金流表!BP34</f>
        <v>195781863.68000001</v>
      </c>
      <c r="AP82" s="76">
        <f>投资和筹资活动现金流表!BQ34</f>
        <v>924000528.88</v>
      </c>
      <c r="AQ82" s="76">
        <f>投资和筹资活动现金流表!BR34</f>
        <v>920078146.78999996</v>
      </c>
      <c r="AR82" s="76">
        <f>投资和筹资活动现金流表!BS34</f>
        <v>904388967.69000006</v>
      </c>
      <c r="AS82" s="76">
        <f>投资和筹资活动现金流表!AS34</f>
        <v>846124706.51999998</v>
      </c>
      <c r="AT82" s="76">
        <f>投资和筹资活动现金流表!AT34</f>
        <v>845085813.28999996</v>
      </c>
      <c r="AU82" s="76">
        <f>投资和筹资活动现金流表!AU34</f>
        <v>828738540.2299999</v>
      </c>
      <c r="AV82" s="76">
        <f>投资和筹资活动现金流表!AV34</f>
        <v>837892994.12</v>
      </c>
      <c r="AW82" s="76">
        <f>投资和筹资活动现金流表!AW34</f>
        <v>774559494.41999996</v>
      </c>
      <c r="AX82" s="76">
        <f>投资和筹资活动现金流表!AX34</f>
        <v>723958896.88</v>
      </c>
      <c r="AY82" s="76">
        <f>投资和筹资活动现金流表!AY34</f>
        <v>725165689.28999996</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c r="A83" s="249" t="s">
        <v>580</v>
      </c>
      <c r="E83" s="153">
        <f>E81/E82</f>
        <v>1.6296353392587826</v>
      </c>
      <c r="F83" s="153">
        <f t="shared" ref="F83:BQ83" si="46">F81/F82</f>
        <v>1.1915339900830628</v>
      </c>
      <c r="G83" s="153">
        <f t="shared" si="46"/>
        <v>0.81324682848503627</v>
      </c>
      <c r="H83" s="153">
        <f t="shared" si="46"/>
        <v>0.40272092973633639</v>
      </c>
      <c r="I83" s="153">
        <f t="shared" si="46"/>
        <v>1.4687880740272341</v>
      </c>
      <c r="J83" s="153">
        <f t="shared" si="46"/>
        <v>1.0131095160914185</v>
      </c>
      <c r="K83" s="153">
        <f t="shared" si="46"/>
        <v>0.68198504944746718</v>
      </c>
      <c r="L83" s="153">
        <f t="shared" si="46"/>
        <v>0.32047832768624523</v>
      </c>
      <c r="M83" s="153">
        <f t="shared" si="46"/>
        <v>1.2842130487025454</v>
      </c>
      <c r="N83" s="153">
        <f t="shared" si="46"/>
        <v>0.99071090864748301</v>
      </c>
      <c r="O83" s="153">
        <f t="shared" si="46"/>
        <v>0.6910512454715616</v>
      </c>
      <c r="P83" s="153">
        <f t="shared" si="46"/>
        <v>0.32199477310090263</v>
      </c>
      <c r="Q83" s="153">
        <f t="shared" si="46"/>
        <v>1.3091875732446117</v>
      </c>
      <c r="R83" s="153">
        <f t="shared" si="46"/>
        <v>0.97239129334472463</v>
      </c>
      <c r="S83" s="153">
        <f t="shared" si="46"/>
        <v>0.6444911468386364</v>
      </c>
      <c r="T83" s="153">
        <f t="shared" si="46"/>
        <v>0.30722737216007706</v>
      </c>
      <c r="U83" s="153">
        <f t="shared" si="46"/>
        <v>1.2057347950979398</v>
      </c>
      <c r="V83" s="153">
        <f t="shared" si="46"/>
        <v>0.88306900573161085</v>
      </c>
      <c r="W83" s="153">
        <f t="shared" si="46"/>
        <v>0.59777686893063664</v>
      </c>
      <c r="X83" s="153">
        <f t="shared" si="46"/>
        <v>0.28071904819297794</v>
      </c>
      <c r="Y83" s="153">
        <f t="shared" si="46"/>
        <v>2.0676337931533926</v>
      </c>
      <c r="Z83" s="153">
        <f t="shared" si="46"/>
        <v>1.5116000362991706</v>
      </c>
      <c r="AA83" s="153">
        <f t="shared" si="46"/>
        <v>1.0353613310584178</v>
      </c>
      <c r="AB83" s="153">
        <f t="shared" si="46"/>
        <v>0.48277223467687369</v>
      </c>
      <c r="AC83" s="153">
        <f t="shared" si="46"/>
        <v>2.0191674969372015</v>
      </c>
      <c r="AD83" s="153">
        <f t="shared" si="46"/>
        <v>1.6204672343546507</v>
      </c>
      <c r="AE83" s="153">
        <f t="shared" si="46"/>
        <v>1.0804357702324907</v>
      </c>
      <c r="AF83" s="153">
        <f t="shared" si="46"/>
        <v>0.59886832209036522</v>
      </c>
      <c r="AG83" s="153">
        <f t="shared" si="46"/>
        <v>2.6536096034430505</v>
      </c>
      <c r="AH83" s="153">
        <f t="shared" si="46"/>
        <v>1.9216288782801783</v>
      </c>
      <c r="AI83" s="153">
        <f t="shared" si="46"/>
        <v>1.4634145648678334</v>
      </c>
      <c r="AJ83" s="153">
        <f t="shared" si="46"/>
        <v>0.81172643782679565</v>
      </c>
      <c r="AK83" s="153">
        <f t="shared" si="46"/>
        <v>3.8009865095900253</v>
      </c>
      <c r="AL83" s="153">
        <f t="shared" si="46"/>
        <v>2.8457072285584744</v>
      </c>
      <c r="AM83" s="153">
        <f t="shared" si="46"/>
        <v>2.3178986009897709</v>
      </c>
      <c r="AN83" s="153">
        <f t="shared" si="46"/>
        <v>1.2127780502468961</v>
      </c>
      <c r="AO83" s="153">
        <f t="shared" si="46"/>
        <v>5.9162378253952888</v>
      </c>
      <c r="AP83" s="153">
        <f t="shared" si="46"/>
        <v>0.96884040843039476</v>
      </c>
      <c r="AQ83" s="153">
        <f t="shared" si="46"/>
        <v>0.6153727563091751</v>
      </c>
      <c r="AR83" s="153">
        <f t="shared" si="46"/>
        <v>0.27871899900973013</v>
      </c>
      <c r="AS83" s="153">
        <f t="shared" si="46"/>
        <v>1.1961945445166788</v>
      </c>
      <c r="AT83" s="153">
        <f t="shared" si="46"/>
        <v>0.88291785286892976</v>
      </c>
      <c r="AU83" s="153">
        <f t="shared" si="46"/>
        <v>0.58466856535419032</v>
      </c>
      <c r="AV83" s="153">
        <f t="shared" si="46"/>
        <v>0.26665597183403739</v>
      </c>
      <c r="AW83" s="153">
        <f t="shared" si="46"/>
        <v>1.0673347084965426</v>
      </c>
      <c r="AX83" s="153">
        <f t="shared" si="46"/>
        <v>0.83448401511962911</v>
      </c>
      <c r="AY83" s="153">
        <f t="shared" si="46"/>
        <v>0.54812108876685273</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c r="A84" s="70" t="s">
        <v>581</v>
      </c>
      <c r="E84" s="76">
        <f>资产资本表!E52</f>
        <v>1220203080.5699999</v>
      </c>
      <c r="F84" s="76">
        <f>资产资本表!F52</f>
        <v>1235917528.76</v>
      </c>
      <c r="G84" s="76">
        <f>资产资本表!G52</f>
        <v>1236470024.5999999</v>
      </c>
      <c r="H84" s="76">
        <f>资产资本表!H52</f>
        <v>1208145619.49</v>
      </c>
      <c r="I84" s="76">
        <f>资产资本表!I52</f>
        <v>1187779936.3800001</v>
      </c>
      <c r="J84" s="76">
        <f>资产资本表!J52</f>
        <v>1210571022.54</v>
      </c>
      <c r="K84" s="76">
        <f>资产资本表!K52</f>
        <v>1205611464.9000001</v>
      </c>
      <c r="L84" s="76">
        <f>资产资本表!L52</f>
        <v>1091819401.52</v>
      </c>
      <c r="M84" s="76">
        <f>资产资本表!M52</f>
        <v>1078691097.8299999</v>
      </c>
      <c r="N84" s="76">
        <f>资产资本表!N52</f>
        <v>1050536012.78</v>
      </c>
      <c r="O84" s="76">
        <f>资产资本表!O52</f>
        <v>1057483421.04</v>
      </c>
      <c r="P84" s="76">
        <f>资产资本表!P52</f>
        <v>1081066480.4400001</v>
      </c>
      <c r="Q84" s="76">
        <f>资产资本表!Q52</f>
        <v>1099872133.6800001</v>
      </c>
      <c r="R84" s="76">
        <f>资产资本表!R52</f>
        <v>1080266556.47</v>
      </c>
      <c r="S84" s="76">
        <f>资产资本表!S52</f>
        <v>1087123016.8199999</v>
      </c>
      <c r="T84" s="76">
        <f>资产资本表!T52</f>
        <v>1107760703.1300001</v>
      </c>
      <c r="U84" s="76">
        <f>资产资本表!U52</f>
        <v>1122027169.6600001</v>
      </c>
      <c r="V84" s="76">
        <f>资产资本表!V52</f>
        <v>1089484369.26</v>
      </c>
      <c r="W84" s="76">
        <f>资产资本表!W52</f>
        <v>1085353646.22</v>
      </c>
      <c r="X84" s="76">
        <f>资产资本表!X52</f>
        <v>1094953462.4400001</v>
      </c>
      <c r="Y84" s="76">
        <f>资产资本表!Y52</f>
        <v>1113737436.99</v>
      </c>
      <c r="Z84" s="76">
        <f>资产资本表!Z52</f>
        <v>1082181075.97</v>
      </c>
      <c r="AA84" s="76">
        <f>资产资本表!AA52</f>
        <v>1089572221.7</v>
      </c>
      <c r="AB84" s="76">
        <f>资产资本表!AB52</f>
        <v>1095555146.6800001</v>
      </c>
      <c r="AC84" s="76">
        <f>资产资本表!AC52</f>
        <v>1063134488.66</v>
      </c>
      <c r="AD84" s="76">
        <f>资产资本表!AD52</f>
        <v>814979215.21000004</v>
      </c>
      <c r="AE84" s="76">
        <f>资产资本表!AE52</f>
        <v>743608921.49000001</v>
      </c>
      <c r="AF84" s="76">
        <f>资产资本表!AF52</f>
        <v>751428739.14999998</v>
      </c>
      <c r="AG84" s="76">
        <f>资产资本表!AG52</f>
        <v>769312694.21000004</v>
      </c>
      <c r="AH84" s="76">
        <f>资产资本表!AH52</f>
        <v>777388620.5</v>
      </c>
      <c r="AI84" s="76">
        <f>资产资本表!AI52</f>
        <v>705787333.25999999</v>
      </c>
      <c r="AJ84" s="76">
        <f>资产资本表!AJ52</f>
        <v>723769840.38</v>
      </c>
      <c r="AK84" s="76">
        <f>资产资本表!AK52</f>
        <v>740308886.82000005</v>
      </c>
      <c r="AL84" s="76">
        <f>资产资本表!AL52</f>
        <v>724218249.30999994</v>
      </c>
      <c r="AM84" s="76">
        <f>资产资本表!AM52</f>
        <v>738298625.72000003</v>
      </c>
      <c r="AN84" s="76">
        <f>资产资本表!AN52</f>
        <v>740112700.96000004</v>
      </c>
      <c r="AO84" s="76">
        <f>资产资本表!AO52</f>
        <v>752306309.12</v>
      </c>
      <c r="AP84" s="76">
        <f>资产资本表!AP52</f>
        <v>763362823.07000005</v>
      </c>
      <c r="AQ84" s="76">
        <f>资产资本表!AQ52</f>
        <v>773752440.51999998</v>
      </c>
      <c r="AR84" s="76">
        <f>资产资本表!AR52</f>
        <v>753938933.88</v>
      </c>
      <c r="AS84" s="76">
        <f>资产资本表!AS52</f>
        <v>683650077.24000001</v>
      </c>
      <c r="AT84" s="76">
        <f>资产资本表!AT52</f>
        <v>693686764.98000002</v>
      </c>
      <c r="AU84" s="76">
        <f>资产资本表!AU52</f>
        <v>701401016.99000001</v>
      </c>
      <c r="AV84" s="76">
        <f>资产资本表!AV52</f>
        <v>686829610.03999996</v>
      </c>
      <c r="AW84" s="76">
        <f>资产资本表!AW52</f>
        <v>651787253.65999997</v>
      </c>
      <c r="AX84" s="76">
        <f>资产资本表!AX52</f>
        <v>652563475.94000006</v>
      </c>
      <c r="AY84" s="76">
        <f>资产资本表!AY52</f>
        <v>631796840.89999998</v>
      </c>
      <c r="AZ84" s="76">
        <f>资产资本表!AZ52</f>
        <v>636775596.35000002</v>
      </c>
      <c r="BA84" s="76">
        <f>资产资本表!BA52</f>
        <v>644191250</v>
      </c>
      <c r="BB84" s="76">
        <f>资产资本表!BB52</f>
        <v>603235859.48000002</v>
      </c>
      <c r="BC84" s="76">
        <f>资产资本表!BC52</f>
        <v>605229820.41999996</v>
      </c>
      <c r="BD84" s="76">
        <f>资产资本表!BD52</f>
        <v>600772889.55999994</v>
      </c>
      <c r="BE84" s="76">
        <f>资产资本表!BE52</f>
        <v>549614834.86000001</v>
      </c>
      <c r="BF84" s="76">
        <f>资产资本表!BF52</f>
        <v>542120599.97000003</v>
      </c>
      <c r="BG84" s="76">
        <f>资产资本表!BG52</f>
        <v>466702052.69</v>
      </c>
      <c r="BH84" s="76">
        <f>资产资本表!BH52</f>
        <v>431073628.88999999</v>
      </c>
      <c r="BI84" s="76">
        <f>资产资本表!BI52</f>
        <v>431876561.54000002</v>
      </c>
      <c r="BJ84" s="76">
        <f>资产资本表!BJ52</f>
        <v>203233178.59999999</v>
      </c>
      <c r="BK84" s="76">
        <f>资产资本表!BK52</f>
        <v>181220657.69999999</v>
      </c>
      <c r="BL84" s="76">
        <f>资产资本表!BL52</f>
        <v>183257067.25</v>
      </c>
      <c r="BM84" s="76">
        <f>资产资本表!BM52</f>
        <v>186273337.91</v>
      </c>
      <c r="BN84" s="76">
        <f>资产资本表!BN52</f>
        <v>123178957.62</v>
      </c>
      <c r="BO84" s="76">
        <f>资产资本表!BO52</f>
        <v>131244246.86</v>
      </c>
      <c r="BP84" s="76">
        <f>资产资本表!BP52</f>
        <v>134929680.96000001</v>
      </c>
      <c r="BQ84" s="76">
        <f>资产资本表!BQ52</f>
        <v>125962845.39</v>
      </c>
      <c r="BR84" s="76">
        <f>资产资本表!BR52</f>
        <v>110827866.56</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c r="A85" s="249" t="s">
        <v>582</v>
      </c>
      <c r="E85" s="153">
        <f>E81/E84</f>
        <v>1.9099184297923151</v>
      </c>
      <c r="F85" s="153">
        <f t="shared" ref="F85:BQ85" si="48">F81/F84</f>
        <v>1.3793158231927916</v>
      </c>
      <c r="G85" s="153">
        <f t="shared" si="48"/>
        <v>0.93009722604641309</v>
      </c>
      <c r="H85" s="153">
        <f t="shared" si="48"/>
        <v>0.47558091509080358</v>
      </c>
      <c r="I85" s="153">
        <f t="shared" si="48"/>
        <v>1.7322005504829168</v>
      </c>
      <c r="J85" s="153">
        <f t="shared" si="48"/>
        <v>1.1959087305859939</v>
      </c>
      <c r="K85" s="153">
        <f t="shared" si="48"/>
        <v>0.80542801901816907</v>
      </c>
      <c r="L85" s="153">
        <f t="shared" si="48"/>
        <v>0.41268871254047435</v>
      </c>
      <c r="M85" s="153">
        <f t="shared" si="48"/>
        <v>1.5974982730983609</v>
      </c>
      <c r="N85" s="153">
        <f t="shared" si="48"/>
        <v>1.2476920681485408</v>
      </c>
      <c r="O85" s="153">
        <f t="shared" si="48"/>
        <v>0.84442470959194649</v>
      </c>
      <c r="P85" s="153">
        <f t="shared" si="48"/>
        <v>0.38468336494971089</v>
      </c>
      <c r="Q85" s="153">
        <f t="shared" si="48"/>
        <v>1.5375536887381647</v>
      </c>
      <c r="R85" s="153">
        <f t="shared" si="48"/>
        <v>1.1393405055247401</v>
      </c>
      <c r="S85" s="153">
        <f t="shared" si="48"/>
        <v>0.74834629137900255</v>
      </c>
      <c r="T85" s="153">
        <f t="shared" si="48"/>
        <v>0.35208353780557339</v>
      </c>
      <c r="U85" s="153">
        <f t="shared" si="48"/>
        <v>1.3765664449355826</v>
      </c>
      <c r="V85" s="153">
        <f t="shared" si="48"/>
        <v>1.0302089545188744</v>
      </c>
      <c r="W85" s="153">
        <f t="shared" si="48"/>
        <v>0.69924489793086864</v>
      </c>
      <c r="X85" s="153">
        <f t="shared" si="48"/>
        <v>0.32622927210440578</v>
      </c>
      <c r="Y85" s="153">
        <f t="shared" si="48"/>
        <v>1.3181678038386542</v>
      </c>
      <c r="Z85" s="153">
        <f t="shared" si="48"/>
        <v>0.98999049209921663</v>
      </c>
      <c r="AA85" s="153">
        <f t="shared" si="48"/>
        <v>0.65420888686740275</v>
      </c>
      <c r="AB85" s="153">
        <f t="shared" si="48"/>
        <v>0.29872213310462509</v>
      </c>
      <c r="AC85" s="153">
        <f t="shared" si="48"/>
        <v>1.3142062551757081</v>
      </c>
      <c r="AD85" s="153">
        <f t="shared" si="48"/>
        <v>1.3234276377123066</v>
      </c>
      <c r="AE85" s="153">
        <f t="shared" si="48"/>
        <v>0.99612335218595316</v>
      </c>
      <c r="AF85" s="153">
        <f t="shared" si="48"/>
        <v>0.49781595197322848</v>
      </c>
      <c r="AG85" s="153">
        <f t="shared" si="48"/>
        <v>1.9672342840437789</v>
      </c>
      <c r="AH85" s="153">
        <f t="shared" si="48"/>
        <v>1.3631483922396828</v>
      </c>
      <c r="AI85" s="153">
        <f t="shared" si="48"/>
        <v>0.99805094222413138</v>
      </c>
      <c r="AJ85" s="153">
        <f t="shared" si="48"/>
        <v>0.46455788154072292</v>
      </c>
      <c r="AK85" s="153">
        <f t="shared" si="48"/>
        <v>1.6778922217396273</v>
      </c>
      <c r="AL85" s="153">
        <f t="shared" si="48"/>
        <v>1.1860199184546285</v>
      </c>
      <c r="AM85" s="153">
        <f t="shared" si="48"/>
        <v>0.76158017792822286</v>
      </c>
      <c r="AN85" s="153">
        <f t="shared" si="48"/>
        <v>0.35951940586191988</v>
      </c>
      <c r="AO85" s="153">
        <f t="shared" si="48"/>
        <v>1.5396548631698921</v>
      </c>
      <c r="AP85" s="153">
        <f t="shared" si="48"/>
        <v>1.1727176419068415</v>
      </c>
      <c r="AQ85" s="153">
        <f t="shared" si="48"/>
        <v>0.73174699756616157</v>
      </c>
      <c r="AR85" s="153">
        <f t="shared" si="48"/>
        <v>0.33433793701668757</v>
      </c>
      <c r="AS85" s="153">
        <f t="shared" si="48"/>
        <v>1.4804792562974947</v>
      </c>
      <c r="AT85" s="153">
        <f t="shared" si="48"/>
        <v>1.0756171076458585</v>
      </c>
      <c r="AU85" s="153">
        <f t="shared" si="48"/>
        <v>0.69081361679421138</v>
      </c>
      <c r="AV85" s="153">
        <f t="shared" si="48"/>
        <v>0.32530509368544519</v>
      </c>
      <c r="AW85" s="153">
        <f t="shared" si="48"/>
        <v>1.268380483889072</v>
      </c>
      <c r="AX85" s="153">
        <f t="shared" si="48"/>
        <v>0.92578293043410675</v>
      </c>
      <c r="AY85" s="153">
        <f t="shared" si="48"/>
        <v>0.62912408138000231</v>
      </c>
      <c r="AZ85" s="153">
        <f t="shared" si="48"/>
        <v>0.32411281616791188</v>
      </c>
      <c r="BA85" s="153">
        <f t="shared" si="48"/>
        <v>1.0433842111950449</v>
      </c>
      <c r="BB85" s="153">
        <f t="shared" si="48"/>
        <v>0.80861471010771746</v>
      </c>
      <c r="BC85" s="153">
        <f t="shared" si="48"/>
        <v>0.53708474441068432</v>
      </c>
      <c r="BD85" s="153">
        <f t="shared" si="48"/>
        <v>0.25418800906918876</v>
      </c>
      <c r="BE85" s="153">
        <f t="shared" si="48"/>
        <v>1.0192185758826735</v>
      </c>
      <c r="BF85" s="153">
        <f t="shared" si="48"/>
        <v>0.73947268792623666</v>
      </c>
      <c r="BG85" s="153">
        <f t="shared" si="48"/>
        <v>0.572057850101932</v>
      </c>
      <c r="BH85" s="153">
        <f t="shared" si="48"/>
        <v>0.30857241006023817</v>
      </c>
      <c r="BI85" s="153">
        <f t="shared" si="48"/>
        <v>1.0836187265899015</v>
      </c>
      <c r="BJ85" s="153">
        <f t="shared" si="48"/>
        <v>1.7182214891067988</v>
      </c>
      <c r="BK85" s="153">
        <f t="shared" si="48"/>
        <v>1.3045957807491171</v>
      </c>
      <c r="BL85" s="153">
        <f t="shared" si="48"/>
        <v>0.4973913596229943</v>
      </c>
      <c r="BM85" s="153">
        <f t="shared" si="48"/>
        <v>2.2671965035814612</v>
      </c>
      <c r="BN85" s="153">
        <f t="shared" si="48"/>
        <v>2.3817319859537873</v>
      </c>
      <c r="BO85" s="153">
        <f t="shared" si="48"/>
        <v>1.4311510809335599</v>
      </c>
      <c r="BP85" s="153">
        <f t="shared" si="48"/>
        <v>2.594750482244081</v>
      </c>
      <c r="BQ85" s="153">
        <f t="shared" si="48"/>
        <v>1.2775035330598767</v>
      </c>
      <c r="BR85" s="153">
        <f t="shared" ref="BR85:CK85" si="49">BR81/BR84</f>
        <v>2.6447747420213443</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c r="A86" s="70" t="s">
        <v>583</v>
      </c>
      <c r="E86" s="76">
        <f>资产资本表!E53</f>
        <v>54913469.030000001</v>
      </c>
      <c r="F86" s="76">
        <f>资产资本表!F53</f>
        <v>28473904.75</v>
      </c>
      <c r="G86" s="76">
        <f>资产资本表!G53</f>
        <v>15843281.199999999</v>
      </c>
      <c r="H86" s="76">
        <f>资产资本表!H53</f>
        <v>27971047.84</v>
      </c>
      <c r="I86" s="76">
        <f>资产资本表!I53</f>
        <v>45273645.950000003</v>
      </c>
      <c r="J86" s="76">
        <f>资产资本表!J53</f>
        <v>39996823.5</v>
      </c>
      <c r="K86" s="76">
        <f>资产资本表!K53</f>
        <v>22420057.670000002</v>
      </c>
      <c r="L86" s="76">
        <f>资产资本表!L53</f>
        <v>120870111.56</v>
      </c>
      <c r="M86" s="76">
        <f>资产资本表!M53</f>
        <v>95984001.840000004</v>
      </c>
      <c r="N86" s="76">
        <f>资产资本表!N53</f>
        <v>107713987.34999999</v>
      </c>
      <c r="O86" s="76">
        <f>资产资本表!O53</f>
        <v>76136611.450000003</v>
      </c>
      <c r="P86" s="76">
        <f>资产资本表!P53</f>
        <v>70914863.689999998</v>
      </c>
      <c r="Q86" s="76">
        <f>资产资本表!Q53</f>
        <v>42970728.350000001</v>
      </c>
      <c r="R86" s="76">
        <f>资产资本表!R53</f>
        <v>50289333.270000003</v>
      </c>
      <c r="S86" s="76">
        <f>资产资本表!S53</f>
        <v>46000377.990000002</v>
      </c>
      <c r="T86" s="76">
        <f>资产资本表!T53</f>
        <v>30804275.949999999</v>
      </c>
      <c r="U86" s="76">
        <f>资产资本表!U53</f>
        <v>22042017.289999999</v>
      </c>
      <c r="V86" s="76">
        <f>资产资本表!V53</f>
        <v>44579370.170000002</v>
      </c>
      <c r="W86" s="76">
        <f>资产资本表!W53</f>
        <v>39542145.579999998</v>
      </c>
      <c r="X86" s="76">
        <f>资产资本表!X53</f>
        <v>35491915.619999997</v>
      </c>
      <c r="Y86" s="76">
        <f>资产资本表!Y53</f>
        <v>30304190.460000001</v>
      </c>
      <c r="Z86" s="76">
        <f>资产资本表!Z53</f>
        <v>35560235.399999999</v>
      </c>
      <c r="AA86" s="76">
        <f>资产资本表!AA53</f>
        <v>13431304.710000001</v>
      </c>
      <c r="AB86" s="76">
        <f>资产资本表!AB53</f>
        <v>6788280.21</v>
      </c>
      <c r="AC86" s="76">
        <f>资产资本表!AC53</f>
        <v>39284556.810000002</v>
      </c>
      <c r="AD86" s="76">
        <f>资产资本表!AD53</f>
        <v>200214178.88999999</v>
      </c>
      <c r="AE86" s="76">
        <f>资产资本表!AE53</f>
        <v>260857001.62</v>
      </c>
      <c r="AF86" s="76">
        <f>资产资本表!AF53</f>
        <v>216017375.83000001</v>
      </c>
      <c r="AG86" s="76">
        <f>资产资本表!AG53</f>
        <v>195033201.06</v>
      </c>
      <c r="AH86" s="76">
        <f>资产资本表!AH53</f>
        <v>143960793.94999999</v>
      </c>
      <c r="AI86" s="76">
        <f>资产资本表!AI53</f>
        <v>181193196.47999999</v>
      </c>
      <c r="AJ86" s="76">
        <f>资产资本表!AJ53</f>
        <v>153523914.5</v>
      </c>
      <c r="AK86" s="76">
        <f>资产资本表!AK53</f>
        <v>114781688.02</v>
      </c>
      <c r="AL86" s="76">
        <f>资产资本表!AL53</f>
        <v>133403957.48999999</v>
      </c>
      <c r="AM86" s="76">
        <f>资产资本表!AM53</f>
        <v>101625943.95</v>
      </c>
      <c r="AN86" s="76">
        <f>资产资本表!AN53</f>
        <v>77837725.230000004</v>
      </c>
      <c r="AO86" s="76">
        <f>资产资本表!AO53</f>
        <v>75594208.439999998</v>
      </c>
      <c r="AP86" s="76">
        <f>资产资本表!AP53</f>
        <v>56137178.890000001</v>
      </c>
      <c r="AQ86" s="76">
        <f>资产资本表!AQ53</f>
        <v>43041909.829999998</v>
      </c>
      <c r="AR86" s="76">
        <f>资产资本表!AR53</f>
        <v>44927771.840000004</v>
      </c>
      <c r="AS86" s="76">
        <f>资产资本表!AS53</f>
        <v>53597573.289999999</v>
      </c>
      <c r="AT86" s="76">
        <f>资产资本表!AT53</f>
        <v>34798116.560000002</v>
      </c>
      <c r="AU86" s="76">
        <f>资产资本表!AU53</f>
        <v>11929333.529999999</v>
      </c>
      <c r="AV86" s="76">
        <f>资产资本表!AV53</f>
        <v>18653983.609999999</v>
      </c>
      <c r="AW86" s="76">
        <f>资产资本表!AW53</f>
        <v>43923188.670000002</v>
      </c>
      <c r="AX86" s="76">
        <f>资产资本表!AX53</f>
        <v>29566440.289999999</v>
      </c>
      <c r="AY86" s="76">
        <f>资产资本表!AY53</f>
        <v>60050530.119999997</v>
      </c>
      <c r="AZ86" s="76">
        <f>资产资本表!AZ53</f>
        <v>44063678.390000001</v>
      </c>
      <c r="BA86" s="76">
        <f>资产资本表!BA53</f>
        <v>33394380.48</v>
      </c>
      <c r="BB86" s="76">
        <f>资产资本表!BB53</f>
        <v>59566443.219999999</v>
      </c>
      <c r="BC86" s="76">
        <f>资产资本表!BC53</f>
        <v>45633945.380000003</v>
      </c>
      <c r="BD86" s="76">
        <f>资产资本表!BD53</f>
        <v>49492805.960000001</v>
      </c>
      <c r="BE86" s="76">
        <f>资产资本表!BE53</f>
        <v>70334170.150000006</v>
      </c>
      <c r="BF86" s="76">
        <f>资产资本表!BF53</f>
        <v>77513841.670000002</v>
      </c>
      <c r="BG86" s="76">
        <f>资产资本表!BG53</f>
        <v>103756030.93000001</v>
      </c>
      <c r="BH86" s="76">
        <f>资产资本表!BH53</f>
        <v>105820446.45</v>
      </c>
      <c r="BI86" s="76">
        <f>资产资本表!BI53</f>
        <v>86724243.980000004</v>
      </c>
      <c r="BJ86" s="76">
        <f>资产资本表!BJ53</f>
        <v>256978412.22999999</v>
      </c>
      <c r="BK86" s="76">
        <f>资产资本表!BK53</f>
        <v>206108022.38</v>
      </c>
      <c r="BL86" s="76">
        <f>资产资本表!BL53</f>
        <v>117097230.72</v>
      </c>
      <c r="BM86" s="76">
        <f>资产资本表!BM53</f>
        <v>92343934.980000004</v>
      </c>
      <c r="BN86" s="76">
        <f>资产资本表!BN53</f>
        <v>110226599.75</v>
      </c>
      <c r="BO86" s="76">
        <f>资产资本表!BO53</f>
        <v>80407084.859999999</v>
      </c>
      <c r="BP86" s="76">
        <f>资产资本表!BP53</f>
        <v>32434295.100000001</v>
      </c>
      <c r="BQ86" s="76">
        <f>资产资本表!BQ53</f>
        <v>13528367.57</v>
      </c>
      <c r="BR86" s="76">
        <f>资产资本表!BR53</f>
        <v>17315406.129999999</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c r="A87" s="252" t="s">
        <v>584</v>
      </c>
      <c r="E87" s="54">
        <f>E81/E86</f>
        <v>42.439284802728842</v>
      </c>
      <c r="F87" s="54">
        <f t="shared" ref="F87:BQ87" si="50">F81/F86</f>
        <v>59.869575969555072</v>
      </c>
      <c r="G87" s="54">
        <f t="shared" si="50"/>
        <v>72.588331006205962</v>
      </c>
      <c r="H87" s="54">
        <f t="shared" si="50"/>
        <v>20.54163299732857</v>
      </c>
      <c r="I87" s="54">
        <f t="shared" si="50"/>
        <v>45.445269902102943</v>
      </c>
      <c r="J87" s="54">
        <f t="shared" si="50"/>
        <v>36.196185800854906</v>
      </c>
      <c r="K87" s="54">
        <f t="shared" si="50"/>
        <v>43.310916866165222</v>
      </c>
      <c r="L87" s="54">
        <f t="shared" si="50"/>
        <v>3.7278160607664454</v>
      </c>
      <c r="M87" s="54">
        <f t="shared" si="50"/>
        <v>17.953066479375288</v>
      </c>
      <c r="N87" s="54">
        <f t="shared" si="50"/>
        <v>12.168758048023371</v>
      </c>
      <c r="O87" s="54">
        <f t="shared" si="50"/>
        <v>11.728459064617329</v>
      </c>
      <c r="P87" s="54">
        <f t="shared" si="50"/>
        <v>5.8643318169226539</v>
      </c>
      <c r="Q87" s="54">
        <f t="shared" si="50"/>
        <v>39.354987015946165</v>
      </c>
      <c r="R87" s="54">
        <f t="shared" si="50"/>
        <v>24.474204856564008</v>
      </c>
      <c r="S87" s="54">
        <f t="shared" si="50"/>
        <v>17.685604194097188</v>
      </c>
      <c r="T87" s="54">
        <f t="shared" si="50"/>
        <v>12.661369091520555</v>
      </c>
      <c r="U87" s="54">
        <f t="shared" si="50"/>
        <v>70.07275839315885</v>
      </c>
      <c r="V87" s="54">
        <f t="shared" si="50"/>
        <v>25.177487899443779</v>
      </c>
      <c r="W87" s="54">
        <f t="shared" si="50"/>
        <v>19.192888712489538</v>
      </c>
      <c r="X87" s="54">
        <f t="shared" si="50"/>
        <v>10.064429174927698</v>
      </c>
      <c r="Y87" s="54">
        <f t="shared" si="50"/>
        <v>48.445208701674716</v>
      </c>
      <c r="Z87" s="54">
        <f t="shared" si="50"/>
        <v>30.127724518381566</v>
      </c>
      <c r="AA87" s="54">
        <f t="shared" si="50"/>
        <v>53.070632057754871</v>
      </c>
      <c r="AB87" s="54">
        <f t="shared" si="50"/>
        <v>48.210527589579279</v>
      </c>
      <c r="AC87" s="54">
        <f t="shared" si="50"/>
        <v>35.565578653399598</v>
      </c>
      <c r="AD87" s="54">
        <f t="shared" si="50"/>
        <v>5.387061114001205</v>
      </c>
      <c r="AE87" s="54">
        <f t="shared" si="50"/>
        <v>2.8395872335795809</v>
      </c>
      <c r="AF87" s="54">
        <f t="shared" si="50"/>
        <v>1.7316811283476834</v>
      </c>
      <c r="AG87" s="54">
        <f t="shared" si="50"/>
        <v>7.7597983265137103</v>
      </c>
      <c r="AH87" s="54">
        <f t="shared" si="50"/>
        <v>7.3610044728431427</v>
      </c>
      <c r="AI87" s="54">
        <f t="shared" si="50"/>
        <v>3.8876278284971511</v>
      </c>
      <c r="AJ87" s="54">
        <f t="shared" si="50"/>
        <v>2.1901016845815247</v>
      </c>
      <c r="AK87" s="54">
        <f t="shared" si="50"/>
        <v>10.821922419049645</v>
      </c>
      <c r="AL87" s="54">
        <f t="shared" si="50"/>
        <v>6.4386191020936261</v>
      </c>
      <c r="AM87" s="54">
        <f t="shared" si="50"/>
        <v>5.5327761483488782</v>
      </c>
      <c r="AN87" s="54">
        <f t="shared" si="50"/>
        <v>3.4184565097933555</v>
      </c>
      <c r="AO87" s="54">
        <f t="shared" si="50"/>
        <v>15.322497468167153</v>
      </c>
      <c r="AP87" s="54">
        <f t="shared" si="50"/>
        <v>15.94681221056992</v>
      </c>
      <c r="AQ87" s="54">
        <f t="shared" si="50"/>
        <v>13.154412233245461</v>
      </c>
      <c r="AR87" s="54">
        <f t="shared" si="50"/>
        <v>5.6105695311953392</v>
      </c>
      <c r="AS87" s="54">
        <f t="shared" si="50"/>
        <v>18.883872828414766</v>
      </c>
      <c r="AT87" s="54">
        <f t="shared" si="50"/>
        <v>21.44200392206514</v>
      </c>
      <c r="AU87" s="54">
        <f t="shared" si="50"/>
        <v>40.617304575438425</v>
      </c>
      <c r="AV87" s="54">
        <f t="shared" si="50"/>
        <v>11.977558001081571</v>
      </c>
      <c r="AW87" s="54">
        <f t="shared" si="50"/>
        <v>18.821817295670396</v>
      </c>
      <c r="AX87" s="54">
        <f t="shared" si="50"/>
        <v>20.433035601324328</v>
      </c>
      <c r="AY87" s="54">
        <f t="shared" si="50"/>
        <v>6.6190690799183907</v>
      </c>
      <c r="AZ87" s="54">
        <f t="shared" si="50"/>
        <v>4.6838380121900673</v>
      </c>
      <c r="BA87" s="54">
        <f t="shared" si="50"/>
        <v>20.127307935613484</v>
      </c>
      <c r="BB87" s="54">
        <f t="shared" si="50"/>
        <v>8.1889292573410088</v>
      </c>
      <c r="BC87" s="54">
        <f t="shared" si="50"/>
        <v>7.1231996423536064</v>
      </c>
      <c r="BD87" s="54">
        <f t="shared" si="50"/>
        <v>3.0854840766841822</v>
      </c>
      <c r="BE87" s="54">
        <f t="shared" si="50"/>
        <v>7.9645163663027869</v>
      </c>
      <c r="BF87" s="54">
        <f t="shared" si="50"/>
        <v>5.1717650499981982</v>
      </c>
      <c r="BG87" s="54">
        <f t="shared" si="50"/>
        <v>2.5731571505479134</v>
      </c>
      <c r="BH87" s="54">
        <f t="shared" si="50"/>
        <v>1.2570106538234134</v>
      </c>
      <c r="BI87" s="54">
        <f t="shared" si="50"/>
        <v>5.3962941408624543</v>
      </c>
      <c r="BJ87" s="54">
        <f t="shared" si="50"/>
        <v>1.3588675085184216</v>
      </c>
      <c r="BK87" s="54">
        <f t="shared" si="50"/>
        <v>1.1470669733762937</v>
      </c>
      <c r="BL87" s="54">
        <f t="shared" si="50"/>
        <v>0.77841705802553762</v>
      </c>
      <c r="BM87" s="54">
        <f t="shared" si="50"/>
        <v>4.5733188704971948</v>
      </c>
      <c r="BN87" s="54">
        <f t="shared" si="50"/>
        <v>2.6616013196941606</v>
      </c>
      <c r="BO87" s="54">
        <f t="shared" si="50"/>
        <v>2.3359924823420588</v>
      </c>
      <c r="BP87" s="54">
        <f t="shared" si="50"/>
        <v>10.794403074294037</v>
      </c>
      <c r="BQ87" s="54">
        <f t="shared" si="50"/>
        <v>11.894855693960125</v>
      </c>
      <c r="BR87" s="54">
        <f t="shared" ref="BR87:CK87" si="51">BR81/BR86</f>
        <v>16.92797385111059</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c r="A88" s="70" t="s">
        <v>585</v>
      </c>
      <c r="E88" s="76">
        <f>资产资本表!E54</f>
        <v>1125295.81</v>
      </c>
      <c r="F88" s="76">
        <f>资产资本表!F54</f>
        <v>13895986.470000001</v>
      </c>
      <c r="G88" s="76">
        <f>资产资本表!G54</f>
        <v>6730409.6799999997</v>
      </c>
      <c r="H88" s="76">
        <f>资产资本表!H54</f>
        <v>10372837.939999999</v>
      </c>
      <c r="I88" s="76">
        <f>资产资本表!I54</f>
        <v>6120144.8399999999</v>
      </c>
      <c r="J88" s="76">
        <f>资产资本表!J54</f>
        <v>7720836.3799999999</v>
      </c>
      <c r="K88" s="76">
        <f>资产资本表!K54</f>
        <v>5312424.63</v>
      </c>
      <c r="L88" s="76">
        <f>资产资本表!L54</f>
        <v>2863459.91</v>
      </c>
      <c r="M88" s="76">
        <f>资产资本表!M54</f>
        <v>5379453.5999999996</v>
      </c>
      <c r="N88" s="76">
        <f>资产资本表!N54</f>
        <v>12441264.710000001</v>
      </c>
      <c r="O88" s="76">
        <f>资产资本表!O54</f>
        <v>10804186.539999999</v>
      </c>
      <c r="P88" s="76">
        <f>资产资本表!P54</f>
        <v>2684124.09</v>
      </c>
      <c r="Q88" s="76">
        <f>资产资本表!Q54</f>
        <v>417747.77</v>
      </c>
      <c r="R88" s="76">
        <f>资产资本表!R54</f>
        <v>1694612.76</v>
      </c>
      <c r="S88" s="76">
        <f>资产资本表!S54</f>
        <v>532775.56999999995</v>
      </c>
      <c r="T88" s="76">
        <f>资产资本表!T54</f>
        <v>1017467.06</v>
      </c>
      <c r="U88" s="76">
        <f>资产资本表!U54</f>
        <v>5809933.0899999999</v>
      </c>
      <c r="V88" s="76">
        <f>资产资本表!V54</f>
        <v>1146182.6599999999</v>
      </c>
      <c r="W88" s="76">
        <f>资产资本表!W54</f>
        <v>7537910.0999999996</v>
      </c>
      <c r="X88" s="76">
        <f>资产资本表!X54</f>
        <v>4790432.91</v>
      </c>
      <c r="Y88" s="76">
        <f>资产资本表!Y54</f>
        <v>1981293.08</v>
      </c>
      <c r="Z88" s="76">
        <f>资产资本表!Z54</f>
        <v>2633026.7400000002</v>
      </c>
      <c r="AA88" s="76">
        <f>资产资本表!AA54</f>
        <v>7700774.79</v>
      </c>
      <c r="AB88" s="76">
        <f>资产资本表!AB54</f>
        <v>7537378.8499999996</v>
      </c>
      <c r="AC88" s="76">
        <f>资产资本表!AC54</f>
        <v>7155527</v>
      </c>
      <c r="AD88" s="76">
        <f>资产资本表!AD54</f>
        <v>25992512.690000001</v>
      </c>
      <c r="AE88" s="76">
        <f>资产资本表!AE54</f>
        <v>10875749.82</v>
      </c>
      <c r="AF88" s="76">
        <f>资产资本表!AF54</f>
        <v>4316144.93</v>
      </c>
      <c r="AG88" s="76">
        <f>资产资本表!AG54</f>
        <v>4675897.74</v>
      </c>
      <c r="AH88" s="76">
        <f>资产资本表!AH54</f>
        <v>8003717.7300000004</v>
      </c>
      <c r="AI88" s="76">
        <f>资产资本表!AI54</f>
        <v>6905369.0499999998</v>
      </c>
      <c r="AJ88" s="76">
        <f>资产资本表!AJ54</f>
        <v>4082943.65</v>
      </c>
      <c r="AK88" s="76">
        <f>资产资本表!AK54</f>
        <v>6121486.5899999999</v>
      </c>
      <c r="AL88" s="76">
        <f>资产资本表!AL54</f>
        <v>7290519.6500000004</v>
      </c>
      <c r="AM88" s="76">
        <f>资产资本表!AM54</f>
        <v>6651767.8899999997</v>
      </c>
      <c r="AN88" s="76">
        <f>资产资本表!AN54</f>
        <v>4156270.06</v>
      </c>
      <c r="AO88" s="76">
        <f>资产资本表!AO54</f>
        <v>2996430.87</v>
      </c>
      <c r="AP88" s="76">
        <f>资产资本表!AP54</f>
        <v>3449992.11</v>
      </c>
      <c r="AQ88" s="76">
        <f>资产资本表!AQ54</f>
        <v>2014647.27</v>
      </c>
      <c r="AR88" s="76">
        <f>资产资本表!AR54</f>
        <v>3855210.18</v>
      </c>
      <c r="AS88" s="76">
        <f>资产资本表!AS54</f>
        <v>7723753.04</v>
      </c>
      <c r="AT88" s="76">
        <f>资产资本表!AT54</f>
        <v>6250579.5599999996</v>
      </c>
      <c r="AU88" s="76">
        <f>资产资本表!AU54</f>
        <v>3438697.06</v>
      </c>
      <c r="AV88" s="76">
        <f>资产资本表!AV54</f>
        <v>681464.62</v>
      </c>
      <c r="AW88" s="76">
        <f>资产资本表!AW54</f>
        <v>13138715.6</v>
      </c>
      <c r="AX88" s="76">
        <f>资产资本表!AX54</f>
        <v>7006835.4800000004</v>
      </c>
      <c r="AY88" s="76">
        <f>资产资本表!AY54</f>
        <v>6113277.9100000001</v>
      </c>
      <c r="AZ88" s="76">
        <f>资产资本表!AZ54</f>
        <v>2877814.53</v>
      </c>
      <c r="BA88" s="76">
        <f>资产资本表!BA54</f>
        <v>4614753.72</v>
      </c>
      <c r="BB88" s="76">
        <f>资产资本表!BB54</f>
        <v>13187135.73</v>
      </c>
      <c r="BC88" s="76">
        <f>资产资本表!BC54</f>
        <v>14513294.98</v>
      </c>
      <c r="BD88" s="76">
        <f>资产资本表!BD54</f>
        <v>29156565.829999998</v>
      </c>
      <c r="BE88" s="76">
        <f>资产资本表!BE54</f>
        <v>32888198.719999999</v>
      </c>
      <c r="BF88" s="76">
        <f>资产资本表!BF54</f>
        <v>53856666.060000002</v>
      </c>
      <c r="BG88" s="76">
        <f>资产资本表!BG54</f>
        <v>43710113.170000002</v>
      </c>
      <c r="BH88" s="76">
        <f>资产资本表!BH54</f>
        <v>22805700.239999998</v>
      </c>
      <c r="BI88" s="76">
        <f>资产资本表!BI54</f>
        <v>22086546.98</v>
      </c>
      <c r="BJ88" s="76">
        <f>资产资本表!BJ54</f>
        <v>10281765.970000001</v>
      </c>
      <c r="BK88" s="76">
        <f>资产资本表!BK54</f>
        <v>15460919.609999999</v>
      </c>
      <c r="BL88" s="76">
        <f>资产资本表!BL54</f>
        <v>19629083.949999999</v>
      </c>
      <c r="BM88" s="76">
        <f>资产资本表!BM54</f>
        <v>16289262.380000001</v>
      </c>
      <c r="BN88" s="76">
        <f>资产资本表!BN54</f>
        <v>2387077.7000000002</v>
      </c>
      <c r="BO88" s="76">
        <f>资产资本表!BO54</f>
        <v>873456.67</v>
      </c>
      <c r="BP88" s="76">
        <f>资产资本表!BP54</f>
        <v>21320314.969999999</v>
      </c>
      <c r="BQ88" s="76">
        <f>资产资本表!BQ54</f>
        <v>2607239.5</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586</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587</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588</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589</v>
      </c>
      <c r="E92" s="76">
        <f>资产资本表!E58</f>
        <v>112522598.90000001</v>
      </c>
      <c r="F92" s="76">
        <f>资产资本表!F58</f>
        <v>113130628.53</v>
      </c>
      <c r="G92" s="76">
        <f>资产资本表!G58</f>
        <v>113539138.93000001</v>
      </c>
      <c r="H92" s="76">
        <f>资产资本表!H58</f>
        <v>114325112.44</v>
      </c>
      <c r="I92" s="76">
        <f>资产资本表!I58</f>
        <v>98688731.150000006</v>
      </c>
      <c r="J92" s="76">
        <f>资产资本表!J58</f>
        <v>99115153.260000005</v>
      </c>
      <c r="K92" s="76">
        <f>资产资本表!K58</f>
        <v>99895645.349999994</v>
      </c>
      <c r="L92" s="76">
        <f>资产资本表!L58</f>
        <v>100045833.29000001</v>
      </c>
      <c r="M92" s="76">
        <f>资产资本表!M58</f>
        <v>89035907.799999997</v>
      </c>
      <c r="N92" s="76">
        <f>资产资本表!N58</f>
        <v>89660247.810000002</v>
      </c>
      <c r="O92" s="76">
        <f>资产资本表!O58</f>
        <v>80667174.819999993</v>
      </c>
      <c r="P92" s="76">
        <f>资产资本表!P58</f>
        <v>81325674.450000003</v>
      </c>
      <c r="Q92" s="76">
        <f>资产资本表!Q58</f>
        <v>81958127.340000004</v>
      </c>
      <c r="R92" s="76">
        <f>资产资本表!R58</f>
        <v>82612721.310000002</v>
      </c>
      <c r="S92" s="76">
        <f>资产资本表!S58</f>
        <v>78486121.219999999</v>
      </c>
      <c r="T92" s="76">
        <f>资产资本表!T58</f>
        <v>79100085.840000004</v>
      </c>
      <c r="U92" s="76">
        <f>资产资本表!U58</f>
        <v>79715156.459999993</v>
      </c>
      <c r="V92" s="76">
        <f>资产资本表!V58</f>
        <v>80313202.75</v>
      </c>
      <c r="W92" s="76">
        <f>资产资本表!W58</f>
        <v>80933531.430000007</v>
      </c>
      <c r="X92" s="76">
        <f>资产资本表!X58</f>
        <v>81433930.109999999</v>
      </c>
      <c r="Y92" s="76">
        <f>资产资本表!Y58</f>
        <v>82057356.069999993</v>
      </c>
      <c r="Z92" s="76">
        <f>资产资本表!Z58</f>
        <v>82064964.5</v>
      </c>
      <c r="AA92" s="76">
        <f>资产资本表!AA58</f>
        <v>78915607.299999997</v>
      </c>
      <c r="AB92" s="76">
        <f>资产资本表!AB58</f>
        <v>82405835.159999996</v>
      </c>
      <c r="AC92" s="76">
        <f>资产资本表!AC58</f>
        <v>82972146.090000004</v>
      </c>
      <c r="AD92" s="76">
        <f>资产资本表!AD58</f>
        <v>38907773.789999999</v>
      </c>
      <c r="AE92" s="76">
        <f>资产资本表!AE58</f>
        <v>39247533.030000001</v>
      </c>
      <c r="AF92" s="76">
        <f>资产资本表!AF58</f>
        <v>39587292.270000003</v>
      </c>
      <c r="AG92" s="76">
        <f>资产资本表!AG58</f>
        <v>39903119.890000001</v>
      </c>
      <c r="AH92" s="76">
        <f>资产资本表!AH58</f>
        <v>39772893.939999998</v>
      </c>
      <c r="AI92" s="76">
        <f>资产资本表!AI58</f>
        <v>40116157.770000003</v>
      </c>
      <c r="AJ92" s="76">
        <f>资产资本表!AJ58</f>
        <v>40466604.229999997</v>
      </c>
      <c r="AK92" s="76">
        <f>资产资本表!AK58</f>
        <v>40825323.07</v>
      </c>
      <c r="AL92" s="76">
        <f>资产资本表!AL58</f>
        <v>41285507.689999998</v>
      </c>
      <c r="AM92" s="76">
        <f>资产资本表!AM58</f>
        <v>41647435.609999999</v>
      </c>
      <c r="AN92" s="76">
        <f>资产资本表!AN58</f>
        <v>41995391.850000001</v>
      </c>
      <c r="AO92" s="76">
        <f>资产资本表!AO58</f>
        <v>42359316.75</v>
      </c>
      <c r="AP92" s="76">
        <f>资产资本表!AP58</f>
        <v>42724518.119999997</v>
      </c>
      <c r="AQ92" s="76">
        <f>资产资本表!AQ58</f>
        <v>43088879.890000001</v>
      </c>
      <c r="AR92" s="76">
        <f>资产资本表!AR58</f>
        <v>43451308.719999999</v>
      </c>
      <c r="AS92" s="76">
        <f>资产资本表!AS58</f>
        <v>43522413.43</v>
      </c>
      <c r="AT92" s="76">
        <f>资产资本表!AT58</f>
        <v>38643132.469999999</v>
      </c>
      <c r="AU92" s="76">
        <f>资产资本表!AU58</f>
        <v>39505706.640000001</v>
      </c>
      <c r="AV92" s="76">
        <f>资产资本表!AV58</f>
        <v>30797720.670000002</v>
      </c>
      <c r="AW92" s="76">
        <f>资产资本表!AW58</f>
        <v>9142481.2699999996</v>
      </c>
      <c r="AX92" s="76">
        <f>资产资本表!AX58</f>
        <v>9330564.7400000002</v>
      </c>
      <c r="AY92" s="76">
        <f>资产资本表!AY58</f>
        <v>9518648.2100000009</v>
      </c>
      <c r="AZ92" s="76">
        <f>资产资本表!AZ58</f>
        <v>9706731.6799999997</v>
      </c>
      <c r="BA92" s="76">
        <f>资产资本表!BA58</f>
        <v>9894815.1500000004</v>
      </c>
      <c r="BB92" s="76">
        <f>资产资本表!BB58</f>
        <v>10082898.619999999</v>
      </c>
      <c r="BC92" s="76">
        <f>资产资本表!BC58</f>
        <v>10057602.09</v>
      </c>
      <c r="BD92" s="76">
        <f>资产资本表!BD58</f>
        <v>10014630.68</v>
      </c>
      <c r="BE92" s="76">
        <f>资产资本表!BE58</f>
        <v>10166747.66</v>
      </c>
      <c r="BF92" s="76">
        <f>资产资本表!BF58</f>
        <v>10338887.279999999</v>
      </c>
      <c r="BG92" s="76">
        <f>资产资本表!BG58</f>
        <v>10415298.289999999</v>
      </c>
      <c r="BH92" s="76">
        <f>资产资本表!BH58</f>
        <v>10574625.279999999</v>
      </c>
      <c r="BI92" s="76">
        <f>资产资本表!BI58</f>
        <v>10719830.6</v>
      </c>
      <c r="BJ92" s="76">
        <f>资产资本表!BJ58</f>
        <v>10804669.85</v>
      </c>
      <c r="BK92" s="76">
        <f>资产资本表!BK58</f>
        <v>10936261.220000001</v>
      </c>
      <c r="BL92" s="76">
        <f>资产资本表!BL58</f>
        <v>6680859.8700000001</v>
      </c>
      <c r="BM92" s="76">
        <f>资产资本表!BM58</f>
        <v>6801540.2400000002</v>
      </c>
      <c r="BN92" s="76">
        <f>资产资本表!BN58</f>
        <v>6715730.8600000003</v>
      </c>
      <c r="BO92" s="76">
        <f>资产资本表!BO58</f>
        <v>6826344.79</v>
      </c>
      <c r="BP92" s="76">
        <f>资产资本表!BP58</f>
        <v>7047572.6500000004</v>
      </c>
      <c r="BQ92" s="76">
        <f>资产资本表!BQ58</f>
        <v>7490028.3700000001</v>
      </c>
      <c r="BR92" s="76">
        <f>资产资本表!BR58</f>
        <v>6936424.29</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c r="A93" s="249" t="s">
        <v>688</v>
      </c>
      <c r="E93" s="153">
        <f>E81/E92</f>
        <v>20.711291549008116</v>
      </c>
      <c r="F93" s="153">
        <f t="shared" ref="F93:BQ93" si="52">F81/F92</f>
        <v>15.068603664019614</v>
      </c>
      <c r="G93" s="153">
        <f t="shared" si="52"/>
        <v>10.128994730874519</v>
      </c>
      <c r="H93" s="153">
        <f t="shared" si="52"/>
        <v>5.025763692832979</v>
      </c>
      <c r="I93" s="153">
        <f t="shared" si="52"/>
        <v>20.848105307208623</v>
      </c>
      <c r="J93" s="153">
        <f t="shared" si="52"/>
        <v>14.606570309711287</v>
      </c>
      <c r="K93" s="153">
        <f t="shared" si="52"/>
        <v>9.7204763078293688</v>
      </c>
      <c r="L93" s="153">
        <f t="shared" si="52"/>
        <v>4.5037512140451881</v>
      </c>
      <c r="M93" s="153">
        <f t="shared" si="52"/>
        <v>19.354069707031169</v>
      </c>
      <c r="N93" s="153">
        <f t="shared" si="52"/>
        <v>14.619025515383527</v>
      </c>
      <c r="O93" s="153">
        <f t="shared" si="52"/>
        <v>11.069745936963262</v>
      </c>
      <c r="P93" s="153">
        <f t="shared" si="52"/>
        <v>5.1136162625454871</v>
      </c>
      <c r="Q93" s="153">
        <f t="shared" si="52"/>
        <v>20.633859156694587</v>
      </c>
      <c r="R93" s="153">
        <f t="shared" si="52"/>
        <v>14.89832830868164</v>
      </c>
      <c r="S93" s="153">
        <f t="shared" si="52"/>
        <v>10.365456532494447</v>
      </c>
      <c r="T93" s="153">
        <f t="shared" si="52"/>
        <v>4.9307697110332231</v>
      </c>
      <c r="U93" s="153">
        <f t="shared" si="52"/>
        <v>19.375800295079795</v>
      </c>
      <c r="V93" s="153">
        <f t="shared" si="52"/>
        <v>13.975243354617682</v>
      </c>
      <c r="W93" s="153">
        <f t="shared" si="52"/>
        <v>9.3771763836402258</v>
      </c>
      <c r="X93" s="153">
        <f t="shared" si="52"/>
        <v>4.3864501020335203</v>
      </c>
      <c r="Y93" s="153">
        <f t="shared" si="52"/>
        <v>17.89105695920334</v>
      </c>
      <c r="Z93" s="153">
        <f t="shared" si="52"/>
        <v>13.054888678347019</v>
      </c>
      <c r="AA93" s="153">
        <f t="shared" si="52"/>
        <v>9.0325330401404642</v>
      </c>
      <c r="AB93" s="153">
        <f t="shared" si="52"/>
        <v>3.9714004440896202</v>
      </c>
      <c r="AC93" s="153">
        <f t="shared" si="52"/>
        <v>16.83912084875422</v>
      </c>
      <c r="AD93" s="153">
        <f t="shared" si="52"/>
        <v>27.721093049204754</v>
      </c>
      <c r="AE93" s="153">
        <f t="shared" si="52"/>
        <v>18.873191622612413</v>
      </c>
      <c r="AF93" s="153">
        <f t="shared" si="52"/>
        <v>9.4493255706574235</v>
      </c>
      <c r="AG93" s="153">
        <f t="shared" si="52"/>
        <v>37.927317747885503</v>
      </c>
      <c r="AH93" s="153">
        <f t="shared" si="52"/>
        <v>26.643674704149525</v>
      </c>
      <c r="AI93" s="153">
        <f t="shared" si="52"/>
        <v>17.559301591359755</v>
      </c>
      <c r="AJ93" s="153">
        <f t="shared" si="52"/>
        <v>8.3089003925052101</v>
      </c>
      <c r="AK93" s="153">
        <f t="shared" si="52"/>
        <v>30.426177418122759</v>
      </c>
      <c r="AL93" s="153">
        <f t="shared" si="52"/>
        <v>20.804813045766377</v>
      </c>
      <c r="AM93" s="153">
        <f t="shared" si="52"/>
        <v>13.500797600248694</v>
      </c>
      <c r="AN93" s="153">
        <f t="shared" si="52"/>
        <v>6.3360494282422088</v>
      </c>
      <c r="AO93" s="153">
        <f t="shared" si="52"/>
        <v>27.344446424056169</v>
      </c>
      <c r="AP93" s="153">
        <f t="shared" si="52"/>
        <v>20.953051998752422</v>
      </c>
      <c r="AQ93" s="153">
        <f t="shared" si="52"/>
        <v>13.140072952822354</v>
      </c>
      <c r="AR93" s="153">
        <f t="shared" si="52"/>
        <v>5.8012150891550869</v>
      </c>
      <c r="AS93" s="153">
        <f t="shared" si="52"/>
        <v>23.255368398810781</v>
      </c>
      <c r="AT93" s="153">
        <f t="shared" si="52"/>
        <v>19.308511087688228</v>
      </c>
      <c r="AU93" s="153">
        <f t="shared" si="52"/>
        <v>12.264996998671583</v>
      </c>
      <c r="AV93" s="153">
        <f t="shared" si="52"/>
        <v>7.2547307326428836</v>
      </c>
      <c r="AW93" s="153">
        <f t="shared" si="52"/>
        <v>90.425586640551046</v>
      </c>
      <c r="AX93" s="153">
        <f t="shared" si="52"/>
        <v>64.747648602671816</v>
      </c>
      <c r="AY93" s="153">
        <f t="shared" si="52"/>
        <v>41.757883932764855</v>
      </c>
      <c r="AZ93" s="153">
        <f t="shared" si="52"/>
        <v>21.262268145852367</v>
      </c>
      <c r="BA93" s="153">
        <f t="shared" si="52"/>
        <v>67.928401799400973</v>
      </c>
      <c r="BB93" s="153">
        <f t="shared" si="52"/>
        <v>48.377496196624463</v>
      </c>
      <c r="BC93" s="153">
        <f t="shared" si="52"/>
        <v>32.319801529352411</v>
      </c>
      <c r="BD93" s="153">
        <f t="shared" si="52"/>
        <v>15.248616706851939</v>
      </c>
      <c r="BE93" s="153">
        <f t="shared" si="52"/>
        <v>55.099001962442721</v>
      </c>
      <c r="BF93" s="153">
        <f t="shared" si="52"/>
        <v>38.774325165096492</v>
      </c>
      <c r="BG93" s="153">
        <f t="shared" si="52"/>
        <v>25.633502321900377</v>
      </c>
      <c r="BH93" s="153">
        <f t="shared" si="52"/>
        <v>12.578925972117284</v>
      </c>
      <c r="BI93" s="153">
        <f t="shared" si="52"/>
        <v>43.656429576415135</v>
      </c>
      <c r="BJ93" s="153">
        <f t="shared" si="52"/>
        <v>32.319322998101605</v>
      </c>
      <c r="BK93" s="153">
        <f t="shared" si="52"/>
        <v>21.617964372288466</v>
      </c>
      <c r="BL93" s="153">
        <f t="shared" si="52"/>
        <v>13.643525476309684</v>
      </c>
      <c r="BM93" s="153">
        <f t="shared" si="52"/>
        <v>62.091562428218467</v>
      </c>
      <c r="BN93" s="153">
        <f t="shared" si="52"/>
        <v>43.6853813048726</v>
      </c>
      <c r="BO93" s="153">
        <f t="shared" si="52"/>
        <v>27.515508158210096</v>
      </c>
      <c r="BP93" s="153">
        <f t="shared" si="52"/>
        <v>49.677934819160747</v>
      </c>
      <c r="BQ93" s="153">
        <f t="shared" si="52"/>
        <v>21.484295128243954</v>
      </c>
      <c r="BR93" s="153">
        <f t="shared" ref="BR93:CK93" si="53">BR81/BR92</f>
        <v>42.257325955762717</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c r="A94" s="70" t="s">
        <v>590</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8603308.8000000007</v>
      </c>
      <c r="AA94" s="76">
        <f>资产资本表!AA59</f>
        <v>5191343.1900000004</v>
      </c>
      <c r="AB94" s="76">
        <f>资产资本表!AB59</f>
        <v>2607583.98</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591</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2015456.33</v>
      </c>
      <c r="AU95" s="76">
        <f>资产资本表!AU60</f>
        <v>2015456.33</v>
      </c>
      <c r="AV95" s="76">
        <f>资产资本表!AV60</f>
        <v>2015456.33</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592</v>
      </c>
      <c r="E96" s="76">
        <f>资产资本表!E61</f>
        <v>0</v>
      </c>
      <c r="F96" s="76">
        <f>资产资本表!F61</f>
        <v>0</v>
      </c>
      <c r="G96" s="76">
        <f>资产资本表!G61</f>
        <v>0</v>
      </c>
      <c r="H96" s="76">
        <f>资产资本表!H61</f>
        <v>0</v>
      </c>
      <c r="I96" s="76">
        <f>资产资本表!I61</f>
        <v>0</v>
      </c>
      <c r="J96" s="76">
        <f>资产资本表!J61</f>
        <v>0</v>
      </c>
      <c r="K96" s="76">
        <f>资产资本表!K61</f>
        <v>0</v>
      </c>
      <c r="L96" s="76">
        <f>资产资本表!L61</f>
        <v>0</v>
      </c>
      <c r="M96" s="76">
        <f>资产资本表!M61</f>
        <v>0</v>
      </c>
      <c r="N96" s="76">
        <f>资产资本表!N61</f>
        <v>0</v>
      </c>
      <c r="O96" s="76">
        <f>资产资本表!O61</f>
        <v>0</v>
      </c>
      <c r="P96" s="76">
        <f>资产资本表!P61</f>
        <v>0</v>
      </c>
      <c r="Q96" s="76">
        <f>资产资本表!Q61</f>
        <v>0</v>
      </c>
      <c r="R96" s="76">
        <f>资产资本表!R61</f>
        <v>0</v>
      </c>
      <c r="S96" s="76">
        <f>资产资本表!S61</f>
        <v>0</v>
      </c>
      <c r="T96" s="76">
        <f>资产资本表!T61</f>
        <v>0</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443718.62</v>
      </c>
      <c r="BL96" s="76">
        <f>资产资本表!BL61</f>
        <v>84740.46</v>
      </c>
      <c r="BM96" s="76">
        <f>资产资本表!BM61</f>
        <v>78058.710000000006</v>
      </c>
      <c r="BN96" s="76">
        <f>资产资本表!BN61</f>
        <v>20666</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593</v>
      </c>
      <c r="E97" s="76">
        <f>资产资本表!E62</f>
        <v>31066505.75</v>
      </c>
      <c r="F97" s="76">
        <f>资产资本表!F62</f>
        <v>30607344.719999999</v>
      </c>
      <c r="G97" s="76">
        <f>资产资本表!G62</f>
        <v>32406267.920000002</v>
      </c>
      <c r="H97" s="76">
        <f>资产资本表!H62</f>
        <v>32617323.640000001</v>
      </c>
      <c r="I97" s="76">
        <f>资产资本表!I62</f>
        <v>31660229.559999999</v>
      </c>
      <c r="J97" s="76">
        <f>资产资本表!J62</f>
        <v>35686116.479999997</v>
      </c>
      <c r="K97" s="76">
        <f>资产资本表!K62</f>
        <v>32823742.98</v>
      </c>
      <c r="L97" s="76">
        <f>资产资本表!L62</f>
        <v>31283975.609999999</v>
      </c>
      <c r="M97" s="76">
        <f>资产资本表!M62</f>
        <v>29303283.109999999</v>
      </c>
      <c r="N97" s="76">
        <f>资产资本表!N62</f>
        <v>26310836.329999998</v>
      </c>
      <c r="O97" s="76">
        <f>资产资本表!O62</f>
        <v>24568386.940000001</v>
      </c>
      <c r="P97" s="76">
        <f>资产资本表!P62</f>
        <v>23583513.120000001</v>
      </c>
      <c r="Q97" s="76">
        <f>资产资本表!Q62</f>
        <v>23782818.489999998</v>
      </c>
      <c r="R97" s="76">
        <f>资产资本表!R62</f>
        <v>24283858</v>
      </c>
      <c r="S97" s="76">
        <f>资产资本表!S62</f>
        <v>24778104.579999998</v>
      </c>
      <c r="T97" s="76">
        <f>资产资本表!T62</f>
        <v>25116986.170000002</v>
      </c>
      <c r="U97" s="76">
        <f>资产资本表!U62</f>
        <v>25393872.239999998</v>
      </c>
      <c r="V97" s="76">
        <f>资产资本表!V62</f>
        <v>23306424.77</v>
      </c>
      <c r="W97" s="76">
        <f>资产资本表!W62</f>
        <v>23715443.41</v>
      </c>
      <c r="X97" s="76">
        <f>资产资本表!X62</f>
        <v>22983356.43</v>
      </c>
      <c r="Y97" s="76">
        <f>资产资本表!Y62</f>
        <v>22975346.190000001</v>
      </c>
      <c r="Z97" s="76">
        <f>资产资本表!Z62</f>
        <v>20518558.559999999</v>
      </c>
      <c r="AA97" s="76">
        <f>资产资本表!AA62</f>
        <v>20632468.539999999</v>
      </c>
      <c r="AB97" s="76">
        <f>资产资本表!AB62</f>
        <v>21791614.960000001</v>
      </c>
      <c r="AC97" s="76">
        <f>资产资本表!AC62</f>
        <v>21516626.030000001</v>
      </c>
      <c r="AD97" s="76">
        <f>资产资本表!AD62</f>
        <v>18571348.899999999</v>
      </c>
      <c r="AE97" s="76">
        <f>资产资本表!AE62</f>
        <v>18586045.719999999</v>
      </c>
      <c r="AF97" s="76">
        <f>资产资本表!AF62</f>
        <v>13490643.4</v>
      </c>
      <c r="AG97" s="76">
        <f>资产资本表!AG62</f>
        <v>13008932.289999999</v>
      </c>
      <c r="AH97" s="76">
        <f>资产资本表!AH62</f>
        <v>11958127.800000001</v>
      </c>
      <c r="AI97" s="76">
        <f>资产资本表!AI62</f>
        <v>11584390.59</v>
      </c>
      <c r="AJ97" s="76">
        <f>资产资本表!AJ62</f>
        <v>11839255.630000001</v>
      </c>
      <c r="AK97" s="76">
        <f>资产资本表!AK62</f>
        <v>11462286.67</v>
      </c>
      <c r="AL97" s="76">
        <f>资产资本表!AL62</f>
        <v>7952242.0499999998</v>
      </c>
      <c r="AM97" s="76">
        <f>资产资本表!AM62</f>
        <v>8576263.5999999996</v>
      </c>
      <c r="AN97" s="76">
        <f>资产资本表!AN62</f>
        <v>5443959.8099999996</v>
      </c>
      <c r="AO97" s="76">
        <f>资产资本表!AO62</f>
        <v>7647739.2599999998</v>
      </c>
      <c r="AP97" s="76">
        <f>资产资本表!AP62</f>
        <v>10464301.15</v>
      </c>
      <c r="AQ97" s="76">
        <f>资产资本表!AQ62</f>
        <v>9943028.5800000001</v>
      </c>
      <c r="AR97" s="76">
        <f>资产资本表!AR62</f>
        <v>9602977.2100000009</v>
      </c>
      <c r="AS97" s="76">
        <f>资产资本表!AS62</f>
        <v>8642598.5</v>
      </c>
      <c r="AT97" s="76">
        <f>资产资本表!AT62</f>
        <v>12683857.67</v>
      </c>
      <c r="AU97" s="76">
        <f>资产资本表!AU62</f>
        <v>13129913.52</v>
      </c>
      <c r="AV97" s="76">
        <f>资产资本表!AV62</f>
        <v>11994571.539999999</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594</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299356.94</v>
      </c>
      <c r="Z98" s="76">
        <f>资产资本表!Z63</f>
        <v>0</v>
      </c>
      <c r="AA98" s="76">
        <f>资产资本表!AA63</f>
        <v>0</v>
      </c>
      <c r="AB98" s="76">
        <f>资产资本表!AB63</f>
        <v>0</v>
      </c>
      <c r="AC98" s="76">
        <f>资产资本表!AC63</f>
        <v>336737.82</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595</v>
      </c>
      <c r="E99" s="93">
        <f>资产资本表!E64</f>
        <v>10236437.119999999</v>
      </c>
      <c r="F99" s="93">
        <f>资产资本表!F64</f>
        <v>8668668.1799999997</v>
      </c>
      <c r="G99" s="93">
        <f>资产资本表!G64</f>
        <v>9141618.4100000001</v>
      </c>
      <c r="H99" s="93">
        <f>资产资本表!H64</f>
        <v>11398946.74</v>
      </c>
      <c r="I99" s="93">
        <f>资产资本表!I64</f>
        <v>9069126.5099999998</v>
      </c>
      <c r="J99" s="93">
        <f>资产资本表!J64</f>
        <v>13391409.65</v>
      </c>
      <c r="K99" s="93">
        <f>资产资本表!K64</f>
        <v>34939680.759999998</v>
      </c>
      <c r="L99" s="93">
        <f>资产资本表!L64</f>
        <v>34538578.68</v>
      </c>
      <c r="M99" s="93">
        <f>资产资本表!M64</f>
        <v>18618641.059999999</v>
      </c>
      <c r="N99" s="93">
        <f>资产资本表!N64</f>
        <v>11207445.48</v>
      </c>
      <c r="O99" s="93">
        <f>资产资本表!O64</f>
        <v>17000536.449999999</v>
      </c>
      <c r="P99" s="93">
        <f>资产资本表!P64</f>
        <v>6100676.3200000003</v>
      </c>
      <c r="Q99" s="93">
        <f>资产资本表!Q64</f>
        <v>16543147.109999999</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910206.09</v>
      </c>
      <c r="AG99" s="93">
        <f>资产资本表!AG64</f>
        <v>975220.81</v>
      </c>
      <c r="AH99" s="93">
        <f>资产资本表!AH64</f>
        <v>1040235.53</v>
      </c>
      <c r="AI99" s="93">
        <f>资产资本表!AI64</f>
        <v>1105250.25</v>
      </c>
      <c r="AJ99" s="93">
        <f>资产资本表!AJ64</f>
        <v>1170264.97</v>
      </c>
      <c r="AK99" s="93">
        <f>资产资本表!AK64</f>
        <v>1235279.69</v>
      </c>
      <c r="AL99" s="93">
        <f>资产资本表!AL64</f>
        <v>1300294.4099999999</v>
      </c>
      <c r="AM99" s="93">
        <f>资产资本表!AM64</f>
        <v>1365309.13</v>
      </c>
      <c r="AN99" s="93">
        <f>资产资本表!AN64</f>
        <v>1430323.85</v>
      </c>
      <c r="AO99" s="93">
        <f>资产资本表!AO64</f>
        <v>1495338.57</v>
      </c>
      <c r="AP99" s="93">
        <f>资产资本表!AP64</f>
        <v>1560353.29</v>
      </c>
      <c r="AQ99" s="93">
        <f>资产资本表!AQ64</f>
        <v>1625368.01</v>
      </c>
      <c r="AR99" s="93">
        <f>资产资本表!AR64</f>
        <v>1690382.73</v>
      </c>
      <c r="AS99" s="93">
        <f>资产资本表!AS64</f>
        <v>1755397.45</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c r="A100" s="88" t="s">
        <v>685</v>
      </c>
      <c r="E100" s="195">
        <f>(E84+I84)/2</f>
        <v>1203991508.4749999</v>
      </c>
      <c r="F100" s="195">
        <f t="shared" ref="F100:BQ100" si="54">(F84+J84)/2</f>
        <v>1223244275.6500001</v>
      </c>
      <c r="G100" s="195">
        <f t="shared" si="54"/>
        <v>1221040744.75</v>
      </c>
      <c r="H100" s="195">
        <f t="shared" si="54"/>
        <v>1149982510.5050001</v>
      </c>
      <c r="I100" s="195">
        <f t="shared" si="54"/>
        <v>1133235517.105</v>
      </c>
      <c r="J100" s="195">
        <f t="shared" si="54"/>
        <v>1130553517.6599998</v>
      </c>
      <c r="K100" s="195">
        <f t="shared" si="54"/>
        <v>1131547442.97</v>
      </c>
      <c r="L100" s="195">
        <f t="shared" si="54"/>
        <v>1086442940.98</v>
      </c>
      <c r="M100" s="195">
        <f t="shared" si="54"/>
        <v>1089281615.7550001</v>
      </c>
      <c r="N100" s="195">
        <f t="shared" si="54"/>
        <v>1065401284.625</v>
      </c>
      <c r="O100" s="195">
        <f t="shared" si="54"/>
        <v>1072303218.9299999</v>
      </c>
      <c r="P100" s="195">
        <f t="shared" si="54"/>
        <v>1094413591.7850001</v>
      </c>
      <c r="Q100" s="195">
        <f t="shared" si="54"/>
        <v>1110949651.6700001</v>
      </c>
      <c r="R100" s="195">
        <f t="shared" si="54"/>
        <v>1084875462.865</v>
      </c>
      <c r="S100" s="195">
        <f t="shared" si="54"/>
        <v>1086238331.52</v>
      </c>
      <c r="T100" s="195">
        <f t="shared" si="54"/>
        <v>1101357082.7850001</v>
      </c>
      <c r="U100" s="195">
        <f t="shared" si="54"/>
        <v>1117882303.325</v>
      </c>
      <c r="V100" s="195">
        <f t="shared" si="54"/>
        <v>1085832722.615</v>
      </c>
      <c r="W100" s="195">
        <f t="shared" si="54"/>
        <v>1087462933.96</v>
      </c>
      <c r="X100" s="195">
        <f t="shared" si="54"/>
        <v>1095254304.5599999</v>
      </c>
      <c r="Y100" s="195">
        <f t="shared" si="54"/>
        <v>1088435962.825</v>
      </c>
      <c r="Z100" s="195">
        <f t="shared" si="54"/>
        <v>948580145.59000003</v>
      </c>
      <c r="AA100" s="195">
        <f t="shared" si="54"/>
        <v>916590571.59500003</v>
      </c>
      <c r="AB100" s="195">
        <f t="shared" si="54"/>
        <v>923491942.91499996</v>
      </c>
      <c r="AC100" s="195">
        <f t="shared" si="54"/>
        <v>916223591.43499994</v>
      </c>
      <c r="AD100" s="195">
        <f t="shared" si="54"/>
        <v>796183917.85500002</v>
      </c>
      <c r="AE100" s="195">
        <f t="shared" si="54"/>
        <v>724698127.375</v>
      </c>
      <c r="AF100" s="195">
        <f t="shared" si="54"/>
        <v>737599289.76499999</v>
      </c>
      <c r="AG100" s="195">
        <f t="shared" si="54"/>
        <v>754810790.5150001</v>
      </c>
      <c r="AH100" s="195">
        <f t="shared" si="54"/>
        <v>750803434.90499997</v>
      </c>
      <c r="AI100" s="195">
        <f t="shared" si="54"/>
        <v>722042979.49000001</v>
      </c>
      <c r="AJ100" s="195">
        <f t="shared" si="54"/>
        <v>731941270.67000008</v>
      </c>
      <c r="AK100" s="195">
        <f t="shared" si="54"/>
        <v>746307597.97000003</v>
      </c>
      <c r="AL100" s="195">
        <f t="shared" si="54"/>
        <v>743790536.19000006</v>
      </c>
      <c r="AM100" s="195">
        <f t="shared" si="54"/>
        <v>756025533.12</v>
      </c>
      <c r="AN100" s="195">
        <f t="shared" si="54"/>
        <v>747025817.42000008</v>
      </c>
      <c r="AO100" s="195">
        <f t="shared" si="54"/>
        <v>717978193.18000007</v>
      </c>
      <c r="AP100" s="195">
        <f t="shared" si="54"/>
        <v>728524794.0250001</v>
      </c>
      <c r="AQ100" s="195">
        <f t="shared" si="54"/>
        <v>737576728.755</v>
      </c>
      <c r="AR100" s="195">
        <f t="shared" si="54"/>
        <v>720384271.96000004</v>
      </c>
      <c r="AS100" s="195">
        <f t="shared" si="54"/>
        <v>667718665.45000005</v>
      </c>
      <c r="AT100" s="195">
        <f t="shared" si="54"/>
        <v>673125120.46000004</v>
      </c>
      <c r="AU100" s="195">
        <f t="shared" si="54"/>
        <v>666598928.94499993</v>
      </c>
      <c r="AV100" s="195">
        <f t="shared" si="54"/>
        <v>661802603.19499993</v>
      </c>
      <c r="AW100" s="195">
        <f t="shared" si="54"/>
        <v>647989251.82999992</v>
      </c>
      <c r="AX100" s="195">
        <f t="shared" si="54"/>
        <v>627899667.71000004</v>
      </c>
      <c r="AY100" s="195">
        <f t="shared" si="54"/>
        <v>618513330.65999997</v>
      </c>
      <c r="AZ100" s="195">
        <f t="shared" si="54"/>
        <v>618774242.95499992</v>
      </c>
      <c r="BA100" s="195">
        <f t="shared" si="54"/>
        <v>596903042.43000007</v>
      </c>
      <c r="BB100" s="195">
        <f t="shared" si="54"/>
        <v>572678229.72500002</v>
      </c>
      <c r="BC100" s="195">
        <f t="shared" si="54"/>
        <v>535965936.55499995</v>
      </c>
      <c r="BD100" s="195">
        <f t="shared" si="54"/>
        <v>515923259.22499996</v>
      </c>
      <c r="BE100" s="195">
        <f t="shared" si="54"/>
        <v>490745698.20000005</v>
      </c>
      <c r="BF100" s="195">
        <f t="shared" si="54"/>
        <v>372676889.28500003</v>
      </c>
      <c r="BG100" s="195">
        <f t="shared" si="54"/>
        <v>323961355.19499999</v>
      </c>
      <c r="BH100" s="195">
        <f t="shared" si="54"/>
        <v>307165348.06999999</v>
      </c>
      <c r="BI100" s="195">
        <f t="shared" si="54"/>
        <v>309074949.72500002</v>
      </c>
      <c r="BJ100" s="195">
        <f t="shared" si="54"/>
        <v>163206068.11000001</v>
      </c>
      <c r="BK100" s="195">
        <f t="shared" si="54"/>
        <v>156232452.28</v>
      </c>
      <c r="BL100" s="195">
        <f t="shared" si="54"/>
        <v>159093374.10500002</v>
      </c>
      <c r="BM100" s="195">
        <f t="shared" si="54"/>
        <v>156118091.65000001</v>
      </c>
      <c r="BN100" s="195">
        <f t="shared" si="54"/>
        <v>117003412.09</v>
      </c>
      <c r="BO100" s="195">
        <f t="shared" si="54"/>
        <v>65622123.43</v>
      </c>
      <c r="BP100" s="195">
        <f t="shared" si="54"/>
        <v>67464840.480000004</v>
      </c>
      <c r="BQ100" s="195">
        <f t="shared" si="54"/>
        <v>62981422.695</v>
      </c>
      <c r="BR100" s="195">
        <f t="shared" ref="BR100:CK100" si="55">(BR84+BV84)/2</f>
        <v>55413933.280000001</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4.25" thickBot="1">
      <c r="A101" s="251" t="s">
        <v>686</v>
      </c>
      <c r="E101" s="250">
        <f>E100/E84</f>
        <v>0.9867140377260587</v>
      </c>
      <c r="F101" s="250">
        <f t="shared" ref="F101:BQ101" si="56">F100/F84</f>
        <v>0.98974587477312093</v>
      </c>
      <c r="G101" s="250">
        <f t="shared" si="56"/>
        <v>0.98752150918095138</v>
      </c>
      <c r="H101" s="250">
        <f t="shared" si="56"/>
        <v>0.95185753435123777</v>
      </c>
      <c r="I101" s="250">
        <f t="shared" si="56"/>
        <v>0.9540786827556329</v>
      </c>
      <c r="J101" s="250">
        <f t="shared" si="56"/>
        <v>0.93390102407035258</v>
      </c>
      <c r="K101" s="250">
        <f t="shared" si="56"/>
        <v>0.93856725480282044</v>
      </c>
      <c r="L101" s="250">
        <f t="shared" si="56"/>
        <v>0.99507568693822901</v>
      </c>
      <c r="M101" s="250">
        <f t="shared" si="56"/>
        <v>1.0098179339259452</v>
      </c>
      <c r="N101" s="250">
        <f t="shared" si="56"/>
        <v>1.0141501782558244</v>
      </c>
      <c r="O101" s="250">
        <f t="shared" si="56"/>
        <v>1.0140142129844696</v>
      </c>
      <c r="P101" s="250">
        <f t="shared" si="56"/>
        <v>1.0123462447374816</v>
      </c>
      <c r="Q101" s="250">
        <f t="shared" si="56"/>
        <v>1.0100716416488673</v>
      </c>
      <c r="R101" s="250">
        <f t="shared" si="56"/>
        <v>1.004266452911456</v>
      </c>
      <c r="S101" s="250">
        <f t="shared" si="56"/>
        <v>0.99918621417602971</v>
      </c>
      <c r="T101" s="250">
        <f t="shared" si="56"/>
        <v>0.99421931078895787</v>
      </c>
      <c r="U101" s="250">
        <f t="shared" si="56"/>
        <v>0.9963059126845778</v>
      </c>
      <c r="V101" s="250">
        <f t="shared" si="56"/>
        <v>0.9966482799129277</v>
      </c>
      <c r="W101" s="250">
        <f t="shared" si="56"/>
        <v>1.001943410562397</v>
      </c>
      <c r="X101" s="250">
        <f t="shared" si="56"/>
        <v>1.0002747533391323</v>
      </c>
      <c r="Y101" s="250">
        <f t="shared" si="56"/>
        <v>0.97728237075932367</v>
      </c>
      <c r="Z101" s="250">
        <f t="shared" si="56"/>
        <v>0.87654475452710312</v>
      </c>
      <c r="AA101" s="250">
        <f t="shared" si="56"/>
        <v>0.84123893151836582</v>
      </c>
      <c r="AB101" s="250">
        <f t="shared" si="56"/>
        <v>0.8429442787189444</v>
      </c>
      <c r="AC101" s="250">
        <f t="shared" si="56"/>
        <v>0.86181344054582409</v>
      </c>
      <c r="AD101" s="250">
        <f t="shared" si="56"/>
        <v>0.97693769730046809</v>
      </c>
      <c r="AE101" s="250">
        <f t="shared" si="56"/>
        <v>0.97456889828983273</v>
      </c>
      <c r="AF101" s="250">
        <f t="shared" si="56"/>
        <v>0.98159579389970686</v>
      </c>
      <c r="AG101" s="250">
        <f t="shared" si="56"/>
        <v>0.98114953281787221</v>
      </c>
      <c r="AH101" s="250">
        <f t="shared" si="56"/>
        <v>0.96580193625949784</v>
      </c>
      <c r="AI101" s="250">
        <f t="shared" si="56"/>
        <v>1.0230319325155863</v>
      </c>
      <c r="AJ101" s="250">
        <f t="shared" si="56"/>
        <v>1.0112900950469417</v>
      </c>
      <c r="AK101" s="250">
        <f t="shared" si="56"/>
        <v>1.0081029841148705</v>
      </c>
      <c r="AL101" s="250">
        <f t="shared" si="56"/>
        <v>1.0270253986262396</v>
      </c>
      <c r="AM101" s="250">
        <f t="shared" si="56"/>
        <v>1.0240104840811703</v>
      </c>
      <c r="AN101" s="250">
        <f t="shared" si="56"/>
        <v>1.0093406267059504</v>
      </c>
      <c r="AO101" s="250">
        <f t="shared" si="56"/>
        <v>0.95436949614292776</v>
      </c>
      <c r="AP101" s="250">
        <f t="shared" si="56"/>
        <v>0.9543624237490469</v>
      </c>
      <c r="AQ101" s="250">
        <f t="shared" si="56"/>
        <v>0.95324640043695619</v>
      </c>
      <c r="AR101" s="250">
        <f t="shared" si="56"/>
        <v>0.95549419135669589</v>
      </c>
      <c r="AS101" s="250">
        <f t="shared" si="56"/>
        <v>0.97669654064208178</v>
      </c>
      <c r="AT101" s="250">
        <f t="shared" si="56"/>
        <v>0.97035889171016143</v>
      </c>
      <c r="AU101" s="250">
        <f t="shared" si="56"/>
        <v>0.95038203937263999</v>
      </c>
      <c r="AV101" s="250">
        <f t="shared" si="56"/>
        <v>0.96356154935786409</v>
      </c>
      <c r="AW101" s="250">
        <f t="shared" si="56"/>
        <v>0.99417294246140442</v>
      </c>
      <c r="AX101" s="250">
        <f t="shared" si="56"/>
        <v>0.96220473694996111</v>
      </c>
      <c r="AY101" s="250">
        <f t="shared" si="56"/>
        <v>0.97897502902819589</v>
      </c>
      <c r="AZ101" s="250">
        <f t="shared" si="56"/>
        <v>0.97173045968126937</v>
      </c>
      <c r="BA101" s="250">
        <f t="shared" si="56"/>
        <v>0.92659290611289746</v>
      </c>
      <c r="BB101" s="250">
        <f t="shared" si="56"/>
        <v>0.94934381092440157</v>
      </c>
      <c r="BC101" s="250">
        <f t="shared" si="56"/>
        <v>0.88555771456050492</v>
      </c>
      <c r="BD101" s="250">
        <f t="shared" si="56"/>
        <v>0.85876588006968324</v>
      </c>
      <c r="BE101" s="250">
        <f t="shared" si="56"/>
        <v>0.89289019705045747</v>
      </c>
      <c r="BF101" s="250">
        <f t="shared" si="56"/>
        <v>0.68744277436722256</v>
      </c>
      <c r="BG101" s="250">
        <f t="shared" si="56"/>
        <v>0.69415026852300254</v>
      </c>
      <c r="BH101" s="250">
        <f t="shared" si="56"/>
        <v>0.71255889361856906</v>
      </c>
      <c r="BI101" s="250">
        <f t="shared" si="56"/>
        <v>0.7156557619679339</v>
      </c>
      <c r="BJ101" s="250">
        <f t="shared" si="56"/>
        <v>0.80304834690018478</v>
      </c>
      <c r="BK101" s="250">
        <f t="shared" si="56"/>
        <v>0.86211171652755791</v>
      </c>
      <c r="BL101" s="250">
        <f t="shared" si="56"/>
        <v>0.86814318537556989</v>
      </c>
      <c r="BM101" s="250">
        <f t="shared" si="56"/>
        <v>0.83811292266330772</v>
      </c>
      <c r="BN101" s="250">
        <f t="shared" si="56"/>
        <v>0.94986525580894099</v>
      </c>
      <c r="BO101" s="250">
        <f t="shared" si="56"/>
        <v>0.5</v>
      </c>
      <c r="BP101" s="250">
        <f t="shared" si="56"/>
        <v>0.5</v>
      </c>
      <c r="BQ101" s="250">
        <f t="shared" si="56"/>
        <v>0.5</v>
      </c>
      <c r="BR101" s="250">
        <f t="shared" ref="BR101:CK101" si="57">BR100/BR84</f>
        <v>0.5</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c r="A102" s="286" t="s">
        <v>687</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45"/>
  <sheetViews>
    <sheetView tabSelected="1" topLeftCell="A10" workbookViewId="0">
      <selection activeCell="E32" sqref="E32"/>
    </sheetView>
  </sheetViews>
  <sheetFormatPr defaultRowHeight="13.5"/>
  <cols>
    <col min="1" max="1" width="65.75" style="17" bestFit="1" customWidth="1"/>
    <col min="2" max="4" width="9.5" hidden="1" customWidth="1"/>
    <col min="5" max="5" width="22" bestFit="1" customWidth="1"/>
    <col min="6" max="6" width="19.5" hidden="1" customWidth="1"/>
    <col min="7" max="7" width="19.375" hidden="1" customWidth="1"/>
    <col min="8" max="8" width="19.5" hidden="1" customWidth="1"/>
    <col min="9" max="9" width="20.375" customWidth="1"/>
    <col min="10" max="12" width="19.5" hidden="1" customWidth="1"/>
    <col min="13" max="13" width="19.5" bestFit="1" customWidth="1"/>
    <col min="14" max="14" width="19.5" hidden="1" customWidth="1"/>
    <col min="15" max="15" width="19.375" hidden="1" customWidth="1"/>
    <col min="16" max="16" width="18.25" hidden="1" customWidth="1"/>
    <col min="17" max="17" width="19.5" bestFit="1" customWidth="1"/>
    <col min="18" max="18" width="19.5" hidden="1" customWidth="1"/>
    <col min="19" max="20" width="18.25" hidden="1" customWidth="1"/>
    <col min="21" max="21" width="19.5" bestFit="1" customWidth="1"/>
    <col min="22" max="22" width="19.5" hidden="1" customWidth="1"/>
    <col min="23" max="24" width="18.25" hidden="1" customWidth="1"/>
    <col min="25" max="25" width="20.75" bestFit="1" customWidth="1"/>
    <col min="26" max="26" width="19.5" hidden="1" customWidth="1"/>
    <col min="27" max="27" width="20.75" hidden="1" customWidth="1"/>
    <col min="28" max="28" width="19.5" hidden="1" customWidth="1"/>
    <col min="29" max="29" width="19.5" bestFit="1" customWidth="1"/>
    <col min="30" max="30" width="19.5" hidden="1" customWidth="1"/>
    <col min="31" max="32" width="18.25" hidden="1" customWidth="1"/>
    <col min="33" max="33" width="19.5" bestFit="1" customWidth="1"/>
    <col min="34" max="36" width="19.5" hidden="1" customWidth="1"/>
    <col min="37" max="37" width="19.5" bestFit="1" customWidth="1"/>
    <col min="38" max="38" width="19.5" hidden="1" customWidth="1"/>
    <col min="39" max="40" width="18.25" hidden="1" customWidth="1"/>
    <col min="41" max="41" width="19.375" bestFit="1" customWidth="1"/>
    <col min="42" max="44" width="18.25" hidden="1" customWidth="1"/>
    <col min="45" max="45" width="19.375" bestFit="1" customWidth="1"/>
    <col min="46" max="48" width="18.25" hidden="1" customWidth="1"/>
    <col min="49" max="49" width="18.25" bestFit="1" customWidth="1"/>
    <col min="50" max="51" width="18.25" hidden="1" customWidth="1"/>
    <col min="52" max="52" width="19.5" hidden="1" customWidth="1"/>
    <col min="53" max="53" width="19.5" bestFit="1" customWidth="1"/>
    <col min="54" max="55" width="18.25" hidden="1" customWidth="1"/>
    <col min="56" max="56" width="19.5" hidden="1" customWidth="1"/>
    <col min="57" max="57" width="19.5" bestFit="1" customWidth="1"/>
    <col min="58" max="58" width="18.25" hidden="1" customWidth="1"/>
    <col min="59" max="60" width="19.5" hidden="1" customWidth="1"/>
    <col min="61" max="61" width="18.25" bestFit="1" customWidth="1"/>
    <col min="62" max="63" width="18.25" hidden="1" customWidth="1"/>
    <col min="64" max="64" width="19.5" hidden="1" customWidth="1"/>
    <col min="65" max="65" width="18.25" bestFit="1" customWidth="1"/>
    <col min="66" max="66" width="18.25" hidden="1" customWidth="1"/>
    <col min="67" max="67" width="18.25" bestFit="1" customWidth="1"/>
    <col min="68" max="70" width="17.25" hidden="1" customWidth="1"/>
    <col min="71" max="71" width="17.25" bestFit="1" customWidth="1"/>
    <col min="72" max="72" width="10.5" hidden="1" customWidth="1"/>
    <col min="73" max="73" width="18.375" bestFit="1" customWidth="1"/>
    <col min="74" max="74" width="18.375" hidden="1" customWidth="1"/>
    <col min="75" max="75" width="18.375" bestFit="1" customWidth="1"/>
    <col min="76" max="76" width="17.25" bestFit="1" customWidth="1"/>
    <col min="77" max="77" width="18.375" bestFit="1" customWidth="1"/>
    <col min="78" max="78" width="17.25" bestFit="1" customWidth="1"/>
    <col min="79" max="81" width="18.375" bestFit="1" customWidth="1"/>
    <col min="82" max="82" width="9.625" bestFit="1" customWidth="1"/>
    <col min="83" max="84" width="17.25" bestFit="1" customWidth="1"/>
    <col min="85" max="86" width="16.125" bestFit="1" customWidth="1"/>
    <col min="87" max="87" width="17.25" bestFit="1" customWidth="1"/>
    <col min="88" max="88" width="16.125" bestFit="1" customWidth="1"/>
    <col min="89" max="90" width="9.625" bestFit="1" customWidth="1"/>
  </cols>
  <sheetData>
    <row r="1" spans="1:90" ht="14.45">
      <c r="A1" s="17">
        <v>600529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25569</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c r="A2" s="17" t="s">
        <v>485</v>
      </c>
      <c r="E2" s="26">
        <f>现金流量表!E4</f>
        <v>2232733795.2399998</v>
      </c>
      <c r="F2" s="26">
        <f>现金流量表!F4</f>
        <v>1712281261.47</v>
      </c>
      <c r="G2" s="26">
        <f>现金流量表!G4</f>
        <v>1114171196.9000001</v>
      </c>
      <c r="H2" s="26">
        <f>现金流量表!H4</f>
        <v>542158778.05999994</v>
      </c>
      <c r="I2" s="26">
        <f>现金流量表!I4</f>
        <v>1889414840.29</v>
      </c>
      <c r="J2" s="26">
        <f>现金流量表!J4</f>
        <v>1669989500</v>
      </c>
      <c r="K2" s="26">
        <f>现金流量表!K4</f>
        <v>1066211426.64</v>
      </c>
      <c r="L2" s="26">
        <f>现金流量表!L4</f>
        <v>497060687.73000002</v>
      </c>
      <c r="M2" s="26">
        <f>现金流量表!M4</f>
        <v>1998574779.8299999</v>
      </c>
      <c r="N2" s="26">
        <f>现金流量表!N4</f>
        <v>1527967796.04</v>
      </c>
      <c r="O2" s="26">
        <f>现金流量表!O4</f>
        <v>1002587889.4</v>
      </c>
      <c r="P2" s="26">
        <f>现金流量表!P4</f>
        <v>469749999.20999998</v>
      </c>
      <c r="Q2" s="26">
        <f>现金流量表!Q4</f>
        <v>1927201827.0999999</v>
      </c>
      <c r="R2" s="26">
        <f>现金流量表!R4</f>
        <v>1344358823.8599999</v>
      </c>
      <c r="S2" s="26">
        <f>现金流量表!S4</f>
        <v>878211000.77999997</v>
      </c>
      <c r="T2" s="26">
        <f>现金流量表!T4</f>
        <v>420757562.68000001</v>
      </c>
      <c r="U2" s="26">
        <f>现金流量表!U4</f>
        <v>1699360110.5899999</v>
      </c>
      <c r="V2" s="26">
        <f>现金流量表!V4</f>
        <v>1254299959.6400001</v>
      </c>
      <c r="W2" s="26">
        <f>现金流量表!W4</f>
        <v>868415107.55999994</v>
      </c>
      <c r="X2" s="26">
        <f>现金流量表!X4</f>
        <v>431082308.5</v>
      </c>
      <c r="Y2" s="26">
        <f>现金流量表!Y4</f>
        <v>1509531164.3199999</v>
      </c>
      <c r="Z2" s="26">
        <f>现金流量表!Z4</f>
        <v>1083831692.8099999</v>
      </c>
      <c r="AA2" s="26">
        <f>现金流量表!AA4</f>
        <v>714716436.25</v>
      </c>
      <c r="AB2" s="26">
        <f>现金流量表!AB4</f>
        <v>335776038.73000002</v>
      </c>
      <c r="AC2" s="26">
        <f>现金流量表!AC4</f>
        <v>1700778154.9000001</v>
      </c>
      <c r="AD2" s="26">
        <f>现金流量表!AD4</f>
        <v>1215615179.8599999</v>
      </c>
      <c r="AE2" s="26">
        <f>现金流量表!AE4</f>
        <v>848321116.58000004</v>
      </c>
      <c r="AF2" s="26">
        <f>现金流量表!AF4</f>
        <v>425455714.92000002</v>
      </c>
      <c r="AG2" s="26">
        <f>现金流量表!AG4</f>
        <v>1719926300.1700001</v>
      </c>
      <c r="AH2" s="26">
        <f>现金流量表!AH4</f>
        <v>1252238317.5799999</v>
      </c>
      <c r="AI2" s="26">
        <f>现金流量表!AI4</f>
        <v>842412303.60000002</v>
      </c>
      <c r="AJ2" s="26">
        <f>现金流量表!AJ4</f>
        <v>442469417.82999998</v>
      </c>
      <c r="AK2" s="26">
        <f>现金流量表!AK4</f>
        <v>1329899825.9000001</v>
      </c>
      <c r="AL2" s="26">
        <f>现金流量表!AL4</f>
        <v>943469779</v>
      </c>
      <c r="AM2" s="26">
        <f>现金流量表!AM4</f>
        <v>643069516.19000006</v>
      </c>
      <c r="AN2" s="26">
        <f>现金流量表!AN4</f>
        <v>315160187.91000003</v>
      </c>
      <c r="AO2" s="26">
        <f>现金流量表!AO4</f>
        <v>1281395417.5999999</v>
      </c>
      <c r="AP2" s="26">
        <f>现金流量表!AP4</f>
        <v>971243558.86000001</v>
      </c>
      <c r="AQ2" s="26">
        <f>现金流量表!AQ4</f>
        <v>654504256.89999998</v>
      </c>
      <c r="AR2" s="26">
        <f>现金流量表!AR4</f>
        <v>304494758.17000002</v>
      </c>
      <c r="AS2" s="26">
        <f>现金流量表!AS4</f>
        <v>1100270205.5999999</v>
      </c>
      <c r="AT2" s="26">
        <f>现金流量表!AT4</f>
        <v>799753048.58000004</v>
      </c>
      <c r="AU2" s="26">
        <f>现金流量表!AU4</f>
        <v>482760415.04000002</v>
      </c>
      <c r="AV2" s="26">
        <f>现金流量表!AV4</f>
        <v>232078442.44</v>
      </c>
      <c r="AW2" s="26">
        <f>现金流量表!AW4</f>
        <v>914891460.19000006</v>
      </c>
      <c r="AX2" s="26">
        <f>现金流量表!AX4</f>
        <v>636842453.01999998</v>
      </c>
      <c r="AY2" s="26">
        <f>现金流量表!AY4</f>
        <v>419630024.38</v>
      </c>
      <c r="AZ2" s="26">
        <f>现金流量表!AZ4</f>
        <v>191460717.06999999</v>
      </c>
      <c r="BA2" s="26">
        <f>现金流量表!BA4</f>
        <v>787506410.17999995</v>
      </c>
      <c r="BB2" s="26">
        <f>现金流量表!BB4</f>
        <v>624923891.84000003</v>
      </c>
      <c r="BC2" s="26">
        <f>现金流量表!BC4</f>
        <v>410749739.19999999</v>
      </c>
      <c r="BD2" s="26">
        <f>现金流量表!BD4</f>
        <v>204468043.36000001</v>
      </c>
      <c r="BE2" s="26">
        <f>现金流量表!BE4</f>
        <v>596141699.83000004</v>
      </c>
      <c r="BF2" s="26">
        <f>现金流量表!BF4</f>
        <v>461151504.82999998</v>
      </c>
      <c r="BG2" s="26">
        <f>现金流量表!BG4</f>
        <v>278215010.86000001</v>
      </c>
      <c r="BH2" s="26">
        <f>现金流量表!BH4</f>
        <v>128259196.56</v>
      </c>
      <c r="BI2" s="26">
        <f>现金流量表!BI4</f>
        <v>544653943.70000005</v>
      </c>
      <c r="BJ2" s="26">
        <f>现金流量表!BJ4</f>
        <v>412023475.20999998</v>
      </c>
      <c r="BK2" s="26">
        <f>现金流量表!BK4</f>
        <v>275445257.16000003</v>
      </c>
      <c r="BL2" s="26">
        <f>现金流量表!BL4</f>
        <v>134464196.77000001</v>
      </c>
      <c r="BM2" s="26">
        <f>现金流量表!BM4</f>
        <v>506405405.11000001</v>
      </c>
      <c r="BN2" s="26">
        <f>现金流量表!BN4</f>
        <v>251426794.06</v>
      </c>
      <c r="BO2" s="26">
        <f>现金流量表!BO4</f>
        <v>415680581.64999998</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486</v>
      </c>
      <c r="E3" s="26">
        <f>利润表!E3</f>
        <v>2330488351.6700001</v>
      </c>
      <c r="F3" s="26">
        <f>利润表!F3</f>
        <v>1704720603.5799999</v>
      </c>
      <c r="G3" s="26">
        <f>利润表!G3</f>
        <v>1150037339.97</v>
      </c>
      <c r="H3" s="26">
        <f>利润表!H3</f>
        <v>574570999.27999997</v>
      </c>
      <c r="I3" s="26">
        <f>利润表!I3</f>
        <v>2057473059.6500001</v>
      </c>
      <c r="J3" s="26">
        <f>利润表!J3</f>
        <v>1447732454.8499999</v>
      </c>
      <c r="K3" s="26">
        <f>利润表!K3</f>
        <v>971033253.88</v>
      </c>
      <c r="L3" s="26">
        <f>利润表!L3</f>
        <v>450581543.13999999</v>
      </c>
      <c r="M3" s="26">
        <f>利润表!M3</f>
        <v>1723207165.99</v>
      </c>
      <c r="N3" s="26">
        <f>利润表!N3</f>
        <v>1310745450.45</v>
      </c>
      <c r="O3" s="26">
        <f>利润表!O3</f>
        <v>892965130.71000004</v>
      </c>
      <c r="P3" s="26">
        <f>利润表!P3</f>
        <v>415868291.43000001</v>
      </c>
      <c r="Q3" s="26">
        <f>利润表!Q3</f>
        <v>1691112456.28</v>
      </c>
      <c r="R3" s="26">
        <f>利润表!R3</f>
        <v>1230791444.55</v>
      </c>
      <c r="S3" s="26">
        <f>利润表!S3</f>
        <v>813544477.90999997</v>
      </c>
      <c r="T3" s="26">
        <f>利润表!T3</f>
        <v>390024307.39999998</v>
      </c>
      <c r="U3" s="26">
        <f>利润表!U3</f>
        <v>1544544952.0599999</v>
      </c>
      <c r="V3" s="26">
        <f>利润表!V3</f>
        <v>1122396553.02</v>
      </c>
      <c r="W3" s="26">
        <f>利润表!W3</f>
        <v>758927999.57000005</v>
      </c>
      <c r="X3" s="26">
        <f>利润表!X3</f>
        <v>357205871.04000002</v>
      </c>
      <c r="Y3" s="26">
        <f>利润表!Y3</f>
        <v>1468092831.3699999</v>
      </c>
      <c r="Z3" s="26">
        <f>利润表!Z3</f>
        <v>1071348975.9400001</v>
      </c>
      <c r="AA3" s="26">
        <f>利润表!AA3</f>
        <v>712807830.32000005</v>
      </c>
      <c r="AB3" s="26">
        <f>利润表!AB3</f>
        <v>327266570.35000002</v>
      </c>
      <c r="AC3" s="26">
        <f>利润表!AC3</f>
        <v>1397177995.0899999</v>
      </c>
      <c r="AD3" s="26">
        <f>利润表!AD3</f>
        <v>1078566017.5699999</v>
      </c>
      <c r="AE3" s="26">
        <f>利润表!AE3</f>
        <v>740726211.59000003</v>
      </c>
      <c r="AF3" s="26">
        <f>利润表!AF3</f>
        <v>374073213.12</v>
      </c>
      <c r="AG3" s="26">
        <f>利润表!AG3</f>
        <v>1513418307.2</v>
      </c>
      <c r="AH3" s="26">
        <f>利润表!AH3</f>
        <v>1059696048.1799999</v>
      </c>
      <c r="AI3" s="26">
        <f>利润表!AI3</f>
        <v>704411712.97000003</v>
      </c>
      <c r="AJ3" s="26">
        <f>利润表!AJ3</f>
        <v>336232983.76999998</v>
      </c>
      <c r="AK3" s="26">
        <f>利润表!AK3</f>
        <v>1242158522.8800001</v>
      </c>
      <c r="AL3" s="26">
        <f>利润表!AL3</f>
        <v>858937268.99000001</v>
      </c>
      <c r="AM3" s="26">
        <f>利润表!AM3</f>
        <v>562273598.74000001</v>
      </c>
      <c r="AN3" s="26">
        <f>利润表!AN3</f>
        <v>266084878.52000001</v>
      </c>
      <c r="AO3" s="26">
        <f>利润表!AO3</f>
        <v>1158292067.4300001</v>
      </c>
      <c r="AP3" s="26">
        <f>利润表!AP3</f>
        <v>895209049.78999996</v>
      </c>
      <c r="AQ3" s="26">
        <f>利润表!AQ3</f>
        <v>566191025.21000004</v>
      </c>
      <c r="AR3" s="26">
        <f>利润表!AR3</f>
        <v>252070387.78999999</v>
      </c>
      <c r="AS3" s="26">
        <f>利润表!AS3</f>
        <v>1012129757.92</v>
      </c>
      <c r="AT3" s="26">
        <f>利润表!AT3</f>
        <v>746141351.75999999</v>
      </c>
      <c r="AU3" s="26">
        <f>利润表!AU3</f>
        <v>484537373.37</v>
      </c>
      <c r="AV3" s="26">
        <f>利润表!AV3</f>
        <v>223429170.63999999</v>
      </c>
      <c r="AW3" s="26">
        <f>利润表!AW3</f>
        <v>829278399.13999999</v>
      </c>
      <c r="AX3" s="26">
        <f>利润表!AX3</f>
        <v>604368257.61000001</v>
      </c>
      <c r="AY3" s="26">
        <f>利润表!AY3</f>
        <v>397989474.13</v>
      </c>
      <c r="AZ3" s="26">
        <f>利润表!AZ3</f>
        <v>206202253.63</v>
      </c>
      <c r="BA3" s="26">
        <f>利润表!BA3</f>
        <v>673678119.20000005</v>
      </c>
      <c r="BB3" s="26">
        <f>利润表!BB3</f>
        <v>488274338.36000001</v>
      </c>
      <c r="BC3" s="26">
        <f>利润表!BC3</f>
        <v>325152418.97000003</v>
      </c>
      <c r="BD3" s="26">
        <f>利润表!BD3</f>
        <v>152075196.27000001</v>
      </c>
      <c r="BE3" s="26">
        <f>利润表!BE3</f>
        <v>563859826.89999998</v>
      </c>
      <c r="BF3" s="26">
        <f>利润表!BF3</f>
        <v>404272508.00999999</v>
      </c>
      <c r="BG3" s="26">
        <f>利润表!BG3</f>
        <v>270230089.94999999</v>
      </c>
      <c r="BH3" s="26">
        <f>利润表!BH3</f>
        <v>133814273.94</v>
      </c>
      <c r="BI3" s="26">
        <f>利润表!BI3</f>
        <v>469375396.10000002</v>
      </c>
      <c r="BJ3" s="26">
        <f>利润表!BJ3</f>
        <v>349471578.36000001</v>
      </c>
      <c r="BK3" s="26">
        <f>利润表!BK3</f>
        <v>236802495.53999999</v>
      </c>
      <c r="BL3" s="26">
        <f>利润表!BL3</f>
        <v>90877867.269999996</v>
      </c>
      <c r="BM3" s="26">
        <f>利润表!BM3</f>
        <v>421461542.02999997</v>
      </c>
      <c r="BN3" s="26">
        <f>利润表!BN3</f>
        <v>292640988.19</v>
      </c>
      <c r="BO3" s="26">
        <f>利润表!BO3</f>
        <v>188234370.24000001</v>
      </c>
      <c r="BP3" s="26">
        <f>利润表!BP3</f>
        <v>350145366.77999997</v>
      </c>
      <c r="BQ3" s="26">
        <f>利润表!BQ3</f>
        <v>162231430.43000001</v>
      </c>
      <c r="BR3" s="26">
        <f>利润表!BR3</f>
        <v>293473920.06</v>
      </c>
      <c r="BS3" s="26">
        <f>利润表!BS3</f>
        <v>231107107.62</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509</v>
      </c>
      <c r="E4" s="63">
        <f>$E$36</f>
        <v>0.17</v>
      </c>
      <c r="F4" s="63">
        <f>$E$36</f>
        <v>0.17</v>
      </c>
      <c r="G4" s="63">
        <f>$E$36</f>
        <v>0.17</v>
      </c>
      <c r="H4" s="63">
        <f>$E$36</f>
        <v>0.17</v>
      </c>
      <c r="I4" s="63">
        <f>$E$36</f>
        <v>0.17</v>
      </c>
      <c r="J4" s="63">
        <f>$E$36</f>
        <v>0.17</v>
      </c>
      <c r="K4" s="63">
        <f>$E$36</f>
        <v>0.17</v>
      </c>
      <c r="L4" s="63">
        <f>$E$36</f>
        <v>0.17</v>
      </c>
      <c r="M4" s="63">
        <f>$E$36</f>
        <v>0.17</v>
      </c>
      <c r="N4" s="63">
        <f>$E$36</f>
        <v>0.17</v>
      </c>
      <c r="O4" s="63">
        <f>$E$36</f>
        <v>0.17</v>
      </c>
      <c r="P4" s="63">
        <f>$E$36</f>
        <v>0.17</v>
      </c>
      <c r="Q4" s="63">
        <f>$E$36</f>
        <v>0.17</v>
      </c>
      <c r="R4" s="63">
        <f>$E$36</f>
        <v>0.17</v>
      </c>
      <c r="S4" s="63">
        <f>$E$36</f>
        <v>0.17</v>
      </c>
      <c r="T4" s="63">
        <f>$E$36</f>
        <v>0.17</v>
      </c>
      <c r="U4" s="63">
        <f>$E$36</f>
        <v>0.17</v>
      </c>
      <c r="V4" s="63">
        <f>$E$36</f>
        <v>0.17</v>
      </c>
      <c r="W4" s="63">
        <f>$E$36</f>
        <v>0.17</v>
      </c>
      <c r="X4" s="63">
        <f>$E$36</f>
        <v>0.17</v>
      </c>
      <c r="Y4" s="63">
        <f>$E$36</f>
        <v>0.17</v>
      </c>
      <c r="Z4" s="63">
        <f>$E$36</f>
        <v>0.17</v>
      </c>
      <c r="AA4" s="63">
        <f>$E$36</f>
        <v>0.17</v>
      </c>
      <c r="AB4" s="63">
        <f>$E$36</f>
        <v>0.17</v>
      </c>
      <c r="AC4" s="63">
        <f>$E$36</f>
        <v>0.17</v>
      </c>
      <c r="AD4" s="63">
        <f>$E$36</f>
        <v>0.17</v>
      </c>
      <c r="AE4" s="63">
        <f>$E$36</f>
        <v>0.17</v>
      </c>
      <c r="AF4" s="63">
        <f>$E$36</f>
        <v>0.17</v>
      </c>
      <c r="AG4" s="63">
        <f>$E$36</f>
        <v>0.17</v>
      </c>
      <c r="AH4" s="63">
        <f>$E$36</f>
        <v>0.17</v>
      </c>
      <c r="AI4" s="63">
        <f>$E$36</f>
        <v>0.17</v>
      </c>
      <c r="AJ4" s="63">
        <f>$E$36</f>
        <v>0.17</v>
      </c>
      <c r="AK4" s="63">
        <f>$E$36</f>
        <v>0.17</v>
      </c>
      <c r="AL4" s="63">
        <f>$E$36</f>
        <v>0.17</v>
      </c>
      <c r="AM4" s="63">
        <f>$E$36</f>
        <v>0.17</v>
      </c>
      <c r="AN4" s="63">
        <f>$E$36</f>
        <v>0.17</v>
      </c>
      <c r="AO4" s="63">
        <f>$E$36</f>
        <v>0.17</v>
      </c>
      <c r="AP4" s="63">
        <f>$E$36</f>
        <v>0.17</v>
      </c>
      <c r="AQ4" s="63">
        <f>$E$36</f>
        <v>0.17</v>
      </c>
      <c r="AR4" s="63">
        <f>$E$36</f>
        <v>0.17</v>
      </c>
      <c r="AS4" s="63">
        <f>$E$36</f>
        <v>0.17</v>
      </c>
      <c r="AT4" s="63">
        <f>$E$36</f>
        <v>0.17</v>
      </c>
      <c r="AU4" s="63">
        <f>$E$36</f>
        <v>0.17</v>
      </c>
      <c r="AV4" s="63">
        <f>$E$36</f>
        <v>0.17</v>
      </c>
      <c r="AW4" s="63">
        <f>$E$36</f>
        <v>0.17</v>
      </c>
      <c r="AX4" s="63">
        <f>$E$36</f>
        <v>0.17</v>
      </c>
      <c r="AY4" s="63">
        <f>$E$36</f>
        <v>0.17</v>
      </c>
      <c r="AZ4" s="63">
        <f>$E$36</f>
        <v>0.17</v>
      </c>
      <c r="BA4" s="63">
        <f>$E$36</f>
        <v>0.17</v>
      </c>
      <c r="BB4" s="63">
        <f>$E$36</f>
        <v>0.17</v>
      </c>
      <c r="BC4" s="63">
        <f>$E$36</f>
        <v>0.17</v>
      </c>
      <c r="BD4" s="63">
        <f>$E$36</f>
        <v>0.17</v>
      </c>
      <c r="BE4" s="63">
        <f>$E$36</f>
        <v>0.17</v>
      </c>
      <c r="BF4" s="63">
        <f>$E$36</f>
        <v>0.17</v>
      </c>
      <c r="BG4" s="63">
        <f>$E$36</f>
        <v>0.17</v>
      </c>
      <c r="BH4" s="63">
        <f>$E$36</f>
        <v>0.17</v>
      </c>
      <c r="BI4" s="63">
        <f>$E$36</f>
        <v>0.17</v>
      </c>
      <c r="BJ4" s="63">
        <f>$E$36</f>
        <v>0.17</v>
      </c>
      <c r="BK4" s="63">
        <f>$E$36</f>
        <v>0.17</v>
      </c>
      <c r="BL4" s="63">
        <f>$E$36</f>
        <v>0.17</v>
      </c>
      <c r="BM4" s="63">
        <f>$E$36</f>
        <v>0.17</v>
      </c>
      <c r="BN4" s="63">
        <f>$E$36</f>
        <v>0.17</v>
      </c>
      <c r="BO4" s="63">
        <f>$E$36</f>
        <v>0.17</v>
      </c>
      <c r="BP4" s="63">
        <f>$E$36</f>
        <v>0.17</v>
      </c>
      <c r="BQ4" s="63">
        <f>$E$36</f>
        <v>0.17</v>
      </c>
      <c r="BR4" s="63">
        <f>$E$36</f>
        <v>0.17</v>
      </c>
      <c r="BS4" s="63">
        <f>$E$36</f>
        <v>0.17</v>
      </c>
      <c r="BT4" s="63">
        <f>$E$36</f>
        <v>0.17</v>
      </c>
      <c r="BU4" s="63">
        <f>$E$36</f>
        <v>0.17</v>
      </c>
      <c r="BV4" s="63">
        <f>$E$36</f>
        <v>0.17</v>
      </c>
      <c r="BW4" s="63">
        <f>$E$36</f>
        <v>0.17</v>
      </c>
      <c r="BX4" s="63">
        <f>$E$36</f>
        <v>0.17</v>
      </c>
      <c r="BY4" s="63">
        <f>$E$36</f>
        <v>0.17</v>
      </c>
      <c r="BZ4" s="63">
        <f>$E$36</f>
        <v>0.17</v>
      </c>
      <c r="CA4" s="63">
        <f>$E$36</f>
        <v>0.17</v>
      </c>
      <c r="CB4" s="63">
        <f>$E$36</f>
        <v>0.17</v>
      </c>
      <c r="CC4" s="63">
        <f>$E$36</f>
        <v>0.17</v>
      </c>
      <c r="CD4" s="63">
        <f>$E$36</f>
        <v>0.17</v>
      </c>
      <c r="CE4" s="63">
        <f>$E$36</f>
        <v>0.17</v>
      </c>
      <c r="CF4" s="63">
        <f>$E$36</f>
        <v>0.17</v>
      </c>
      <c r="CG4" s="63">
        <f>$E$36</f>
        <v>0.17</v>
      </c>
      <c r="CH4" s="63">
        <f>$E$36</f>
        <v>0.17</v>
      </c>
      <c r="CI4" s="63">
        <f>$E$36</f>
        <v>0.17</v>
      </c>
      <c r="CJ4" s="63">
        <f>$E$36</f>
        <v>0.17</v>
      </c>
      <c r="CK4" s="63">
        <f>$E$36</f>
        <v>0.17</v>
      </c>
    </row>
    <row r="5" spans="1:90" s="28" customFormat="1">
      <c r="A5" s="20" t="s">
        <v>487</v>
      </c>
      <c r="E5" s="28">
        <f>(E2/(1+E4))/E3</f>
        <v>0.81884961224699193</v>
      </c>
      <c r="F5" s="28">
        <f t="shared" ref="F5:BQ5" si="0">(F2/(1+F4))/F3</f>
        <v>0.85849156430283469</v>
      </c>
      <c r="G5" s="28">
        <f t="shared" si="0"/>
        <v>0.8280453522477329</v>
      </c>
      <c r="H5" s="28">
        <f t="shared" si="0"/>
        <v>0.80648618111969295</v>
      </c>
      <c r="I5" s="28">
        <f t="shared" si="0"/>
        <v>0.7848873020748337</v>
      </c>
      <c r="J5" s="28">
        <f t="shared" si="0"/>
        <v>0.98591521396772208</v>
      </c>
      <c r="K5" s="28">
        <f t="shared" si="0"/>
        <v>0.93847642601294767</v>
      </c>
      <c r="L5" s="28">
        <f t="shared" si="0"/>
        <v>0.94286639368409364</v>
      </c>
      <c r="M5" s="28">
        <f t="shared" si="0"/>
        <v>0.99128160920971153</v>
      </c>
      <c r="N5" s="28">
        <f t="shared" si="0"/>
        <v>0.99634553816869165</v>
      </c>
      <c r="O5" s="28">
        <f t="shared" si="0"/>
        <v>0.95962618977246217</v>
      </c>
      <c r="P5" s="28">
        <f t="shared" si="0"/>
        <v>0.96543962137611927</v>
      </c>
      <c r="Q5" s="28">
        <f t="shared" si="0"/>
        <v>0.97402218444229394</v>
      </c>
      <c r="R5" s="28">
        <f t="shared" si="0"/>
        <v>0.93356566692570919</v>
      </c>
      <c r="S5" s="28">
        <f t="shared" si="0"/>
        <v>0.92263879032486851</v>
      </c>
      <c r="T5" s="28">
        <f t="shared" si="0"/>
        <v>0.92204983541096208</v>
      </c>
      <c r="U5" s="28">
        <f t="shared" si="0"/>
        <v>0.94037051950391526</v>
      </c>
      <c r="V5" s="28">
        <f t="shared" si="0"/>
        <v>0.95514481461210687</v>
      </c>
      <c r="W5" s="28">
        <f t="shared" si="0"/>
        <v>0.97800467908313915</v>
      </c>
      <c r="X5" s="28">
        <f t="shared" si="0"/>
        <v>1.0314679779720328</v>
      </c>
      <c r="Y5" s="28">
        <f t="shared" si="0"/>
        <v>0.87882560882603677</v>
      </c>
      <c r="Z5" s="28">
        <f t="shared" si="0"/>
        <v>0.86465931736556845</v>
      </c>
      <c r="AA5" s="28">
        <f t="shared" si="0"/>
        <v>0.85698939173744382</v>
      </c>
      <c r="AB5" s="28">
        <f t="shared" si="0"/>
        <v>0.87692448080986318</v>
      </c>
      <c r="AC5" s="28">
        <f t="shared" si="0"/>
        <v>1.0404233016537989</v>
      </c>
      <c r="AD5" s="28">
        <f t="shared" si="0"/>
        <v>0.96330434696478273</v>
      </c>
      <c r="AE5" s="28">
        <f t="shared" si="0"/>
        <v>0.97885125712688892</v>
      </c>
      <c r="AF5" s="28">
        <f t="shared" si="0"/>
        <v>0.97210211911868427</v>
      </c>
      <c r="AG5" s="28">
        <f t="shared" si="0"/>
        <v>0.97132595250383258</v>
      </c>
      <c r="AH5" s="28">
        <f t="shared" si="0"/>
        <v>1.0099963684520479</v>
      </c>
      <c r="AI5" s="28">
        <f t="shared" si="0"/>
        <v>1.0221444400202644</v>
      </c>
      <c r="AJ5" s="28">
        <f t="shared" si="0"/>
        <v>1.1247527989609247</v>
      </c>
      <c r="AK5" s="28">
        <f t="shared" si="0"/>
        <v>0.91507363748375359</v>
      </c>
      <c r="AL5" s="28">
        <f t="shared" si="0"/>
        <v>0.9388164370186558</v>
      </c>
      <c r="AM5" s="28">
        <f t="shared" si="0"/>
        <v>0.97751711329027324</v>
      </c>
      <c r="AN5" s="28">
        <f t="shared" si="0"/>
        <v>1.012337429592461</v>
      </c>
      <c r="AO5" s="28">
        <f t="shared" si="0"/>
        <v>0.94553851263309829</v>
      </c>
      <c r="AP5" s="28">
        <f t="shared" si="0"/>
        <v>0.92729480345967663</v>
      </c>
      <c r="AQ5" s="28">
        <f t="shared" si="0"/>
        <v>0.98801521548366922</v>
      </c>
      <c r="AR5" s="28">
        <f t="shared" si="0"/>
        <v>1.0324573716951042</v>
      </c>
      <c r="AS5" s="28">
        <f t="shared" si="0"/>
        <v>0.92913174202169402</v>
      </c>
      <c r="AT5" s="28">
        <f t="shared" si="0"/>
        <v>0.91611276142058318</v>
      </c>
      <c r="AU5" s="28">
        <f t="shared" si="0"/>
        <v>0.85156638481908764</v>
      </c>
      <c r="AV5" s="28">
        <f t="shared" si="0"/>
        <v>0.88778758182258433</v>
      </c>
      <c r="AW5" s="28">
        <f t="shared" si="0"/>
        <v>0.94293847976003375</v>
      </c>
      <c r="AX5" s="28">
        <f t="shared" si="0"/>
        <v>0.90062603727482182</v>
      </c>
      <c r="AY5" s="28">
        <f t="shared" si="0"/>
        <v>0.90117494006530885</v>
      </c>
      <c r="AZ5" s="28">
        <f t="shared" si="0"/>
        <v>0.79359772088135705</v>
      </c>
      <c r="BA5" s="28">
        <f t="shared" si="0"/>
        <v>0.99911572408280147</v>
      </c>
      <c r="BB5" s="28">
        <f t="shared" si="0"/>
        <v>1.093899356399985</v>
      </c>
      <c r="BC5" s="28">
        <f t="shared" si="0"/>
        <v>1.0797033412037578</v>
      </c>
      <c r="BD5" s="28">
        <f t="shared" si="0"/>
        <v>1.1491618337847136</v>
      </c>
      <c r="BE5" s="28">
        <f t="shared" si="0"/>
        <v>0.90363383958170307</v>
      </c>
      <c r="BF5" s="28">
        <f t="shared" si="0"/>
        <v>0.97495272994184601</v>
      </c>
      <c r="BG5" s="28">
        <f t="shared" si="0"/>
        <v>0.87995606861044751</v>
      </c>
      <c r="BH5" s="28">
        <f t="shared" si="0"/>
        <v>0.81921936797437689</v>
      </c>
      <c r="BI5" s="28">
        <f t="shared" si="0"/>
        <v>0.99177799915486708</v>
      </c>
      <c r="BJ5" s="28">
        <f t="shared" si="0"/>
        <v>1.0076837094203903</v>
      </c>
      <c r="BK5" s="28">
        <f t="shared" si="0"/>
        <v>0.99417574202963477</v>
      </c>
      <c r="BL5" s="28">
        <f t="shared" si="0"/>
        <v>1.2646276520171129</v>
      </c>
      <c r="BM5" s="28">
        <f t="shared" si="0"/>
        <v>1.0269623427274432</v>
      </c>
      <c r="BN5" s="28">
        <f t="shared" si="0"/>
        <v>0.73432876613393383</v>
      </c>
      <c r="BO5" s="28">
        <f t="shared" si="0"/>
        <v>1.8874478022574512</v>
      </c>
      <c r="BP5" s="28">
        <f t="shared" si="0"/>
        <v>0</v>
      </c>
      <c r="BQ5" s="28">
        <f t="shared" si="0"/>
        <v>0</v>
      </c>
      <c r="BR5" s="28">
        <f t="shared" ref="BR5:CL5" si="1">(BR2/(1+BR4))/BR3</f>
        <v>0</v>
      </c>
      <c r="BS5" s="28">
        <f t="shared" si="1"/>
        <v>0</v>
      </c>
      <c r="BT5" s="28" t="e">
        <f t="shared" si="1"/>
        <v>#DIV/0!</v>
      </c>
      <c r="BU5" s="28" t="e">
        <f t="shared" si="1"/>
        <v>#DIV/0!</v>
      </c>
      <c r="BV5" s="28" t="e">
        <f t="shared" si="1"/>
        <v>#DIV/0!</v>
      </c>
      <c r="BW5" s="28" t="e">
        <f t="shared" si="1"/>
        <v>#DIV/0!</v>
      </c>
      <c r="BX5" s="28" t="e">
        <f t="shared" si="1"/>
        <v>#DIV/0!</v>
      </c>
      <c r="BY5" s="28" t="e">
        <f t="shared" si="1"/>
        <v>#DIV/0!</v>
      </c>
      <c r="BZ5" s="28" t="e">
        <f t="shared" si="1"/>
        <v>#DIV/0!</v>
      </c>
      <c r="CA5" s="28" t="e">
        <f t="shared" si="1"/>
        <v>#DIV/0!</v>
      </c>
      <c r="CB5" s="28" t="e">
        <f t="shared" si="1"/>
        <v>#DIV/0!</v>
      </c>
      <c r="CC5" s="28" t="e">
        <f t="shared" si="1"/>
        <v>#DIV/0!</v>
      </c>
      <c r="CD5" s="28" t="e">
        <f t="shared" si="1"/>
        <v>#DIV/0!</v>
      </c>
      <c r="CE5" s="28" t="e">
        <f t="shared" si="1"/>
        <v>#DIV/0!</v>
      </c>
      <c r="CF5" s="28" t="e">
        <f t="shared" si="1"/>
        <v>#DIV/0!</v>
      </c>
      <c r="CG5" s="28" t="e">
        <f t="shared" si="1"/>
        <v>#DIV/0!</v>
      </c>
      <c r="CH5" s="28" t="e">
        <f t="shared" si="1"/>
        <v>#DIV/0!</v>
      </c>
      <c r="CI5" s="28" t="e">
        <f t="shared" si="1"/>
        <v>#DIV/0!</v>
      </c>
      <c r="CJ5" s="28" t="e">
        <f t="shared" si="1"/>
        <v>#DIV/0!</v>
      </c>
      <c r="CK5" s="28" t="e">
        <f t="shared" si="1"/>
        <v>#DIV/0!</v>
      </c>
      <c r="CL5" s="28" t="e">
        <f t="shared" si="1"/>
        <v>#DIV/0!</v>
      </c>
    </row>
    <row r="6" spans="1:90" s="26" customFormat="1">
      <c r="A6" s="17" t="s">
        <v>488</v>
      </c>
      <c r="E6" s="26">
        <f>现金流量表!E8</f>
        <v>1098447307.8499999</v>
      </c>
      <c r="F6" s="26">
        <f>现金流量表!F8</f>
        <v>1008343881.53</v>
      </c>
      <c r="G6" s="26">
        <f>现金流量表!G8</f>
        <v>656290367.59000003</v>
      </c>
      <c r="H6" s="26">
        <f>现金流量表!H8</f>
        <v>288348509.63999999</v>
      </c>
      <c r="I6" s="26">
        <f>现金流量表!I8</f>
        <v>741866683.97000003</v>
      </c>
      <c r="J6" s="26">
        <f>现金流量表!J8</f>
        <v>848688176</v>
      </c>
      <c r="K6" s="26">
        <f>现金流量表!K8</f>
        <v>538734571.64999998</v>
      </c>
      <c r="L6" s="26">
        <f>现金流量表!L8</f>
        <v>235592812.09</v>
      </c>
      <c r="M6" s="26">
        <f>现金流量表!M8</f>
        <v>1052199791.96</v>
      </c>
      <c r="N6" s="26">
        <f>现金流量表!N8</f>
        <v>813515867.69000006</v>
      </c>
      <c r="O6" s="26">
        <f>现金流量表!O8</f>
        <v>555049898.42999995</v>
      </c>
      <c r="P6" s="26">
        <f>现金流量表!P8</f>
        <v>268647992.37</v>
      </c>
      <c r="Q6" s="26">
        <f>现金流量表!Q8</f>
        <v>1147739007.3</v>
      </c>
      <c r="R6" s="26">
        <f>现金流量表!R8</f>
        <v>848573365.12</v>
      </c>
      <c r="S6" s="26">
        <f>现金流量表!S8</f>
        <v>530612924.5</v>
      </c>
      <c r="T6" s="26">
        <f>现金流量表!T8</f>
        <v>271751148.37</v>
      </c>
      <c r="U6" s="26">
        <f>现金流量表!U8</f>
        <v>965620997.80999994</v>
      </c>
      <c r="V6" s="26">
        <f>现金流量表!V8</f>
        <v>799394122.83000004</v>
      </c>
      <c r="W6" s="26">
        <f>现金流量表!W8</f>
        <v>550137951.95000005</v>
      </c>
      <c r="X6" s="26">
        <f>现金流量表!X8</f>
        <v>285378911.82999998</v>
      </c>
      <c r="Y6" s="26">
        <f>现金流量表!Y8</f>
        <v>1094758832.3199999</v>
      </c>
      <c r="Z6" s="26">
        <f>现金流量表!Z8</f>
        <v>826918779.55999994</v>
      </c>
      <c r="AA6" s="26">
        <f>现金流量表!AA8</f>
        <v>579570305.94000006</v>
      </c>
      <c r="AB6" s="26">
        <f>现金流量表!AB8</f>
        <v>326825290.76999998</v>
      </c>
      <c r="AC6" s="26">
        <f>现金流量表!AC8</f>
        <v>1100916004.3299999</v>
      </c>
      <c r="AD6" s="26">
        <f>现金流量表!AD8</f>
        <v>800270470.13</v>
      </c>
      <c r="AE6" s="26">
        <f>现金流量表!AE8</f>
        <v>524140308.04000002</v>
      </c>
      <c r="AF6" s="26">
        <f>现金流量表!AF8</f>
        <v>285024715.12</v>
      </c>
      <c r="AG6" s="26">
        <f>现金流量表!AG8</f>
        <v>1064871564.58</v>
      </c>
      <c r="AH6" s="26">
        <f>现金流量表!AH8</f>
        <v>686616418.50999999</v>
      </c>
      <c r="AI6" s="26">
        <f>现金流量表!AI8</f>
        <v>439076956.11000001</v>
      </c>
      <c r="AJ6" s="26">
        <f>现金流量表!AJ8</f>
        <v>228271051.41</v>
      </c>
      <c r="AK6" s="26">
        <f>现金流量表!AK8</f>
        <v>712269872.99000001</v>
      </c>
      <c r="AL6" s="26">
        <f>现金流量表!AL8</f>
        <v>533620015.55000001</v>
      </c>
      <c r="AM6" s="26">
        <f>现金流量表!AM8</f>
        <v>364232675.99000001</v>
      </c>
      <c r="AN6" s="26">
        <f>现金流量表!AN8</f>
        <v>186144747.47</v>
      </c>
      <c r="AO6" s="26">
        <f>现金流量表!AO8</f>
        <v>812937471.22000003</v>
      </c>
      <c r="AP6" s="26">
        <f>现金流量表!AP8</f>
        <v>619594782.48000002</v>
      </c>
      <c r="AQ6" s="26">
        <f>现金流量表!AQ8</f>
        <v>414748956.83999997</v>
      </c>
      <c r="AR6" s="26">
        <f>现金流量表!AR8</f>
        <v>195735907.22</v>
      </c>
      <c r="AS6" s="26">
        <f>现金流量表!AS8</f>
        <v>653200839.99000001</v>
      </c>
      <c r="AT6" s="26">
        <f>现金流量表!AT8</f>
        <v>522965533.13999999</v>
      </c>
      <c r="AU6" s="26">
        <f>现金流量表!AU8</f>
        <v>284260928.19</v>
      </c>
      <c r="AV6" s="26">
        <f>现金流量表!AV8</f>
        <v>111808910.77</v>
      </c>
      <c r="AW6" s="26">
        <f>现金流量表!AW8</f>
        <v>575772353.17999995</v>
      </c>
      <c r="AX6" s="26">
        <f>现金流量表!AX8</f>
        <v>406295695.39999998</v>
      </c>
      <c r="AY6" s="26">
        <f>现金流量表!AY8</f>
        <v>256513629.91</v>
      </c>
      <c r="AZ6" s="26">
        <f>现金流量表!AZ8</f>
        <v>129721095.89</v>
      </c>
      <c r="BA6" s="26">
        <f>现金流量表!BA8</f>
        <v>502393852.33999997</v>
      </c>
      <c r="BB6" s="26">
        <f>现金流量表!BB8</f>
        <v>370705095.75</v>
      </c>
      <c r="BC6" s="26">
        <f>现金流量表!BC8</f>
        <v>253179232.25999999</v>
      </c>
      <c r="BD6" s="26">
        <f>现金流量表!BD8</f>
        <v>157460067.97999999</v>
      </c>
      <c r="BE6" s="26">
        <f>现金流量表!BE8</f>
        <v>372323978.63</v>
      </c>
      <c r="BF6" s="26">
        <f>现金流量表!BF8</f>
        <v>248648197.44</v>
      </c>
      <c r="BG6" s="26">
        <f>现金流量表!BG8</f>
        <v>183690898.25999999</v>
      </c>
      <c r="BH6" s="26">
        <f>现金流量表!BH8</f>
        <v>98183362.090000004</v>
      </c>
      <c r="BI6" s="26">
        <f>现金流量表!BI8</f>
        <v>277919889.37</v>
      </c>
      <c r="BJ6" s="26">
        <f>现金流量表!BJ8</f>
        <v>235700699.86000001</v>
      </c>
      <c r="BK6" s="26">
        <f>现金流量表!BK8</f>
        <v>168571636.94</v>
      </c>
      <c r="BL6" s="26">
        <f>现金流量表!BL8</f>
        <v>111967467.26000001</v>
      </c>
      <c r="BM6" s="26">
        <f>现金流量表!BM8</f>
        <v>213234947.81</v>
      </c>
      <c r="BN6" s="26">
        <f>现金流量表!BN8</f>
        <v>143486085.38999999</v>
      </c>
      <c r="BO6" s="26">
        <f>现金流量表!BO8</f>
        <v>254447239.72999999</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489</v>
      </c>
      <c r="E7" s="26">
        <f>现金流量表!E9</f>
        <v>327544020.5</v>
      </c>
      <c r="F7" s="26">
        <f>现金流量表!F9</f>
        <v>223469459.78</v>
      </c>
      <c r="G7" s="26">
        <f>现金流量表!G9</f>
        <v>141964342.46000001</v>
      </c>
      <c r="H7" s="26">
        <f>现金流量表!H9</f>
        <v>73495386.209999993</v>
      </c>
      <c r="I7" s="26">
        <f>现金流量表!I9</f>
        <v>295855761.68000001</v>
      </c>
      <c r="J7" s="26">
        <f>现金流量表!J9</f>
        <v>212458974.90000001</v>
      </c>
      <c r="K7" s="26">
        <f>现金流量表!K9</f>
        <v>143109813.68000001</v>
      </c>
      <c r="L7" s="26">
        <f>现金流量表!L9</f>
        <v>70939030.530000001</v>
      </c>
      <c r="M7" s="26">
        <f>现金流量表!M9</f>
        <v>255429272.53999999</v>
      </c>
      <c r="N7" s="26">
        <f>现金流量表!N9</f>
        <v>180846844.63</v>
      </c>
      <c r="O7" s="26">
        <f>现金流量表!O9</f>
        <v>120510631.23</v>
      </c>
      <c r="P7" s="26">
        <f>现金流量表!P9</f>
        <v>60313815.829999998</v>
      </c>
      <c r="Q7" s="26">
        <f>现金流量表!Q9</f>
        <v>220693564.25999999</v>
      </c>
      <c r="R7" s="26">
        <f>现金流量表!R9</f>
        <v>153951380.84999999</v>
      </c>
      <c r="S7" s="26">
        <f>现金流量表!S9</f>
        <v>105993728.23999999</v>
      </c>
      <c r="T7" s="26">
        <f>现金流量表!T9</f>
        <v>50135750.409999996</v>
      </c>
      <c r="U7" s="26">
        <f>现金流量表!U9</f>
        <v>210327770.68000001</v>
      </c>
      <c r="V7" s="26">
        <f>现金流量表!V9</f>
        <v>137393639.19999999</v>
      </c>
      <c r="W7" s="26">
        <f>现金流量表!W9</f>
        <v>95517393.560000002</v>
      </c>
      <c r="X7" s="26">
        <f>现金流量表!X9</f>
        <v>51655077.869999997</v>
      </c>
      <c r="Y7" s="26">
        <f>现金流量表!Y9</f>
        <v>187890682.53</v>
      </c>
      <c r="Z7" s="26">
        <f>现金流量表!Z9</f>
        <v>130816707.13</v>
      </c>
      <c r="AA7" s="26">
        <f>现金流量表!AA9</f>
        <v>85163789.920000002</v>
      </c>
      <c r="AB7" s="26">
        <f>现金流量表!AB9</f>
        <v>41788067.469999999</v>
      </c>
      <c r="AC7" s="26">
        <f>现金流量表!AC9</f>
        <v>179564469.38999999</v>
      </c>
      <c r="AD7" s="26">
        <f>现金流量表!AD9</f>
        <v>128664557.65000001</v>
      </c>
      <c r="AE7" s="26">
        <f>现金流量表!AE9</f>
        <v>75287343.129999995</v>
      </c>
      <c r="AF7" s="26">
        <f>现金流量表!AF9</f>
        <v>39617333.829999998</v>
      </c>
      <c r="AG7" s="26">
        <f>现金流量表!AG9</f>
        <v>153774069.66999999</v>
      </c>
      <c r="AH7" s="26">
        <f>现金流量表!AH9</f>
        <v>103298918.73999999</v>
      </c>
      <c r="AI7" s="26">
        <f>现金流量表!AI9</f>
        <v>64303718.270000003</v>
      </c>
      <c r="AJ7" s="26">
        <f>现金流量表!AJ9</f>
        <v>30600829.949999999</v>
      </c>
      <c r="AK7" s="26">
        <f>现金流量表!AK9</f>
        <v>125174713.59999999</v>
      </c>
      <c r="AL7" s="26">
        <f>现金流量表!AL9</f>
        <v>87344769.709999993</v>
      </c>
      <c r="AM7" s="26">
        <f>现金流量表!AM9</f>
        <v>61482323.909999996</v>
      </c>
      <c r="AN7" s="26">
        <f>现金流量表!AN9</f>
        <v>30663145.84</v>
      </c>
      <c r="AO7" s="26">
        <f>现金流量表!AO9</f>
        <v>128258613.58</v>
      </c>
      <c r="AP7" s="26">
        <f>现金流量表!AP9</f>
        <v>97874819.739999995</v>
      </c>
      <c r="AQ7" s="26">
        <f>现金流量表!AQ9</f>
        <v>72497092.790000007</v>
      </c>
      <c r="AR7" s="26">
        <f>现金流量表!AR9</f>
        <v>30744269.539999999</v>
      </c>
      <c r="AS7" s="26">
        <f>现金流量表!AS9</f>
        <v>105053146.8</v>
      </c>
      <c r="AT7" s="26">
        <f>现金流量表!AT9</f>
        <v>59464325.130000003</v>
      </c>
      <c r="AU7" s="26">
        <f>现金流量表!AU9</f>
        <v>43708221.219999999</v>
      </c>
      <c r="AV7" s="26">
        <f>现金流量表!AV9</f>
        <v>21864974.300000001</v>
      </c>
      <c r="AW7" s="26">
        <f>现金流量表!AW9</f>
        <v>90910492.519999996</v>
      </c>
      <c r="AX7" s="26">
        <f>现金流量表!AX9</f>
        <v>62765722.119999997</v>
      </c>
      <c r="AY7" s="26">
        <f>现金流量表!AY9</f>
        <v>42247131.039999999</v>
      </c>
      <c r="AZ7" s="26">
        <f>现金流量表!AZ9</f>
        <v>22101870.129999999</v>
      </c>
      <c r="BA7" s="26">
        <f>现金流量表!BA9</f>
        <v>81080180.390000001</v>
      </c>
      <c r="BB7" s="26">
        <f>现金流量表!BB9</f>
        <v>53597015.93</v>
      </c>
      <c r="BC7" s="26">
        <f>现金流量表!BC9</f>
        <v>35384171.899999999</v>
      </c>
      <c r="BD7" s="26">
        <f>现金流量表!BD9</f>
        <v>18919800.859999999</v>
      </c>
      <c r="BE7" s="26">
        <f>现金流量表!BE9</f>
        <v>70504063.310000002</v>
      </c>
      <c r="BF7" s="26">
        <f>现金流量表!BF9</f>
        <v>46503347.909999996</v>
      </c>
      <c r="BG7" s="26">
        <f>现金流量表!BG9</f>
        <v>32203474.309999999</v>
      </c>
      <c r="BH7" s="26">
        <f>现金流量表!BH9</f>
        <v>15204864.720000001</v>
      </c>
      <c r="BI7" s="26">
        <f>现金流量表!BI9</f>
        <v>63019637.170000002</v>
      </c>
      <c r="BJ7" s="26">
        <f>现金流量表!BJ9</f>
        <v>45261728.049999997</v>
      </c>
      <c r="BK7" s="26">
        <f>现金流量表!BK9</f>
        <v>25367010.670000002</v>
      </c>
      <c r="BL7" s="26">
        <f>现金流量表!BL9</f>
        <v>8397530.8800000008</v>
      </c>
      <c r="BM7" s="26">
        <f>现金流量表!BM9</f>
        <v>48962781.380000003</v>
      </c>
      <c r="BN7" s="26">
        <f>现金流量表!BN9</f>
        <v>16213498.68</v>
      </c>
      <c r="BO7" s="26">
        <f>现金流量表!BO9</f>
        <v>36266661.450000003</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44" t="s">
        <v>490</v>
      </c>
      <c r="E8" s="58">
        <f>利润表!E6</f>
        <v>1579599031.7</v>
      </c>
      <c r="F8" s="58">
        <f>利润表!F6</f>
        <v>1153215749.49</v>
      </c>
      <c r="G8" s="58">
        <f>利润表!G6</f>
        <v>796388753.14999998</v>
      </c>
      <c r="H8" s="58">
        <f>利润表!H6</f>
        <v>411318554.22000003</v>
      </c>
      <c r="I8" s="58">
        <f>利润表!I6</f>
        <v>1382503304.6800001</v>
      </c>
      <c r="J8" s="58">
        <f>利润表!J6</f>
        <v>970886286.33000004</v>
      </c>
      <c r="K8" s="58">
        <f>利润表!K6</f>
        <v>649258615.39999998</v>
      </c>
      <c r="L8" s="58">
        <f>利润表!L6</f>
        <v>307907841.31999999</v>
      </c>
      <c r="M8" s="58">
        <f>利润表!M6</f>
        <v>1183736156.6700001</v>
      </c>
      <c r="N8" s="58">
        <f>利润表!N6</f>
        <v>908369418.73000002</v>
      </c>
      <c r="O8" s="58">
        <f>利润表!O6</f>
        <v>624520521.64999998</v>
      </c>
      <c r="P8" s="58">
        <f>利润表!P6</f>
        <v>292314282.32999998</v>
      </c>
      <c r="Q8" s="58">
        <f>利润表!Q6</f>
        <v>1243464862.0899999</v>
      </c>
      <c r="R8" s="58">
        <f>利润表!R6</f>
        <v>902356240.62</v>
      </c>
      <c r="S8" s="58">
        <f>利润表!S6</f>
        <v>593503600.02999997</v>
      </c>
      <c r="T8" s="58">
        <f>利润表!T6</f>
        <v>291515172.32999998</v>
      </c>
      <c r="U8" s="58">
        <f>利润表!U6</f>
        <v>1104935553.8800001</v>
      </c>
      <c r="V8" s="58">
        <f>利润表!V6</f>
        <v>808786141.90999997</v>
      </c>
      <c r="W8" s="58">
        <f>利润表!W6</f>
        <v>545516762.55999994</v>
      </c>
      <c r="X8" s="58">
        <f>利润表!X6</f>
        <v>258279524.25999999</v>
      </c>
      <c r="Y8" s="58">
        <f>利润表!Y6</f>
        <v>1060594067.3099999</v>
      </c>
      <c r="Z8" s="58">
        <f>利润表!Z6</f>
        <v>777805780.02999997</v>
      </c>
      <c r="AA8" s="58">
        <f>利润表!AA6</f>
        <v>519428180.99000001</v>
      </c>
      <c r="AB8" s="58">
        <f>利润表!AB6</f>
        <v>242687344.61000001</v>
      </c>
      <c r="AC8" s="58">
        <f>利润表!AC6</f>
        <v>1013706164.67</v>
      </c>
      <c r="AD8" s="58">
        <f>利润表!AD6</f>
        <v>790385986.66999996</v>
      </c>
      <c r="AE8" s="58">
        <f>利润表!AE6</f>
        <v>538361908.03999996</v>
      </c>
      <c r="AF8" s="58">
        <f>利润表!AF6</f>
        <v>273131191.94</v>
      </c>
      <c r="AG8" s="58">
        <f>利润表!AG6</f>
        <v>1055308223.25</v>
      </c>
      <c r="AH8" s="58">
        <f>利润表!AH6</f>
        <v>715710989.24000001</v>
      </c>
      <c r="AI8" s="58">
        <f>利润表!AI6</f>
        <v>478525587.07999998</v>
      </c>
      <c r="AJ8" s="58">
        <f>利润表!AJ6</f>
        <v>231108203.18000001</v>
      </c>
      <c r="AK8" s="58">
        <f>利润表!AK6</f>
        <v>853986940.02999997</v>
      </c>
      <c r="AL8" s="58">
        <f>利润表!AL6</f>
        <v>582879138.94000006</v>
      </c>
      <c r="AM8" s="58">
        <f>利润表!AM6</f>
        <v>386402196.72000003</v>
      </c>
      <c r="AN8" s="58">
        <f>利润表!AN6</f>
        <v>187493809.56999999</v>
      </c>
      <c r="AO8" s="58">
        <f>利润表!AO6</f>
        <v>826362337.98000002</v>
      </c>
      <c r="AP8" s="58">
        <f>利润表!AP6</f>
        <v>634021966.73000002</v>
      </c>
      <c r="AQ8" s="58">
        <f>利润表!AQ6</f>
        <v>397642299.64999998</v>
      </c>
      <c r="AR8" s="58">
        <f>利润表!AR6</f>
        <v>178944728.38</v>
      </c>
      <c r="AS8" s="58">
        <f>利润表!AS6</f>
        <v>711281672.12</v>
      </c>
      <c r="AT8" s="58">
        <f>利润表!AT6</f>
        <v>0</v>
      </c>
      <c r="AU8" s="58">
        <f>利润表!AU6</f>
        <v>334221833.19999999</v>
      </c>
      <c r="AV8" s="58">
        <f>利润表!AV6</f>
        <v>155088250.44</v>
      </c>
      <c r="AW8" s="58">
        <f>利润表!AW6</f>
        <v>549849844.25</v>
      </c>
      <c r="AX8" s="58">
        <f>利润表!AX6</f>
        <v>399752333.11000001</v>
      </c>
      <c r="AY8" s="58">
        <f>利润表!AY6</f>
        <v>264472201.12</v>
      </c>
      <c r="AZ8" s="58">
        <f>利润表!AZ6</f>
        <v>139406531.86000001</v>
      </c>
      <c r="BA8" s="58">
        <f>利润表!BA6</f>
        <v>438848747.44</v>
      </c>
      <c r="BB8" s="58">
        <f>利润表!BB6</f>
        <v>316063792.14999998</v>
      </c>
      <c r="BC8" s="58">
        <f>利润表!BC6</f>
        <v>210801945.63</v>
      </c>
      <c r="BD8" s="58">
        <f>利润表!BD6</f>
        <v>99686734.280000001</v>
      </c>
      <c r="BE8" s="58">
        <f>利润表!BE6</f>
        <v>348115005.56</v>
      </c>
      <c r="BF8" s="58">
        <f>利润表!BF6</f>
        <v>248121787.66999999</v>
      </c>
      <c r="BG8" s="58">
        <f>利润表!BG6</f>
        <v>163159453.94999999</v>
      </c>
      <c r="BH8" s="58">
        <f>利润表!BH6</f>
        <v>82341285.030000001</v>
      </c>
      <c r="BI8" s="58">
        <f>利润表!BI6</f>
        <v>286673483.69999999</v>
      </c>
      <c r="BJ8" s="58">
        <f>利润表!BJ6</f>
        <v>217006307.15000001</v>
      </c>
      <c r="BK8" s="58">
        <f>利润表!BK6</f>
        <v>146837244.50999999</v>
      </c>
      <c r="BL8" s="58">
        <f>利润表!BL6</f>
        <v>53834394.850000001</v>
      </c>
      <c r="BM8" s="58">
        <f>利润表!BM6</f>
        <v>265049811.56</v>
      </c>
      <c r="BN8" s="58">
        <f>利润表!BN6</f>
        <v>184150130.88</v>
      </c>
      <c r="BO8" s="58">
        <f>利润表!BO6</f>
        <v>117979340.59</v>
      </c>
      <c r="BP8" s="58">
        <f>利润表!BP6</f>
        <v>220947506.97999999</v>
      </c>
      <c r="BQ8" s="58">
        <f>利润表!BQ6</f>
        <v>99360610.209999993</v>
      </c>
      <c r="BR8" s="58">
        <f>利润表!BR6</f>
        <v>192752420.78999999</v>
      </c>
      <c r="BS8" s="58">
        <f>利润表!BS6</f>
        <v>144715708.33000001</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44" t="s">
        <v>491</v>
      </c>
      <c r="E9" s="58">
        <f>利润表!E7</f>
        <v>32609223.289999999</v>
      </c>
      <c r="F9" s="58">
        <f>利润表!F7</f>
        <v>23958370.800000001</v>
      </c>
      <c r="G9" s="58">
        <f>利润表!G7</f>
        <v>16453610.789999999</v>
      </c>
      <c r="H9" s="58">
        <f>利润表!H7</f>
        <v>8827932.0099999998</v>
      </c>
      <c r="I9" s="58">
        <f>利润表!I7</f>
        <v>26306781.690000001</v>
      </c>
      <c r="J9" s="58">
        <f>利润表!J7</f>
        <v>11254195.640000001</v>
      </c>
      <c r="K9" s="58">
        <f>利润表!K7</f>
        <v>8091865.9900000002</v>
      </c>
      <c r="L9" s="58">
        <f>利润表!L7</f>
        <v>3842736.13</v>
      </c>
      <c r="M9" s="58">
        <f>利润表!M7</f>
        <v>14127458.35</v>
      </c>
      <c r="N9" s="58">
        <f>利润表!N7</f>
        <v>10982454.4</v>
      </c>
      <c r="O9" s="58">
        <f>利润表!O7</f>
        <v>7736321.0700000003</v>
      </c>
      <c r="P9" s="58">
        <f>利润表!P7</f>
        <v>3855290.08</v>
      </c>
      <c r="Q9" s="58">
        <f>利润表!Q7</f>
        <v>13678444.02</v>
      </c>
      <c r="R9" s="58">
        <f>利润表!R7</f>
        <v>9834744</v>
      </c>
      <c r="S9" s="58">
        <f>利润表!S7</f>
        <v>6293788.2800000003</v>
      </c>
      <c r="T9" s="58">
        <f>利润表!T7</f>
        <v>2925789.53</v>
      </c>
      <c r="U9" s="58">
        <f>利润表!U7</f>
        <v>12011351.15</v>
      </c>
      <c r="V9" s="58">
        <f>利润表!V7</f>
        <v>9009604.8100000005</v>
      </c>
      <c r="W9" s="58">
        <f>利润表!W7</f>
        <v>6465348.3600000003</v>
      </c>
      <c r="X9" s="58">
        <f>利润表!X7</f>
        <v>2635022.39</v>
      </c>
      <c r="Y9" s="58">
        <f>利润表!Y7</f>
        <v>9590386.3900000006</v>
      </c>
      <c r="Z9" s="58">
        <f>利润表!Z7</f>
        <v>6347982.5099999998</v>
      </c>
      <c r="AA9" s="58">
        <f>利润表!AA7</f>
        <v>4029760.16</v>
      </c>
      <c r="AB9" s="58">
        <f>利润表!AB7</f>
        <v>1529153.15</v>
      </c>
      <c r="AC9" s="58">
        <f>利润表!AC7</f>
        <v>7181078.29</v>
      </c>
      <c r="AD9" s="58">
        <f>利润表!AD7</f>
        <v>6657156.9199999999</v>
      </c>
      <c r="AE9" s="58">
        <f>利润表!AE7</f>
        <v>5118884.42</v>
      </c>
      <c r="AF9" s="58">
        <f>利润表!AF7</f>
        <v>2569824.13</v>
      </c>
      <c r="AG9" s="58">
        <f>利润表!AG7</f>
        <v>14515701.470000001</v>
      </c>
      <c r="AH9" s="58">
        <f>利润表!AH7</f>
        <v>8177518.0199999996</v>
      </c>
      <c r="AI9" s="58">
        <f>利润表!AI7</f>
        <v>5182403.62</v>
      </c>
      <c r="AJ9" s="58">
        <f>利润表!AJ7</f>
        <v>1873141.16</v>
      </c>
      <c r="AK9" s="58">
        <f>利润表!AK7</f>
        <v>11808952.529999999</v>
      </c>
      <c r="AL9" s="58">
        <f>利润表!AL7</f>
        <v>7236297.5999999996</v>
      </c>
      <c r="AM9" s="58">
        <f>利润表!AM7</f>
        <v>4689256.97</v>
      </c>
      <c r="AN9" s="58">
        <f>利润表!AN7</f>
        <v>1804981.4</v>
      </c>
      <c r="AO9" s="58">
        <f>利润表!AO7</f>
        <v>8934334.1699999999</v>
      </c>
      <c r="AP9" s="58">
        <f>利润表!AP7</f>
        <v>7119661.3700000001</v>
      </c>
      <c r="AQ9" s="58">
        <f>利润表!AQ7</f>
        <v>4526248.92</v>
      </c>
      <c r="AR9" s="58">
        <f>利润表!AR7</f>
        <v>1977399.43</v>
      </c>
      <c r="AS9" s="58">
        <f>利润表!AS7</f>
        <v>9883236.0399999991</v>
      </c>
      <c r="AT9" s="58">
        <f>利润表!AT7</f>
        <v>7156603.3700000001</v>
      </c>
      <c r="AU9" s="58">
        <f>利润表!AU7</f>
        <v>4775319.4800000004</v>
      </c>
      <c r="AV9" s="58">
        <f>利润表!AV7</f>
        <v>1415613.3</v>
      </c>
      <c r="AW9" s="58">
        <f>利润表!AW7</f>
        <v>7000235.2800000003</v>
      </c>
      <c r="AX9" s="58">
        <f>利润表!AX7</f>
        <v>4508247.88</v>
      </c>
      <c r="AY9" s="58">
        <f>利润表!AY7</f>
        <v>2600189.25</v>
      </c>
      <c r="AZ9" s="58">
        <f>利润表!AZ7</f>
        <v>1423981.97</v>
      </c>
      <c r="BA9" s="58">
        <f>利润表!BA7</f>
        <v>5174727.4400000004</v>
      </c>
      <c r="BB9" s="58">
        <f>利润表!BB7</f>
        <v>3457734.19</v>
      </c>
      <c r="BC9" s="58">
        <f>利润表!BC7</f>
        <v>2110781.17</v>
      </c>
      <c r="BD9" s="58">
        <f>利润表!BD7</f>
        <v>1245538.25</v>
      </c>
      <c r="BE9" s="58">
        <f>利润表!BE7</f>
        <v>4323490.9000000004</v>
      </c>
      <c r="BF9" s="58">
        <f>利润表!BF7</f>
        <v>2917693.14</v>
      </c>
      <c r="BG9" s="58">
        <f>利润表!BG7</f>
        <v>2086460.14</v>
      </c>
      <c r="BH9" s="58">
        <f>利润表!BH7</f>
        <v>1097748.3899999999</v>
      </c>
      <c r="BI9" s="58">
        <f>利润表!BI7</f>
        <v>3741638.11</v>
      </c>
      <c r="BJ9" s="58">
        <f>利润表!BJ7</f>
        <v>2814428.05</v>
      </c>
      <c r="BK9" s="58">
        <f>利润表!BK7</f>
        <v>1940266.44</v>
      </c>
      <c r="BL9" s="58">
        <f>利润表!BL7</f>
        <v>619804.93999999994</v>
      </c>
      <c r="BM9" s="58">
        <f>利润表!BM7</f>
        <v>2854778.81</v>
      </c>
      <c r="BN9" s="58">
        <f>利润表!BN7</f>
        <v>2057152.93</v>
      </c>
      <c r="BO9" s="58">
        <f>利润表!BO7</f>
        <v>1275812.6000000001</v>
      </c>
      <c r="BP9" s="58">
        <f>利润表!BP7</f>
        <v>2525421.6800000002</v>
      </c>
      <c r="BQ9" s="58">
        <f>利润表!BQ7</f>
        <v>1251046.1200000001</v>
      </c>
      <c r="BR9" s="58">
        <f>利润表!BR7</f>
        <v>2129550.58</v>
      </c>
      <c r="BS9" s="58">
        <f>利润表!BS7</f>
        <v>1848556.21</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44" t="s">
        <v>492</v>
      </c>
      <c r="E10" s="58">
        <f>利润表!E8</f>
        <v>195515731.11000001</v>
      </c>
      <c r="F10" s="58">
        <f>利润表!F8</f>
        <v>136476829.38999999</v>
      </c>
      <c r="G10" s="58">
        <f>利润表!G8</f>
        <v>91569975.510000005</v>
      </c>
      <c r="H10" s="58">
        <f>利润表!H8</f>
        <v>39320130.140000001</v>
      </c>
      <c r="I10" s="58">
        <f>利润表!I8</f>
        <v>193674447.63</v>
      </c>
      <c r="J10" s="58">
        <f>利润表!J8</f>
        <v>136905223.27000001</v>
      </c>
      <c r="K10" s="58">
        <f>利润表!K8</f>
        <v>95464307.890000001</v>
      </c>
      <c r="L10" s="58">
        <f>利润表!L8</f>
        <v>42386417.810000002</v>
      </c>
      <c r="M10" s="58">
        <f>利润表!M8</f>
        <v>176646381.94</v>
      </c>
      <c r="N10" s="58">
        <f>利润表!N8</f>
        <v>131087134.95999999</v>
      </c>
      <c r="O10" s="58">
        <f>利润表!O8</f>
        <v>96208814.079999998</v>
      </c>
      <c r="P10" s="58">
        <f>利润表!P8</f>
        <v>40851492.890000001</v>
      </c>
      <c r="Q10" s="58">
        <f>利润表!Q8</f>
        <v>156373144.61000001</v>
      </c>
      <c r="R10" s="58">
        <f>利润表!R8</f>
        <v>112695222.38</v>
      </c>
      <c r="S10" s="58">
        <f>利润表!S8</f>
        <v>72217973.909999996</v>
      </c>
      <c r="T10" s="58">
        <f>利润表!T8</f>
        <v>31381634.989999998</v>
      </c>
      <c r="U10" s="58">
        <f>利润表!U8</f>
        <v>136901120.13</v>
      </c>
      <c r="V10" s="58">
        <f>利润表!V8</f>
        <v>100782662.40000001</v>
      </c>
      <c r="W10" s="58">
        <f>利润表!W8</f>
        <v>68236768.319999993</v>
      </c>
      <c r="X10" s="58">
        <f>利润表!X8</f>
        <v>32360470.100000001</v>
      </c>
      <c r="Y10" s="58">
        <f>利润表!Y8</f>
        <v>121223727.97</v>
      </c>
      <c r="Z10" s="58">
        <f>利润表!Z8</f>
        <v>89826584.159999996</v>
      </c>
      <c r="AA10" s="58">
        <f>利润表!AA8</f>
        <v>59299407.460000001</v>
      </c>
      <c r="AB10" s="58">
        <f>利润表!AB8</f>
        <v>21389877.350000001</v>
      </c>
      <c r="AC10" s="58">
        <f>利润表!AC8</f>
        <v>118874325.77</v>
      </c>
      <c r="AD10" s="58">
        <f>利润表!AD8</f>
        <v>78213334.299999997</v>
      </c>
      <c r="AE10" s="58">
        <f>利润表!AE8</f>
        <v>60316363.409999996</v>
      </c>
      <c r="AF10" s="58">
        <f>利润表!AF8</f>
        <v>29241170.300000001</v>
      </c>
      <c r="AG10" s="58">
        <f>利润表!AG8</f>
        <v>144614384.90000001</v>
      </c>
      <c r="AH10" s="58">
        <f>利润表!AH8</f>
        <v>101157630.55</v>
      </c>
      <c r="AI10" s="58">
        <f>利润表!AI8</f>
        <v>65968283.810000002</v>
      </c>
      <c r="AJ10" s="58">
        <f>利润表!AJ8</f>
        <v>32530306.699999999</v>
      </c>
      <c r="AK10" s="58">
        <f>利润表!AK8</f>
        <v>114100864.88</v>
      </c>
      <c r="AL10" s="58">
        <f>利润表!AL8</f>
        <v>81063805.120000005</v>
      </c>
      <c r="AM10" s="58">
        <f>利润表!AM8</f>
        <v>48276995.700000003</v>
      </c>
      <c r="AN10" s="58">
        <f>利润表!AN8</f>
        <v>17157224.27</v>
      </c>
      <c r="AO10" s="58">
        <f>利润表!AO8</f>
        <v>107969902.64</v>
      </c>
      <c r="AP10" s="58">
        <f>利润表!AP8</f>
        <v>77724808.670000002</v>
      </c>
      <c r="AQ10" s="58">
        <f>利润表!AQ8</f>
        <v>48046909.369999997</v>
      </c>
      <c r="AR10" s="58">
        <f>利润表!AR8</f>
        <v>17952830.829999998</v>
      </c>
      <c r="AS10" s="58">
        <f>利润表!AS8</f>
        <v>84961328.189999998</v>
      </c>
      <c r="AT10" s="58">
        <f>利润表!AT8</f>
        <v>54355061.079999998</v>
      </c>
      <c r="AU10" s="58">
        <f>利润表!AU8</f>
        <v>33253698.199999999</v>
      </c>
      <c r="AV10" s="58">
        <f>利润表!AV8</f>
        <v>16410012.84</v>
      </c>
      <c r="AW10" s="58">
        <f>利润表!AW8</f>
        <v>61663457.020000003</v>
      </c>
      <c r="AX10" s="58">
        <f>利润表!AX8</f>
        <v>44019409.439999998</v>
      </c>
      <c r="AY10" s="58">
        <f>利润表!AY8</f>
        <v>28606536.489999998</v>
      </c>
      <c r="AZ10" s="58">
        <f>利润表!AZ8</f>
        <v>12788351.35</v>
      </c>
      <c r="BA10" s="58">
        <f>利润表!BA8</f>
        <v>52247632.82</v>
      </c>
      <c r="BB10" s="58">
        <f>利润表!BB8</f>
        <v>37205674.159999996</v>
      </c>
      <c r="BC10" s="58">
        <f>利润表!BC8</f>
        <v>22670069.52</v>
      </c>
      <c r="BD10" s="58">
        <f>利润表!BD8</f>
        <v>9745368.2100000009</v>
      </c>
      <c r="BE10" s="58">
        <f>利润表!BE8</f>
        <v>52620458.640000001</v>
      </c>
      <c r="BF10" s="58">
        <f>利润表!BF8</f>
        <v>38976523.07</v>
      </c>
      <c r="BG10" s="58">
        <f>利润表!BG8</f>
        <v>26526774.940000001</v>
      </c>
      <c r="BH10" s="58">
        <f>利润表!BH8</f>
        <v>12247541.789999999</v>
      </c>
      <c r="BI10" s="58">
        <f>利润表!BI8</f>
        <v>40337440.609999999</v>
      </c>
      <c r="BJ10" s="58">
        <f>利润表!BJ8</f>
        <v>30067251.440000001</v>
      </c>
      <c r="BK10" s="58">
        <f>利润表!BK8</f>
        <v>20385282.850000001</v>
      </c>
      <c r="BL10" s="58">
        <f>利润表!BL8</f>
        <v>9854951.4399999995</v>
      </c>
      <c r="BM10" s="58">
        <f>利润表!BM8</f>
        <v>41270031.350000001</v>
      </c>
      <c r="BN10" s="58">
        <f>利润表!BN8</f>
        <v>27704403.34</v>
      </c>
      <c r="BO10" s="58">
        <f>利润表!BO8</f>
        <v>15177775.140000001</v>
      </c>
      <c r="BP10" s="58">
        <f>利润表!BP8</f>
        <v>36693004.859999999</v>
      </c>
      <c r="BQ10" s="58">
        <f>利润表!BQ8</f>
        <v>16486819.619999999</v>
      </c>
      <c r="BR10" s="58">
        <f>利润表!BR8</f>
        <v>24627604.539999999</v>
      </c>
      <c r="BS10" s="58">
        <f>利润表!BS8</f>
        <v>18450196</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44" t="s">
        <v>493</v>
      </c>
      <c r="E11" s="58">
        <f>利润表!E9</f>
        <v>197402020.00999999</v>
      </c>
      <c r="F11" s="58">
        <f>利润表!F9</f>
        <v>150917124.31999999</v>
      </c>
      <c r="G11" s="58">
        <f>利润表!G9</f>
        <v>84464700.480000004</v>
      </c>
      <c r="H11" s="58">
        <f>利润表!H9</f>
        <v>34819249.840000004</v>
      </c>
      <c r="I11" s="58">
        <f>利润表!I9</f>
        <v>133257009.31999999</v>
      </c>
      <c r="J11" s="58">
        <f>利润表!J9</f>
        <v>105429596.77</v>
      </c>
      <c r="K11" s="58">
        <f>利润表!K9</f>
        <v>72211426.530000001</v>
      </c>
      <c r="L11" s="58">
        <f>利润表!L9</f>
        <v>34878450.439999998</v>
      </c>
      <c r="M11" s="58">
        <f>利润表!M9</f>
        <v>111178732.95999999</v>
      </c>
      <c r="N11" s="58">
        <f>利润表!N9</f>
        <v>85042533.200000003</v>
      </c>
      <c r="O11" s="58">
        <f>利润表!O9</f>
        <v>56280089.619999997</v>
      </c>
      <c r="P11" s="58">
        <f>利润表!P9</f>
        <v>30874311.73</v>
      </c>
      <c r="Q11" s="58">
        <f>利润表!Q9</f>
        <v>92841424.159999996</v>
      </c>
      <c r="R11" s="58">
        <f>利润表!R9</f>
        <v>66824485.920000002</v>
      </c>
      <c r="S11" s="58">
        <f>利润表!S9</f>
        <v>44810493.990000002</v>
      </c>
      <c r="T11" s="58">
        <f>利润表!T9</f>
        <v>22124442.120000001</v>
      </c>
      <c r="U11" s="58">
        <f>利润表!U9</f>
        <v>92042333.799999997</v>
      </c>
      <c r="V11" s="58">
        <f>利润表!V9</f>
        <v>62153636.380000003</v>
      </c>
      <c r="W11" s="58">
        <f>利润表!W9</f>
        <v>41678536.289999999</v>
      </c>
      <c r="X11" s="58">
        <f>利润表!X9</f>
        <v>20365627.23</v>
      </c>
      <c r="Y11" s="58">
        <f>利润表!Y9</f>
        <v>88696133.489999995</v>
      </c>
      <c r="Z11" s="58">
        <f>利润表!Z9</f>
        <v>64464993.710000001</v>
      </c>
      <c r="AA11" s="58">
        <f>利润表!AA9</f>
        <v>42860569.25</v>
      </c>
      <c r="AB11" s="58">
        <f>利润表!AB9</f>
        <v>23222635.899999999</v>
      </c>
      <c r="AC11" s="58">
        <f>利润表!AC9</f>
        <v>97127072.049999997</v>
      </c>
      <c r="AD11" s="58">
        <f>利润表!AD9</f>
        <v>59456124.810000002</v>
      </c>
      <c r="AE11" s="58">
        <f>利润表!AE9</f>
        <v>36348109.229999997</v>
      </c>
      <c r="AF11" s="58">
        <f>利润表!AF9</f>
        <v>16676547.470000001</v>
      </c>
      <c r="AG11" s="58">
        <f>利润表!AG9</f>
        <v>74906223.370000005</v>
      </c>
      <c r="AH11" s="58">
        <f>利润表!AH9</f>
        <v>57858620.539999999</v>
      </c>
      <c r="AI11" s="58">
        <f>利润表!AI9</f>
        <v>38908166.909999996</v>
      </c>
      <c r="AJ11" s="58">
        <f>利润表!AJ9</f>
        <v>16125793.960000001</v>
      </c>
      <c r="AK11" s="58">
        <f>利润表!AK9</f>
        <v>74153649.760000005</v>
      </c>
      <c r="AL11" s="58">
        <f>利润表!AL9</f>
        <v>54778332.560000002</v>
      </c>
      <c r="AM11" s="58">
        <f>利润表!AM9</f>
        <v>35579197.030000001</v>
      </c>
      <c r="AN11" s="58">
        <f>利润表!AN9</f>
        <v>16124039.439999999</v>
      </c>
      <c r="AO11" s="58">
        <f>利润表!AO9</f>
        <v>57170546.460000001</v>
      </c>
      <c r="AP11" s="58">
        <f>利润表!AP9</f>
        <v>41852232.539999999</v>
      </c>
      <c r="AQ11" s="58">
        <f>利润表!AQ9</f>
        <v>28724292.07</v>
      </c>
      <c r="AR11" s="58">
        <f>利润表!AR9</f>
        <v>12394912.02</v>
      </c>
      <c r="AS11" s="58">
        <f>利润表!AS9</f>
        <v>43014387.200000003</v>
      </c>
      <c r="AT11" s="58">
        <f>利润表!AT9</f>
        <v>43786161.289999999</v>
      </c>
      <c r="AU11" s="58">
        <f>利润表!AU9</f>
        <v>27311664.02</v>
      </c>
      <c r="AV11" s="58">
        <f>利润表!AV9</f>
        <v>12601679.59</v>
      </c>
      <c r="AW11" s="58">
        <f>利润表!AW9</f>
        <v>57559441.780000001</v>
      </c>
      <c r="AX11" s="58">
        <f>利润表!AX9</f>
        <v>41191125.170000002</v>
      </c>
      <c r="AY11" s="58">
        <f>利润表!AY9</f>
        <v>27179103.23</v>
      </c>
      <c r="AZ11" s="58">
        <f>利润表!AZ9</f>
        <v>16546640.869999999</v>
      </c>
      <c r="BA11" s="58">
        <f>利润表!BA9</f>
        <v>45625377.310000002</v>
      </c>
      <c r="BB11" s="58">
        <f>利润表!BB9</f>
        <v>33966246.490000002</v>
      </c>
      <c r="BC11" s="58">
        <f>利润表!BC9</f>
        <v>23585552.079999998</v>
      </c>
      <c r="BD11" s="58">
        <f>利润表!BD9</f>
        <v>9546078.5899999999</v>
      </c>
      <c r="BE11" s="58">
        <f>利润表!BE9</f>
        <v>40030575.009999998</v>
      </c>
      <c r="BF11" s="58">
        <f>利润表!BF9</f>
        <v>29773856.199999999</v>
      </c>
      <c r="BG11" s="58">
        <f>利润表!BG9</f>
        <v>21747811.68</v>
      </c>
      <c r="BH11" s="58">
        <f>利润表!BH9</f>
        <v>11779607.1</v>
      </c>
      <c r="BI11" s="58">
        <f>利润表!BI9</f>
        <v>35250194.729999997</v>
      </c>
      <c r="BJ11" s="58">
        <f>利润表!BJ9</f>
        <v>25602106.440000001</v>
      </c>
      <c r="BK11" s="58">
        <f>利润表!BK9</f>
        <v>16138807.6</v>
      </c>
      <c r="BL11" s="58">
        <f>利润表!BL9</f>
        <v>6833181.9100000001</v>
      </c>
      <c r="BM11" s="58">
        <f>利润表!BM9</f>
        <v>24435988.530000001</v>
      </c>
      <c r="BN11" s="58">
        <f>利润表!BN9</f>
        <v>16604155.26</v>
      </c>
      <c r="BO11" s="58">
        <f>利润表!BO9</f>
        <v>11504945.84</v>
      </c>
      <c r="BP11" s="58">
        <f>利润表!BP9</f>
        <v>22140703.48</v>
      </c>
      <c r="BQ11" s="58">
        <f>利润表!BQ9</f>
        <v>11376507.48</v>
      </c>
      <c r="BR11" s="58">
        <f>利润表!BR9</f>
        <v>23070120.949999999</v>
      </c>
      <c r="BS11" s="58">
        <f>利润表!BS9</f>
        <v>17893810.940000001</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44" t="s">
        <v>494</v>
      </c>
      <c r="E12" s="58">
        <f>SUM(E8:E11)</f>
        <v>2005126006.1099999</v>
      </c>
      <c r="F12" s="58">
        <f t="shared" ref="F12:BQ12" si="2">SUM(F8:F11)</f>
        <v>1464568073.9999998</v>
      </c>
      <c r="G12" s="58">
        <f t="shared" si="2"/>
        <v>988877039.92999995</v>
      </c>
      <c r="H12" s="58">
        <f t="shared" si="2"/>
        <v>494285866.21000004</v>
      </c>
      <c r="I12" s="58">
        <f t="shared" si="2"/>
        <v>1735741543.3199999</v>
      </c>
      <c r="J12" s="58">
        <f t="shared" si="2"/>
        <v>1224475302.01</v>
      </c>
      <c r="K12" s="58">
        <f t="shared" si="2"/>
        <v>825026215.80999994</v>
      </c>
      <c r="L12" s="58">
        <f t="shared" si="2"/>
        <v>389015445.69999999</v>
      </c>
      <c r="M12" s="58">
        <f t="shared" si="2"/>
        <v>1485688729.9200001</v>
      </c>
      <c r="N12" s="58">
        <f t="shared" si="2"/>
        <v>1135481541.29</v>
      </c>
      <c r="O12" s="58">
        <f t="shared" si="2"/>
        <v>784745746.42000008</v>
      </c>
      <c r="P12" s="58">
        <f t="shared" si="2"/>
        <v>367895377.02999997</v>
      </c>
      <c r="Q12" s="58">
        <f t="shared" si="2"/>
        <v>1506357874.8799999</v>
      </c>
      <c r="R12" s="58">
        <f t="shared" si="2"/>
        <v>1091710692.9200001</v>
      </c>
      <c r="S12" s="58">
        <f t="shared" si="2"/>
        <v>716825856.20999992</v>
      </c>
      <c r="T12" s="58">
        <f t="shared" si="2"/>
        <v>347947038.96999997</v>
      </c>
      <c r="U12" s="58">
        <f t="shared" si="2"/>
        <v>1345890358.9600003</v>
      </c>
      <c r="V12" s="58">
        <f t="shared" si="2"/>
        <v>980732045.49999988</v>
      </c>
      <c r="W12" s="58">
        <f t="shared" si="2"/>
        <v>661897415.52999997</v>
      </c>
      <c r="X12" s="58">
        <f t="shared" si="2"/>
        <v>313640643.98000002</v>
      </c>
      <c r="Y12" s="58">
        <f t="shared" si="2"/>
        <v>1280104315.1599998</v>
      </c>
      <c r="Z12" s="58">
        <f t="shared" si="2"/>
        <v>938445340.40999997</v>
      </c>
      <c r="AA12" s="58">
        <f t="shared" si="2"/>
        <v>625617917.86000001</v>
      </c>
      <c r="AB12" s="58">
        <f t="shared" si="2"/>
        <v>288829011.00999999</v>
      </c>
      <c r="AC12" s="58">
        <f t="shared" si="2"/>
        <v>1236888640.78</v>
      </c>
      <c r="AD12" s="58">
        <f t="shared" si="2"/>
        <v>934712602.69999981</v>
      </c>
      <c r="AE12" s="58">
        <f t="shared" si="2"/>
        <v>640145265.0999999</v>
      </c>
      <c r="AF12" s="58">
        <f t="shared" si="2"/>
        <v>321618733.84000003</v>
      </c>
      <c r="AG12" s="58">
        <f t="shared" si="2"/>
        <v>1289344532.9900002</v>
      </c>
      <c r="AH12" s="58">
        <f t="shared" si="2"/>
        <v>882904758.3499999</v>
      </c>
      <c r="AI12" s="58">
        <f t="shared" si="2"/>
        <v>588584441.41999996</v>
      </c>
      <c r="AJ12" s="58">
        <f t="shared" si="2"/>
        <v>281637445</v>
      </c>
      <c r="AK12" s="58">
        <f t="shared" si="2"/>
        <v>1054050407.1999999</v>
      </c>
      <c r="AL12" s="58">
        <f t="shared" si="2"/>
        <v>725957574.22000003</v>
      </c>
      <c r="AM12" s="58">
        <f t="shared" si="2"/>
        <v>474947646.42000008</v>
      </c>
      <c r="AN12" s="58">
        <f t="shared" si="2"/>
        <v>222580054.68000001</v>
      </c>
      <c r="AO12" s="58">
        <f t="shared" si="2"/>
        <v>1000437121.25</v>
      </c>
      <c r="AP12" s="58">
        <f t="shared" si="2"/>
        <v>760718669.30999994</v>
      </c>
      <c r="AQ12" s="58">
        <f t="shared" si="2"/>
        <v>478939750.00999999</v>
      </c>
      <c r="AR12" s="58">
        <f t="shared" si="2"/>
        <v>211269870.66</v>
      </c>
      <c r="AS12" s="58">
        <f t="shared" si="2"/>
        <v>849140623.54999995</v>
      </c>
      <c r="AT12" s="58">
        <f t="shared" si="2"/>
        <v>105297825.73999999</v>
      </c>
      <c r="AU12" s="58">
        <f t="shared" si="2"/>
        <v>399562514.89999998</v>
      </c>
      <c r="AV12" s="58">
        <f t="shared" si="2"/>
        <v>185515556.17000002</v>
      </c>
      <c r="AW12" s="58">
        <f t="shared" si="2"/>
        <v>676072978.32999992</v>
      </c>
      <c r="AX12" s="58">
        <f t="shared" si="2"/>
        <v>489471115.60000002</v>
      </c>
      <c r="AY12" s="58">
        <f t="shared" si="2"/>
        <v>322858030.09000003</v>
      </c>
      <c r="AZ12" s="58">
        <f t="shared" si="2"/>
        <v>170165506.05000001</v>
      </c>
      <c r="BA12" s="58">
        <f t="shared" si="2"/>
        <v>541896485.00999999</v>
      </c>
      <c r="BB12" s="58">
        <f t="shared" si="2"/>
        <v>390693446.99000001</v>
      </c>
      <c r="BC12" s="58">
        <f t="shared" si="2"/>
        <v>259168348.39999998</v>
      </c>
      <c r="BD12" s="58">
        <f t="shared" si="2"/>
        <v>120223719.33000001</v>
      </c>
      <c r="BE12" s="58">
        <f t="shared" si="2"/>
        <v>445089530.10999995</v>
      </c>
      <c r="BF12" s="58">
        <f t="shared" si="2"/>
        <v>319789860.07999998</v>
      </c>
      <c r="BG12" s="58">
        <f t="shared" si="2"/>
        <v>213520500.70999998</v>
      </c>
      <c r="BH12" s="58">
        <f t="shared" si="2"/>
        <v>107466182.31</v>
      </c>
      <c r="BI12" s="58">
        <f t="shared" si="2"/>
        <v>366002757.15000004</v>
      </c>
      <c r="BJ12" s="58">
        <f t="shared" si="2"/>
        <v>275490093.08000004</v>
      </c>
      <c r="BK12" s="58">
        <f t="shared" si="2"/>
        <v>185301601.39999998</v>
      </c>
      <c r="BL12" s="58">
        <f t="shared" si="2"/>
        <v>71142333.140000001</v>
      </c>
      <c r="BM12" s="58">
        <f t="shared" si="2"/>
        <v>333610610.25</v>
      </c>
      <c r="BN12" s="58">
        <f t="shared" si="2"/>
        <v>230515842.41</v>
      </c>
      <c r="BO12" s="58">
        <f t="shared" si="2"/>
        <v>145937874.16999999</v>
      </c>
      <c r="BP12" s="58">
        <f t="shared" si="2"/>
        <v>282306637</v>
      </c>
      <c r="BQ12" s="58">
        <f t="shared" si="2"/>
        <v>128474983.43000001</v>
      </c>
      <c r="BR12" s="58">
        <f t="shared" ref="BR12:CL12" si="3">SUM(BR8:BR11)</f>
        <v>242579696.85999998</v>
      </c>
      <c r="BS12" s="58">
        <f t="shared" si="3"/>
        <v>182908271.48000002</v>
      </c>
      <c r="BT12" s="58">
        <f t="shared" si="3"/>
        <v>0</v>
      </c>
      <c r="BU12" s="58">
        <f t="shared" si="3"/>
        <v>0</v>
      </c>
      <c r="BV12" s="58">
        <f t="shared" si="3"/>
        <v>0</v>
      </c>
      <c r="BW12" s="58">
        <f t="shared" si="3"/>
        <v>0</v>
      </c>
      <c r="BX12" s="58">
        <f t="shared" si="3"/>
        <v>0</v>
      </c>
      <c r="BY12" s="58">
        <f t="shared" si="3"/>
        <v>0</v>
      </c>
      <c r="BZ12" s="58">
        <f t="shared" si="3"/>
        <v>0</v>
      </c>
      <c r="CA12" s="58">
        <f t="shared" si="3"/>
        <v>0</v>
      </c>
      <c r="CB12" s="58">
        <f t="shared" si="3"/>
        <v>0</v>
      </c>
      <c r="CC12" s="58">
        <f t="shared" si="3"/>
        <v>0</v>
      </c>
      <c r="CD12" s="58">
        <f t="shared" si="3"/>
        <v>0</v>
      </c>
      <c r="CE12" s="58">
        <f t="shared" si="3"/>
        <v>0</v>
      </c>
      <c r="CF12" s="58">
        <f t="shared" si="3"/>
        <v>0</v>
      </c>
      <c r="CG12" s="58">
        <f t="shared" si="3"/>
        <v>0</v>
      </c>
      <c r="CH12" s="58">
        <f t="shared" si="3"/>
        <v>0</v>
      </c>
      <c r="CI12" s="58">
        <f t="shared" si="3"/>
        <v>0</v>
      </c>
      <c r="CJ12" s="58">
        <f t="shared" si="3"/>
        <v>0</v>
      </c>
      <c r="CK12" s="58">
        <f t="shared" si="3"/>
        <v>0</v>
      </c>
      <c r="CL12" s="58">
        <f t="shared" si="3"/>
        <v>0</v>
      </c>
    </row>
    <row r="13" spans="1:90" s="28" customFormat="1">
      <c r="A13" s="20" t="s">
        <v>495</v>
      </c>
      <c r="E13" s="28">
        <f>(E6/(1+E4)+E7)/E12</f>
        <v>0.63157520749535112</v>
      </c>
      <c r="F13" s="28">
        <f t="shared" ref="F13:BQ13" si="4">(F6/(1+F4)+F7)/F12</f>
        <v>0.74103884716803436</v>
      </c>
      <c r="G13" s="28">
        <f t="shared" si="4"/>
        <v>0.71080250849070925</v>
      </c>
      <c r="H13" s="28">
        <f t="shared" si="4"/>
        <v>0.64729162964796239</v>
      </c>
      <c r="I13" s="28">
        <f t="shared" si="4"/>
        <v>0.53575364035163087</v>
      </c>
      <c r="J13" s="28">
        <f t="shared" si="4"/>
        <v>0.76590641131122661</v>
      </c>
      <c r="K13" s="28">
        <f t="shared" si="4"/>
        <v>0.73157276818601447</v>
      </c>
      <c r="L13" s="28">
        <f t="shared" si="4"/>
        <v>0.69997325657524889</v>
      </c>
      <c r="M13" s="28">
        <f t="shared" si="4"/>
        <v>0.77724580579301639</v>
      </c>
      <c r="N13" s="28">
        <f t="shared" si="4"/>
        <v>0.77161937045842377</v>
      </c>
      <c r="O13" s="28">
        <f t="shared" si="4"/>
        <v>0.75809554436417848</v>
      </c>
      <c r="P13" s="28">
        <f t="shared" si="4"/>
        <v>0.78807047498904992</v>
      </c>
      <c r="Q13" s="28">
        <f t="shared" si="4"/>
        <v>0.79773013758005429</v>
      </c>
      <c r="R13" s="28">
        <f t="shared" si="4"/>
        <v>0.80536699603332895</v>
      </c>
      <c r="S13" s="28">
        <f t="shared" si="4"/>
        <v>0.78053692326851198</v>
      </c>
      <c r="T13" s="28">
        <f t="shared" si="4"/>
        <v>0.81162262516660322</v>
      </c>
      <c r="U13" s="28">
        <f t="shared" si="4"/>
        <v>0.76948679803722297</v>
      </c>
      <c r="V13" s="28">
        <f t="shared" si="4"/>
        <v>0.83675911579626372</v>
      </c>
      <c r="W13" s="28">
        <f t="shared" si="4"/>
        <v>0.85469554348093979</v>
      </c>
      <c r="X13" s="28">
        <f t="shared" si="4"/>
        <v>0.9423800243936129</v>
      </c>
      <c r="Y13" s="28">
        <f t="shared" si="4"/>
        <v>0.87772689998687925</v>
      </c>
      <c r="Z13" s="28">
        <f t="shared" si="4"/>
        <v>0.89252389960419531</v>
      </c>
      <c r="AA13" s="28">
        <f t="shared" si="4"/>
        <v>0.92791943643798036</v>
      </c>
      <c r="AB13" s="28">
        <f t="shared" si="4"/>
        <v>1.111820179371996</v>
      </c>
      <c r="AC13" s="28">
        <f t="shared" si="4"/>
        <v>0.90591689688255672</v>
      </c>
      <c r="AD13" s="28">
        <f t="shared" si="4"/>
        <v>0.86941848233835306</v>
      </c>
      <c r="AE13" s="28">
        <f t="shared" si="4"/>
        <v>0.81742463925467745</v>
      </c>
      <c r="AF13" s="28">
        <f t="shared" si="4"/>
        <v>0.88063340736498563</v>
      </c>
      <c r="AG13" s="28">
        <f t="shared" si="4"/>
        <v>0.8251640107364645</v>
      </c>
      <c r="AH13" s="28">
        <f t="shared" si="4"/>
        <v>0.78168177480650558</v>
      </c>
      <c r="AI13" s="28">
        <f t="shared" si="4"/>
        <v>0.74684809349724302</v>
      </c>
      <c r="AJ13" s="28">
        <f t="shared" si="4"/>
        <v>0.80140015718999913</v>
      </c>
      <c r="AK13" s="28">
        <f t="shared" si="4"/>
        <v>0.69631620822756257</v>
      </c>
      <c r="AL13" s="28">
        <f t="shared" si="4"/>
        <v>0.74857026413692729</v>
      </c>
      <c r="AM13" s="28">
        <f t="shared" si="4"/>
        <v>0.78491241339675843</v>
      </c>
      <c r="AN13" s="28">
        <f t="shared" si="4"/>
        <v>0.85255267312024263</v>
      </c>
      <c r="AO13" s="28">
        <f t="shared" si="4"/>
        <v>0.82271733781898149</v>
      </c>
      <c r="AP13" s="28">
        <f t="shared" si="4"/>
        <v>0.82480295963152872</v>
      </c>
      <c r="AQ13" s="28">
        <f t="shared" si="4"/>
        <v>0.891517942869684</v>
      </c>
      <c r="AR13" s="28">
        <f t="shared" si="4"/>
        <v>0.93737888946450876</v>
      </c>
      <c r="AS13" s="28">
        <f t="shared" si="4"/>
        <v>0.78119506314222342</v>
      </c>
      <c r="AT13" s="28">
        <f t="shared" si="4"/>
        <v>4.8096284013912074</v>
      </c>
      <c r="AU13" s="28">
        <f t="shared" si="4"/>
        <v>0.7174503833869309</v>
      </c>
      <c r="AV13" s="28">
        <f t="shared" si="4"/>
        <v>0.63298274453428327</v>
      </c>
      <c r="AW13" s="28">
        <f t="shared" si="4"/>
        <v>0.86236787090089406</v>
      </c>
      <c r="AX13" s="28">
        <f t="shared" si="4"/>
        <v>0.83769396634782367</v>
      </c>
      <c r="AY13" s="28">
        <f t="shared" si="4"/>
        <v>0.80992115851540936</v>
      </c>
      <c r="AZ13" s="28">
        <f t="shared" si="4"/>
        <v>0.7814427538613048</v>
      </c>
      <c r="BA13" s="28">
        <f t="shared" si="4"/>
        <v>0.94201872405950893</v>
      </c>
      <c r="BB13" s="28">
        <f t="shared" si="4"/>
        <v>0.94815764370618894</v>
      </c>
      <c r="BC13" s="28">
        <f t="shared" si="4"/>
        <v>0.97147927075005525</v>
      </c>
      <c r="BD13" s="28">
        <f t="shared" si="4"/>
        <v>1.2767950983317882</v>
      </c>
      <c r="BE13" s="28">
        <f t="shared" si="4"/>
        <v>0.87337414109609057</v>
      </c>
      <c r="BF13" s="28">
        <f t="shared" si="4"/>
        <v>0.80997932428813268</v>
      </c>
      <c r="BG13" s="28">
        <f t="shared" si="4"/>
        <v>0.88611745206875403</v>
      </c>
      <c r="BH13" s="28">
        <f t="shared" si="4"/>
        <v>0.92235776953344817</v>
      </c>
      <c r="BI13" s="28">
        <f t="shared" si="4"/>
        <v>0.82119054646828082</v>
      </c>
      <c r="BJ13" s="28">
        <f t="shared" si="4"/>
        <v>0.89555059826520722</v>
      </c>
      <c r="BK13" s="28">
        <f t="shared" si="4"/>
        <v>0.91442994318850068</v>
      </c>
      <c r="BL13" s="28">
        <f t="shared" si="4"/>
        <v>1.4632106686881141</v>
      </c>
      <c r="BM13" s="28">
        <f t="shared" si="4"/>
        <v>0.69306810521413609</v>
      </c>
      <c r="BN13" s="28">
        <f t="shared" si="4"/>
        <v>0.60234983005441067</v>
      </c>
      <c r="BO13" s="28">
        <f t="shared" si="4"/>
        <v>1.7387051590728562</v>
      </c>
      <c r="BP13" s="28">
        <f t="shared" si="4"/>
        <v>0</v>
      </c>
      <c r="BQ13" s="28">
        <f t="shared" si="4"/>
        <v>0</v>
      </c>
      <c r="BR13" s="28">
        <f t="shared" ref="BR13:CK13" si="5">(BR6/(1+BR4)+BR7)/BR12</f>
        <v>0</v>
      </c>
      <c r="BS13" s="28">
        <f t="shared" si="5"/>
        <v>0</v>
      </c>
      <c r="BT13" s="28" t="e">
        <f t="shared" si="5"/>
        <v>#DIV/0!</v>
      </c>
      <c r="BU13" s="28" t="e">
        <f t="shared" si="5"/>
        <v>#DIV/0!</v>
      </c>
      <c r="BV13" s="28" t="e">
        <f t="shared" si="5"/>
        <v>#DIV/0!</v>
      </c>
      <c r="BW13" s="28" t="e">
        <f t="shared" si="5"/>
        <v>#DIV/0!</v>
      </c>
      <c r="BX13" s="28" t="e">
        <f t="shared" si="5"/>
        <v>#DIV/0!</v>
      </c>
      <c r="BY13" s="28" t="e">
        <f t="shared" si="5"/>
        <v>#DIV/0!</v>
      </c>
      <c r="BZ13" s="28" t="e">
        <f t="shared" si="5"/>
        <v>#DIV/0!</v>
      </c>
      <c r="CA13" s="28" t="e">
        <f t="shared" si="5"/>
        <v>#DIV/0!</v>
      </c>
      <c r="CB13" s="28" t="e">
        <f t="shared" si="5"/>
        <v>#DIV/0!</v>
      </c>
      <c r="CC13" s="28" t="e">
        <f t="shared" si="5"/>
        <v>#DIV/0!</v>
      </c>
      <c r="CD13" s="28" t="e">
        <f t="shared" si="5"/>
        <v>#DIV/0!</v>
      </c>
      <c r="CE13" s="28" t="e">
        <f t="shared" si="5"/>
        <v>#DIV/0!</v>
      </c>
      <c r="CF13" s="28" t="e">
        <f t="shared" si="5"/>
        <v>#DIV/0!</v>
      </c>
      <c r="CG13" s="28" t="e">
        <f t="shared" si="5"/>
        <v>#DIV/0!</v>
      </c>
      <c r="CH13" s="28" t="e">
        <f t="shared" si="5"/>
        <v>#DIV/0!</v>
      </c>
      <c r="CI13" s="28" t="e">
        <f t="shared" si="5"/>
        <v>#DIV/0!</v>
      </c>
      <c r="CJ13" s="28" t="e">
        <f t="shared" si="5"/>
        <v>#DIV/0!</v>
      </c>
      <c r="CK13" s="28" t="e">
        <f t="shared" si="5"/>
        <v>#DIV/0!</v>
      </c>
    </row>
    <row r="14" spans="1:90" s="26" customFormat="1">
      <c r="A14" s="20" t="s">
        <v>496</v>
      </c>
      <c r="E14" s="26">
        <f>现金流量表!E13</f>
        <v>411962940.10000002</v>
      </c>
      <c r="F14" s="26">
        <f>现金流量表!F13</f>
        <v>239955349.46000001</v>
      </c>
      <c r="G14" s="26">
        <f>现金流量表!G13</f>
        <v>148025109.56</v>
      </c>
      <c r="H14" s="26">
        <f>现金流量表!H13</f>
        <v>100081175.03</v>
      </c>
      <c r="I14" s="26">
        <f>现金流量表!I13</f>
        <v>506528107.43000001</v>
      </c>
      <c r="J14" s="26">
        <f>现金流量表!J13</f>
        <v>397834377.94999999</v>
      </c>
      <c r="K14" s="26">
        <f>现金流量表!K13</f>
        <v>231607835.00999999</v>
      </c>
      <c r="L14" s="26">
        <f>现金流量表!L13</f>
        <v>146017224.09999999</v>
      </c>
      <c r="M14" s="26">
        <f>现金流量表!M13</f>
        <v>389634256.13999999</v>
      </c>
      <c r="N14" s="26">
        <f>现金流量表!N13</f>
        <v>309188648.60000002</v>
      </c>
      <c r="O14" s="26">
        <f>现金流量表!O13</f>
        <v>175171491.31</v>
      </c>
      <c r="P14" s="26">
        <f>现金流量表!P13</f>
        <v>70509040.489999995</v>
      </c>
      <c r="Q14" s="26">
        <f>现金流量表!Q13</f>
        <v>266634293.78999999</v>
      </c>
      <c r="R14" s="26">
        <f>现金流量表!R13</f>
        <v>136203642.33000001</v>
      </c>
      <c r="S14" s="26">
        <f>现金流量表!S13</f>
        <v>100986732.22</v>
      </c>
      <c r="T14" s="26">
        <f>现金流量表!T13</f>
        <v>43924546.869999997</v>
      </c>
      <c r="U14" s="26">
        <f>现金流量表!U13</f>
        <v>268597934.04000002</v>
      </c>
      <c r="V14" s="26">
        <f>现金流量表!V13</f>
        <v>122843860.92</v>
      </c>
      <c r="W14" s="26">
        <f>现金流量表!W13</f>
        <v>109961830.09999999</v>
      </c>
      <c r="X14" s="26">
        <f>现金流量表!X13</f>
        <v>26760705.460000001</v>
      </c>
      <c r="Y14" s="26">
        <f>现金流量表!Y13</f>
        <v>28519302.5</v>
      </c>
      <c r="Z14" s="26">
        <f>现金流量表!Z13</f>
        <v>-12955274.6</v>
      </c>
      <c r="AA14" s="26">
        <f>现金流量表!AA13</f>
        <v>-49151607.159999996</v>
      </c>
      <c r="AB14" s="26">
        <f>现金流量表!AB13</f>
        <v>-77685327.200000003</v>
      </c>
      <c r="AC14" s="26">
        <f>现金流量表!AC13</f>
        <v>274626291.88</v>
      </c>
      <c r="AD14" s="26">
        <f>现金流量表!AD13</f>
        <v>129274059.53</v>
      </c>
      <c r="AE14" s="26">
        <f>现金流量表!AE13</f>
        <v>124942208.26000001</v>
      </c>
      <c r="AF14" s="26">
        <f>现金流量表!AF13</f>
        <v>46622125.670000002</v>
      </c>
      <c r="AG14" s="26">
        <f>现金流量表!AG13</f>
        <v>217011545.37</v>
      </c>
      <c r="AH14" s="26">
        <f>现金流量表!AH13</f>
        <v>251763804.72</v>
      </c>
      <c r="AI14" s="26">
        <f>现金流量表!AI13</f>
        <v>205942179.30000001</v>
      </c>
      <c r="AJ14" s="26">
        <f>现金流量表!AJ13</f>
        <v>126302608.90000001</v>
      </c>
      <c r="AK14" s="26">
        <f>现金流量表!AK13</f>
        <v>249269436.27000001</v>
      </c>
      <c r="AL14" s="26">
        <f>现金流量表!AL13</f>
        <v>151599709.22999999</v>
      </c>
      <c r="AM14" s="26">
        <f>现金流量表!AM13</f>
        <v>109943653.29000001</v>
      </c>
      <c r="AN14" s="26">
        <f>现金流量表!AN13</f>
        <v>49058562.579999998</v>
      </c>
      <c r="AO14" s="26">
        <f>现金流量表!AO13</f>
        <v>91758958.849999994</v>
      </c>
      <c r="AP14" s="26">
        <f>现金流量表!AP13</f>
        <v>56614845.75</v>
      </c>
      <c r="AQ14" s="26">
        <f>现金流量表!AQ13</f>
        <v>51608092.060000002</v>
      </c>
      <c r="AR14" s="26">
        <f>现金流量表!AR13</f>
        <v>29994039.989999998</v>
      </c>
      <c r="AS14" s="26">
        <f>现金流量表!AS13</f>
        <v>122632735.78</v>
      </c>
      <c r="AT14" s="26">
        <f>现金流量表!AT13</f>
        <v>51706666.969999999</v>
      </c>
      <c r="AU14" s="26">
        <f>现金流量表!AU13</f>
        <v>54171578.590000004</v>
      </c>
      <c r="AV14" s="26">
        <f>现金流量表!AV13</f>
        <v>45869256.079999998</v>
      </c>
      <c r="AW14" s="26">
        <f>现金流量表!AW13</f>
        <v>78468091.319999993</v>
      </c>
      <c r="AX14" s="26">
        <f>现金流量表!AX13</f>
        <v>46466956.770000003</v>
      </c>
      <c r="AY14" s="26">
        <f>现金流量表!AY13</f>
        <v>29761398.41</v>
      </c>
      <c r="AZ14" s="26">
        <f>现金流量表!AZ13</f>
        <v>611246.42000000004</v>
      </c>
      <c r="BA14" s="26">
        <f>现金流量表!BA13</f>
        <v>44086953.729999997</v>
      </c>
      <c r="BB14" s="26">
        <f>现金流量表!BB13</f>
        <v>77919057.519999996</v>
      </c>
      <c r="BC14" s="26">
        <f>现金流量表!BC13</f>
        <v>40496846.329999998</v>
      </c>
      <c r="BD14" s="26">
        <f>现金流量表!BD13</f>
        <v>-11775125.16</v>
      </c>
      <c r="BE14" s="26">
        <f>现金流量表!BE13</f>
        <v>-3698859.75</v>
      </c>
      <c r="BF14" s="26">
        <f>现金流量表!BF13</f>
        <v>49665166.659999996</v>
      </c>
      <c r="BG14" s="26">
        <f>现金流量表!BG13</f>
        <v>-20805085.600000001</v>
      </c>
      <c r="BH14" s="26">
        <f>现金流量表!BH13</f>
        <v>-23281506.120000001</v>
      </c>
      <c r="BI14" s="26">
        <f>现金流量表!BI13</f>
        <v>59348664.32</v>
      </c>
      <c r="BJ14" s="26">
        <f>现金流量表!BJ13</f>
        <v>31099071.09</v>
      </c>
      <c r="BK14" s="26">
        <f>现金流量表!BK13</f>
        <v>7481047.8899999997</v>
      </c>
      <c r="BL14" s="26">
        <f>现金流量表!BL13</f>
        <v>-20695992.199999999</v>
      </c>
      <c r="BM14" s="26">
        <f>现金流量表!BM13</f>
        <v>109261606.93000001</v>
      </c>
      <c r="BN14" s="26">
        <f>现金流量表!BN13</f>
        <v>35879988.640000001</v>
      </c>
      <c r="BO14" s="26">
        <f>现金流量表!BO13</f>
        <v>28603697.760000002</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497</v>
      </c>
      <c r="E15" s="26">
        <f>股权价值增加表!E17</f>
        <v>247917387.95496953</v>
      </c>
      <c r="F15" s="26">
        <f>股权价值增加表!F17</f>
        <v>195267641.39669186</v>
      </c>
      <c r="G15" s="26">
        <f>股权价值增加表!G17</f>
        <v>129048988.80758509</v>
      </c>
      <c r="H15" s="26">
        <f>股权价值增加表!H17</f>
        <v>63360434.194022253</v>
      </c>
      <c r="I15" s="26">
        <f>股权价值增加表!I17</f>
        <v>175599110.76843882</v>
      </c>
      <c r="J15" s="26">
        <f>股权价值增加表!J17</f>
        <v>124653419.18834776</v>
      </c>
      <c r="K15" s="26">
        <f>股权价值增加表!K17</f>
        <v>82974804.840890303</v>
      </c>
      <c r="L15" s="26">
        <f>股权价值增加表!L17</f>
        <v>37599168.940892331</v>
      </c>
      <c r="M15" s="26">
        <f>股权价值增加表!M17</f>
        <v>139549689.38157985</v>
      </c>
      <c r="N15" s="26">
        <f>股权价值增加表!N17</f>
        <v>111498077.40817471</v>
      </c>
      <c r="O15" s="26">
        <f>股权价值增加表!O17</f>
        <v>71388230.516332433</v>
      </c>
      <c r="P15" s="26">
        <f>股权价值增加表!P17</f>
        <v>32511926.862048194</v>
      </c>
      <c r="Q15" s="26">
        <f>股权价值增加表!Q17</f>
        <v>124475369.34830497</v>
      </c>
      <c r="R15" s="26">
        <f>股权价值增加表!R17</f>
        <v>98710700.348534495</v>
      </c>
      <c r="S15" s="26">
        <f>股权价值增加表!S17</f>
        <v>68353771.041198909</v>
      </c>
      <c r="T15" s="26">
        <f>股权价值增加表!T17</f>
        <v>30733447.793998659</v>
      </c>
      <c r="U15" s="26">
        <f>股权价值增加表!U17</f>
        <v>127015214.85972622</v>
      </c>
      <c r="V15" s="26">
        <f>股权价值增加表!V17</f>
        <v>108424423.72679889</v>
      </c>
      <c r="W15" s="26">
        <f>股权价值增加表!W17</f>
        <v>71875060.155556649</v>
      </c>
      <c r="X15" s="26">
        <f>股权价值增加表!X17</f>
        <v>33620874.495408438</v>
      </c>
      <c r="Y15" s="26">
        <f>股权价值增加表!Y17</f>
        <v>122594678.91784942</v>
      </c>
      <c r="Z15" s="26">
        <f>股权价值增加表!Z17</f>
        <v>98045995.705736354</v>
      </c>
      <c r="AA15" s="26">
        <f>股权价值增加表!AA17</f>
        <v>64286772.293111265</v>
      </c>
      <c r="AB15" s="26">
        <f>股权价值增加表!AB17</f>
        <v>28466967.411369838</v>
      </c>
      <c r="AC15" s="26">
        <f>股权价值增加表!AC17</f>
        <v>129915192.86496809</v>
      </c>
      <c r="AD15" s="26">
        <f>股权价值增加表!AD17</f>
        <v>112301370.71919394</v>
      </c>
      <c r="AE15" s="26">
        <f>股权价值增加表!AE17</f>
        <v>81734245.314214736</v>
      </c>
      <c r="AF15" s="26">
        <f>股权价值增加表!AF17</f>
        <v>40624045.516401142</v>
      </c>
      <c r="AG15" s="26">
        <f>股权价值增加表!AG17</f>
        <v>174968893.31274343</v>
      </c>
      <c r="AH15" s="26">
        <f>股权价值增加表!AH17</f>
        <v>146239377.26985049</v>
      </c>
      <c r="AI15" s="26">
        <f>股权价值增加表!AI17</f>
        <v>96360141.763004005</v>
      </c>
      <c r="AJ15" s="26">
        <f>股权价值增加表!AJ17</f>
        <v>45606808.093407445</v>
      </c>
      <c r="AK15" s="26">
        <f>股权价值增加表!AK17</f>
        <v>144821458.59473762</v>
      </c>
      <c r="AL15" s="26">
        <f>股权价值增加表!AL17</f>
        <v>109472035.61151272</v>
      </c>
      <c r="AM15" s="26">
        <f>股权价值增加表!AM17</f>
        <v>72541852.431419209</v>
      </c>
      <c r="AN15" s="26">
        <f>股权价值增加表!AN17</f>
        <v>37650087.805199593</v>
      </c>
      <c r="AO15" s="26">
        <f>股权价值增加表!AO17</f>
        <v>139016907.28994122</v>
      </c>
      <c r="AP15" s="26">
        <f>股权价值增加表!AP17</f>
        <v>104050678.5727836</v>
      </c>
      <c r="AQ15" s="26">
        <f>股权价值增加表!AQ17</f>
        <v>68827292.331538662</v>
      </c>
      <c r="AR15" s="26">
        <f>股权价值增加表!AR17</f>
        <v>29508098.603900019</v>
      </c>
      <c r="AS15" s="26">
        <f>股权价值增加表!AS17</f>
        <v>114388643.19084157</v>
      </c>
      <c r="AT15" s="26">
        <f>股权价值增加表!AT17</f>
        <v>605921615.35254657</v>
      </c>
      <c r="AU15" s="26">
        <f>股权价值增加表!AU17</f>
        <v>57020988.702899322</v>
      </c>
      <c r="AV15" s="26">
        <f>股权价值增加表!AV17</f>
        <v>25894547.196580261</v>
      </c>
      <c r="AW15" s="26">
        <f>股权价值增加表!AW17</f>
        <v>99676175.287281245</v>
      </c>
      <c r="AX15" s="26">
        <f>股权价值增加表!AX17</f>
        <v>80715195.822959185</v>
      </c>
      <c r="AY15" s="26">
        <f>股权价值增加表!AY17</f>
        <v>53046066.079280473</v>
      </c>
      <c r="AZ15" s="26">
        <f>股权价值增加表!AZ17</f>
        <v>24529245.103499286</v>
      </c>
      <c r="BA15" s="26">
        <f>股权价值增加表!BA17</f>
        <v>88081058.438888073</v>
      </c>
      <c r="BB15" s="26">
        <f>股权价值增加表!BB17</f>
        <v>66338374.103167281</v>
      </c>
      <c r="BC15" s="26">
        <f>股权价值增加表!BC17</f>
        <v>44034928.605702765</v>
      </c>
      <c r="BD15" s="26">
        <f>股权价值增加表!BD17</f>
        <v>21992182.998878606</v>
      </c>
      <c r="BE15" s="26">
        <f>股权价值增加表!BE17</f>
        <v>74620876.664500356</v>
      </c>
      <c r="BF15" s="26">
        <f>股权价值增加表!BF17</f>
        <v>54429716.402884968</v>
      </c>
      <c r="BG15" s="26">
        <f>股权价值增加表!BG17</f>
        <v>35166809.720974058</v>
      </c>
      <c r="BH15" s="26">
        <f>股权价值增加表!BH17</f>
        <v>16746489.653149374</v>
      </c>
      <c r="BI15" s="26">
        <f>股权价值增加表!BI17</f>
        <v>68179465.876244739</v>
      </c>
      <c r="BJ15" s="26">
        <f>股权价值增加表!BJ17</f>
        <v>49913580.671370462</v>
      </c>
      <c r="BK15" s="26">
        <f>股权价值增加表!BK17</f>
        <v>34618661.009833135</v>
      </c>
      <c r="BL15" s="26">
        <f>股权价值增加表!BL17</f>
        <v>13299877.681794897</v>
      </c>
      <c r="BM15" s="26">
        <f>股权价值增加表!BM17</f>
        <v>62053763.698074311</v>
      </c>
      <c r="BN15" s="26">
        <f>股权价值增加表!BN17</f>
        <v>43306392.491845459</v>
      </c>
      <c r="BO15" s="26">
        <f>股权价值增加表!BO17</f>
        <v>28765236.868435014</v>
      </c>
      <c r="BP15" s="26">
        <f>股权价值增加表!BP17</f>
        <v>45842058.917906389</v>
      </c>
      <c r="BQ15" s="26">
        <f>股权价值增加表!BQ17</f>
        <v>21021727.764259376</v>
      </c>
      <c r="BR15" s="26">
        <f>股权价值增加表!BR17</f>
        <v>34524148.131465234</v>
      </c>
      <c r="BS15" s="26">
        <f>股权价值增加表!BS17</f>
        <v>32737849.191867828</v>
      </c>
      <c r="BT15" s="26" t="e">
        <f>股权价值增加表!BT17</f>
        <v>#DIV/0!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498</v>
      </c>
      <c r="E16" s="28">
        <f>E14/E15</f>
        <v>1.6616944196541266</v>
      </c>
      <c r="F16" s="28">
        <f t="shared" ref="F16:BQ16" si="6">F14/F15</f>
        <v>1.2288536274810826</v>
      </c>
      <c r="G16" s="28">
        <f t="shared" si="6"/>
        <v>1.1470458693846004</v>
      </c>
      <c r="H16" s="28">
        <f t="shared" si="6"/>
        <v>1.5795531754648577</v>
      </c>
      <c r="I16" s="28">
        <f t="shared" si="6"/>
        <v>2.8845710277995353</v>
      </c>
      <c r="J16" s="28">
        <f t="shared" si="6"/>
        <v>3.191523991402784</v>
      </c>
      <c r="K16" s="28">
        <f t="shared" si="6"/>
        <v>2.7913031606898429</v>
      </c>
      <c r="L16" s="28">
        <f t="shared" si="6"/>
        <v>3.8835226472570699</v>
      </c>
      <c r="M16" s="28">
        <f t="shared" si="6"/>
        <v>2.7920825755089829</v>
      </c>
      <c r="N16" s="28">
        <f t="shared" si="6"/>
        <v>2.7730401795908568</v>
      </c>
      <c r="O16" s="28">
        <f t="shared" si="6"/>
        <v>2.4537867102606459</v>
      </c>
      <c r="P16" s="28">
        <f t="shared" si="6"/>
        <v>2.1687130630300038</v>
      </c>
      <c r="Q16" s="28">
        <f t="shared" si="6"/>
        <v>2.1420646926855724</v>
      </c>
      <c r="R16" s="28">
        <f t="shared" si="6"/>
        <v>1.3798265218368715</v>
      </c>
      <c r="S16" s="28">
        <f t="shared" si="6"/>
        <v>1.4774127408293569</v>
      </c>
      <c r="T16" s="28">
        <f t="shared" si="6"/>
        <v>1.4292098681677092</v>
      </c>
      <c r="U16" s="28">
        <f t="shared" si="6"/>
        <v>2.1146910182109737</v>
      </c>
      <c r="V16" s="28">
        <f t="shared" si="6"/>
        <v>1.1329906740342408</v>
      </c>
      <c r="W16" s="28">
        <f t="shared" si="6"/>
        <v>1.5299024426833661</v>
      </c>
      <c r="X16" s="28">
        <f t="shared" si="6"/>
        <v>0.79595506843983721</v>
      </c>
      <c r="Y16" s="28">
        <f t="shared" si="6"/>
        <v>0.2326308348106263</v>
      </c>
      <c r="Z16" s="28">
        <f t="shared" si="6"/>
        <v>-0.13213466298901616</v>
      </c>
      <c r="AA16" s="28">
        <f t="shared" si="6"/>
        <v>-0.76456797264445808</v>
      </c>
      <c r="AB16" s="28">
        <f t="shared" si="6"/>
        <v>-2.7289639278180409</v>
      </c>
      <c r="AC16" s="28">
        <f t="shared" si="6"/>
        <v>2.1138889595879866</v>
      </c>
      <c r="AD16" s="28">
        <f t="shared" si="6"/>
        <v>1.1511351883072358</v>
      </c>
      <c r="AE16" s="28">
        <f t="shared" si="6"/>
        <v>1.5286396513441691</v>
      </c>
      <c r="AF16" s="28">
        <f t="shared" si="6"/>
        <v>1.1476485189338728</v>
      </c>
      <c r="AG16" s="28">
        <f t="shared" si="6"/>
        <v>1.2402864375561236</v>
      </c>
      <c r="AH16" s="28">
        <f t="shared" si="6"/>
        <v>1.7215869584525714</v>
      </c>
      <c r="AI16" s="28">
        <f t="shared" si="6"/>
        <v>2.1372133283750352</v>
      </c>
      <c r="AJ16" s="28">
        <f t="shared" si="6"/>
        <v>2.7693805854888867</v>
      </c>
      <c r="AK16" s="28">
        <f t="shared" si="6"/>
        <v>1.7212189318403794</v>
      </c>
      <c r="AL16" s="28">
        <f t="shared" si="6"/>
        <v>1.3848258907689195</v>
      </c>
      <c r="AM16" s="28">
        <f t="shared" si="6"/>
        <v>1.5155892716406756</v>
      </c>
      <c r="AN16" s="28">
        <f t="shared" si="6"/>
        <v>1.3030132315713978</v>
      </c>
      <c r="AO16" s="28">
        <f t="shared" si="6"/>
        <v>0.66005610856111563</v>
      </c>
      <c r="AP16" s="28">
        <f t="shared" si="6"/>
        <v>0.54410837609672902</v>
      </c>
      <c r="AQ16" s="28">
        <f t="shared" si="6"/>
        <v>0.74982017033890602</v>
      </c>
      <c r="AR16" s="28">
        <f t="shared" si="6"/>
        <v>1.0164680683978653</v>
      </c>
      <c r="AS16" s="28">
        <f t="shared" si="6"/>
        <v>1.0720709010894054</v>
      </c>
      <c r="AT16" s="28">
        <f t="shared" si="6"/>
        <v>8.5335570905347616E-2</v>
      </c>
      <c r="AU16" s="28">
        <f t="shared" si="6"/>
        <v>0.95002874945319149</v>
      </c>
      <c r="AV16" s="28">
        <f t="shared" si="6"/>
        <v>1.77138668352763</v>
      </c>
      <c r="AW16" s="28">
        <f t="shared" si="6"/>
        <v>0.78723015900081972</v>
      </c>
      <c r="AX16" s="28">
        <f t="shared" si="6"/>
        <v>0.5756903182384725</v>
      </c>
      <c r="AY16" s="28">
        <f t="shared" si="6"/>
        <v>0.56104817208348368</v>
      </c>
      <c r="AZ16" s="28">
        <f t="shared" si="6"/>
        <v>2.4919088109760092E-2</v>
      </c>
      <c r="BA16" s="28">
        <f t="shared" si="6"/>
        <v>0.50052706576622452</v>
      </c>
      <c r="BB16" s="28">
        <f t="shared" si="6"/>
        <v>1.1745699012584001</v>
      </c>
      <c r="BC16" s="28">
        <f t="shared" si="6"/>
        <v>0.91965282134590387</v>
      </c>
      <c r="BD16" s="28">
        <f t="shared" si="6"/>
        <v>-0.53542320744604666</v>
      </c>
      <c r="BE16" s="28">
        <f t="shared" si="6"/>
        <v>-4.956869867169051E-2</v>
      </c>
      <c r="BF16" s="28">
        <f t="shared" si="6"/>
        <v>0.91246418210930758</v>
      </c>
      <c r="BG16" s="28">
        <f t="shared" si="6"/>
        <v>-0.59161140191774375</v>
      </c>
      <c r="BH16" s="28">
        <f t="shared" si="6"/>
        <v>-1.390232018900847</v>
      </c>
      <c r="BI16" s="28">
        <f t="shared" si="6"/>
        <v>0.87047710857292604</v>
      </c>
      <c r="BJ16" s="28">
        <f t="shared" si="6"/>
        <v>0.62305830741247281</v>
      </c>
      <c r="BK16" s="28">
        <f t="shared" si="6"/>
        <v>0.21609870722253158</v>
      </c>
      <c r="BL16" s="28">
        <f t="shared" si="6"/>
        <v>-1.5561039503640723</v>
      </c>
      <c r="BM16" s="28">
        <f t="shared" si="6"/>
        <v>1.7607571308908485</v>
      </c>
      <c r="BN16" s="28">
        <f t="shared" si="6"/>
        <v>0.82851483523491731</v>
      </c>
      <c r="BO16" s="28">
        <f t="shared" si="6"/>
        <v>0.99438422463983689</v>
      </c>
      <c r="BP16" s="28">
        <f t="shared" si="6"/>
        <v>0</v>
      </c>
      <c r="BQ16" s="28">
        <f t="shared" si="6"/>
        <v>0</v>
      </c>
      <c r="BR16" s="28">
        <f t="shared" ref="BR16:CL16" si="7">BR14/BR15</f>
        <v>0</v>
      </c>
      <c r="BS16" s="28">
        <f t="shared" si="7"/>
        <v>0</v>
      </c>
      <c r="BT16" s="28" t="e">
        <f t="shared" si="7"/>
        <v>#DIV/0!</v>
      </c>
      <c r="BU16" s="28" t="e">
        <f t="shared" si="7"/>
        <v>#DIV/0!</v>
      </c>
      <c r="BV16" s="28" t="e">
        <f t="shared" si="7"/>
        <v>#DIV/0!</v>
      </c>
      <c r="BW16" s="28" t="e">
        <f t="shared" si="7"/>
        <v>#DIV/0!</v>
      </c>
      <c r="BX16" s="28" t="e">
        <f t="shared" si="7"/>
        <v>#DIV/0!</v>
      </c>
      <c r="BY16" s="28" t="e">
        <f t="shared" si="7"/>
        <v>#DIV/0!</v>
      </c>
      <c r="BZ16" s="28" t="e">
        <f t="shared" si="7"/>
        <v>#DIV/0!</v>
      </c>
      <c r="CA16" s="28" t="e">
        <f t="shared" si="7"/>
        <v>#DIV/0!</v>
      </c>
      <c r="CB16" s="28" t="e">
        <f t="shared" si="7"/>
        <v>#DIV/0!</v>
      </c>
      <c r="CC16" s="28" t="e">
        <f t="shared" si="7"/>
        <v>#DIV/0!</v>
      </c>
      <c r="CD16" s="28" t="e">
        <f t="shared" si="7"/>
        <v>#DIV/0!</v>
      </c>
      <c r="CE16" s="28" t="e">
        <f t="shared" si="7"/>
        <v>#DIV/0!</v>
      </c>
      <c r="CF16" s="28" t="e">
        <f t="shared" si="7"/>
        <v>#DIV/0!</v>
      </c>
      <c r="CG16" s="28" t="e">
        <f t="shared" si="7"/>
        <v>#DIV/0!</v>
      </c>
      <c r="CH16" s="28" t="e">
        <f t="shared" si="7"/>
        <v>#DIV/0!</v>
      </c>
      <c r="CI16" s="28" t="e">
        <f t="shared" si="7"/>
        <v>#DIV/0!</v>
      </c>
      <c r="CJ16" s="28" t="e">
        <f t="shared" si="7"/>
        <v>#DIV/0!</v>
      </c>
      <c r="CK16" s="28" t="e">
        <f t="shared" si="7"/>
        <v>#DIV/0!</v>
      </c>
      <c r="CL16" s="28" t="e">
        <f t="shared" si="7"/>
        <v>#DIV/0!</v>
      </c>
    </row>
    <row r="17" spans="1:90" s="26" customFormat="1">
      <c r="A17" s="17" t="s">
        <v>499</v>
      </c>
      <c r="E17" s="26">
        <f>股权价值增加表!E42</f>
        <v>234275794.97000012</v>
      </c>
      <c r="F17" s="26">
        <f>股权价值增加表!F42</f>
        <v>197769581.93999988</v>
      </c>
      <c r="G17" s="26">
        <f>股权价值增加表!G42</f>
        <v>132113744.44</v>
      </c>
      <c r="H17" s="26">
        <f>股权价值增加表!H42</f>
        <v>64778065.189999945</v>
      </c>
      <c r="I17" s="26">
        <f>股权价值增加表!I42</f>
        <v>202434546.46000001</v>
      </c>
      <c r="J17" s="26">
        <f>股权价值增加表!J42</f>
        <v>129166797.50999987</v>
      </c>
      <c r="K17" s="26">
        <f>股权价值增加表!K42</f>
        <v>85611680.670000017</v>
      </c>
      <c r="L17" s="26">
        <f>股权价值增加表!L42</f>
        <v>38498722.269999981</v>
      </c>
      <c r="M17" s="26">
        <f>股权价值增加表!M42</f>
        <v>147147421.82999986</v>
      </c>
      <c r="N17" s="26">
        <f>股权价值增加表!N42</f>
        <v>113033057.51000001</v>
      </c>
      <c r="O17" s="26">
        <f>股权价值增加表!O42</f>
        <v>72600584.830000058</v>
      </c>
      <c r="P17" s="26">
        <f>股权价值增加表!P42</f>
        <v>32196707.390000015</v>
      </c>
      <c r="Q17" s="26">
        <f>股权价值增加表!Q42</f>
        <v>123166507.55000004</v>
      </c>
      <c r="R17" s="26">
        <f>股权价值增加表!R42</f>
        <v>96590839.369999945</v>
      </c>
      <c r="S17" s="26">
        <f>股权价值增加表!S42</f>
        <v>67418001.789999992</v>
      </c>
      <c r="T17" s="26">
        <f>股权价值增加表!T42</f>
        <v>29899737.93999999</v>
      </c>
      <c r="U17" s="26">
        <f>股权价值增加表!U42</f>
        <v>115798120.17999987</v>
      </c>
      <c r="V17" s="26">
        <f>股权价值增加表!V42</f>
        <v>102162236.92000002</v>
      </c>
      <c r="W17" s="26">
        <f>股权价值增加表!W42</f>
        <v>67280743.450000107</v>
      </c>
      <c r="X17" s="26">
        <f>股权价值增加表!X42</f>
        <v>31443301.370000031</v>
      </c>
      <c r="Y17" s="26">
        <f>股权价值增加表!Y42</f>
        <v>117844311.68999994</v>
      </c>
      <c r="Z17" s="26">
        <f>股权价值增加表!Z42</f>
        <v>95957190.230000094</v>
      </c>
      <c r="AA17" s="26">
        <f>股权价值增加表!AA42</f>
        <v>63095938.510000035</v>
      </c>
      <c r="AB17" s="26">
        <f>股权价值增加表!AB42</f>
        <v>27756484.070000008</v>
      </c>
      <c r="AC17" s="26">
        <f>股权价值增加表!AC42</f>
        <v>129134900.10999991</v>
      </c>
      <c r="AD17" s="26">
        <f>股权价值增加表!AD42</f>
        <v>113955850.39999998</v>
      </c>
      <c r="AE17" s="26">
        <f>股权价值增加表!AE42</f>
        <v>83606149.950000077</v>
      </c>
      <c r="AF17" s="26">
        <f>股权价值增加表!AF42</f>
        <v>39529395.170000002</v>
      </c>
      <c r="AG17" s="26">
        <f>股权价值增加表!AG42</f>
        <v>169248345.51000005</v>
      </c>
      <c r="AH17" s="26">
        <f>股权价值增加表!AH42</f>
        <v>141776404.13999993</v>
      </c>
      <c r="AI17" s="26">
        <f>股权价值增加表!AI42</f>
        <v>93848459.410000041</v>
      </c>
      <c r="AJ17" s="26">
        <f>股权价值增加表!AJ42</f>
        <v>44179804.809999973</v>
      </c>
      <c r="AK17" s="26">
        <f>股权价值增加表!AK42</f>
        <v>141403845.82000014</v>
      </c>
      <c r="AL17" s="26">
        <f>股权价值增加表!AL42</f>
        <v>110542370.32999995</v>
      </c>
      <c r="AM17" s="26">
        <f>股权价值增加表!AM42</f>
        <v>74799161.589999974</v>
      </c>
      <c r="AN17" s="26">
        <f>股权价值增加表!AN42</f>
        <v>35945179.12000002</v>
      </c>
      <c r="AO17" s="26">
        <f>股权价值增加表!AO42</f>
        <v>131395753.98000002</v>
      </c>
      <c r="AP17" s="26">
        <f>股权价值增加表!AP42</f>
        <v>98857182.329999924</v>
      </c>
      <c r="AQ17" s="26">
        <f>股权价值增加表!AQ42</f>
        <v>66368181.120000049</v>
      </c>
      <c r="AR17" s="26">
        <f>股权价值增加表!AR42</f>
        <v>29461078.500000004</v>
      </c>
      <c r="AS17" s="26">
        <f>股权价值增加表!AS42</f>
        <v>109900825.46999997</v>
      </c>
      <c r="AT17" s="26">
        <f>股权价值增加表!AT42</f>
        <v>599631802.59000003</v>
      </c>
      <c r="AU17" s="26">
        <f>股权价值增加表!AU42</f>
        <v>53997130.400000013</v>
      </c>
      <c r="AV17" s="26">
        <f>股权价值增加表!AV42</f>
        <v>23754642.239999987</v>
      </c>
      <c r="AW17" s="26">
        <f>股权价值增加表!AW42</f>
        <v>88505597.280000076</v>
      </c>
      <c r="AX17" s="26">
        <f>股权价值增加表!AX42</f>
        <v>72352444.829999939</v>
      </c>
      <c r="AY17" s="26">
        <f>股权价值增加表!AY42</f>
        <v>47489308.019999981</v>
      </c>
      <c r="AZ17" s="26">
        <f>股权价值增加表!AZ42</f>
        <v>21845288.199999996</v>
      </c>
      <c r="BA17" s="26">
        <f>股权价值增加表!BA42</f>
        <v>80911919.000000015</v>
      </c>
      <c r="BB17" s="26">
        <f>股权价值增加表!BB42</f>
        <v>61259084.520000011</v>
      </c>
      <c r="BC17" s="26">
        <f>股权价值增加表!BC42</f>
        <v>40674353.270000041</v>
      </c>
      <c r="BD17" s="26">
        <f>股权价值增加表!BD42</f>
        <v>20356454.749999989</v>
      </c>
      <c r="BE17" s="26">
        <f>股权价值增加表!BE42</f>
        <v>71969243.949999988</v>
      </c>
      <c r="BF17" s="26">
        <f>股权价值增加表!BF42</f>
        <v>52948011.330000028</v>
      </c>
      <c r="BG17" s="26">
        <f>股权价值增加表!BG42</f>
        <v>34656153.020000011</v>
      </c>
      <c r="BH17" s="26">
        <f>股权价值增加表!BH42</f>
        <v>16213208.329999994</v>
      </c>
      <c r="BI17" s="26">
        <f>股权价值增加表!BI42</f>
        <v>69084461.00000006</v>
      </c>
      <c r="BJ17" s="26">
        <f>股权价值增加表!BJ42</f>
        <v>51217455.339999974</v>
      </c>
      <c r="BK17" s="26">
        <f>股权价值增加表!BK42</f>
        <v>32983884.779999997</v>
      </c>
      <c r="BL17" s="26">
        <f>股权价值增加表!BL42</f>
        <v>12476935.910000004</v>
      </c>
      <c r="BM17" s="26">
        <f>股权价值增加表!BM42</f>
        <v>58581551.860000022</v>
      </c>
      <c r="BN17" s="26">
        <f>股权价值增加表!BN42</f>
        <v>40408245.130000018</v>
      </c>
      <c r="BO17" s="26">
        <f>股权价值增加表!BO42</f>
        <v>27501378.399999991</v>
      </c>
      <c r="BP17" s="26">
        <f>股权价值增加表!BP42</f>
        <v>41162233.900000036</v>
      </c>
      <c r="BQ17" s="26">
        <f>股权价值增加表!BQ42</f>
        <v>19247503.320000023</v>
      </c>
      <c r="BR17" s="26">
        <f>股权价值增加表!BR42</f>
        <v>30738686.140000015</v>
      </c>
      <c r="BS17" s="26">
        <f>股权价值增加表!BS42</f>
        <v>28640757.699999988</v>
      </c>
      <c r="BT17" s="26">
        <f>股权价值增加表!BT42</f>
        <v>0</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500</v>
      </c>
      <c r="E18" s="28">
        <f>E14/E17</f>
        <v>1.7584528531970338</v>
      </c>
      <c r="F18" s="28">
        <f t="shared" ref="F18:BQ18" si="8">F14/F17</f>
        <v>1.2133076639298284</v>
      </c>
      <c r="G18" s="28">
        <f t="shared" si="8"/>
        <v>1.1204368643659648</v>
      </c>
      <c r="H18" s="28">
        <f t="shared" si="8"/>
        <v>1.5449855554724092</v>
      </c>
      <c r="I18" s="28">
        <f t="shared" si="8"/>
        <v>2.5021821437483118</v>
      </c>
      <c r="J18" s="28">
        <f t="shared" si="8"/>
        <v>3.0800049673694225</v>
      </c>
      <c r="K18" s="28">
        <f t="shared" si="8"/>
        <v>2.7053298474861016</v>
      </c>
      <c r="L18" s="28">
        <f t="shared" si="8"/>
        <v>3.7927810454577995</v>
      </c>
      <c r="M18" s="28">
        <f t="shared" si="8"/>
        <v>2.6479176549226011</v>
      </c>
      <c r="N18" s="28">
        <f t="shared" si="8"/>
        <v>2.7353825103124914</v>
      </c>
      <c r="O18" s="28">
        <f t="shared" si="8"/>
        <v>2.4128110223929702</v>
      </c>
      <c r="P18" s="28">
        <f t="shared" si="8"/>
        <v>2.1899456871760563</v>
      </c>
      <c r="Q18" s="28">
        <f t="shared" si="8"/>
        <v>2.1648279154278893</v>
      </c>
      <c r="R18" s="28">
        <f t="shared" si="8"/>
        <v>1.4101093149036592</v>
      </c>
      <c r="S18" s="28">
        <f t="shared" si="8"/>
        <v>1.4979193915382287</v>
      </c>
      <c r="T18" s="28">
        <f t="shared" si="8"/>
        <v>1.4690612659597113</v>
      </c>
      <c r="U18" s="28">
        <f t="shared" si="8"/>
        <v>2.3195362206440295</v>
      </c>
      <c r="V18" s="28">
        <f t="shared" si="8"/>
        <v>1.2024390285834785</v>
      </c>
      <c r="W18" s="28">
        <f t="shared" si="8"/>
        <v>1.6343729938376568</v>
      </c>
      <c r="X18" s="28">
        <f t="shared" si="8"/>
        <v>0.85107810865980882</v>
      </c>
      <c r="Y18" s="28">
        <f t="shared" si="8"/>
        <v>0.24200830817377583</v>
      </c>
      <c r="Z18" s="28">
        <f t="shared" si="8"/>
        <v>-0.13501098322019914</v>
      </c>
      <c r="AA18" s="28">
        <f t="shared" si="8"/>
        <v>-0.7789979564565791</v>
      </c>
      <c r="AB18" s="28">
        <f t="shared" si="8"/>
        <v>-2.7988172783009104</v>
      </c>
      <c r="AC18" s="28">
        <f t="shared" si="8"/>
        <v>2.1266620537598073</v>
      </c>
      <c r="AD18" s="28">
        <f t="shared" si="8"/>
        <v>1.1344223142228425</v>
      </c>
      <c r="AE18" s="28">
        <f t="shared" si="8"/>
        <v>1.4944140871780436</v>
      </c>
      <c r="AF18" s="28">
        <f t="shared" si="8"/>
        <v>1.1794292695220108</v>
      </c>
      <c r="AG18" s="28">
        <f t="shared" si="8"/>
        <v>1.2822077800292462</v>
      </c>
      <c r="AH18" s="28">
        <f t="shared" si="8"/>
        <v>1.7757807178646654</v>
      </c>
      <c r="AI18" s="28">
        <f t="shared" si="8"/>
        <v>2.1944119338207888</v>
      </c>
      <c r="AJ18" s="28">
        <f t="shared" si="8"/>
        <v>2.8588313018397891</v>
      </c>
      <c r="AK18" s="28">
        <f t="shared" si="8"/>
        <v>1.7628193549085451</v>
      </c>
      <c r="AL18" s="28">
        <f t="shared" si="8"/>
        <v>1.3714172111330014</v>
      </c>
      <c r="AM18" s="28">
        <f t="shared" si="8"/>
        <v>1.4698514121406752</v>
      </c>
      <c r="AN18" s="28">
        <f t="shared" si="8"/>
        <v>1.3648161945784727</v>
      </c>
      <c r="AO18" s="28">
        <f t="shared" si="8"/>
        <v>0.69834036542738498</v>
      </c>
      <c r="AP18" s="28">
        <f t="shared" si="8"/>
        <v>0.5726932977010335</v>
      </c>
      <c r="AQ18" s="28">
        <f t="shared" si="8"/>
        <v>0.77760292943221709</v>
      </c>
      <c r="AR18" s="28">
        <f t="shared" si="8"/>
        <v>1.0180903591156718</v>
      </c>
      <c r="AS18" s="28">
        <f t="shared" si="8"/>
        <v>1.1158490871706466</v>
      </c>
      <c r="AT18" s="28">
        <f t="shared" si="8"/>
        <v>8.6230694814155115E-2</v>
      </c>
      <c r="AU18" s="28">
        <f t="shared" si="8"/>
        <v>1.0032306937184943</v>
      </c>
      <c r="AV18" s="28">
        <f t="shared" si="8"/>
        <v>1.9309596674439338</v>
      </c>
      <c r="AW18" s="28">
        <f t="shared" si="8"/>
        <v>0.88658902636129322</v>
      </c>
      <c r="AX18" s="28">
        <f t="shared" si="8"/>
        <v>0.64223063752965437</v>
      </c>
      <c r="AY18" s="28">
        <f t="shared" si="8"/>
        <v>0.62669682189233156</v>
      </c>
      <c r="AZ18" s="28">
        <f t="shared" si="8"/>
        <v>2.7980698373208011E-2</v>
      </c>
      <c r="BA18" s="28">
        <f t="shared" si="8"/>
        <v>0.54487588818651045</v>
      </c>
      <c r="BB18" s="28">
        <f t="shared" si="8"/>
        <v>1.2719592225469971</v>
      </c>
      <c r="BC18" s="28">
        <f t="shared" si="8"/>
        <v>0.99563590012552294</v>
      </c>
      <c r="BD18" s="28">
        <f t="shared" si="8"/>
        <v>-0.57844675335718798</v>
      </c>
      <c r="BE18" s="28">
        <f t="shared" si="8"/>
        <v>-5.1395006352571257E-2</v>
      </c>
      <c r="BF18" s="28">
        <f t="shared" si="8"/>
        <v>0.93799871633441323</v>
      </c>
      <c r="BG18" s="28">
        <f t="shared" si="8"/>
        <v>-0.60032876666932478</v>
      </c>
      <c r="BH18" s="28">
        <f t="shared" si="8"/>
        <v>-1.4359592281881206</v>
      </c>
      <c r="BI18" s="28">
        <f t="shared" si="8"/>
        <v>0.85907400102607656</v>
      </c>
      <c r="BJ18" s="28">
        <f t="shared" si="8"/>
        <v>0.60719672392064639</v>
      </c>
      <c r="BK18" s="28">
        <f t="shared" si="8"/>
        <v>0.22680918090449381</v>
      </c>
      <c r="BL18" s="28">
        <f t="shared" si="8"/>
        <v>-1.6587399622220222</v>
      </c>
      <c r="BM18" s="28">
        <f t="shared" si="8"/>
        <v>1.8651197085238835</v>
      </c>
      <c r="BN18" s="28">
        <f t="shared" si="8"/>
        <v>0.88793731389641228</v>
      </c>
      <c r="BO18" s="28">
        <f t="shared" si="8"/>
        <v>1.0400823312914385</v>
      </c>
      <c r="BP18" s="28">
        <f t="shared" si="8"/>
        <v>0</v>
      </c>
      <c r="BQ18" s="28">
        <f t="shared" si="8"/>
        <v>0</v>
      </c>
      <c r="BR18" s="28">
        <f t="shared" ref="BR18:CK18" si="9">BR14/BR17</f>
        <v>0</v>
      </c>
      <c r="BS18" s="28">
        <f t="shared" si="9"/>
        <v>0</v>
      </c>
      <c r="BT18" s="28" t="e">
        <f t="shared" si="9"/>
        <v>#DIV/0!</v>
      </c>
      <c r="BU18" s="28">
        <f t="shared" si="9"/>
        <v>0</v>
      </c>
      <c r="BV18" s="28">
        <f t="shared" si="9"/>
        <v>0</v>
      </c>
      <c r="BW18" s="28">
        <f t="shared" si="9"/>
        <v>0</v>
      </c>
      <c r="BX18" s="28">
        <f t="shared" si="9"/>
        <v>0</v>
      </c>
      <c r="BY18" s="28">
        <f t="shared" si="9"/>
        <v>0</v>
      </c>
      <c r="BZ18" s="28">
        <f t="shared" si="9"/>
        <v>0</v>
      </c>
      <c r="CA18" s="28">
        <f t="shared" si="9"/>
        <v>0</v>
      </c>
      <c r="CB18" s="28">
        <f t="shared" si="9"/>
        <v>0</v>
      </c>
      <c r="CC18" s="28">
        <f t="shared" si="9"/>
        <v>0</v>
      </c>
      <c r="CD18" s="28" t="e">
        <f t="shared" si="9"/>
        <v>#DIV/0!</v>
      </c>
      <c r="CE18" s="28">
        <f t="shared" si="9"/>
        <v>0</v>
      </c>
      <c r="CF18" s="28">
        <f t="shared" si="9"/>
        <v>0</v>
      </c>
      <c r="CG18" s="28">
        <f t="shared" si="9"/>
        <v>0</v>
      </c>
      <c r="CH18" s="28">
        <f t="shared" si="9"/>
        <v>0</v>
      </c>
      <c r="CI18" s="28">
        <f t="shared" si="9"/>
        <v>0</v>
      </c>
      <c r="CJ18" s="28">
        <f t="shared" si="9"/>
        <v>0</v>
      </c>
      <c r="CK18" s="28" t="e">
        <f t="shared" si="9"/>
        <v>#DIV/0!</v>
      </c>
    </row>
    <row r="19" spans="1:90" s="26" customFormat="1">
      <c r="A19" s="17" t="s">
        <v>501</v>
      </c>
      <c r="E19" s="26">
        <f>现金流量表!E48</f>
        <v>10572528.699999999</v>
      </c>
      <c r="F19" s="26">
        <f>现金流量表!F48</f>
        <v>0</v>
      </c>
      <c r="G19" s="26">
        <f>现金流量表!G48</f>
        <v>3754246.05</v>
      </c>
      <c r="H19" s="26">
        <f>现金流量表!H48</f>
        <v>0</v>
      </c>
      <c r="I19" s="26">
        <f>现金流量表!I48</f>
        <v>68899037.019999996</v>
      </c>
      <c r="J19" s="26">
        <f>现金流量表!J48</f>
        <v>0</v>
      </c>
      <c r="K19" s="26">
        <f>现金流量表!K48</f>
        <v>18007725.690000001</v>
      </c>
      <c r="L19" s="26">
        <f>现金流量表!L48</f>
        <v>0</v>
      </c>
      <c r="M19" s="26">
        <f>现金流量表!M48</f>
        <v>33715933.759999998</v>
      </c>
      <c r="N19" s="26">
        <f>现金流量表!N48</f>
        <v>0</v>
      </c>
      <c r="O19" s="26">
        <f>现金流量表!O48</f>
        <v>13521115.029999999</v>
      </c>
      <c r="P19" s="26">
        <f>现金流量表!P48</f>
        <v>0</v>
      </c>
      <c r="Q19" s="26">
        <f>现金流量表!Q48</f>
        <v>-458506.29</v>
      </c>
      <c r="R19" s="26">
        <f>现金流量表!R48</f>
        <v>0</v>
      </c>
      <c r="S19" s="26">
        <f>现金流量表!S48</f>
        <v>5266885.46</v>
      </c>
      <c r="T19" s="26">
        <f>现金流量表!T48</f>
        <v>0</v>
      </c>
      <c r="U19" s="26">
        <f>现金流量表!U48</f>
        <v>10782887.630000001</v>
      </c>
      <c r="V19" s="26">
        <f>现金流量表!V48</f>
        <v>0</v>
      </c>
      <c r="W19" s="26">
        <f>现金流量表!W48</f>
        <v>5217711.1500000004</v>
      </c>
      <c r="X19" s="26">
        <f>现金流量表!X48</f>
        <v>0</v>
      </c>
      <c r="Y19" s="26">
        <f>现金流量表!Y48</f>
        <v>12842859.23</v>
      </c>
      <c r="Z19" s="26">
        <f>现金流量表!Z48</f>
        <v>0</v>
      </c>
      <c r="AA19" s="26">
        <f>现金流量表!AA48</f>
        <v>2805424.85</v>
      </c>
      <c r="AB19" s="26">
        <f>现金流量表!AB48</f>
        <v>0</v>
      </c>
      <c r="AC19" s="26">
        <f>现金流量表!AC48</f>
        <v>3622707.19</v>
      </c>
      <c r="AD19" s="26">
        <f>现金流量表!AD48</f>
        <v>0</v>
      </c>
      <c r="AE19" s="26">
        <f>现金流量表!AE48</f>
        <v>1618611.51</v>
      </c>
      <c r="AF19" s="26">
        <f>现金流量表!AF48</f>
        <v>0</v>
      </c>
      <c r="AG19" s="26">
        <f>现金流量表!AG48</f>
        <v>9451486.8800000008</v>
      </c>
      <c r="AH19" s="26">
        <f>现金流量表!AH48</f>
        <v>0</v>
      </c>
      <c r="AI19" s="26">
        <f>现金流量表!AI48</f>
        <v>1151972.49</v>
      </c>
      <c r="AJ19" s="26">
        <f>现金流量表!AJ48</f>
        <v>0</v>
      </c>
      <c r="AK19" s="26">
        <f>现金流量表!AK48</f>
        <v>3834835.28</v>
      </c>
      <c r="AL19" s="26">
        <f>现金流量表!AL48</f>
        <v>0</v>
      </c>
      <c r="AM19" s="26">
        <f>现金流量表!AM48</f>
        <v>-203394.58</v>
      </c>
      <c r="AN19" s="26">
        <f>现金流量表!AN48</f>
        <v>0</v>
      </c>
      <c r="AO19" s="26">
        <f>现金流量表!AO48</f>
        <v>7703413.7199999997</v>
      </c>
      <c r="AP19" s="26">
        <f>现金流量表!AP48</f>
        <v>0</v>
      </c>
      <c r="AQ19" s="26">
        <f>现金流量表!AQ48</f>
        <v>1593480.53</v>
      </c>
      <c r="AR19" s="26">
        <f>现金流量表!AR48</f>
        <v>0</v>
      </c>
      <c r="AS19" s="26">
        <f>现金流量表!AS48</f>
        <v>2077145.79</v>
      </c>
      <c r="AT19" s="26">
        <f>现金流量表!AT48</f>
        <v>0</v>
      </c>
      <c r="AU19" s="26">
        <f>现金流量表!AU48</f>
        <v>4734150.83</v>
      </c>
      <c r="AV19" s="26">
        <f>现金流量表!AV48</f>
        <v>0</v>
      </c>
      <c r="AW19" s="26">
        <f>现金流量表!AW48</f>
        <v>6351804.79</v>
      </c>
      <c r="AX19" s="26">
        <f>现金流量表!AX48</f>
        <v>2885642.77</v>
      </c>
      <c r="AY19" s="26">
        <f>现金流量表!AY48</f>
        <v>1997277.99</v>
      </c>
      <c r="AZ19" s="26">
        <f>现金流量表!AZ48</f>
        <v>3263703.07</v>
      </c>
      <c r="BA19" s="26">
        <f>现金流量表!BA48</f>
        <v>4741399.18</v>
      </c>
      <c r="BB19" s="26">
        <f>现金流量表!BB48</f>
        <v>5703354.7199999997</v>
      </c>
      <c r="BC19" s="26">
        <f>现金流量表!BC48</f>
        <v>5024848.5</v>
      </c>
      <c r="BD19" s="26">
        <f>现金流量表!BD48</f>
        <v>2719946.63</v>
      </c>
      <c r="BE19" s="26">
        <f>现金流量表!BE48</f>
        <v>4234767.55</v>
      </c>
      <c r="BF19" s="26">
        <f>现金流量表!BF48</f>
        <v>4577346.1500000004</v>
      </c>
      <c r="BG19" s="26">
        <f>现金流量表!BG48</f>
        <v>5579513.5599999996</v>
      </c>
      <c r="BH19" s="26">
        <f>现金流量表!BH48</f>
        <v>3555791.67</v>
      </c>
      <c r="BI19" s="26">
        <f>现金流量表!BI48</f>
        <v>2409391.06</v>
      </c>
      <c r="BJ19" s="26">
        <f>现金流量表!BJ48</f>
        <v>448568.62</v>
      </c>
      <c r="BK19" s="26">
        <f>现金流量表!BK48</f>
        <v>-1335699.3600000001</v>
      </c>
      <c r="BL19" s="26">
        <f>现金流量表!BL48</f>
        <v>-1529562.58</v>
      </c>
      <c r="BM19" s="26">
        <f>现金流量表!BM48</f>
        <v>2138763.98</v>
      </c>
      <c r="BN19" s="26">
        <f>现金流量表!BN48</f>
        <v>-154735.70000000001</v>
      </c>
      <c r="BO19" s="26">
        <f>现金流量表!BO48</f>
        <v>-995036</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317" customFormat="1">
      <c r="A20" s="316" t="s">
        <v>502</v>
      </c>
      <c r="E20" s="317">
        <f>现金流量表!E49</f>
        <v>142492433.08000001</v>
      </c>
      <c r="F20" s="317">
        <f>现金流量表!F49</f>
        <v>0</v>
      </c>
      <c r="G20" s="317">
        <f>现金流量表!G49</f>
        <v>64944852.039999999</v>
      </c>
      <c r="H20" s="317">
        <f>现金流量表!H49</f>
        <v>0</v>
      </c>
      <c r="I20" s="317">
        <f>现金流量表!I49</f>
        <v>132953096.8</v>
      </c>
      <c r="J20" s="317">
        <f>现金流量表!J49</f>
        <v>0</v>
      </c>
      <c r="K20" s="317">
        <f>现金流量表!K49</f>
        <v>63407514.82</v>
      </c>
      <c r="L20" s="317">
        <f>现金流量表!L49</f>
        <v>0</v>
      </c>
      <c r="M20" s="317">
        <f>现金流量表!M49</f>
        <v>135460162.68000001</v>
      </c>
      <c r="N20" s="317">
        <f>现金流量表!N49</f>
        <v>0</v>
      </c>
      <c r="O20" s="317">
        <f>现金流量表!O49</f>
        <v>68826542.549999997</v>
      </c>
      <c r="P20" s="317">
        <f>现金流量表!P49</f>
        <v>0</v>
      </c>
      <c r="Q20" s="317">
        <f>现金流量表!Q49</f>
        <v>140552070.31999999</v>
      </c>
      <c r="R20" s="317">
        <f>现金流量表!R49</f>
        <v>0</v>
      </c>
      <c r="S20" s="317">
        <f>现金流量表!S49</f>
        <v>77825130.25</v>
      </c>
      <c r="T20" s="317">
        <f>现金流量表!T49</f>
        <v>0</v>
      </c>
      <c r="U20" s="317">
        <f>现金流量表!U49</f>
        <v>125258966.94</v>
      </c>
      <c r="V20" s="317">
        <f>现金流量表!V49</f>
        <v>0</v>
      </c>
      <c r="W20" s="317">
        <f>现金流量表!W49</f>
        <v>51270264.299999997</v>
      </c>
      <c r="X20" s="317">
        <f>现金流量表!X49</f>
        <v>0</v>
      </c>
      <c r="Y20" s="317">
        <f>现金流量表!Y49</f>
        <v>116049019.73</v>
      </c>
      <c r="Z20" s="317">
        <f>现金流量表!Z49</f>
        <v>0</v>
      </c>
      <c r="AA20" s="317">
        <f>现金流量表!AA49</f>
        <v>56925332.259999998</v>
      </c>
      <c r="AB20" s="317">
        <f>现金流量表!AB49</f>
        <v>0</v>
      </c>
      <c r="AC20" s="317">
        <f>现金流量表!AC49</f>
        <v>88068825.079999998</v>
      </c>
      <c r="AD20" s="317">
        <f>现金流量表!AD49</f>
        <v>0</v>
      </c>
      <c r="AE20" s="317">
        <f>现金流量表!AE49</f>
        <v>43379534.490000002</v>
      </c>
      <c r="AF20" s="317">
        <f>现金流量表!AF49</f>
        <v>0</v>
      </c>
      <c r="AG20" s="317">
        <f>现金流量表!AG49</f>
        <v>83549207.459999993</v>
      </c>
      <c r="AH20" s="317">
        <f>现金流量表!AH49</f>
        <v>0</v>
      </c>
      <c r="AI20" s="317">
        <f>现金流量表!AI49</f>
        <v>40820416.229999997</v>
      </c>
      <c r="AJ20" s="317">
        <f>现金流量表!AJ49</f>
        <v>0</v>
      </c>
      <c r="AK20" s="317">
        <f>现金流量表!AK49</f>
        <v>83786014.829999998</v>
      </c>
      <c r="AL20" s="317">
        <f>现金流量表!AL49</f>
        <v>0</v>
      </c>
      <c r="AM20" s="317">
        <f>现金流量表!AM49</f>
        <v>41973738.859999999</v>
      </c>
      <c r="AN20" s="317">
        <f>现金流量表!AN49</f>
        <v>0</v>
      </c>
      <c r="AO20" s="317">
        <f>现金流量表!AO49</f>
        <v>79760747.359999999</v>
      </c>
      <c r="AP20" s="317">
        <f>现金流量表!AP49</f>
        <v>0</v>
      </c>
      <c r="AQ20" s="317">
        <f>现金流量表!AQ49</f>
        <v>37449392.829999998</v>
      </c>
      <c r="AR20" s="317">
        <f>现金流量表!AR49</f>
        <v>0</v>
      </c>
      <c r="AS20" s="317">
        <f>现金流量表!AS49</f>
        <v>64159759.909999996</v>
      </c>
      <c r="AT20" s="317">
        <f>现金流量表!AT49</f>
        <v>0</v>
      </c>
      <c r="AU20" s="317">
        <f>现金流量表!AU49</f>
        <v>30199046.84</v>
      </c>
      <c r="AV20" s="317">
        <f>现金流量表!AV49</f>
        <v>0</v>
      </c>
      <c r="AW20" s="317">
        <f>现金流量表!AW49</f>
        <v>55718008.229999997</v>
      </c>
      <c r="AX20" s="317">
        <f>现金流量表!AX49</f>
        <v>42360378.600000001</v>
      </c>
      <c r="AY20" s="317">
        <f>现金流量表!AY49</f>
        <v>28161584.399999999</v>
      </c>
      <c r="AZ20" s="317">
        <f>现金流量表!AZ49</f>
        <v>14290069.859999999</v>
      </c>
      <c r="BA20" s="317">
        <f>现金流量表!BA49</f>
        <v>57341437.890000001</v>
      </c>
      <c r="BB20" s="317">
        <f>现金流量表!BB49</f>
        <v>41641208.369999997</v>
      </c>
      <c r="BC20" s="317">
        <f>现金流量表!BC49</f>
        <v>27348769.23</v>
      </c>
      <c r="BD20" s="317">
        <f>现金流量表!BD49</f>
        <v>13227730.57</v>
      </c>
      <c r="BE20" s="317">
        <f>现金流量表!BE49</f>
        <v>47832507.960000001</v>
      </c>
      <c r="BF20" s="317">
        <f>现金流量表!BF49</f>
        <v>34680873.109999999</v>
      </c>
      <c r="BG20" s="317">
        <f>现金流量表!BG49</f>
        <v>20354587.969999999</v>
      </c>
      <c r="BH20" s="317">
        <f>现金流量表!BH49</f>
        <v>9821958.5899999999</v>
      </c>
      <c r="BI20" s="317">
        <f>现金流量表!BI49</f>
        <v>24871071.25</v>
      </c>
      <c r="BJ20" s="317">
        <f>现金流量表!BJ49</f>
        <v>18409180.5</v>
      </c>
      <c r="BK20" s="317">
        <f>现金流量表!BK49</f>
        <v>12399024.66</v>
      </c>
      <c r="BL20" s="317">
        <f>现金流量表!BL49</f>
        <v>5517642.3700000001</v>
      </c>
      <c r="BM20" s="317">
        <f>现金流量表!BM49</f>
        <v>19307636.579999998</v>
      </c>
      <c r="BN20" s="317">
        <f>现金流量表!BN49</f>
        <v>8411377.2100000009</v>
      </c>
      <c r="BO20" s="317">
        <f>现金流量表!BO49</f>
        <v>16787862</v>
      </c>
      <c r="BP20" s="317">
        <f>现金流量表!BP49</f>
        <v>0</v>
      </c>
      <c r="BQ20" s="317">
        <f>现金流量表!BQ49</f>
        <v>0</v>
      </c>
      <c r="BR20" s="317">
        <f>现金流量表!BR49</f>
        <v>0</v>
      </c>
      <c r="BS20" s="317">
        <f>现金流量表!BS49</f>
        <v>0</v>
      </c>
      <c r="BT20" s="317">
        <f>现金流量表!BT49</f>
        <v>0</v>
      </c>
      <c r="BU20" s="317">
        <f>现金流量表!BU49</f>
        <v>0</v>
      </c>
      <c r="BV20" s="317">
        <f>现金流量表!BV49</f>
        <v>0</v>
      </c>
      <c r="BW20" s="317">
        <f>现金流量表!BW49</f>
        <v>0</v>
      </c>
      <c r="BX20" s="317">
        <f>现金流量表!BX49</f>
        <v>0</v>
      </c>
      <c r="BY20" s="317">
        <f>现金流量表!BY49</f>
        <v>0</v>
      </c>
      <c r="BZ20" s="317">
        <f>现金流量表!BZ49</f>
        <v>0</v>
      </c>
      <c r="CA20" s="317">
        <f>现金流量表!CA49</f>
        <v>0</v>
      </c>
      <c r="CB20" s="317">
        <f>现金流量表!CB49</f>
        <v>0</v>
      </c>
      <c r="CC20" s="317">
        <f>现金流量表!CC49</f>
        <v>0</v>
      </c>
      <c r="CD20" s="317">
        <f>现金流量表!CD49</f>
        <v>0</v>
      </c>
      <c r="CE20" s="317">
        <f>现金流量表!CE49</f>
        <v>0</v>
      </c>
      <c r="CF20" s="317">
        <f>现金流量表!CF49</f>
        <v>0</v>
      </c>
      <c r="CG20" s="317">
        <f>现金流量表!CG49</f>
        <v>0</v>
      </c>
      <c r="CH20" s="317">
        <f>现金流量表!CH49</f>
        <v>0</v>
      </c>
      <c r="CI20" s="317">
        <f>现金流量表!CI49</f>
        <v>0</v>
      </c>
      <c r="CJ20" s="317">
        <f>现金流量表!CJ49</f>
        <v>0</v>
      </c>
      <c r="CK20" s="317">
        <f>现金流量表!CK49</f>
        <v>0</v>
      </c>
      <c r="CL20" s="317">
        <f>现金流量表!CL49</f>
        <v>0</v>
      </c>
    </row>
    <row r="21" spans="1:90" s="317" customFormat="1">
      <c r="A21" s="316" t="s">
        <v>503</v>
      </c>
      <c r="E21" s="317">
        <f>现金流量表!E50</f>
        <v>3199480.53</v>
      </c>
      <c r="F21" s="317">
        <f>现金流量表!F50</f>
        <v>0</v>
      </c>
      <c r="G21" s="317">
        <f>现金流量表!G50</f>
        <v>1618923.55</v>
      </c>
      <c r="H21" s="317">
        <f>现金流量表!H50</f>
        <v>0</v>
      </c>
      <c r="I21" s="317">
        <f>现金流量表!I50</f>
        <v>3102553.34</v>
      </c>
      <c r="J21" s="317">
        <f>现金流量表!J50</f>
        <v>0</v>
      </c>
      <c r="K21" s="317">
        <f>现金流量表!K50</f>
        <v>1358926.32</v>
      </c>
      <c r="L21" s="317">
        <f>现金流量表!L50</f>
        <v>0</v>
      </c>
      <c r="M21" s="317">
        <f>现金流量表!M50</f>
        <v>2651968</v>
      </c>
      <c r="N21" s="317">
        <f>现金流量表!N50</f>
        <v>0</v>
      </c>
      <c r="O21" s="317">
        <f>现金流量表!O50</f>
        <v>1290952.52</v>
      </c>
      <c r="P21" s="317">
        <f>现金流量表!P50</f>
        <v>0</v>
      </c>
      <c r="Q21" s="317">
        <f>现金流量表!Q50</f>
        <v>2506094.4500000002</v>
      </c>
      <c r="R21" s="317">
        <f>现金流量表!R50</f>
        <v>0</v>
      </c>
      <c r="S21" s="317">
        <f>现金流量表!S50</f>
        <v>1229035.24</v>
      </c>
      <c r="T21" s="317">
        <f>现金流量表!T50</f>
        <v>0</v>
      </c>
      <c r="U21" s="317">
        <f>现金流量表!U50</f>
        <v>2462199.61</v>
      </c>
      <c r="V21" s="317">
        <f>现金流量表!V50</f>
        <v>0</v>
      </c>
      <c r="W21" s="317">
        <f>现金流量表!W50</f>
        <v>1243824.6399999999</v>
      </c>
      <c r="X21" s="317">
        <f>现金流量表!X50</f>
        <v>0</v>
      </c>
      <c r="Y21" s="317">
        <f>现金流量表!Y50</f>
        <v>2346647.56</v>
      </c>
      <c r="Z21" s="317">
        <f>现金流量表!Z50</f>
        <v>0</v>
      </c>
      <c r="AA21" s="317">
        <f>现金流量表!AA50</f>
        <v>1128761.46</v>
      </c>
      <c r="AB21" s="317">
        <f>现金流量表!AB50</f>
        <v>0</v>
      </c>
      <c r="AC21" s="317">
        <f>现金流量表!AC50</f>
        <v>1510071.42</v>
      </c>
      <c r="AD21" s="317">
        <f>现金流量表!AD50</f>
        <v>0</v>
      </c>
      <c r="AE21" s="317">
        <f>现金流量表!AE50</f>
        <v>679518.48</v>
      </c>
      <c r="AF21" s="317">
        <f>现金流量表!AF50</f>
        <v>0</v>
      </c>
      <c r="AG21" s="317">
        <f>现金流量表!AG50</f>
        <v>1389600.18</v>
      </c>
      <c r="AH21" s="317">
        <f>现金流量表!AH50</f>
        <v>0</v>
      </c>
      <c r="AI21" s="317">
        <f>现金流量表!AI50</f>
        <v>709165.3</v>
      </c>
      <c r="AJ21" s="317">
        <f>现金流量表!AJ50</f>
        <v>0</v>
      </c>
      <c r="AK21" s="317">
        <f>现金流量表!AK50</f>
        <v>1450233</v>
      </c>
      <c r="AL21" s="317">
        <f>现金流量表!AL50</f>
        <v>0</v>
      </c>
      <c r="AM21" s="317">
        <f>现金流量表!AM50</f>
        <v>728120.46</v>
      </c>
      <c r="AN21" s="317">
        <f>现金流量表!AN50</f>
        <v>0</v>
      </c>
      <c r="AO21" s="317">
        <f>现金流量表!AO50</f>
        <v>1471756.68</v>
      </c>
      <c r="AP21" s="317">
        <f>现金流量表!AP50</f>
        <v>0</v>
      </c>
      <c r="AQ21" s="317">
        <f>现金流量表!AQ50</f>
        <v>737993.54</v>
      </c>
      <c r="AR21" s="317">
        <f>现金流量表!AR50</f>
        <v>0</v>
      </c>
      <c r="AS21" s="317">
        <f>现金流量表!AS50</f>
        <v>1511159.51</v>
      </c>
      <c r="AT21" s="317">
        <f>现金流量表!AT50</f>
        <v>0</v>
      </c>
      <c r="AU21" s="317">
        <f>现金流量表!AU50</f>
        <v>683938.12</v>
      </c>
      <c r="AV21" s="317">
        <f>现金流量表!AV50</f>
        <v>0</v>
      </c>
      <c r="AW21" s="317">
        <f>现金流量表!AW50</f>
        <v>752333.88</v>
      </c>
      <c r="AX21" s="317">
        <f>现金流量表!AX50</f>
        <v>564250.41</v>
      </c>
      <c r="AY21" s="317">
        <f>现金流量表!AY50</f>
        <v>376166.94</v>
      </c>
      <c r="AZ21" s="317">
        <f>现金流量表!AZ50</f>
        <v>188083.47</v>
      </c>
      <c r="BA21" s="317">
        <f>现金流量表!BA50</f>
        <v>725712.51</v>
      </c>
      <c r="BB21" s="317">
        <f>现金流量表!BB50</f>
        <v>537035.04</v>
      </c>
      <c r="BC21" s="317">
        <f>现金流量表!BC50</f>
        <v>356045.57</v>
      </c>
      <c r="BD21" s="317">
        <f>现金流量表!BD50</f>
        <v>167116.98000000001</v>
      </c>
      <c r="BE21" s="317">
        <f>现金流量表!BE50</f>
        <v>655382.93999999994</v>
      </c>
      <c r="BF21" s="317">
        <f>现金流量表!BF50</f>
        <v>483243.32</v>
      </c>
      <c r="BG21" s="317">
        <f>现金流量表!BG50</f>
        <v>323982.31</v>
      </c>
      <c r="BH21" s="317">
        <f>现金流量表!BH50</f>
        <v>161805.32</v>
      </c>
      <c r="BI21" s="317">
        <f>现金流量表!BI50</f>
        <v>592599.64</v>
      </c>
      <c r="BJ21" s="317">
        <f>现金流量表!BJ50</f>
        <v>433070.41</v>
      </c>
      <c r="BK21" s="317">
        <f>现金流量表!BK50</f>
        <v>276569.02</v>
      </c>
      <c r="BL21" s="317">
        <f>现金流量表!BL50</f>
        <v>120680.37</v>
      </c>
      <c r="BM21" s="317">
        <f>现金流量表!BM50</f>
        <v>446032.41</v>
      </c>
      <c r="BN21" s="317">
        <f>现金流量表!BN50</f>
        <v>221227.86</v>
      </c>
      <c r="BO21" s="317">
        <f>现金流量表!BO50</f>
        <v>442455</v>
      </c>
      <c r="BP21" s="317">
        <f>现金流量表!BP50</f>
        <v>0</v>
      </c>
      <c r="BQ21" s="317">
        <f>现金流量表!BQ50</f>
        <v>0</v>
      </c>
      <c r="BR21" s="317">
        <f>现金流量表!BR50</f>
        <v>0</v>
      </c>
      <c r="BS21" s="317">
        <f>现金流量表!BS50</f>
        <v>0</v>
      </c>
      <c r="BT21" s="317">
        <f>现金流量表!BT50</f>
        <v>0</v>
      </c>
      <c r="BU21" s="317">
        <f>现金流量表!BU50</f>
        <v>0</v>
      </c>
      <c r="BV21" s="317">
        <f>现金流量表!BV50</f>
        <v>0</v>
      </c>
      <c r="BW21" s="317">
        <f>现金流量表!BW50</f>
        <v>0</v>
      </c>
      <c r="BX21" s="317">
        <f>现金流量表!BX50</f>
        <v>0</v>
      </c>
      <c r="BY21" s="317">
        <f>现金流量表!BY50</f>
        <v>0</v>
      </c>
      <c r="BZ21" s="317">
        <f>现金流量表!BZ50</f>
        <v>0</v>
      </c>
      <c r="CA21" s="317">
        <f>现金流量表!CA50</f>
        <v>0</v>
      </c>
      <c r="CB21" s="317">
        <f>现金流量表!CB50</f>
        <v>0</v>
      </c>
      <c r="CC21" s="317">
        <f>现金流量表!CC50</f>
        <v>0</v>
      </c>
      <c r="CD21" s="317">
        <f>现金流量表!CD50</f>
        <v>0</v>
      </c>
      <c r="CE21" s="317">
        <f>现金流量表!CE50</f>
        <v>0</v>
      </c>
      <c r="CF21" s="317">
        <f>现金流量表!CF50</f>
        <v>0</v>
      </c>
      <c r="CG21" s="317">
        <f>现金流量表!CG50</f>
        <v>0</v>
      </c>
      <c r="CH21" s="317">
        <f>现金流量表!CH50</f>
        <v>0</v>
      </c>
      <c r="CI21" s="317">
        <f>现金流量表!CI50</f>
        <v>0</v>
      </c>
      <c r="CJ21" s="317">
        <f>现金流量表!CJ50</f>
        <v>0</v>
      </c>
      <c r="CK21" s="317">
        <f>现金流量表!CK50</f>
        <v>0</v>
      </c>
      <c r="CL21" s="317">
        <f>现金流量表!CL50</f>
        <v>0</v>
      </c>
    </row>
    <row r="22" spans="1:90" s="317" customFormat="1">
      <c r="A22" s="316" t="s">
        <v>504</v>
      </c>
      <c r="E22" s="317">
        <f>现金流量表!E51</f>
        <v>0</v>
      </c>
      <c r="F22" s="317">
        <f>现金流量表!F51</f>
        <v>0</v>
      </c>
      <c r="G22" s="317">
        <f>现金流量表!G51</f>
        <v>47688.54</v>
      </c>
      <c r="H22" s="317">
        <f>现金流量表!H51</f>
        <v>0</v>
      </c>
      <c r="I22" s="317">
        <f>现金流量表!I51</f>
        <v>0</v>
      </c>
      <c r="J22" s="317">
        <f>现金流量表!J51</f>
        <v>0</v>
      </c>
      <c r="K22" s="317">
        <f>现金流量表!K51</f>
        <v>0</v>
      </c>
      <c r="L22" s="317">
        <f>现金流量表!L51</f>
        <v>0</v>
      </c>
      <c r="M22" s="317">
        <f>现金流量表!M51</f>
        <v>0</v>
      </c>
      <c r="N22" s="317">
        <f>现金流量表!N51</f>
        <v>0</v>
      </c>
      <c r="O22" s="317">
        <f>现金流量表!O51</f>
        <v>0</v>
      </c>
      <c r="P22" s="317">
        <f>现金流量表!P51</f>
        <v>0</v>
      </c>
      <c r="Q22" s="317">
        <f>现金流量表!Q51</f>
        <v>0</v>
      </c>
      <c r="R22" s="317">
        <f>现金流量表!R51</f>
        <v>0</v>
      </c>
      <c r="S22" s="317">
        <f>现金流量表!S51</f>
        <v>0</v>
      </c>
      <c r="T22" s="317">
        <f>现金流量表!T51</f>
        <v>0</v>
      </c>
      <c r="U22" s="317">
        <f>现金流量表!U51</f>
        <v>0</v>
      </c>
      <c r="V22" s="317">
        <f>现金流量表!V51</f>
        <v>0</v>
      </c>
      <c r="W22" s="317">
        <f>现金流量表!W51</f>
        <v>0</v>
      </c>
      <c r="X22" s="317">
        <f>现金流量表!X51</f>
        <v>0</v>
      </c>
      <c r="Y22" s="317">
        <f>现金流量表!Y51</f>
        <v>0</v>
      </c>
      <c r="Z22" s="317">
        <f>现金流量表!Z51</f>
        <v>0</v>
      </c>
      <c r="AA22" s="317">
        <f>现金流量表!AA51</f>
        <v>0</v>
      </c>
      <c r="AB22" s="317">
        <f>现金流量表!AB51</f>
        <v>0</v>
      </c>
      <c r="AC22" s="317">
        <f>现金流量表!AC51</f>
        <v>0</v>
      </c>
      <c r="AD22" s="317">
        <f>现金流量表!AD51</f>
        <v>0</v>
      </c>
      <c r="AE22" s="317">
        <f>现金流量表!AE51</f>
        <v>0</v>
      </c>
      <c r="AF22" s="317">
        <f>现金流量表!AF51</f>
        <v>0</v>
      </c>
      <c r="AG22" s="317">
        <f>现金流量表!AG51</f>
        <v>0</v>
      </c>
      <c r="AH22" s="317">
        <f>现金流量表!AH51</f>
        <v>0</v>
      </c>
      <c r="AI22" s="317">
        <f>现金流量表!AI51</f>
        <v>0</v>
      </c>
      <c r="AJ22" s="317">
        <f>现金流量表!AJ51</f>
        <v>0</v>
      </c>
      <c r="AK22" s="317">
        <f>现金流量表!AK51</f>
        <v>0</v>
      </c>
      <c r="AL22" s="317">
        <f>现金流量表!AL51</f>
        <v>0</v>
      </c>
      <c r="AM22" s="317">
        <f>现金流量表!AM51</f>
        <v>0</v>
      </c>
      <c r="AN22" s="317">
        <f>现金流量表!AN51</f>
        <v>0</v>
      </c>
      <c r="AO22" s="317">
        <f>现金流量表!AO51</f>
        <v>0</v>
      </c>
      <c r="AP22" s="317">
        <f>现金流量表!AP51</f>
        <v>0</v>
      </c>
      <c r="AQ22" s="317">
        <f>现金流量表!AQ51</f>
        <v>0</v>
      </c>
      <c r="AR22" s="317">
        <f>现金流量表!AR51</f>
        <v>0</v>
      </c>
      <c r="AS22" s="317">
        <f>现金流量表!AS51</f>
        <v>0</v>
      </c>
      <c r="AT22" s="317">
        <f>现金流量表!AT51</f>
        <v>0</v>
      </c>
      <c r="AU22" s="317">
        <f>现金流量表!AU51</f>
        <v>0</v>
      </c>
      <c r="AV22" s="317">
        <f>现金流量表!AV51</f>
        <v>0</v>
      </c>
      <c r="AW22" s="317">
        <f>现金流量表!AW51</f>
        <v>0</v>
      </c>
      <c r="AX22" s="317">
        <f>现金流量表!AX51</f>
        <v>0</v>
      </c>
      <c r="AY22" s="317">
        <f>现金流量表!AY51</f>
        <v>0</v>
      </c>
      <c r="AZ22" s="317">
        <f>现金流量表!AZ51</f>
        <v>0</v>
      </c>
      <c r="BA22" s="317">
        <f>现金流量表!BA51</f>
        <v>0</v>
      </c>
      <c r="BB22" s="317">
        <f>现金流量表!BB51</f>
        <v>0</v>
      </c>
      <c r="BC22" s="317">
        <f>现金流量表!BC51</f>
        <v>0</v>
      </c>
      <c r="BD22" s="317">
        <f>现金流量表!BD51</f>
        <v>0</v>
      </c>
      <c r="BE22" s="317">
        <f>现金流量表!BE51</f>
        <v>0</v>
      </c>
      <c r="BF22" s="317">
        <f>现金流量表!BF51</f>
        <v>0</v>
      </c>
      <c r="BG22" s="317">
        <f>现金流量表!BG51</f>
        <v>0</v>
      </c>
      <c r="BH22" s="317">
        <f>现金流量表!BH51</f>
        <v>0</v>
      </c>
      <c r="BI22" s="317">
        <f>现金流量表!BI51</f>
        <v>0</v>
      </c>
      <c r="BJ22" s="317">
        <f>现金流量表!BJ51</f>
        <v>1021475.42</v>
      </c>
      <c r="BK22" s="317">
        <f>现金流量表!BK51</f>
        <v>-365659.91</v>
      </c>
      <c r="BL22" s="317">
        <f>现金流量表!BL51</f>
        <v>-6681.75</v>
      </c>
      <c r="BM22" s="317">
        <f>现金流量表!BM51</f>
        <v>0</v>
      </c>
      <c r="BN22" s="317">
        <f>现金流量表!BN51</f>
        <v>0</v>
      </c>
      <c r="BO22" s="317">
        <f>现金流量表!BO51</f>
        <v>0</v>
      </c>
      <c r="BP22" s="317">
        <f>现金流量表!BP51</f>
        <v>0</v>
      </c>
      <c r="BQ22" s="317">
        <f>现金流量表!BQ51</f>
        <v>0</v>
      </c>
      <c r="BR22" s="317">
        <f>现金流量表!BR51</f>
        <v>0</v>
      </c>
      <c r="BS22" s="317">
        <f>现金流量表!BS51</f>
        <v>0</v>
      </c>
      <c r="BT22" s="317">
        <f>现金流量表!BT51</f>
        <v>0</v>
      </c>
      <c r="BU22" s="317">
        <f>现金流量表!BU51</f>
        <v>0</v>
      </c>
      <c r="BV22" s="317">
        <f>现金流量表!BV51</f>
        <v>0</v>
      </c>
      <c r="BW22" s="317">
        <f>现金流量表!BW51</f>
        <v>0</v>
      </c>
      <c r="BX22" s="317">
        <f>现金流量表!BX51</f>
        <v>0</v>
      </c>
      <c r="BY22" s="317">
        <f>现金流量表!BY51</f>
        <v>0</v>
      </c>
      <c r="BZ22" s="317">
        <f>现金流量表!BZ51</f>
        <v>0</v>
      </c>
      <c r="CA22" s="317">
        <f>现金流量表!CA51</f>
        <v>0</v>
      </c>
      <c r="CB22" s="317">
        <f>现金流量表!CB51</f>
        <v>0</v>
      </c>
      <c r="CC22" s="317">
        <f>现金流量表!CC51</f>
        <v>0</v>
      </c>
      <c r="CD22" s="317">
        <f>现金流量表!CD51</f>
        <v>0</v>
      </c>
      <c r="CE22" s="317">
        <f>现金流量表!CE51</f>
        <v>0</v>
      </c>
      <c r="CF22" s="317">
        <f>现金流量表!CF51</f>
        <v>0</v>
      </c>
      <c r="CG22" s="317">
        <f>现金流量表!CG51</f>
        <v>0</v>
      </c>
      <c r="CH22" s="317">
        <f>现金流量表!CH51</f>
        <v>0</v>
      </c>
      <c r="CI22" s="317">
        <f>现金流量表!CI51</f>
        <v>0</v>
      </c>
      <c r="CJ22" s="317">
        <f>现金流量表!CJ51</f>
        <v>0</v>
      </c>
      <c r="CK22" s="317">
        <f>现金流量表!CK51</f>
        <v>0</v>
      </c>
    </row>
    <row r="23" spans="1:90" s="26" customFormat="1">
      <c r="A23" s="17" t="s">
        <v>505</v>
      </c>
      <c r="E23" s="26">
        <f>现金流量表!E54</f>
        <v>-989416.44</v>
      </c>
      <c r="F23" s="26">
        <f>现金流量表!F54</f>
        <v>0</v>
      </c>
      <c r="G23" s="26">
        <f>现金流量表!G54</f>
        <v>-963781.74</v>
      </c>
      <c r="H23" s="26">
        <f>现金流量表!H54</f>
        <v>0</v>
      </c>
      <c r="I23" s="26">
        <f>现金流量表!I54</f>
        <v>-150245.85999999999</v>
      </c>
      <c r="J23" s="26">
        <f>现金流量表!J54</f>
        <v>0</v>
      </c>
      <c r="K23" s="26">
        <f>现金流量表!K54</f>
        <v>9002.61</v>
      </c>
      <c r="L23" s="26">
        <f>现金流量表!L54</f>
        <v>0</v>
      </c>
      <c r="M23" s="26">
        <f>现金流量表!M54</f>
        <v>28512.47</v>
      </c>
      <c r="N23" s="26">
        <f>现金流量表!N54</f>
        <v>0</v>
      </c>
      <c r="O23" s="26">
        <f>现金流量表!O54</f>
        <v>2448086.06</v>
      </c>
      <c r="P23" s="26">
        <f>现金流量表!P54</f>
        <v>0</v>
      </c>
      <c r="Q23" s="26">
        <f>现金流量表!Q54</f>
        <v>2334247.9700000002</v>
      </c>
      <c r="R23" s="26">
        <f>现金流量表!R54</f>
        <v>0</v>
      </c>
      <c r="S23" s="26">
        <f>现金流量表!S54</f>
        <v>569228.18000000005</v>
      </c>
      <c r="T23" s="26">
        <f>现金流量表!T54</f>
        <v>0</v>
      </c>
      <c r="U23" s="26">
        <f>现金流量表!U54</f>
        <v>878518.3</v>
      </c>
      <c r="V23" s="26">
        <f>现金流量表!V54</f>
        <v>0</v>
      </c>
      <c r="W23" s="26">
        <f>现金流量表!W54</f>
        <v>-682922.27</v>
      </c>
      <c r="X23" s="26">
        <f>现金流量表!X54</f>
        <v>0</v>
      </c>
      <c r="Y23" s="26">
        <f>现金流量表!Y54</f>
        <v>895024.94</v>
      </c>
      <c r="Z23" s="26">
        <f>现金流量表!Z54</f>
        <v>0</v>
      </c>
      <c r="AA23" s="26">
        <f>现金流量表!AA54</f>
        <v>-489000.28</v>
      </c>
      <c r="AB23" s="26">
        <f>现金流量表!AB54</f>
        <v>0</v>
      </c>
      <c r="AC23" s="26">
        <f>现金流量表!AC54</f>
        <v>-144282.20000000001</v>
      </c>
      <c r="AD23" s="26">
        <f>现金流量表!AD54</f>
        <v>0</v>
      </c>
      <c r="AE23" s="26">
        <f>现金流量表!AE54</f>
        <v>71979.56</v>
      </c>
      <c r="AF23" s="26">
        <f>现金流量表!AF54</f>
        <v>0</v>
      </c>
      <c r="AG23" s="26">
        <f>现金流量表!AG54</f>
        <v>-494899.38</v>
      </c>
      <c r="AH23" s="26">
        <f>现金流量表!AH54</f>
        <v>0</v>
      </c>
      <c r="AI23" s="26">
        <f>现金流量表!AI54</f>
        <v>98507.9</v>
      </c>
      <c r="AJ23" s="26">
        <f>现金流量表!AJ54</f>
        <v>0</v>
      </c>
      <c r="AK23" s="26">
        <f>现金流量表!AK54</f>
        <v>-179055.96</v>
      </c>
      <c r="AL23" s="26">
        <f>现金流量表!AL54</f>
        <v>0</v>
      </c>
      <c r="AM23" s="26">
        <f>现金流量表!AM54</f>
        <v>-138460.39000000001</v>
      </c>
      <c r="AN23" s="26">
        <f>现金流量表!AN54</f>
        <v>0</v>
      </c>
      <c r="AO23" s="26">
        <f>现金流量表!AO54</f>
        <v>-163457.01</v>
      </c>
      <c r="AP23" s="26">
        <f>现金流量表!AP54</f>
        <v>0</v>
      </c>
      <c r="AQ23" s="26">
        <f>现金流量表!AQ54</f>
        <v>-116503.69</v>
      </c>
      <c r="AR23" s="26">
        <f>现金流量表!AR54</f>
        <v>0</v>
      </c>
      <c r="AS23" s="26">
        <f>现金流量表!AS54</f>
        <v>-2380025.08</v>
      </c>
      <c r="AT23" s="26">
        <f>现金流量表!AT54</f>
        <v>0</v>
      </c>
      <c r="AU23" s="26">
        <f>现金流量表!AU54</f>
        <v>582316.09</v>
      </c>
      <c r="AV23" s="26">
        <f>现金流量表!AV54</f>
        <v>0</v>
      </c>
      <c r="AW23" s="26">
        <f>现金流量表!AW54</f>
        <v>195239.61</v>
      </c>
      <c r="AX23" s="26">
        <f>现金流量表!AX54</f>
        <v>195239.61</v>
      </c>
      <c r="AY23" s="26">
        <f>现金流量表!AY54</f>
        <v>195239.61</v>
      </c>
      <c r="AZ23" s="26">
        <f>现金流量表!AZ54</f>
        <v>175966.98</v>
      </c>
      <c r="BA23" s="26">
        <f>现金流量表!BA54</f>
        <v>46981.25</v>
      </c>
      <c r="BB23" s="26">
        <f>现金流量表!BB54</f>
        <v>131790.28</v>
      </c>
      <c r="BC23" s="26">
        <f>现金流量表!BC54</f>
        <v>17581.189999999999</v>
      </c>
      <c r="BD23" s="26">
        <f>现金流量表!BD54</f>
        <v>17581.189999999999</v>
      </c>
      <c r="BE23" s="26">
        <f>现金流量表!BE54</f>
        <v>37358.83</v>
      </c>
      <c r="BF23" s="26">
        <f>现金流量表!BF54</f>
        <v>171033.05</v>
      </c>
      <c r="BG23" s="26">
        <f>现金流量表!BG54</f>
        <v>105412.06</v>
      </c>
      <c r="BH23" s="26">
        <f>现金流量表!BH54</f>
        <v>63285.42</v>
      </c>
      <c r="BI23" s="26">
        <f>现金流量表!BI54</f>
        <v>-2005129.99</v>
      </c>
      <c r="BJ23" s="26">
        <f>现金流量表!BJ54</f>
        <v>-50135.32</v>
      </c>
      <c r="BK23" s="26">
        <f>现金流量表!BK54</f>
        <v>-70301.89</v>
      </c>
      <c r="BL23" s="26">
        <f>现金流量表!BL54</f>
        <v>-70018.12</v>
      </c>
      <c r="BM23" s="26">
        <f>现金流量表!BM54</f>
        <v>196586.97</v>
      </c>
      <c r="BN23" s="26">
        <f>现金流量表!BN54</f>
        <v>119535.62</v>
      </c>
      <c r="BO23" s="26">
        <f>现金流量表!BO54</f>
        <v>1129517.76</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506</v>
      </c>
      <c r="E24" s="26">
        <f>现金流量表!E55</f>
        <v>7240553.9299999997</v>
      </c>
      <c r="F24" s="26">
        <f>现金流量表!F55</f>
        <v>0</v>
      </c>
      <c r="G24" s="26">
        <f>现金流量表!G55</f>
        <v>2778633.81</v>
      </c>
      <c r="H24" s="26">
        <f>现金流量表!H55</f>
        <v>0</v>
      </c>
      <c r="I24" s="26">
        <f>现金流量表!I55</f>
        <v>17534475.91</v>
      </c>
      <c r="J24" s="26">
        <f>现金流量表!J55</f>
        <v>0</v>
      </c>
      <c r="K24" s="26">
        <f>现金流量表!K55</f>
        <v>9628477.2100000009</v>
      </c>
      <c r="L24" s="26">
        <f>现金流量表!L55</f>
        <v>0</v>
      </c>
      <c r="M24" s="26">
        <f>现金流量表!M55</f>
        <v>7115464.8200000003</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1258098.74</v>
      </c>
      <c r="AH24" s="26">
        <f>现金流量表!AH55</f>
        <v>0</v>
      </c>
      <c r="AI24" s="26">
        <f>现金流量表!AI55</f>
        <v>1262404.32</v>
      </c>
      <c r="AJ24" s="26">
        <f>现金流量表!AJ55</f>
        <v>0</v>
      </c>
      <c r="AK24" s="26">
        <f>现金流量表!AK55</f>
        <v>7520402.0199999996</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743160.54</v>
      </c>
      <c r="AT24" s="26">
        <f>现金流量表!AT55</f>
        <v>0</v>
      </c>
      <c r="AU24" s="26">
        <f>现金流量表!AU55</f>
        <v>0</v>
      </c>
      <c r="AV24" s="26">
        <f>现金流量表!AV55</f>
        <v>0</v>
      </c>
      <c r="AW24" s="26">
        <f>现金流量表!AW55</f>
        <v>0</v>
      </c>
      <c r="AX24" s="26">
        <f>现金流量表!AX55</f>
        <v>137993.54999999999</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329770.38</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315404</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507</v>
      </c>
      <c r="E25" s="28">
        <f>SUM(E19:E24)</f>
        <v>162515579.80000001</v>
      </c>
      <c r="F25" s="28">
        <f t="shared" ref="F25:BQ25" si="10">SUM(F19:F24)</f>
        <v>0</v>
      </c>
      <c r="G25" s="28">
        <f t="shared" si="10"/>
        <v>72180562.250000015</v>
      </c>
      <c r="H25" s="28">
        <f t="shared" si="10"/>
        <v>0</v>
      </c>
      <c r="I25" s="28">
        <f t="shared" si="10"/>
        <v>222338917.20999998</v>
      </c>
      <c r="J25" s="28">
        <f t="shared" si="10"/>
        <v>0</v>
      </c>
      <c r="K25" s="28">
        <f t="shared" si="10"/>
        <v>92411646.650000006</v>
      </c>
      <c r="L25" s="28">
        <f t="shared" si="10"/>
        <v>0</v>
      </c>
      <c r="M25" s="28">
        <f t="shared" si="10"/>
        <v>178972041.72999999</v>
      </c>
      <c r="N25" s="28">
        <f t="shared" si="10"/>
        <v>0</v>
      </c>
      <c r="O25" s="28">
        <f t="shared" si="10"/>
        <v>86086696.159999996</v>
      </c>
      <c r="P25" s="28">
        <f t="shared" si="10"/>
        <v>0</v>
      </c>
      <c r="Q25" s="28">
        <f t="shared" si="10"/>
        <v>144933906.44999999</v>
      </c>
      <c r="R25" s="28">
        <f t="shared" si="10"/>
        <v>0</v>
      </c>
      <c r="S25" s="28">
        <f t="shared" si="10"/>
        <v>84890279.129999995</v>
      </c>
      <c r="T25" s="28">
        <f t="shared" si="10"/>
        <v>0</v>
      </c>
      <c r="U25" s="28">
        <f t="shared" si="10"/>
        <v>139382572.48000002</v>
      </c>
      <c r="V25" s="28">
        <f t="shared" si="10"/>
        <v>0</v>
      </c>
      <c r="W25" s="28">
        <f t="shared" si="10"/>
        <v>57048877.819999993</v>
      </c>
      <c r="X25" s="28">
        <f t="shared" si="10"/>
        <v>0</v>
      </c>
      <c r="Y25" s="28">
        <f t="shared" si="10"/>
        <v>132133551.46000001</v>
      </c>
      <c r="Z25" s="28">
        <f t="shared" si="10"/>
        <v>0</v>
      </c>
      <c r="AA25" s="28">
        <f t="shared" si="10"/>
        <v>60370518.289999999</v>
      </c>
      <c r="AB25" s="28">
        <f t="shared" si="10"/>
        <v>0</v>
      </c>
      <c r="AC25" s="28">
        <f t="shared" si="10"/>
        <v>93057321.489999995</v>
      </c>
      <c r="AD25" s="28">
        <f t="shared" si="10"/>
        <v>0</v>
      </c>
      <c r="AE25" s="28">
        <f t="shared" si="10"/>
        <v>45749644.039999999</v>
      </c>
      <c r="AF25" s="28">
        <f t="shared" si="10"/>
        <v>0</v>
      </c>
      <c r="AG25" s="28">
        <f t="shared" si="10"/>
        <v>95153493.879999995</v>
      </c>
      <c r="AH25" s="28">
        <f t="shared" si="10"/>
        <v>0</v>
      </c>
      <c r="AI25" s="28">
        <f t="shared" si="10"/>
        <v>44042466.239999995</v>
      </c>
      <c r="AJ25" s="28">
        <f t="shared" si="10"/>
        <v>0</v>
      </c>
      <c r="AK25" s="28">
        <f t="shared" si="10"/>
        <v>96412429.170000002</v>
      </c>
      <c r="AL25" s="28">
        <f t="shared" si="10"/>
        <v>0</v>
      </c>
      <c r="AM25" s="28">
        <f t="shared" si="10"/>
        <v>42360004.350000001</v>
      </c>
      <c r="AN25" s="28">
        <f t="shared" si="10"/>
        <v>0</v>
      </c>
      <c r="AO25" s="28">
        <f t="shared" si="10"/>
        <v>88772460.75</v>
      </c>
      <c r="AP25" s="28">
        <f t="shared" si="10"/>
        <v>0</v>
      </c>
      <c r="AQ25" s="28">
        <f t="shared" si="10"/>
        <v>39664363.210000001</v>
      </c>
      <c r="AR25" s="28">
        <f t="shared" si="10"/>
        <v>0</v>
      </c>
      <c r="AS25" s="28">
        <f t="shared" si="10"/>
        <v>66111200.669999994</v>
      </c>
      <c r="AT25" s="28">
        <f t="shared" si="10"/>
        <v>0</v>
      </c>
      <c r="AU25" s="28">
        <f t="shared" si="10"/>
        <v>36199451.880000003</v>
      </c>
      <c r="AV25" s="28">
        <f t="shared" si="10"/>
        <v>0</v>
      </c>
      <c r="AW25" s="28">
        <f t="shared" si="10"/>
        <v>63017386.509999998</v>
      </c>
      <c r="AX25" s="28">
        <f t="shared" si="10"/>
        <v>46143504.939999998</v>
      </c>
      <c r="AY25" s="28">
        <f t="shared" si="10"/>
        <v>30730268.939999998</v>
      </c>
      <c r="AZ25" s="28">
        <f t="shared" si="10"/>
        <v>17917823.379999999</v>
      </c>
      <c r="BA25" s="28">
        <f t="shared" si="10"/>
        <v>62855530.829999998</v>
      </c>
      <c r="BB25" s="28">
        <f t="shared" si="10"/>
        <v>48013388.409999996</v>
      </c>
      <c r="BC25" s="28">
        <f t="shared" si="10"/>
        <v>32747244.490000002</v>
      </c>
      <c r="BD25" s="28">
        <f t="shared" si="10"/>
        <v>16132375.369999999</v>
      </c>
      <c r="BE25" s="28">
        <f t="shared" si="10"/>
        <v>52760017.279999994</v>
      </c>
      <c r="BF25" s="28">
        <f t="shared" si="10"/>
        <v>40242266.009999998</v>
      </c>
      <c r="BG25" s="28">
        <f t="shared" si="10"/>
        <v>26363495.899999995</v>
      </c>
      <c r="BH25" s="28">
        <f t="shared" si="10"/>
        <v>13602841</v>
      </c>
      <c r="BI25" s="28">
        <f t="shared" si="10"/>
        <v>25867931.960000001</v>
      </c>
      <c r="BJ25" s="28">
        <f t="shared" si="10"/>
        <v>20262159.630000003</v>
      </c>
      <c r="BK25" s="28">
        <f t="shared" si="10"/>
        <v>10903932.52</v>
      </c>
      <c r="BL25" s="28">
        <f t="shared" si="10"/>
        <v>4032060.29</v>
      </c>
      <c r="BM25" s="28">
        <f t="shared" si="10"/>
        <v>22089019.939999998</v>
      </c>
      <c r="BN25" s="28">
        <f t="shared" si="10"/>
        <v>8597404.9900000002</v>
      </c>
      <c r="BO25" s="28">
        <f t="shared" si="10"/>
        <v>17680202.760000002</v>
      </c>
      <c r="BP25" s="28">
        <f t="shared" si="10"/>
        <v>0</v>
      </c>
      <c r="BQ25" s="28">
        <f t="shared" si="10"/>
        <v>0</v>
      </c>
      <c r="BR25" s="28">
        <f t="shared" ref="BR25:CK25" si="11">SUM(BR19:BR24)</f>
        <v>0</v>
      </c>
      <c r="BS25" s="28">
        <f t="shared" si="11"/>
        <v>0</v>
      </c>
      <c r="BT25" s="28">
        <f t="shared" si="11"/>
        <v>0</v>
      </c>
      <c r="BU25" s="28">
        <f t="shared" si="11"/>
        <v>0</v>
      </c>
      <c r="BV25" s="28">
        <f t="shared" si="11"/>
        <v>0</v>
      </c>
      <c r="BW25" s="28">
        <f t="shared" si="11"/>
        <v>0</v>
      </c>
      <c r="BX25" s="28">
        <f t="shared" si="11"/>
        <v>0</v>
      </c>
      <c r="BY25" s="28">
        <f t="shared" si="11"/>
        <v>0</v>
      </c>
      <c r="BZ25" s="28">
        <f t="shared" si="11"/>
        <v>0</v>
      </c>
      <c r="CA25" s="28">
        <f t="shared" si="11"/>
        <v>0</v>
      </c>
      <c r="CB25" s="28">
        <f t="shared" si="11"/>
        <v>0</v>
      </c>
      <c r="CC25" s="28">
        <f t="shared" si="11"/>
        <v>0</v>
      </c>
      <c r="CD25" s="28">
        <f t="shared" si="11"/>
        <v>0</v>
      </c>
      <c r="CE25" s="28">
        <f t="shared" si="11"/>
        <v>0</v>
      </c>
      <c r="CF25" s="28">
        <f t="shared" si="11"/>
        <v>0</v>
      </c>
      <c r="CG25" s="28">
        <f t="shared" si="11"/>
        <v>0</v>
      </c>
      <c r="CH25" s="28">
        <f t="shared" si="11"/>
        <v>0</v>
      </c>
      <c r="CI25" s="28">
        <f t="shared" si="11"/>
        <v>0</v>
      </c>
      <c r="CJ25" s="28">
        <f t="shared" si="11"/>
        <v>0</v>
      </c>
      <c r="CK25" s="28">
        <f t="shared" si="11"/>
        <v>0</v>
      </c>
    </row>
    <row r="26" spans="1:90" s="28" customFormat="1">
      <c r="A26" s="20" t="s">
        <v>508</v>
      </c>
      <c r="E26" s="28">
        <f>E14-E25</f>
        <v>249447360.30000001</v>
      </c>
      <c r="F26" s="28">
        <f t="shared" ref="F26:BQ26" si="12">F14-F25</f>
        <v>239955349.46000001</v>
      </c>
      <c r="G26" s="28">
        <f t="shared" si="12"/>
        <v>75844547.309999987</v>
      </c>
      <c r="H26" s="28">
        <f t="shared" si="12"/>
        <v>100081175.03</v>
      </c>
      <c r="I26" s="28">
        <f t="shared" si="12"/>
        <v>284189190.22000003</v>
      </c>
      <c r="J26" s="28">
        <f t="shared" si="12"/>
        <v>397834377.94999999</v>
      </c>
      <c r="K26" s="28">
        <f t="shared" si="12"/>
        <v>139196188.35999998</v>
      </c>
      <c r="L26" s="28">
        <f t="shared" si="12"/>
        <v>146017224.09999999</v>
      </c>
      <c r="M26" s="28">
        <f t="shared" si="12"/>
        <v>210662214.41</v>
      </c>
      <c r="N26" s="28">
        <f t="shared" si="12"/>
        <v>309188648.60000002</v>
      </c>
      <c r="O26" s="28">
        <f t="shared" si="12"/>
        <v>89084795.150000006</v>
      </c>
      <c r="P26" s="28">
        <f t="shared" si="12"/>
        <v>70509040.489999995</v>
      </c>
      <c r="Q26" s="28">
        <f t="shared" si="12"/>
        <v>121700387.34</v>
      </c>
      <c r="R26" s="28">
        <f t="shared" si="12"/>
        <v>136203642.33000001</v>
      </c>
      <c r="S26" s="28">
        <f t="shared" si="12"/>
        <v>16096453.090000004</v>
      </c>
      <c r="T26" s="28">
        <f t="shared" si="12"/>
        <v>43924546.869999997</v>
      </c>
      <c r="U26" s="28">
        <f t="shared" si="12"/>
        <v>129215361.56</v>
      </c>
      <c r="V26" s="28">
        <f t="shared" si="12"/>
        <v>122843860.92</v>
      </c>
      <c r="W26" s="28">
        <f t="shared" si="12"/>
        <v>52912952.280000001</v>
      </c>
      <c r="X26" s="28">
        <f t="shared" si="12"/>
        <v>26760705.460000001</v>
      </c>
      <c r="Y26" s="28">
        <f t="shared" si="12"/>
        <v>-103614248.96000001</v>
      </c>
      <c r="Z26" s="28">
        <f t="shared" si="12"/>
        <v>-12955274.6</v>
      </c>
      <c r="AA26" s="28">
        <f t="shared" si="12"/>
        <v>-109522125.44999999</v>
      </c>
      <c r="AB26" s="28">
        <f t="shared" si="12"/>
        <v>-77685327.200000003</v>
      </c>
      <c r="AC26" s="28">
        <f t="shared" si="12"/>
        <v>181568970.38999999</v>
      </c>
      <c r="AD26" s="28">
        <f t="shared" si="12"/>
        <v>129274059.53</v>
      </c>
      <c r="AE26" s="28">
        <f t="shared" si="12"/>
        <v>79192564.219999999</v>
      </c>
      <c r="AF26" s="28">
        <f t="shared" si="12"/>
        <v>46622125.670000002</v>
      </c>
      <c r="AG26" s="28">
        <f t="shared" si="12"/>
        <v>121858051.49000001</v>
      </c>
      <c r="AH26" s="28">
        <f t="shared" si="12"/>
        <v>251763804.72</v>
      </c>
      <c r="AI26" s="28">
        <f t="shared" si="12"/>
        <v>161899713.06</v>
      </c>
      <c r="AJ26" s="28">
        <f t="shared" si="12"/>
        <v>126302608.90000001</v>
      </c>
      <c r="AK26" s="28">
        <f t="shared" si="12"/>
        <v>152857007.10000002</v>
      </c>
      <c r="AL26" s="28">
        <f t="shared" si="12"/>
        <v>151599709.22999999</v>
      </c>
      <c r="AM26" s="28">
        <f t="shared" si="12"/>
        <v>67583648.939999998</v>
      </c>
      <c r="AN26" s="28">
        <f t="shared" si="12"/>
        <v>49058562.579999998</v>
      </c>
      <c r="AO26" s="28">
        <f t="shared" si="12"/>
        <v>2986498.099999994</v>
      </c>
      <c r="AP26" s="28">
        <f t="shared" si="12"/>
        <v>56614845.75</v>
      </c>
      <c r="AQ26" s="28">
        <f t="shared" si="12"/>
        <v>11943728.850000001</v>
      </c>
      <c r="AR26" s="28">
        <f t="shared" si="12"/>
        <v>29994039.989999998</v>
      </c>
      <c r="AS26" s="28">
        <f t="shared" si="12"/>
        <v>56521535.110000007</v>
      </c>
      <c r="AT26" s="28">
        <f t="shared" si="12"/>
        <v>51706666.969999999</v>
      </c>
      <c r="AU26" s="28">
        <f t="shared" si="12"/>
        <v>17972126.710000001</v>
      </c>
      <c r="AV26" s="28">
        <f t="shared" si="12"/>
        <v>45869256.079999998</v>
      </c>
      <c r="AW26" s="28">
        <f t="shared" si="12"/>
        <v>15450704.809999995</v>
      </c>
      <c r="AX26" s="28">
        <f t="shared" si="12"/>
        <v>323451.83000000566</v>
      </c>
      <c r="AY26" s="28">
        <f t="shared" si="12"/>
        <v>-968870.52999999747</v>
      </c>
      <c r="AZ26" s="28">
        <f t="shared" si="12"/>
        <v>-17306576.959999997</v>
      </c>
      <c r="BA26" s="28">
        <f t="shared" si="12"/>
        <v>-18768577.100000001</v>
      </c>
      <c r="BB26" s="28">
        <f t="shared" si="12"/>
        <v>29905669.109999999</v>
      </c>
      <c r="BC26" s="28">
        <f t="shared" si="12"/>
        <v>7749601.8399999961</v>
      </c>
      <c r="BD26" s="28">
        <f t="shared" si="12"/>
        <v>-27907500.530000001</v>
      </c>
      <c r="BE26" s="28">
        <f t="shared" si="12"/>
        <v>-56458877.029999994</v>
      </c>
      <c r="BF26" s="28">
        <f t="shared" si="12"/>
        <v>9422900.6499999985</v>
      </c>
      <c r="BG26" s="28">
        <f t="shared" si="12"/>
        <v>-47168581.5</v>
      </c>
      <c r="BH26" s="28">
        <f t="shared" si="12"/>
        <v>-36884347.120000005</v>
      </c>
      <c r="BI26" s="28">
        <f t="shared" si="12"/>
        <v>33480732.359999999</v>
      </c>
      <c r="BJ26" s="28">
        <f t="shared" si="12"/>
        <v>10836911.459999997</v>
      </c>
      <c r="BK26" s="28">
        <f t="shared" si="12"/>
        <v>-3422884.63</v>
      </c>
      <c r="BL26" s="28">
        <f t="shared" si="12"/>
        <v>-24728052.489999998</v>
      </c>
      <c r="BM26" s="28">
        <f t="shared" si="12"/>
        <v>87172586.99000001</v>
      </c>
      <c r="BN26" s="28">
        <f t="shared" si="12"/>
        <v>27282583.649999999</v>
      </c>
      <c r="BO26" s="28">
        <f t="shared" si="12"/>
        <v>10923495</v>
      </c>
      <c r="BP26" s="28">
        <f t="shared" si="12"/>
        <v>0</v>
      </c>
      <c r="BQ26" s="28">
        <f t="shared" si="12"/>
        <v>0</v>
      </c>
      <c r="BR26" s="28">
        <f t="shared" ref="BR26:CK26" si="13">BR14-BR25</f>
        <v>0</v>
      </c>
      <c r="BS26" s="28">
        <f t="shared" si="13"/>
        <v>0</v>
      </c>
      <c r="BT26" s="28">
        <f t="shared" si="13"/>
        <v>0</v>
      </c>
      <c r="BU26" s="28">
        <f t="shared" si="13"/>
        <v>0</v>
      </c>
      <c r="BV26" s="28">
        <f t="shared" si="13"/>
        <v>0</v>
      </c>
      <c r="BW26" s="28">
        <f t="shared" si="13"/>
        <v>0</v>
      </c>
      <c r="BX26" s="28">
        <f t="shared" si="13"/>
        <v>0</v>
      </c>
      <c r="BY26" s="28">
        <f t="shared" si="13"/>
        <v>0</v>
      </c>
      <c r="BZ26" s="28">
        <f t="shared" si="13"/>
        <v>0</v>
      </c>
      <c r="CA26" s="28">
        <f t="shared" si="13"/>
        <v>0</v>
      </c>
      <c r="CB26" s="28">
        <f t="shared" si="13"/>
        <v>0</v>
      </c>
      <c r="CC26" s="28">
        <f t="shared" si="13"/>
        <v>0</v>
      </c>
      <c r="CD26" s="28">
        <f t="shared" si="13"/>
        <v>0</v>
      </c>
      <c r="CE26" s="28">
        <f t="shared" si="13"/>
        <v>0</v>
      </c>
      <c r="CF26" s="28">
        <f t="shared" si="13"/>
        <v>0</v>
      </c>
      <c r="CG26" s="28">
        <f t="shared" si="13"/>
        <v>0</v>
      </c>
      <c r="CH26" s="28">
        <f t="shared" si="13"/>
        <v>0</v>
      </c>
      <c r="CI26" s="28">
        <f t="shared" si="13"/>
        <v>0</v>
      </c>
      <c r="CJ26" s="28">
        <f t="shared" si="13"/>
        <v>0</v>
      </c>
      <c r="CK26" s="28">
        <f t="shared" si="13"/>
        <v>0</v>
      </c>
    </row>
    <row r="27" spans="1:90" s="319" customFormat="1" ht="96" customHeight="1">
      <c r="A27" s="318" t="s">
        <v>749</v>
      </c>
      <c r="E27" s="319">
        <f>E26</f>
        <v>249447360.30000001</v>
      </c>
      <c r="F27" s="319">
        <f t="shared" ref="F27:BQ27" si="14">F26</f>
        <v>239955349.46000001</v>
      </c>
      <c r="G27" s="319">
        <f t="shared" si="14"/>
        <v>75844547.309999987</v>
      </c>
      <c r="H27" s="319">
        <f t="shared" si="14"/>
        <v>100081175.03</v>
      </c>
      <c r="I27" s="319">
        <f t="shared" si="14"/>
        <v>284189190.22000003</v>
      </c>
      <c r="J27" s="319">
        <f t="shared" si="14"/>
        <v>397834377.94999999</v>
      </c>
      <c r="K27" s="319">
        <f t="shared" si="14"/>
        <v>139196188.35999998</v>
      </c>
      <c r="L27" s="319">
        <f t="shared" si="14"/>
        <v>146017224.09999999</v>
      </c>
      <c r="M27" s="319">
        <f t="shared" si="14"/>
        <v>210662214.41</v>
      </c>
      <c r="N27" s="319">
        <f t="shared" si="14"/>
        <v>309188648.60000002</v>
      </c>
      <c r="O27" s="319">
        <f t="shared" si="14"/>
        <v>89084795.150000006</v>
      </c>
      <c r="P27" s="319">
        <f t="shared" si="14"/>
        <v>70509040.489999995</v>
      </c>
      <c r="Q27" s="319">
        <f t="shared" si="14"/>
        <v>121700387.34</v>
      </c>
      <c r="R27" s="319">
        <f t="shared" si="14"/>
        <v>136203642.33000001</v>
      </c>
      <c r="S27" s="319">
        <f t="shared" si="14"/>
        <v>16096453.090000004</v>
      </c>
      <c r="T27" s="319">
        <f t="shared" si="14"/>
        <v>43924546.869999997</v>
      </c>
      <c r="U27" s="319">
        <f t="shared" si="14"/>
        <v>129215361.56</v>
      </c>
      <c r="V27" s="319">
        <f t="shared" si="14"/>
        <v>122843860.92</v>
      </c>
      <c r="W27" s="319">
        <f t="shared" si="14"/>
        <v>52912952.280000001</v>
      </c>
      <c r="X27" s="319">
        <f t="shared" si="14"/>
        <v>26760705.460000001</v>
      </c>
      <c r="Y27" s="319">
        <f t="shared" si="14"/>
        <v>-103614248.96000001</v>
      </c>
      <c r="Z27" s="319">
        <f t="shared" si="14"/>
        <v>-12955274.6</v>
      </c>
      <c r="AA27" s="319">
        <f t="shared" si="14"/>
        <v>-109522125.44999999</v>
      </c>
      <c r="AB27" s="319">
        <f t="shared" si="14"/>
        <v>-77685327.200000003</v>
      </c>
      <c r="AC27" s="319">
        <f t="shared" si="14"/>
        <v>181568970.38999999</v>
      </c>
      <c r="AD27" s="319">
        <f t="shared" si="14"/>
        <v>129274059.53</v>
      </c>
      <c r="AE27" s="319">
        <f t="shared" si="14"/>
        <v>79192564.219999999</v>
      </c>
      <c r="AF27" s="319">
        <f t="shared" si="14"/>
        <v>46622125.670000002</v>
      </c>
      <c r="AG27" s="319">
        <f t="shared" si="14"/>
        <v>121858051.49000001</v>
      </c>
      <c r="AH27" s="319">
        <f t="shared" si="14"/>
        <v>251763804.72</v>
      </c>
      <c r="AI27" s="319">
        <f t="shared" si="14"/>
        <v>161899713.06</v>
      </c>
      <c r="AJ27" s="319">
        <f t="shared" si="14"/>
        <v>126302608.90000001</v>
      </c>
      <c r="AK27" s="319">
        <f t="shared" si="14"/>
        <v>152857007.10000002</v>
      </c>
      <c r="AL27" s="319">
        <f t="shared" si="14"/>
        <v>151599709.22999999</v>
      </c>
      <c r="AM27" s="319">
        <f t="shared" si="14"/>
        <v>67583648.939999998</v>
      </c>
      <c r="AN27" s="319">
        <f t="shared" si="14"/>
        <v>49058562.579999998</v>
      </c>
      <c r="AO27" s="319">
        <f t="shared" si="14"/>
        <v>2986498.099999994</v>
      </c>
      <c r="AP27" s="319">
        <f t="shared" si="14"/>
        <v>56614845.75</v>
      </c>
      <c r="AQ27" s="319">
        <f t="shared" si="14"/>
        <v>11943728.850000001</v>
      </c>
      <c r="AR27" s="319">
        <f t="shared" si="14"/>
        <v>29994039.989999998</v>
      </c>
      <c r="AS27" s="319">
        <f t="shared" si="14"/>
        <v>56521535.110000007</v>
      </c>
      <c r="AT27" s="319">
        <f t="shared" si="14"/>
        <v>51706666.969999999</v>
      </c>
      <c r="AU27" s="319">
        <f t="shared" si="14"/>
        <v>17972126.710000001</v>
      </c>
      <c r="AV27" s="319">
        <f t="shared" si="14"/>
        <v>45869256.079999998</v>
      </c>
      <c r="AW27" s="319">
        <f t="shared" si="14"/>
        <v>15450704.809999995</v>
      </c>
      <c r="AX27" s="319">
        <f t="shared" si="14"/>
        <v>323451.83000000566</v>
      </c>
      <c r="AY27" s="319">
        <f t="shared" si="14"/>
        <v>-968870.52999999747</v>
      </c>
      <c r="AZ27" s="319">
        <f t="shared" si="14"/>
        <v>-17306576.959999997</v>
      </c>
      <c r="BA27" s="319">
        <f t="shared" si="14"/>
        <v>-18768577.100000001</v>
      </c>
      <c r="BB27" s="319">
        <f t="shared" si="14"/>
        <v>29905669.109999999</v>
      </c>
      <c r="BC27" s="319">
        <f t="shared" si="14"/>
        <v>7749601.8399999961</v>
      </c>
      <c r="BD27" s="319">
        <f t="shared" si="14"/>
        <v>-27907500.530000001</v>
      </c>
      <c r="BE27" s="319">
        <f t="shared" si="14"/>
        <v>-56458877.029999994</v>
      </c>
      <c r="BF27" s="319">
        <f t="shared" si="14"/>
        <v>9422900.6499999985</v>
      </c>
      <c r="BG27" s="319">
        <f t="shared" si="14"/>
        <v>-47168581.5</v>
      </c>
      <c r="BH27" s="319">
        <f t="shared" si="14"/>
        <v>-36884347.120000005</v>
      </c>
      <c r="BI27" s="319">
        <f t="shared" si="14"/>
        <v>33480732.359999999</v>
      </c>
      <c r="BJ27" s="319">
        <f t="shared" si="14"/>
        <v>10836911.459999997</v>
      </c>
      <c r="BK27" s="319">
        <f t="shared" si="14"/>
        <v>-3422884.63</v>
      </c>
      <c r="BL27" s="319">
        <f t="shared" si="14"/>
        <v>-24728052.489999998</v>
      </c>
      <c r="BM27" s="319">
        <f t="shared" si="14"/>
        <v>87172586.99000001</v>
      </c>
      <c r="BN27" s="319">
        <f t="shared" si="14"/>
        <v>27282583.649999999</v>
      </c>
      <c r="BO27" s="319">
        <f t="shared" si="14"/>
        <v>10923495</v>
      </c>
      <c r="BP27" s="319">
        <f t="shared" si="14"/>
        <v>0</v>
      </c>
      <c r="BQ27" s="319">
        <f t="shared" si="14"/>
        <v>0</v>
      </c>
      <c r="BR27" s="319">
        <f t="shared" ref="BR27:CL27" si="15">BR26</f>
        <v>0</v>
      </c>
      <c r="BS27" s="319">
        <f t="shared" si="15"/>
        <v>0</v>
      </c>
      <c r="BT27" s="319">
        <f t="shared" si="15"/>
        <v>0</v>
      </c>
      <c r="BU27" s="319">
        <f t="shared" si="15"/>
        <v>0</v>
      </c>
      <c r="BV27" s="319">
        <f t="shared" si="15"/>
        <v>0</v>
      </c>
      <c r="BW27" s="319">
        <f t="shared" si="15"/>
        <v>0</v>
      </c>
      <c r="BX27" s="319">
        <f t="shared" si="15"/>
        <v>0</v>
      </c>
      <c r="BY27" s="319">
        <f t="shared" si="15"/>
        <v>0</v>
      </c>
      <c r="BZ27" s="319">
        <f t="shared" si="15"/>
        <v>0</v>
      </c>
      <c r="CA27" s="319">
        <f t="shared" si="15"/>
        <v>0</v>
      </c>
      <c r="CB27" s="319">
        <f t="shared" si="15"/>
        <v>0</v>
      </c>
      <c r="CC27" s="319">
        <f t="shared" si="15"/>
        <v>0</v>
      </c>
      <c r="CD27" s="319">
        <f t="shared" si="15"/>
        <v>0</v>
      </c>
      <c r="CE27" s="319">
        <f t="shared" si="15"/>
        <v>0</v>
      </c>
      <c r="CF27" s="319">
        <f t="shared" si="15"/>
        <v>0</v>
      </c>
      <c r="CG27" s="319">
        <f t="shared" si="15"/>
        <v>0</v>
      </c>
      <c r="CH27" s="319">
        <f t="shared" si="15"/>
        <v>0</v>
      </c>
      <c r="CI27" s="319">
        <f t="shared" si="15"/>
        <v>0</v>
      </c>
      <c r="CJ27" s="319">
        <f t="shared" si="15"/>
        <v>0</v>
      </c>
      <c r="CK27" s="319">
        <f t="shared" si="15"/>
        <v>0</v>
      </c>
      <c r="CL27" s="319">
        <f t="shared" si="15"/>
        <v>0</v>
      </c>
    </row>
    <row r="28" spans="1:90" s="327" customFormat="1" ht="24" customHeight="1">
      <c r="A28" s="326" t="s">
        <v>752</v>
      </c>
      <c r="I28" s="327">
        <f>POWER($E$27/I27,1/1)-1</f>
        <v>-0.12224894934640285</v>
      </c>
      <c r="J28" s="327">
        <f t="shared" ref="J28:BU28" si="16">POWER($E$27/J27,1/1)-1</f>
        <v>-0.37298691584830646</v>
      </c>
      <c r="K28" s="327">
        <f t="shared" si="16"/>
        <v>0.79205596962798941</v>
      </c>
      <c r="L28" s="327">
        <f t="shared" si="16"/>
        <v>0.70834202497347731</v>
      </c>
      <c r="M28" s="327">
        <f>POWER($E$27/M27,1/2)-1</f>
        <v>8.816845947274099E-2</v>
      </c>
      <c r="N28" s="327">
        <f t="shared" si="16"/>
        <v>-0.19321953949637982</v>
      </c>
      <c r="O28" s="327">
        <f t="shared" si="16"/>
        <v>1.800111510387191</v>
      </c>
      <c r="P28" s="327">
        <f t="shared" si="16"/>
        <v>2.5378067630260563</v>
      </c>
      <c r="Q28" s="327">
        <f>POWER($E$27/Q27,1/3)-1</f>
        <v>0.27026885698533554</v>
      </c>
      <c r="R28" s="327">
        <f t="shared" si="16"/>
        <v>0.83142943927760959</v>
      </c>
      <c r="S28" s="327">
        <f t="shared" si="16"/>
        <v>14.497038938036004</v>
      </c>
      <c r="T28" s="327">
        <f t="shared" si="16"/>
        <v>4.6789967814185909</v>
      </c>
      <c r="U28" s="327">
        <f>POWER($E$27/U27,1/4)-1</f>
        <v>0.17873503306553196</v>
      </c>
      <c r="V28" s="327">
        <f t="shared" si="16"/>
        <v>1.0306050170667334</v>
      </c>
      <c r="W28" s="327">
        <f t="shared" si="16"/>
        <v>3.7142967752015972</v>
      </c>
      <c r="X28" s="327">
        <f t="shared" si="16"/>
        <v>8.321404500074042</v>
      </c>
      <c r="Y28" s="327">
        <f>POWER($E$27/Y27,1/5)-1</f>
        <v>-2.192097798162238</v>
      </c>
      <c r="Z28" s="327">
        <f t="shared" si="16"/>
        <v>-20.254501969414065</v>
      </c>
      <c r="AA28" s="327">
        <f t="shared" si="16"/>
        <v>-3.2775978760006801</v>
      </c>
      <c r="AB28" s="327">
        <f t="shared" si="16"/>
        <v>-4.2109970993338361</v>
      </c>
      <c r="AC28" s="327">
        <f>POWER($E$27/AC27,1/6)-1</f>
        <v>5.4361518599795433E-2</v>
      </c>
      <c r="AD28" s="327">
        <f t="shared" si="16"/>
        <v>0.9296010445321552</v>
      </c>
      <c r="AE28" s="327">
        <f t="shared" si="16"/>
        <v>2.1498836128986256</v>
      </c>
      <c r="AF28" s="327">
        <f t="shared" si="16"/>
        <v>4.3504072736973516</v>
      </c>
      <c r="AG28" s="327">
        <f>POWER($E$27/AG27,1/7)-1</f>
        <v>0.10776179594470281</v>
      </c>
      <c r="AH28" s="327">
        <f t="shared" si="16"/>
        <v>-9.2008635736031685E-3</v>
      </c>
      <c r="AI28" s="327">
        <f t="shared" si="16"/>
        <v>0.54075233109001797</v>
      </c>
      <c r="AJ28" s="327">
        <f t="shared" si="16"/>
        <v>0.97499768589499025</v>
      </c>
      <c r="AK28" s="327">
        <f>POWER($E$27/AK27,1/8)-1</f>
        <v>6.3130787210730732E-2</v>
      </c>
      <c r="AL28" s="327">
        <f t="shared" si="16"/>
        <v>0.64543429249953332</v>
      </c>
      <c r="AM28" s="327">
        <f t="shared" si="16"/>
        <v>2.6909424722162689</v>
      </c>
      <c r="AN28" s="327">
        <f t="shared" si="16"/>
        <v>4.0846854693964012</v>
      </c>
      <c r="AO28" s="327">
        <f>POWER($E$27/AO27,1/9)-1</f>
        <v>0.63506561496270408</v>
      </c>
      <c r="AP28" s="327">
        <f t="shared" si="16"/>
        <v>3.4060415072313432</v>
      </c>
      <c r="AQ28" s="327">
        <f t="shared" si="16"/>
        <v>19.885216286536846</v>
      </c>
      <c r="AR28" s="327">
        <f t="shared" si="16"/>
        <v>7.3165642368672472</v>
      </c>
      <c r="AS28" s="327">
        <f>POWER($E$27/AS27,1/10)-1</f>
        <v>0.1600494336489493</v>
      </c>
      <c r="AT28" s="327">
        <f t="shared" si="16"/>
        <v>3.8242784715697953</v>
      </c>
      <c r="AU28" s="327">
        <f t="shared" si="16"/>
        <v>12.879679590796743</v>
      </c>
      <c r="AV28" s="327">
        <f t="shared" si="16"/>
        <v>4.4382255483921949</v>
      </c>
      <c r="AW28" s="327">
        <f t="shared" si="16"/>
        <v>15.144723711150888</v>
      </c>
      <c r="AX28" s="327">
        <f t="shared" si="16"/>
        <v>770.20404698280925</v>
      </c>
      <c r="AY28" s="327">
        <f t="shared" si="16"/>
        <v>-258.46201641616727</v>
      </c>
      <c r="AZ28" s="327">
        <f t="shared" si="16"/>
        <v>-15.413442986243771</v>
      </c>
      <c r="BA28" s="327">
        <f t="shared" si="16"/>
        <v>-14.290691082809895</v>
      </c>
      <c r="BB28" s="327">
        <f t="shared" si="16"/>
        <v>7.3411395806753124</v>
      </c>
      <c r="BC28" s="327">
        <f t="shared" si="16"/>
        <v>31.188409862873698</v>
      </c>
      <c r="BD28" s="327">
        <f t="shared" si="16"/>
        <v>-9.9383626466959711</v>
      </c>
      <c r="BE28" s="327">
        <f t="shared" si="16"/>
        <v>-5.4182132805697432</v>
      </c>
      <c r="BF28" s="327">
        <f t="shared" si="16"/>
        <v>25.472459974413511</v>
      </c>
      <c r="BG28" s="327">
        <f t="shared" si="16"/>
        <v>-6.2884219191539605</v>
      </c>
      <c r="BH28" s="327">
        <f t="shared" si="16"/>
        <v>-7.7629598943000078</v>
      </c>
      <c r="BI28" s="327">
        <f t="shared" si="16"/>
        <v>6.4504750259889478</v>
      </c>
      <c r="BJ28" s="327">
        <f t="shared" si="16"/>
        <v>22.01830749662691</v>
      </c>
      <c r="BK28" s="327">
        <f t="shared" si="16"/>
        <v>-73.876356425720374</v>
      </c>
      <c r="BL28" s="327">
        <f t="shared" si="16"/>
        <v>-11.087626609530867</v>
      </c>
      <c r="BM28" s="327">
        <f t="shared" si="16"/>
        <v>1.8615344446369972</v>
      </c>
      <c r="BN28" s="327">
        <f t="shared" si="16"/>
        <v>8.1430988904894281</v>
      </c>
      <c r="BO28" s="327">
        <f t="shared" si="16"/>
        <v>21.835856133957126</v>
      </c>
      <c r="BP28" s="327" t="e">
        <f t="shared" si="16"/>
        <v>#DIV/0!</v>
      </c>
      <c r="BQ28" s="327" t="e">
        <f t="shared" si="16"/>
        <v>#DIV/0!</v>
      </c>
      <c r="BR28" s="327" t="e">
        <f t="shared" si="16"/>
        <v>#DIV/0!</v>
      </c>
      <c r="BS28" s="327" t="e">
        <f t="shared" si="16"/>
        <v>#DIV/0!</v>
      </c>
      <c r="BT28" s="327" t="e">
        <f t="shared" si="16"/>
        <v>#DIV/0!</v>
      </c>
      <c r="BU28" s="327" t="e">
        <f t="shared" si="16"/>
        <v>#DIV/0!</v>
      </c>
      <c r="BV28" s="327" t="e">
        <f t="shared" ref="BV28:CK28" si="17">POWER($E$27/BV27,1/1)-1</f>
        <v>#DIV/0!</v>
      </c>
      <c r="BW28" s="327" t="e">
        <f t="shared" si="17"/>
        <v>#DIV/0!</v>
      </c>
      <c r="BX28" s="327" t="e">
        <f t="shared" si="17"/>
        <v>#DIV/0!</v>
      </c>
      <c r="BY28" s="327" t="e">
        <f t="shared" si="17"/>
        <v>#DIV/0!</v>
      </c>
      <c r="BZ28" s="327" t="e">
        <f t="shared" si="17"/>
        <v>#DIV/0!</v>
      </c>
      <c r="CA28" s="327" t="e">
        <f t="shared" si="17"/>
        <v>#DIV/0!</v>
      </c>
      <c r="CB28" s="327" t="e">
        <f t="shared" si="17"/>
        <v>#DIV/0!</v>
      </c>
      <c r="CC28" s="327" t="e">
        <f t="shared" si="17"/>
        <v>#DIV/0!</v>
      </c>
      <c r="CD28" s="327" t="e">
        <f t="shared" si="17"/>
        <v>#DIV/0!</v>
      </c>
      <c r="CE28" s="327" t="e">
        <f t="shared" si="17"/>
        <v>#DIV/0!</v>
      </c>
      <c r="CF28" s="327" t="e">
        <f t="shared" si="17"/>
        <v>#DIV/0!</v>
      </c>
      <c r="CG28" s="327" t="e">
        <f t="shared" si="17"/>
        <v>#DIV/0!</v>
      </c>
      <c r="CH28" s="327" t="e">
        <f t="shared" si="17"/>
        <v>#DIV/0!</v>
      </c>
      <c r="CI28" s="327" t="e">
        <f t="shared" si="17"/>
        <v>#DIV/0!</v>
      </c>
      <c r="CJ28" s="327" t="e">
        <f t="shared" si="17"/>
        <v>#DIV/0!</v>
      </c>
      <c r="CK28" s="327" t="e">
        <f t="shared" si="17"/>
        <v>#DIV/0!</v>
      </c>
    </row>
    <row r="29" spans="1:90" s="321" customFormat="1" ht="27">
      <c r="A29" s="320" t="s">
        <v>750</v>
      </c>
      <c r="E29" s="321">
        <f>E14-E20-E21-E22</f>
        <v>266271026.48999998</v>
      </c>
      <c r="F29" s="321">
        <f t="shared" ref="F29:BQ29" si="18">F14-F20-F21-F22</f>
        <v>239955349.46000001</v>
      </c>
      <c r="G29" s="321">
        <f t="shared" si="18"/>
        <v>81413645.430000007</v>
      </c>
      <c r="H29" s="321">
        <f t="shared" si="18"/>
        <v>100081175.03</v>
      </c>
      <c r="I29" s="321">
        <f t="shared" si="18"/>
        <v>370472457.29000002</v>
      </c>
      <c r="J29" s="321">
        <f t="shared" si="18"/>
        <v>397834377.94999999</v>
      </c>
      <c r="K29" s="321">
        <f t="shared" si="18"/>
        <v>166841393.87</v>
      </c>
      <c r="L29" s="321">
        <f t="shared" si="18"/>
        <v>146017224.09999999</v>
      </c>
      <c r="M29" s="321">
        <f t="shared" si="18"/>
        <v>251522125.45999998</v>
      </c>
      <c r="N29" s="321">
        <f t="shared" si="18"/>
        <v>309188648.60000002</v>
      </c>
      <c r="O29" s="321">
        <f t="shared" si="18"/>
        <v>105053996.24000001</v>
      </c>
      <c r="P29" s="321">
        <f t="shared" si="18"/>
        <v>70509040.489999995</v>
      </c>
      <c r="Q29" s="321">
        <f t="shared" si="18"/>
        <v>123576129.02</v>
      </c>
      <c r="R29" s="321">
        <f t="shared" si="18"/>
        <v>136203642.33000001</v>
      </c>
      <c r="S29" s="321">
        <f t="shared" si="18"/>
        <v>21932566.73</v>
      </c>
      <c r="T29" s="321">
        <f t="shared" si="18"/>
        <v>43924546.869999997</v>
      </c>
      <c r="U29" s="321">
        <f t="shared" si="18"/>
        <v>140876767.49000001</v>
      </c>
      <c r="V29" s="321">
        <f t="shared" si="18"/>
        <v>122843860.92</v>
      </c>
      <c r="W29" s="321">
        <f t="shared" si="18"/>
        <v>57447741.159999996</v>
      </c>
      <c r="X29" s="321">
        <f t="shared" si="18"/>
        <v>26760705.460000001</v>
      </c>
      <c r="Y29" s="321">
        <f t="shared" si="18"/>
        <v>-89876364.790000007</v>
      </c>
      <c r="Z29" s="321">
        <f t="shared" si="18"/>
        <v>-12955274.6</v>
      </c>
      <c r="AA29" s="321">
        <f t="shared" si="18"/>
        <v>-107205700.87999998</v>
      </c>
      <c r="AB29" s="321">
        <f t="shared" si="18"/>
        <v>-77685327.200000003</v>
      </c>
      <c r="AC29" s="321">
        <f t="shared" si="18"/>
        <v>185047395.38000003</v>
      </c>
      <c r="AD29" s="321">
        <f t="shared" si="18"/>
        <v>129274059.53</v>
      </c>
      <c r="AE29" s="321">
        <f t="shared" si="18"/>
        <v>80883155.290000007</v>
      </c>
      <c r="AF29" s="321">
        <f t="shared" si="18"/>
        <v>46622125.670000002</v>
      </c>
      <c r="AG29" s="321">
        <f t="shared" si="18"/>
        <v>132072737.73</v>
      </c>
      <c r="AH29" s="321">
        <f t="shared" si="18"/>
        <v>251763804.72</v>
      </c>
      <c r="AI29" s="321">
        <f t="shared" si="18"/>
        <v>164412597.77000001</v>
      </c>
      <c r="AJ29" s="321">
        <f t="shared" si="18"/>
        <v>126302608.90000001</v>
      </c>
      <c r="AK29" s="321">
        <f t="shared" si="18"/>
        <v>164033188.44</v>
      </c>
      <c r="AL29" s="321">
        <f t="shared" si="18"/>
        <v>151599709.22999999</v>
      </c>
      <c r="AM29" s="321">
        <f t="shared" si="18"/>
        <v>67241793.970000014</v>
      </c>
      <c r="AN29" s="321">
        <f t="shared" si="18"/>
        <v>49058562.579999998</v>
      </c>
      <c r="AO29" s="321">
        <f t="shared" si="18"/>
        <v>10526454.809999995</v>
      </c>
      <c r="AP29" s="321">
        <f t="shared" si="18"/>
        <v>56614845.75</v>
      </c>
      <c r="AQ29" s="321">
        <f t="shared" si="18"/>
        <v>13420705.690000005</v>
      </c>
      <c r="AR29" s="321">
        <f t="shared" si="18"/>
        <v>29994039.989999998</v>
      </c>
      <c r="AS29" s="321">
        <f t="shared" si="18"/>
        <v>56961816.360000007</v>
      </c>
      <c r="AT29" s="321">
        <f t="shared" si="18"/>
        <v>51706666.969999999</v>
      </c>
      <c r="AU29" s="321">
        <f t="shared" si="18"/>
        <v>23288593.630000003</v>
      </c>
      <c r="AV29" s="321">
        <f t="shared" si="18"/>
        <v>45869256.079999998</v>
      </c>
      <c r="AW29" s="321">
        <f t="shared" si="18"/>
        <v>21997749.209999997</v>
      </c>
      <c r="AX29" s="321">
        <f t="shared" si="18"/>
        <v>3542327.7600000016</v>
      </c>
      <c r="AY29" s="321">
        <f t="shared" si="18"/>
        <v>1223647.0700000017</v>
      </c>
      <c r="AZ29" s="321">
        <f t="shared" si="18"/>
        <v>-13866906.91</v>
      </c>
      <c r="BA29" s="321">
        <f t="shared" si="18"/>
        <v>-13980196.670000004</v>
      </c>
      <c r="BB29" s="321">
        <f t="shared" si="18"/>
        <v>35740814.109999999</v>
      </c>
      <c r="BC29" s="321">
        <f t="shared" si="18"/>
        <v>12792031.529999997</v>
      </c>
      <c r="BD29" s="321">
        <f t="shared" si="18"/>
        <v>-25169972.710000001</v>
      </c>
      <c r="BE29" s="321">
        <f t="shared" si="18"/>
        <v>-52186750.649999999</v>
      </c>
      <c r="BF29" s="321">
        <f t="shared" si="18"/>
        <v>14501050.229999997</v>
      </c>
      <c r="BG29" s="321">
        <f t="shared" si="18"/>
        <v>-41483655.880000003</v>
      </c>
      <c r="BH29" s="321">
        <f t="shared" si="18"/>
        <v>-33265270.030000001</v>
      </c>
      <c r="BI29" s="321">
        <f t="shared" si="18"/>
        <v>33884993.43</v>
      </c>
      <c r="BJ29" s="321">
        <f t="shared" si="18"/>
        <v>11235344.76</v>
      </c>
      <c r="BK29" s="321">
        <f t="shared" si="18"/>
        <v>-4828885.8800000008</v>
      </c>
      <c r="BL29" s="321">
        <f t="shared" si="18"/>
        <v>-26327633.190000001</v>
      </c>
      <c r="BM29" s="321">
        <f t="shared" si="18"/>
        <v>89507937.940000013</v>
      </c>
      <c r="BN29" s="321">
        <f t="shared" si="18"/>
        <v>27247383.57</v>
      </c>
      <c r="BO29" s="321">
        <f t="shared" si="18"/>
        <v>11373380.760000002</v>
      </c>
      <c r="BP29" s="321">
        <f t="shared" si="18"/>
        <v>0</v>
      </c>
      <c r="BQ29" s="321">
        <f t="shared" si="18"/>
        <v>0</v>
      </c>
      <c r="BR29" s="321">
        <f t="shared" ref="BR29:CL29" si="19">BR14-BR20-BR21-BR22</f>
        <v>0</v>
      </c>
      <c r="BS29" s="321">
        <f t="shared" si="19"/>
        <v>0</v>
      </c>
      <c r="BT29" s="321">
        <f t="shared" si="19"/>
        <v>0</v>
      </c>
      <c r="BU29" s="321">
        <f t="shared" si="19"/>
        <v>0</v>
      </c>
      <c r="BV29" s="321">
        <f t="shared" si="19"/>
        <v>0</v>
      </c>
      <c r="BW29" s="321">
        <f t="shared" si="19"/>
        <v>0</v>
      </c>
      <c r="BX29" s="321">
        <f t="shared" si="19"/>
        <v>0</v>
      </c>
      <c r="BY29" s="321">
        <f t="shared" si="19"/>
        <v>0</v>
      </c>
      <c r="BZ29" s="321">
        <f t="shared" si="19"/>
        <v>0</v>
      </c>
      <c r="CA29" s="321">
        <f t="shared" si="19"/>
        <v>0</v>
      </c>
      <c r="CB29" s="321">
        <f t="shared" si="19"/>
        <v>0</v>
      </c>
      <c r="CC29" s="321">
        <f t="shared" si="19"/>
        <v>0</v>
      </c>
      <c r="CD29" s="321">
        <f t="shared" si="19"/>
        <v>0</v>
      </c>
      <c r="CE29" s="321">
        <f t="shared" si="19"/>
        <v>0</v>
      </c>
      <c r="CF29" s="321">
        <f t="shared" si="19"/>
        <v>0</v>
      </c>
      <c r="CG29" s="321">
        <f t="shared" si="19"/>
        <v>0</v>
      </c>
      <c r="CH29" s="321">
        <f t="shared" si="19"/>
        <v>0</v>
      </c>
      <c r="CI29" s="321">
        <f t="shared" si="19"/>
        <v>0</v>
      </c>
      <c r="CJ29" s="321">
        <f t="shared" si="19"/>
        <v>0</v>
      </c>
      <c r="CK29" s="321">
        <f t="shared" si="19"/>
        <v>0</v>
      </c>
      <c r="CL29" s="321">
        <f t="shared" si="19"/>
        <v>0</v>
      </c>
    </row>
    <row r="30" spans="1:90" s="323" customFormat="1" ht="28.5" customHeight="1">
      <c r="A30" s="322" t="s">
        <v>753</v>
      </c>
      <c r="F30" s="323">
        <f>POWER(F29/J29,1/1)-1</f>
        <v>-0.39684611798390712</v>
      </c>
      <c r="G30" s="323">
        <f>POWER(G29/K29,1/1)-1</f>
        <v>-0.5120296975375539</v>
      </c>
      <c r="H30" s="323">
        <f>POWER(H29/L29,1/1)-1</f>
        <v>-0.31459335946929556</v>
      </c>
      <c r="I30" s="323">
        <f>POWER($E$29/I29,1/1)-1</f>
        <v>-0.28126633640252718</v>
      </c>
      <c r="J30" s="323">
        <f>POWER($E$29/J29,1/1)-1</f>
        <v>-0.33069880018396736</v>
      </c>
      <c r="K30" s="323">
        <f>POWER($E$29/K29,1/1)-1</f>
        <v>0.59595302049246768</v>
      </c>
      <c r="L30" s="323">
        <f>POWER($E$29/L29,1/1)-1</f>
        <v>0.82355902278791504</v>
      </c>
      <c r="M30" s="323">
        <f>POWER($E$29/M29,1/2)-1</f>
        <v>2.8901639127624446E-2</v>
      </c>
      <c r="N30" s="323">
        <f>POWER($E$29/N29,1/1)-1</f>
        <v>-0.13880723727837418</v>
      </c>
      <c r="O30" s="323">
        <f>POWER($E$29/O29,1/1)-1</f>
        <v>1.5346111144757719</v>
      </c>
      <c r="P30" s="323">
        <f>POWER($E$29/P29,1/1)-1</f>
        <v>2.7764097290157297</v>
      </c>
      <c r="Q30" s="323">
        <f>POWER($E$29/Q29,1/3)-1</f>
        <v>0.2916051713471195</v>
      </c>
      <c r="R30" s="323">
        <f>POWER($E$29/R29,1/1)-1</f>
        <v>0.95494791427726389</v>
      </c>
      <c r="S30" s="323">
        <f>POWER($E$29/S29,1/1)-1</f>
        <v>11.140440732173255</v>
      </c>
      <c r="T30" s="323">
        <f>POWER($E$29/T29,1/1)-1</f>
        <v>5.0620096384388722</v>
      </c>
      <c r="U30" s="323">
        <f>POWER($E$29/U29,1/4)-1</f>
        <v>0.17252236051825864</v>
      </c>
      <c r="V30" s="323">
        <f>POWER($E$29/V29,1/1)-1</f>
        <v>1.167556640566715</v>
      </c>
      <c r="W30" s="323">
        <f>POWER($E$29/W29,1/1)-1</f>
        <v>3.6350129894297831</v>
      </c>
      <c r="X30" s="323">
        <f>POWER($E$29/X29,1/1)-1</f>
        <v>8.9500750041138843</v>
      </c>
      <c r="Y30" s="323">
        <f>POWER($E$29/Y29,1/5)-1</f>
        <v>-2.2426123992342406</v>
      </c>
      <c r="Z30" s="323">
        <f>POWER($E$29/Z29,1/1)-1</f>
        <v>-21.55309784711163</v>
      </c>
      <c r="AA30" s="323">
        <f>POWER($E$29/AA29,1/1)-1</f>
        <v>-3.4837394308726992</v>
      </c>
      <c r="AB30" s="323">
        <f>POWER($E$29/AB29,1/1)-1</f>
        <v>-4.427558795041028</v>
      </c>
      <c r="AC30" s="323">
        <f>POWER($E$29/AC29,1/6)-1</f>
        <v>6.2527443353304513E-2</v>
      </c>
      <c r="AD30" s="323">
        <f>POWER($E$29/AD29,1/1)-1</f>
        <v>1.0597405810421523</v>
      </c>
      <c r="AE30" s="323">
        <f>POWER($E$29/AE29,1/1)-1</f>
        <v>2.2920454887708912</v>
      </c>
      <c r="AF30" s="323">
        <f>POWER($E$29/AF29,1/1)-1</f>
        <v>4.7112588210738258</v>
      </c>
      <c r="AG30" s="323">
        <f>POWER($E$29/AG29,1/7)-1</f>
        <v>0.10535437152864979</v>
      </c>
      <c r="AH30" s="323">
        <f>POWER($E$29/AH29,1/1)-1</f>
        <v>5.7622348796858347E-2</v>
      </c>
      <c r="AI30" s="323">
        <f>POWER($E$29/AI29,1/1)-1</f>
        <v>0.61952934325927811</v>
      </c>
      <c r="AJ30" s="323">
        <f>POWER($E$29/AJ29,1/1)-1</f>
        <v>1.108198942278539</v>
      </c>
      <c r="AK30" s="323">
        <f>POWER($E$29/AK29,1/8)-1</f>
        <v>6.242681436228148E-2</v>
      </c>
      <c r="AL30" s="323">
        <f>POWER($E$29/AL29,1/1)-1</f>
        <v>0.75640855673427465</v>
      </c>
      <c r="AM30" s="323">
        <f>POWER($E$29/AM29,1/1)-1</f>
        <v>2.9599036665915999</v>
      </c>
      <c r="AN30" s="323">
        <f>POWER($E$29/AN29,1/1)-1</f>
        <v>4.4276157409991521</v>
      </c>
      <c r="AO30" s="323">
        <f>POWER($E$29/AO29,1/9)-1</f>
        <v>0.43183683696103081</v>
      </c>
      <c r="AP30" s="323">
        <f>POWER($E$29/AP29,1/1)-1</f>
        <v>3.7032014829785167</v>
      </c>
      <c r="AQ30" s="323">
        <f>POWER($E$29/AQ29,1/1)-1</f>
        <v>18.840314856796468</v>
      </c>
      <c r="AR30" s="323">
        <f>POWER($E$29/AR29,1/1)-1</f>
        <v>7.8774645422482141</v>
      </c>
      <c r="AS30" s="323">
        <f>POWER($E$29/AS29,1/10)-1</f>
        <v>0.16673978785786558</v>
      </c>
      <c r="AT30" s="323">
        <f>POWER($E$29/AT29,1/1)-1</f>
        <v>4.1496459178946763</v>
      </c>
      <c r="AU30" s="323">
        <f>POWER($E$29/AU29,1/1)-1</f>
        <v>10.433538268579422</v>
      </c>
      <c r="AV30" s="323">
        <f>POWER($E$29/AV29,1/1)-1</f>
        <v>4.8049998898085464</v>
      </c>
      <c r="AW30" s="323">
        <f>POWER($E$29/AW29,1/1)-1</f>
        <v>11.104466868317388</v>
      </c>
      <c r="AX30" s="323">
        <f>POWER($E$29/AX29,1/1)-1</f>
        <v>74.168376426578845</v>
      </c>
      <c r="AY30" s="323">
        <f>POWER($E$29/AY29,1/1)-1</f>
        <v>216.60443269806515</v>
      </c>
      <c r="AZ30" s="323">
        <f>POWER($E$29/AZ29,1/1)-1</f>
        <v>-20.201904809642944</v>
      </c>
      <c r="BA30" s="323">
        <f>POWER($E$29/BA29,1/1)-1</f>
        <v>-20.046300475971766</v>
      </c>
      <c r="BB30" s="323">
        <f>POWER($E$29/BB29,1/1)-1</f>
        <v>6.4500548776111799</v>
      </c>
      <c r="BC30" s="323">
        <f>POWER($E$29/BC29,1/1)-1</f>
        <v>19.815382284318058</v>
      </c>
      <c r="BD30" s="323">
        <f>POWER($E$29/BD29,1/1)-1</f>
        <v>-11.578915978888242</v>
      </c>
      <c r="BE30" s="323">
        <f>POWER($E$29/BE29,1/1)-1</f>
        <v>-6.1022725725116587</v>
      </c>
      <c r="BF30" s="323">
        <f>POWER($E$29/BF29,1/1)-1</f>
        <v>17.362189101251051</v>
      </c>
      <c r="BG30" s="323">
        <f>POWER($E$29/BG29,1/1)-1</f>
        <v>-7.418697215603264</v>
      </c>
      <c r="BH30" s="323">
        <f>POWER($E$29/BH29,1/1)-1</f>
        <v>-9.0044751252542277</v>
      </c>
      <c r="BI30" s="323">
        <f>POWER($E$29/BI29,1/1)-1</f>
        <v>6.8580811013012486</v>
      </c>
      <c r="BJ30" s="323">
        <f>POWER($E$29/BJ29,1/1)-1</f>
        <v>22.699408623220563</v>
      </c>
      <c r="BK30" s="323">
        <f>POWER($E$29/BK29,1/1)-1</f>
        <v>-56.141296172027147</v>
      </c>
      <c r="BL30" s="323">
        <f>POWER($E$29/BL29,1/1)-1</f>
        <v>-11.113747201215848</v>
      </c>
      <c r="BM30" s="323">
        <f>POWER($E$29/BM29,1/1)-1</f>
        <v>1.9748314240965961</v>
      </c>
      <c r="BN30" s="323">
        <f>POWER($E$29/BN29,1/1)-1</f>
        <v>8.7723521161558615</v>
      </c>
      <c r="BO30" s="323">
        <f>POWER($E$29/BO29,1/1)-1</f>
        <v>22.411774573350339</v>
      </c>
      <c r="BP30" s="323" t="e">
        <f>POWER($E$29/BP29,1/1)-1</f>
        <v>#DIV/0!</v>
      </c>
      <c r="BQ30" s="323" t="e">
        <f>POWER($E$29/BQ29,1/1)-1</f>
        <v>#DIV/0!</v>
      </c>
      <c r="BR30" s="323" t="e">
        <f>POWER($E$29/BR29,1/1)-1</f>
        <v>#DIV/0!</v>
      </c>
      <c r="BS30" s="323" t="e">
        <f>POWER($E$29/BS29,1/1)-1</f>
        <v>#DIV/0!</v>
      </c>
      <c r="BT30" s="323" t="e">
        <f>POWER($E$29/BT29,1/1)-1</f>
        <v>#DIV/0!</v>
      </c>
      <c r="BU30" s="323" t="e">
        <f>POWER($E$29/BU29,1/1)-1</f>
        <v>#DIV/0!</v>
      </c>
      <c r="BV30" s="323" t="e">
        <f t="shared" ref="BV30:CJ30" si="20">POWER($E$29/BV29,1/1)-1</f>
        <v>#DIV/0!</v>
      </c>
      <c r="BW30" s="323" t="e">
        <f t="shared" si="20"/>
        <v>#DIV/0!</v>
      </c>
      <c r="BX30" s="323" t="e">
        <f t="shared" si="20"/>
        <v>#DIV/0!</v>
      </c>
      <c r="BY30" s="323" t="e">
        <f t="shared" si="20"/>
        <v>#DIV/0!</v>
      </c>
      <c r="BZ30" s="323" t="e">
        <f t="shared" si="20"/>
        <v>#DIV/0!</v>
      </c>
      <c r="CA30" s="323" t="e">
        <f t="shared" si="20"/>
        <v>#DIV/0!</v>
      </c>
      <c r="CB30" s="323" t="e">
        <f t="shared" si="20"/>
        <v>#DIV/0!</v>
      </c>
      <c r="CC30" s="323" t="e">
        <f t="shared" si="20"/>
        <v>#DIV/0!</v>
      </c>
      <c r="CD30" s="323" t="e">
        <f t="shared" si="20"/>
        <v>#DIV/0!</v>
      </c>
      <c r="CE30" s="323" t="e">
        <f t="shared" si="20"/>
        <v>#DIV/0!</v>
      </c>
      <c r="CF30" s="323" t="e">
        <f t="shared" si="20"/>
        <v>#DIV/0!</v>
      </c>
      <c r="CG30" s="323" t="e">
        <f t="shared" si="20"/>
        <v>#DIV/0!</v>
      </c>
      <c r="CH30" s="323" t="e">
        <f t="shared" si="20"/>
        <v>#DIV/0!</v>
      </c>
      <c r="CI30" s="323" t="e">
        <f t="shared" si="20"/>
        <v>#DIV/0!</v>
      </c>
      <c r="CJ30" s="323" t="e">
        <f t="shared" si="20"/>
        <v>#DIV/0!</v>
      </c>
    </row>
    <row r="31" spans="1:90" s="325" customFormat="1" ht="28.5" customHeight="1">
      <c r="A31" s="324" t="s">
        <v>755</v>
      </c>
      <c r="E31" s="325">
        <f>E29-E32</f>
        <v>2576826.4899999797</v>
      </c>
      <c r="F31" s="325">
        <f>F29-F32</f>
        <v>239955349.46000001</v>
      </c>
      <c r="G31" s="325">
        <f>G29-G32</f>
        <v>81413645.430000007</v>
      </c>
      <c r="H31" s="325">
        <f>H29-H32</f>
        <v>100081175.03</v>
      </c>
      <c r="I31" s="325">
        <f>I29-I32</f>
        <v>110351557.29000002</v>
      </c>
      <c r="J31" s="325">
        <f>J29-J32</f>
        <v>397834377.94999999</v>
      </c>
      <c r="K31" s="325">
        <f>K29-K32</f>
        <v>166841393.87</v>
      </c>
      <c r="L31" s="325">
        <f>L29-L32</f>
        <v>146017224.09999999</v>
      </c>
      <c r="M31" s="325">
        <f>M29-M32</f>
        <v>155838325.45999998</v>
      </c>
      <c r="N31" s="325">
        <f>N29-N32</f>
        <v>309188648.60000002</v>
      </c>
      <c r="O31" s="325">
        <f>O29-O32</f>
        <v>105053996.24000001</v>
      </c>
      <c r="P31" s="325">
        <f>P29-P32</f>
        <v>70509040.489999995</v>
      </c>
      <c r="Q31" s="325">
        <f>Q29-Q32</f>
        <v>5453829.0199999958</v>
      </c>
      <c r="R31" s="325">
        <f>R29-R32</f>
        <v>136203642.33000001</v>
      </c>
      <c r="S31" s="325">
        <f>S29-S32</f>
        <v>21932566.73</v>
      </c>
      <c r="T31" s="325">
        <f>T29-T32</f>
        <v>43924546.869999997</v>
      </c>
      <c r="U31" s="325">
        <f>U29-U32</f>
        <v>-12948832.50999999</v>
      </c>
      <c r="V31" s="325">
        <f>V29-V32</f>
        <v>122843860.92</v>
      </c>
      <c r="W31" s="325">
        <f>W29-W32</f>
        <v>57447741.159999996</v>
      </c>
      <c r="X31" s="325">
        <f>X29-X32</f>
        <v>26760705.460000001</v>
      </c>
      <c r="Y31" s="325">
        <f>Y29-Y32</f>
        <v>-89876364.790000007</v>
      </c>
      <c r="Z31" s="325">
        <f>资产资本结构分析表!Z4-资产资本结构分析表!AD4</f>
        <v>34333287.500000119</v>
      </c>
      <c r="AA31" s="325">
        <f>资产资本结构分析表!AA4-资产资本结构分析表!AE4</f>
        <v>31275215.309999824</v>
      </c>
      <c r="AB31" s="325">
        <f>资产资本结构分析表!AB4-资产资本结构分析表!AF4</f>
        <v>-60267423.540000081</v>
      </c>
      <c r="AC31" s="325">
        <f>资产资本结构分析表!AC4-资产资本结构分析表!AG4</f>
        <v>-120452035.0999999</v>
      </c>
      <c r="AD31" s="325">
        <f>资产资本结构分析表!AD4-资产资本结构分析表!AH4</f>
        <v>105075893.41000009</v>
      </c>
      <c r="AE31" s="325">
        <f>资产资本结构分析表!AE4-资产资本结构分析表!AI4</f>
        <v>112368582.02999997</v>
      </c>
      <c r="AF31" s="325">
        <f>资产资本结构分析表!AF4-资产资本结构分析表!AJ4</f>
        <v>168332697.86999989</v>
      </c>
      <c r="AG31" s="325">
        <f>资产资本结构分析表!AG4-资产资本结构分析表!AK4</f>
        <v>30555291.2099998</v>
      </c>
      <c r="AH31" s="325">
        <f>资产资本结构分析表!AH4-资产资本结构分析表!AL4</f>
        <v>-72698898.569999814</v>
      </c>
      <c r="AI31" s="325">
        <f>资产资本结构分析表!AI4-资产资本结构分析表!AM4</f>
        <v>-71323612.789999843</v>
      </c>
      <c r="AJ31" s="325">
        <f>资产资本结构分析表!AJ4-资产资本结构分析表!AN4</f>
        <v>-82952630.309999824</v>
      </c>
      <c r="AK31" s="325">
        <f>资产资本结构分析表!AK4-资产资本结构分析表!AO4</f>
        <v>-7679466.2000001669</v>
      </c>
      <c r="AL31" s="325">
        <f>资产资本结构分析表!AL4-资产资本结构分析表!AP4</f>
        <v>70756905.48999995</v>
      </c>
      <c r="AM31" s="325">
        <f>资产资本结构分析表!AM4-资产资本结构分析表!AQ4</f>
        <v>86802424.929999948</v>
      </c>
      <c r="AN31" s="325">
        <f>资产资本结构分析表!AN4-资产资本结构分析表!AR4</f>
        <v>118406017.56999987</v>
      </c>
      <c r="AO31" s="325">
        <f>资产资本结构分析表!AO4-资产资本结构分析表!AS4</f>
        <v>127806186.04000032</v>
      </c>
      <c r="AP31" s="325">
        <f>资产资本结构分析表!AP4-资产资本结构分析表!AT4</f>
        <v>138360267.71999979</v>
      </c>
      <c r="AQ31" s="325">
        <f>资产资本结构分析表!AQ4-资产资本结构分析表!AU4</f>
        <v>130237933.27999985</v>
      </c>
      <c r="AR31" s="325">
        <f>资产资本结构分析表!AR4-资产资本结构分析表!AV4</f>
        <v>126808677.78000015</v>
      </c>
      <c r="AS31" s="325">
        <f>资产资本结构分析表!AS4-资产资本结构分析表!AW4</f>
        <v>93659325.869999886</v>
      </c>
      <c r="AT31" s="325">
        <f>资产资本结构分析表!AT4-资产资本结构分析表!AX4</f>
        <v>9425091.0000000596</v>
      </c>
      <c r="AU31" s="325">
        <f>资产资本结构分析表!AU4-资产资本结构分析表!AY4</f>
        <v>-5214150.3199999332</v>
      </c>
      <c r="AV31" s="325">
        <f>资产资本结构分析表!AV4-资产资本结构分析表!AZ4</f>
        <v>235526347.20999998</v>
      </c>
      <c r="AW31" s="325">
        <f>资产资本结构分析表!AW4-资产资本结构分析表!BA4</f>
        <v>40362698.600000083</v>
      </c>
      <c r="AX31" s="325">
        <f>资产资本结构分析表!AX4-资产资本结构分析表!BB4</f>
        <v>137815332.41000003</v>
      </c>
      <c r="AY31" s="325">
        <f>资产资本结构分析表!AY4-资产资本结构分析表!BC4</f>
        <v>120715526.18000013</v>
      </c>
      <c r="AZ31" s="325">
        <f>资产资本结构分析表!AZ4-资产资本结构分析表!BD4</f>
        <v>-124799629.85999998</v>
      </c>
      <c r="BA31" s="325">
        <f>资产资本结构分析表!BA4-资产资本结构分析表!BE4</f>
        <v>104918697.1699999</v>
      </c>
      <c r="BB31" s="325">
        <f>资产资本结构分析表!BB4-资产资本结构分析表!BF4</f>
        <v>134699207.15999991</v>
      </c>
      <c r="BC31" s="325">
        <f>资产资本结构分析表!BC4-资产资本结构分析表!BG4</f>
        <v>122891232.18999997</v>
      </c>
      <c r="BD31" s="325">
        <f>资产资本结构分析表!BD4-资产资本结构分析表!BH4</f>
        <v>110334266.97000003</v>
      </c>
      <c r="BE31" s="325">
        <f>资产资本结构分析表!BE4-资产资本结构分析表!BI4</f>
        <v>146453829.77000001</v>
      </c>
      <c r="BF31" s="325">
        <f>资产资本结构分析表!BF4-资产资本结构分析表!BJ4</f>
        <v>66206903.070000052</v>
      </c>
      <c r="BG31" s="325">
        <f>资产资本结构分析表!BG4-资产资本结构分析表!BK4</f>
        <v>72843603.109999985</v>
      </c>
      <c r="BH31" s="325">
        <f>资产资本结构分析表!BH4-资产资本结构分析表!BL4</f>
        <v>59986389.669999987</v>
      </c>
      <c r="BI31" s="325">
        <f>资产资本结构分析表!BI4-资产资本结构分析表!BM4</f>
        <v>39489860.659999967</v>
      </c>
      <c r="BJ31" s="325">
        <f>资产资本结构分析表!BJ4-资产资本结构分析表!BN4</f>
        <v>-6061891.6699999869</v>
      </c>
      <c r="BK31" s="325">
        <f>资产资本结构分析表!BK4-资产资本结构分析表!BO4</f>
        <v>-29924214.319999963</v>
      </c>
      <c r="BL31" s="325">
        <f>资产资本结构分析表!BL4-资产资本结构分析表!BP4</f>
        <v>-18895199.470000058</v>
      </c>
      <c r="BM31" s="325">
        <f>资产资本结构分析表!BM4-资产资本结构分析表!BQ4</f>
        <v>-67449647.939999968</v>
      </c>
      <c r="BN31" s="325">
        <f>资产资本结构分析表!BN4-资产资本结构分析表!BR4</f>
        <v>-32417172.060000002</v>
      </c>
      <c r="BO31" s="325">
        <f>资产资本结构分析表!BO4-资产资本结构分析表!BS4</f>
        <v>76149534.769999951</v>
      </c>
      <c r="BP31" s="325">
        <f>资产资本结构分析表!BP4-资产资本结构分析表!BT4</f>
        <v>73892430.870000035</v>
      </c>
      <c r="BQ31" s="325">
        <f>资产资本结构分析表!BQ4-资产资本结构分析表!BU4</f>
        <v>85488214.629999995</v>
      </c>
      <c r="BR31" s="325">
        <f>资产资本结构分析表!BR4-资产资本结构分析表!BV4</f>
        <v>84341629.099999994</v>
      </c>
      <c r="BS31" s="325">
        <f>资产资本结构分析表!BS4-资产资本结构分析表!BW4</f>
        <v>0</v>
      </c>
      <c r="BT31" s="325">
        <f>资产资本结构分析表!BT4-资产资本结构分析表!BX4</f>
        <v>0</v>
      </c>
      <c r="BU31" s="325">
        <f>资产资本结构分析表!BU4-资产资本结构分析表!BY4</f>
        <v>0</v>
      </c>
      <c r="BV31" s="325">
        <f>资产资本结构分析表!BV4-资产资本结构分析表!BZ4</f>
        <v>0</v>
      </c>
      <c r="BW31" s="325">
        <f>资产资本结构分析表!BW4-资产资本结构分析表!CA4</f>
        <v>0</v>
      </c>
      <c r="BX31" s="325">
        <f>资产资本结构分析表!BX4-资产资本结构分析表!CB4</f>
        <v>0</v>
      </c>
      <c r="BY31" s="325">
        <f>资产资本结构分析表!BY4-资产资本结构分析表!CC4</f>
        <v>0</v>
      </c>
      <c r="BZ31" s="325">
        <f>资产资本结构分析表!BZ4-资产资本结构分析表!CD4</f>
        <v>0</v>
      </c>
      <c r="CA31" s="325">
        <f>资产资本结构分析表!CA4-资产资本结构分析表!CE4</f>
        <v>0</v>
      </c>
      <c r="CB31" s="325">
        <f>资产资本结构分析表!CB4-资产资本结构分析表!CF4</f>
        <v>0</v>
      </c>
      <c r="CC31" s="325">
        <f>资产资本结构分析表!CC4-资产资本结构分析表!CG4</f>
        <v>0</v>
      </c>
      <c r="CD31" s="325">
        <f>资产资本结构分析表!CD4-资产资本结构分析表!CH4</f>
        <v>0</v>
      </c>
      <c r="CE31" s="325">
        <f>资产资本结构分析表!CE4-资产资本结构分析表!CI4</f>
        <v>0</v>
      </c>
      <c r="CF31" s="325">
        <f>资产资本结构分析表!CF4-资产资本结构分析表!CJ4</f>
        <v>0</v>
      </c>
      <c r="CG31" s="325">
        <f>资产资本结构分析表!CG4-资产资本结构分析表!CK4</f>
        <v>0</v>
      </c>
      <c r="CH31" s="325">
        <f>资产资本结构分析表!CH4-资产资本结构分析表!CL4</f>
        <v>0</v>
      </c>
      <c r="CI31" s="325">
        <f>资产资本结构分析表!CI4-资产资本结构分析表!CM4</f>
        <v>0</v>
      </c>
      <c r="CJ31" s="325">
        <f>资产资本结构分析表!CJ4-资产资本结构分析表!CN4</f>
        <v>0</v>
      </c>
      <c r="CK31" s="325">
        <f>资产资本结构分析表!CK4-资产资本结构分析表!CO4</f>
        <v>0</v>
      </c>
    </row>
    <row r="32" spans="1:90" s="325" customFormat="1" ht="42" customHeight="1">
      <c r="A32" s="324" t="s">
        <v>754</v>
      </c>
      <c r="E32" s="325">
        <v>263694200</v>
      </c>
      <c r="I32" s="325">
        <v>260120900</v>
      </c>
      <c r="M32" s="325">
        <v>95683800</v>
      </c>
      <c r="Q32" s="325">
        <v>118122300</v>
      </c>
      <c r="U32" s="325">
        <v>153825600</v>
      </c>
    </row>
    <row r="33" spans="1:29" s="16" customFormat="1" ht="367.15" customHeight="1">
      <c r="A33" s="277" t="s">
        <v>751</v>
      </c>
      <c r="B33" s="276"/>
      <c r="C33" s="276"/>
      <c r="D33" s="276"/>
      <c r="E33" s="276"/>
      <c r="F33" s="276"/>
      <c r="G33" s="276"/>
      <c r="H33" s="276"/>
      <c r="I33" s="276"/>
      <c r="J33" s="276"/>
      <c r="K33" s="276"/>
      <c r="L33" s="276"/>
      <c r="M33" s="276"/>
      <c r="N33" s="276"/>
      <c r="O33" s="276"/>
      <c r="P33" s="276"/>
      <c r="Q33" s="276"/>
      <c r="R33" s="276"/>
      <c r="S33" s="276"/>
      <c r="T33" s="276"/>
      <c r="U33" s="276"/>
      <c r="V33" s="276"/>
      <c r="W33" s="276"/>
      <c r="X33" s="276"/>
      <c r="Y33" s="276"/>
      <c r="Z33" s="276"/>
      <c r="AA33" s="276"/>
      <c r="AB33" s="276"/>
      <c r="AC33" s="276"/>
    </row>
    <row r="34" spans="1:29">
      <c r="A34" s="110" t="s">
        <v>566</v>
      </c>
      <c r="B34" s="96"/>
      <c r="C34" s="96"/>
      <c r="D34" s="96"/>
      <c r="E34" s="96" t="s">
        <v>565</v>
      </c>
      <c r="F34" s="96"/>
      <c r="G34" s="96"/>
      <c r="H34" s="96"/>
      <c r="I34" s="96" t="s">
        <v>599</v>
      </c>
      <c r="M34" s="96" t="s">
        <v>567</v>
      </c>
      <c r="Q34" s="113" t="s">
        <v>605</v>
      </c>
      <c r="R34" s="113"/>
      <c r="S34" s="113"/>
      <c r="T34" s="113"/>
      <c r="U34" s="113" t="s">
        <v>602</v>
      </c>
      <c r="V34" s="113"/>
      <c r="W34" s="113"/>
      <c r="X34" s="113"/>
      <c r="Y34" s="113" t="s">
        <v>603</v>
      </c>
      <c r="Z34" s="113"/>
      <c r="AA34" s="113"/>
      <c r="AB34" s="113"/>
      <c r="AC34" s="113" t="s">
        <v>604</v>
      </c>
    </row>
    <row r="35" spans="1:29" s="63" customFormat="1">
      <c r="A35" s="110" t="s">
        <v>568</v>
      </c>
      <c r="B35" s="111"/>
      <c r="C35" s="111"/>
      <c r="D35" s="111"/>
      <c r="E35" s="111">
        <f>POWER(E27/U27,1/5)-1</f>
        <v>0.14059891224793852</v>
      </c>
      <c r="F35" s="111"/>
      <c r="G35" s="111"/>
      <c r="H35" s="111"/>
      <c r="I35" s="111" t="e">
        <f>POWER(E27/Y27,1/6)-1</f>
        <v>#NUM!</v>
      </c>
      <c r="M35" s="111">
        <f>POWER(E27/AC27,1/7)-1</f>
        <v>4.6418299671043606E-2</v>
      </c>
      <c r="Q35" s="114" t="s">
        <v>601</v>
      </c>
      <c r="R35" s="114"/>
      <c r="S35" s="114"/>
      <c r="T35" s="114"/>
      <c r="U35" s="114">
        <f>POWER(E14/U14,1/5)-1</f>
        <v>8.9309010963294577E-2</v>
      </c>
      <c r="V35" s="114"/>
      <c r="W35" s="114"/>
      <c r="X35" s="114"/>
      <c r="Y35" s="114">
        <f>POWER(E14/Y14,1/6)-1</f>
        <v>0.56058181369591153</v>
      </c>
      <c r="Z35" s="114"/>
      <c r="AA35" s="114"/>
      <c r="AB35" s="114"/>
      <c r="AC35" s="114">
        <f>POWER(E14/AC14,1/7)-1</f>
        <v>5.96426588902772E-2</v>
      </c>
    </row>
    <row r="36" spans="1:29" s="66" customFormat="1">
      <c r="A36" s="46" t="s">
        <v>510</v>
      </c>
      <c r="E36" s="66">
        <v>0.17</v>
      </c>
    </row>
    <row r="43" spans="1:29" ht="40.5">
      <c r="A43" s="67" t="s">
        <v>511</v>
      </c>
    </row>
    <row r="45" spans="1:29" ht="111" customHeight="1">
      <c r="A45" s="277" t="s">
        <v>734</v>
      </c>
      <c r="B45" s="276"/>
      <c r="C45" s="276"/>
      <c r="D45" s="276"/>
      <c r="E45" s="276"/>
      <c r="F45" s="276"/>
      <c r="G45" s="276"/>
      <c r="H45" s="276"/>
      <c r="I45" s="276"/>
      <c r="J45" s="276"/>
      <c r="K45" s="276"/>
      <c r="L45" s="276"/>
      <c r="M45" s="276"/>
    </row>
  </sheetData>
  <mergeCells count="2">
    <mergeCell ref="A33:AC33"/>
    <mergeCell ref="A45:M45"/>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opLeftCell="A10" workbookViewId="0">
      <selection activeCell="A14" sqref="A14:I14"/>
    </sheetView>
  </sheetViews>
  <sheetFormatPr defaultRowHeight="13.5"/>
  <cols>
    <col min="1" max="1" width="42.5" style="17" bestFit="1" customWidth="1"/>
    <col min="2" max="2" width="22" style="26" bestFit="1" customWidth="1"/>
    <col min="3" max="3" width="37.125" bestFit="1" customWidth="1"/>
    <col min="4" max="4" width="22" bestFit="1" customWidth="1"/>
    <col min="5" max="8" width="17.25" bestFit="1" customWidth="1"/>
    <col min="9" max="9" width="19.375" bestFit="1" customWidth="1"/>
    <col min="10" max="11" width="17.25" bestFit="1" customWidth="1"/>
    <col min="12" max="12" width="38.25" bestFit="1" customWidth="1"/>
    <col min="13" max="16" width="17.25" bestFit="1" customWidth="1"/>
    <col min="17" max="19" width="19.375" bestFit="1" customWidth="1"/>
    <col min="20" max="74" width="9.5" bestFit="1" customWidth="1"/>
  </cols>
  <sheetData>
    <row r="1" spans="1:10" ht="16.149999999999999" customHeight="1">
      <c r="A1" s="68" t="s">
        <v>512</v>
      </c>
      <c r="B1" s="69">
        <f>自由现金流分析表!E1</f>
        <v>43100</v>
      </c>
      <c r="C1" s="189" t="s">
        <v>748</v>
      </c>
      <c r="D1" s="272">
        <v>0.08</v>
      </c>
      <c r="E1" s="260" t="s">
        <v>747</v>
      </c>
      <c r="F1" s="63">
        <f>平均资本成本表!E13</f>
        <v>7.9766658554365655E-2</v>
      </c>
    </row>
    <row r="2" spans="1:10">
      <c r="A2" s="70" t="s">
        <v>513</v>
      </c>
      <c r="B2" s="71">
        <f>自由现金流分析表!E29</f>
        <v>266271026.48999998</v>
      </c>
      <c r="C2" t="s">
        <v>546</v>
      </c>
      <c r="D2" s="63"/>
      <c r="E2" s="63"/>
      <c r="F2" s="56"/>
    </row>
    <row r="3" spans="1:10" s="63" customFormat="1">
      <c r="A3" s="72" t="s">
        <v>514</v>
      </c>
      <c r="B3" s="98">
        <v>0.03</v>
      </c>
      <c r="D3" s="188"/>
      <c r="E3" s="188"/>
      <c r="F3" s="258"/>
    </row>
    <row r="4" spans="1:10" s="63" customFormat="1">
      <c r="A4" s="72" t="s">
        <v>515</v>
      </c>
      <c r="B4" s="98">
        <f>F1</f>
        <v>7.9766658554365655E-2</v>
      </c>
      <c r="D4" s="188"/>
      <c r="E4" s="188"/>
      <c r="F4" s="259"/>
    </row>
    <row r="5" spans="1:10">
      <c r="A5" s="70" t="s">
        <v>516</v>
      </c>
      <c r="B5" s="71">
        <f>B2*(1+B3)/(B4-B3)</f>
        <v>5510901580.5249653</v>
      </c>
      <c r="D5" s="63"/>
      <c r="E5" s="63"/>
    </row>
    <row r="6" spans="1:10">
      <c r="A6" s="70" t="s">
        <v>517</v>
      </c>
      <c r="B6" s="71">
        <f>资产资本表!E17</f>
        <v>713992695.25</v>
      </c>
      <c r="D6" s="188"/>
      <c r="E6" s="188"/>
      <c r="F6" s="188"/>
      <c r="G6" s="188"/>
    </row>
    <row r="7" spans="1:10">
      <c r="A7" s="70" t="s">
        <v>518</v>
      </c>
      <c r="B7" s="71">
        <f>资产资本表!E19</f>
        <v>0</v>
      </c>
      <c r="D7" s="188"/>
      <c r="E7" s="188"/>
      <c r="F7" s="188"/>
      <c r="G7" s="188"/>
    </row>
    <row r="8" spans="1:10">
      <c r="A8" s="70" t="s">
        <v>519</v>
      </c>
      <c r="B8" s="195">
        <f>资产资本表!E89</f>
        <v>0</v>
      </c>
      <c r="C8" s="270" t="s">
        <v>745</v>
      </c>
      <c r="D8" s="271">
        <f>B2/B4</f>
        <v>3338124365.6899662</v>
      </c>
      <c r="E8" s="63"/>
      <c r="F8" s="188"/>
      <c r="G8" s="188"/>
    </row>
    <row r="9" spans="1:10">
      <c r="A9" s="70" t="s">
        <v>520</v>
      </c>
      <c r="B9" s="195">
        <f>B5+B6+B7-B8</f>
        <v>6224894275.7749653</v>
      </c>
      <c r="C9" s="270" t="s">
        <v>746</v>
      </c>
      <c r="D9" s="271">
        <f>(D8+资产资本结构分析表!$E$2+资产资本结构分析表!$E$3)/B55</f>
        <v>9.5348417830014736</v>
      </c>
      <c r="E9" s="188"/>
      <c r="F9" s="188"/>
      <c r="G9" s="188"/>
    </row>
    <row r="10" spans="1:10">
      <c r="A10" s="70" t="s">
        <v>521</v>
      </c>
      <c r="B10" s="73">
        <f>资产资本表!E103/资产资本表!E107</f>
        <v>0</v>
      </c>
      <c r="D10" s="188"/>
      <c r="E10" s="188"/>
      <c r="F10" s="188"/>
      <c r="G10" s="188"/>
    </row>
    <row r="11" spans="1:10">
      <c r="A11" s="70" t="s">
        <v>547</v>
      </c>
      <c r="B11" s="195">
        <f>B9*(1-B10)</f>
        <v>6224894275.7749653</v>
      </c>
      <c r="C11" s="267" t="s">
        <v>742</v>
      </c>
      <c r="D11" s="268">
        <f>资产资本结构分析表!E2</f>
        <v>713992695.25</v>
      </c>
      <c r="E11" s="63"/>
      <c r="F11" s="188"/>
      <c r="G11" s="188"/>
    </row>
    <row r="12" spans="1:10">
      <c r="A12" s="70" t="s">
        <v>522</v>
      </c>
      <c r="B12" s="266">
        <f>B55</f>
        <v>424980000</v>
      </c>
      <c r="C12" s="267" t="s">
        <v>743</v>
      </c>
      <c r="D12" s="269">
        <f>D11/B55</f>
        <v>1.6800618740881923</v>
      </c>
      <c r="E12" s="188"/>
      <c r="F12" s="188"/>
      <c r="G12" s="188"/>
    </row>
    <row r="13" spans="1:10" ht="14.25" thickBot="1">
      <c r="A13" s="74" t="s">
        <v>523</v>
      </c>
      <c r="B13" s="75">
        <f>B11/B12</f>
        <v>14.64749935473426</v>
      </c>
      <c r="D13" s="188"/>
      <c r="E13" s="188"/>
    </row>
    <row r="14" spans="1:10" s="16" customFormat="1" ht="53.25" customHeight="1">
      <c r="A14" s="277" t="s">
        <v>735</v>
      </c>
      <c r="B14" s="276"/>
      <c r="C14" s="276"/>
      <c r="D14" s="276"/>
      <c r="E14" s="276"/>
      <c r="F14" s="276"/>
      <c r="G14" s="276"/>
      <c r="H14" s="276"/>
      <c r="I14" s="276"/>
    </row>
    <row r="16" spans="1:10" ht="14.45">
      <c r="A16" s="88"/>
      <c r="B16" s="76"/>
      <c r="C16" s="77"/>
      <c r="D16" s="77"/>
      <c r="E16" s="77"/>
      <c r="F16" s="77"/>
      <c r="G16" s="77"/>
      <c r="H16" s="77"/>
      <c r="I16" s="78"/>
      <c r="J16" s="77"/>
    </row>
    <row r="17" spans="1:10" s="63" customFormat="1">
      <c r="A17" s="90"/>
      <c r="B17" s="90"/>
      <c r="C17" s="90" t="s">
        <v>539</v>
      </c>
      <c r="D17" s="90">
        <v>0.1</v>
      </c>
      <c r="E17" s="90"/>
      <c r="F17" s="90"/>
      <c r="G17" s="90"/>
      <c r="H17" s="90" t="s">
        <v>540</v>
      </c>
      <c r="I17" s="90">
        <v>0.04</v>
      </c>
      <c r="J17" s="78"/>
    </row>
    <row r="18" spans="1:10" s="2" customFormat="1">
      <c r="A18" s="298" t="s">
        <v>524</v>
      </c>
      <c r="B18" s="298"/>
      <c r="C18" s="65" t="s">
        <v>538</v>
      </c>
      <c r="D18" s="97">
        <v>1</v>
      </c>
      <c r="E18" s="97">
        <v>2</v>
      </c>
      <c r="F18" s="97">
        <v>3</v>
      </c>
      <c r="G18" s="97">
        <v>4</v>
      </c>
      <c r="H18" s="97">
        <v>5</v>
      </c>
      <c r="I18" s="96">
        <v>6</v>
      </c>
      <c r="J18" s="80"/>
    </row>
    <row r="19" spans="1:10" s="26" customFormat="1">
      <c r="A19" s="99" t="s">
        <v>525</v>
      </c>
      <c r="B19" s="94"/>
      <c r="C19" s="89">
        <f>B2</f>
        <v>266271026.48999998</v>
      </c>
      <c r="D19" s="89">
        <f>C19*(1+$D$17)</f>
        <v>292898129.139</v>
      </c>
      <c r="E19" s="89">
        <f>D19*(1+$D$17)</f>
        <v>322187942.05290002</v>
      </c>
      <c r="F19" s="89">
        <f>E19*(1+$D$17)</f>
        <v>354406736.25819004</v>
      </c>
      <c r="G19" s="89">
        <f>F19*(1+$D$17)</f>
        <v>389847409.88400906</v>
      </c>
      <c r="H19" s="89">
        <f>G19*(1+$D$17)</f>
        <v>428832150.87241</v>
      </c>
      <c r="I19" s="89">
        <f>H19*(1+I17)</f>
        <v>445985436.90730643</v>
      </c>
      <c r="J19" s="76"/>
    </row>
    <row r="20" spans="1:10" s="26" customFormat="1">
      <c r="A20" s="99" t="s">
        <v>526</v>
      </c>
      <c r="B20" s="95">
        <f>B4</f>
        <v>7.9766658554365655E-2</v>
      </c>
      <c r="C20" s="89"/>
      <c r="D20" s="89">
        <f t="shared" ref="D20:I20" si="0">(1+$B$20)^D18</f>
        <v>1.0797666585543657</v>
      </c>
      <c r="E20" s="89">
        <f t="shared" si="0"/>
        <v>1.1658960369256601</v>
      </c>
      <c r="F20" s="89">
        <f t="shared" si="0"/>
        <v>1.2588956680129975</v>
      </c>
      <c r="G20" s="89">
        <f t="shared" si="0"/>
        <v>1.3593135689189602</v>
      </c>
      <c r="H20" s="89">
        <f t="shared" si="0"/>
        <v>1.4677414702392351</v>
      </c>
      <c r="I20" s="89">
        <f t="shared" si="0"/>
        <v>1.5848183029418907</v>
      </c>
      <c r="J20" s="76"/>
    </row>
    <row r="21" spans="1:10" s="26" customFormat="1">
      <c r="A21" s="299" t="s">
        <v>527</v>
      </c>
      <c r="B21" s="299"/>
      <c r="C21" s="89"/>
      <c r="D21" s="89">
        <f>D19/D20</f>
        <v>271260579.14322305</v>
      </c>
      <c r="E21" s="89">
        <f>E19/E20</f>
        <v>276343629.14765048</v>
      </c>
      <c r="F21" s="89">
        <f>F19/F20</f>
        <v>281521928.51499349</v>
      </c>
      <c r="G21" s="89">
        <f>G19/G20</f>
        <v>286797262.08725214</v>
      </c>
      <c r="H21" s="89">
        <f>H19/H20</f>
        <v>292171448.15190941</v>
      </c>
      <c r="I21" s="89">
        <f>I19/((B20-I17)*I20)</f>
        <v>7076558464.8165045</v>
      </c>
      <c r="J21" s="76"/>
    </row>
    <row r="22" spans="1:10" s="26" customFormat="1">
      <c r="A22" s="299" t="s">
        <v>545</v>
      </c>
      <c r="B22" s="299"/>
      <c r="C22" s="89"/>
      <c r="D22" s="295">
        <f>SUM(D21:H21)</f>
        <v>1408094847.0450284</v>
      </c>
      <c r="E22" s="296"/>
      <c r="F22" s="296"/>
      <c r="G22" s="296"/>
      <c r="H22" s="297"/>
      <c r="I22" s="89">
        <f>I21</f>
        <v>7076558464.8165045</v>
      </c>
      <c r="J22" s="76"/>
    </row>
    <row r="23" spans="1:10">
      <c r="A23" s="92" t="s">
        <v>528</v>
      </c>
      <c r="B23" s="76">
        <f>D22+I22</f>
        <v>8484653311.8615332</v>
      </c>
      <c r="C23" s="77"/>
      <c r="D23" s="77"/>
      <c r="E23" s="77"/>
      <c r="F23" s="77"/>
      <c r="G23" s="77"/>
      <c r="H23" s="77"/>
      <c r="I23" s="79"/>
      <c r="J23" s="77"/>
    </row>
    <row r="24" spans="1:10">
      <c r="A24" s="92" t="s">
        <v>529</v>
      </c>
      <c r="B24" s="76">
        <f>B23</f>
        <v>8484653311.8615332</v>
      </c>
      <c r="C24" s="77"/>
      <c r="D24" s="77"/>
      <c r="E24" s="77"/>
      <c r="F24" s="77"/>
      <c r="G24" s="77"/>
      <c r="H24" s="77"/>
      <c r="I24" s="79"/>
      <c r="J24" s="77"/>
    </row>
    <row r="25" spans="1:10">
      <c r="A25" s="70" t="s">
        <v>530</v>
      </c>
      <c r="B25" s="71">
        <f>资产资本表!E17</f>
        <v>713992695.25</v>
      </c>
      <c r="C25" s="77"/>
      <c r="D25" s="77"/>
      <c r="E25" s="77"/>
      <c r="F25" s="77"/>
      <c r="G25" s="77"/>
      <c r="H25" s="77"/>
      <c r="I25" s="79"/>
      <c r="J25" s="77"/>
    </row>
    <row r="26" spans="1:10">
      <c r="A26" s="70" t="s">
        <v>531</v>
      </c>
      <c r="B26" s="71">
        <f>资产资本表!E19</f>
        <v>0</v>
      </c>
      <c r="C26" s="77"/>
      <c r="D26" s="77"/>
      <c r="E26" s="77"/>
      <c r="F26" s="77"/>
      <c r="G26" s="77"/>
      <c r="H26" s="77"/>
      <c r="I26" s="79"/>
      <c r="J26" s="77"/>
    </row>
    <row r="27" spans="1:10">
      <c r="A27" s="70" t="s">
        <v>532</v>
      </c>
      <c r="B27" s="71">
        <f>资产资本表!E89</f>
        <v>0</v>
      </c>
      <c r="C27" s="77"/>
      <c r="D27" s="77"/>
      <c r="E27" s="77"/>
      <c r="F27" s="77"/>
      <c r="G27" s="77"/>
      <c r="H27" s="77"/>
      <c r="I27" s="79"/>
      <c r="J27" s="77"/>
    </row>
    <row r="28" spans="1:10" s="2" customFormat="1">
      <c r="A28" s="82" t="s">
        <v>533</v>
      </c>
      <c r="B28" s="83">
        <f>B24+B25+B26-B27</f>
        <v>9198646007.1115341</v>
      </c>
      <c r="C28" s="80"/>
      <c r="D28" s="80"/>
      <c r="E28" s="80"/>
      <c r="F28" s="80"/>
      <c r="G28" s="80"/>
      <c r="H28" s="80"/>
      <c r="I28" s="81"/>
      <c r="J28" s="80"/>
    </row>
    <row r="29" spans="1:10">
      <c r="A29" s="70" t="s">
        <v>534</v>
      </c>
      <c r="B29" s="78">
        <f>资产资本表!E103/资产资本表!E107</f>
        <v>0</v>
      </c>
      <c r="C29" s="300" t="s">
        <v>541</v>
      </c>
      <c r="D29" s="300"/>
      <c r="E29" s="300"/>
      <c r="F29" s="77"/>
      <c r="G29" s="77"/>
      <c r="H29" s="77"/>
      <c r="I29" s="79"/>
      <c r="J29" s="77"/>
    </row>
    <row r="30" spans="1:10" s="2" customFormat="1">
      <c r="A30" s="82" t="s">
        <v>535</v>
      </c>
      <c r="B30" s="83">
        <f>B28*(1-B29)</f>
        <v>9198646007.1115341</v>
      </c>
      <c r="C30" s="91">
        <v>0.4</v>
      </c>
      <c r="D30" s="91">
        <v>0.3</v>
      </c>
      <c r="E30" s="91">
        <v>0.2</v>
      </c>
      <c r="F30" s="80"/>
      <c r="G30" s="80"/>
      <c r="H30" s="80"/>
      <c r="I30" s="81"/>
      <c r="J30" s="80"/>
    </row>
    <row r="31" spans="1:10">
      <c r="A31" s="70" t="s">
        <v>744</v>
      </c>
      <c r="B31" s="100">
        <f>B55</f>
        <v>424980000</v>
      </c>
      <c r="C31" s="213">
        <f>$B$32*(1-C30)</f>
        <v>12.986934924624501</v>
      </c>
      <c r="D31" s="213">
        <f>$B$32*(1-D30)</f>
        <v>15.151424078728583</v>
      </c>
      <c r="E31" s="213">
        <f>$B$32*(1-E30)</f>
        <v>17.315913232832667</v>
      </c>
      <c r="F31" s="77"/>
      <c r="G31" s="77"/>
      <c r="H31" s="77"/>
      <c r="I31" s="79"/>
      <c r="J31" s="77"/>
    </row>
    <row r="32" spans="1:10" s="2" customFormat="1" ht="14.25" thickBot="1">
      <c r="A32" s="84" t="s">
        <v>536</v>
      </c>
      <c r="B32" s="85">
        <f>B30/B31</f>
        <v>21.644891541040835</v>
      </c>
      <c r="C32" s="86"/>
      <c r="D32" s="86"/>
      <c r="E32" s="86"/>
      <c r="F32" s="86"/>
      <c r="G32" s="86"/>
      <c r="H32" s="86"/>
      <c r="I32" s="87"/>
      <c r="J32" s="80"/>
    </row>
    <row r="33" spans="1:19" ht="63" customHeight="1">
      <c r="A33" s="301" t="s">
        <v>736</v>
      </c>
      <c r="B33" s="302"/>
      <c r="C33" s="302"/>
      <c r="D33" s="302"/>
      <c r="E33" s="302"/>
      <c r="F33" s="302"/>
      <c r="G33" s="302"/>
      <c r="H33" s="302"/>
      <c r="I33" s="302"/>
    </row>
    <row r="37" spans="1:19" s="63" customFormat="1">
      <c r="A37" s="202"/>
      <c r="B37" s="202"/>
      <c r="C37" s="212" t="s">
        <v>539</v>
      </c>
      <c r="D37" s="212">
        <v>0.15</v>
      </c>
      <c r="E37" s="212"/>
      <c r="F37" s="212"/>
      <c r="G37" s="212"/>
      <c r="H37" s="212" t="s">
        <v>634</v>
      </c>
      <c r="I37" s="212">
        <v>0.09</v>
      </c>
      <c r="J37" s="212"/>
      <c r="K37" s="212"/>
      <c r="L37" s="212"/>
      <c r="M37" s="212"/>
      <c r="N37" s="212"/>
      <c r="O37" s="212"/>
      <c r="P37" s="212"/>
      <c r="Q37" s="212"/>
      <c r="R37" s="212" t="s">
        <v>544</v>
      </c>
      <c r="S37" s="212">
        <v>0.02</v>
      </c>
    </row>
    <row r="38" spans="1:19" s="24" customFormat="1">
      <c r="A38" s="309" t="s">
        <v>542</v>
      </c>
      <c r="B38" s="310"/>
      <c r="C38" s="214" t="s">
        <v>538</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c r="A39" s="99" t="s">
        <v>525</v>
      </c>
      <c r="B39" s="94"/>
      <c r="C39" s="89">
        <f>B2</f>
        <v>266271026.48999998</v>
      </c>
      <c r="D39" s="89">
        <f>$C$39*(1+$D$37)^D38</f>
        <v>306211680.46349996</v>
      </c>
      <c r="E39" s="89">
        <f>$C$39*(1+$D$37)^E38</f>
        <v>352143432.53302491</v>
      </c>
      <c r="F39" s="89">
        <f>$C$39*(1+$D$37)^F38</f>
        <v>404964947.41297859</v>
      </c>
      <c r="G39" s="89">
        <f>$C$39*(1+$D$37)^G38</f>
        <v>465709689.52492535</v>
      </c>
      <c r="H39" s="89">
        <f>$C$39*(1+$D$37)^H38</f>
        <v>535566142.95366418</v>
      </c>
      <c r="I39" s="89">
        <f>H39*(1+$I$37)</f>
        <v>583767095.81949401</v>
      </c>
      <c r="J39" s="89">
        <f t="shared" ref="J39:N39" si="1">I39*(1+$I$37)</f>
        <v>636306134.44324851</v>
      </c>
      <c r="K39" s="89">
        <f t="shared" si="1"/>
        <v>693573686.54314089</v>
      </c>
      <c r="L39" s="89">
        <f t="shared" si="1"/>
        <v>755995318.33202362</v>
      </c>
      <c r="M39" s="89">
        <f t="shared" si="1"/>
        <v>824034896.98190582</v>
      </c>
      <c r="N39" s="89">
        <f t="shared" si="1"/>
        <v>898198037.71027744</v>
      </c>
      <c r="O39" s="89">
        <f t="shared" ref="O39" si="2">N39*(1+$I$37)</f>
        <v>979035861.10420251</v>
      </c>
      <c r="P39" s="89">
        <f t="shared" ref="P39" si="3">O39*(1+$I$37)</f>
        <v>1067149088.6035808</v>
      </c>
      <c r="Q39" s="89">
        <f t="shared" ref="Q39" si="4">P39*(1+$I$37)</f>
        <v>1163192506.5779033</v>
      </c>
      <c r="R39" s="89">
        <f t="shared" ref="R39" si="5">Q39*(1+$I$37)</f>
        <v>1267879832.1699147</v>
      </c>
      <c r="S39" s="89">
        <f>R39*(1+S37)</f>
        <v>1293237428.813313</v>
      </c>
    </row>
    <row r="40" spans="1:19" s="23" customFormat="1">
      <c r="A40" s="208" t="s">
        <v>526</v>
      </c>
      <c r="B40" s="207">
        <f>B4</f>
        <v>7.9766658554365655E-2</v>
      </c>
      <c r="C40" s="213"/>
      <c r="D40" s="213">
        <f>(1+$B$40)^D38</f>
        <v>1.0797666585543657</v>
      </c>
      <c r="E40" s="213">
        <f t="shared" ref="E40:R40" si="6">(1+$B$40)^E38</f>
        <v>1.1658960369256601</v>
      </c>
      <c r="F40" s="213">
        <f t="shared" si="6"/>
        <v>1.2588956680129975</v>
      </c>
      <c r="G40" s="213">
        <f t="shared" si="6"/>
        <v>1.3593135689189602</v>
      </c>
      <c r="H40" s="213">
        <f t="shared" si="6"/>
        <v>1.4677414702392351</v>
      </c>
      <c r="I40" s="213">
        <f t="shared" si="6"/>
        <v>1.5848183029418907</v>
      </c>
      <c r="J40" s="213">
        <f t="shared" si="6"/>
        <v>1.711233963383366</v>
      </c>
      <c r="K40" s="213">
        <f t="shared" si="6"/>
        <v>1.8477333786472006</v>
      </c>
      <c r="L40" s="213">
        <f t="shared" si="6"/>
        <v>1.9951208961612563</v>
      </c>
      <c r="M40" s="213">
        <f t="shared" si="6"/>
        <v>2.1542650234600313</v>
      </c>
      <c r="N40" s="213">
        <f t="shared" si="6"/>
        <v>2.3261035460219803</v>
      </c>
      <c r="O40" s="213">
        <f t="shared" si="6"/>
        <v>2.5116490533396147</v>
      </c>
      <c r="P40" s="213">
        <f t="shared" si="6"/>
        <v>2.7119949057857515</v>
      </c>
      <c r="Q40" s="213">
        <f t="shared" si="6"/>
        <v>2.9283216774367422</v>
      </c>
      <c r="R40" s="213">
        <f t="shared" si="6"/>
        <v>3.1619041128181866</v>
      </c>
      <c r="S40" s="181">
        <f>(1+$B$40)^S38</f>
        <v>3.414118638566999</v>
      </c>
    </row>
    <row r="41" spans="1:19" s="191" customFormat="1">
      <c r="A41" s="311" t="s">
        <v>527</v>
      </c>
      <c r="B41" s="312"/>
      <c r="C41" s="89"/>
      <c r="D41" s="89">
        <f t="shared" ref="D41:R41" si="7">D39/D40</f>
        <v>283590605.46791494</v>
      </c>
      <c r="E41" s="89">
        <f t="shared" si="7"/>
        <v>302036735.16344434</v>
      </c>
      <c r="F41" s="89">
        <f t="shared" si="7"/>
        <v>321682691.98365176</v>
      </c>
      <c r="G41" s="89">
        <f t="shared" si="7"/>
        <v>342606518.59401113</v>
      </c>
      <c r="H41" s="89">
        <f t="shared" si="7"/>
        <v>364891333.93932748</v>
      </c>
      <c r="I41" s="89">
        <f t="shared" si="7"/>
        <v>368349541.85968822</v>
      </c>
      <c r="J41" s="89">
        <f t="shared" si="7"/>
        <v>371840524.47461712</v>
      </c>
      <c r="K41" s="89">
        <f t="shared" si="7"/>
        <v>375364592.40181822</v>
      </c>
      <c r="L41" s="89">
        <f t="shared" si="7"/>
        <v>378922059.2028324</v>
      </c>
      <c r="M41" s="89">
        <f t="shared" si="7"/>
        <v>382513241.41093749</v>
      </c>
      <c r="N41" s="89">
        <f t="shared" si="7"/>
        <v>386138458.55931211</v>
      </c>
      <c r="O41" s="89">
        <f t="shared" si="7"/>
        <v>389798033.20946741</v>
      </c>
      <c r="P41" s="89">
        <f t="shared" si="7"/>
        <v>393492290.97994697</v>
      </c>
      <c r="Q41" s="89">
        <f t="shared" si="7"/>
        <v>397221560.5753001</v>
      </c>
      <c r="R41" s="89">
        <f t="shared" si="7"/>
        <v>400986173.8153283</v>
      </c>
      <c r="S41" s="89">
        <f>S39/((B40-S37)*S40)</f>
        <v>6337831388.4207335</v>
      </c>
    </row>
    <row r="42" spans="1:19" s="23" customFormat="1">
      <c r="A42" s="313" t="s">
        <v>545</v>
      </c>
      <c r="B42" s="314"/>
      <c r="C42" s="213"/>
      <c r="D42" s="306">
        <f>SUM(D41:H41)</f>
        <v>1614807885.1483498</v>
      </c>
      <c r="E42" s="307"/>
      <c r="F42" s="307"/>
      <c r="G42" s="307"/>
      <c r="H42" s="308"/>
      <c r="I42" s="306">
        <f>SUM(I41:R41)</f>
        <v>3844626476.4892483</v>
      </c>
      <c r="J42" s="307"/>
      <c r="K42" s="307"/>
      <c r="L42" s="307"/>
      <c r="M42" s="307"/>
      <c r="N42" s="307"/>
      <c r="O42" s="307"/>
      <c r="P42" s="307"/>
      <c r="Q42" s="307"/>
      <c r="R42" s="308"/>
      <c r="S42" s="213">
        <f>S41</f>
        <v>6337831388.4207335</v>
      </c>
    </row>
    <row r="43" spans="1:19">
      <c r="A43" s="204" t="s">
        <v>543</v>
      </c>
      <c r="B43" s="195">
        <f>D42+I42+S42</f>
        <v>11797265750.058331</v>
      </c>
      <c r="C43" s="196"/>
      <c r="D43" s="196"/>
      <c r="E43" s="196"/>
      <c r="F43" s="196"/>
      <c r="G43" s="196"/>
      <c r="H43" s="196"/>
      <c r="I43" s="196"/>
      <c r="J43" s="196"/>
      <c r="K43" s="196"/>
      <c r="L43" s="196"/>
      <c r="M43" s="196"/>
      <c r="N43" s="196"/>
      <c r="O43" s="196"/>
      <c r="P43" s="196"/>
      <c r="Q43" s="196"/>
      <c r="R43" s="196"/>
      <c r="S43" s="198"/>
    </row>
    <row r="44" spans="1:19">
      <c r="A44" s="204" t="s">
        <v>529</v>
      </c>
      <c r="B44" s="195">
        <f>B43</f>
        <v>11797265750.058331</v>
      </c>
      <c r="C44" s="196"/>
      <c r="D44" s="196"/>
      <c r="E44" s="196"/>
      <c r="F44" s="196"/>
      <c r="G44" s="196"/>
      <c r="H44" s="196"/>
      <c r="I44" s="196"/>
      <c r="J44" s="196"/>
      <c r="K44" s="196"/>
      <c r="L44" s="196"/>
      <c r="M44" s="196"/>
      <c r="N44" s="196"/>
      <c r="O44" s="196"/>
      <c r="P44" s="196"/>
      <c r="Q44" s="196"/>
      <c r="R44" s="196"/>
      <c r="S44" s="198"/>
    </row>
    <row r="45" spans="1:19">
      <c r="A45" s="194" t="s">
        <v>530</v>
      </c>
      <c r="B45" s="195">
        <f>资产资本表!E17</f>
        <v>713992695.25</v>
      </c>
      <c r="C45" s="196"/>
      <c r="D45" s="196"/>
      <c r="E45" s="196"/>
      <c r="F45" s="196"/>
      <c r="G45" s="196"/>
      <c r="H45" s="196"/>
      <c r="I45" s="196"/>
      <c r="J45" s="196"/>
      <c r="K45" s="196"/>
      <c r="L45" s="196"/>
      <c r="M45" s="196"/>
      <c r="N45" s="196"/>
      <c r="O45" s="196"/>
      <c r="P45" s="196"/>
      <c r="Q45" s="196"/>
      <c r="R45" s="196"/>
      <c r="S45" s="198"/>
    </row>
    <row r="46" spans="1:19">
      <c r="A46" s="194" t="s">
        <v>531</v>
      </c>
      <c r="B46" s="195">
        <f>资产资本表!E19</f>
        <v>0</v>
      </c>
      <c r="C46" s="196"/>
      <c r="D46" s="196"/>
      <c r="E46" s="196"/>
      <c r="F46" s="196"/>
      <c r="G46" s="196"/>
      <c r="H46" s="196"/>
      <c r="I46" s="196"/>
      <c r="J46" s="196"/>
      <c r="K46" s="196"/>
      <c r="L46" s="196"/>
      <c r="M46" s="196"/>
      <c r="N46" s="196"/>
      <c r="O46" s="196"/>
      <c r="P46" s="196"/>
      <c r="Q46" s="196"/>
      <c r="R46" s="196"/>
      <c r="S46" s="198"/>
    </row>
    <row r="47" spans="1:19">
      <c r="A47" s="194" t="s">
        <v>532</v>
      </c>
      <c r="B47" s="195">
        <f>资产资本表!E89</f>
        <v>0</v>
      </c>
      <c r="C47" s="196"/>
      <c r="D47" s="196"/>
      <c r="E47" s="196"/>
      <c r="F47" s="196"/>
      <c r="G47" s="196"/>
      <c r="H47" s="196"/>
      <c r="I47" s="196"/>
      <c r="J47" s="196"/>
      <c r="K47" s="196"/>
      <c r="L47" s="196"/>
      <c r="M47" s="196"/>
      <c r="N47" s="196"/>
      <c r="O47" s="196"/>
      <c r="P47" s="196"/>
      <c r="Q47" s="196"/>
      <c r="R47" s="196"/>
      <c r="S47" s="198"/>
    </row>
    <row r="48" spans="1:19">
      <c r="A48" s="199" t="s">
        <v>533</v>
      </c>
      <c r="B48" s="195">
        <f>B44+B45+B46-B47</f>
        <v>12511258445.308331</v>
      </c>
      <c r="C48" s="196"/>
      <c r="D48" s="196"/>
      <c r="E48" s="196"/>
      <c r="F48" s="196"/>
      <c r="G48" s="196"/>
      <c r="H48" s="196"/>
      <c r="I48" s="196"/>
      <c r="J48" s="196"/>
      <c r="K48" s="196"/>
      <c r="L48" s="196"/>
      <c r="M48" s="196"/>
      <c r="N48" s="196"/>
      <c r="O48" s="196"/>
      <c r="P48" s="196"/>
      <c r="Q48" s="196"/>
      <c r="R48" s="196"/>
      <c r="S48" s="198"/>
    </row>
    <row r="49" spans="1:74">
      <c r="A49" s="194" t="s">
        <v>534</v>
      </c>
      <c r="B49" s="197">
        <f>资产资本表!E103/资产资本表!E107</f>
        <v>0</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c r="A50" s="199" t="s">
        <v>535</v>
      </c>
      <c r="B50" s="195">
        <f>B48*(1-B49)</f>
        <v>12511258445.308331</v>
      </c>
      <c r="C50" s="303" t="s">
        <v>541</v>
      </c>
      <c r="D50" s="304"/>
      <c r="E50" s="305"/>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c r="A51" s="194" t="s">
        <v>537</v>
      </c>
      <c r="B51" s="209">
        <f>B55</f>
        <v>424980000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4.25" thickBot="1">
      <c r="A52" s="200" t="s">
        <v>536</v>
      </c>
      <c r="B52" s="205">
        <f>B50/B51</f>
        <v>29.439640560281262</v>
      </c>
      <c r="C52" s="206">
        <f>$B$52*(1-C51)</f>
        <v>17.663784336168757</v>
      </c>
      <c r="D52" s="206">
        <f>$B$52*(1-D51)</f>
        <v>20.607748392196882</v>
      </c>
      <c r="E52" s="206">
        <f>$B$52*(1-E51)</f>
        <v>23.551712448225011</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2" customFormat="1">
      <c r="A54" s="193">
        <v>600529</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1" customFormat="1">
      <c r="A55" s="210" t="s">
        <v>548</v>
      </c>
      <c r="B55" s="315">
        <v>424980000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4.25" thickBot="1">
      <c r="A56" s="74"/>
      <c r="B56" s="93"/>
    </row>
    <row r="57" spans="1:74" ht="52.9" customHeight="1">
      <c r="A57" s="293" t="s">
        <v>737</v>
      </c>
      <c r="B57" s="294"/>
      <c r="C57" s="294"/>
      <c r="D57" s="294"/>
      <c r="E57" s="294"/>
      <c r="F57" s="294"/>
      <c r="G57" s="294"/>
      <c r="H57" s="294"/>
      <c r="I57" s="294"/>
    </row>
    <row r="60" spans="1:74" s="154" customFormat="1" ht="51" customHeight="1">
      <c r="A60" s="291" t="s">
        <v>606</v>
      </c>
      <c r="B60" s="292"/>
      <c r="C60" s="292"/>
      <c r="D60" s="292"/>
      <c r="E60" s="292"/>
      <c r="F60" s="292"/>
      <c r="G60" s="292"/>
      <c r="H60" s="292"/>
      <c r="I60" s="292"/>
    </row>
    <row r="63" spans="1:74" s="4" customFormat="1">
      <c r="A63" s="176" t="s">
        <v>608</v>
      </c>
      <c r="B63" s="175" t="s">
        <v>609</v>
      </c>
      <c r="C63" s="96" t="s">
        <v>610</v>
      </c>
      <c r="D63" s="96" t="s">
        <v>611</v>
      </c>
      <c r="E63" s="96" t="s">
        <v>626</v>
      </c>
      <c r="F63" s="96" t="s">
        <v>612</v>
      </c>
      <c r="G63" s="96" t="s">
        <v>613</v>
      </c>
      <c r="H63" s="96" t="s">
        <v>622</v>
      </c>
      <c r="I63" s="96" t="s">
        <v>615</v>
      </c>
      <c r="J63" s="96" t="s">
        <v>621</v>
      </c>
      <c r="K63" s="96" t="s">
        <v>617</v>
      </c>
      <c r="L63" s="96" t="s">
        <v>623</v>
      </c>
    </row>
    <row r="64" spans="1:74" s="26" customFormat="1">
      <c r="A64" s="177">
        <f>股权价值增加表!M1</f>
        <v>42369</v>
      </c>
      <c r="B64" s="165">
        <v>42366</v>
      </c>
      <c r="C64" s="164">
        <v>17.39</v>
      </c>
      <c r="D64" s="164">
        <v>3.4</v>
      </c>
      <c r="E64" s="166">
        <f>股权价值增加表!M42/100000000</f>
        <v>1.4714742182999987</v>
      </c>
      <c r="F64" s="166">
        <v>0</v>
      </c>
      <c r="G64" s="164">
        <v>16.47</v>
      </c>
      <c r="H64" s="166">
        <f>G64*D64</f>
        <v>55.997999999999998</v>
      </c>
      <c r="I64" s="166">
        <f>C64*D64</f>
        <v>59.125999999999998</v>
      </c>
      <c r="J64" s="166">
        <f>H64/E64</f>
        <v>38.055712634024097</v>
      </c>
      <c r="K64" s="166">
        <f>I64/E64</f>
        <v>40.181471931128058</v>
      </c>
      <c r="L64" s="261">
        <v>0</v>
      </c>
    </row>
    <row r="65" spans="1:12" s="26" customFormat="1">
      <c r="A65" s="177">
        <f>股权价值增加表!I1</f>
        <v>42735</v>
      </c>
      <c r="B65" s="165">
        <v>42543</v>
      </c>
      <c r="C65" s="164">
        <v>23.13</v>
      </c>
      <c r="D65" s="164">
        <v>3.64</v>
      </c>
      <c r="E65" s="166">
        <f>股权价值增加表!I42/100000000</f>
        <v>2.0243454646000001</v>
      </c>
      <c r="F65" s="166">
        <f>(E65-E64)/E64*100</f>
        <v>37.572608437457795</v>
      </c>
      <c r="G65" s="164">
        <v>23.11</v>
      </c>
      <c r="H65" s="166">
        <f t="shared" ref="H65:H66" si="8">G65*D65</f>
        <v>84.120400000000004</v>
      </c>
      <c r="I65" s="166">
        <f t="shared" ref="I65:I66" si="9">C65*D65</f>
        <v>84.193200000000004</v>
      </c>
      <c r="J65" s="166">
        <f t="shared" ref="J65:J66" si="10">H65/E65</f>
        <v>41.554369780763558</v>
      </c>
      <c r="K65" s="166">
        <f t="shared" ref="K65:K66" si="11">I65/E65</f>
        <v>41.590332022027738</v>
      </c>
      <c r="L65" s="261">
        <f>K65/F65</f>
        <v>1.1069322506915569</v>
      </c>
    </row>
    <row r="66" spans="1:12" s="26" customFormat="1">
      <c r="A66" s="177">
        <f>股权价值增加表!E1</f>
        <v>43100</v>
      </c>
      <c r="B66" s="165">
        <v>42872</v>
      </c>
      <c r="C66" s="164">
        <v>16.399999999999999</v>
      </c>
      <c r="D66" s="164">
        <v>9.09</v>
      </c>
      <c r="E66" s="166">
        <f>股权价值增加表!E42/100000000</f>
        <v>2.3427579497000011</v>
      </c>
      <c r="F66" s="166">
        <f t="shared" ref="F66" si="12">(E66-E65)/E65*100</f>
        <v>15.729157432272439</v>
      </c>
      <c r="G66" s="164">
        <v>15.76</v>
      </c>
      <c r="H66" s="166">
        <f t="shared" si="8"/>
        <v>143.25839999999999</v>
      </c>
      <c r="I66" s="166">
        <f t="shared" si="9"/>
        <v>149.07599999999999</v>
      </c>
      <c r="J66" s="166">
        <f t="shared" si="10"/>
        <v>61.149467028100268</v>
      </c>
      <c r="K66" s="166">
        <f t="shared" si="11"/>
        <v>63.632694115535806</v>
      </c>
      <c r="L66" s="261">
        <f t="shared" ref="L66" si="13">K66/F66</f>
        <v>4.0455246499711963</v>
      </c>
    </row>
    <row r="67" spans="1:12" s="26" customFormat="1">
      <c r="A67" s="160"/>
      <c r="B67" s="161"/>
      <c r="C67" s="83"/>
      <c r="D67" s="83"/>
      <c r="E67" s="83"/>
      <c r="F67" s="163"/>
      <c r="G67" s="83"/>
      <c r="H67" s="163"/>
      <c r="I67" s="163"/>
      <c r="J67" s="163"/>
      <c r="K67" s="163"/>
      <c r="L67" s="262"/>
    </row>
    <row r="68" spans="1:12" s="155" customFormat="1" ht="14.25" thickBot="1">
      <c r="A68" s="162" t="s">
        <v>620</v>
      </c>
      <c r="B68" s="44" t="s">
        <v>609</v>
      </c>
      <c r="C68" s="44" t="s">
        <v>610</v>
      </c>
      <c r="D68" s="44" t="s">
        <v>611</v>
      </c>
      <c r="E68" s="44" t="s">
        <v>619</v>
      </c>
      <c r="F68" s="44" t="s">
        <v>612</v>
      </c>
      <c r="G68" s="44" t="s">
        <v>613</v>
      </c>
      <c r="H68" s="44" t="s">
        <v>614</v>
      </c>
      <c r="I68" s="44" t="s">
        <v>615</v>
      </c>
      <c r="J68" s="44" t="s">
        <v>616</v>
      </c>
      <c r="K68" s="44" t="s">
        <v>617</v>
      </c>
      <c r="L68" s="263" t="s">
        <v>618</v>
      </c>
    </row>
    <row r="69" spans="1:12" s="26" customFormat="1" ht="14.25" thickBot="1">
      <c r="A69" s="167" t="s">
        <v>625</v>
      </c>
      <c r="B69" s="168">
        <v>43305</v>
      </c>
      <c r="C69" s="169">
        <v>11.65</v>
      </c>
      <c r="D69" s="169">
        <v>9.09</v>
      </c>
      <c r="E69" s="169">
        <v>4.33</v>
      </c>
      <c r="F69" s="170">
        <f>(E69-E66)/E66*100</f>
        <v>84.824898387580873</v>
      </c>
      <c r="G69" s="169">
        <v>10.119999999999999</v>
      </c>
      <c r="H69" s="170">
        <f>G69*D69</f>
        <v>91.990799999999993</v>
      </c>
      <c r="I69" s="170">
        <f>C69*D69</f>
        <v>105.8985</v>
      </c>
      <c r="J69" s="170">
        <f>H69/E69</f>
        <v>21.244988452655885</v>
      </c>
      <c r="K69" s="170">
        <f>I69/E69</f>
        <v>24.456928406466513</v>
      </c>
      <c r="L69" s="264">
        <f>K69/F69</f>
        <v>0.28832251934706976</v>
      </c>
    </row>
    <row r="70" spans="1:12" s="26" customFormat="1" ht="14.25" thickBot="1">
      <c r="A70" s="171" t="s">
        <v>624</v>
      </c>
      <c r="B70" s="172">
        <v>43305</v>
      </c>
      <c r="C70" s="173">
        <v>11.65</v>
      </c>
      <c r="D70" s="173">
        <v>9.09</v>
      </c>
      <c r="E70" s="173">
        <v>3.86</v>
      </c>
      <c r="F70" s="174">
        <f>(E70-E66)/E66*100</f>
        <v>64.763073389390797</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0.42361863209660072</v>
      </c>
    </row>
    <row r="71" spans="1:12" s="88" customFormat="1" ht="138" customHeight="1">
      <c r="A71" s="289" t="s">
        <v>627</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2019-02-15T10:41:19Z</dcterms:modified>
</cp:coreProperties>
</file>